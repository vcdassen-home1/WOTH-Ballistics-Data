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B:\Projects\games\way-of-the-hunter\WOTH-Ballistics-Data\templates\"/>
    </mc:Choice>
  </mc:AlternateContent>
  <xr:revisionPtr revIDLastSave="0" documentId="13_ncr:1_{B7BD1386-8CDC-440E-A673-38B1DB483B18}" xr6:coauthVersionLast="47" xr6:coauthVersionMax="47" xr10:uidLastSave="{00000000-0000-0000-0000-000000000000}"/>
  <bookViews>
    <workbookView xWindow="8520" yWindow="2340" windowWidth="39945" windowHeight="15885" xr2:uid="{2F0FA23F-61CC-43E6-AF0F-86720E5DCFA1}"/>
  </bookViews>
  <sheets>
    <sheet name="Constants" sheetId="15" r:id="rId1"/>
    <sheet name="Species Energy Tables" sheetId="18" r:id="rId2"/>
    <sheet name="Rifle Loadouts" sheetId="17" r:id="rId3"/>
    <sheet name="Riflescope Data" sheetId="16" r:id="rId4"/>
  </sheets>
  <functionGroups builtInGroupCount="19"/>
  <definedNames>
    <definedName name="AngularUnits">UnitsDefinitions[Angular]</definedName>
    <definedName name="Chamberings">CartridgeNames[Available Chamberings]</definedName>
    <definedName name="EnergyUnits">UnitsDefinitions[Energy]</definedName>
    <definedName name="LengthUnits">UnitsDefinitions[Length]</definedName>
    <definedName name="MassWeightUnits">UnitsDefinitions[Mass Weight]</definedName>
    <definedName name="ProjectileTypes">AmmunitionClassTable[Display Name]</definedName>
    <definedName name="RiflescopeList">RiflescopeData[Name]</definedName>
    <definedName name="SpecificationTypeList">SpecificationTypes[Specification Types]</definedName>
    <definedName name="VelocityUnits">UnitsDefinitions[Velocity]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232" i="17" l="1" a="1"/>
  <c r="AA232" i="17" s="1"/>
  <c r="Z232" i="17" a="1"/>
  <c r="Z232" i="17" s="1"/>
  <c r="U232" i="17"/>
  <c r="T232" i="17"/>
  <c r="I232" i="17"/>
  <c r="H232" i="17"/>
  <c r="E232" i="17"/>
  <c r="AA231" i="17" a="1"/>
  <c r="AA231" i="17" s="1"/>
  <c r="Z231" i="17" a="1"/>
  <c r="Z231" i="17" s="1"/>
  <c r="U231" i="17"/>
  <c r="T231" i="17"/>
  <c r="I231" i="17"/>
  <c r="H231" i="17"/>
  <c r="E231" i="17"/>
  <c r="AA230" i="17" a="1"/>
  <c r="AA230" i="17" s="1"/>
  <c r="Z230" i="17" a="1"/>
  <c r="Z230" i="17" s="1"/>
  <c r="U230" i="17"/>
  <c r="T230" i="17"/>
  <c r="I230" i="17"/>
  <c r="H230" i="17"/>
  <c r="E230" i="17"/>
  <c r="AA229" i="17" a="1"/>
  <c r="AA229" i="17" s="1"/>
  <c r="Z229" i="17" a="1"/>
  <c r="Z229" i="17" s="1"/>
  <c r="U229" i="17"/>
  <c r="T229" i="17"/>
  <c r="I229" i="17"/>
  <c r="H229" i="17"/>
  <c r="E229" i="17"/>
  <c r="AA228" i="17" a="1"/>
  <c r="AA228" i="17" s="1"/>
  <c r="Z228" i="17" a="1"/>
  <c r="Z228" i="17" s="1"/>
  <c r="U228" i="17"/>
  <c r="T228" i="17"/>
  <c r="I228" i="17"/>
  <c r="H228" i="17"/>
  <c r="E228" i="17"/>
  <c r="AA227" i="17" a="1"/>
  <c r="AA227" i="17" s="1"/>
  <c r="Z227" i="17" a="1"/>
  <c r="Z227" i="17" s="1"/>
  <c r="U227" i="17"/>
  <c r="T227" i="17"/>
  <c r="I227" i="17"/>
  <c r="H227" i="17"/>
  <c r="AA216" i="17" a="1"/>
  <c r="AA216" i="17" s="1"/>
  <c r="Z216" i="17" a="1"/>
  <c r="Z216" i="17" s="1"/>
  <c r="U216" i="17"/>
  <c r="T216" i="17"/>
  <c r="I216" i="17"/>
  <c r="H216" i="17"/>
  <c r="E216" i="17"/>
  <c r="AA215" i="17" a="1"/>
  <c r="AA215" i="17" s="1"/>
  <c r="Z215" i="17" a="1"/>
  <c r="Z215" i="17" s="1"/>
  <c r="U215" i="17"/>
  <c r="T215" i="17"/>
  <c r="I215" i="17"/>
  <c r="H215" i="17"/>
  <c r="E215" i="17"/>
  <c r="AA214" i="17" a="1"/>
  <c r="AA214" i="17" s="1"/>
  <c r="Z214" i="17" a="1"/>
  <c r="Z214" i="17" s="1"/>
  <c r="U214" i="17"/>
  <c r="T214" i="17"/>
  <c r="I214" i="17"/>
  <c r="H214" i="17"/>
  <c r="E214" i="17"/>
  <c r="AA213" i="17" a="1"/>
  <c r="AA213" i="17" s="1"/>
  <c r="Z213" i="17" a="1"/>
  <c r="Z213" i="17" s="1"/>
  <c r="U213" i="17"/>
  <c r="T213" i="17"/>
  <c r="I213" i="17"/>
  <c r="H213" i="17"/>
  <c r="E213" i="17"/>
  <c r="AA212" i="17" a="1"/>
  <c r="AA212" i="17" s="1"/>
  <c r="Z212" i="17" a="1"/>
  <c r="Z212" i="17" s="1"/>
  <c r="U212" i="17"/>
  <c r="T212" i="17"/>
  <c r="I212" i="17"/>
  <c r="H212" i="17"/>
  <c r="AA200" i="17" a="1"/>
  <c r="AA200" i="17" s="1"/>
  <c r="Z200" i="17" a="1"/>
  <c r="Z200" i="17" s="1"/>
  <c r="U200" i="17"/>
  <c r="T200" i="17"/>
  <c r="I200" i="17"/>
  <c r="H200" i="17"/>
  <c r="E200" i="17"/>
  <c r="AA199" i="17" a="1"/>
  <c r="AA199" i="17" s="1"/>
  <c r="Z199" i="17" a="1"/>
  <c r="Z199" i="17" s="1"/>
  <c r="U199" i="17"/>
  <c r="T199" i="17"/>
  <c r="I199" i="17"/>
  <c r="H199" i="17"/>
  <c r="AA188" i="17" a="1"/>
  <c r="AA188" i="17" s="1"/>
  <c r="Z188" i="17" a="1"/>
  <c r="Z188" i="17" s="1"/>
  <c r="U188" i="17"/>
  <c r="T188" i="17"/>
  <c r="I188" i="17"/>
  <c r="H188" i="17"/>
  <c r="E188" i="17"/>
  <c r="AA187" i="17" a="1"/>
  <c r="AA187" i="17" s="1"/>
  <c r="Z187" i="17" a="1"/>
  <c r="Z187" i="17" s="1"/>
  <c r="U187" i="17"/>
  <c r="T187" i="17"/>
  <c r="I187" i="17"/>
  <c r="H187" i="17"/>
  <c r="E187" i="17"/>
  <c r="AA186" i="17" a="1"/>
  <c r="AA186" i="17" s="1"/>
  <c r="Z186" i="17" a="1"/>
  <c r="Z186" i="17" s="1"/>
  <c r="U186" i="17"/>
  <c r="T186" i="17"/>
  <c r="I186" i="17"/>
  <c r="H186" i="17"/>
  <c r="AA176" i="17" a="1"/>
  <c r="AA176" i="17" s="1"/>
  <c r="Z176" i="17" a="1"/>
  <c r="Z176" i="17" s="1"/>
  <c r="U176" i="17"/>
  <c r="T176" i="17"/>
  <c r="I176" i="17"/>
  <c r="H176" i="17"/>
  <c r="E176" i="17"/>
  <c r="AA175" i="17" a="1"/>
  <c r="AA175" i="17" s="1"/>
  <c r="Z175" i="17" a="1"/>
  <c r="Z175" i="17" s="1"/>
  <c r="U175" i="17"/>
  <c r="T175" i="17"/>
  <c r="I175" i="17"/>
  <c r="H175" i="17"/>
  <c r="E175" i="17"/>
  <c r="AA174" i="17" a="1"/>
  <c r="AA174" i="17" s="1"/>
  <c r="Z174" i="17" a="1"/>
  <c r="Z174" i="17" s="1"/>
  <c r="U174" i="17"/>
  <c r="T174" i="17"/>
  <c r="I174" i="17"/>
  <c r="H174" i="17"/>
  <c r="E174" i="17"/>
  <c r="AA173" i="17" a="1"/>
  <c r="AA173" i="17" s="1"/>
  <c r="Z173" i="17" a="1"/>
  <c r="Z173" i="17" s="1"/>
  <c r="U173" i="17"/>
  <c r="T173" i="17"/>
  <c r="I173" i="17"/>
  <c r="H173" i="17"/>
  <c r="E173" i="17"/>
  <c r="AA172" i="17" a="1"/>
  <c r="AA172" i="17" s="1"/>
  <c r="Z172" i="17" a="1"/>
  <c r="Z172" i="17" s="1"/>
  <c r="U172" i="17"/>
  <c r="T172" i="17"/>
  <c r="I172" i="17"/>
  <c r="H172" i="17"/>
  <c r="E172" i="17"/>
  <c r="AA171" i="17" a="1"/>
  <c r="AA171" i="17" s="1"/>
  <c r="Z171" i="17" a="1"/>
  <c r="Z171" i="17" s="1"/>
  <c r="U171" i="17"/>
  <c r="T171" i="17"/>
  <c r="I171" i="17"/>
  <c r="H171" i="17"/>
  <c r="AA161" i="17" a="1"/>
  <c r="AA161" i="17" s="1"/>
  <c r="Z161" i="17" a="1"/>
  <c r="Z161" i="17" s="1"/>
  <c r="U161" i="17"/>
  <c r="T161" i="17"/>
  <c r="I161" i="17"/>
  <c r="H161" i="17"/>
  <c r="E161" i="17"/>
  <c r="AA160" i="17" a="1"/>
  <c r="AA160" i="17" s="1"/>
  <c r="Z160" i="17" a="1"/>
  <c r="Z160" i="17" s="1"/>
  <c r="U160" i="17"/>
  <c r="T160" i="17"/>
  <c r="I160" i="17"/>
  <c r="H160" i="17"/>
  <c r="E160" i="17"/>
  <c r="AA159" i="17" a="1"/>
  <c r="AA159" i="17" s="1"/>
  <c r="Z159" i="17" a="1"/>
  <c r="Z159" i="17" s="1"/>
  <c r="U159" i="17"/>
  <c r="T159" i="17"/>
  <c r="I159" i="17"/>
  <c r="H159" i="17"/>
  <c r="E159" i="17"/>
  <c r="AA158" i="17" a="1"/>
  <c r="AA158" i="17" s="1"/>
  <c r="Z158" i="17" a="1"/>
  <c r="Z158" i="17" s="1"/>
  <c r="U158" i="17"/>
  <c r="T158" i="17"/>
  <c r="I158" i="17"/>
  <c r="H158" i="17"/>
  <c r="E158" i="17"/>
  <c r="AA157" i="17" a="1"/>
  <c r="AA157" i="17" s="1"/>
  <c r="Z157" i="17" a="1"/>
  <c r="Z157" i="17" s="1"/>
  <c r="U157" i="17"/>
  <c r="T157" i="17"/>
  <c r="I157" i="17"/>
  <c r="H157" i="17"/>
  <c r="E157" i="17"/>
  <c r="AA156" i="17" a="1"/>
  <c r="AA156" i="17" s="1"/>
  <c r="Z156" i="17" a="1"/>
  <c r="Z156" i="17" s="1"/>
  <c r="U156" i="17"/>
  <c r="T156" i="17"/>
  <c r="I156" i="17"/>
  <c r="H156" i="17"/>
  <c r="AA145" i="17" a="1"/>
  <c r="AA145" i="17" s="1"/>
  <c r="Z145" i="17" a="1"/>
  <c r="Z145" i="17" s="1"/>
  <c r="U145" i="17"/>
  <c r="T145" i="17"/>
  <c r="I145" i="17"/>
  <c r="H145" i="17"/>
  <c r="E145" i="17"/>
  <c r="AA144" i="17" a="1"/>
  <c r="AA144" i="17" s="1"/>
  <c r="Z144" i="17" a="1"/>
  <c r="Z144" i="17" s="1"/>
  <c r="U144" i="17"/>
  <c r="T144" i="17"/>
  <c r="I144" i="17"/>
  <c r="H144" i="17"/>
  <c r="E144" i="17"/>
  <c r="AA143" i="17" a="1"/>
  <c r="AA143" i="17" s="1"/>
  <c r="Z143" i="17" a="1"/>
  <c r="Z143" i="17" s="1"/>
  <c r="U143" i="17"/>
  <c r="T143" i="17"/>
  <c r="I143" i="17"/>
  <c r="H143" i="17"/>
  <c r="E143" i="17"/>
  <c r="AA142" i="17" a="1"/>
  <c r="AA142" i="17" s="1"/>
  <c r="Z142" i="17" a="1"/>
  <c r="Z142" i="17" s="1"/>
  <c r="U142" i="17"/>
  <c r="T142" i="17"/>
  <c r="I142" i="17"/>
  <c r="H142" i="17"/>
  <c r="E142" i="17"/>
  <c r="AA141" i="17" a="1"/>
  <c r="AA141" i="17" s="1"/>
  <c r="Z141" i="17" a="1"/>
  <c r="Z141" i="17" s="1"/>
  <c r="U141" i="17"/>
  <c r="T141" i="17"/>
  <c r="I141" i="17"/>
  <c r="H141" i="17"/>
  <c r="E141" i="17"/>
  <c r="AA140" i="17" a="1"/>
  <c r="AA140" i="17" s="1"/>
  <c r="Z140" i="17" a="1"/>
  <c r="Z140" i="17" s="1"/>
  <c r="U140" i="17"/>
  <c r="T140" i="17"/>
  <c r="I140" i="17"/>
  <c r="H140" i="17"/>
  <c r="AA126" i="17" a="1"/>
  <c r="AA126" i="17" s="1"/>
  <c r="Z126" i="17" a="1"/>
  <c r="Z126" i="17" s="1"/>
  <c r="U126" i="17"/>
  <c r="T126" i="17"/>
  <c r="I126" i="17"/>
  <c r="H126" i="17"/>
  <c r="E126" i="17"/>
  <c r="AA125" i="17" a="1"/>
  <c r="AA125" i="17" s="1"/>
  <c r="Z125" i="17" a="1"/>
  <c r="Z125" i="17" s="1"/>
  <c r="U125" i="17"/>
  <c r="T125" i="17"/>
  <c r="I125" i="17"/>
  <c r="H125" i="17"/>
  <c r="E125" i="17"/>
  <c r="AA124" i="17" a="1"/>
  <c r="AA124" i="17" s="1"/>
  <c r="Z124" i="17" a="1"/>
  <c r="Z124" i="17" s="1"/>
  <c r="U124" i="17"/>
  <c r="T124" i="17"/>
  <c r="I124" i="17"/>
  <c r="H124" i="17"/>
  <c r="E124" i="17"/>
  <c r="AA123" i="17" a="1"/>
  <c r="AA123" i="17" s="1"/>
  <c r="Z123" i="17" a="1"/>
  <c r="Z123" i="17" s="1"/>
  <c r="U123" i="17"/>
  <c r="T123" i="17"/>
  <c r="I123" i="17"/>
  <c r="H123" i="17"/>
  <c r="E123" i="17"/>
  <c r="AA122" i="17" a="1"/>
  <c r="AA122" i="17" s="1"/>
  <c r="Z122" i="17" a="1"/>
  <c r="Z122" i="17" s="1"/>
  <c r="U122" i="17"/>
  <c r="T122" i="17"/>
  <c r="I122" i="17"/>
  <c r="H122" i="17"/>
  <c r="E122" i="17"/>
  <c r="AA121" i="17" a="1"/>
  <c r="AA121" i="17" s="1"/>
  <c r="Z121" i="17" a="1"/>
  <c r="Z121" i="17" s="1"/>
  <c r="U121" i="17"/>
  <c r="T121" i="17"/>
  <c r="I121" i="17"/>
  <c r="H121" i="17"/>
  <c r="AA110" i="17" a="1"/>
  <c r="AA110" i="17" s="1"/>
  <c r="Z110" i="17" a="1"/>
  <c r="Z110" i="17" s="1"/>
  <c r="U110" i="17"/>
  <c r="T110" i="17"/>
  <c r="I110" i="17"/>
  <c r="H110" i="17"/>
  <c r="E110" i="17"/>
  <c r="AA109" i="17" a="1"/>
  <c r="AA109" i="17" s="1"/>
  <c r="Z109" i="17" a="1"/>
  <c r="Z109" i="17" s="1"/>
  <c r="U109" i="17"/>
  <c r="T109" i="17"/>
  <c r="I109" i="17"/>
  <c r="H109" i="17"/>
  <c r="E109" i="17"/>
  <c r="AA108" i="17" a="1"/>
  <c r="AA108" i="17" s="1"/>
  <c r="Z108" i="17" a="1"/>
  <c r="Z108" i="17" s="1"/>
  <c r="U108" i="17"/>
  <c r="T108" i="17"/>
  <c r="I108" i="17"/>
  <c r="H108" i="17"/>
  <c r="E108" i="17"/>
  <c r="AA107" i="17" a="1"/>
  <c r="AA107" i="17" s="1"/>
  <c r="Z107" i="17" a="1"/>
  <c r="Z107" i="17" s="1"/>
  <c r="U107" i="17"/>
  <c r="T107" i="17"/>
  <c r="I107" i="17"/>
  <c r="H107" i="17"/>
  <c r="E107" i="17"/>
  <c r="AA106" i="17" a="1"/>
  <c r="AA106" i="17" s="1"/>
  <c r="Z106" i="17" a="1"/>
  <c r="Z106" i="17" s="1"/>
  <c r="U106" i="17"/>
  <c r="T106" i="17"/>
  <c r="I106" i="17"/>
  <c r="H106" i="17"/>
  <c r="E106" i="17"/>
  <c r="AA105" i="17" a="1"/>
  <c r="AA105" i="17" s="1"/>
  <c r="Z105" i="17" a="1"/>
  <c r="Z105" i="17" s="1"/>
  <c r="U105" i="17"/>
  <c r="T105" i="17"/>
  <c r="I105" i="17"/>
  <c r="H105" i="17"/>
  <c r="AA94" i="17" a="1"/>
  <c r="AA94" i="17" s="1"/>
  <c r="Z94" i="17" a="1"/>
  <c r="Z94" i="17" s="1"/>
  <c r="U94" i="17"/>
  <c r="T94" i="17"/>
  <c r="I94" i="17"/>
  <c r="H94" i="17"/>
  <c r="E94" i="17"/>
  <c r="AA93" i="17" a="1"/>
  <c r="AA93" i="17" s="1"/>
  <c r="Z93" i="17" a="1"/>
  <c r="Z93" i="17" s="1"/>
  <c r="U93" i="17"/>
  <c r="T93" i="17"/>
  <c r="I93" i="17"/>
  <c r="H93" i="17"/>
  <c r="E93" i="17"/>
  <c r="AA92" i="17" a="1"/>
  <c r="AA92" i="17" s="1"/>
  <c r="Z92" i="17" a="1"/>
  <c r="Z92" i="17" s="1"/>
  <c r="U92" i="17"/>
  <c r="T92" i="17"/>
  <c r="I92" i="17"/>
  <c r="H92" i="17"/>
  <c r="E92" i="17"/>
  <c r="AA91" i="17" a="1"/>
  <c r="AA91" i="17" s="1"/>
  <c r="Z91" i="17" a="1"/>
  <c r="Z91" i="17" s="1"/>
  <c r="U91" i="17"/>
  <c r="T91" i="17"/>
  <c r="I91" i="17"/>
  <c r="H91" i="17"/>
  <c r="E91" i="17"/>
  <c r="AA90" i="17" a="1"/>
  <c r="AA90" i="17" s="1"/>
  <c r="Z90" i="17" a="1"/>
  <c r="Z90" i="17" s="1"/>
  <c r="U90" i="17"/>
  <c r="T90" i="17"/>
  <c r="I90" i="17"/>
  <c r="H90" i="17"/>
  <c r="E90" i="17"/>
  <c r="AA89" i="17" a="1"/>
  <c r="AA89" i="17" s="1"/>
  <c r="Z89" i="17" a="1"/>
  <c r="Z89" i="17" s="1"/>
  <c r="U89" i="17"/>
  <c r="T89" i="17"/>
  <c r="I89" i="17"/>
  <c r="H89" i="17"/>
  <c r="AA77" i="17" a="1"/>
  <c r="AA77" i="17" s="1"/>
  <c r="Z77" i="17" a="1"/>
  <c r="Z77" i="17" s="1"/>
  <c r="U77" i="17"/>
  <c r="T77" i="17"/>
  <c r="I77" i="17"/>
  <c r="H77" i="17"/>
  <c r="E77" i="17"/>
  <c r="AA76" i="17" a="1"/>
  <c r="AA76" i="17" s="1"/>
  <c r="Z76" i="17" a="1"/>
  <c r="Z76" i="17" s="1"/>
  <c r="U76" i="17"/>
  <c r="T76" i="17"/>
  <c r="I76" i="17"/>
  <c r="H76" i="17"/>
  <c r="E76" i="17"/>
  <c r="AA75" i="17" a="1"/>
  <c r="AA75" i="17" s="1"/>
  <c r="Z75" i="17" a="1"/>
  <c r="Z75" i="17" s="1"/>
  <c r="U75" i="17"/>
  <c r="T75" i="17"/>
  <c r="I75" i="17"/>
  <c r="H75" i="17"/>
  <c r="E75" i="17"/>
  <c r="AA74" i="17" a="1"/>
  <c r="AA74" i="17" s="1"/>
  <c r="Z74" i="17" a="1"/>
  <c r="Z74" i="17" s="1"/>
  <c r="U74" i="17"/>
  <c r="T74" i="17"/>
  <c r="I74" i="17"/>
  <c r="H74" i="17"/>
  <c r="E74" i="17"/>
  <c r="AA73" i="17" a="1"/>
  <c r="AA73" i="17" s="1"/>
  <c r="Z73" i="17" a="1"/>
  <c r="Z73" i="17" s="1"/>
  <c r="U73" i="17"/>
  <c r="T73" i="17"/>
  <c r="I73" i="17"/>
  <c r="H73" i="17"/>
  <c r="E73" i="17"/>
  <c r="AA72" i="17" a="1"/>
  <c r="AA72" i="17" s="1"/>
  <c r="Z72" i="17" a="1"/>
  <c r="Z72" i="17" s="1"/>
  <c r="U72" i="17"/>
  <c r="T72" i="17"/>
  <c r="I72" i="17"/>
  <c r="H72" i="17"/>
  <c r="AA60" i="17" a="1"/>
  <c r="AA60" i="17" s="1"/>
  <c r="Z60" i="17" a="1"/>
  <c r="Z60" i="17" s="1"/>
  <c r="U60" i="17"/>
  <c r="T60" i="17"/>
  <c r="I60" i="17"/>
  <c r="H60" i="17"/>
  <c r="E60" i="17"/>
  <c r="AA59" i="17" a="1"/>
  <c r="AA59" i="17" s="1"/>
  <c r="Z59" i="17" a="1"/>
  <c r="Z59" i="17" s="1"/>
  <c r="U59" i="17"/>
  <c r="T59" i="17"/>
  <c r="I59" i="17"/>
  <c r="H59" i="17"/>
  <c r="E59" i="17"/>
  <c r="AA58" i="17" a="1"/>
  <c r="AA58" i="17" s="1"/>
  <c r="Z58" i="17" a="1"/>
  <c r="Z58" i="17" s="1"/>
  <c r="U58" i="17"/>
  <c r="T58" i="17"/>
  <c r="I58" i="17"/>
  <c r="H58" i="17"/>
  <c r="E58" i="17"/>
  <c r="AA57" i="17" a="1"/>
  <c r="AA57" i="17" s="1"/>
  <c r="Z57" i="17" a="1"/>
  <c r="Z57" i="17" s="1"/>
  <c r="U57" i="17"/>
  <c r="T57" i="17"/>
  <c r="I57" i="17"/>
  <c r="H57" i="17"/>
  <c r="E57" i="17"/>
  <c r="AA56" i="17" a="1"/>
  <c r="AA56" i="17" s="1"/>
  <c r="Z56" i="17" a="1"/>
  <c r="Z56" i="17" s="1"/>
  <c r="U56" i="17"/>
  <c r="T56" i="17"/>
  <c r="I56" i="17"/>
  <c r="H56" i="17"/>
  <c r="E56" i="17"/>
  <c r="AA55" i="17" a="1"/>
  <c r="AA55" i="17" s="1"/>
  <c r="Z55" i="17" a="1"/>
  <c r="Z55" i="17" s="1"/>
  <c r="U55" i="17"/>
  <c r="T55" i="17"/>
  <c r="I55" i="17"/>
  <c r="H55" i="17"/>
  <c r="AA43" i="17" a="1"/>
  <c r="AA43" i="17" s="1"/>
  <c r="Z43" i="17" a="1"/>
  <c r="Z43" i="17" s="1"/>
  <c r="U43" i="17"/>
  <c r="T43" i="17"/>
  <c r="I43" i="17"/>
  <c r="H43" i="17"/>
  <c r="E43" i="17"/>
  <c r="AA42" i="17" a="1"/>
  <c r="AA42" i="17" s="1"/>
  <c r="Z42" i="17" a="1"/>
  <c r="Z42" i="17" s="1"/>
  <c r="U42" i="17"/>
  <c r="T42" i="17"/>
  <c r="I42" i="17"/>
  <c r="H42" i="17"/>
  <c r="E42" i="17"/>
  <c r="AA41" i="17" a="1"/>
  <c r="AA41" i="17" s="1"/>
  <c r="Z41" i="17" a="1"/>
  <c r="Z41" i="17" s="1"/>
  <c r="U41" i="17"/>
  <c r="T41" i="17"/>
  <c r="I41" i="17"/>
  <c r="H41" i="17"/>
  <c r="E41" i="17"/>
  <c r="AA40" i="17" a="1"/>
  <c r="AA40" i="17" s="1"/>
  <c r="Z40" i="17" a="1"/>
  <c r="Z40" i="17" s="1"/>
  <c r="U40" i="17"/>
  <c r="T40" i="17"/>
  <c r="I40" i="17"/>
  <c r="H40" i="17"/>
  <c r="E40" i="17"/>
  <c r="AA39" i="17" a="1"/>
  <c r="AA39" i="17" s="1"/>
  <c r="Z39" i="17" a="1"/>
  <c r="Z39" i="17" s="1"/>
  <c r="U39" i="17"/>
  <c r="T39" i="17"/>
  <c r="I39" i="17"/>
  <c r="H39" i="17"/>
  <c r="E39" i="17"/>
  <c r="AA38" i="17" a="1"/>
  <c r="AA38" i="17" s="1"/>
  <c r="Z38" i="17" a="1"/>
  <c r="Z38" i="17" s="1"/>
  <c r="U38" i="17"/>
  <c r="T38" i="17"/>
  <c r="I38" i="17"/>
  <c r="H38" i="17"/>
  <c r="U27" i="17"/>
  <c r="T27" i="17"/>
  <c r="I27" i="17"/>
  <c r="H27" i="17"/>
  <c r="AA26" i="17" a="1"/>
  <c r="AA26" i="17" s="1"/>
  <c r="Z26" i="17" a="1"/>
  <c r="Z26" i="17" s="1"/>
  <c r="U26" i="17"/>
  <c r="T26" i="17"/>
  <c r="I26" i="17"/>
  <c r="H26" i="17"/>
  <c r="AA25" i="17" a="1"/>
  <c r="AA25" i="17" s="1"/>
  <c r="Z25" i="17" a="1"/>
  <c r="Z25" i="17" s="1"/>
  <c r="U25" i="17"/>
  <c r="T25" i="17"/>
  <c r="I25" i="17"/>
  <c r="H25" i="17"/>
  <c r="U24" i="17"/>
  <c r="T24" i="17"/>
  <c r="I24" i="17"/>
  <c r="H24" i="17"/>
  <c r="E24" i="17"/>
  <c r="AA23" i="17" a="1"/>
  <c r="AA23" i="17" s="1"/>
  <c r="Z23" i="17" a="1"/>
  <c r="Z23" i="17" s="1"/>
  <c r="U23" i="17"/>
  <c r="T23" i="17"/>
  <c r="I23" i="17"/>
  <c r="H23" i="17"/>
  <c r="E23" i="17"/>
  <c r="AA22" i="17" a="1"/>
  <c r="AA22" i="17" s="1"/>
  <c r="Z22" i="17" a="1"/>
  <c r="Z22" i="17" s="1"/>
  <c r="U22" i="17"/>
  <c r="T22" i="17"/>
  <c r="I22" i="17"/>
  <c r="H22" i="17"/>
  <c r="AA11" i="17" a="1"/>
  <c r="AA11" i="17" s="1"/>
  <c r="Z11" i="17" a="1"/>
  <c r="Z11" i="17" s="1"/>
  <c r="U11" i="17"/>
  <c r="T11" i="17"/>
  <c r="I11" i="17"/>
  <c r="H11" i="17"/>
  <c r="E11" i="17"/>
  <c r="AA10" i="17" a="1"/>
  <c r="AA10" i="17" s="1"/>
  <c r="Z10" i="17" a="1"/>
  <c r="Z10" i="17" s="1"/>
  <c r="U10" i="17"/>
  <c r="T10" i="17"/>
  <c r="I10" i="17"/>
  <c r="H10" i="17"/>
  <c r="E10" i="17"/>
  <c r="AA9" i="17" a="1"/>
  <c r="AA9" i="17" s="1"/>
  <c r="Z9" i="17" a="1"/>
  <c r="Z9" i="17" s="1"/>
  <c r="U9" i="17"/>
  <c r="T9" i="17"/>
  <c r="I9" i="17"/>
  <c r="H9" i="17"/>
  <c r="E9" i="17"/>
  <c r="AA8" i="17" a="1"/>
  <c r="AA8" i="17" s="1"/>
  <c r="Z8" i="17" a="1"/>
  <c r="Z8" i="17" s="1"/>
  <c r="U8" i="17"/>
  <c r="T8" i="17"/>
  <c r="I8" i="17"/>
  <c r="H8" i="17"/>
  <c r="E8" i="17"/>
  <c r="AA7" i="17" a="1"/>
  <c r="AA7" i="17" s="1"/>
  <c r="Z7" i="17" a="1"/>
  <c r="Z7" i="17" s="1"/>
  <c r="U7" i="17"/>
  <c r="T7" i="17"/>
  <c r="I7" i="17"/>
  <c r="H7" i="17"/>
  <c r="E7" i="17"/>
  <c r="AA6" i="17" a="1"/>
  <c r="AA6" i="17" s="1"/>
  <c r="Z6" i="17" a="1"/>
  <c r="Z6" i="17" s="1"/>
  <c r="U6" i="17"/>
  <c r="T6" i="17"/>
  <c r="I6" i="17"/>
  <c r="H6" i="17"/>
  <c r="R22" i="17" a="1"/>
  <c r="R161" i="17" a="1"/>
  <c r="S7" i="17" a="1"/>
  <c r="W142" i="17" a="1"/>
  <c r="W230" i="17" a="1"/>
  <c r="W75" i="17" a="1"/>
  <c r="S59" i="17" a="1"/>
  <c r="R43" i="17" a="1"/>
  <c r="S227" i="17" a="1"/>
  <c r="R42" i="17" a="1"/>
  <c r="W38" i="17" a="1"/>
  <c r="R157" i="17" a="1"/>
  <c r="V156" i="17" a="1"/>
  <c r="V59" i="17" a="1"/>
  <c r="S171" i="17" a="1"/>
  <c r="V22" i="17" a="1"/>
  <c r="W229" i="17" a="1"/>
  <c r="W57" i="17" a="1"/>
  <c r="S200" i="17" a="1"/>
  <c r="S60" i="17" a="1"/>
  <c r="R11" i="17" a="1"/>
  <c r="V74" i="17" a="1"/>
  <c r="S174" i="17" a="1"/>
  <c r="S55" i="17" a="1"/>
  <c r="V173" i="17" a="1"/>
  <c r="R9" i="17" a="1"/>
  <c r="W227" i="17" a="1"/>
  <c r="W39" i="17" a="1"/>
  <c r="W108" i="17" a="1"/>
  <c r="S213" i="17" a="1"/>
  <c r="W11" i="17" a="1"/>
  <c r="S42" i="17" a="1"/>
  <c r="R72" i="17" a="1"/>
  <c r="R24" i="17" a="1"/>
  <c r="W145" i="17" a="1"/>
  <c r="R57" i="17" a="1"/>
  <c r="W126" i="17" a="1"/>
  <c r="V227" i="17" a="1"/>
  <c r="V212" i="17" a="1"/>
  <c r="V123" i="17" a="1"/>
  <c r="W158" i="17" a="1"/>
  <c r="R74" i="17" a="1"/>
  <c r="S215" i="17" a="1"/>
  <c r="S229" i="17" a="1"/>
  <c r="R77" i="17" a="1"/>
  <c r="V232" i="17" a="1"/>
  <c r="V43" i="17" a="1"/>
  <c r="S25" i="17" a="1"/>
  <c r="R158" i="17" a="1"/>
  <c r="R10" i="17" a="1"/>
  <c r="W72" i="17" a="1"/>
  <c r="S123" i="17" a="1"/>
  <c r="V199" i="17" a="1"/>
  <c r="S187" i="17" a="1"/>
  <c r="R41" i="17" a="1"/>
  <c r="S58" i="17" a="1"/>
  <c r="S231" i="17" a="1"/>
  <c r="R109" i="17" a="1"/>
  <c r="V25" i="17" a="1"/>
  <c r="R171" i="17" a="1"/>
  <c r="AA27" i="17" a="1"/>
  <c r="V186" i="17" a="1"/>
  <c r="S41" i="17" a="1"/>
  <c r="W105" i="17" a="1"/>
  <c r="V10" i="17" a="1"/>
  <c r="V140" i="17" a="1"/>
  <c r="V57" i="17" a="1"/>
  <c r="V73" i="17" a="1"/>
  <c r="R140" i="17" a="1"/>
  <c r="V27" i="17" a="1"/>
  <c r="V23" i="17" a="1"/>
  <c r="V93" i="17" a="1"/>
  <c r="S26" i="17" a="1"/>
  <c r="W42" i="17" a="1"/>
  <c r="S158" i="17" a="1"/>
  <c r="R38" i="17" a="1"/>
  <c r="S161" i="17" a="1"/>
  <c r="V72" i="17" a="1"/>
  <c r="W26" i="17" a="1"/>
  <c r="W77" i="17" a="1"/>
  <c r="R141" i="17" a="1"/>
  <c r="W213" i="17" a="1"/>
  <c r="S122" i="17" a="1"/>
  <c r="V92" i="17" a="1"/>
  <c r="V105" i="17" a="1"/>
  <c r="W157" i="17" a="1"/>
  <c r="W92" i="17" a="1"/>
  <c r="R110" i="17" a="1"/>
  <c r="S145" i="17" a="1"/>
  <c r="S75" i="17" a="1"/>
  <c r="W93" i="17" a="1"/>
  <c r="R94" i="17" a="1"/>
  <c r="V11" i="17" a="1"/>
  <c r="S141" i="17" a="1"/>
  <c r="S77" i="17" a="1"/>
  <c r="V229" i="17" a="1"/>
  <c r="R145" i="17" a="1"/>
  <c r="V109" i="17" a="1"/>
  <c r="V125" i="17" a="1"/>
  <c r="W123" i="17" a="1"/>
  <c r="V90" i="17" a="1"/>
  <c r="S23" i="17" a="1"/>
  <c r="R7" i="17" a="1"/>
  <c r="S27" i="17" a="1"/>
  <c r="W22" i="17" a="1"/>
  <c r="V172" i="17" a="1"/>
  <c r="W125" i="17" a="1"/>
  <c r="W9" i="17" a="1"/>
  <c r="V110" i="17" a="1"/>
  <c r="V8" i="17" a="1"/>
  <c r="W110" i="17" a="1"/>
  <c r="V122" i="17" a="1"/>
  <c r="W212" i="17" a="1"/>
  <c r="V75" i="17" a="1"/>
  <c r="W176" i="17" a="1"/>
  <c r="W214" i="17" a="1"/>
  <c r="V158" i="17" a="1"/>
  <c r="S76" i="17" a="1"/>
  <c r="W41" i="17" a="1"/>
  <c r="W25" i="17" a="1"/>
  <c r="V121" i="17" a="1"/>
  <c r="W231" i="17" a="1"/>
  <c r="R39" i="17" a="1"/>
  <c r="S6" i="17" a="1"/>
  <c r="W122" i="17" a="1"/>
  <c r="S73" i="17" a="1"/>
  <c r="R124" i="17" a="1"/>
  <c r="W91" i="17" a="1"/>
  <c r="V145" i="17" a="1"/>
  <c r="V231" i="17" a="1"/>
  <c r="W121" i="17" a="1"/>
  <c r="S214" i="17" a="1"/>
  <c r="W161" i="17" a="1"/>
  <c r="S143" i="17" a="1"/>
  <c r="V6" i="17" a="1"/>
  <c r="R58" i="17" a="1"/>
  <c r="S93" i="17" a="1"/>
  <c r="W27" i="17" a="1"/>
  <c r="R92" i="17" a="1"/>
  <c r="W10" i="17" a="1"/>
  <c r="V106" i="17" a="1"/>
  <c r="S230" i="17" a="1"/>
  <c r="R27" i="17" a="1"/>
  <c r="W76" i="17" a="1"/>
  <c r="R174" i="17" a="1"/>
  <c r="W188" i="17" a="1"/>
  <c r="R25" i="17" a="1"/>
  <c r="S156" i="17" a="1"/>
  <c r="W175" i="17" a="1"/>
  <c r="W6" i="17" a="1"/>
  <c r="W160" i="17" a="1"/>
  <c r="R212" i="17" a="1"/>
  <c r="V94" i="17" a="1"/>
  <c r="R121" i="17" a="1"/>
  <c r="V187" i="17" a="1"/>
  <c r="R108" i="17" a="1"/>
  <c r="W106" i="17" a="1"/>
  <c r="V89" i="17" a="1"/>
  <c r="R76" i="17" a="1"/>
  <c r="S57" i="17" a="1"/>
  <c r="W141" i="17" a="1"/>
  <c r="S186" i="17" a="1"/>
  <c r="S108" i="17" a="1"/>
  <c r="V144" i="17" a="1"/>
  <c r="V24" i="17" a="1"/>
  <c r="S24" i="17" a="1"/>
  <c r="S43" i="17" a="1"/>
  <c r="V174" i="17" a="1"/>
  <c r="V171" i="17" a="1"/>
  <c r="W216" i="17" a="1"/>
  <c r="W60" i="17" a="1"/>
  <c r="W200" i="17" a="1"/>
  <c r="W59" i="17" a="1"/>
  <c r="S92" i="17" a="1"/>
  <c r="W74" i="17" a="1"/>
  <c r="R90" i="17" a="1"/>
  <c r="W7" i="17" a="1"/>
  <c r="R60" i="17" a="1"/>
  <c r="W89" i="17" a="1"/>
  <c r="R75" i="17" a="1"/>
  <c r="W140" i="17" a="1"/>
  <c r="W144" i="17" a="1"/>
  <c r="S39" i="17" a="1"/>
  <c r="R59" i="17" a="1"/>
  <c r="W94" i="17" a="1"/>
  <c r="V39" i="17" a="1"/>
  <c r="V160" i="17" a="1"/>
  <c r="R56" i="17" a="1"/>
  <c r="V107" i="17" a="1"/>
  <c r="V7" i="17" a="1"/>
  <c r="R188" i="17" a="1"/>
  <c r="W187" i="17" a="1"/>
  <c r="S212" i="17" a="1"/>
  <c r="R156" i="17" a="1"/>
  <c r="R232" i="17" a="1"/>
  <c r="S228" i="17" a="1"/>
  <c r="R93" i="17" a="1"/>
  <c r="V188" i="17" a="1"/>
  <c r="S106" i="17" a="1"/>
  <c r="R125" i="17" a="1"/>
  <c r="R216" i="17" a="1"/>
  <c r="Z24" i="17" a="1"/>
  <c r="R123" i="17" a="1"/>
  <c r="V176" i="17" a="1"/>
  <c r="V213" i="17" a="1"/>
  <c r="V228" i="17" a="1"/>
  <c r="S173" i="17" a="1"/>
  <c r="S90" i="17" a="1"/>
  <c r="S40" i="17" a="1"/>
  <c r="R215" i="17" a="1"/>
  <c r="V143" i="17" a="1"/>
  <c r="S8" i="17" a="1"/>
  <c r="V60" i="17" a="1"/>
  <c r="W232" i="17" a="1"/>
  <c r="W199" i="17" a="1"/>
  <c r="V76" i="17" a="1"/>
  <c r="V126" i="17" a="1"/>
  <c r="V58" i="17" a="1"/>
  <c r="S72" i="17" a="1"/>
  <c r="V108" i="17" a="1"/>
  <c r="W174" i="17" a="1"/>
  <c r="V40" i="17" a="1"/>
  <c r="V38" i="17" a="1"/>
  <c r="S94" i="17" a="1"/>
  <c r="R213" i="17" a="1"/>
  <c r="W171" i="17" a="1"/>
  <c r="W156" i="17" a="1"/>
  <c r="R214" i="17" a="1"/>
  <c r="W109" i="17" a="1"/>
  <c r="R107" i="17" a="1"/>
  <c r="S188" i="17" a="1"/>
  <c r="S56" i="17" a="1"/>
  <c r="V142" i="17" a="1"/>
  <c r="W228" i="17" a="1"/>
  <c r="W172" i="17" a="1"/>
  <c r="W58" i="17" a="1"/>
  <c r="R26" i="17" a="1"/>
  <c r="V161" i="17" a="1"/>
  <c r="R175" i="17" a="1"/>
  <c r="S144" i="17" a="1"/>
  <c r="S109" i="17" a="1"/>
  <c r="W43" i="17" a="1"/>
  <c r="W73" i="17" a="1"/>
  <c r="V41" i="17" a="1"/>
  <c r="R91" i="17" a="1"/>
  <c r="R142" i="17" a="1"/>
  <c r="W24" i="17" a="1"/>
  <c r="S74" i="17" a="1"/>
  <c r="W23" i="17" a="1"/>
  <c r="R105" i="17" a="1"/>
  <c r="S38" i="17" a="1"/>
  <c r="R143" i="17" a="1"/>
  <c r="V26" i="17" a="1"/>
  <c r="V175" i="17" a="1"/>
  <c r="V141" i="17" a="1"/>
  <c r="S9" i="17" a="1"/>
  <c r="S159" i="17" a="1"/>
  <c r="W143" i="17" a="1"/>
  <c r="R40" i="17" a="1"/>
  <c r="V124" i="17" a="1"/>
  <c r="V230" i="17" a="1"/>
  <c r="W90" i="17" a="1"/>
  <c r="V42" i="17" a="1"/>
  <c r="AA24" i="17" a="1"/>
  <c r="R126" i="17" a="1"/>
  <c r="W186" i="17" a="1"/>
  <c r="S157" i="17" a="1"/>
  <c r="V56" i="17" a="1"/>
  <c r="S11" i="17" a="1"/>
  <c r="V215" i="17" a="1"/>
  <c r="R172" i="17" a="1"/>
  <c r="R89" i="17" a="1"/>
  <c r="S121" i="17" a="1"/>
  <c r="S10" i="17" a="1"/>
  <c r="S91" i="17" a="1"/>
  <c r="W215" i="17" a="1"/>
  <c r="S107" i="17" a="1"/>
  <c r="R55" i="17" a="1"/>
  <c r="V55" i="17" a="1"/>
  <c r="V9" i="17" a="1"/>
  <c r="W55" i="17" a="1"/>
  <c r="W107" i="17" a="1"/>
  <c r="V157" i="17" a="1"/>
  <c r="W40" i="17" a="1"/>
  <c r="V159" i="17" a="1"/>
  <c r="V200" i="17" a="1"/>
  <c r="W159" i="17" a="1"/>
  <c r="R159" i="17" a="1"/>
  <c r="W124" i="17" a="1"/>
  <c r="S22" i="17" a="1"/>
  <c r="W8" i="17" a="1"/>
  <c r="V214" i="17" a="1"/>
  <c r="R176" i="17" a="1"/>
  <c r="S199" i="17" a="1"/>
  <c r="V91" i="17" a="1"/>
  <c r="W173" i="17" a="1"/>
  <c r="Z27" i="17" a="1"/>
  <c r="R199" i="17" a="1"/>
  <c r="V216" i="17" a="1"/>
  <c r="S160" i="17" a="1"/>
  <c r="S124" i="17" a="1"/>
  <c r="V77" i="17" a="1"/>
  <c r="W56" i="17" a="1"/>
  <c r="R22" i="17" l="1"/>
  <c r="V94" i="17"/>
  <c r="R157" i="17"/>
  <c r="S6" i="17"/>
  <c r="R10" i="17"/>
  <c r="W24" i="17"/>
  <c r="S157" i="17"/>
  <c r="V232" i="17"/>
  <c r="W22" i="17"/>
  <c r="S73" i="17"/>
  <c r="R75" i="17"/>
  <c r="W90" i="17"/>
  <c r="V92" i="17"/>
  <c r="W140" i="17"/>
  <c r="S230" i="17"/>
  <c r="R77" i="17"/>
  <c r="W92" i="17"/>
  <c r="S121" i="17"/>
  <c r="V125" i="17"/>
  <c r="W173" i="17"/>
  <c r="V199" i="17"/>
  <c r="V140" i="17"/>
  <c r="S215" i="17"/>
  <c r="V8" i="17"/>
  <c r="R43" i="17"/>
  <c r="V215" i="17"/>
  <c r="W8" i="17"/>
  <c r="AA24" i="17"/>
  <c r="S43" i="17"/>
  <c r="R56" i="17"/>
  <c r="R107" i="17"/>
  <c r="S171" i="17"/>
  <c r="R158" i="17"/>
  <c r="V24" i="17"/>
  <c r="W142" i="17"/>
  <c r="V22" i="17"/>
  <c r="V26" i="17"/>
  <c r="V6" i="17"/>
  <c r="W125" i="17"/>
  <c r="R171" i="17"/>
  <c r="W199" i="17"/>
  <c r="W6" i="17"/>
  <c r="W73" i="17"/>
  <c r="S107" i="17"/>
  <c r="S56" i="17"/>
  <c r="V60" i="17"/>
  <c r="W75" i="17"/>
  <c r="S143" i="17"/>
  <c r="V228" i="17"/>
  <c r="S58" i="17"/>
  <c r="V109" i="17"/>
  <c r="S160" i="17"/>
  <c r="W213" i="17"/>
  <c r="W43" i="17"/>
  <c r="S199" i="17"/>
  <c r="V227" i="17"/>
  <c r="S8" i="17"/>
  <c r="S77" i="17"/>
  <c r="S109" i="17"/>
  <c r="V121" i="17"/>
  <c r="R27" i="17"/>
  <c r="R176" i="17"/>
  <c r="S27" i="17"/>
  <c r="R39" i="17"/>
  <c r="V43" i="17"/>
  <c r="W60" i="17"/>
  <c r="W109" i="17"/>
  <c r="W228" i="17"/>
  <c r="R93" i="17"/>
  <c r="S23" i="17"/>
  <c r="W27" i="17"/>
  <c r="R188" i="17"/>
  <c r="S124" i="17"/>
  <c r="V174" i="17"/>
  <c r="S122" i="17"/>
  <c r="S7" i="17"/>
  <c r="R76" i="17"/>
  <c r="V156" i="17"/>
  <c r="W174" i="17"/>
  <c r="S188" i="17"/>
  <c r="V91" i="17"/>
  <c r="V126" i="17"/>
  <c r="V9" i="17"/>
  <c r="S76" i="17"/>
  <c r="W156" i="17"/>
  <c r="S186" i="17"/>
  <c r="W9" i="17"/>
  <c r="Z27" i="17"/>
  <c r="R57" i="17"/>
  <c r="S72" i="17"/>
  <c r="W74" i="17"/>
  <c r="W91" i="17"/>
  <c r="V124" i="17"/>
  <c r="R40" i="17"/>
  <c r="V188" i="17"/>
  <c r="S229" i="17"/>
  <c r="W105" i="17"/>
  <c r="V11" i="17"/>
  <c r="V25" i="17"/>
  <c r="S11" i="17"/>
  <c r="W122" i="17"/>
  <c r="S161" i="17"/>
  <c r="S42" i="17"/>
  <c r="S212" i="17"/>
  <c r="R141" i="17"/>
  <c r="R11" i="17"/>
  <c r="S9" i="17"/>
  <c r="R55" i="17"/>
  <c r="W124" i="17"/>
  <c r="R212" i="17"/>
  <c r="W186" i="17"/>
  <c r="R24" i="17"/>
  <c r="W76" i="17"/>
  <c r="R140" i="17"/>
  <c r="R142" i="17"/>
  <c r="S174" i="17"/>
  <c r="W56" i="17"/>
  <c r="S158" i="17"/>
  <c r="R42" i="17"/>
  <c r="V38" i="17"/>
  <c r="V57" i="17"/>
  <c r="V59" i="17"/>
  <c r="R94" i="17"/>
  <c r="R159" i="17"/>
  <c r="V161" i="17"/>
  <c r="S227" i="17"/>
  <c r="W107" i="17"/>
  <c r="V160" i="17"/>
  <c r="W25" i="17"/>
  <c r="W143" i="17"/>
  <c r="W39" i="17"/>
  <c r="S57" i="17"/>
  <c r="W188" i="17"/>
  <c r="S24" i="17"/>
  <c r="S26" i="17"/>
  <c r="V42" i="17"/>
  <c r="W59" i="17"/>
  <c r="R92" i="17"/>
  <c r="S94" i="17"/>
  <c r="W161" i="17"/>
  <c r="V175" i="17"/>
  <c r="V212" i="17"/>
  <c r="V76" i="17"/>
  <c r="W38" i="17"/>
  <c r="W57" i="17"/>
  <c r="W41" i="17"/>
  <c r="V56" i="17"/>
  <c r="V143" i="17"/>
  <c r="R91" i="17"/>
  <c r="V105" i="17"/>
  <c r="V27" i="17"/>
  <c r="R89" i="17"/>
  <c r="W160" i="17"/>
  <c r="S91" i="17"/>
  <c r="R124" i="17"/>
  <c r="V110" i="17"/>
  <c r="S214" i="17"/>
  <c r="S59" i="17"/>
  <c r="S40" i="17"/>
  <c r="W72" i="17"/>
  <c r="W110" i="17"/>
  <c r="W40" i="17"/>
  <c r="S92" i="17"/>
  <c r="W106" i="17"/>
  <c r="W175" i="17"/>
  <c r="R215" i="17"/>
  <c r="V107" i="17"/>
  <c r="R145" i="17"/>
  <c r="V172" i="17"/>
  <c r="W215" i="17"/>
  <c r="V40" i="17"/>
  <c r="R59" i="17"/>
  <c r="V73" i="17"/>
  <c r="R109" i="17"/>
  <c r="V122" i="17"/>
  <c r="R174" i="17"/>
  <c r="V186" i="17"/>
  <c r="S145" i="17"/>
  <c r="W172" i="17"/>
  <c r="V230" i="17"/>
  <c r="W212" i="17"/>
  <c r="R214" i="17"/>
  <c r="W11" i="17"/>
  <c r="R26" i="17"/>
  <c r="S39" i="17"/>
  <c r="R72" i="17"/>
  <c r="W94" i="17"/>
  <c r="S106" i="17"/>
  <c r="R121" i="17"/>
  <c r="V142" i="17"/>
  <c r="W227" i="17"/>
  <c r="W232" i="17"/>
  <c r="R126" i="17"/>
  <c r="V214" i="17"/>
  <c r="R7" i="17"/>
  <c r="Z24" i="17"/>
  <c r="V39" i="17"/>
  <c r="V72" i="17"/>
  <c r="V106" i="17"/>
  <c r="W214" i="17"/>
  <c r="S10" i="17"/>
  <c r="AA27" i="17"/>
  <c r="W42" i="17"/>
  <c r="R58" i="17"/>
  <c r="S93" i="17"/>
  <c r="S144" i="17"/>
  <c r="V157" i="17"/>
  <c r="V171" i="17"/>
  <c r="S200" i="17"/>
  <c r="R216" i="17"/>
  <c r="V229" i="17"/>
  <c r="W157" i="17"/>
  <c r="W229" i="17"/>
  <c r="W26" i="17"/>
  <c r="R41" i="17"/>
  <c r="S55" i="17"/>
  <c r="R90" i="17"/>
  <c r="W121" i="17"/>
  <c r="W126" i="17"/>
  <c r="S141" i="17"/>
  <c r="S159" i="17"/>
  <c r="V200" i="17"/>
  <c r="R213" i="17"/>
  <c r="S231" i="17"/>
  <c r="V77" i="17"/>
  <c r="V10" i="17"/>
  <c r="W23" i="17"/>
  <c r="R38" i="17"/>
  <c r="S74" i="17"/>
  <c r="V93" i="17"/>
  <c r="S108" i="17"/>
  <c r="V144" i="17"/>
  <c r="S173" i="17"/>
  <c r="W176" i="17"/>
  <c r="S187" i="17"/>
  <c r="W200" i="17"/>
  <c r="R108" i="17"/>
  <c r="W77" i="17"/>
  <c r="V7" i="17"/>
  <c r="S41" i="17"/>
  <c r="V58" i="17"/>
  <c r="S90" i="17"/>
  <c r="R156" i="17"/>
  <c r="S213" i="17"/>
  <c r="W10" i="17"/>
  <c r="S38" i="17"/>
  <c r="W93" i="17"/>
  <c r="W144" i="17"/>
  <c r="V216" i="17"/>
  <c r="R25" i="17"/>
  <c r="W7" i="17"/>
  <c r="V55" i="17"/>
  <c r="W58" i="17"/>
  <c r="R60" i="17"/>
  <c r="R105" i="17"/>
  <c r="V123" i="17"/>
  <c r="V141" i="17"/>
  <c r="S156" i="17"/>
  <c r="V159" i="17"/>
  <c r="V187" i="17"/>
  <c r="V231" i="17"/>
  <c r="S25" i="17"/>
  <c r="V74" i="17"/>
  <c r="V108" i="17"/>
  <c r="R125" i="17"/>
  <c r="V173" i="17"/>
  <c r="W216" i="17"/>
  <c r="S228" i="17"/>
  <c r="V23" i="17"/>
  <c r="R74" i="17"/>
  <c r="W171" i="17"/>
  <c r="V176" i="17"/>
  <c r="R9" i="17"/>
  <c r="S22" i="17"/>
  <c r="V41" i="17"/>
  <c r="W55" i="17"/>
  <c r="S60" i="17"/>
  <c r="V90" i="17"/>
  <c r="W123" i="17"/>
  <c r="W141" i="17"/>
  <c r="R143" i="17"/>
  <c r="W159" i="17"/>
  <c r="R161" i="17"/>
  <c r="R175" i="17"/>
  <c r="W187" i="17"/>
  <c r="R199" i="17"/>
  <c r="V213" i="17"/>
  <c r="W231" i="17"/>
  <c r="S75" i="17"/>
  <c r="W108" i="17"/>
  <c r="R123" i="17"/>
  <c r="V158" i="17"/>
  <c r="W230" i="17"/>
  <c r="V89" i="17"/>
  <c r="R110" i="17"/>
  <c r="S123" i="17"/>
  <c r="V145" i="17"/>
  <c r="W158" i="17"/>
  <c r="R172" i="17"/>
  <c r="R232" i="17"/>
  <c r="V75" i="17"/>
  <c r="W89" i="17"/>
  <c r="W145" i="17"/>
  <c r="R73" i="17" a="1"/>
  <c r="S140" i="17" a="1"/>
  <c r="S172" i="17" a="1"/>
  <c r="R23" i="17" a="1"/>
  <c r="R228" i="17" a="1"/>
  <c r="R200" i="17" a="1"/>
  <c r="R186" i="17" a="1"/>
  <c r="R230" i="17" a="1"/>
  <c r="R160" i="17" a="1"/>
  <c r="S126" i="17" a="1"/>
  <c r="R231" i="17" a="1"/>
  <c r="S176" i="17" a="1"/>
  <c r="R106" i="17" a="1"/>
  <c r="S232" i="17" a="1"/>
  <c r="S110" i="17" a="1"/>
  <c r="R8" i="17" a="1"/>
  <c r="S89" i="17" a="1"/>
  <c r="R122" i="17" a="1"/>
  <c r="R144" i="17" a="1"/>
  <c r="R6" i="17" a="1"/>
  <c r="R173" i="17" a="1"/>
  <c r="R187" i="17" a="1"/>
  <c r="S105" i="17" a="1"/>
  <c r="S175" i="17" a="1"/>
  <c r="S125" i="17" a="1"/>
  <c r="S142" i="17" a="1"/>
  <c r="S216" i="17" a="1"/>
  <c r="R227" i="17" a="1"/>
  <c r="R229" i="17" a="1"/>
  <c r="X39" i="17" a="1"/>
  <c r="X74" i="17" a="1"/>
  <c r="Y27" i="17" a="1"/>
  <c r="X157" i="17" a="1"/>
  <c r="X6" i="17" a="1"/>
  <c r="Y175" i="17" a="1"/>
  <c r="X72" i="17" a="1"/>
  <c r="X158" i="17" a="1"/>
  <c r="Y215" i="17" a="1"/>
  <c r="Y216" i="17" a="1"/>
  <c r="Y214" i="17" a="1"/>
  <c r="X22" i="17" a="1"/>
  <c r="X214" i="17" a="1"/>
  <c r="Y140" i="17" a="1"/>
  <c r="X27" i="17" a="1"/>
  <c r="Y94" i="17" a="1"/>
  <c r="Y26" i="17" a="1"/>
  <c r="Y22" i="17" a="1"/>
  <c r="Y125" i="17" a="1"/>
  <c r="X126" i="17" a="1"/>
  <c r="Y38" i="17" a="1"/>
  <c r="X25" i="17" a="1"/>
  <c r="X94" i="17" a="1"/>
  <c r="X232" i="17" a="1"/>
  <c r="Y23" i="17" a="1"/>
  <c r="X187" i="17" a="1"/>
  <c r="Y188" i="17" a="1"/>
  <c r="Y122" i="17" a="1"/>
  <c r="X23" i="17" a="1"/>
  <c r="Y42" i="17" a="1"/>
  <c r="X159" i="17" a="1"/>
  <c r="X40" i="17" a="1"/>
  <c r="Y108" i="17" a="1"/>
  <c r="X231" i="17" a="1"/>
  <c r="Y230" i="17" a="1"/>
  <c r="X175" i="17" a="1"/>
  <c r="X173" i="17" a="1"/>
  <c r="Y172" i="17" a="1"/>
  <c r="X92" i="17" a="1"/>
  <c r="X229" i="17" a="1"/>
  <c r="Y24" i="17" a="1"/>
  <c r="Y56" i="17" a="1"/>
  <c r="X105" i="17" a="1"/>
  <c r="Y7" i="17" a="1"/>
  <c r="Y106" i="17" a="1"/>
  <c r="X108" i="17" a="1"/>
  <c r="X11" i="17" a="1"/>
  <c r="X93" i="17" a="1"/>
  <c r="Y73" i="17" a="1"/>
  <c r="X10" i="17" a="1"/>
  <c r="X140" i="17" a="1"/>
  <c r="X199" i="17" a="1"/>
  <c r="Y90" i="17" a="1"/>
  <c r="X42" i="17" a="1"/>
  <c r="Y40" i="17" a="1"/>
  <c r="Y200" i="17" a="1"/>
  <c r="X228" i="17" a="1"/>
  <c r="Y171" i="17" a="1"/>
  <c r="X26" i="17" a="1"/>
  <c r="Y229" i="17" a="1"/>
  <c r="Y9" i="17" a="1"/>
  <c r="X216" i="17" a="1"/>
  <c r="X142" i="17" a="1"/>
  <c r="X186" i="17" a="1"/>
  <c r="Y6" i="17" a="1"/>
  <c r="X58" i="17" a="1"/>
  <c r="X122" i="17" a="1"/>
  <c r="Y57" i="17" a="1"/>
  <c r="Y143" i="17" a="1"/>
  <c r="X121" i="17" a="1"/>
  <c r="Y11" i="17" a="1"/>
  <c r="X144" i="17" a="1"/>
  <c r="Y60" i="17" a="1"/>
  <c r="X200" i="17" a="1"/>
  <c r="Y39" i="17" a="1"/>
  <c r="X106" i="17" a="1"/>
  <c r="X89" i="17" a="1"/>
  <c r="Y228" i="17" a="1"/>
  <c r="Y161" i="17" a="1"/>
  <c r="X176" i="17" a="1"/>
  <c r="Y199" i="17" a="1"/>
  <c r="X156" i="17" a="1"/>
  <c r="X172" i="17" a="1"/>
  <c r="Y76" i="17" a="1"/>
  <c r="X141" i="17" a="1"/>
  <c r="Y142" i="17" a="1"/>
  <c r="Y174" i="17" a="1"/>
  <c r="X107" i="17" a="1"/>
  <c r="Y213" i="17" a="1"/>
  <c r="Y159" i="17" a="1"/>
  <c r="X24" i="17" a="1"/>
  <c r="Y109" i="17" a="1"/>
  <c r="Y141" i="17" a="1"/>
  <c r="X75" i="17" a="1"/>
  <c r="X174" i="17" a="1"/>
  <c r="Y158" i="17" a="1"/>
  <c r="X73" i="17" a="1"/>
  <c r="Y77" i="17" a="1"/>
  <c r="Y75" i="17" a="1"/>
  <c r="Y89" i="17" a="1"/>
  <c r="Y145" i="17" a="1"/>
  <c r="X91" i="17" a="1"/>
  <c r="X109" i="17" a="1"/>
  <c r="X56" i="17" a="1"/>
  <c r="X230" i="17" a="1"/>
  <c r="Y212" i="17" a="1"/>
  <c r="X90" i="17" a="1"/>
  <c r="X227" i="17" a="1"/>
  <c r="X57" i="17" a="1"/>
  <c r="X59" i="17" a="1"/>
  <c r="Y8" i="17" a="1"/>
  <c r="Y91" i="17" a="1"/>
  <c r="X55" i="17" a="1"/>
  <c r="Y58" i="17" a="1"/>
  <c r="Y227" i="17" a="1"/>
  <c r="Y72" i="17" a="1"/>
  <c r="X43" i="17" a="1"/>
  <c r="Y110" i="17" a="1"/>
  <c r="Y231" i="17" a="1"/>
  <c r="Y59" i="17" a="1"/>
  <c r="X145" i="17" a="1"/>
  <c r="X212" i="17" a="1"/>
  <c r="Y186" i="17" a="1"/>
  <c r="X171" i="17" a="1"/>
  <c r="Y41" i="17" a="1"/>
  <c r="X9" i="17" a="1"/>
  <c r="X143" i="17" a="1"/>
  <c r="X41" i="17" a="1"/>
  <c r="Y10" i="17" a="1"/>
  <c r="Y43" i="17" a="1"/>
  <c r="Y93" i="17" a="1"/>
  <c r="X38" i="17" a="1"/>
  <c r="Y144" i="17" a="1"/>
  <c r="Y160" i="17" a="1"/>
  <c r="Y121" i="17" a="1"/>
  <c r="Y126" i="17" a="1"/>
  <c r="X161" i="17" a="1"/>
  <c r="Y107" i="17" a="1"/>
  <c r="X160" i="17" a="1"/>
  <c r="Y25" i="17" a="1"/>
  <c r="X77" i="17" a="1"/>
  <c r="Y176" i="17" a="1"/>
  <c r="Y124" i="17" a="1"/>
  <c r="X60" i="17" a="1"/>
  <c r="X76" i="17" a="1"/>
  <c r="X7" i="17" a="1"/>
  <c r="Y92" i="17" a="1"/>
  <c r="X125" i="17" a="1"/>
  <c r="Y173" i="17" a="1"/>
  <c r="Y157" i="17" a="1"/>
  <c r="Y156" i="17" a="1"/>
  <c r="Y55" i="17" a="1"/>
  <c r="X8" i="17" a="1"/>
  <c r="Y123" i="17" a="1"/>
  <c r="X215" i="17" a="1"/>
  <c r="Y74" i="17" a="1"/>
  <c r="X110" i="17" a="1"/>
  <c r="X124" i="17" a="1"/>
  <c r="Y187" i="17" a="1"/>
  <c r="X188" i="17" a="1"/>
  <c r="Y232" i="17" a="1"/>
  <c r="X213" i="17" a="1"/>
  <c r="Y105" i="17" a="1"/>
  <c r="X123" i="17" a="1"/>
  <c r="R23" i="17" l="1"/>
  <c r="R187" i="17"/>
  <c r="S140" i="17"/>
  <c r="S105" i="17"/>
  <c r="R173" i="17"/>
  <c r="S172" i="17"/>
  <c r="R160" i="17"/>
  <c r="R144" i="17"/>
  <c r="S142" i="17"/>
  <c r="R106" i="17"/>
  <c r="R122" i="17"/>
  <c r="S125" i="17"/>
  <c r="R6" i="17"/>
  <c r="R200" i="17"/>
  <c r="R228" i="17"/>
  <c r="S216" i="17"/>
  <c r="R231" i="17"/>
  <c r="R230" i="17"/>
  <c r="S110" i="17"/>
  <c r="R8" i="17"/>
  <c r="S176" i="17"/>
  <c r="R73" i="17"/>
  <c r="S232" i="17"/>
  <c r="S126" i="17"/>
  <c r="R227" i="17"/>
  <c r="R186" i="17"/>
  <c r="R229" i="17"/>
  <c r="S175" i="17"/>
  <c r="S89" i="17"/>
  <c r="Y41" i="17"/>
  <c r="Y214" i="17"/>
  <c r="X141" i="17"/>
  <c r="X123" i="17"/>
  <c r="X76" i="17"/>
  <c r="X212" i="17"/>
  <c r="X175" i="17"/>
  <c r="Y215" i="17"/>
  <c r="Y159" i="17"/>
  <c r="Y141" i="17"/>
  <c r="Y174" i="17"/>
  <c r="Y175" i="17"/>
  <c r="Y92" i="17"/>
  <c r="Y26" i="17"/>
  <c r="X232" i="17"/>
  <c r="Y121" i="17"/>
  <c r="X187" i="17"/>
  <c r="X122" i="17"/>
  <c r="Y56" i="17"/>
  <c r="Y231" i="17"/>
  <c r="Y38" i="17"/>
  <c r="X213" i="17"/>
  <c r="Y8" i="17"/>
  <c r="X40" i="17"/>
  <c r="Y187" i="17"/>
  <c r="Y161" i="17"/>
  <c r="Y7" i="17"/>
  <c r="X107" i="17"/>
  <c r="Y126" i="17"/>
  <c r="X216" i="17"/>
  <c r="X156" i="17"/>
  <c r="X90" i="17"/>
  <c r="X60" i="17"/>
  <c r="Y110" i="17"/>
  <c r="Y94" i="17"/>
  <c r="Y145" i="17"/>
  <c r="X176" i="17"/>
  <c r="Y39" i="17"/>
  <c r="Y171" i="17"/>
  <c r="X75" i="17"/>
  <c r="Y11" i="17"/>
  <c r="X25" i="17"/>
  <c r="X7" i="17"/>
  <c r="X160" i="17"/>
  <c r="Y107" i="17"/>
  <c r="Y158" i="17"/>
  <c r="X26" i="17"/>
  <c r="X171" i="17"/>
  <c r="X188" i="17"/>
  <c r="Y24" i="17"/>
  <c r="X108" i="17"/>
  <c r="Y176" i="17"/>
  <c r="X43" i="17"/>
  <c r="X56" i="17"/>
  <c r="Y57" i="17"/>
  <c r="X106" i="17"/>
  <c r="X10" i="17"/>
  <c r="X77" i="17"/>
  <c r="X215" i="17"/>
  <c r="X8" i="17"/>
  <c r="X214" i="17"/>
  <c r="X126" i="17"/>
  <c r="X172" i="17"/>
  <c r="X91" i="17"/>
  <c r="Y124" i="17"/>
  <c r="Y232" i="17"/>
  <c r="Y173" i="17"/>
  <c r="Y59" i="17"/>
  <c r="Y106" i="17"/>
  <c r="X142" i="17"/>
  <c r="Y55" i="17"/>
  <c r="Y229" i="17"/>
  <c r="Y73" i="17"/>
  <c r="X92" i="17"/>
  <c r="X58" i="17"/>
  <c r="X110" i="17"/>
  <c r="X145" i="17"/>
  <c r="X230" i="17"/>
  <c r="Y109" i="17"/>
  <c r="Y172" i="17"/>
  <c r="Y142" i="17"/>
  <c r="X89" i="17"/>
  <c r="X74" i="17"/>
  <c r="X105" i="17"/>
  <c r="X59" i="17"/>
  <c r="X124" i="17"/>
  <c r="X24" i="17"/>
  <c r="Y108" i="17"/>
  <c r="X73" i="17"/>
  <c r="X39" i="17"/>
  <c r="Y156" i="17"/>
  <c r="Y58" i="17"/>
  <c r="X200" i="17"/>
  <c r="Y43" i="17"/>
  <c r="Y213" i="17"/>
  <c r="X199" i="17"/>
  <c r="X228" i="17"/>
  <c r="Y227" i="17"/>
  <c r="Y75" i="17"/>
  <c r="Y10" i="17"/>
  <c r="X174" i="17"/>
  <c r="Y72" i="17"/>
  <c r="Y6" i="17"/>
  <c r="Y157" i="17"/>
  <c r="Y199" i="17"/>
  <c r="Y25" i="17"/>
  <c r="Y27" i="17"/>
  <c r="X229" i="17"/>
  <c r="Y125" i="17"/>
  <c r="Y212" i="17"/>
  <c r="X6" i="17"/>
  <c r="Y216" i="17"/>
  <c r="Y228" i="17"/>
  <c r="Y200" i="17"/>
  <c r="X22" i="17"/>
  <c r="X157" i="17"/>
  <c r="Y60" i="17"/>
  <c r="Y230" i="17"/>
  <c r="X144" i="17"/>
  <c r="X57" i="17"/>
  <c r="Y91" i="17"/>
  <c r="X93" i="17"/>
  <c r="X159" i="17"/>
  <c r="X121" i="17"/>
  <c r="Y23" i="17"/>
  <c r="Y9" i="17"/>
  <c r="X72" i="17"/>
  <c r="X227" i="17"/>
  <c r="Y76" i="17"/>
  <c r="X9" i="17"/>
  <c r="X55" i="17"/>
  <c r="Y186" i="17"/>
  <c r="X140" i="17"/>
  <c r="X109" i="17"/>
  <c r="Y123" i="17"/>
  <c r="X125" i="17"/>
  <c r="Y144" i="17"/>
  <c r="X42" i="17"/>
  <c r="Y93" i="17"/>
  <c r="Y40" i="17"/>
  <c r="X41" i="17"/>
  <c r="Y188" i="17"/>
  <c r="Y140" i="17"/>
  <c r="Y122" i="17"/>
  <c r="Y89" i="17"/>
  <c r="Y143" i="17"/>
  <c r="Y90" i="17"/>
  <c r="X23" i="17"/>
  <c r="X11" i="17"/>
  <c r="Y77" i="17"/>
  <c r="Y105" i="17"/>
  <c r="Y22" i="17"/>
  <c r="Y160" i="17"/>
  <c r="X173" i="17"/>
  <c r="X161" i="17"/>
  <c r="X27" i="17"/>
  <c r="X158" i="17"/>
  <c r="X231" i="17"/>
  <c r="Y42" i="17"/>
  <c r="X186" i="17"/>
  <c r="X143" i="17"/>
  <c r="X38" i="17"/>
  <c r="Y74" i="17"/>
  <c r="X94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<sst xmlns="http://schemas.openxmlformats.org/spreadsheetml/2006/main" count="1604" uniqueCount="390">
  <si>
    <t>Velocity</t>
  </si>
  <si>
    <t>Energy</t>
  </si>
  <si>
    <t>Cartridge</t>
  </si>
  <si>
    <t>MILS</t>
  </si>
  <si>
    <t>Manufacturer</t>
  </si>
  <si>
    <t>Name</t>
  </si>
  <si>
    <t>Type</t>
  </si>
  <si>
    <t>Magnification Range</t>
  </si>
  <si>
    <t>Objective Lens Diameter(mm)</t>
  </si>
  <si>
    <t>Reticle Units</t>
  </si>
  <si>
    <t>Reticle Focal Plane</t>
  </si>
  <si>
    <t>Reticle Calibration Magnification</t>
  </si>
  <si>
    <t>Reticle Description</t>
  </si>
  <si>
    <t>Angular Resolution</t>
  </si>
  <si>
    <t>Minor Subtensions</t>
  </si>
  <si>
    <t>Intermediate Subtensions</t>
  </si>
  <si>
    <t>Major Subtensions</t>
  </si>
  <si>
    <t>Bushnell</t>
  </si>
  <si>
    <t>G4P</t>
  </si>
  <si>
    <t>3.5-21x</t>
  </si>
  <si>
    <t>FFP</t>
  </si>
  <si>
    <t>n/a</t>
  </si>
  <si>
    <t>FOV(m@100m, max zoom)</t>
  </si>
  <si>
    <t>FOV(m @ 100m, min zoom)</t>
  </si>
  <si>
    <t>Barrel Length</t>
  </si>
  <si>
    <t>Bushnell Elite Tactical DMR3</t>
  </si>
  <si>
    <t>Overall Length</t>
  </si>
  <si>
    <t>Weight</t>
  </si>
  <si>
    <t>1-Sigma Precision</t>
  </si>
  <si>
    <t>2-Sigma Precision</t>
  </si>
  <si>
    <t>Bushnell Engage Deploy</t>
  </si>
  <si>
    <t>Deploy MOA</t>
  </si>
  <si>
    <t>4-16x</t>
  </si>
  <si>
    <t>SFP</t>
  </si>
  <si>
    <t>MOA</t>
  </si>
  <si>
    <t>16x</t>
  </si>
  <si>
    <t>Bushnell R3</t>
  </si>
  <si>
    <t>R3-MultiX</t>
  </si>
  <si>
    <t>3-9x</t>
  </si>
  <si>
    <t>9x</t>
  </si>
  <si>
    <t>Ammuntion Type</t>
  </si>
  <si>
    <t>Display Name</t>
  </si>
  <si>
    <t>rimfire.hollow.point</t>
  </si>
  <si>
    <t>Rimfire Hollow Point</t>
  </si>
  <si>
    <t>rimfire.soft.point</t>
  </si>
  <si>
    <t>Rimfire Soft Point</t>
  </si>
  <si>
    <t>centerfire.soft.point</t>
  </si>
  <si>
    <t>Centerfire Soft Point</t>
  </si>
  <si>
    <t>centerfire.hollow.point</t>
  </si>
  <si>
    <t>Centerfire Hollow Point</t>
  </si>
  <si>
    <t>centerfire.polymer.tip.hollow.point</t>
  </si>
  <si>
    <t>Centerfire PolymerTip Hollow Point</t>
  </si>
  <si>
    <t>shotshell.pellet.birdshot</t>
  </si>
  <si>
    <t>Birdshot Pellets</t>
  </si>
  <si>
    <t>shotshell.sabot.slug</t>
  </si>
  <si>
    <t>Sabot Slug</t>
  </si>
  <si>
    <t>shotshell.rifled.slug</t>
  </si>
  <si>
    <t>Rifled Slug</t>
  </si>
  <si>
    <t>shotshell.buckshot</t>
  </si>
  <si>
    <t>Buckshot</t>
  </si>
  <si>
    <t>arrow.broadhead.fixed.blade</t>
  </si>
  <si>
    <t>Fixed Blade Broadhead Arrow</t>
  </si>
  <si>
    <t>arrow.broadhead.mechanical</t>
  </si>
  <si>
    <t>Mechanical Broadhead Arrow</t>
  </si>
  <si>
    <t>arrow.bluntpoint</t>
  </si>
  <si>
    <t>Unloseable Miracle (Blunt) Point Arrow</t>
  </si>
  <si>
    <t>bolt.broadhead.fixed.blade</t>
  </si>
  <si>
    <t>Fixed Blade Broadhead Crossbow Bolt</t>
  </si>
  <si>
    <t>bolt.broadhead.mechanical</t>
  </si>
  <si>
    <t>Mechanical Broadhead Crossbow Bolt</t>
  </si>
  <si>
    <t>bold.bluntpoint</t>
  </si>
  <si>
    <t>Unloseable Miracle (Blunt) Point Crossbow Bolt</t>
  </si>
  <si>
    <t>Key</t>
  </si>
  <si>
    <t>Projectile</t>
  </si>
  <si>
    <t>Caliber(mm)</t>
  </si>
  <si>
    <t>Muzzle Energy(J)</t>
  </si>
  <si>
    <t>243 Winchester</t>
  </si>
  <si>
    <t>270 Winchester</t>
  </si>
  <si>
    <t>30-30 Winchester</t>
  </si>
  <si>
    <t>308 Winchester</t>
  </si>
  <si>
    <t>30-06 Springfield</t>
  </si>
  <si>
    <t>350 Remington Magnum</t>
  </si>
  <si>
    <t>cartridge.cf.300winmag.php.200gr</t>
  </si>
  <si>
    <t>300 Winchester Magnum</t>
  </si>
  <si>
    <t>cartridge.cf.300winmag.sp.150gr</t>
  </si>
  <si>
    <t>cartridge.cf.300winmag.hp.180gr</t>
  </si>
  <si>
    <t>338 Lapua Magnum</t>
  </si>
  <si>
    <t>7mm PRC</t>
  </si>
  <si>
    <t>9.3mmx62 Mauser</t>
  </si>
  <si>
    <t>375 H&amp;H Magnum</t>
  </si>
  <si>
    <t>Species</t>
  </si>
  <si>
    <t>Firearm</t>
  </si>
  <si>
    <t>1-4</t>
  </si>
  <si>
    <t>2-5</t>
  </si>
  <si>
    <t>2-6</t>
  </si>
  <si>
    <t>Minimum Terminal Velocity</t>
  </si>
  <si>
    <t>Minimum Terminal Velocity(ft/s)</t>
  </si>
  <si>
    <t>Minimum Terminal Velocity(m/s)</t>
  </si>
  <si>
    <t>BC (G7)</t>
  </si>
  <si>
    <t>BC(G1)</t>
  </si>
  <si>
    <t>Available Loads</t>
  </si>
  <si>
    <t>Federal Premium Terminal Ascent</t>
  </si>
  <si>
    <t>Remington Core-Lokt Copper</t>
  </si>
  <si>
    <t>Federal Power-Shok Rifle</t>
  </si>
  <si>
    <t>Caliber</t>
  </si>
  <si>
    <t>in</t>
  </si>
  <si>
    <t>Muzzle Velocity</t>
  </si>
  <si>
    <t>Calculated Parameters</t>
  </si>
  <si>
    <t>Units(MV)</t>
  </si>
  <si>
    <t>Units(MTV)</t>
  </si>
  <si>
    <t>Units (cal)</t>
  </si>
  <si>
    <t>Units(wt)</t>
  </si>
  <si>
    <t>Caliber(in)</t>
  </si>
  <si>
    <t>Weight(grains)</t>
  </si>
  <si>
    <t>Weight(grams)</t>
  </si>
  <si>
    <t>Muzzle Velocity(ft/s)</t>
  </si>
  <si>
    <t>Muzzle Energy(ft.lbs)</t>
  </si>
  <si>
    <t>grain</t>
  </si>
  <si>
    <t>g</t>
  </si>
  <si>
    <t>Muzzle Veloctiy(m/s)</t>
  </si>
  <si>
    <t>mm</t>
  </si>
  <si>
    <t>ft/sec</t>
  </si>
  <si>
    <t>m/sec</t>
  </si>
  <si>
    <t>Model</t>
  </si>
  <si>
    <t>Chambering</t>
  </si>
  <si>
    <t>Action Type</t>
  </si>
  <si>
    <t>Units(Precision)</t>
  </si>
  <si>
    <t>Units(Wt)</t>
  </si>
  <si>
    <t>steyr.sm12.mannlicher.fullstock</t>
  </si>
  <si>
    <t>Available Chamberings</t>
  </si>
  <si>
    <t>22 LR</t>
  </si>
  <si>
    <t>223 Remingtion</t>
  </si>
  <si>
    <t>6.5mm Creedmoor</t>
  </si>
  <si>
    <t>Ammunition Table</t>
  </si>
  <si>
    <t>ammunition.22lr</t>
  </si>
  <si>
    <t>rifles.22lr</t>
  </si>
  <si>
    <t>rifles.65mmcreedmoor</t>
  </si>
  <si>
    <t>rifles.7mmprc</t>
  </si>
  <si>
    <t>ammunition.223rem</t>
  </si>
  <si>
    <t>ammunition.308win</t>
  </si>
  <si>
    <t>rifles.223rem</t>
  </si>
  <si>
    <t>rifles.300winmag</t>
  </si>
  <si>
    <t>rifles.338lapuamag</t>
  </si>
  <si>
    <t>rifles.7mm08rem</t>
  </si>
  <si>
    <t>rifles.308win</t>
  </si>
  <si>
    <t>ammunition.270win</t>
  </si>
  <si>
    <t>rifles.270win</t>
  </si>
  <si>
    <t>rifles.3006spring</t>
  </si>
  <si>
    <t>ammunition.3006spring</t>
  </si>
  <si>
    <t>ammunition.3030win</t>
  </si>
  <si>
    <t>rifles.3030win</t>
  </si>
  <si>
    <t>ammunition.350remmag</t>
  </si>
  <si>
    <t>rifles.350remmag</t>
  </si>
  <si>
    <t>ammunition.375hhmag</t>
  </si>
  <si>
    <t>rifles.375hhmag</t>
  </si>
  <si>
    <t>Steyr SM12</t>
  </si>
  <si>
    <t>Bolt</t>
  </si>
  <si>
    <t>remington.700.long-range</t>
  </si>
  <si>
    <t>Remington 700 Long Range</t>
  </si>
  <si>
    <t>ft</t>
  </si>
  <si>
    <t>yd</t>
  </si>
  <si>
    <t>mi</t>
  </si>
  <si>
    <t>cm</t>
  </si>
  <si>
    <t>m</t>
  </si>
  <si>
    <t>km</t>
  </si>
  <si>
    <t>Length</t>
  </si>
  <si>
    <t>lbm</t>
  </si>
  <si>
    <t>kg</t>
  </si>
  <si>
    <t>in/sec</t>
  </si>
  <si>
    <t>yd/sec</t>
  </si>
  <si>
    <t>mi/sec</t>
  </si>
  <si>
    <t>mi/hr</t>
  </si>
  <si>
    <t>mm/sec</t>
  </si>
  <si>
    <t>cm/sec</t>
  </si>
  <si>
    <t>km/sec</t>
  </si>
  <si>
    <t>km/hr</t>
  </si>
  <si>
    <t>flb</t>
  </si>
  <si>
    <t>J</t>
  </si>
  <si>
    <t>degrees</t>
  </si>
  <si>
    <t>radians</t>
  </si>
  <si>
    <t>Units(Length)</t>
  </si>
  <si>
    <t>SU</t>
  </si>
  <si>
    <t>Resolution(Outer)</t>
  </si>
  <si>
    <t>Resolution(Inner)</t>
  </si>
  <si>
    <t>Units(Resolution)</t>
  </si>
  <si>
    <t>Twist Rate(1:*)</t>
  </si>
  <si>
    <t>cartridge.cf.308win.php.165gr</t>
  </si>
  <si>
    <t>cartridge.cf.308win.sp.150gr</t>
  </si>
  <si>
    <t>cartridge.cf.308win.hp.180gr</t>
  </si>
  <si>
    <t>cartridge.cf.338lapuamag.php.250gr</t>
  </si>
  <si>
    <t>steyr.monobloc.308win</t>
  </si>
  <si>
    <t>Steyr Monobloc</t>
  </si>
  <si>
    <t>Specifications</t>
  </si>
  <si>
    <t>Specification Type</t>
  </si>
  <si>
    <t>Specification Types</t>
  </si>
  <si>
    <t>Game</t>
  </si>
  <si>
    <t>cartridge.rf.22lr.sg.hp.38gr</t>
  </si>
  <si>
    <t>cartridge.rf.22lr.yj.hp.36gr</t>
  </si>
  <si>
    <t>cartridge.rf.22lr.tb.sp.40gr</t>
  </si>
  <si>
    <t>Federal Small Game High-V Copper HP</t>
  </si>
  <si>
    <t>Remington 22 Yellow Jacket</t>
  </si>
  <si>
    <t>Remington 22 Thunderbolt</t>
  </si>
  <si>
    <t>cartridge.cf.338lapuamag.lewellings.sp.275gr</t>
  </si>
  <si>
    <t>Federal Premium Trophy Copper</t>
  </si>
  <si>
    <t>Lewellings Grande 5000 Polymer Tip</t>
  </si>
  <si>
    <t>cartridge.cf.65creed.sp.140gr</t>
  </si>
  <si>
    <t>cartridge.cf.65creed.hp.130gr</t>
  </si>
  <si>
    <t>cartridge.cf.65creed.php.143gr</t>
  </si>
  <si>
    <t>Federal Fusion Rifle Soft Point</t>
  </si>
  <si>
    <t>Federal Barnes TSX</t>
  </si>
  <si>
    <t>Federal ELD-X Polymer Tipped HP</t>
  </si>
  <si>
    <t>cartridge.cf.7mmprc.hp.177gr</t>
  </si>
  <si>
    <t>cartridge.cf.7mmprc.php.175gr</t>
  </si>
  <si>
    <t>cartridge.cf.7mmprc.php.170gr</t>
  </si>
  <si>
    <t>Lewellings Firefly 5000</t>
  </si>
  <si>
    <t>Remington Premier Long Range Speer</t>
  </si>
  <si>
    <t>Federal Terminal Ascent Polymer Tipped</t>
  </si>
  <si>
    <t>cartridge.cf.243win.sp.95gr</t>
  </si>
  <si>
    <t>cartridge.cf.243win.hp.85gr</t>
  </si>
  <si>
    <t>cartridge.cf.243win.php.100gr</t>
  </si>
  <si>
    <t>Remington Premier AccuTip-V</t>
  </si>
  <si>
    <t>Remington Core-Lokt Copper Hollow Point</t>
  </si>
  <si>
    <t>Bullet Caliber</t>
  </si>
  <si>
    <t>Caliber(Units)</t>
  </si>
  <si>
    <t>cartridge.cf.223rem.sp.62gr</t>
  </si>
  <si>
    <t>cartridge.cf.223rem.hp.55gr</t>
  </si>
  <si>
    <t>cartridge.cf.223rem.php.55gr</t>
  </si>
  <si>
    <t>Remington Core-Lokt</t>
  </si>
  <si>
    <t>Federal Premium Barnes TSX Hollow Point</t>
  </si>
  <si>
    <t>Federal Premium Trophy Copper Polymer Tipped Hollow Point</t>
  </si>
  <si>
    <t>cartridge.cf.270win.php.130gr</t>
  </si>
  <si>
    <t>cartridge.cf.270win.sp.100gr</t>
  </si>
  <si>
    <t>cartridge.cf.270win.hp.130gr</t>
  </si>
  <si>
    <t>Federal Premium Trophy Bonded</t>
  </si>
  <si>
    <t>Remington Core-Lokt Soft Point</t>
  </si>
  <si>
    <t>cartridge.cf.7mm-08rem.sp.150gr</t>
  </si>
  <si>
    <t>cartridge.cf.7mm-08rem.hp.140gr</t>
  </si>
  <si>
    <t>cartridge.cf.7mm-08rem.php.140gr</t>
  </si>
  <si>
    <t>cartridge.cf.30-06Sprfld.php.180gr</t>
  </si>
  <si>
    <t>cartridge.cf.30-06Sprfld.sp.150gr</t>
  </si>
  <si>
    <t>cartridge.cf.30-06Sprfld.hp.165gr</t>
  </si>
  <si>
    <t>cartridge.cf.30-30win.sp.170gr</t>
  </si>
  <si>
    <t>cartridge.cf.30-30win.sp.150gr</t>
  </si>
  <si>
    <t>cartridge.cf.30-30win.spmr.125gr</t>
  </si>
  <si>
    <t>cartridge.cf.(9.3x62mm-mauser).php.286gr</t>
  </si>
  <si>
    <t>cartridge.cf.(9.3x62mm-mauser).sp.286gr</t>
  </si>
  <si>
    <t>cartridge.cf.(9.3x62mm-mauser).php.285gr</t>
  </si>
  <si>
    <t>Lewellings Grande 5000 Polymer Tipped</t>
  </si>
  <si>
    <t>cartridge.cf.375hhmag.sp.300gr</t>
  </si>
  <si>
    <t>cartridge.cf.375hhmag.sp.270gr</t>
  </si>
  <si>
    <t>cartridge.cf.375hhmag.php.260gr</t>
  </si>
  <si>
    <t>Federal Trophy-Bonded Sledgehammer Solid</t>
  </si>
  <si>
    <t>Remington High Performance Rifle Softpoint</t>
  </si>
  <si>
    <t>ammunition.93mmx62mauser</t>
  </si>
  <si>
    <t>rifles.93mmx62mauser</t>
  </si>
  <si>
    <t>rifles.243win</t>
  </si>
  <si>
    <t>cartridge.cf.350rm.sp.200gr</t>
  </si>
  <si>
    <t>stery.carbon.cl2.338lapuamag</t>
  </si>
  <si>
    <t>Steyr Carbon CL II</t>
  </si>
  <si>
    <t>steyr.zephyr2.22lr</t>
  </si>
  <si>
    <t>Steyr Zephyr II</t>
  </si>
  <si>
    <t>stinger.22lr</t>
  </si>
  <si>
    <t>Stinger</t>
  </si>
  <si>
    <t xml:space="preserve">22 LR </t>
  </si>
  <si>
    <t>steyr.gams.65mm-creedmoor</t>
  </si>
  <si>
    <t>steyr.ssg.m1.65mm-creedmoor</t>
  </si>
  <si>
    <t>Steyr Gams</t>
  </si>
  <si>
    <t>Steyr SSG M1 Tactical</t>
  </si>
  <si>
    <t>remington.700.alpha1.hunter.7mmprc</t>
  </si>
  <si>
    <t>Remington 700 Alpha 1 Hunter</t>
  </si>
  <si>
    <t>stery.pro-hunter.243winchester</t>
  </si>
  <si>
    <t>remington.783.243winchester</t>
  </si>
  <si>
    <t>Steyr Pro Hunter</t>
  </si>
  <si>
    <t>Remington 783</t>
  </si>
  <si>
    <t>steyr.scout.223rem</t>
  </si>
  <si>
    <t>Steyr Scout</t>
  </si>
  <si>
    <t>223 Remington</t>
  </si>
  <si>
    <t>steyr.monobloc.armad.270win</t>
  </si>
  <si>
    <t>Steyr Monobloc Armad</t>
  </si>
  <si>
    <t>remington.7600.270win</t>
  </si>
  <si>
    <t>Remington 7600</t>
  </si>
  <si>
    <t>Pump</t>
  </si>
  <si>
    <t>steyr.pro-hunter2.7mm08rem</t>
  </si>
  <si>
    <t>Steyr Pro Hunter II</t>
  </si>
  <si>
    <t>7mm-08 Remington</t>
  </si>
  <si>
    <t>remington.1903.3006springfield</t>
  </si>
  <si>
    <t>Remington 1903</t>
  </si>
  <si>
    <t>winchester.lever.3030winchester</t>
  </si>
  <si>
    <t>Lever</t>
  </si>
  <si>
    <t>Winchester 30-30 (Grandpa's Old Rifle)</t>
  </si>
  <si>
    <t>steyr.mannilicher.cl2.93mm62mauser</t>
  </si>
  <si>
    <t>Steyr Mannilicher CL II Half Stock</t>
  </si>
  <si>
    <t>remington.700sps.375hhmag</t>
  </si>
  <si>
    <t>Remington 700 SPS</t>
  </si>
  <si>
    <t>remington.673.guide.350remmag</t>
  </si>
  <si>
    <t>Remington 673 Guide Rifle</t>
  </si>
  <si>
    <t>Rifle Table</t>
  </si>
  <si>
    <t>Remington Core-Lokt Copper Tipped</t>
  </si>
  <si>
    <t>Federal Premium Barnes TSX</t>
  </si>
  <si>
    <t>Remington Core-Lokt  Copper Tipped</t>
  </si>
  <si>
    <t>Federal Premium Trophy Bonded Tip</t>
  </si>
  <si>
    <t>Federal Power-Shok Rifle SP</t>
  </si>
  <si>
    <t>Federal Trophy Bonded Tip</t>
  </si>
  <si>
    <t>Federal Power-Shok Soft Point</t>
  </si>
  <si>
    <t>Federal Premium Nosler Partition 30-30 Win SP</t>
  </si>
  <si>
    <t>Remington Managed Recoil Core-Lokt</t>
  </si>
  <si>
    <t>Federal Barnes TSX Hollow Point</t>
  </si>
  <si>
    <t>Federal Safari Woodleigh Hydro Solid</t>
  </si>
  <si>
    <t>Federal Safari Swift A-Frame</t>
  </si>
  <si>
    <t>Federal Swift A-Frame</t>
  </si>
  <si>
    <t>ammunition.300winmag</t>
  </si>
  <si>
    <t>ammunition.7mmprc</t>
  </si>
  <si>
    <t>ammunition.7mm08rem</t>
  </si>
  <si>
    <t>ammunition.65mmcreedmoor</t>
  </si>
  <si>
    <t>ammunition.243win</t>
  </si>
  <si>
    <t>ammunition.338lapuamag</t>
  </si>
  <si>
    <t>Alaskan Moose</t>
  </si>
  <si>
    <t>American Badger</t>
  </si>
  <si>
    <t>American Black Bear</t>
  </si>
  <si>
    <t>Barren Ground Caribou</t>
  </si>
  <si>
    <t>Bighorn Sheep</t>
  </si>
  <si>
    <t>Black Wildebeest</t>
  </si>
  <si>
    <t>Blue Wildebeest</t>
  </si>
  <si>
    <t>Brown Bear</t>
  </si>
  <si>
    <t>Cape Buffalo</t>
  </si>
  <si>
    <t>Chamois</t>
  </si>
  <si>
    <t>Common Warthog</t>
  </si>
  <si>
    <t>Egyptian Goose</t>
  </si>
  <si>
    <t>Eurasian Badger</t>
  </si>
  <si>
    <t>Eurasian Moose</t>
  </si>
  <si>
    <t>Eurasian Wolverine</t>
  </si>
  <si>
    <t>European Hare</t>
  </si>
  <si>
    <t>European Rabbit</t>
  </si>
  <si>
    <t>Fallow Deer</t>
  </si>
  <si>
    <t>Feral Goat</t>
  </si>
  <si>
    <t>Feral Pig</t>
  </si>
  <si>
    <t>Gemsbok</t>
  </si>
  <si>
    <t>Golden Jackal</t>
  </si>
  <si>
    <t>Gray Wolf</t>
  </si>
  <si>
    <t>Greater Kudu</t>
  </si>
  <si>
    <t>Greylag Goose</t>
  </si>
  <si>
    <t>Helmeted Guineafowl</t>
  </si>
  <si>
    <t>Himalayan Tahr</t>
  </si>
  <si>
    <t>Honey Badger</t>
  </si>
  <si>
    <t>Kodiak Bear</t>
  </si>
  <si>
    <t>Lesser Scaup</t>
  </si>
  <si>
    <t>Lion</t>
  </si>
  <si>
    <t>Mouflon</t>
  </si>
  <si>
    <t>Mountain Goat</t>
  </si>
  <si>
    <t>Mountain Reindeer</t>
  </si>
  <si>
    <t>Mule Deer</t>
  </si>
  <si>
    <t>Pheasant</t>
  </si>
  <si>
    <t>Red Deer</t>
  </si>
  <si>
    <t>Red Deer(NZ)</t>
  </si>
  <si>
    <t>Red Fox</t>
  </si>
  <si>
    <t>Rocky Mountain Elk</t>
  </si>
  <si>
    <t>Roe Deer</t>
  </si>
  <si>
    <t>Roosevelt Elk</t>
  </si>
  <si>
    <t>Ross's Goose</t>
  </si>
  <si>
    <t>Sambar Deer</t>
  </si>
  <si>
    <t>Sika Deer</t>
  </si>
  <si>
    <t>Sitka Deer</t>
  </si>
  <si>
    <t>Snowshoe Hare</t>
  </si>
  <si>
    <t>Spotted Hyena</t>
  </si>
  <si>
    <t>Springbok</t>
  </si>
  <si>
    <t>Surf Scoter</t>
  </si>
  <si>
    <t>Western Moose</t>
  </si>
  <si>
    <t>Whitetailed Deer</t>
  </si>
  <si>
    <t>Wild Boar</t>
  </si>
  <si>
    <t>Wild Duck</t>
  </si>
  <si>
    <t>Wood Bison</t>
  </si>
  <si>
    <t>Arctic Fox</t>
  </si>
  <si>
    <t>Northern Lynx</t>
  </si>
  <si>
    <t>Common Name</t>
  </si>
  <si>
    <t>Minimum Weight</t>
  </si>
  <si>
    <t>Maximum Weight</t>
  </si>
  <si>
    <t>Weight Units</t>
  </si>
  <si>
    <t>Minimum Energy(Rifle)</t>
  </si>
  <si>
    <t>Maximum Energy(Rifle)</t>
  </si>
  <si>
    <t>Energy Units</t>
  </si>
  <si>
    <t>Minimum Energy(Bows)</t>
  </si>
  <si>
    <t>Maximum Energy(Bows)</t>
  </si>
  <si>
    <t>Mass Weight</t>
  </si>
  <si>
    <t>Angular</t>
  </si>
  <si>
    <t>Vital Zone Diameter</t>
  </si>
  <si>
    <t>Diameter Units</t>
  </si>
  <si>
    <t>Body Height</t>
  </si>
  <si>
    <t>Body Length</t>
  </si>
  <si>
    <t>Body Thickness</t>
  </si>
  <si>
    <t>Body Size Units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</si>
</sst>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3" tint="0.899960325937681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theme="4" tint="0.79998168889431442"/>
      </patternFill>
    </fill>
  </fills>
  <borders count="1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medium">
        <color auto="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101">
    <xf numFmtId="0" fontId="0" fillId="0" borderId="0" xfId="0"/>
    <xf numFmtId="2" fontId="0" fillId="0" borderId="0" xfId="0" applyNumberFormat="1"/>
    <xf numFmtId="164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/>
    <xf numFmtId="2" fontId="0" fillId="0" borderId="0" xfId="0" applyNumberFormat="1" applyAlignment="1">
      <alignment horizontal="right"/>
    </xf>
    <xf numFmtId="0" fontId="0" fillId="0" borderId="5" xfId="0" applyBorder="1"/>
    <xf numFmtId="0" fontId="0" fillId="0" borderId="7" xfId="0" applyBorder="1"/>
    <xf numFmtId="49" fontId="0" fillId="0" borderId="0" xfId="0" applyNumberFormat="1" applyAlignment="1">
      <alignment horizontal="left" wrapText="1"/>
    </xf>
    <xf numFmtId="0" fontId="0" fillId="0" borderId="9" xfId="0" applyBorder="1"/>
    <xf numFmtId="164" fontId="0" fillId="4" borderId="9" xfId="0" applyNumberFormat="1" applyFill="1" applyBorder="1"/>
    <xf numFmtId="0" fontId="0" fillId="4" borderId="9" xfId="0" applyFill="1" applyBorder="1"/>
    <xf numFmtId="164" fontId="0" fillId="4" borderId="0" xfId="0" applyNumberFormat="1" applyFill="1"/>
    <xf numFmtId="0" fontId="0" fillId="4" borderId="10" xfId="0" applyFill="1" applyBorder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164" fontId="0" fillId="0" borderId="0" xfId="0" applyNumberFormat="1" applyAlignment="1">
      <alignment horizontal="center" wrapText="1"/>
    </xf>
    <xf numFmtId="164" fontId="0" fillId="0" borderId="0" xfId="0" applyNumberFormat="1" applyAlignment="1">
      <alignment wrapText="1"/>
    </xf>
    <xf numFmtId="1" fontId="0" fillId="0" borderId="0" xfId="0" applyNumberFormat="1"/>
    <xf numFmtId="0" fontId="1" fillId="5" borderId="11" xfId="0" applyFont="1" applyFill="1" applyBorder="1"/>
    <xf numFmtId="1" fontId="0" fillId="7" borderId="11" xfId="0" applyNumberFormat="1" applyFill="1" applyBorder="1" applyAlignment="1">
      <alignment horizontal="right"/>
    </xf>
    <xf numFmtId="1" fontId="0" fillId="4" borderId="11" xfId="0" applyNumberFormat="1" applyFill="1" applyBorder="1" applyAlignment="1">
      <alignment horizontal="right"/>
    </xf>
    <xf numFmtId="1" fontId="0" fillId="7" borderId="12" xfId="0" applyNumberFormat="1" applyFill="1" applyBorder="1" applyAlignment="1">
      <alignment horizontal="right"/>
    </xf>
    <xf numFmtId="49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right"/>
    </xf>
    <xf numFmtId="164" fontId="0" fillId="4" borderId="13" xfId="0" applyNumberFormat="1" applyFill="1" applyBorder="1"/>
    <xf numFmtId="0" fontId="0" fillId="4" borderId="13" xfId="0" applyFill="1" applyBorder="1"/>
    <xf numFmtId="164" fontId="0" fillId="4" borderId="10" xfId="0" applyNumberFormat="1" applyFill="1" applyBorder="1"/>
    <xf numFmtId="0" fontId="0" fillId="0" borderId="0" xfId="0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49" fontId="0" fillId="4" borderId="9" xfId="0" applyNumberFormat="1" applyFill="1" applyBorder="1" applyAlignment="1">
      <alignment horizontal="left"/>
    </xf>
    <xf numFmtId="2" fontId="0" fillId="4" borderId="9" xfId="0" applyNumberFormat="1" applyFill="1" applyBorder="1"/>
    <xf numFmtId="164" fontId="0" fillId="4" borderId="9" xfId="0" applyNumberFormat="1" applyFill="1" applyBorder="1" applyAlignment="1">
      <alignment horizontal="right"/>
    </xf>
    <xf numFmtId="0" fontId="0" fillId="0" borderId="1" xfId="0" applyBorder="1"/>
    <xf numFmtId="0" fontId="0" fillId="0" borderId="2" xfId="0" applyBorder="1" applyAlignment="1">
      <alignment wrapText="1"/>
    </xf>
    <xf numFmtId="0" fontId="0" fillId="0" borderId="2" xfId="0" applyBorder="1" applyAlignment="1">
      <alignment horizontal="center" wrapText="1"/>
    </xf>
    <xf numFmtId="164" fontId="0" fillId="0" borderId="2" xfId="0" applyNumberFormat="1" applyBorder="1" applyAlignment="1">
      <alignment horizontal="center" wrapText="1"/>
    </xf>
    <xf numFmtId="164" fontId="0" fillId="0" borderId="2" xfId="0" applyNumberFormat="1" applyBorder="1" applyAlignment="1">
      <alignment wrapText="1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wrapText="1"/>
    </xf>
    <xf numFmtId="0" fontId="0" fillId="0" borderId="4" xfId="0" applyBorder="1"/>
    <xf numFmtId="164" fontId="0" fillId="6" borderId="0" xfId="0" applyNumberFormat="1" applyFill="1"/>
    <xf numFmtId="0" fontId="0" fillId="6" borderId="0" xfId="0" applyFill="1" applyAlignment="1">
      <alignment horizontal="left"/>
    </xf>
    <xf numFmtId="164" fontId="0" fillId="6" borderId="0" xfId="0" applyNumberFormat="1" applyFill="1" applyAlignment="1">
      <alignment horizontal="right"/>
    </xf>
    <xf numFmtId="164" fontId="0" fillId="6" borderId="5" xfId="0" applyNumberFormat="1" applyFill="1" applyBorder="1" applyAlignment="1">
      <alignment horizontal="right"/>
    </xf>
    <xf numFmtId="0" fontId="0" fillId="6" borderId="0" xfId="0" applyFill="1"/>
    <xf numFmtId="0" fontId="0" fillId="0" borderId="14" xfId="0" applyBorder="1"/>
    <xf numFmtId="0" fontId="0" fillId="0" borderId="0" xfId="0" applyAlignment="1">
      <alignment horizontal="left" wrapText="1"/>
    </xf>
    <xf numFmtId="164" fontId="0" fillId="0" borderId="0" xfId="0" applyNumberFormat="1" applyAlignment="1">
      <alignment horizontal="left" wrapText="1"/>
    </xf>
    <xf numFmtId="49" fontId="0" fillId="0" borderId="0" xfId="0" applyNumberFormat="1" applyAlignment="1">
      <alignment horizontal="left"/>
    </xf>
    <xf numFmtId="0" fontId="0" fillId="0" borderId="6" xfId="0" applyBorder="1"/>
    <xf numFmtId="164" fontId="0" fillId="0" borderId="7" xfId="0" applyNumberFormat="1" applyBorder="1" applyAlignment="1">
      <alignment horizontal="right"/>
    </xf>
    <xf numFmtId="49" fontId="0" fillId="0" borderId="7" xfId="0" applyNumberFormat="1" applyBorder="1" applyAlignment="1">
      <alignment horizontal="left"/>
    </xf>
    <xf numFmtId="2" fontId="0" fillId="0" borderId="7" xfId="0" applyNumberFormat="1" applyBorder="1" applyAlignment="1">
      <alignment horizontal="right"/>
    </xf>
    <xf numFmtId="0" fontId="0" fillId="0" borderId="8" xfId="0" applyBorder="1"/>
    <xf numFmtId="49" fontId="0" fillId="4" borderId="10" xfId="0" applyNumberFormat="1" applyFill="1" applyBorder="1" applyAlignment="1">
      <alignment horizontal="left"/>
    </xf>
    <xf numFmtId="164" fontId="0" fillId="4" borderId="10" xfId="0" applyNumberFormat="1" applyFill="1" applyBorder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5" xfId="0" applyBorder="1" applyAlignment="1">
      <alignment wrapText="1"/>
    </xf>
    <xf numFmtId="49" fontId="0" fillId="6" borderId="0" xfId="0" applyNumberFormat="1" applyFill="1" applyAlignment="1">
      <alignment horizontal="left"/>
    </xf>
    <xf numFmtId="0" fontId="0" fillId="4" borderId="0" xfId="0" applyFill="1"/>
    <xf numFmtId="49" fontId="0" fillId="4" borderId="0" xfId="0" applyNumberFormat="1" applyFill="1" applyAlignment="1">
      <alignment horizontal="left"/>
    </xf>
    <xf numFmtId="164" fontId="0" fillId="4" borderId="0" xfId="0" applyNumberFormat="1" applyFill="1" applyAlignment="1">
      <alignment horizontal="right"/>
    </xf>
    <xf numFmtId="164" fontId="0" fillId="4" borderId="5" xfId="0" applyNumberFormat="1" applyFill="1" applyBorder="1" applyAlignment="1">
      <alignment horizontal="right"/>
    </xf>
    <xf numFmtId="164" fontId="0" fillId="0" borderId="7" xfId="0" applyNumberFormat="1" applyBorder="1"/>
    <xf numFmtId="164" fontId="0" fillId="4" borderId="7" xfId="0" applyNumberFormat="1" applyFill="1" applyBorder="1"/>
    <xf numFmtId="0" fontId="0" fillId="4" borderId="7" xfId="0" applyFill="1" applyBorder="1"/>
    <xf numFmtId="49" fontId="0" fillId="4" borderId="7" xfId="0" applyNumberFormat="1" applyFill="1" applyBorder="1" applyAlignment="1">
      <alignment horizontal="left"/>
    </xf>
    <xf numFmtId="164" fontId="0" fillId="4" borderId="7" xfId="0" applyNumberFormat="1" applyFill="1" applyBorder="1" applyAlignment="1">
      <alignment horizontal="right"/>
    </xf>
    <xf numFmtId="164" fontId="0" fillId="4" borderId="8" xfId="0" applyNumberFormat="1" applyFill="1" applyBorder="1" applyAlignment="1">
      <alignment horizontal="right"/>
    </xf>
    <xf numFmtId="49" fontId="1" fillId="0" borderId="1" xfId="0" applyNumberFormat="1" applyFon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3" fillId="5" borderId="0" xfId="0" applyFont="1" applyFill="1" applyAlignment="1">
      <alignment horizontal="left" wrapText="1"/>
    </xf>
    <xf numFmtId="164" fontId="3" fillId="5" borderId="0" xfId="0" applyNumberFormat="1" applyFont="1" applyFill="1" applyAlignment="1">
      <alignment horizontal="left" wrapText="1"/>
    </xf>
    <xf numFmtId="2" fontId="0" fillId="4" borderId="10" xfId="0" applyNumberFormat="1" applyFill="1" applyBorder="1"/>
    <xf numFmtId="2" fontId="0" fillId="4" borderId="0" xfId="0" applyNumberFormat="1" applyFill="1"/>
    <xf numFmtId="49" fontId="1" fillId="0" borderId="6" xfId="0" applyNumberFormat="1" applyFont="1" applyBorder="1" applyAlignment="1">
      <alignment horizontal="center" vertical="center"/>
    </xf>
    <xf numFmtId="2" fontId="0" fillId="4" borderId="7" xfId="0" applyNumberFormat="1" applyFill="1" applyBorder="1"/>
    <xf numFmtId="49" fontId="0" fillId="4" borderId="13" xfId="0" applyNumberFormat="1" applyFill="1" applyBorder="1" applyAlignment="1">
      <alignment horizontal="left"/>
    </xf>
    <xf numFmtId="2" fontId="0" fillId="4" borderId="13" xfId="0" applyNumberFormat="1" applyFill="1" applyBorder="1"/>
    <xf numFmtId="164" fontId="0" fillId="4" borderId="13" xfId="0" applyNumberFormat="1" applyFill="1" applyBorder="1" applyAlignment="1">
      <alignment horizontal="right"/>
    </xf>
    <xf numFmtId="49" fontId="1" fillId="0" borderId="4" xfId="0" applyNumberFormat="1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49" fontId="1" fillId="0" borderId="5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49" fontId="1" fillId="4" borderId="0" xfId="0" applyNumberFormat="1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1" fillId="0" borderId="4" xfId="0" applyNumberFormat="1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49" fontId="1" fillId="2" borderId="0" xfId="0" applyNumberFormat="1" applyFont="1" applyFill="1" applyAlignment="1">
      <alignment horizontal="center" vertical="center"/>
    </xf>
    <xf numFmtId="49" fontId="1" fillId="2" borderId="7" xfId="0" applyNumberFormat="1" applyFont="1" applyFill="1" applyBorder="1" applyAlignment="1">
      <alignment horizontal="center" vertical="center"/>
    </xf>
    <xf numFmtId="49" fontId="1" fillId="3" borderId="0" xfId="0" applyNumberFormat="1" applyFont="1" applyFill="1" applyAlignment="1">
      <alignment horizontal="center" vertical="center"/>
    </xf>
    <xf numFmtId="49" fontId="1" fillId="3" borderId="7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right"/>
    </xf>
  </cellXfs>
  <cellStyles count="1">
    <cellStyle name="Normal" xfId="0" builtinId="0"/>
  </cellStyles>
  <dxfs count="557">
    <dxf>
      <numFmt numFmtId="0" formatCode="General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2" formatCode="0.0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left" vertical="bottom" textRotation="0" wrapText="1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</dxf>
    <dxf>
      <numFmt numFmtId="164" formatCode="0.00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2" formatCode="0.0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</dxf>
    <dxf>
      <numFmt numFmtId="2" formatCode="0.0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</dxf>
    <dxf>
      <numFmt numFmtId="0" formatCode="General"/>
      <fill>
        <patternFill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0" formatCode="General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" formatCode="0"/>
      <fill>
        <patternFill>
          <bgColor theme="0"/>
        </patternFill>
      </fill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F6FEDE-45A2-457F-84D9-A55504303DE6}" name="AmmunitionClassTable" displayName="AmmunitionClassTable" ref="A2:B17" totalsRowShown="0">
  <autoFilter ref="A2:B17" xr:uid="{7FF6FEDE-45A2-457F-84D9-A55504303DE6}"/>
  <tableColumns count="2">
    <tableColumn id="1" xr3:uid="{F819E321-B0D6-4E1E-A9FC-B3213B0FB0FB}" name="Ammuntion Type"/>
    <tableColumn id="2" xr3:uid="{AD9E2075-F119-4DD3-97DD-140420736A81}" name="Display Name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D6A8624-1244-49B5-B365-17F016EC8627}" name="Tiers" displayName="Tiers" ref="A20:B29" totalsRowShown="0" headerRowDxfId="556">
  <autoFilter ref="A20:B29" xr:uid="{BD6A8624-1244-49B5-B365-17F016EC8627}"/>
  <tableColumns count="2">
    <tableColumn id="1" xr3:uid="{1374A5F6-5ADA-41F7-8700-3A3BFAD7F5E7}" name="Species" dataDxfId="555"/>
    <tableColumn id="2" xr3:uid="{F9B52A84-30BE-43AF-93B7-988C58A39AE9}" name="Firearm" dataDxfId="554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806B330-B11C-4722-8740-69486D2CA552}" name="CartridgeNames" displayName="CartridgeNames" ref="D2:H17" totalsRowShown="0">
  <autoFilter ref="D2:H17" xr:uid="{F806B330-B11C-4722-8740-69486D2CA552}"/>
  <sortState xmlns:xlrd2="http://schemas.microsoft.com/office/spreadsheetml/2017/richdata2" ref="D3:H17">
    <sortCondition ref="D3:D17"/>
  </sortState>
  <tableColumns count="5">
    <tableColumn id="1" xr3:uid="{B67CABF1-2A99-43D6-BD12-B276C95A8650}" name="Available Chamberings"/>
    <tableColumn id="5" xr3:uid="{0C47BCD4-6DC9-4083-8BD4-02E050289038}" name="Bullet Caliber" dataDxfId="553"/>
    <tableColumn id="4" xr3:uid="{29DE8ACC-ED82-4249-A451-F50239DDB371}" name="Caliber(Units)" dataDxfId="552"/>
    <tableColumn id="2" xr3:uid="{AE23CCCC-C4E5-4ABC-B23C-31EE904498F6}" name="Ammunition Table"/>
    <tableColumn id="3" xr3:uid="{4D859A35-BD96-4178-ACF4-5DAD7AF20941}" name="Rifle Table" dataDxfId="551"/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2FDFDFB-6D5D-4E99-BE72-3251B97A9C50}" name="UnitsDefinitions" displayName="UnitsDefinitions" ref="A32:E42" totalsRowShown="0">
  <autoFilter ref="A32:E42" xr:uid="{E2FDFDFB-6D5D-4E99-BE72-3251B97A9C50}"/>
  <tableColumns count="5">
    <tableColumn id="1" xr3:uid="{70B3A78B-913D-4D45-8D36-3609D2347C50}" name="Length" dataDxfId="550"/>
    <tableColumn id="2" xr3:uid="{90ADE665-4F6E-4520-8002-EF9748C1EC78}" name="Mass Weight"/>
    <tableColumn id="3" xr3:uid="{D5BCC8A6-E9D9-4809-BD31-DA301354695B}" name="Velocity"/>
    <tableColumn id="4" xr3:uid="{EEEA4050-5C48-4F82-96B0-9AFE7246347F}" name="Energy"/>
    <tableColumn id="5" xr3:uid="{E3452E46-0B69-4BC9-AE2C-26F837487530}" name="Angular"/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7F2EB3E-9B88-44D0-AB14-AD310F85757F}" name="SpecificationTypes" displayName="SpecificationTypes" ref="J2:J4" totalsRowShown="0" headerRowDxfId="549">
  <autoFilter ref="J2:J4" xr:uid="{D7F2EB3E-9B88-44D0-AB14-AD310F85757F}"/>
  <tableColumns count="1">
    <tableColumn id="1" xr3:uid="{EDAE9C13-B77B-4887-A0A1-446C069CF6DD}" name="Specification Types" dataDxfId="548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D9D19CA-7524-4BB7-8F49-47F162515020}" name="SpeciesEnergyTable" displayName="SpeciesEnergyTable" ref="A1:O58" totalsRowShown="0" dataDxfId="547">
  <autoFilter ref="A1:O58" xr:uid="{CD9D19CA-7524-4BB7-8F49-47F162515020}"/>
  <tableColumns count="15">
    <tableColumn id="1" xr3:uid="{C9448AE9-F7C6-47F3-A42E-482D58548303}" name="Common Name"/>
    <tableColumn id="2" xr3:uid="{1589CBE6-F06C-44AD-9707-56383751EFF6}" name="Minimum Weight" dataDxfId="546"/>
    <tableColumn id="3" xr3:uid="{BDC35A59-56B1-4C6E-8B43-5C82A1FBDA4F}" name="Maximum Weight" dataDxfId="545"/>
    <tableColumn id="4" xr3:uid="{3FD79ECF-60A5-430C-8D60-3D03D4D5F737}" name="Weight Units" dataDxfId="544"/>
    <tableColumn id="5" xr3:uid="{29A2B264-5287-4514-AAA4-84BC5B0FAE0D}" name="Minimum Energy(Rifle)" dataDxfId="543"/>
    <tableColumn id="6" xr3:uid="{FD53B9B6-BDF3-421B-8C97-2B3652D87A29}" name="Maximum Energy(Rifle)" dataDxfId="542"/>
    <tableColumn id="10" xr3:uid="{01010EB4-39EC-4F1C-A989-896F7A449BCC}" name="Minimum Energy(Bows)" dataDxfId="541"/>
    <tableColumn id="9" xr3:uid="{F960BB1C-BADB-43BC-98D6-C2C4F94F80DD}" name="Maximum Energy(Bows)" dataDxfId="540"/>
    <tableColumn id="7" xr3:uid="{9FA19BB0-B714-4982-8DF0-0D02EB14E810}" name="Energy Units" dataDxfId="539"/>
    <tableColumn id="8" xr3:uid="{9298490D-1C7E-46A4-AF49-C325EE933818}" name="Vital Zone Diameter" dataDxfId="4"/>
    <tableColumn id="11" xr3:uid="{1850E0A5-24E6-49BA-8FD2-AD28AE5995F8}" name="Diameter Units" dataDxfId="5"/>
    <tableColumn id="12" xr3:uid="{F5D6529C-0BEC-4584-A564-BD6A6C1FD2A9}" name="Body Height" dataDxfId="3"/>
    <tableColumn id="13" xr3:uid="{412B1B61-EA10-4B73-8CDB-901C60B88531}" name="Body Length" dataDxfId="2"/>
    <tableColumn id="14" xr3:uid="{249976F6-435D-4014-87B9-016286025810}" name="Body Thickness" dataDxfId="1"/>
    <tableColumn id="15" xr3:uid="{AEFE903B-D4E4-495F-BF20-D7C7987A97F5}" name="Body Size Units" dataDxfId="0"/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76F81B8-B113-4C0B-9913-278AC5704789}" name="ammunition.300winmag" displayName="ammunition.300winmag" ref="C170:AA176" totalsRowShown="0" headerRowDxfId="538" dataDxfId="537">
  <tableColumns count="25">
    <tableColumn id="10" xr3:uid="{C3738A7D-3682-4553-9FDD-542AB38FCC9F}" name="Key" dataDxfId="536"/>
    <tableColumn id="34" xr3:uid="{39B5AB42-2550-47C5-9EC1-82E00ED38254}" name="Specification Type" dataDxfId="535"/>
    <tableColumn id="1" xr3:uid="{6BB871CF-1D7A-437F-9DB5-B9B1E5300A28}" name="Cartridge" dataDxfId="534"/>
    <tableColumn id="2" xr3:uid="{5D71F94C-DA44-44BB-B6E3-53CEB9C7C972}" name="Projectile" dataDxfId="533"/>
    <tableColumn id="12" xr3:uid="{BFAE6EA8-9033-4982-BCCB-F0CA9D0EDF7D}" name="Type"/>
    <tableColumn id="3" xr3:uid="{C6E3268C-62E8-45AF-B57D-8044F6E985FA}" name="Caliber" dataDxfId="532"/>
    <tableColumn id="23" xr3:uid="{18A9C7EF-2D81-48DF-95F5-1C06B55C6D98}" name="Units (cal)" dataDxfId="531"/>
    <tableColumn id="5" xr3:uid="{07FEF16C-D41D-468D-9D04-5BEF0A7A86A8}" name="Weight" dataCellStyle="Normal"/>
    <tableColumn id="24" xr3:uid="{FBF48968-8B13-4C49-823A-8A1A486A009B}" name="Units(wt)" dataCellStyle="Normal"/>
    <tableColumn id="17" xr3:uid="{BCB39779-43D9-4D96-BC74-F138FABA49A3}" name="Muzzle Velocity" dataCellStyle="Normal"/>
    <tableColumn id="25" xr3:uid="{1CA97EAD-B0A0-478C-B9BB-3FA29649AECD}" name="Units(MV)" dataCellStyle="Normal"/>
    <tableColumn id="8" xr3:uid="{18D7F6EE-6C5C-4F48-830F-13DE2CE8EFE7}" name="Minimum Terminal Velocity" dataCellStyle="Normal"/>
    <tableColumn id="26" xr3:uid="{930E8C77-3711-43D9-878C-0717EF24180B}" name="Units(MTV)" dataCellStyle="Normal"/>
    <tableColumn id="11" xr3:uid="{FD6BB76E-0DE4-474F-88A1-32F2C0BACC69}" name="BC(G1)" dataDxfId="530" dataCellStyle="Normal"/>
    <tableColumn id="7" xr3:uid="{C42292C9-2CC3-4B2B-8EC8-CB3BFBAA34C1}" name="BC (G7)" dataCellStyle="Normal"/>
    <tableColumn id="4" xr3:uid="{5D25DD74-9638-4C5A-B467-8182A19DDEAE}" name="Caliber(in)" dataDxfId="529" dataCellStyle="Normal">
      <calculatedColumnFormula array="1">IF(NOT(OR(ISBLANK($H171),ISBLANK($I171))),ConvertLength($H171,$I171,"in"),"")</calculatedColumnFormula>
    </tableColumn>
    <tableColumn id="15" xr3:uid="{8186EED3-A426-4023-8E50-8185FEC45745}" name="Caliber(mm)" dataDxfId="528" dataCellStyle="Normal">
      <calculatedColumnFormula array="1">IF(NOT(OR(ISBLANK($H171),ISBLANK($I171))),ConvertLength($H171,$I171,"mm"),"")</calculatedColumnFormula>
    </tableColumn>
    <tableColumn id="16" xr3:uid="{A653858D-995F-4D6B-90D7-349D9D505FEE}" name="Weight(grains)" dataDxfId="527" dataCellStyle="Normal">
      <calculatedColumnFormula>IF(NOT(AND(ISBLANK($J171),ISBLANK($K171))),CONVERT($J171,$K171,"grain"),"")</calculatedColumnFormula>
    </tableColumn>
    <tableColumn id="18" xr3:uid="{67B67E2F-E445-44EC-891C-E4FBC1C5445B}" name="Weight(grams)" dataDxfId="526" dataCellStyle="Normal">
      <calculatedColumnFormula>IF(NOT(AND(ISBLANK($J171),ISBLANK($K171))),CONVERT($J171,$K171,"g"),"")</calculatedColumnFormula>
    </tableColumn>
    <tableColumn id="28" xr3:uid="{570FC774-B769-4A55-8502-E712CB22CBAA}" name="Muzzle Velocity(ft/s)" dataDxfId="525" dataCellStyle="Normal">
      <calculatedColumnFormula array="1">IF(NOT(OR(ISBLANK($L171),ISBLANK($M171))),ConvertSpeed($L171,$M171,"ft/sec"),"")</calculatedColumnFormula>
    </tableColumn>
    <tableColumn id="29" xr3:uid="{D8A799D1-CC31-41E7-84E6-494578AAA5D4}" name="Muzzle Veloctiy(m/s)" dataDxfId="524" dataCellStyle="Normal">
      <calculatedColumnFormula array="1">IF(NOT(OR(ISBLANK($L171),ISBLANK($M171))),ConvertSpeed($L171,$M171,"m/sec"),"")</calculatedColumnFormula>
    </tableColumn>
    <tableColumn id="30" xr3:uid="{631A136C-6C0C-420F-B8E3-03439E899823}" name="Muzzle Energy(ft.lbs)" dataDxfId="523" dataCellStyle="Normal">
      <calculatedColumnFormula array="1">IF(NOT(OR(ISBLANK(V171),ISBLANK(T171))),MuzzleVelocityToMuzzleEnergyFtLb(V171,T171),"")</calculatedColumnFormula>
    </tableColumn>
    <tableColumn id="31" xr3:uid="{BF0C90DA-96CA-46A8-B313-92EFBC239F76}" name="Muzzle Energy(J)" dataDxfId="522" dataCellStyle="Normal">
      <calculatedColumnFormula array="1">IF(NOT(OR(ISBLANK(W171),ISBLANK(U171))),MuzzleVelocityToMuzzleEnergyJoules(W171,U171),"")</calculatedColumnFormula>
    </tableColumn>
    <tableColumn id="32" xr3:uid="{92A61251-8484-4DEB-8885-8F511AB999A9}" name="Minimum Terminal Velocity(ft/s)" dataDxfId="521" dataCellStyle="Normal">
      <calculatedColumnFormula array="1">IF(NOT(OR(ISBLANK($N171),ISBLANK($O171))),ConvertSpeed($N171,$O171,"ft/sec"),"")</calculatedColumnFormula>
    </tableColumn>
    <tableColumn id="33" xr3:uid="{D7260B35-47C8-41CA-BD30-91772E6C47AE}" name="Minimum Terminal Velocity(m/s)" dataDxfId="520" dataCellStyle="Normal">
      <calculatedColumnFormula array="1">IF(NOT(OR(ISBLANK($N171),ISBLANK($O171))),ConvertSpeed($N171,$O171,"m/sec"),"")</calculatedColumnFormula>
    </tableColumn>
  </tableColumns>
  <tableStyleInfo name="TableStyleMedium2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39724EA-3310-4EC6-8595-42B3D6D601FC}" name="rifles.300winmag" displayName="rifles.300winmag" ref="C179:R181" totalsRowShown="0" headerRowDxfId="519">
  <autoFilter ref="C179:R181" xr:uid="{A39724EA-3310-4EC6-8595-42B3D6D601FC}"/>
  <tableColumns count="16">
    <tableColumn id="1" xr3:uid="{7239BE31-ABB7-4965-B9AD-BB1407E0C1C8}" name="Key"/>
    <tableColumn id="2" xr3:uid="{20F0E4CC-77D2-4293-9B16-EE3198E1BB1C}" name="Chambering"/>
    <tableColumn id="3" xr3:uid="{1B0F8AF4-430C-487E-A8EC-3A56E49B9288}" name="Model"/>
    <tableColumn id="4" xr3:uid="{CAF64F09-CB3D-4EDC-9507-32D6DD41E028}" name="Action Type"/>
    <tableColumn id="5" xr3:uid="{06C33714-3A84-4CBB-B8EA-A486157D1985}" name="Weight" dataDxfId="518"/>
    <tableColumn id="6" xr3:uid="{D1DA1201-1257-4988-B2F5-FCF9170038BA}" name="Units(Wt)" dataDxfId="517"/>
    <tableColumn id="7" xr3:uid="{42612684-0FAB-4D9F-82AE-D2448E854841}" name="Barrel Length" dataDxfId="516"/>
    <tableColumn id="9" xr3:uid="{6D6E87AB-F9E8-447D-AC0E-7A96C276C8B3}" name="Overall Length" dataDxfId="515"/>
    <tableColumn id="18" xr3:uid="{C8A972B6-8BD2-43DD-88A2-BBB82F03D7E8}" name="Twist Rate(1:*)" dataDxfId="514"/>
    <tableColumn id="10" xr3:uid="{0429D1C1-2C27-43A5-8C69-531FD8EBE46F}" name="Units(Length)" dataDxfId="513"/>
    <tableColumn id="11" xr3:uid="{231DC6C6-EAF8-445B-8C4B-F2DD0443D7E6}" name="1-Sigma Precision" dataDxfId="512"/>
    <tableColumn id="12" xr3:uid="{0A45C627-C342-4566-931A-3F75CE2A8711}" name="2-Sigma Precision" dataDxfId="511"/>
    <tableColumn id="13" xr3:uid="{141AB142-8AC5-42EB-8361-D7E9A91F5A99}" name="Units(Precision)" dataDxfId="510"/>
    <tableColumn id="14" xr3:uid="{B6BFE627-91AB-457B-9339-8084320A06C0}" name="Resolution(Outer)" dataDxfId="509"/>
    <tableColumn id="15" xr3:uid="{6F438B70-9F96-4ADF-9F8E-CD2E3F99D6A3}" name="Resolution(Inner)" dataDxfId="508"/>
    <tableColumn id="16" xr3:uid="{C881071E-D7BE-4CB0-8AF3-6E2DBF89684D}" name="Units(Resolution)" dataDxfId="507"/>
  </tableColumns>
  <tableStyleInfo name="TableStyleMedium2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6D89BA9-9ECE-41B6-BD65-91760A17C3E6}" name="ammunition.308win" displayName="ammunition.308win" ref="C139:AA145" totalsRowShown="0" headerRowDxfId="506" dataDxfId="505">
  <tableColumns count="25">
    <tableColumn id="10" xr3:uid="{F65B9388-AF42-4CB8-83FF-5070C3F99613}" name="Key" dataDxfId="504"/>
    <tableColumn id="34" xr3:uid="{0682E7BF-25F2-4F0B-AA77-4E40E90BCADA}" name="Specification Type" dataDxfId="503"/>
    <tableColumn id="1" xr3:uid="{98292DDC-6689-449B-B5B5-1C1FE01BA103}" name="Cartridge" dataDxfId="502"/>
    <tableColumn id="2" xr3:uid="{F909ADAC-FBC1-4314-95B1-48500CF26F62}" name="Projectile" dataDxfId="501"/>
    <tableColumn id="12" xr3:uid="{4BFCAA44-4B61-4FA3-BCC5-C11937A62369}" name="Type"/>
    <tableColumn id="3" xr3:uid="{3973C5E0-160C-40E8-B688-71F6E4B7511F}" name="Caliber" dataDxfId="500">
      <calculatedColumnFormula>IF(NOT(ISBLANK($E140)),_xlfn.XLOOKUP($E140,CartridgeNames[Available Chamberings],CartridgeNames[Bullet Caliber],"n/a",0,1),"")</calculatedColumnFormula>
    </tableColumn>
    <tableColumn id="23" xr3:uid="{1BB8384E-16A8-44BB-B7C3-F4699DF25466}" name="Units (cal)" dataDxfId="499">
      <calculatedColumnFormula>IF(NOT(ISBLANK($E140)),_xlfn.XLOOKUP($E140,CartridgeNames[Available Chamberings],CartridgeNames[Caliber(Units)],"n/a",0,1),"")</calculatedColumnFormula>
    </tableColumn>
    <tableColumn id="5" xr3:uid="{99323AC3-0F9B-4F45-94B4-251E2C096FE0}" name="Weight" dataCellStyle="Normal"/>
    <tableColumn id="24" xr3:uid="{B43B95AE-7333-431A-9368-EF02656964A1}" name="Units(wt)" dataCellStyle="Normal"/>
    <tableColumn id="17" xr3:uid="{94C58BDE-D32B-41BE-BFD5-78B3F135022E}" name="Muzzle Velocity" dataCellStyle="Normal"/>
    <tableColumn id="25" xr3:uid="{EC38CD15-1728-49FB-AC2D-E7B37794F683}" name="Units(MV)" dataCellStyle="Normal"/>
    <tableColumn id="8" xr3:uid="{73663543-9C76-4724-B33C-595E622F1AB5}" name="Minimum Terminal Velocity" dataCellStyle="Normal"/>
    <tableColumn id="26" xr3:uid="{27603AAA-53F9-4381-B1FB-497B33E900AF}" name="Units(MTV)" dataCellStyle="Normal"/>
    <tableColumn id="11" xr3:uid="{0017E41E-5A51-47CB-8C2C-4562EFCE6268}" name="BC(G1)" dataCellStyle="Normal"/>
    <tableColumn id="7" xr3:uid="{E2B463F3-FC7D-425E-8AB8-104FD3B8E9C3}" name="BC (G7)" dataCellStyle="Normal"/>
    <tableColumn id="4" xr3:uid="{84623286-DC52-40FB-BD1D-96635388BA5C}" name="Caliber(in)" dataDxfId="498" dataCellStyle="Normal">
      <calculatedColumnFormula array="1">IF(NOT(OR(ISBLANK($H140),ISBLANK($I140))),ConvertLength($H140,$I140,"in"),"")</calculatedColumnFormula>
    </tableColumn>
    <tableColumn id="15" xr3:uid="{D78DE00E-1AA4-487F-B621-EB1B93E31F9E}" name="Caliber(mm)" dataDxfId="497" dataCellStyle="Normal">
      <calculatedColumnFormula array="1">IF(NOT(OR(ISBLANK($H140),ISBLANK($I140))),ConvertLength($H140,$I140,"mm"),"")</calculatedColumnFormula>
    </tableColumn>
    <tableColumn id="16" xr3:uid="{2DBE6BDE-678C-48C4-81A5-6C0A27C84AD9}" name="Weight(grains)" dataDxfId="496" dataCellStyle="Normal">
      <calculatedColumnFormula>IF(NOT(AND(ISBLANK($J140),ISBLANK($K140))),CONVERT($J140,$K140,"grain"),"")</calculatedColumnFormula>
    </tableColumn>
    <tableColumn id="18" xr3:uid="{5BE848A8-2A5B-4E0E-AE6B-FC09482610A1}" name="Weight(grams)" dataDxfId="495" dataCellStyle="Normal">
      <calculatedColumnFormula>IF(NOT(AND(ISBLANK($J140),ISBLANK($K140))),CONVERT($J140,$K140,"g"),"")</calculatedColumnFormula>
    </tableColumn>
    <tableColumn id="28" xr3:uid="{4593BA1B-B49B-4FFB-AEFE-C7D74C120356}" name="Muzzle Velocity(ft/s)" dataDxfId="494" dataCellStyle="Normal">
      <calculatedColumnFormula array="1">IF(NOT(OR(ISBLANK($L140),ISBLANK($M140))),ConvertSpeed($L140,$M140,"ft/sec"),"")</calculatedColumnFormula>
    </tableColumn>
    <tableColumn id="29" xr3:uid="{61F2F8FA-BD01-40A1-90CE-5001E3387411}" name="Muzzle Veloctiy(m/s)" dataDxfId="493" dataCellStyle="Normal">
      <calculatedColumnFormula array="1">IF(NOT(OR(ISBLANK($L140),ISBLANK($M140))),ConvertSpeed($L140,$M140,"m/sec"),"")</calculatedColumnFormula>
    </tableColumn>
    <tableColumn id="30" xr3:uid="{5F0989CD-9D51-4B45-B30B-768132977AB2}" name="Muzzle Energy(ft.lbs)" dataDxfId="492" dataCellStyle="Normal">
      <calculatedColumnFormula array="1">IF(NOT(OR(ISBLANK(V140),ISBLANK(T140))),MuzzleVelocityToMuzzleEnergyFtLb(V140,T140),"")</calculatedColumnFormula>
    </tableColumn>
    <tableColumn id="31" xr3:uid="{DE1CB813-3630-430F-BD4D-A9431AA8B28D}" name="Muzzle Energy(J)" dataDxfId="491" dataCellStyle="Normal">
      <calculatedColumnFormula array="1">IF(NOT(OR(ISBLANK(W140),ISBLANK(U140))),MuzzleVelocityToMuzzleEnergyJoules(W140,U140),"")</calculatedColumnFormula>
    </tableColumn>
    <tableColumn id="32" xr3:uid="{F0E8B7DB-E6FD-4369-B0A9-A1EBA82AD769}" name="Minimum Terminal Velocity(ft/s)" dataDxfId="490" dataCellStyle="Normal">
      <calculatedColumnFormula array="1">IF(NOT(OR(ISBLANK($N140),ISBLANK($O140))),ConvertSpeed($N140,$O140,"ft/sec"),"")</calculatedColumnFormula>
    </tableColumn>
    <tableColumn id="33" xr3:uid="{05329116-B11A-498D-AE08-E3EFC97CF5E5}" name="Minimum Terminal Velocity(m/s)" dataDxfId="489" dataCellStyle="Normal">
      <calculatedColumnFormula array="1">IF(NOT(OR(ISBLANK($N140),ISBLANK($O140))),ConvertSpeed($N140,$O140,"m/sec"),"")</calculatedColumnFormula>
    </tableColumn>
  </tableColumns>
  <tableStyleInfo name="TableStyleMedium2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0DD9C56-C35F-450F-B256-88A35114E563}" name="ammunition.338lapuamag" displayName="ammunition.338lapuamag" ref="C185:AA188" totalsRowShown="0" headerRowDxfId="488" dataDxfId="487">
  <tableColumns count="25">
    <tableColumn id="10" xr3:uid="{A55A1D1A-0BD1-4AC7-A3A5-EDE4AB2A20D2}" name="Key" dataDxfId="486"/>
    <tableColumn id="34" xr3:uid="{67DF4CA9-0D08-4EB8-BB66-C77333095BE2}" name="Specification Type" dataDxfId="485"/>
    <tableColumn id="1" xr3:uid="{BF87CAAB-5D14-41DF-97D0-B026309DB497}" name="Cartridge" dataDxfId="484"/>
    <tableColumn id="2" xr3:uid="{2EE2AC1A-BD42-4929-8F2D-166CE6081F87}" name="Projectile" dataDxfId="483"/>
    <tableColumn id="12" xr3:uid="{CE4019C4-B9DA-4DE2-BD5F-4A9BD339E9ED}" name="Type"/>
    <tableColumn id="3" xr3:uid="{AFB06209-0632-4A34-A622-C970FE5A7C37}" name="Caliber" dataDxfId="482">
      <calculatedColumnFormula>IF(NOT(ISBLANK($E186)),_xlfn.XLOOKUP($E186,CartridgeNames[Available Chamberings],CartridgeNames[Bullet Caliber],"n/a",0,1),"")</calculatedColumnFormula>
    </tableColumn>
    <tableColumn id="23" xr3:uid="{6D946E0F-D8BA-4B09-8634-D624F6B9C710}" name="Units (cal)" dataDxfId="481">
      <calculatedColumnFormula>IF(NOT(ISBLANK($E186)),_xlfn.XLOOKUP($E186,CartridgeNames[Available Chamberings],CartridgeNames[Caliber(Units)],"n/a",0,1),"")</calculatedColumnFormula>
    </tableColumn>
    <tableColumn id="5" xr3:uid="{B892F975-B60A-4918-88BD-09248C4F1000}" name="Weight" dataCellStyle="Normal"/>
    <tableColumn id="24" xr3:uid="{2CF89F64-3D29-4B6B-982D-13953EBA7F81}" name="Units(wt)" dataCellStyle="Normal"/>
    <tableColumn id="17" xr3:uid="{D1569C81-54BF-44E4-9DA2-961050CE2744}" name="Muzzle Velocity" dataCellStyle="Normal"/>
    <tableColumn id="25" xr3:uid="{DB997119-3C7D-4B87-A9D3-C7E87E10AAF3}" name="Units(MV)" dataCellStyle="Normal"/>
    <tableColumn id="8" xr3:uid="{E58070DE-A1D8-400F-90DA-157D83457385}" name="Minimum Terminal Velocity" dataCellStyle="Normal"/>
    <tableColumn id="26" xr3:uid="{E421EFCD-7042-481C-A91A-36D8A705394C}" name="Units(MTV)" dataCellStyle="Normal"/>
    <tableColumn id="11" xr3:uid="{20685AFB-BA92-4912-B342-DB4524FA71F4}" name="BC(G1)" dataCellStyle="Normal"/>
    <tableColumn id="7" xr3:uid="{07010A25-C7E2-4DCD-8E93-FD3D1622FDA2}" name="BC (G7)" dataCellStyle="Normal"/>
    <tableColumn id="4" xr3:uid="{A32E9D06-C44F-48E5-A78B-9DA0A0D0F7A5}" name="Caliber(in)" dataDxfId="480" dataCellStyle="Normal">
      <calculatedColumnFormula array="1">IF(NOT(OR(ISBLANK($H186),ISBLANK($I186))),ConvertLength($H186,$I186,"in"),"")</calculatedColumnFormula>
    </tableColumn>
    <tableColumn id="15" xr3:uid="{6D62F7F4-0F93-42AF-8183-CDC9A286E9A2}" name="Caliber(mm)" dataDxfId="479" dataCellStyle="Normal">
      <calculatedColumnFormula array="1">IF(NOT(OR(ISBLANK($H186),ISBLANK($I186))),ConvertLength($H186,$I186,"mm"),"")</calculatedColumnFormula>
    </tableColumn>
    <tableColumn id="16" xr3:uid="{63E6C64C-EBA3-4CE5-9846-FC296C96C594}" name="Weight(grains)" dataDxfId="478" dataCellStyle="Normal">
      <calculatedColumnFormula>IF(NOT(AND(ISBLANK($J186),ISBLANK($K186))),CONVERT($J186,$K186,"grain"),"")</calculatedColumnFormula>
    </tableColumn>
    <tableColumn id="18" xr3:uid="{F9D42D0A-DBFF-4AEF-9DB6-EAC7D123E831}" name="Weight(grams)" dataDxfId="477" dataCellStyle="Normal">
      <calculatedColumnFormula>IF(NOT(AND(ISBLANK($J186),ISBLANK($K186))),CONVERT($J186,$K186,"g"),"")</calculatedColumnFormula>
    </tableColumn>
    <tableColumn id="28" xr3:uid="{A50016FD-ECD9-4835-8403-95B9E0436F9B}" name="Muzzle Velocity(ft/s)" dataDxfId="476" dataCellStyle="Normal">
      <calculatedColumnFormula array="1">IF(NOT(OR(ISBLANK($L186),ISBLANK($M186))),ConvertSpeed($L186,$M186,"ft/sec"),"")</calculatedColumnFormula>
    </tableColumn>
    <tableColumn id="29" xr3:uid="{9A22166F-43A1-4B69-B4A5-8BFAF3A295B5}" name="Muzzle Veloctiy(m/s)" dataDxfId="475" dataCellStyle="Normal">
      <calculatedColumnFormula array="1">IF(NOT(OR(ISBLANK($L186),ISBLANK($M186))),ConvertSpeed($L186,$M186,"m/sec"),"")</calculatedColumnFormula>
    </tableColumn>
    <tableColumn id="30" xr3:uid="{05F003AE-FCBE-49B7-8897-42C794C7C368}" name="Muzzle Energy(ft.lbs)" dataDxfId="474" dataCellStyle="Normal">
      <calculatedColumnFormula array="1">IF(NOT(OR(ISBLANK(V186),ISBLANK(T186))),MuzzleVelocityToMuzzleEnergyFtLb(V186,T186),"")</calculatedColumnFormula>
    </tableColumn>
    <tableColumn id="31" xr3:uid="{803AE1BC-8206-4DD4-9D5D-690B6DD79B8E}" name="Muzzle Energy(J)" dataDxfId="473" dataCellStyle="Normal">
      <calculatedColumnFormula array="1">IF(NOT(OR(ISBLANK(W186),ISBLANK(U186))),MuzzleVelocityToMuzzleEnergyJoules(W186,U186),"")</calculatedColumnFormula>
    </tableColumn>
    <tableColumn id="32" xr3:uid="{512C236A-6FBB-4712-B416-5CCA81D5AEBF}" name="Minimum Terminal Velocity(ft/s)" dataDxfId="472" dataCellStyle="Normal">
      <calculatedColumnFormula array="1">IF(NOT(OR(ISBLANK($N186),ISBLANK($O186))),ConvertSpeed($N186,$O186,"ft/sec"),"")</calculatedColumnFormula>
    </tableColumn>
    <tableColumn id="33" xr3:uid="{0848DFF7-701E-46C6-A69A-6F7815BCEC5C}" name="Minimum Terminal Velocity(m/s)" dataDxfId="471" dataCellStyle="Normal">
      <calculatedColumnFormula array="1">IF(NOT(OR(ISBLANK($N186),ISBLANK($O186))),ConvertSpeed($N186,$O186,"m/sec"),"")</calculatedColumnFormula>
    </tableColumn>
  </tableColumns>
  <tableStyleInfo name="TableStyleMedium2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C820213-D3AF-44D2-9EE7-D5BE243A2500}" name="rifles.308win" displayName="rifles.308win" ref="C148:R150" totalsRowShown="0" headerRowDxfId="470">
  <autoFilter ref="C148:R150" xr:uid="{9C820213-D3AF-44D2-9EE7-D5BE243A2500}"/>
  <tableColumns count="16">
    <tableColumn id="1" xr3:uid="{FEEFEA33-C836-45A0-A034-0E9822A355F3}" name="Key"/>
    <tableColumn id="2" xr3:uid="{2AAC0DF3-144A-4EDB-B676-EB1FA322048A}" name="Chambering"/>
    <tableColumn id="3" xr3:uid="{AC171C44-9865-4CCF-BC8E-8E3379F2A5A3}" name="Model"/>
    <tableColumn id="4" xr3:uid="{2F5A4E15-90C8-4D06-AE6B-4330AABC244D}" name="Action Type"/>
    <tableColumn id="5" xr3:uid="{59936B4F-7A87-406B-905C-3AE6C9DF4E66}" name="Weight" dataDxfId="469"/>
    <tableColumn id="6" xr3:uid="{41E82991-6E6C-4634-BD1D-9C4B3D5D2DD5}" name="Units(Wt)" dataDxfId="468"/>
    <tableColumn id="7" xr3:uid="{63A93DF3-2680-494B-A634-F0C9645B7FF0}" name="Barrel Length" dataDxfId="467"/>
    <tableColumn id="9" xr3:uid="{46F44F6F-7ACF-49C7-91D1-F3B1EE7369E7}" name="Overall Length" dataDxfId="466"/>
    <tableColumn id="18" xr3:uid="{F5B1610D-B99C-4969-904C-DBA69419261C}" name="Twist Rate(1:*)" dataDxfId="465"/>
    <tableColumn id="10" xr3:uid="{B8B8734E-61B4-4933-A90D-5F424A7637DF}" name="Units(Length)" dataDxfId="464"/>
    <tableColumn id="11" xr3:uid="{7681A362-3FF0-474C-BD4C-9A1AE0E71647}" name="1-Sigma Precision" dataDxfId="463"/>
    <tableColumn id="12" xr3:uid="{CC03C4B6-8A01-4AB9-AE13-94FD8C489570}" name="2-Sigma Precision" dataDxfId="462"/>
    <tableColumn id="13" xr3:uid="{707BD038-9A21-4870-8E42-1D2945F6B568}" name="Units(Precision)" dataDxfId="461"/>
    <tableColumn id="14" xr3:uid="{8CB6C268-9A39-46F7-B08F-7B796BD6A9C1}" name="Resolution(Outer)" dataDxfId="460"/>
    <tableColumn id="15" xr3:uid="{9AC802B1-C2E5-4727-842F-41615FCE9286}" name="Resolution(Inner)" dataDxfId="459"/>
    <tableColumn id="16" xr3:uid="{1B593CE6-C393-4015-B56B-67BA7E5DEEE2}" name="Units(Resolution)" dataDxfId="458"/>
  </tableColumns>
  <tableStyleInfo name="TableStyleMedium2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E91ABFC-A856-4FD7-A80E-6DC3833BA6B3}" name="ammunition.22lr" displayName="ammunition.22lr" ref="C5:AA11" totalsRowShown="0" headerRowDxfId="457" dataDxfId="456">
  <tableColumns count="25">
    <tableColumn id="10" xr3:uid="{4130E3D1-EEF3-4982-B8EE-44A928BE92A9}" name="Key" dataDxfId="455"/>
    <tableColumn id="34" xr3:uid="{9264C4F9-C56A-4373-AF98-6DDB2DD65A6B}" name="Specification Type" dataDxfId="454"/>
    <tableColumn id="1" xr3:uid="{5D7A9745-10DA-4F5D-8DE5-7F9A66930D34}" name="Cartridge" dataDxfId="453"/>
    <tableColumn id="2" xr3:uid="{BA9ECF2C-FAFD-4F22-8873-E8BD51C69EB9}" name="Projectile" dataDxfId="452"/>
    <tableColumn id="12" xr3:uid="{4B7228A1-B37B-416C-B88C-1EF4A62E0CBF}" name="Type"/>
    <tableColumn id="3" xr3:uid="{1A5F3875-8FE1-44E9-A31D-1430D0BD18D6}" name="Caliber" dataDxfId="451">
      <calculatedColumnFormula>IF(NOT(ISBLANK($E6)),_xlfn.XLOOKUP($E6,CartridgeNames[Available Chamberings],CartridgeNames[Bullet Caliber],"n/a",0,1),"")</calculatedColumnFormula>
    </tableColumn>
    <tableColumn id="23" xr3:uid="{0C2D7115-B365-4D6A-A1D2-BF6D35F49E1A}" name="Units (cal)" dataDxfId="450">
      <calculatedColumnFormula>IF(NOT(ISBLANK($E6)),_xlfn.XLOOKUP($E6,CartridgeNames[Available Chamberings],CartridgeNames[Caliber(Units)],"n/a",0,1),"")</calculatedColumnFormula>
    </tableColumn>
    <tableColumn id="5" xr3:uid="{765D1F11-74EB-4C20-9148-D04C2A57CB2F}" name="Weight" dataCellStyle="Normal"/>
    <tableColumn id="24" xr3:uid="{5CF5069B-D113-499C-9C6A-7464E75E258F}" name="Units(wt)" dataCellStyle="Normal"/>
    <tableColumn id="17" xr3:uid="{DC848811-4876-4E16-83F4-76FDC8982E89}" name="Muzzle Velocity" dataDxfId="449" dataCellStyle="Normal"/>
    <tableColumn id="25" xr3:uid="{4020CAE2-34C1-46F0-BB1C-BA9962B81E59}" name="Units(MV)" dataCellStyle="Normal"/>
    <tableColumn id="8" xr3:uid="{C681DC40-BAC7-4159-8128-D1ABDC776824}" name="Minimum Terminal Velocity" dataCellStyle="Normal"/>
    <tableColumn id="26" xr3:uid="{887462A3-6D83-4AF6-B3F8-4E4574D88D57}" name="Units(MTV)" dataCellStyle="Normal"/>
    <tableColumn id="11" xr3:uid="{BB014F69-ABAB-4397-8102-668AB7EC2A61}" name="BC(G1)" dataCellStyle="Normal"/>
    <tableColumn id="7" xr3:uid="{B4ACC3C6-05D1-4858-B69F-E1C7ED8420E6}" name="BC (G7)" dataCellStyle="Normal"/>
    <tableColumn id="4" xr3:uid="{C09F834C-F968-49DA-B1F6-88D925CAACC7}" name="Caliber(in)" dataDxfId="448" dataCellStyle="Normal">
      <calculatedColumnFormula array="1">IF(NOT(OR(ISBLANK($H6),ISBLANK($I6))),ConvertLength($H6,$I6,"in"),"")</calculatedColumnFormula>
    </tableColumn>
    <tableColumn id="15" xr3:uid="{070A94E2-3CAC-46E8-BCA1-DC9CB407C2D1}" name="Caliber(mm)" dataDxfId="447" dataCellStyle="Normal">
      <calculatedColumnFormula array="1">IF(NOT(OR(ISBLANK($H6),ISBLANK($I6))),ConvertLength($H6,$I6,"mm"),"")</calculatedColumnFormula>
    </tableColumn>
    <tableColumn id="16" xr3:uid="{F4AFA235-16C6-438E-966C-FAD092C58FF6}" name="Weight(grains)" dataDxfId="446" dataCellStyle="Normal">
      <calculatedColumnFormula>IF(NOT(AND(ISBLANK($J6),ISBLANK($K6))),CONVERT($J6,$K6,"grain"),"")</calculatedColumnFormula>
    </tableColumn>
    <tableColumn id="18" xr3:uid="{81809C62-82CD-4E59-B80A-E539A5D8BB9F}" name="Weight(grams)" dataDxfId="445" dataCellStyle="Normal">
      <calculatedColumnFormula>IF(NOT(AND(ISBLANK($J6),ISBLANK($K6))),CONVERT($J6,$K6,"g"),"")</calculatedColumnFormula>
    </tableColumn>
    <tableColumn id="28" xr3:uid="{4AA46413-205F-400A-BA11-9C90D74949D9}" name="Muzzle Velocity(ft/s)" dataDxfId="444" dataCellStyle="Normal">
      <calculatedColumnFormula array="1">IF(NOT(OR(ISBLANK($L6),ISBLANK($M6))),ConvertSpeed($L6,$M6,"ft/sec"),"")</calculatedColumnFormula>
    </tableColumn>
    <tableColumn id="29" xr3:uid="{04DBBEA1-FD56-48E3-8659-5A34EFD4342D}" name="Muzzle Veloctiy(m/s)" dataDxfId="443" dataCellStyle="Normal">
      <calculatedColumnFormula array="1">IF(NOT(OR(ISBLANK($L6),ISBLANK($M6))),ConvertSpeed($L6,$M6,"m/sec"),"")</calculatedColumnFormula>
    </tableColumn>
    <tableColumn id="30" xr3:uid="{286C4FF3-1A6B-4C42-834F-A2F6F88014B4}" name="Muzzle Energy(ft.lbs)" dataDxfId="442" dataCellStyle="Normal">
      <calculatedColumnFormula array="1">IF(NOT(OR(ISBLANK(V6),ISBLANK(T6))),MuzzleVelocityToMuzzleEnergyFtLb(V6,T6),"")</calculatedColumnFormula>
    </tableColumn>
    <tableColumn id="31" xr3:uid="{CA014027-E470-406F-AFAE-306E0D9996BB}" name="Muzzle Energy(J)" dataDxfId="441" dataCellStyle="Normal">
      <calculatedColumnFormula array="1">IF(NOT(OR(ISBLANK(W6),ISBLANK(U6))),MuzzleVelocityToMuzzleEnergyJoules(W6,U6),"")</calculatedColumnFormula>
    </tableColumn>
    <tableColumn id="32" xr3:uid="{E72CF99A-18D8-4808-9069-8DA31FDD58BA}" name="Minimum Terminal Velocity(ft/s)" dataDxfId="440" dataCellStyle="Normal">
      <calculatedColumnFormula array="1">IF(NOT(OR(ISBLANK($N6),ISBLANK($O6))),ConvertSpeed($N6,$O6,"ft/sec"),"")</calculatedColumnFormula>
    </tableColumn>
    <tableColumn id="33" xr3:uid="{033C7565-A076-433C-9104-B7D7DB3C16D8}" name="Minimum Terminal Velocity(m/s)" dataDxfId="439" dataCellStyle="Normal">
      <calculatedColumnFormula array="1">IF(NOT(OR(ISBLANK($N6),ISBLANK($O6))),ConvertSpeed($N6,$O6,"m/sec"),"")</calculatedColumnFormula>
    </tableColumn>
  </tableColumns>
  <tableStyleInfo name="TableStyleMedium2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64408FF-4A16-4C6F-B80E-51CDA8C14A4D}" name="ammunition.65mmcreedmoor" displayName="ammunition.65mmcreedmoor" ref="C54:AA60" totalsRowShown="0" headerRowDxfId="438" dataDxfId="437">
  <tableColumns count="25">
    <tableColumn id="10" xr3:uid="{C8BAECF3-BB46-4B99-B00D-37919EE5C23B}" name="Key" dataDxfId="436"/>
    <tableColumn id="34" xr3:uid="{5156D1D3-CB6C-4BDD-8B1C-9B8B5F7485F0}" name="Specification Type" dataDxfId="435"/>
    <tableColumn id="1" xr3:uid="{2097F011-75BB-4484-82AA-E49FD0713419}" name="Cartridge" dataDxfId="434"/>
    <tableColumn id="2" xr3:uid="{37F1F2F1-B21E-4AB7-8CB3-04477562E8AD}" name="Projectile" dataDxfId="433"/>
    <tableColumn id="12" xr3:uid="{23EF3CD8-A652-46F8-8ABE-0061A1CEFE23}" name="Type"/>
    <tableColumn id="3" xr3:uid="{B6645D30-570E-43F3-8800-ADC01237EAC8}" name="Caliber" dataDxfId="432">
      <calculatedColumnFormula>IF(NOT(ISBLANK($E55)),_xlfn.XLOOKUP($E55,CartridgeNames[Available Chamberings],CartridgeNames[Bullet Caliber],"n/a",0,1),"")</calculatedColumnFormula>
    </tableColumn>
    <tableColumn id="23" xr3:uid="{1DF5F1EC-8F9C-4EE1-AF95-D94EB20B7340}" name="Units (cal)" dataDxfId="431">
      <calculatedColumnFormula>IF(NOT(ISBLANK($E55)),_xlfn.XLOOKUP($E55,CartridgeNames[Available Chamberings],CartridgeNames[Caliber(Units)],"n/a",0,1),"")</calculatedColumnFormula>
    </tableColumn>
    <tableColumn id="5" xr3:uid="{47DD6FB1-9411-452E-A4DB-5EDFA771A2B5}" name="Weight" dataCellStyle="Normal"/>
    <tableColumn id="24" xr3:uid="{A90C8339-F3F1-4038-BF6A-4D085D2A33DC}" name="Units(wt)" dataCellStyle="Normal"/>
    <tableColumn id="17" xr3:uid="{0BB039E9-4193-4AD2-8151-A8CF17E0EDE3}" name="Muzzle Velocity" dataDxfId="430" dataCellStyle="Normal"/>
    <tableColumn id="25" xr3:uid="{0AC376DC-8E1D-42F3-8B58-F2E61B9E6E31}" name="Units(MV)" dataCellStyle="Normal"/>
    <tableColumn id="8" xr3:uid="{48ADE48B-AE3D-4BFA-83FD-176BD82B058E}" name="Minimum Terminal Velocity" dataCellStyle="Normal"/>
    <tableColumn id="26" xr3:uid="{4DFC21D6-26FF-46FE-8F4B-D1FA20CE98DB}" name="Units(MTV)" dataCellStyle="Normal"/>
    <tableColumn id="11" xr3:uid="{DACC1B16-9A44-4414-9AD7-81A9D4340966}" name="BC(G1)" dataCellStyle="Normal"/>
    <tableColumn id="7" xr3:uid="{8E137CCE-03EE-4EB8-93AE-B48DCE58F465}" name="BC (G7)" dataCellStyle="Normal"/>
    <tableColumn id="4" xr3:uid="{7B307E2E-A6F1-4EDD-B3C9-AE6CB4679A79}" name="Caliber(in)" dataDxfId="429" dataCellStyle="Normal">
      <calculatedColumnFormula array="1">IF(NOT(OR(ISBLANK($H55),ISBLANK($I55))),ConvertLength($H55,$I55,"in"),"")</calculatedColumnFormula>
    </tableColumn>
    <tableColumn id="15" xr3:uid="{FD08FB55-CCEA-4743-9DA4-D0F712BD0849}" name="Caliber(mm)" dataDxfId="428" dataCellStyle="Normal">
      <calculatedColumnFormula array="1">IF(NOT(OR(ISBLANK($H55),ISBLANK($I55))),ConvertLength($H55,$I55,"mm"),"")</calculatedColumnFormula>
    </tableColumn>
    <tableColumn id="16" xr3:uid="{AD4167E3-1635-46C9-B4A9-83D63362B9F2}" name="Weight(grains)" dataDxfId="427" dataCellStyle="Normal">
      <calculatedColumnFormula>IF(NOT(AND(ISBLANK($J55),ISBLANK($K55))),CONVERT($J55,$K55,"grain"),"")</calculatedColumnFormula>
    </tableColumn>
    <tableColumn id="18" xr3:uid="{A9F4D445-6FC7-4DA8-8C79-B6A724930C85}" name="Weight(grams)" dataDxfId="426" dataCellStyle="Normal">
      <calculatedColumnFormula>IF(NOT(AND(ISBLANK($J55),ISBLANK($K55))),CONVERT($J55,$K55,"g"),"")</calculatedColumnFormula>
    </tableColumn>
    <tableColumn id="28" xr3:uid="{143C4F7A-2730-4B21-9C39-EF6E59436D85}" name="Muzzle Velocity(ft/s)" dataDxfId="425" dataCellStyle="Normal">
      <calculatedColumnFormula array="1">IF(NOT(OR(ISBLANK($L55),ISBLANK($M55))),ConvertSpeed($L55,$M55,"ft/sec"),"")</calculatedColumnFormula>
    </tableColumn>
    <tableColumn id="29" xr3:uid="{2D70DF5E-594C-49D9-8A06-79B50B1C2285}" name="Muzzle Veloctiy(m/s)" dataDxfId="424" dataCellStyle="Normal">
      <calculatedColumnFormula array="1">IF(NOT(OR(ISBLANK($L55),ISBLANK($M55))),ConvertSpeed($L55,$M55,"m/sec"),"")</calculatedColumnFormula>
    </tableColumn>
    <tableColumn id="30" xr3:uid="{DD3E7969-8C7A-4424-954B-5A252150C5B0}" name="Muzzle Energy(ft.lbs)" dataDxfId="423" dataCellStyle="Normal">
      <calculatedColumnFormula array="1">IF(NOT(OR(ISBLANK(V55),ISBLANK(T55))),MuzzleVelocityToMuzzleEnergyFtLb(V55,T55),"")</calculatedColumnFormula>
    </tableColumn>
    <tableColumn id="31" xr3:uid="{AD760E23-2F32-43DB-973C-31C73FD2488C}" name="Muzzle Energy(J)" dataDxfId="422" dataCellStyle="Normal">
      <calculatedColumnFormula array="1">IF(NOT(OR(ISBLANK(W55),ISBLANK(U55))),MuzzleVelocityToMuzzleEnergyJoules(W55,U55),"")</calculatedColumnFormula>
    </tableColumn>
    <tableColumn id="32" xr3:uid="{C9C3EA88-178F-497D-A496-1DAEF70C8E48}" name="Minimum Terminal Velocity(ft/s)" dataDxfId="421" dataCellStyle="Normal">
      <calculatedColumnFormula array="1">IF(NOT(OR(ISBLANK($N55),ISBLANK($O55))),ConvertSpeed($N55,$O55,"ft/sec"),"")</calculatedColumnFormula>
    </tableColumn>
    <tableColumn id="33" xr3:uid="{631F8133-3A08-4BC0-92A0-263C072B1B0D}" name="Minimum Terminal Velocity(m/s)" dataDxfId="420" dataCellStyle="Normal">
      <calculatedColumnFormula array="1">IF(NOT(OR(ISBLANK($N55),ISBLANK($O55))),ConvertSpeed($N55,$O55,"m/sec"),"")</calculatedColumnFormula>
    </tableColumn>
  </tableColumns>
  <tableStyleInfo name="TableStyleMedium2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4BED5F6-91C7-4770-A901-A9285B4507EB}" name="ammunition.7mmprc" displayName="ammunition.7mmprc" ref="C104:AA110" totalsRowShown="0" headerRowDxfId="419" dataDxfId="418">
  <tableColumns count="25">
    <tableColumn id="10" xr3:uid="{533613D5-5AB9-43F0-9FFF-2FD1C21C753E}" name="Key" dataDxfId="417"/>
    <tableColumn id="34" xr3:uid="{EC2C9879-FFD1-472A-87CF-B99DBFE3EFA6}" name="Specification Type" dataDxfId="416"/>
    <tableColumn id="1" xr3:uid="{3F9408AF-0223-4879-8621-89530C37B48A}" name="Cartridge" dataDxfId="415"/>
    <tableColumn id="2" xr3:uid="{442C7250-C0E0-452B-8D7C-7B60E7E295DD}" name="Projectile" dataDxfId="414"/>
    <tableColumn id="12" xr3:uid="{0A53CF6D-A969-4131-9675-A22413938031}" name="Type"/>
    <tableColumn id="3" xr3:uid="{D4DC7A3F-F88A-4879-AFE0-D6BE57F747AB}" name="Caliber" dataDxfId="413">
      <calculatedColumnFormula>IF(NOT(ISBLANK($E105)),_xlfn.XLOOKUP($E105,CartridgeNames[Available Chamberings],CartridgeNames[Bullet Caliber],"n/a",0,1),"")</calculatedColumnFormula>
    </tableColumn>
    <tableColumn id="23" xr3:uid="{82DF71FB-7637-47C3-928F-B75470F3740E}" name="Units (cal)" dataDxfId="412">
      <calculatedColumnFormula>IF(NOT(ISBLANK($E105)),_xlfn.XLOOKUP($E105,CartridgeNames[Available Chamberings],CartridgeNames[Caliber(Units)],"n/a",0,1),"")</calculatedColumnFormula>
    </tableColumn>
    <tableColumn id="5" xr3:uid="{536C9A4F-690F-4B52-939C-C528C81F08B3}" name="Weight" dataCellStyle="Normal"/>
    <tableColumn id="24" xr3:uid="{9F25D8FB-31BC-423F-AE89-27728B718488}" name="Units(wt)" dataCellStyle="Normal"/>
    <tableColumn id="17" xr3:uid="{0377F2EF-1926-4F55-A48C-F25A925C009C}" name="Muzzle Velocity" dataDxfId="411" dataCellStyle="Normal"/>
    <tableColumn id="25" xr3:uid="{119F8D8E-7ADF-4219-8F91-1DD5D302EAF1}" name="Units(MV)" dataCellStyle="Normal"/>
    <tableColumn id="8" xr3:uid="{B1DF014C-C64A-4CCF-A065-0E9C2668E0A8}" name="Minimum Terminal Velocity" dataCellStyle="Normal"/>
    <tableColumn id="26" xr3:uid="{ADDBFAF5-07F4-46C7-8157-E76F0BEE8AF9}" name="Units(MTV)" dataCellStyle="Normal"/>
    <tableColumn id="11" xr3:uid="{776CA18E-97EE-4347-BDEB-A20574AB5889}" name="BC(G1)" dataCellStyle="Normal"/>
    <tableColumn id="7" xr3:uid="{4753BB33-3E62-422C-BD11-4D53FD675B61}" name="BC (G7)" dataCellStyle="Normal"/>
    <tableColumn id="4" xr3:uid="{EADCB5D3-F023-4440-B5D9-70E1F1B4EEAA}" name="Caliber(in)" dataDxfId="410" dataCellStyle="Normal">
      <calculatedColumnFormula array="1">IF(NOT(OR(ISBLANK($H105),ISBLANK($I105))),ConvertLength($H105,$I105,"in"),"")</calculatedColumnFormula>
    </tableColumn>
    <tableColumn id="15" xr3:uid="{B3957477-D2D4-40AF-B44C-F20147C2D99E}" name="Caliber(mm)" dataDxfId="409" dataCellStyle="Normal">
      <calculatedColumnFormula array="1">IF(NOT(OR(ISBLANK($H105),ISBLANK($I105))),ConvertLength($H105,$I105,"mm"),"")</calculatedColumnFormula>
    </tableColumn>
    <tableColumn id="16" xr3:uid="{1292C7EC-7CBF-449F-B01A-B49BA4073180}" name="Weight(grains)" dataDxfId="408" dataCellStyle="Normal">
      <calculatedColumnFormula>IF(NOT(AND(ISBLANK($J105),ISBLANK($K105))),CONVERT($J105,$K105,"grain"),"")</calculatedColumnFormula>
    </tableColumn>
    <tableColumn id="18" xr3:uid="{34B59A13-5C7A-4FF6-8153-2D81AF2E4203}" name="Weight(grams)" dataDxfId="407" dataCellStyle="Normal">
      <calculatedColumnFormula>IF(NOT(AND(ISBLANK($J105),ISBLANK($K105))),CONVERT($J105,$K105,"g"),"")</calculatedColumnFormula>
    </tableColumn>
    <tableColumn id="28" xr3:uid="{B9ED222F-B765-41CA-B47D-CB8C3F2A839B}" name="Muzzle Velocity(ft/s)" dataDxfId="406" dataCellStyle="Normal">
      <calculatedColumnFormula array="1">IF(NOT(OR(ISBLANK($L105),ISBLANK($M105))),ConvertSpeed($L105,$M105,"ft/sec"),"")</calculatedColumnFormula>
    </tableColumn>
    <tableColumn id="29" xr3:uid="{06E7C4DE-2DE1-475E-B672-6EC2DD3CE82A}" name="Muzzle Veloctiy(m/s)" dataDxfId="405" dataCellStyle="Normal">
      <calculatedColumnFormula array="1">IF(NOT(OR(ISBLANK($L105),ISBLANK($M105))),ConvertSpeed($L105,$M105,"m/sec"),"")</calculatedColumnFormula>
    </tableColumn>
    <tableColumn id="30" xr3:uid="{54673EFB-D4C0-4A4A-A74F-18324BF4A5A3}" name="Muzzle Energy(ft.lbs)" dataDxfId="404" dataCellStyle="Normal">
      <calculatedColumnFormula array="1">IF(NOT(OR(ISBLANK(V105),ISBLANK(T105))),MuzzleVelocityToMuzzleEnergyFtLb(V105,T105),"")</calculatedColumnFormula>
    </tableColumn>
    <tableColumn id="31" xr3:uid="{3ABB8362-ED04-41E6-BD19-7CA7DF7CAA71}" name="Muzzle Energy(J)" dataDxfId="403" dataCellStyle="Normal">
      <calculatedColumnFormula array="1">IF(NOT(OR(ISBLANK(W105),ISBLANK(U105))),MuzzleVelocityToMuzzleEnergyJoules(W105,U105),"")</calculatedColumnFormula>
    </tableColumn>
    <tableColumn id="32" xr3:uid="{475E8E4C-BFA3-4494-A8AC-E2C4FE83D481}" name="Minimum Terminal Velocity(ft/s)" dataDxfId="402" dataCellStyle="Normal">
      <calculatedColumnFormula array="1">IF(NOT(OR(ISBLANK($N105),ISBLANK($O105))),ConvertSpeed($N105,$O105,"ft/sec"),"")</calculatedColumnFormula>
    </tableColumn>
    <tableColumn id="33" xr3:uid="{FE9E2FA8-883F-4DED-8FE8-5AB0E4C60331}" name="Minimum Terminal Velocity(m/s)" dataDxfId="401" dataCellStyle="Normal">
      <calculatedColumnFormula array="1">IF(NOT(OR(ISBLANK($N105),ISBLANK($O105))),ConvertSpeed($N105,$O105,"m/sec"),"")</calculatedColumnFormula>
    </tableColumn>
  </tableColumns>
  <tableStyleInfo name="TableStyleMedium2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AE681F9-6E05-49A2-A3C8-258ADDF476F7}" name="ammunition.243win" displayName="ammunition.243win" ref="C37:AA43" totalsRowShown="0" headerRowDxfId="400" dataDxfId="399">
  <tableColumns count="25">
    <tableColumn id="10" xr3:uid="{9E3225D6-1666-49E6-A91E-94152BCBBA6A}" name="Key" dataDxfId="398"/>
    <tableColumn id="34" xr3:uid="{D2EA2CA9-4733-4CC0-AA16-249029F03C6A}" name="Specification Type" dataDxfId="397"/>
    <tableColumn id="1" xr3:uid="{93DF7D74-1809-4191-9EEB-D9D23B715E84}" name="Cartridge" dataDxfId="396"/>
    <tableColumn id="2" xr3:uid="{0378929A-3F33-48BF-98C1-D972659EFB24}" name="Projectile" dataDxfId="395"/>
    <tableColumn id="12" xr3:uid="{A5F75F17-48C9-4616-86EB-EDEEE668F1CC}" name="Type"/>
    <tableColumn id="3" xr3:uid="{8228A478-5EC7-4FDC-A8AD-FB0C08F6D8B9}" name="Caliber" dataDxfId="394">
      <calculatedColumnFormula>IF(NOT(ISBLANK($E38)),_xlfn.XLOOKUP($E38,CartridgeNames[Available Chamberings],CartridgeNames[Bullet Caliber],"n/a",0,1),"")</calculatedColumnFormula>
    </tableColumn>
    <tableColumn id="23" xr3:uid="{1422484A-5F17-4E0C-9C53-9E414BBA2294}" name="Units (cal)" dataDxfId="393">
      <calculatedColumnFormula>IF(NOT(ISBLANK($E38)),_xlfn.XLOOKUP($E38,CartridgeNames[Available Chamberings],CartridgeNames[Caliber(Units)],"n/a",0,1),"")</calculatedColumnFormula>
    </tableColumn>
    <tableColumn id="5" xr3:uid="{A94EBDE8-1F33-4706-96D6-CAAA00653253}" name="Weight" dataCellStyle="Normal"/>
    <tableColumn id="24" xr3:uid="{81BB6A8D-8031-4A4E-B930-46BB2255701C}" name="Units(wt)" dataCellStyle="Normal"/>
    <tableColumn id="17" xr3:uid="{D6AE8FC4-67AD-449F-AE1B-4EC8D8745598}" name="Muzzle Velocity" dataDxfId="392" dataCellStyle="Normal"/>
    <tableColumn id="25" xr3:uid="{14720E76-8FF6-4633-BDF9-9AB90F121096}" name="Units(MV)" dataCellStyle="Normal"/>
    <tableColumn id="8" xr3:uid="{65A281DB-9486-4103-BFBA-C5BD6EC63058}" name="Minimum Terminal Velocity" dataDxfId="391" dataCellStyle="Normal"/>
    <tableColumn id="26" xr3:uid="{09F04016-C1C8-4339-97E9-2B46847BC035}" name="Units(MTV)" dataCellStyle="Normal"/>
    <tableColumn id="11" xr3:uid="{2ED76FA3-E47F-4AB3-9703-9E750D3EA87E}" name="BC(G1)" dataDxfId="390" dataCellStyle="Normal"/>
    <tableColumn id="7" xr3:uid="{79316422-4E12-4E01-9125-4565C0AFA9B2}" name="BC (G7)" dataCellStyle="Normal"/>
    <tableColumn id="4" xr3:uid="{D9F4CC11-03F1-4F12-A46A-7B402ECA9489}" name="Caliber(in)" dataDxfId="389" dataCellStyle="Normal">
      <calculatedColumnFormula array="1">IF(NOT(OR(ISBLANK($H38),ISBLANK($I38))),ConvertLength($H38,$I38,"in"),"")</calculatedColumnFormula>
    </tableColumn>
    <tableColumn id="15" xr3:uid="{5040ABB0-64C0-4BAA-87CB-E64A4D8A8984}" name="Caliber(mm)" dataDxfId="388" dataCellStyle="Normal">
      <calculatedColumnFormula array="1">IF(NOT(OR(ISBLANK($H38),ISBLANK($I38))),ConvertLength($H38,$I38,"mm"),"")</calculatedColumnFormula>
    </tableColumn>
    <tableColumn id="16" xr3:uid="{C04EFB75-D192-4B7B-B312-D86BEC6924C3}" name="Weight(grains)" dataDxfId="387" dataCellStyle="Normal">
      <calculatedColumnFormula>IF(NOT(AND(ISBLANK($J38),ISBLANK($K38))),CONVERT($J38,$K38,"grain"),"")</calculatedColumnFormula>
    </tableColumn>
    <tableColumn id="18" xr3:uid="{2DB44954-F18F-4F65-9E76-963DF93A9CCE}" name="Weight(grams)" dataDxfId="386" dataCellStyle="Normal">
      <calculatedColumnFormula>IF(NOT(AND(ISBLANK($J38),ISBLANK($K38))),CONVERT($J38,$K38,"g"),"")</calculatedColumnFormula>
    </tableColumn>
    <tableColumn id="28" xr3:uid="{EE240CCD-EC41-4476-ADE5-C36FDEA340E2}" name="Muzzle Velocity(ft/s)" dataDxfId="385" dataCellStyle="Normal">
      <calculatedColumnFormula array="1">IF(NOT(OR(ISBLANK($L38),ISBLANK($M38))),ConvertSpeed($L38,$M38,"ft/sec"),"")</calculatedColumnFormula>
    </tableColumn>
    <tableColumn id="29" xr3:uid="{02A31CF7-8498-49BB-8A7B-8C9A27EE257E}" name="Muzzle Veloctiy(m/s)" dataDxfId="384" dataCellStyle="Normal">
      <calculatedColumnFormula array="1">IF(NOT(OR(ISBLANK($L38),ISBLANK($M38))),ConvertSpeed($L38,$M38,"m/sec"),"")</calculatedColumnFormula>
    </tableColumn>
    <tableColumn id="30" xr3:uid="{2786CE7B-FEB8-4D42-9C91-DAC28D9682E1}" name="Muzzle Energy(ft.lbs)" dataDxfId="383" dataCellStyle="Normal">
      <calculatedColumnFormula array="1">IF(NOT(OR(ISBLANK(V38),ISBLANK(T38))),MuzzleVelocityToMuzzleEnergyFtLb(V38,T38),"")</calculatedColumnFormula>
    </tableColumn>
    <tableColumn id="31" xr3:uid="{F47154E6-89F9-4019-AFB2-40616F3F6235}" name="Muzzle Energy(J)" dataDxfId="382" dataCellStyle="Normal">
      <calculatedColumnFormula array="1">IF(NOT(OR(ISBLANK(W38),ISBLANK(U38))),MuzzleVelocityToMuzzleEnergyJoules(W38,U38),"")</calculatedColumnFormula>
    </tableColumn>
    <tableColumn id="32" xr3:uid="{7EFF552F-9ACC-4C43-BABC-C8DD566EB508}" name="Minimum Terminal Velocity(ft/s)" dataDxfId="381" dataCellStyle="Normal">
      <calculatedColumnFormula array="1">IF(NOT(OR(ISBLANK($N38),ISBLANK($O38))),ConvertSpeed($N38,$O38,"ft/sec"),"")</calculatedColumnFormula>
    </tableColumn>
    <tableColumn id="33" xr3:uid="{253625B4-EB6A-4DF8-B37E-536165D47CF0}" name="Minimum Terminal Velocity(m/s)" dataDxfId="380" dataCellStyle="Normal">
      <calculatedColumnFormula array="1">IF(NOT(OR(ISBLANK($N38),ISBLANK($O38))),ConvertSpeed($N38,$O38,"m/sec"),"")</calculatedColumnFormula>
    </tableColumn>
  </tableColumns>
  <tableStyleInfo name="TableStyleMedium2" showFirstColumn="0" showLastColumn="0" showRowStripes="0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053C077-BADA-4CFE-BBD9-74808E690E22}" name="ammunition.223rem" displayName="ammunition.223rem" ref="C21:AA27" totalsRowShown="0" headerRowDxfId="379" dataDxfId="378">
  <tableColumns count="25">
    <tableColumn id="10" xr3:uid="{DCDCD6EE-FAE2-4C2E-A7C0-77B64B0D19EF}" name="Key" dataDxfId="377"/>
    <tableColumn id="34" xr3:uid="{86026C6E-0804-4024-A82E-9D5A413CF9B7}" name="Specification Type" dataDxfId="376"/>
    <tableColumn id="1" xr3:uid="{A45D723F-6A91-4830-A619-8655F27BDF69}" name="Cartridge" dataDxfId="375"/>
    <tableColumn id="2" xr3:uid="{C9085712-FF88-4F91-92B3-04AC390FE08F}" name="Projectile" dataDxfId="374"/>
    <tableColumn id="12" xr3:uid="{18C213CB-530B-405C-9EEE-64A50F5C7492}" name="Type"/>
    <tableColumn id="3" xr3:uid="{3D9F51D0-A9E9-413A-AED8-AC04F4762ACB}" name="Caliber" dataDxfId="373">
      <calculatedColumnFormula>IF(NOT(ISBLANK($E22)),_xlfn.XLOOKUP($E22,CartridgeNames[Available Chamberings],CartridgeNames[Bullet Caliber],"n/a",0,1),"")</calculatedColumnFormula>
    </tableColumn>
    <tableColumn id="23" xr3:uid="{C047EF04-4F67-491C-8FEF-54619AE17693}" name="Units (cal)" dataDxfId="372">
      <calculatedColumnFormula>IF(NOT(ISBLANK($E22)),_xlfn.XLOOKUP($E22,CartridgeNames[Available Chamberings],CartridgeNames[Caliber(Units)],"n/a",0,1),"")</calculatedColumnFormula>
    </tableColumn>
    <tableColumn id="5" xr3:uid="{88F700C3-FE2A-4705-A4AB-09BA45CE3423}" name="Weight" dataCellStyle="Normal"/>
    <tableColumn id="24" xr3:uid="{C9BDD5C8-83AE-4819-8896-95AF2F3C27FE}" name="Units(wt)" dataCellStyle="Normal"/>
    <tableColumn id="17" xr3:uid="{851EC96D-2519-4AD3-A2D1-8534A7A12F59}" name="Muzzle Velocity" dataDxfId="371" dataCellStyle="Normal"/>
    <tableColumn id="25" xr3:uid="{2B95E9BE-2E25-4A96-8E35-CCF55D8E10AF}" name="Units(MV)" dataCellStyle="Normal"/>
    <tableColumn id="8" xr3:uid="{B6ADADD9-AB5F-4A2B-9071-1A2D362F904C}" name="Minimum Terminal Velocity" dataDxfId="370" dataCellStyle="Normal"/>
    <tableColumn id="26" xr3:uid="{6CBB5BF4-04B4-40A9-B12F-F6C94DFFD9C2}" name="Units(MTV)" dataCellStyle="Normal"/>
    <tableColumn id="11" xr3:uid="{43912862-E701-4435-B9C5-9002C495948D}" name="BC(G1)" dataCellStyle="Normal"/>
    <tableColumn id="7" xr3:uid="{DA1290C6-6F82-4AAC-84EA-62651BB3460D}" name="BC (G7)" dataCellStyle="Normal"/>
    <tableColumn id="4" xr3:uid="{D7BFF37F-26B2-4611-9098-A088C39F6CD3}" name="Caliber(in)" dataDxfId="369" dataCellStyle="Normal">
      <calculatedColumnFormula array="1">IF(NOT(OR(ISBLANK($H22),ISBLANK($I22))),ConvertLength($H22,$I22,"in"),"")</calculatedColumnFormula>
    </tableColumn>
    <tableColumn id="15" xr3:uid="{BA832063-7B1F-47F5-AE6A-9B59351E608B}" name="Caliber(mm)" dataDxfId="368" dataCellStyle="Normal">
      <calculatedColumnFormula array="1">IF(NOT(OR(ISBLANK($H22),ISBLANK($I22))),ConvertLength($H22,$I22,"mm"),"")</calculatedColumnFormula>
    </tableColumn>
    <tableColumn id="16" xr3:uid="{8650EFB9-90F0-4580-BA9A-60FB5AF446BB}" name="Weight(grains)" dataDxfId="367" dataCellStyle="Normal">
      <calculatedColumnFormula>IF(NOT(AND(ISBLANK($J22),ISBLANK($K22))),CONVERT($J22,$K22,"grain"),"")</calculatedColumnFormula>
    </tableColumn>
    <tableColumn id="18" xr3:uid="{E622FFAA-ED87-49D2-AA1A-76BC14AA4E69}" name="Weight(grams)" dataDxfId="366" dataCellStyle="Normal">
      <calculatedColumnFormula>IF(NOT(AND(ISBLANK($J22),ISBLANK($K22))),CONVERT($J22,$K22,"g"),"")</calculatedColumnFormula>
    </tableColumn>
    <tableColumn id="28" xr3:uid="{495C8374-A8D0-491D-A299-3CE62A5F680A}" name="Muzzle Velocity(ft/s)" dataDxfId="365" dataCellStyle="Normal">
      <calculatedColumnFormula array="1">IF(NOT(OR(ISBLANK($L22),ISBLANK($M22))),ConvertSpeed($L22,$M22,"ft/sec"),"")</calculatedColumnFormula>
    </tableColumn>
    <tableColumn id="29" xr3:uid="{57046AE0-BDE6-4042-8487-17EB6FFFD7B9}" name="Muzzle Veloctiy(m/s)" dataDxfId="364" dataCellStyle="Normal">
      <calculatedColumnFormula array="1">IF(NOT(OR(ISBLANK($L22),ISBLANK($M22))),ConvertSpeed($L22,$M22,"m/sec"),"")</calculatedColumnFormula>
    </tableColumn>
    <tableColumn id="30" xr3:uid="{B03606D1-1537-4546-9619-C256A92BA15A}" name="Muzzle Energy(ft.lbs)" dataDxfId="363" dataCellStyle="Normal">
      <calculatedColumnFormula array="1">IF(NOT(OR(ISBLANK(V22),ISBLANK(T22))),MuzzleVelocityToMuzzleEnergyFtLb(V22,T22),"")</calculatedColumnFormula>
    </tableColumn>
    <tableColumn id="31" xr3:uid="{75037A6E-80F2-49D5-BE77-D48716841FB5}" name="Muzzle Energy(J)" dataDxfId="362" dataCellStyle="Normal">
      <calculatedColumnFormula array="1">IF(NOT(OR(ISBLANK(W22),ISBLANK(U22))),MuzzleVelocityToMuzzleEnergyJoules(W22,U22),"")</calculatedColumnFormula>
    </tableColumn>
    <tableColumn id="32" xr3:uid="{AFB53D51-DACA-49ED-A222-EBF3C319B3D3}" name="Minimum Terminal Velocity(ft/s)" dataDxfId="361" dataCellStyle="Normal">
      <calculatedColumnFormula array="1">IF(NOT(OR(ISBLANK($N22),ISBLANK($O22))),ConvertSpeed($N22,$O22,"ft/sec"),"")</calculatedColumnFormula>
    </tableColumn>
    <tableColumn id="33" xr3:uid="{435E77BF-0C5D-47B1-BB3D-E464C00EFB3D}" name="Minimum Terminal Velocity(m/s)" dataDxfId="360" dataCellStyle="Normal">
      <calculatedColumnFormula array="1">IF(NOT(OR(ISBLANK($N22),ISBLANK($O22))),ConvertSpeed($N22,$O22,"m/sec"),"")</calculatedColumnFormula>
    </tableColumn>
  </tableColumns>
  <tableStyleInfo name="TableStyleMedium2" showFirstColumn="0" showLastColumn="0" showRowStripes="0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94BA556-3CF5-447E-AEA2-C960EAAE44E0}" name="ammunition.270win" displayName="ammunition.270win" ref="C71:AA77" totalsRowShown="0" headerRowDxfId="359" dataDxfId="358">
  <tableColumns count="25">
    <tableColumn id="10" xr3:uid="{BF8A48C7-335A-4FF3-BD52-FC2A4CC00B8B}" name="Key" dataDxfId="357"/>
    <tableColumn id="34" xr3:uid="{CAC90484-3ACA-49BC-938D-9CFEDD1C1DF6}" name="Specification Type" dataDxfId="356"/>
    <tableColumn id="1" xr3:uid="{82F2BAEB-85F9-4143-BD56-2BE063BF90C2}" name="Cartridge" dataDxfId="355"/>
    <tableColumn id="2" xr3:uid="{0E309004-2838-48EE-857B-76B22CB8E859}" name="Projectile" dataDxfId="354"/>
    <tableColumn id="12" xr3:uid="{537AE32B-7931-42C3-A682-729865DBB65B}" name="Type"/>
    <tableColumn id="3" xr3:uid="{673C94AE-8680-4C56-BE4C-14F4365986CF}" name="Caliber" dataDxfId="353">
      <calculatedColumnFormula>IF(NOT(ISBLANK($E72)),_xlfn.XLOOKUP($E72,CartridgeNames[Available Chamberings],CartridgeNames[Bullet Caliber],"n/a",0,1),"")</calculatedColumnFormula>
    </tableColumn>
    <tableColumn id="23" xr3:uid="{6492CE1D-E5AB-4878-B132-2AD2609D675F}" name="Units (cal)" dataDxfId="352">
      <calculatedColumnFormula>IF(NOT(ISBLANK($E72)),_xlfn.XLOOKUP($E72,CartridgeNames[Available Chamberings],CartridgeNames[Caliber(Units)],"n/a",0,1),"")</calculatedColumnFormula>
    </tableColumn>
    <tableColumn id="5" xr3:uid="{70AE2957-1156-4680-99AB-0670ACBF7EA4}" name="Weight" dataCellStyle="Normal"/>
    <tableColumn id="24" xr3:uid="{94295059-1DB5-40B7-89D5-5A5F1351416D}" name="Units(wt)" dataCellStyle="Normal"/>
    <tableColumn id="17" xr3:uid="{C4C6A70D-2055-46EB-91A4-C6708A3FDA18}" name="Muzzle Velocity" dataDxfId="351" dataCellStyle="Normal"/>
    <tableColumn id="25" xr3:uid="{E03E28C6-6AF1-4C6C-920A-55AF87B5E43A}" name="Units(MV)" dataCellStyle="Normal"/>
    <tableColumn id="8" xr3:uid="{9AED5FE9-CE9D-4C0D-955D-352EFA21B20B}" name="Minimum Terminal Velocity" dataCellStyle="Normal"/>
    <tableColumn id="26" xr3:uid="{89FBD48A-A0BF-4896-A24B-D8D75710B90B}" name="Units(MTV)" dataCellStyle="Normal"/>
    <tableColumn id="11" xr3:uid="{4ADB2E04-4D90-4B74-944A-CD6F60636703}" name="BC(G1)" dataDxfId="350" dataCellStyle="Normal"/>
    <tableColumn id="7" xr3:uid="{A62852EE-A56F-4C48-836A-E6A1B69FAA9F}" name="BC (G7)" dataCellStyle="Normal"/>
    <tableColumn id="4" xr3:uid="{348B53D5-3C2E-4255-B466-369AF433BE72}" name="Caliber(in)" dataDxfId="349" dataCellStyle="Normal">
      <calculatedColumnFormula array="1">IF(NOT(OR(ISBLANK($H72),ISBLANK($I72))),ConvertLength($H72,$I72,"in"),"")</calculatedColumnFormula>
    </tableColumn>
    <tableColumn id="15" xr3:uid="{B7450554-DC93-4A19-A2AE-2C82733CFE58}" name="Caliber(mm)" dataDxfId="348" dataCellStyle="Normal">
      <calculatedColumnFormula array="1">IF(NOT(OR(ISBLANK($H72),ISBLANK($I72))),ConvertLength($H72,$I72,"mm"),"")</calculatedColumnFormula>
    </tableColumn>
    <tableColumn id="16" xr3:uid="{AC598BD3-270E-4180-81AF-E40473CBAFE7}" name="Weight(grains)" dataDxfId="347" dataCellStyle="Normal">
      <calculatedColumnFormula>IF(NOT(AND(ISBLANK($J72),ISBLANK($K72))),CONVERT($J72,$K72,"grain"),"")</calculatedColumnFormula>
    </tableColumn>
    <tableColumn id="18" xr3:uid="{98C010FF-DB7E-4659-A9B0-FD6637F70E19}" name="Weight(grams)" dataDxfId="346" dataCellStyle="Normal">
      <calculatedColumnFormula>IF(NOT(AND(ISBLANK($J72),ISBLANK($K72))),CONVERT($J72,$K72,"g"),"")</calculatedColumnFormula>
    </tableColumn>
    <tableColumn id="28" xr3:uid="{4B234E02-EB43-4B4C-B66F-9F2AEEB6DA99}" name="Muzzle Velocity(ft/s)" dataDxfId="345" dataCellStyle="Normal">
      <calculatedColumnFormula array="1">IF(NOT(OR(ISBLANK($L72),ISBLANK($M72))),ConvertSpeed($L72,$M72,"ft/sec"),"")</calculatedColumnFormula>
    </tableColumn>
    <tableColumn id="29" xr3:uid="{4F1AD510-AD0D-4B94-B530-2B1CF8FAFE62}" name="Muzzle Veloctiy(m/s)" dataDxfId="344" dataCellStyle="Normal">
      <calculatedColumnFormula array="1">IF(NOT(OR(ISBLANK($L72),ISBLANK($M72))),ConvertSpeed($L72,$M72,"m/sec"),"")</calculatedColumnFormula>
    </tableColumn>
    <tableColumn id="30" xr3:uid="{A62449AD-B51A-4783-A295-38E49CF6A3C9}" name="Muzzle Energy(ft.lbs)" dataDxfId="343" dataCellStyle="Normal">
      <calculatedColumnFormula array="1">IF(NOT(OR(ISBLANK(V72),ISBLANK(T72))),MuzzleVelocityToMuzzleEnergyFtLb(V72,T72),"")</calculatedColumnFormula>
    </tableColumn>
    <tableColumn id="31" xr3:uid="{64AA5773-680B-4B26-9CBD-D1C7393B43EA}" name="Muzzle Energy(J)" dataDxfId="342" dataCellStyle="Normal">
      <calculatedColumnFormula array="1">IF(NOT(OR(ISBLANK(W72),ISBLANK(U72))),MuzzleVelocityToMuzzleEnergyJoules(W72,U72),"")</calculatedColumnFormula>
    </tableColumn>
    <tableColumn id="32" xr3:uid="{781AE1E2-5CF8-4761-8974-8418FBADD78F}" name="Minimum Terminal Velocity(ft/s)" dataDxfId="341" dataCellStyle="Normal">
      <calculatedColumnFormula array="1">IF(NOT(OR(ISBLANK($N72),ISBLANK($O72))),ConvertSpeed($N72,$O72,"ft/sec"),"")</calculatedColumnFormula>
    </tableColumn>
    <tableColumn id="33" xr3:uid="{9A5A774F-3E14-4428-BE02-BBD881457D0B}" name="Minimum Terminal Velocity(m/s)" dataDxfId="340" dataCellStyle="Normal">
      <calculatedColumnFormula array="1">IF(NOT(OR(ISBLANK($N72),ISBLANK($O72))),ConvertSpeed($N72,$O72,"m/sec"),"")</calculatedColumnFormula>
    </tableColumn>
  </tableColumns>
  <tableStyleInfo name="TableStyleMedium2" showFirstColumn="0" showLastColumn="0" showRowStripes="0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85BE219-CEC3-4DE8-861B-F382F5948360}" name="ammunition.7mm08rem" displayName="ammunition.7mm08rem" ref="C88:AA94" totalsRowShown="0" headerRowDxfId="339" dataDxfId="338">
  <tableColumns count="25">
    <tableColumn id="10" xr3:uid="{D8D09497-5653-4FA9-8D9D-1DD046D41766}" name="Key" dataDxfId="337"/>
    <tableColumn id="34" xr3:uid="{9E669F9C-8102-4318-9A03-B03F07DDAEC9}" name="Specification Type" dataDxfId="336"/>
    <tableColumn id="1" xr3:uid="{55A10020-9D74-4301-B38E-400BEE689C84}" name="Cartridge" dataDxfId="335"/>
    <tableColumn id="2" xr3:uid="{971AAE07-800B-4B31-ABAC-57327C4F2F91}" name="Projectile" dataDxfId="334"/>
    <tableColumn id="12" xr3:uid="{C8E33A29-0FC1-4D20-BC4B-8542937BAEB1}" name="Type"/>
    <tableColumn id="3" xr3:uid="{0987B8FA-1296-449F-B02E-80AC2C5D1C7B}" name="Caliber" dataDxfId="333">
      <calculatedColumnFormula>IF(NOT(ISBLANK($E89)),_xlfn.XLOOKUP($E89,CartridgeNames[Available Chamberings],CartridgeNames[Bullet Caliber],"n/a",0,1),"")</calculatedColumnFormula>
    </tableColumn>
    <tableColumn id="23" xr3:uid="{ECB2774E-DA71-4C6C-8463-A6E00BFE7AE9}" name="Units (cal)" dataDxfId="332">
      <calculatedColumnFormula>IF(NOT(ISBLANK($E89)),_xlfn.XLOOKUP($E89,CartridgeNames[Available Chamberings],CartridgeNames[Caliber(Units)],"n/a",0,1),"")</calculatedColumnFormula>
    </tableColumn>
    <tableColumn id="5" xr3:uid="{2DED8C81-8D3B-4D68-974C-C2711F27F8FD}" name="Weight" dataCellStyle="Normal"/>
    <tableColumn id="24" xr3:uid="{DFFBC6B9-15D3-496C-82E6-93711E79F1D0}" name="Units(wt)" dataCellStyle="Normal"/>
    <tableColumn id="17" xr3:uid="{04114895-1334-4B8E-938A-CF4E491FD110}" name="Muzzle Velocity" dataDxfId="331" dataCellStyle="Normal"/>
    <tableColumn id="25" xr3:uid="{BC794172-E5F3-4DE7-BBBA-C228899A9D7C}" name="Units(MV)" dataCellStyle="Normal"/>
    <tableColumn id="8" xr3:uid="{D3E5DA68-EE4A-40EC-8AEB-588CE2754C27}" name="Minimum Terminal Velocity" dataCellStyle="Normal"/>
    <tableColumn id="26" xr3:uid="{BEAE288F-B651-4953-889F-DFCF4137EE4D}" name="Units(MTV)" dataCellStyle="Normal"/>
    <tableColumn id="11" xr3:uid="{2F497D9E-4FC2-49E9-BF50-CAFB518681AC}" name="BC(G1)" dataDxfId="330" dataCellStyle="Normal"/>
    <tableColumn id="7" xr3:uid="{344E64DA-3E32-4B15-B366-016763B6FDE2}" name="BC (G7)" dataCellStyle="Normal"/>
    <tableColumn id="4" xr3:uid="{5B49B8D0-52F1-4F1E-92F1-121D8A1471E3}" name="Caliber(in)" dataDxfId="329" dataCellStyle="Normal">
      <calculatedColumnFormula array="1">IF(NOT(OR(ISBLANK($H89),ISBLANK($I89))),ConvertLength($H89,$I89,"in"),"")</calculatedColumnFormula>
    </tableColumn>
    <tableColumn id="15" xr3:uid="{7C6CFC1B-1236-4395-BC5F-F5A77E8B5FEE}" name="Caliber(mm)" dataDxfId="328" dataCellStyle="Normal">
      <calculatedColumnFormula array="1">IF(NOT(OR(ISBLANK($H89),ISBLANK($I89))),ConvertLength($H89,$I89,"mm"),"")</calculatedColumnFormula>
    </tableColumn>
    <tableColumn id="16" xr3:uid="{48C38B6C-463B-466F-9873-AC9D1B14310B}" name="Weight(grains)" dataDxfId="327" dataCellStyle="Normal">
      <calculatedColumnFormula>IF(NOT(AND(ISBLANK($J89),ISBLANK($K89))),CONVERT($J89,$K89,"grain"),"")</calculatedColumnFormula>
    </tableColumn>
    <tableColumn id="18" xr3:uid="{4CFACF7A-4497-4A3C-9340-0E8BBCBB2F18}" name="Weight(grams)" dataDxfId="326" dataCellStyle="Normal">
      <calculatedColumnFormula>IF(NOT(AND(ISBLANK($J89),ISBLANK($K89))),CONVERT($J89,$K89,"g"),"")</calculatedColumnFormula>
    </tableColumn>
    <tableColumn id="28" xr3:uid="{4AC52564-2CD7-4552-8376-4BA0CDC8878B}" name="Muzzle Velocity(ft/s)" dataDxfId="325" dataCellStyle="Normal">
      <calculatedColumnFormula array="1">IF(NOT(OR(ISBLANK($L89),ISBLANK($M89))),ConvertSpeed($L89,$M89,"ft/sec"),"")</calculatedColumnFormula>
    </tableColumn>
    <tableColumn id="29" xr3:uid="{F69D3F0B-7F51-4413-9B4C-CA2D182E00C6}" name="Muzzle Veloctiy(m/s)" dataDxfId="324" dataCellStyle="Normal">
      <calculatedColumnFormula array="1">IF(NOT(OR(ISBLANK($L89),ISBLANK($M89))),ConvertSpeed($L89,$M89,"m/sec"),"")</calculatedColumnFormula>
    </tableColumn>
    <tableColumn id="30" xr3:uid="{55A6DB8A-4E8D-474F-BC38-8C7B3A542D89}" name="Muzzle Energy(ft.lbs)" dataDxfId="323" dataCellStyle="Normal">
      <calculatedColumnFormula array="1">IF(NOT(OR(ISBLANK(V89),ISBLANK(T89))),MuzzleVelocityToMuzzleEnergyFtLb(V89,T89),"")</calculatedColumnFormula>
    </tableColumn>
    <tableColumn id="31" xr3:uid="{66B7D6C0-1596-438D-ACC0-E04EEEEFEE78}" name="Muzzle Energy(J)" dataDxfId="322" dataCellStyle="Normal">
      <calculatedColumnFormula array="1">IF(NOT(OR(ISBLANK(W89),ISBLANK(U89))),MuzzleVelocityToMuzzleEnergyJoules(W89,U89),"")</calculatedColumnFormula>
    </tableColumn>
    <tableColumn id="32" xr3:uid="{BD523DFC-CFAD-4149-BDBF-535AC41EA287}" name="Minimum Terminal Velocity(ft/s)" dataDxfId="321" dataCellStyle="Normal">
      <calculatedColumnFormula array="1">IF(NOT(OR(ISBLANK($N89),ISBLANK($O89))),ConvertSpeed($N89,$O89,"ft/sec"),"")</calculatedColumnFormula>
    </tableColumn>
    <tableColumn id="33" xr3:uid="{C51A6092-7617-4544-9C5A-2DE1EAA7794B}" name="Minimum Terminal Velocity(m/s)" dataDxfId="320" dataCellStyle="Normal">
      <calculatedColumnFormula array="1">IF(NOT(OR(ISBLANK($N89),ISBLANK($O89))),ConvertSpeed($N89,$O89,"m/sec"),"")</calculatedColumnFormula>
    </tableColumn>
  </tableColumns>
  <tableStyleInfo name="TableStyleMedium2" showFirstColumn="0" showLastColumn="0" showRowStripes="0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C371B8CF-E85B-49CB-AC6B-BA7CC056CAE8}" name="ammunition.3006spring" displayName="ammunition.3006spring" ref="C155:AA161" totalsRowShown="0" headerRowDxfId="319" dataDxfId="318">
  <tableColumns count="25">
    <tableColumn id="10" xr3:uid="{DFE9EBF4-2F60-4A30-A224-03CAB2CA5D45}" name="Key" dataDxfId="317"/>
    <tableColumn id="34" xr3:uid="{F3197972-0A47-4856-B96D-3347DDA1E2D8}" name="Specification Type" dataDxfId="316"/>
    <tableColumn id="1" xr3:uid="{7EE9C69F-5121-4330-96F1-F04EA1A50DBB}" name="Cartridge" dataDxfId="315"/>
    <tableColumn id="2" xr3:uid="{1F81D7DA-1A67-4CCD-9EC2-C53C5A4E215E}" name="Projectile" dataDxfId="314"/>
    <tableColumn id="12" xr3:uid="{D9336041-DB3E-4D49-B74D-0AB49A71C22D}" name="Type"/>
    <tableColumn id="3" xr3:uid="{AD774220-5321-4E7A-99AF-AE05BD06E3BA}" name="Caliber" dataDxfId="313">
      <calculatedColumnFormula>IF(NOT(ISBLANK($E156)),_xlfn.XLOOKUP($E156,CartridgeNames[Available Chamberings],CartridgeNames[Bullet Caliber],"n/a",0,1),"")</calculatedColumnFormula>
    </tableColumn>
    <tableColumn id="23" xr3:uid="{5618C6B5-B174-424C-A20E-D43D31EBB44E}" name="Units (cal)" dataDxfId="312">
      <calculatedColumnFormula>IF(NOT(ISBLANK($E156)),_xlfn.XLOOKUP($E156,CartridgeNames[Available Chamberings],CartridgeNames[Caliber(Units)],"n/a",0,1),"")</calculatedColumnFormula>
    </tableColumn>
    <tableColumn id="5" xr3:uid="{DF311284-B181-4BC0-AEB2-4C9A654C604A}" name="Weight" dataCellStyle="Normal"/>
    <tableColumn id="24" xr3:uid="{8F358145-5D4D-4865-B88A-A710DB9B5268}" name="Units(wt)" dataCellStyle="Normal"/>
    <tableColumn id="17" xr3:uid="{FBA80E72-EBE3-4E4C-AD72-F867327B1E89}" name="Muzzle Velocity" dataDxfId="311" dataCellStyle="Normal"/>
    <tableColumn id="25" xr3:uid="{446B62B7-1471-4DB5-AA75-6928DB754DB1}" name="Units(MV)" dataCellStyle="Normal"/>
    <tableColumn id="8" xr3:uid="{2F5AD9B1-C535-4404-B3BB-A4825D83D0E8}" name="Minimum Terminal Velocity" dataCellStyle="Normal"/>
    <tableColumn id="26" xr3:uid="{CCBE4558-B501-4620-8DBB-F1681AB50124}" name="Units(MTV)" dataCellStyle="Normal"/>
    <tableColumn id="11" xr3:uid="{DE48E909-C361-4670-ADC4-DEEEE897E391}" name="BC(G1)" dataDxfId="310" dataCellStyle="Normal"/>
    <tableColumn id="7" xr3:uid="{E787153C-9DA1-47C2-9090-A4F8C416DA8D}" name="BC (G7)" dataCellStyle="Normal"/>
    <tableColumn id="4" xr3:uid="{07266EBB-2ADE-418F-BCE7-D9B6274B125F}" name="Caliber(in)" dataDxfId="309" dataCellStyle="Normal">
      <calculatedColumnFormula array="1">IF(NOT(OR(ISBLANK($H156),ISBLANK($I156))),ConvertLength($H156,$I156,"in"),"")</calculatedColumnFormula>
    </tableColumn>
    <tableColumn id="15" xr3:uid="{8653E0D7-D35D-491E-B924-1954FDF4CAED}" name="Caliber(mm)" dataDxfId="308" dataCellStyle="Normal">
      <calculatedColumnFormula array="1">IF(NOT(OR(ISBLANK($H156),ISBLANK($I156))),ConvertLength($H156,$I156,"mm"),"")</calculatedColumnFormula>
    </tableColumn>
    <tableColumn id="16" xr3:uid="{C4DC657E-FDD0-4555-B42B-70BCDD3D552B}" name="Weight(grains)" dataDxfId="307" dataCellStyle="Normal">
      <calculatedColumnFormula>IF(NOT(AND(ISBLANK($J156),ISBLANK($K156))),CONVERT($J156,$K156,"grain"),"")</calculatedColumnFormula>
    </tableColumn>
    <tableColumn id="18" xr3:uid="{F1D23293-8020-4392-B31F-92763FF4371D}" name="Weight(grams)" dataDxfId="306" dataCellStyle="Normal">
      <calculatedColumnFormula>IF(NOT(AND(ISBLANK($J156),ISBLANK($K156))),CONVERT($J156,$K156,"g"),"")</calculatedColumnFormula>
    </tableColumn>
    <tableColumn id="28" xr3:uid="{5DBEDF08-A6E3-4F8F-B7AE-B532A7B95036}" name="Muzzle Velocity(ft/s)" dataDxfId="305" dataCellStyle="Normal">
      <calculatedColumnFormula array="1">IF(NOT(OR(ISBLANK($L156),ISBLANK($M156))),ConvertSpeed($L156,$M156,"ft/sec"),"")</calculatedColumnFormula>
    </tableColumn>
    <tableColumn id="29" xr3:uid="{B69BC207-FB56-4113-8FE4-23EAF64256BB}" name="Muzzle Veloctiy(m/s)" dataDxfId="304" dataCellStyle="Normal">
      <calculatedColumnFormula array="1">IF(NOT(OR(ISBLANK($L156),ISBLANK($M156))),ConvertSpeed($L156,$M156,"m/sec"),"")</calculatedColumnFormula>
    </tableColumn>
    <tableColumn id="30" xr3:uid="{FD1C7A66-CC66-4D92-BF40-E696A435E934}" name="Muzzle Energy(ft.lbs)" dataDxfId="303" dataCellStyle="Normal">
      <calculatedColumnFormula array="1">IF(NOT(OR(ISBLANK(V156),ISBLANK(T156))),MuzzleVelocityToMuzzleEnergyFtLb(V156,T156),"")</calculatedColumnFormula>
    </tableColumn>
    <tableColumn id="31" xr3:uid="{39F8B8A3-07DE-4AEE-A9A8-B14E5C602DDF}" name="Muzzle Energy(J)" dataDxfId="302" dataCellStyle="Normal">
      <calculatedColumnFormula array="1">IF(NOT(OR(ISBLANK(W156),ISBLANK(U156))),MuzzleVelocityToMuzzleEnergyJoules(W156,U156),"")</calculatedColumnFormula>
    </tableColumn>
    <tableColumn id="32" xr3:uid="{3C066EBE-7940-4095-A26C-A17EADDDAAEF}" name="Minimum Terminal Velocity(ft/s)" dataDxfId="301" dataCellStyle="Normal">
      <calculatedColumnFormula array="1">IF(NOT(OR(ISBLANK($N156),ISBLANK($O156))),ConvertSpeed($N156,$O156,"ft/sec"),"")</calculatedColumnFormula>
    </tableColumn>
    <tableColumn id="33" xr3:uid="{37B7844D-2809-46E0-B619-71F330BC9DF0}" name="Minimum Terminal Velocity(m/s)" dataDxfId="300" dataCellStyle="Normal">
      <calculatedColumnFormula array="1">IF(NOT(OR(ISBLANK($N156),ISBLANK($O156))),ConvertSpeed($N156,$O156,"m/sec"),"")</calculatedColumnFormula>
    </tableColumn>
  </tableColumns>
  <tableStyleInfo name="TableStyleMedium2" showFirstColumn="0" showLastColumn="0" showRowStripes="0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7432F36-D70C-4CB1-882E-E859BFD5BBD7}" name="ammunition.3030win" displayName="ammunition.3030win" ref="C120:AA126" totalsRowShown="0" headerRowDxfId="299" dataDxfId="298">
  <tableColumns count="25">
    <tableColumn id="10" xr3:uid="{2B8A1831-D151-492D-B5B6-21B878217161}" name="Key" dataDxfId="297"/>
    <tableColumn id="34" xr3:uid="{7DD9F755-016E-4F33-9933-A157644AE5E5}" name="Specification Type" dataDxfId="296"/>
    <tableColumn id="1" xr3:uid="{F9E213CB-F61A-4D74-B813-C91C5870BC4A}" name="Cartridge" dataDxfId="295"/>
    <tableColumn id="2" xr3:uid="{35F9AB40-1590-4654-A3E0-E6043282A249}" name="Projectile" dataDxfId="294"/>
    <tableColumn id="12" xr3:uid="{2065CA74-F2F7-40F4-88A7-F671EBBDD9C3}" name="Type"/>
    <tableColumn id="3" xr3:uid="{A9783BE5-81B4-4A69-8353-14A76985DDF5}" name="Caliber" dataDxfId="293">
      <calculatedColumnFormula>IF(NOT(ISBLANK($E121)),_xlfn.XLOOKUP($E121,CartridgeNames[Available Chamberings],CartridgeNames[Bullet Caliber],"n/a",0,1),"")</calculatedColumnFormula>
    </tableColumn>
    <tableColumn id="23" xr3:uid="{9B238CE0-E5A9-4EBE-A296-A0EFB263F433}" name="Units (cal)" dataDxfId="292">
      <calculatedColumnFormula>IF(NOT(ISBLANK($E121)),_xlfn.XLOOKUP($E121,CartridgeNames[Available Chamberings],CartridgeNames[Caliber(Units)],"n/a",0,1),"")</calculatedColumnFormula>
    </tableColumn>
    <tableColumn id="5" xr3:uid="{01F0F7B7-8C80-4F60-88D5-198504F4E0B6}" name="Weight" dataCellStyle="Normal"/>
    <tableColumn id="24" xr3:uid="{89B6B109-F4EA-4E88-8B27-AF16DAA24761}" name="Units(wt)" dataCellStyle="Normal"/>
    <tableColumn id="17" xr3:uid="{8035E313-0D02-48B7-B5F9-DBA6B1711265}" name="Muzzle Velocity" dataDxfId="291" dataCellStyle="Normal"/>
    <tableColumn id="25" xr3:uid="{E9563FE7-A61E-44C5-96B7-6AC2D90584F5}" name="Units(MV)" dataCellStyle="Normal"/>
    <tableColumn id="8" xr3:uid="{10C387C0-3203-4342-8467-D7C52EAF0A4C}" name="Minimum Terminal Velocity" dataCellStyle="Normal"/>
    <tableColumn id="26" xr3:uid="{636F285E-7B35-4139-A8C9-F5072868C8B9}" name="Units(MTV)" dataCellStyle="Normal"/>
    <tableColumn id="11" xr3:uid="{3F142291-3D6B-46F6-BFAC-A7C2507A292D}" name="BC(G1)" dataCellStyle="Normal"/>
    <tableColumn id="7" xr3:uid="{07CA0EDE-A48B-4251-A7C1-65A20B6826D3}" name="BC (G7)" dataCellStyle="Normal"/>
    <tableColumn id="4" xr3:uid="{3EEECEB5-C7AF-4FA4-B8E5-AB817632F98B}" name="Caliber(in)" dataDxfId="290" dataCellStyle="Normal">
      <calculatedColumnFormula array="1">IF(NOT(OR(ISBLANK($H121),ISBLANK($I121))),ConvertLength($H121,$I121,"in"),"")</calculatedColumnFormula>
    </tableColumn>
    <tableColumn id="15" xr3:uid="{E3CB0152-ACF3-43B6-A6D4-2238ABA3FA72}" name="Caliber(mm)" dataDxfId="289" dataCellStyle="Normal">
      <calculatedColumnFormula array="1">IF(NOT(OR(ISBLANK($H121),ISBLANK($I121))),ConvertLength($H121,$I121,"mm"),"")</calculatedColumnFormula>
    </tableColumn>
    <tableColumn id="16" xr3:uid="{C9B8FD37-88F6-4411-A031-4EC6046D7D31}" name="Weight(grains)" dataDxfId="288" dataCellStyle="Normal">
      <calculatedColumnFormula>IF(NOT(AND(ISBLANK($J121),ISBLANK($K121))),CONVERT($J121,$K121,"grain"),"")</calculatedColumnFormula>
    </tableColumn>
    <tableColumn id="18" xr3:uid="{67B87876-16F4-4343-9331-53E2BFE9ECC8}" name="Weight(grams)" dataDxfId="287" dataCellStyle="Normal">
      <calculatedColumnFormula>IF(NOT(AND(ISBLANK($J121),ISBLANK($K121))),CONVERT($J121,$K121,"g"),"")</calculatedColumnFormula>
    </tableColumn>
    <tableColumn id="28" xr3:uid="{C5C933C6-3C4A-426E-95E5-66B1E60987F6}" name="Muzzle Velocity(ft/s)" dataDxfId="286" dataCellStyle="Normal">
      <calculatedColumnFormula array="1">IF(NOT(OR(ISBLANK($L121),ISBLANK($M121))),ConvertSpeed($L121,$M121,"ft/sec"),"")</calculatedColumnFormula>
    </tableColumn>
    <tableColumn id="29" xr3:uid="{1E84C421-0487-4162-B39D-909AC85A6849}" name="Muzzle Veloctiy(m/s)" dataDxfId="285" dataCellStyle="Normal">
      <calculatedColumnFormula array="1">IF(NOT(OR(ISBLANK($L121),ISBLANK($M121))),ConvertSpeed($L121,$M121,"m/sec"),"")</calculatedColumnFormula>
    </tableColumn>
    <tableColumn id="30" xr3:uid="{E142A9EA-B433-4D86-BACB-8EEFE72A1A08}" name="Muzzle Energy(ft.lbs)" dataDxfId="284" dataCellStyle="Normal">
      <calculatedColumnFormula array="1">IF(NOT(OR(ISBLANK(V121),ISBLANK(T121))),MuzzleVelocityToMuzzleEnergyFtLb(V121,T121),"")</calculatedColumnFormula>
    </tableColumn>
    <tableColumn id="31" xr3:uid="{B4DE5BE3-A030-44A3-9AC6-CE4CCC73B2D0}" name="Muzzle Energy(J)" dataDxfId="283" dataCellStyle="Normal">
      <calculatedColumnFormula array="1">IF(NOT(OR(ISBLANK(W121),ISBLANK(U121))),MuzzleVelocityToMuzzleEnergyJoules(W121,U121),"")</calculatedColumnFormula>
    </tableColumn>
    <tableColumn id="32" xr3:uid="{8CC825F9-43D7-4456-B99F-3D4EDADFBB99}" name="Minimum Terminal Velocity(ft/s)" dataDxfId="282" dataCellStyle="Normal">
      <calculatedColumnFormula array="1">IF(NOT(OR(ISBLANK($N121),ISBLANK($O121))),ConvertSpeed($N121,$O121,"ft/sec"),"")</calculatedColumnFormula>
    </tableColumn>
    <tableColumn id="33" xr3:uid="{14D66C49-313B-4B14-950D-DB05BE123C5D}" name="Minimum Terminal Velocity(m/s)" dataDxfId="281" dataCellStyle="Normal">
      <calculatedColumnFormula array="1">IF(NOT(OR(ISBLANK($N121),ISBLANK($O121))),ConvertSpeed($N121,$O121,"m/sec"),"")</calculatedColumnFormula>
    </tableColumn>
  </tableColumns>
  <tableStyleInfo name="TableStyleMedium2" showFirstColumn="0" showLastColumn="0" showRowStripes="0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3D18862-CC4C-40BB-8A24-726BC2232AA2}" name="ammunition.93mmx62mauser" displayName="ammunition.93mmx62mauser" ref="C211:AA216" totalsRowShown="0" headerRowDxfId="280" dataDxfId="279">
  <tableColumns count="25">
    <tableColumn id="10" xr3:uid="{DA62AF5D-213E-4943-BE1C-FB8B3280F312}" name="Key" dataDxfId="278"/>
    <tableColumn id="34" xr3:uid="{759D06AA-94A1-4C3D-854D-7B6A690FA1EA}" name="Specification Type" dataDxfId="277"/>
    <tableColumn id="1" xr3:uid="{8D961B5E-5705-4C46-992C-87A0908A4976}" name="Cartridge" dataDxfId="276"/>
    <tableColumn id="2" xr3:uid="{D4E06AB1-21C9-42C1-85DD-EDAD9D492FA4}" name="Projectile" dataDxfId="275"/>
    <tableColumn id="12" xr3:uid="{90E147D6-C519-4321-BFBF-3543BAD97FB0}" name="Type"/>
    <tableColumn id="3" xr3:uid="{0ADD706F-8052-437B-A303-05228F5E184F}" name="Caliber" dataDxfId="274">
      <calculatedColumnFormula>IF(NOT(ISBLANK($E212)),_xlfn.XLOOKUP($E212,CartridgeNames[Available Chamberings],CartridgeNames[Bullet Caliber],"n/a",0,1),"")</calculatedColumnFormula>
    </tableColumn>
    <tableColumn id="23" xr3:uid="{898C01F0-E42C-4BCC-AAEA-F657810D8727}" name="Units (cal)" dataDxfId="273">
      <calculatedColumnFormula>IF(NOT(ISBLANK($E212)),_xlfn.XLOOKUP($E212,CartridgeNames[Available Chamberings],CartridgeNames[Caliber(Units)],"n/a",0,1),"")</calculatedColumnFormula>
    </tableColumn>
    <tableColumn id="5" xr3:uid="{6BA8EF3E-81F6-417C-967B-62FF19827112}" name="Weight" dataCellStyle="Normal"/>
    <tableColumn id="24" xr3:uid="{354815E7-BFB2-4BAC-AE27-8AC406AF0F18}" name="Units(wt)" dataCellStyle="Normal"/>
    <tableColumn id="17" xr3:uid="{FEC9533A-63EA-4F6B-9E49-81EB74B13F51}" name="Muzzle Velocity" dataDxfId="272" dataCellStyle="Normal"/>
    <tableColumn id="25" xr3:uid="{6B6C8B4A-E90F-4198-A2F0-671D9F9B1736}" name="Units(MV)" dataCellStyle="Normal"/>
    <tableColumn id="8" xr3:uid="{D5C3F76A-35EF-4067-85F2-4C7C96B7EEEB}" name="Minimum Terminal Velocity" dataCellStyle="Normal"/>
    <tableColumn id="26" xr3:uid="{30FD8E3C-088F-44E6-940F-B8250B9BE463}" name="Units(MTV)" dataCellStyle="Normal"/>
    <tableColumn id="11" xr3:uid="{CAC49756-188F-4157-9A21-FF6050CC3011}" name="BC(G1)" dataDxfId="271" dataCellStyle="Normal"/>
    <tableColumn id="7" xr3:uid="{62C0E5BD-67FA-4170-8D98-485CD4A5431A}" name="BC (G7)" dataDxfId="270" dataCellStyle="Normal"/>
    <tableColumn id="4" xr3:uid="{339D18F2-8D38-4C25-9CC9-37C5FCF63ADF}" name="Caliber(in)" dataDxfId="269" dataCellStyle="Normal">
      <calculatedColumnFormula array="1">IF(NOT(OR(ISBLANK($H212),ISBLANK($I212))),ConvertLength($H212,$I212,"in"),"")</calculatedColumnFormula>
    </tableColumn>
    <tableColumn id="15" xr3:uid="{2FF1C5E4-6088-484B-8135-864EF0C381E9}" name="Caliber(mm)" dataDxfId="268" dataCellStyle="Normal">
      <calculatedColumnFormula array="1">IF(NOT(OR(ISBLANK($H212),ISBLANK($I212))),ConvertLength($H212,$I212,"mm"),"")</calculatedColumnFormula>
    </tableColumn>
    <tableColumn id="16" xr3:uid="{0EB6F886-FE96-4FFD-96DE-8A524AE2DCA2}" name="Weight(grains)" dataDxfId="267" dataCellStyle="Normal">
      <calculatedColumnFormula>IF(NOT(AND(ISBLANK($J212),ISBLANK($K212))),CONVERT($J212,$K212,"grain"),"")</calculatedColumnFormula>
    </tableColumn>
    <tableColumn id="18" xr3:uid="{46EEDD4A-E043-4995-A08E-B60DAAB83827}" name="Weight(grams)" dataDxfId="266" dataCellStyle="Normal">
      <calculatedColumnFormula>IF(NOT(AND(ISBLANK($J212),ISBLANK($K212))),CONVERT($J212,$K212,"g"),"")</calculatedColumnFormula>
    </tableColumn>
    <tableColumn id="28" xr3:uid="{97E8AFB6-7FE0-488B-822F-BFCEA5D88025}" name="Muzzle Velocity(ft/s)" dataDxfId="265" dataCellStyle="Normal">
      <calculatedColumnFormula array="1">IF(NOT(OR(ISBLANK($L212),ISBLANK($M212))),ConvertSpeed($L212,$M212,"ft/sec"),"")</calculatedColumnFormula>
    </tableColumn>
    <tableColumn id="29" xr3:uid="{22DA03D2-AD72-4DCF-8207-EA684D02B4C9}" name="Muzzle Veloctiy(m/s)" dataDxfId="264" dataCellStyle="Normal">
      <calculatedColumnFormula array="1">IF(NOT(OR(ISBLANK($L212),ISBLANK($M212))),ConvertSpeed($L212,$M212,"m/sec"),"")</calculatedColumnFormula>
    </tableColumn>
    <tableColumn id="30" xr3:uid="{07F5EA44-51D5-4CF6-9532-D4C105CCB11E}" name="Muzzle Energy(ft.lbs)" dataDxfId="263" dataCellStyle="Normal">
      <calculatedColumnFormula array="1">IF(NOT(OR(ISBLANK(V212),ISBLANK(T212))),MuzzleVelocityToMuzzleEnergyFtLb(V212,T212),"")</calculatedColumnFormula>
    </tableColumn>
    <tableColumn id="31" xr3:uid="{8C740F44-324D-418A-8410-72CF0F6C21AF}" name="Muzzle Energy(J)" dataDxfId="262" dataCellStyle="Normal">
      <calculatedColumnFormula array="1">IF(NOT(OR(ISBLANK(W212),ISBLANK(U212))),MuzzleVelocityToMuzzleEnergyJoules(W212,U212),"")</calculatedColumnFormula>
    </tableColumn>
    <tableColumn id="32" xr3:uid="{F25773CD-CCC1-440E-BACB-D9CE365B43A8}" name="Minimum Terminal Velocity(ft/s)" dataDxfId="261" dataCellStyle="Normal">
      <calculatedColumnFormula array="1">IF(NOT(OR(ISBLANK($N212),ISBLANK($O212))),ConvertSpeed($N212,$O212,"ft/sec"),"")</calculatedColumnFormula>
    </tableColumn>
    <tableColumn id="33" xr3:uid="{3EF93274-A140-46D9-8D7A-1F6D423D7A0C}" name="Minimum Terminal Velocity(m/s)" dataDxfId="260" dataCellStyle="Normal">
      <calculatedColumnFormula array="1">IF(NOT(OR(ISBLANK($N212),ISBLANK($O212))),ConvertSpeed($N212,$O212,"m/sec"),"")</calculatedColumnFormula>
    </tableColumn>
  </tableColumns>
  <tableStyleInfo name="TableStyleMedium2" showFirstColumn="0" showLastColumn="0" showRowStripes="0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DDCCA366-39E6-45C3-8E71-A5F0BCC42486}" name="ammunition.375hhmag" displayName="ammunition.375hhmag" ref="C226:AA232" totalsRowShown="0" headerRowDxfId="259" dataDxfId="258">
  <tableColumns count="25">
    <tableColumn id="10" xr3:uid="{3C17C2CC-0466-4C02-B8DB-011BD3E83407}" name="Key" dataDxfId="257"/>
    <tableColumn id="34" xr3:uid="{1491A272-7CDD-4005-9F8A-86CFDA5CE822}" name="Specification Type" dataDxfId="256"/>
    <tableColumn id="1" xr3:uid="{962404A9-506F-47D3-9960-9FB0BEC06D03}" name="Cartridge" dataDxfId="255"/>
    <tableColumn id="2" xr3:uid="{AFACEB95-D6CC-4F53-99C2-F3BE1527944C}" name="Projectile" dataDxfId="254"/>
    <tableColumn id="12" xr3:uid="{3BBFC370-7B6F-4A71-A7A5-824D252CF3FD}" name="Type"/>
    <tableColumn id="3" xr3:uid="{E2C0D020-FFCC-49E0-AC1A-C8B4ADBBDE3A}" name="Caliber" dataDxfId="253">
      <calculatedColumnFormula>IF(NOT(ISBLANK($E227)),_xlfn.XLOOKUP($E227,CartridgeNames[Available Chamberings],CartridgeNames[Bullet Caliber],"n/a",0,1),"")</calculatedColumnFormula>
    </tableColumn>
    <tableColumn id="23" xr3:uid="{FB28A2F4-2B22-4B56-834A-5B12998B4F9F}" name="Units (cal)" dataDxfId="252">
      <calculatedColumnFormula>IF(NOT(ISBLANK($E227)),_xlfn.XLOOKUP($E227,CartridgeNames[Available Chamberings],CartridgeNames[Caliber(Units)],"n/a",0,1),"")</calculatedColumnFormula>
    </tableColumn>
    <tableColumn id="5" xr3:uid="{7791D1FC-69B4-465A-9CE3-EAAEC9FB1922}" name="Weight" dataCellStyle="Normal"/>
    <tableColumn id="24" xr3:uid="{B00497F6-4D9C-440A-BD98-C56FC8FF769D}" name="Units(wt)" dataCellStyle="Normal"/>
    <tableColumn id="17" xr3:uid="{7E87A73E-A5F3-440A-98D1-616261A2DA90}" name="Muzzle Velocity" dataDxfId="251" dataCellStyle="Normal"/>
    <tableColumn id="25" xr3:uid="{6C41D75D-CF36-43FF-8772-27250558A5BE}" name="Units(MV)" dataCellStyle="Normal"/>
    <tableColumn id="8" xr3:uid="{FB30F29B-82FC-4002-BE09-745DB27BC455}" name="Minimum Terminal Velocity" dataCellStyle="Normal"/>
    <tableColumn id="26" xr3:uid="{EC129EAB-4E35-4F37-9BBE-92931DDD96FA}" name="Units(MTV)" dataCellStyle="Normal"/>
    <tableColumn id="11" xr3:uid="{D0ED7C77-73A3-4025-9698-8F2EBC2B588F}" name="BC(G1)" dataCellStyle="Normal"/>
    <tableColumn id="7" xr3:uid="{715B3DD9-2360-4851-8C1D-3C2462838EDF}" name="BC (G7)" dataCellStyle="Normal"/>
    <tableColumn id="4" xr3:uid="{3EAF514F-8CFF-4288-810D-AA08BBCD25A7}" name="Caliber(in)" dataDxfId="250" dataCellStyle="Normal">
      <calculatedColumnFormula array="1">IF(NOT(OR(ISBLANK($H227),ISBLANK($I227))),ConvertLength($H227,$I227,"in"),"")</calculatedColumnFormula>
    </tableColumn>
    <tableColumn id="15" xr3:uid="{15DC8754-AB40-47A6-8866-D9E2A123BDB2}" name="Caliber(mm)" dataDxfId="249" dataCellStyle="Normal">
      <calculatedColumnFormula array="1">IF(NOT(OR(ISBLANK($H227),ISBLANK($I227))),ConvertLength($H227,$I227,"mm"),"")</calculatedColumnFormula>
    </tableColumn>
    <tableColumn id="16" xr3:uid="{1A966385-0B35-4937-8644-43283E6F025C}" name="Weight(grains)" dataDxfId="248" dataCellStyle="Normal">
      <calculatedColumnFormula>IF(NOT(AND(ISBLANK($J227),ISBLANK($K227))),CONVERT($J227,$K227,"grain"),"")</calculatedColumnFormula>
    </tableColumn>
    <tableColumn id="18" xr3:uid="{33B2A29D-AED5-4BEE-8952-0F22B3945F30}" name="Weight(grams)" dataDxfId="247" dataCellStyle="Normal">
      <calculatedColumnFormula>IF(NOT(AND(ISBLANK($J227),ISBLANK($K227))),CONVERT($J227,$K227,"g"),"")</calculatedColumnFormula>
    </tableColumn>
    <tableColumn id="28" xr3:uid="{5CC819CC-11D8-4DC1-8975-9F95873A9B44}" name="Muzzle Velocity(ft/s)" dataDxfId="246" dataCellStyle="Normal">
      <calculatedColumnFormula array="1">IF(NOT(OR(ISBLANK($L227),ISBLANK($M227))),ConvertSpeed($L227,$M227,"ft/sec"),"")</calculatedColumnFormula>
    </tableColumn>
    <tableColumn id="29" xr3:uid="{D820EE9F-E7DB-4833-9AA3-5B203857B008}" name="Muzzle Veloctiy(m/s)" dataDxfId="245" dataCellStyle="Normal">
      <calculatedColumnFormula array="1">IF(NOT(OR(ISBLANK($L227),ISBLANK($M227))),ConvertSpeed($L227,$M227,"m/sec"),"")</calculatedColumnFormula>
    </tableColumn>
    <tableColumn id="30" xr3:uid="{F303698D-D03E-41DE-95DC-31F9D2F9014E}" name="Muzzle Energy(ft.lbs)" dataDxfId="244" dataCellStyle="Normal">
      <calculatedColumnFormula array="1">IF(NOT(OR(ISBLANK(V227),ISBLANK(T227))),MuzzleVelocityToMuzzleEnergyFtLb(V227,T227),"")</calculatedColumnFormula>
    </tableColumn>
    <tableColumn id="31" xr3:uid="{ABFB937C-7793-4ECA-9CFB-5DB9E2772376}" name="Muzzle Energy(J)" dataDxfId="243" dataCellStyle="Normal">
      <calculatedColumnFormula array="1">IF(NOT(OR(ISBLANK(W227),ISBLANK(U227))),MuzzleVelocityToMuzzleEnergyJoules(W227,U227),"")</calculatedColumnFormula>
    </tableColumn>
    <tableColumn id="32" xr3:uid="{80C71FCD-DAEA-4AC7-B607-30D4457280F9}" name="Minimum Terminal Velocity(ft/s)" dataDxfId="242" dataCellStyle="Normal">
      <calculatedColumnFormula array="1">IF(NOT(OR(ISBLANK($N227),ISBLANK($O227))),ConvertSpeed($N227,$O227,"ft/sec"),"")</calculatedColumnFormula>
    </tableColumn>
    <tableColumn id="33" xr3:uid="{801093D5-BE48-47E8-9C6F-404918A434C6}" name="Minimum Terminal Velocity(m/s)" dataDxfId="241" dataCellStyle="Normal">
      <calculatedColumnFormula array="1">IF(NOT(OR(ISBLANK($N227),ISBLANK($O227))),ConvertSpeed($N227,$O227,"m/sec"),"")</calculatedColumnFormula>
    </tableColumn>
  </tableColumns>
  <tableStyleInfo name="TableStyleMedium2" showFirstColumn="0" showLastColumn="0" showRowStripes="0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FBFFB58-DA61-4575-9D82-4E75E6FA1817}" name="ammunition.350remmag" displayName="ammunition.350remmag" ref="C198:AA200" totalsRowShown="0" headerRowDxfId="240" dataDxfId="239">
  <tableColumns count="25">
    <tableColumn id="10" xr3:uid="{0116460E-9F10-48F8-A5F2-862C810FDDDA}" name="Key" dataDxfId="238"/>
    <tableColumn id="34" xr3:uid="{C8635FEA-8AD1-4FFA-83A2-74343AF967E2}" name="Specification Type" dataDxfId="237"/>
    <tableColumn id="1" xr3:uid="{0E312701-5618-4E2D-A62F-57555C85D655}" name="Cartridge" dataDxfId="236"/>
    <tableColumn id="2" xr3:uid="{39D93692-B885-4B35-8DC4-93D6A3B93326}" name="Projectile" dataDxfId="235"/>
    <tableColumn id="12" xr3:uid="{CF2A9610-AA55-4827-887B-60971400E92C}" name="Type"/>
    <tableColumn id="3" xr3:uid="{5175C375-4BF4-4669-BCDD-2C09C715634C}" name="Caliber" dataDxfId="234">
      <calculatedColumnFormula>IF(NOT(ISBLANK($E199)),_xlfn.XLOOKUP($E199,CartridgeNames[Available Chamberings],CartridgeNames[Bullet Caliber],"n/a",0,1),"")</calculatedColumnFormula>
    </tableColumn>
    <tableColumn id="23" xr3:uid="{E69FC2B2-FAC3-4620-A856-1C5B87B5CABA}" name="Units (cal)" dataDxfId="233">
      <calculatedColumnFormula>IF(NOT(ISBLANK($E199)),_xlfn.XLOOKUP($E199,CartridgeNames[Available Chamberings],CartridgeNames[Caliber(Units)],"n/a",0,1),"")</calculatedColumnFormula>
    </tableColumn>
    <tableColumn id="5" xr3:uid="{927430AD-2816-4655-AE21-6AD02AA869BB}" name="Weight" dataCellStyle="Normal"/>
    <tableColumn id="24" xr3:uid="{9F6B21BB-C6AB-48D3-8EC7-E1B041F1A023}" name="Units(wt)" dataCellStyle="Normal"/>
    <tableColumn id="17" xr3:uid="{464E54BE-583B-4CA9-988E-F3C964698A7A}" name="Muzzle Velocity" dataDxfId="232" dataCellStyle="Normal"/>
    <tableColumn id="25" xr3:uid="{14A8BF63-CB62-4A56-9F97-381CCD6146EC}" name="Units(MV)" dataCellStyle="Normal"/>
    <tableColumn id="8" xr3:uid="{4FE63A1A-9BB7-4762-BA78-23EEEA102A0F}" name="Minimum Terminal Velocity" dataCellStyle="Normal"/>
    <tableColumn id="26" xr3:uid="{0B83C1F7-24A5-4A51-AE7D-C402EE31E442}" name="Units(MTV)" dataCellStyle="Normal"/>
    <tableColumn id="11" xr3:uid="{EACAF82C-F032-43F1-AD08-92EA735647B1}" name="BC(G1)" dataCellStyle="Normal"/>
    <tableColumn id="7" xr3:uid="{98A934EE-1F20-4B7C-BF96-66E1F29E41D3}" name="BC (G7)" dataCellStyle="Normal"/>
    <tableColumn id="4" xr3:uid="{E4CFC47B-C5E4-4B4F-9611-504E9133C136}" name="Caliber(in)" dataDxfId="231" dataCellStyle="Normal">
      <calculatedColumnFormula array="1">IF(NOT(OR(ISBLANK($H199),ISBLANK($I199))),ConvertLength($H199,$I199,"in"),"")</calculatedColumnFormula>
    </tableColumn>
    <tableColumn id="15" xr3:uid="{8722C63A-2F3F-4C7F-8F0D-BA018A60C64B}" name="Caliber(mm)" dataDxfId="230" dataCellStyle="Normal">
      <calculatedColumnFormula array="1">IF(NOT(OR(ISBLANK($H199),ISBLANK($I199))),ConvertLength($H199,$I199,"mm"),"")</calculatedColumnFormula>
    </tableColumn>
    <tableColumn id="16" xr3:uid="{4B2C74CE-8F25-40EE-A875-00567AEC8BBA}" name="Weight(grains)" dataDxfId="229" dataCellStyle="Normal">
      <calculatedColumnFormula>IF(NOT(AND(ISBLANK($J199),ISBLANK($K199))),CONVERT($J199,$K199,"grain"),"")</calculatedColumnFormula>
    </tableColumn>
    <tableColumn id="18" xr3:uid="{99E3DF14-7C63-46B8-B8AA-980166D0A37D}" name="Weight(grams)" dataDxfId="228" dataCellStyle="Normal">
      <calculatedColumnFormula>IF(NOT(AND(ISBLANK($J199),ISBLANK($K199))),CONVERT($J199,$K199,"g"),"")</calculatedColumnFormula>
    </tableColumn>
    <tableColumn id="28" xr3:uid="{DB6AD077-B3DF-4EBE-85F4-224177712024}" name="Muzzle Velocity(ft/s)" dataDxfId="227" dataCellStyle="Normal">
      <calculatedColumnFormula array="1">IF(NOT(OR(ISBLANK($L199),ISBLANK($M199))),ConvertSpeed($L199,$M199,"ft/sec"),"")</calculatedColumnFormula>
    </tableColumn>
    <tableColumn id="29" xr3:uid="{00F4FDAF-DA6E-4759-9DE5-61D9D6A53733}" name="Muzzle Veloctiy(m/s)" dataDxfId="226" dataCellStyle="Normal">
      <calculatedColumnFormula array="1">IF(NOT(OR(ISBLANK($L199),ISBLANK($M199))),ConvertSpeed($L199,$M199,"m/sec"),"")</calculatedColumnFormula>
    </tableColumn>
    <tableColumn id="30" xr3:uid="{5D822FBD-F496-417E-B202-B6B214D0F156}" name="Muzzle Energy(ft.lbs)" dataDxfId="225" dataCellStyle="Normal">
      <calculatedColumnFormula array="1">IF(NOT(OR(ISBLANK(V199),ISBLANK(T199))),MuzzleVelocityToMuzzleEnergyFtLb(V199,T199),"")</calculatedColumnFormula>
    </tableColumn>
    <tableColumn id="31" xr3:uid="{E8E9039B-63B7-437E-95B6-A82AED57C6C8}" name="Muzzle Energy(J)" dataDxfId="224" dataCellStyle="Normal">
      <calculatedColumnFormula array="1">IF(NOT(OR(ISBLANK(W199),ISBLANK(U199))),MuzzleVelocityToMuzzleEnergyJoules(W199,U199),"")</calculatedColumnFormula>
    </tableColumn>
    <tableColumn id="32" xr3:uid="{8075F2CF-A1BF-4B35-90A3-6276CB237B81}" name="Minimum Terminal Velocity(ft/s)" dataDxfId="223" dataCellStyle="Normal">
      <calculatedColumnFormula array="1">IF(NOT(OR(ISBLANK($N199),ISBLANK($O199))),ConvertSpeed($N199,$O199,"ft/sec"),"")</calculatedColumnFormula>
    </tableColumn>
    <tableColumn id="33" xr3:uid="{31ED1A0D-352C-4B69-8D20-D58E1D6DBF71}" name="Minimum Terminal Velocity(m/s)" dataDxfId="222" dataCellStyle="Normal">
      <calculatedColumnFormula array="1">IF(NOT(OR(ISBLANK($N199),ISBLANK($O199))),ConvertSpeed($N199,$O199,"m/sec"),"")</calculatedColumnFormula>
    </tableColumn>
  </tableColumns>
  <tableStyleInfo name="TableStyleMedium2" showFirstColumn="0" showLastColumn="0" showRowStripes="0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15035AE2-CEEA-490A-9312-01308A9A5389}" name="rifles.338lapuamag" displayName="rifles.338lapuamag" ref="C191:R193" totalsRowShown="0" headerRowDxfId="221">
  <autoFilter ref="C191:R193" xr:uid="{15035AE2-CEEA-490A-9312-01308A9A5389}"/>
  <tableColumns count="16">
    <tableColumn id="1" xr3:uid="{86ACAAC3-11EC-455F-97ED-08874B98A1BA}" name="Key"/>
    <tableColumn id="2" xr3:uid="{47CBA9F8-7CB5-4985-B1AD-E787D205E7F7}" name="Chambering"/>
    <tableColumn id="3" xr3:uid="{371DE24E-1320-4215-9DB0-669FF5679FEF}" name="Model"/>
    <tableColumn id="4" xr3:uid="{D2E449CE-13D0-4084-A972-0D4116CDB015}" name="Action Type"/>
    <tableColumn id="5" xr3:uid="{70CEF623-20AD-41E6-9DFD-2034ACDC1862}" name="Weight" dataDxfId="220"/>
    <tableColumn id="6" xr3:uid="{54112563-C81F-469B-B696-D158B901389F}" name="Units(Wt)" dataDxfId="219"/>
    <tableColumn id="7" xr3:uid="{AB1EB72E-4EA6-4EFE-9F6B-6A70E149DDDD}" name="Barrel Length" dataDxfId="218"/>
    <tableColumn id="9" xr3:uid="{86A5320D-069F-4DD4-BE80-6B0AC0C5EBD8}" name="Overall Length" dataDxfId="217"/>
    <tableColumn id="18" xr3:uid="{CA6560EA-A6CF-4D26-AF02-80B9EFD78C41}" name="Twist Rate(1:*)" dataDxfId="216"/>
    <tableColumn id="10" xr3:uid="{00466007-0AE2-43CE-8C3E-9940633B580E}" name="Units(Length)" dataDxfId="215"/>
    <tableColumn id="11" xr3:uid="{0D6E8BDB-E898-46A8-B46A-AC58DFA39FBE}" name="1-Sigma Precision" dataDxfId="214"/>
    <tableColumn id="12" xr3:uid="{BB67D6E5-391D-4846-9396-7300D216464E}" name="2-Sigma Precision" dataDxfId="213"/>
    <tableColumn id="13" xr3:uid="{62BBC4B4-32D0-4F5D-97A0-EAC25674B1B8}" name="Units(Precision)" dataDxfId="212"/>
    <tableColumn id="14" xr3:uid="{CF657500-0788-4FF2-9DB7-2DC0CC072838}" name="Resolution(Outer)" dataDxfId="211"/>
    <tableColumn id="15" xr3:uid="{D63CFB18-3085-456C-B3B4-DD9B76210674}" name="Resolution(Inner)" dataDxfId="210"/>
    <tableColumn id="16" xr3:uid="{7189FD80-A46C-4A30-ACAA-9C976904F45E}" name="Units(Resolution)" dataDxfId="209"/>
  </tableColumns>
  <tableStyleInfo name="TableStyleMedium2" showFirstColumn="0" showLastColumn="0" showRowStripes="0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371D09F4-8EF1-4B12-9FB3-0D2837279E12}" name="rifles.22lr" displayName="rifles.22lr" ref="C14:R16" totalsRowShown="0" headerRowDxfId="208">
  <autoFilter ref="C14:R16" xr:uid="{371D09F4-8EF1-4B12-9FB3-0D2837279E12}"/>
  <tableColumns count="16">
    <tableColumn id="1" xr3:uid="{8011DD01-5AD8-4337-8642-08CEC888C231}" name="Key"/>
    <tableColumn id="2" xr3:uid="{2918F505-0E2F-4E80-975E-D064911A0EE4}" name="Chambering"/>
    <tableColumn id="3" xr3:uid="{7607ECB1-DEC7-4FB0-B86B-5438231DCBE0}" name="Model"/>
    <tableColumn id="4" xr3:uid="{72CA989E-BD3E-434E-90B3-49FDA163B307}" name="Action Type"/>
    <tableColumn id="5" xr3:uid="{FF370BA9-A680-4E32-8D4E-A737A83102AF}" name="Weight" dataDxfId="207"/>
    <tableColumn id="6" xr3:uid="{7ADC92C7-D8DC-4980-81E5-68FE8107F0ED}" name="Units(Wt)" dataDxfId="206"/>
    <tableColumn id="7" xr3:uid="{712BF245-C0CF-48E6-BE70-09B540163D11}" name="Barrel Length" dataDxfId="205"/>
    <tableColumn id="9" xr3:uid="{895C438A-1FD9-418B-AB7F-153A73D9F2E3}" name="Overall Length" dataDxfId="204"/>
    <tableColumn id="18" xr3:uid="{D5B5FA36-F0F3-4221-A748-F2AC54DD5AC2}" name="Twist Rate(1:*)" dataDxfId="203"/>
    <tableColumn id="10" xr3:uid="{7B5EE3DB-A21B-498F-962A-54EB0BBBCFC9}" name="Units(Length)" dataDxfId="202"/>
    <tableColumn id="11" xr3:uid="{911D2B39-5708-4563-88BA-0A3A4AF6D6B6}" name="1-Sigma Precision" dataDxfId="201"/>
    <tableColumn id="12" xr3:uid="{8B779FC4-72FD-4DF4-B799-D72CACFC3C6D}" name="2-Sigma Precision" dataDxfId="200"/>
    <tableColumn id="13" xr3:uid="{91228AED-3C98-443B-897E-D56694DEE19B}" name="Units(Precision)" dataDxfId="199"/>
    <tableColumn id="14" xr3:uid="{1267430D-75E8-44D0-B87E-EFF187B4AFD8}" name="Resolution(Outer)" dataDxfId="198"/>
    <tableColumn id="15" xr3:uid="{E3FA839E-0F14-4894-939C-CAF2A00DFCD7}" name="Resolution(Inner)" dataDxfId="197"/>
    <tableColumn id="16" xr3:uid="{35C359D6-38A2-4711-9A04-9A72A7028CC9}" name="Units(Resolution)" dataDxfId="196"/>
  </tableColumns>
  <tableStyleInfo name="TableStyleMedium2" showFirstColumn="0" showLastColumn="0" showRowStripes="0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9D282EA1-60F5-46FF-854D-201F9E1E3EFF}" name="rifles.65mmcreedmoor" displayName="rifles.65mmcreedmoor" ref="C63:R65" totalsRowShown="0" headerRowDxfId="195">
  <autoFilter ref="C63:R65" xr:uid="{9D282EA1-60F5-46FF-854D-201F9E1E3EFF}"/>
  <tableColumns count="16">
    <tableColumn id="1" xr3:uid="{69496A36-78E5-4FD8-A78D-BD7532E84561}" name="Key"/>
    <tableColumn id="2" xr3:uid="{58088F10-8B23-427A-82E7-5948CB69318B}" name="Chambering"/>
    <tableColumn id="3" xr3:uid="{FF59C2FD-27AE-4304-927E-1BD549B57232}" name="Model"/>
    <tableColumn id="4" xr3:uid="{10112B82-E2CF-48B7-9A2F-95D3C90D1668}" name="Action Type"/>
    <tableColumn id="5" xr3:uid="{5B5D7AA3-22ED-4C91-BF10-358E62376047}" name="Weight" dataDxfId="194"/>
    <tableColumn id="6" xr3:uid="{05BC69CD-AE30-4805-8A18-B132BCF8B1A8}" name="Units(Wt)" dataDxfId="193"/>
    <tableColumn id="7" xr3:uid="{D7452D2F-3049-4098-8855-DC754757E7B2}" name="Barrel Length" dataDxfId="192"/>
    <tableColumn id="9" xr3:uid="{D7BD0291-8413-4297-9B6D-DCCA97B76121}" name="Overall Length" dataDxfId="191"/>
    <tableColumn id="18" xr3:uid="{7674F387-7EEA-4A2C-896F-FCAF16EFAC3C}" name="Twist Rate(1:*)" dataDxfId="190"/>
    <tableColumn id="10" xr3:uid="{C1C93594-4712-4A5B-9F57-F32FD65EB7C5}" name="Units(Length)" dataDxfId="189"/>
    <tableColumn id="11" xr3:uid="{FB829C1F-D56D-4749-9B6D-8349EFF5DE77}" name="1-Sigma Precision" dataDxfId="188"/>
    <tableColumn id="12" xr3:uid="{9BA240D7-DE39-4CA3-ACE6-A29916A21CF5}" name="2-Sigma Precision" dataDxfId="187"/>
    <tableColumn id="13" xr3:uid="{F4AAA564-218C-4CEB-AFDF-4787A556060F}" name="Units(Precision)" dataDxfId="186"/>
    <tableColumn id="14" xr3:uid="{E6BCBBED-D4D1-4259-BBAE-EEF7D987D5B9}" name="Resolution(Outer)" dataDxfId="185"/>
    <tableColumn id="15" xr3:uid="{82F22067-587F-43C9-80A9-1B1E447414E6}" name="Resolution(Inner)" dataDxfId="184"/>
    <tableColumn id="16" xr3:uid="{FD6D3864-3F5B-4E3A-AC08-C9A8034E8A0F}" name="Units(Resolution)" dataDxfId="183"/>
  </tableColumns>
  <tableStyleInfo name="TableStyleMedium2" showFirstColumn="0" showLastColumn="0" showRowStripes="0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88B56568-EBC5-49C0-B7AF-FDCA90EDEA88}" name="rifles.7mmprc" displayName="rifles.7mmprc" ref="C113:R115" totalsRowShown="0" headerRowDxfId="182">
  <autoFilter ref="C113:R115" xr:uid="{88B56568-EBC5-49C0-B7AF-FDCA90EDEA88}"/>
  <tableColumns count="16">
    <tableColumn id="1" xr3:uid="{40F69D73-EDF4-4E2B-82AD-1B825C659242}" name="Key"/>
    <tableColumn id="2" xr3:uid="{04947470-7BD8-4E12-8360-6073442A4E95}" name="Chambering"/>
    <tableColumn id="3" xr3:uid="{7EE53C90-0BA0-4A97-BB71-97C6272E5F6D}" name="Model"/>
    <tableColumn id="4" xr3:uid="{6603E9C3-B585-4189-B0E6-5D9E53C6734C}" name="Action Type"/>
    <tableColumn id="5" xr3:uid="{194DFE43-79DB-4BEA-9C46-3CD0A2CE6846}" name="Weight" dataDxfId="181"/>
    <tableColumn id="6" xr3:uid="{C816C8B1-80D2-478D-AA6A-CF6F8B354E54}" name="Units(Wt)" dataDxfId="180"/>
    <tableColumn id="7" xr3:uid="{6C9CE075-E093-4425-940B-48F438EC9680}" name="Barrel Length" dataDxfId="179"/>
    <tableColumn id="9" xr3:uid="{B5A1C4CD-2FD1-4115-BA0F-3BCB0FF701F0}" name="Overall Length" dataDxfId="178"/>
    <tableColumn id="18" xr3:uid="{C1432674-0A3E-4D79-8B4F-A28118D5CEDD}" name="Twist Rate(1:*)" dataDxfId="177"/>
    <tableColumn id="10" xr3:uid="{670D597F-C4EC-4604-8F95-75D3A361C284}" name="Units(Length)" dataDxfId="176"/>
    <tableColumn id="11" xr3:uid="{DB8795F6-9F78-4ECF-A8B4-6702D5490E2D}" name="1-Sigma Precision" dataDxfId="175"/>
    <tableColumn id="12" xr3:uid="{07E6BE94-3F15-4D87-A4ED-D29D626D5D6A}" name="2-Sigma Precision" dataDxfId="174"/>
    <tableColumn id="13" xr3:uid="{AFD7871B-F1DF-47C6-9982-DD7076EAAE24}" name="Units(Precision)" dataDxfId="173"/>
    <tableColumn id="14" xr3:uid="{3DB6A0CE-302F-48F0-B0FB-242611058D3E}" name="Resolution(Outer)" dataDxfId="172"/>
    <tableColumn id="15" xr3:uid="{896CBC50-4F88-420C-8F2E-DC158BA7FD0B}" name="Resolution(Inner)" dataDxfId="171"/>
    <tableColumn id="16" xr3:uid="{4365DA9B-EA29-4FD9-831C-51681F7FE08A}" name="Units(Resolution)" dataDxfId="170"/>
  </tableColumns>
  <tableStyleInfo name="TableStyleMedium2" showFirstColumn="0" showLastColumn="0" showRowStripes="0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DBA20822-A2E8-4F27-8424-FCCB4169184A}" name="rifles.243win" displayName="rifles.243win" ref="C46:R48" totalsRowShown="0" headerRowDxfId="169">
  <autoFilter ref="C46:R48" xr:uid="{DBA20822-A2E8-4F27-8424-FCCB4169184A}"/>
  <tableColumns count="16">
    <tableColumn id="1" xr3:uid="{9C7E7D62-B68C-4269-B725-C619AFD0E674}" name="Key"/>
    <tableColumn id="2" xr3:uid="{786357EF-DB6B-4420-A0E2-B32C67E44857}" name="Chambering"/>
    <tableColumn id="3" xr3:uid="{803F3A1B-79BB-457D-83F4-33A10ACB1ACF}" name="Model"/>
    <tableColumn id="4" xr3:uid="{CAEFB7E1-559B-4C14-A5A0-6A3544BD14DE}" name="Action Type"/>
    <tableColumn id="5" xr3:uid="{E345C8BB-0B79-43C7-B789-D7238D088A30}" name="Weight" dataDxfId="168"/>
    <tableColumn id="6" xr3:uid="{CF0F52A1-833C-4A5D-AAC1-ED76D4204B21}" name="Units(Wt)" dataDxfId="167"/>
    <tableColumn id="7" xr3:uid="{5252F1D7-50A2-41FD-A4EC-2891D1740CDE}" name="Barrel Length" dataDxfId="166"/>
    <tableColumn id="9" xr3:uid="{EE978416-72F8-4850-9190-3DAB2E4E6127}" name="Overall Length" dataDxfId="165"/>
    <tableColumn id="18" xr3:uid="{5DBF9347-F5FB-4313-83AD-1C628BE09A99}" name="Twist Rate(1:*)" dataDxfId="164"/>
    <tableColumn id="10" xr3:uid="{8830B0E8-614D-4F1F-A07C-8B39CBE71BED}" name="Units(Length)" dataDxfId="163"/>
    <tableColumn id="11" xr3:uid="{33BDE36E-38A9-4A10-BE7B-1C83BAB711F2}" name="1-Sigma Precision" dataDxfId="162"/>
    <tableColumn id="12" xr3:uid="{152A1844-E58C-49FA-A703-2347EE40210C}" name="2-Sigma Precision" dataDxfId="161"/>
    <tableColumn id="13" xr3:uid="{39E09336-B1F5-48FC-8918-C2015EDE2D5A}" name="Units(Precision)" dataDxfId="160"/>
    <tableColumn id="14" xr3:uid="{50932ED0-9CD4-4431-AA7A-D0F2441F6AC4}" name="Resolution(Outer)" dataDxfId="159"/>
    <tableColumn id="15" xr3:uid="{E894065D-C873-4B0E-A778-BD1BF4BC2605}" name="Resolution(Inner)" dataDxfId="158"/>
    <tableColumn id="16" xr3:uid="{D53C5999-4254-4BF0-ADCF-0E7F8E792434}" name="Units(Resolution)" dataDxfId="157"/>
  </tableColumns>
  <tableStyleInfo name="TableStyleMedium2" showFirstColumn="0" showLastColumn="0" showRowStripes="0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70E9EB0-9DC2-4EE8-B52A-DC531F1190B6}" name="rifles.223rem" displayName="rifles.223rem" ref="C30:R32" totalsRowShown="0" headerRowDxfId="156">
  <autoFilter ref="C30:R32" xr:uid="{070E9EB0-9DC2-4EE8-B52A-DC531F1190B6}"/>
  <tableColumns count="16">
    <tableColumn id="1" xr3:uid="{0E32A546-A6FD-4626-BB94-00DB79A591FE}" name="Key"/>
    <tableColumn id="2" xr3:uid="{61FC81F1-7F6C-4BA7-8D15-82907CD442E0}" name="Chambering"/>
    <tableColumn id="3" xr3:uid="{143E61D8-B9FA-4151-8762-52747656A356}" name="Model"/>
    <tableColumn id="4" xr3:uid="{79279D94-DF8E-48F8-A835-49E349FC26BF}" name="Action Type"/>
    <tableColumn id="5" xr3:uid="{357D6711-9103-48E2-99C2-2232036486E2}" name="Weight" dataDxfId="155"/>
    <tableColumn id="6" xr3:uid="{606639FA-E260-4887-A73C-61DF0D8A3816}" name="Units(Wt)" dataDxfId="154"/>
    <tableColumn id="7" xr3:uid="{A30CA93D-5283-4DFB-9BED-AA4319717C99}" name="Barrel Length" dataDxfId="153"/>
    <tableColumn id="9" xr3:uid="{DA5E5CA1-1061-471D-A4C2-717E3EB26EC3}" name="Overall Length" dataDxfId="152"/>
    <tableColumn id="18" xr3:uid="{1486059A-8A1F-467A-B789-D0894FC73B25}" name="Twist Rate(1:*)" dataDxfId="151"/>
    <tableColumn id="10" xr3:uid="{D0C94881-9C94-4A3E-A366-8A29E8A68BE9}" name="Units(Length)" dataDxfId="150"/>
    <tableColumn id="11" xr3:uid="{8521CE41-5A14-4312-B88A-EBA85C7A21A8}" name="1-Sigma Precision" dataDxfId="149"/>
    <tableColumn id="12" xr3:uid="{C6CB657B-2E40-4990-BDF5-3235E7E19D74}" name="2-Sigma Precision" dataDxfId="148"/>
    <tableColumn id="13" xr3:uid="{27C42F3F-7841-4F2A-974C-4FA086D549F4}" name="Units(Precision)" dataDxfId="147"/>
    <tableColumn id="14" xr3:uid="{450E5BAC-9F86-46B6-953C-9D7A2B91141C}" name="Resolution(Outer)" dataDxfId="146"/>
    <tableColumn id="15" xr3:uid="{477EEFDB-F384-4375-BF73-45FD1B0202FF}" name="Resolution(Inner)" dataDxfId="145"/>
    <tableColumn id="16" xr3:uid="{AEAB4378-0F39-40C0-9AB2-872132D2C4AE}" name="Units(Resolution)" dataDxfId="144"/>
  </tableColumns>
  <tableStyleInfo name="TableStyleMedium2" showFirstColumn="0" showLastColumn="0" showRowStripes="0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14B27664-9423-4707-BC6A-FBF09E8503BC}" name="rifles.270win" displayName="rifles.270win" ref="C81:R83" totalsRowShown="0" headerRowDxfId="143">
  <autoFilter ref="C81:R83" xr:uid="{14B27664-9423-4707-BC6A-FBF09E8503BC}"/>
  <tableColumns count="16">
    <tableColumn id="1" xr3:uid="{5B198813-C62D-4F95-8A56-0AFA8226B0E8}" name="Key"/>
    <tableColumn id="2" xr3:uid="{5D70DEEF-72C4-49E0-8DBD-237E051356A2}" name="Chambering"/>
    <tableColumn id="3" xr3:uid="{B64AD4ED-B805-48D0-99EB-AB1187EB617F}" name="Model"/>
    <tableColumn id="4" xr3:uid="{578EDC67-FD96-411B-BD69-36269D7D543A}" name="Action Type"/>
    <tableColumn id="5" xr3:uid="{7CC92BFB-013D-4FDB-B9BF-87127329CB45}" name="Weight" dataDxfId="142"/>
    <tableColumn id="6" xr3:uid="{EBEF9FAB-8969-47BC-90A4-5E574D152AEB}" name="Units(Wt)" dataDxfId="141"/>
    <tableColumn id="7" xr3:uid="{8FF8E864-7982-40A4-BB33-61CAA183D0CD}" name="Barrel Length" dataDxfId="140"/>
    <tableColumn id="9" xr3:uid="{B13800C0-C17C-4CE5-A7B0-B27187AB406A}" name="Overall Length" dataDxfId="139"/>
    <tableColumn id="18" xr3:uid="{E03BA4FA-0C53-4816-A822-5ED1C009EC73}" name="Twist Rate(1:*)" dataDxfId="138"/>
    <tableColumn id="10" xr3:uid="{8E0CBA3E-E932-429D-9E22-60C9C820E3CF}" name="Units(Length)" dataDxfId="137"/>
    <tableColumn id="11" xr3:uid="{BC5140C7-7075-45A4-992B-92EEEE9EBCE2}" name="1-Sigma Precision" dataDxfId="136"/>
    <tableColumn id="12" xr3:uid="{6ED5D321-E19B-44AF-A9F3-42ADF7BD825E}" name="2-Sigma Precision" dataDxfId="135"/>
    <tableColumn id="13" xr3:uid="{5EA0FE83-6753-4491-8B77-BFD246DE69CE}" name="Units(Precision)" dataDxfId="134"/>
    <tableColumn id="14" xr3:uid="{EA5CD569-29B1-48D8-9C4C-C46CC4CC3CE1}" name="Resolution(Outer)" dataDxfId="133"/>
    <tableColumn id="15" xr3:uid="{365C23A4-B7DE-4B4F-A17D-3E787572D349}" name="Resolution(Inner)" dataDxfId="132"/>
    <tableColumn id="16" xr3:uid="{D984C482-68C5-4B29-BA46-A8396DDA0671}" name="Units(Resolution)" dataDxfId="131"/>
  </tableColumns>
  <tableStyleInfo name="TableStyleMedium2" showFirstColumn="0" showLastColumn="0" showRowStripes="0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DE2404F6-C60B-4A8E-B9E8-6D19B878F252}" name="rifles.7mm08rem" displayName="rifles.7mm08rem" ref="C97:R99" totalsRowShown="0" headerRowDxfId="130">
  <autoFilter ref="C97:R99" xr:uid="{DE2404F6-C60B-4A8E-B9E8-6D19B878F252}"/>
  <tableColumns count="16">
    <tableColumn id="1" xr3:uid="{0D9C392A-338B-4596-B092-7A74C760827A}" name="Key"/>
    <tableColumn id="2" xr3:uid="{6A944A11-44D0-48AD-BBED-74B5E85D3056}" name="Chambering"/>
    <tableColumn id="3" xr3:uid="{8E71820B-0E02-44B8-B6CC-24DC8E9F4F35}" name="Model"/>
    <tableColumn id="4" xr3:uid="{57B65205-A9F4-4108-92EB-F220C0DF0148}" name="Action Type"/>
    <tableColumn id="5" xr3:uid="{5ABABF1F-11F7-466C-91AD-651FD4C6F9C6}" name="Weight" dataDxfId="129"/>
    <tableColumn id="6" xr3:uid="{16B85F49-ACE5-4DA5-82FA-A5C37A736129}" name="Units(Wt)" dataDxfId="128"/>
    <tableColumn id="7" xr3:uid="{178558BD-D4FD-4704-A5F0-A8F6F14CB9AD}" name="Barrel Length" dataDxfId="127"/>
    <tableColumn id="9" xr3:uid="{8634BB20-BBE3-4F6E-9325-C011EE98D23C}" name="Overall Length" dataDxfId="126"/>
    <tableColumn id="18" xr3:uid="{823BE452-FE61-4E7E-A3E8-D2B2D87CA6E4}" name="Twist Rate(1:*)" dataDxfId="125"/>
    <tableColumn id="10" xr3:uid="{ED0D444D-67C5-4698-9E89-4D26C4D669DD}" name="Units(Length)" dataDxfId="124"/>
    <tableColumn id="11" xr3:uid="{F90BFDAA-483F-473C-9AAF-1FF9FF05B8C7}" name="1-Sigma Precision" dataDxfId="123"/>
    <tableColumn id="12" xr3:uid="{595816B3-2034-452F-9085-C90CF9EBFB39}" name="2-Sigma Precision" dataDxfId="122"/>
    <tableColumn id="13" xr3:uid="{F0C169CC-6208-4E95-883C-BD636FB4AB78}" name="Units(Precision)" dataDxfId="121"/>
    <tableColumn id="14" xr3:uid="{9B8997A6-B633-41FB-A9AB-E9FBFE0CD42F}" name="Resolution(Outer)" dataDxfId="120"/>
    <tableColumn id="15" xr3:uid="{33EEA2F4-57F4-4909-BC63-6E79A356A34B}" name="Resolution(Inner)" dataDxfId="119"/>
    <tableColumn id="16" xr3:uid="{64DEC36E-316A-4EC1-B251-C884B020839F}" name="Units(Resolution)" dataDxfId="118"/>
  </tableColumns>
  <tableStyleInfo name="TableStyleMedium2" showFirstColumn="0" showLastColumn="0" showRowStripes="0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27CFD26C-2CFF-44F9-B502-4174AD456605}" name="rifles.3006spring" displayName="rifles.3006spring" ref="C164:R166" totalsRowShown="0" headerRowDxfId="117">
  <autoFilter ref="C164:R166" xr:uid="{27CFD26C-2CFF-44F9-B502-4174AD456605}"/>
  <tableColumns count="16">
    <tableColumn id="1" xr3:uid="{54525F64-7CB6-406E-8F06-577BBC4574C8}" name="Key"/>
    <tableColumn id="2" xr3:uid="{D43AD95E-6CFB-4FE7-AD39-FEA2C31CE37A}" name="Chambering"/>
    <tableColumn id="3" xr3:uid="{9710CA92-2509-4469-8ADD-95AB5963F8CB}" name="Model"/>
    <tableColumn id="4" xr3:uid="{EC2F8B6C-FBDC-45CF-92DA-8ADD82E54BCF}" name="Action Type"/>
    <tableColumn id="5" xr3:uid="{A2A6BA45-4E77-4003-9FF1-34816B3F0CD6}" name="Weight" dataDxfId="116"/>
    <tableColumn id="6" xr3:uid="{FC6A49D5-4CCC-4FCE-BFAE-75F48FDA0AC2}" name="Units(Wt)" dataDxfId="115"/>
    <tableColumn id="7" xr3:uid="{11CF2A6D-E1A2-46D1-8898-1F625547B434}" name="Barrel Length" dataDxfId="114"/>
    <tableColumn id="9" xr3:uid="{0A75EC8F-1833-4A9C-9660-02E943916F70}" name="Overall Length" dataDxfId="113"/>
    <tableColumn id="18" xr3:uid="{0DFD9166-5D7F-4C08-A004-CCB4F3BCFDB3}" name="Twist Rate(1:*)" dataDxfId="112"/>
    <tableColumn id="10" xr3:uid="{F9E0027C-1599-4139-89F1-89346436FC78}" name="Units(Length)" dataDxfId="111"/>
    <tableColumn id="11" xr3:uid="{3007330E-B5C9-4E31-B4C9-89232B0DBDFE}" name="1-Sigma Precision" dataDxfId="110"/>
    <tableColumn id="12" xr3:uid="{950C673C-7E36-4E5E-84B6-57B648EBE0BB}" name="2-Sigma Precision" dataDxfId="109"/>
    <tableColumn id="13" xr3:uid="{09EC44F0-04B6-4310-A001-E6FC4405F1F2}" name="Units(Precision)" dataDxfId="108"/>
    <tableColumn id="14" xr3:uid="{B4A334E7-D195-49E1-893D-E67A19E9014A}" name="Resolution(Outer)" dataDxfId="107"/>
    <tableColumn id="15" xr3:uid="{F26BC455-A71F-43A0-861A-BE3A7A98BA97}" name="Resolution(Inner)" dataDxfId="106"/>
    <tableColumn id="16" xr3:uid="{1E4CA149-312C-4F22-9ECD-37D9BBFE3423}" name="Units(Resolution)" dataDxfId="105"/>
  </tableColumns>
  <tableStyleInfo name="TableStyleMedium2" showFirstColumn="0" showLastColumn="0" showRowStripes="0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DD780A41-F61E-4A96-9656-64D5E2280E33}" name="rifles.3030win" displayName="rifles.3030win" ref="C128:R129" totalsRowShown="0" headerRowDxfId="104" dataDxfId="102" headerRowBorderDxfId="103" tableBorderDxfId="101" totalsRowBorderDxfId="100">
  <autoFilter ref="C128:R129" xr:uid="{DD780A41-F61E-4A96-9656-64D5E2280E33}"/>
  <tableColumns count="16">
    <tableColumn id="1" xr3:uid="{3E0CB6A1-C24D-4028-965C-7CDD0309AAD9}" name="Key" dataDxfId="99"/>
    <tableColumn id="2" xr3:uid="{D1574582-FF06-4282-A7D9-7CBD4A46DD21}" name="Chambering" dataDxfId="98"/>
    <tableColumn id="3" xr3:uid="{401AE3BB-2AD4-41F1-8076-D852890BF571}" name="Model" dataDxfId="97"/>
    <tableColumn id="4" xr3:uid="{637A83E7-0B46-4DA5-B12D-8AD08A128B4D}" name="Action Type" dataDxfId="96"/>
    <tableColumn id="5" xr3:uid="{974AB35E-81AA-4B42-9665-38641FE807CA}" name="Weight" dataDxfId="95"/>
    <tableColumn id="6" xr3:uid="{5D62E166-A3CC-4456-903C-28C3098CA878}" name="Units(Wt)" dataDxfId="94"/>
    <tableColumn id="7" xr3:uid="{360C7AC8-A2CA-45BA-B451-30D9F3D2380D}" name="Barrel Length" dataDxfId="93"/>
    <tableColumn id="8" xr3:uid="{53DBCB5D-A969-41CE-8DBE-F9C588E58D29}" name="Overall Length" dataDxfId="92"/>
    <tableColumn id="9" xr3:uid="{100B91C8-FCC1-453F-B8EA-6194BB02970A}" name="Twist Rate(1:*)" dataDxfId="91"/>
    <tableColumn id="10" xr3:uid="{491BB5EB-4B29-4015-9F0E-3640BB9A24BE}" name="Units(Length)" dataDxfId="90"/>
    <tableColumn id="11" xr3:uid="{9970FF2F-5462-49AE-B49B-FAD931461D3C}" name="1-Sigma Precision" dataDxfId="89"/>
    <tableColumn id="12" xr3:uid="{ECAD11DA-497F-4128-A452-C9E6FB4837BE}" name="2-Sigma Precision" dataDxfId="88"/>
    <tableColumn id="13" xr3:uid="{39DA7068-0B7B-40C9-ABC3-3A65ED348463}" name="Units(Precision)" dataDxfId="87"/>
    <tableColumn id="14" xr3:uid="{4AFE1363-4363-44DB-8D07-D6F544F3EE8E}" name="Resolution(Outer)" dataDxfId="86"/>
    <tableColumn id="15" xr3:uid="{39F79EAC-81C2-463A-953A-84625D3B3182}" name="Resolution(Inner)" dataDxfId="85"/>
    <tableColumn id="16" xr3:uid="{A30DD225-3F11-47D9-9BF2-91164F6C755F}" name="Units(Resolution)" dataDxfId="84"/>
  </tableColumns>
  <tableStyleInfo name="TableStyleMedium2" showFirstColumn="0" showLastColumn="0" showRowStripes="0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649C2E2D-2C0A-42CF-A191-39660E21B19B}" name="rifles.93mmx62mauser" displayName="rifles.93mmx62mauser" ref="C218:R219" totalsRowShown="0" headerRowDxfId="83" dataDxfId="81" headerRowBorderDxfId="82" tableBorderDxfId="80" totalsRowBorderDxfId="79">
  <autoFilter ref="C218:R219" xr:uid="{649C2E2D-2C0A-42CF-A191-39660E21B19B}"/>
  <tableColumns count="16">
    <tableColumn id="1" xr3:uid="{CE222A8A-E5B2-4B80-906E-D92C28B252AC}" name="Key" dataDxfId="78"/>
    <tableColumn id="2" xr3:uid="{3672D16F-604D-420E-A03D-F2629F322D79}" name="Chambering" dataDxfId="77"/>
    <tableColumn id="3" xr3:uid="{BF93077F-5BB2-441C-A720-AED64880AFA2}" name="Model" dataDxfId="76"/>
    <tableColumn id="4" xr3:uid="{33F5EA4E-8860-4237-85A3-5E27A06FA0FA}" name="Action Type" dataDxfId="75"/>
    <tableColumn id="5" xr3:uid="{D0E22E30-0871-4983-86B8-EF48948F7A69}" name="Weight" dataDxfId="74"/>
    <tableColumn id="6" xr3:uid="{001E2CD7-5064-46A2-B05C-F1F2F7ACAC30}" name="Units(Wt)" dataDxfId="73"/>
    <tableColumn id="7" xr3:uid="{62A455D1-958D-46BA-A4C1-C004AEBCF641}" name="Barrel Length" dataDxfId="72"/>
    <tableColumn id="8" xr3:uid="{6D4F7971-27FA-466E-A974-B132DF7DE023}" name="Overall Length" dataDxfId="71"/>
    <tableColumn id="9" xr3:uid="{BCE51C39-A69D-49F8-ABEA-2131028A32F4}" name="Twist Rate(1:*)" dataDxfId="70"/>
    <tableColumn id="10" xr3:uid="{64A60DF7-4370-4532-99B8-04420E4465B3}" name="Units(Length)" dataDxfId="69"/>
    <tableColumn id="11" xr3:uid="{421174B4-C0C9-4446-AC71-9949B2E01263}" name="1-Sigma Precision" dataDxfId="68"/>
    <tableColumn id="12" xr3:uid="{67466B29-226A-417F-88D4-EDA1BD71E80F}" name="2-Sigma Precision" dataDxfId="67"/>
    <tableColumn id="13" xr3:uid="{6DBA7C9E-A53D-408E-ADFF-3B08EB3CB4BC}" name="Units(Precision)" dataDxfId="66"/>
    <tableColumn id="14" xr3:uid="{2C55319C-5610-4829-95F4-9B84F7B10084}" name="Resolution(Outer)" dataDxfId="65"/>
    <tableColumn id="15" xr3:uid="{8BC46A79-EE97-47BC-A6CB-124767469091}" name="Resolution(Inner)" dataDxfId="64"/>
    <tableColumn id="16" xr3:uid="{7B6B1A0A-0289-4A3A-8796-F062C57CCF0D}" name="Units(Resolution)" dataDxfId="63"/>
  </tableColumns>
  <tableStyleInfo name="TableStyleMedium2" showFirstColumn="0" showLastColumn="0" showRowStripes="0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1EBD3A17-E258-4AE7-B6D1-308985E85E24}" name="rifles.375hhmag" displayName="rifles.375hhmag" ref="C235:R236" totalsRowShown="0" headerRowDxfId="62" dataDxfId="60" headerRowBorderDxfId="61" tableBorderDxfId="59" totalsRowBorderDxfId="58">
  <autoFilter ref="C235:R236" xr:uid="{1EBD3A17-E258-4AE7-B6D1-308985E85E24}"/>
  <tableColumns count="16">
    <tableColumn id="1" xr3:uid="{ED4BCADF-0B72-4032-8620-5E25DA456174}" name="Key" dataDxfId="57"/>
    <tableColumn id="2" xr3:uid="{41D0F1AB-0984-44AE-9757-CCD9D899F320}" name="Chambering" dataDxfId="56"/>
    <tableColumn id="3" xr3:uid="{143895DF-1F4D-448A-A7AB-218A4000341B}" name="Model" dataDxfId="55"/>
    <tableColumn id="4" xr3:uid="{3430291A-1A7E-404B-8895-FED6AFE1A2F3}" name="Action Type" dataDxfId="54"/>
    <tableColumn id="5" xr3:uid="{9BBE2B69-1B1A-4272-BC44-62B20F76E7D9}" name="Weight" dataDxfId="53"/>
    <tableColumn id="6" xr3:uid="{9102DC6A-4693-4C32-8922-BACD2C7A0DB8}" name="Units(Wt)" dataDxfId="52"/>
    <tableColumn id="7" xr3:uid="{44FAB5FA-8DD6-44CF-8DD4-C18AE18B1AEE}" name="Barrel Length" dataDxfId="51"/>
    <tableColumn id="8" xr3:uid="{1A210EA1-B443-4792-BC85-163C00C27698}" name="Overall Length" dataDxfId="50"/>
    <tableColumn id="9" xr3:uid="{2EB367C8-6CE5-486A-ABE2-01BC01F27A59}" name="Twist Rate(1:*)" dataDxfId="49"/>
    <tableColumn id="10" xr3:uid="{E99C1172-146A-4AD0-B91E-47DA3FDEC797}" name="Units(Length)" dataDxfId="48"/>
    <tableColumn id="11" xr3:uid="{7B4610BD-12D2-45C1-84ED-30E445D9B333}" name="1-Sigma Precision" dataDxfId="47"/>
    <tableColumn id="12" xr3:uid="{C91D3DA1-48DF-4A00-8FFF-2676C9C63A95}" name="2-Sigma Precision" dataDxfId="46"/>
    <tableColumn id="13" xr3:uid="{A0426C92-AF6D-412B-80B0-7A03E2DF7AD2}" name="Units(Precision)" dataDxfId="45"/>
    <tableColumn id="14" xr3:uid="{006D8BF9-6128-45F7-8FDE-B2C5BD9E98E2}" name="Resolution(Outer)" dataDxfId="44"/>
    <tableColumn id="15" xr3:uid="{34875696-89A0-4C56-AE62-09B03D40F952}" name="Resolution(Inner)" dataDxfId="43"/>
    <tableColumn id="16" xr3:uid="{5A01F82E-4E58-46F6-8D47-D9C61C3B4645}" name="Units(Resolution)" dataDxfId="42"/>
  </tableColumns>
  <tableStyleInfo name="TableStyleMedium2" showFirstColumn="0" showLastColumn="0" showRowStripes="0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278157CE-3B87-45E9-A0DA-865AA3D50900}" name="rifles.350remmag" displayName="rifles.350remmag" ref="C202:R203" totalsRowShown="0" headerRowDxfId="41" dataDxfId="39" headerRowBorderDxfId="40" tableBorderDxfId="38" totalsRowBorderDxfId="37">
  <autoFilter ref="C202:R203" xr:uid="{278157CE-3B87-45E9-A0DA-865AA3D50900}"/>
  <tableColumns count="16">
    <tableColumn id="1" xr3:uid="{9DBD1F51-7E27-4D73-A0C4-4B3DFBCB8F74}" name="Key" dataDxfId="36"/>
    <tableColumn id="2" xr3:uid="{06B2EA37-5A07-4114-98F7-AB4BF3815F46}" name="Chambering" dataDxfId="35"/>
    <tableColumn id="3" xr3:uid="{3FA61659-68B5-414B-BFAD-BF267723D9EF}" name="Model" dataDxfId="34"/>
    <tableColumn id="4" xr3:uid="{325CCA9A-045C-4AF0-AD43-E44E8205D714}" name="Action Type" dataDxfId="33"/>
    <tableColumn id="5" xr3:uid="{D3E39BFA-AD68-4CA0-850D-6B5B5124FB0C}" name="Weight" dataDxfId="32"/>
    <tableColumn id="6" xr3:uid="{A0447DE5-8D07-4C9D-844B-31E7B5941F77}" name="Units(Wt)" dataDxfId="31"/>
    <tableColumn id="7" xr3:uid="{9D7ACD00-444D-4F9E-929D-50960037F645}" name="Barrel Length" dataDxfId="30"/>
    <tableColumn id="8" xr3:uid="{E4490156-67E3-40B9-8B23-7DDD6582176D}" name="Overall Length" dataDxfId="29"/>
    <tableColumn id="9" xr3:uid="{FDC0EF59-3E70-455A-8A32-1512501BF4F4}" name="Twist Rate(1:*)" dataDxfId="28"/>
    <tableColumn id="10" xr3:uid="{9F531F0F-2F4F-4D14-ACA7-D3A433772237}" name="Units(Length)" dataDxfId="27"/>
    <tableColumn id="11" xr3:uid="{A1B5DA3E-1304-4912-A6ED-4453478C9E84}" name="1-Sigma Precision" dataDxfId="26"/>
    <tableColumn id="12" xr3:uid="{88FF0C87-0B29-4EC5-957C-0FDEB8E5DDDE}" name="2-Sigma Precision" dataDxfId="25"/>
    <tableColumn id="13" xr3:uid="{89FBCED6-0E9B-43E3-B0EC-A0315265A3F2}" name="Units(Precision)" dataDxfId="24"/>
    <tableColumn id="14" xr3:uid="{00178030-085B-42AD-9529-480C26A73C81}" name="Resolution(Outer)" dataDxfId="23"/>
    <tableColumn id="15" xr3:uid="{891B7CAA-A081-427F-96F8-86BD78BF47D6}" name="Resolution(Inner)" dataDxfId="22"/>
    <tableColumn id="16" xr3:uid="{FAA391E5-F672-4ACE-AE56-05C454393A0E}" name="Units(Resolution)" dataDxfId="21"/>
  </tableColumns>
  <tableStyleInfo name="TableStyleMedium2" showFirstColumn="0" showLastColumn="0" showRowStripes="0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2712B3-CFEC-4ED7-98AE-1DDBE6CF3988}" name="RiflescopeData" displayName="RiflescopeData" ref="A1:N4" totalsRowShown="0" headerRowDxfId="20">
  <autoFilter ref="A1:N4" xr:uid="{342712B3-CFEC-4ED7-98AE-1DDBE6CF3988}"/>
  <tableColumns count="14">
    <tableColumn id="1" xr3:uid="{67921394-DCA4-458A-8626-3BFAEFAB4C87}" name="Name" dataDxfId="19"/>
    <tableColumn id="2" xr3:uid="{56716730-D20D-4D7A-98B4-E587E58C5AA3}" name="Manufacturer" dataDxfId="18"/>
    <tableColumn id="3" xr3:uid="{6A8B2022-83CD-4039-B598-B65A92413F2E}" name="Reticle Description" dataDxfId="17"/>
    <tableColumn id="4" xr3:uid="{14FD9E16-0A32-4C8B-927D-367E567E0685}" name="Magnification Range" dataDxfId="16"/>
    <tableColumn id="5" xr3:uid="{A571C59E-42FB-47E8-8508-6AB1980F2167}" name="Objective Lens Diameter(mm)" dataDxfId="15"/>
    <tableColumn id="6" xr3:uid="{79F51803-99CA-4965-8267-1A3E0FA6555E}" name="Reticle Focal Plane" dataDxfId="14"/>
    <tableColumn id="7" xr3:uid="{553C5C8C-B05D-4F13-9E0F-BA00321217CC}" name="Reticle Units" dataDxfId="13"/>
    <tableColumn id="8" xr3:uid="{EA3C4A91-A8E3-488F-8871-0C361B1B4F35}" name="Reticle Calibration Magnification" dataDxfId="12"/>
    <tableColumn id="9" xr3:uid="{B51DD7F4-D4C5-43D0-91A2-5D95C7B8A0D6}" name="Angular Resolution" dataDxfId="11"/>
    <tableColumn id="10" xr3:uid="{F350DE38-69A9-4E94-B71C-3D1A89EF0772}" name="Minor Subtensions" dataDxfId="10"/>
    <tableColumn id="11" xr3:uid="{7E48039D-4EE1-4DEE-ACB3-366DBE853EDD}" name="Intermediate Subtensions" dataDxfId="9"/>
    <tableColumn id="12" xr3:uid="{748A2294-4C0C-4294-800F-CBBA9DE2DF2E}" name="Major Subtensions" dataDxfId="8"/>
    <tableColumn id="13" xr3:uid="{D1FFC1F1-41A5-48F3-ABBB-EEE2F891EA68}" name="FOV(m @ 100m, min zoom)" dataDxfId="7"/>
    <tableColumn id="14" xr3:uid="{382E688E-A2BD-473D-8D1D-3E45033595F0}" name="FOV(m@100m, max zoom)" dataDxfId="6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13" Type="http://schemas.openxmlformats.org/officeDocument/2006/relationships/table" Target="../tables/table19.xml"/><Relationship Id="rId18" Type="http://schemas.openxmlformats.org/officeDocument/2006/relationships/table" Target="../tables/table24.xml"/><Relationship Id="rId26" Type="http://schemas.openxmlformats.org/officeDocument/2006/relationships/table" Target="../tables/table32.xml"/><Relationship Id="rId3" Type="http://schemas.openxmlformats.org/officeDocument/2006/relationships/table" Target="../tables/table9.xml"/><Relationship Id="rId21" Type="http://schemas.openxmlformats.org/officeDocument/2006/relationships/table" Target="../tables/table27.xml"/><Relationship Id="rId7" Type="http://schemas.openxmlformats.org/officeDocument/2006/relationships/table" Target="../tables/table13.xml"/><Relationship Id="rId12" Type="http://schemas.openxmlformats.org/officeDocument/2006/relationships/table" Target="../tables/table18.xml"/><Relationship Id="rId17" Type="http://schemas.openxmlformats.org/officeDocument/2006/relationships/table" Target="../tables/table23.xml"/><Relationship Id="rId25" Type="http://schemas.openxmlformats.org/officeDocument/2006/relationships/table" Target="../tables/table31.xml"/><Relationship Id="rId2" Type="http://schemas.openxmlformats.org/officeDocument/2006/relationships/table" Target="../tables/table8.xml"/><Relationship Id="rId16" Type="http://schemas.openxmlformats.org/officeDocument/2006/relationships/table" Target="../tables/table22.xml"/><Relationship Id="rId20" Type="http://schemas.openxmlformats.org/officeDocument/2006/relationships/table" Target="../tables/table26.xml"/><Relationship Id="rId29" Type="http://schemas.openxmlformats.org/officeDocument/2006/relationships/table" Target="../tables/table35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24" Type="http://schemas.openxmlformats.org/officeDocument/2006/relationships/table" Target="../tables/table30.xml"/><Relationship Id="rId5" Type="http://schemas.openxmlformats.org/officeDocument/2006/relationships/table" Target="../tables/table11.xml"/><Relationship Id="rId15" Type="http://schemas.openxmlformats.org/officeDocument/2006/relationships/table" Target="../tables/table21.xml"/><Relationship Id="rId23" Type="http://schemas.openxmlformats.org/officeDocument/2006/relationships/table" Target="../tables/table29.xml"/><Relationship Id="rId28" Type="http://schemas.openxmlformats.org/officeDocument/2006/relationships/table" Target="../tables/table34.xml"/><Relationship Id="rId10" Type="http://schemas.openxmlformats.org/officeDocument/2006/relationships/table" Target="../tables/table16.xml"/><Relationship Id="rId19" Type="http://schemas.openxmlformats.org/officeDocument/2006/relationships/table" Target="../tables/table25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Relationship Id="rId14" Type="http://schemas.openxmlformats.org/officeDocument/2006/relationships/table" Target="../tables/table20.xml"/><Relationship Id="rId22" Type="http://schemas.openxmlformats.org/officeDocument/2006/relationships/table" Target="../tables/table28.xml"/><Relationship Id="rId27" Type="http://schemas.openxmlformats.org/officeDocument/2006/relationships/table" Target="../tables/table33.xml"/><Relationship Id="rId30" Type="http://schemas.openxmlformats.org/officeDocument/2006/relationships/table" Target="../tables/table3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6D830-BF5B-4142-A879-F5093CB2DAE1}">
  <sheetPr codeName="shConstants"/>
  <dimension ref="A1:S53"/>
  <sheetViews>
    <sheetView tabSelected="1" workbookViewId="0">
      <selection activeCell="A32" sqref="A32"/>
    </sheetView>
  </sheetViews>
  <sheetFormatPr defaultRowHeight="15" x14ac:dyDescent="0.25"/>
  <cols>
    <col min="1" max="1" width="40.140625" customWidth="1"/>
    <col min="2" max="2" width="43.7109375" customWidth="1"/>
    <col min="3" max="3" width="31.85546875" customWidth="1"/>
    <col min="4" max="4" width="24.7109375" customWidth="1"/>
    <col min="5" max="5" width="16" customWidth="1"/>
    <col min="6" max="6" width="21.42578125" customWidth="1"/>
    <col min="7" max="7" width="36.42578125" customWidth="1"/>
    <col min="8" max="8" width="32.28515625" customWidth="1"/>
    <col min="9" max="9" width="21.85546875" customWidth="1"/>
    <col min="10" max="10" width="26.85546875" customWidth="1"/>
    <col min="11" max="11" width="13.5703125" customWidth="1"/>
    <col min="12" max="12" width="13.85546875" customWidth="1"/>
    <col min="13" max="13" width="20.85546875" customWidth="1"/>
    <col min="14" max="14" width="17.5703125" customWidth="1"/>
    <col min="15" max="15" width="16" customWidth="1"/>
    <col min="16" max="16" width="21.5703125" customWidth="1"/>
    <col min="17" max="17" width="19.7109375" customWidth="1"/>
    <col min="19" max="19" width="34.28515625" customWidth="1"/>
    <col min="20" max="20" width="44.42578125" customWidth="1"/>
    <col min="21" max="21" width="18.85546875" customWidth="1"/>
  </cols>
  <sheetData>
    <row r="1" spans="1:19" x14ac:dyDescent="0.25">
      <c r="A1" s="15"/>
      <c r="B1" s="15"/>
      <c r="C1" s="15"/>
      <c r="D1" s="15"/>
      <c r="E1" s="15"/>
      <c r="F1" s="16"/>
      <c r="G1" s="16"/>
      <c r="H1" s="17"/>
      <c r="I1" s="17"/>
      <c r="J1" s="15"/>
      <c r="K1" s="15"/>
      <c r="L1" s="15"/>
      <c r="M1" s="18"/>
      <c r="N1" s="18"/>
      <c r="O1" s="18"/>
      <c r="P1" s="18"/>
      <c r="Q1" s="18"/>
    </row>
    <row r="2" spans="1:19" x14ac:dyDescent="0.25">
      <c r="A2" t="s">
        <v>40</v>
      </c>
      <c r="B2" t="s">
        <v>41</v>
      </c>
      <c r="D2" t="s">
        <v>129</v>
      </c>
      <c r="E2" t="s">
        <v>222</v>
      </c>
      <c r="F2" t="s">
        <v>223</v>
      </c>
      <c r="G2" t="s">
        <v>133</v>
      </c>
      <c r="H2" s="2" t="s">
        <v>296</v>
      </c>
      <c r="I2" s="2"/>
      <c r="J2" s="2" t="s">
        <v>194</v>
      </c>
      <c r="K2" s="2"/>
      <c r="L2" s="2"/>
      <c r="M2" s="2"/>
      <c r="N2" s="2"/>
      <c r="O2" s="2"/>
      <c r="P2" s="2"/>
      <c r="Q2" s="2"/>
      <c r="R2" s="2"/>
      <c r="S2" s="2"/>
    </row>
    <row r="3" spans="1:19" x14ac:dyDescent="0.25">
      <c r="A3" t="s">
        <v>42</v>
      </c>
      <c r="B3" t="s">
        <v>43</v>
      </c>
      <c r="D3" t="s">
        <v>130</v>
      </c>
      <c r="E3" s="25">
        <v>0.223</v>
      </c>
      <c r="F3" s="31" t="s">
        <v>105</v>
      </c>
      <c r="G3" t="s">
        <v>134</v>
      </c>
      <c r="H3" s="2" t="s">
        <v>135</v>
      </c>
      <c r="I3" s="2"/>
      <c r="J3" s="2" t="s">
        <v>4</v>
      </c>
      <c r="K3" s="2"/>
      <c r="L3" s="2"/>
      <c r="M3" s="2"/>
      <c r="N3" s="2"/>
      <c r="O3" s="2"/>
      <c r="P3" s="2"/>
      <c r="Q3" s="2"/>
      <c r="R3" s="2"/>
      <c r="S3" s="2"/>
    </row>
    <row r="4" spans="1:19" x14ac:dyDescent="0.25">
      <c r="A4" t="s">
        <v>44</v>
      </c>
      <c r="B4" t="s">
        <v>45</v>
      </c>
      <c r="D4" t="s">
        <v>276</v>
      </c>
      <c r="E4" s="25">
        <v>0.224</v>
      </c>
      <c r="F4" s="31" t="s">
        <v>105</v>
      </c>
      <c r="G4" t="s">
        <v>138</v>
      </c>
      <c r="H4" s="2" t="s">
        <v>140</v>
      </c>
      <c r="I4" s="2"/>
      <c r="J4" s="2" t="s">
        <v>195</v>
      </c>
      <c r="K4" s="2"/>
      <c r="L4" s="2"/>
      <c r="M4" s="2"/>
      <c r="N4" s="2"/>
      <c r="O4" s="2"/>
      <c r="P4" s="2"/>
      <c r="Q4" s="2"/>
      <c r="R4" s="2"/>
      <c r="S4" s="2"/>
    </row>
    <row r="5" spans="1:19" x14ac:dyDescent="0.25">
      <c r="A5" t="s">
        <v>46</v>
      </c>
      <c r="B5" t="s">
        <v>47</v>
      </c>
      <c r="D5" t="s">
        <v>76</v>
      </c>
      <c r="E5" s="25">
        <v>0.24299999999999999</v>
      </c>
      <c r="F5" s="31" t="s">
        <v>105</v>
      </c>
      <c r="G5" t="s">
        <v>314</v>
      </c>
      <c r="H5" s="2" t="s">
        <v>255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1:19" x14ac:dyDescent="0.25">
      <c r="A6" t="s">
        <v>48</v>
      </c>
      <c r="B6" t="s">
        <v>49</v>
      </c>
      <c r="D6" t="s">
        <v>77</v>
      </c>
      <c r="E6" s="25">
        <v>0.27700000000000002</v>
      </c>
      <c r="F6" s="31" t="s">
        <v>105</v>
      </c>
      <c r="G6" t="s">
        <v>145</v>
      </c>
      <c r="H6" s="2" t="s">
        <v>146</v>
      </c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1:19" x14ac:dyDescent="0.25">
      <c r="A7" t="s">
        <v>50</v>
      </c>
      <c r="B7" t="s">
        <v>51</v>
      </c>
      <c r="D7" t="s">
        <v>83</v>
      </c>
      <c r="E7" s="25">
        <v>0.308</v>
      </c>
      <c r="F7" s="31" t="s">
        <v>105</v>
      </c>
      <c r="G7" t="s">
        <v>310</v>
      </c>
      <c r="H7" s="2" t="s">
        <v>141</v>
      </c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 x14ac:dyDescent="0.25">
      <c r="A8" t="s">
        <v>52</v>
      </c>
      <c r="B8" t="s">
        <v>53</v>
      </c>
      <c r="D8" t="s">
        <v>80</v>
      </c>
      <c r="E8" s="25">
        <v>0.308</v>
      </c>
      <c r="F8" s="31" t="s">
        <v>105</v>
      </c>
      <c r="G8" t="s">
        <v>148</v>
      </c>
      <c r="H8" s="2" t="s">
        <v>147</v>
      </c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1:19" x14ac:dyDescent="0.25">
      <c r="A9" t="s">
        <v>54</v>
      </c>
      <c r="B9" t="s">
        <v>55</v>
      </c>
      <c r="D9" t="s">
        <v>78</v>
      </c>
      <c r="E9" s="25">
        <v>0.308</v>
      </c>
      <c r="F9" s="31" t="s">
        <v>105</v>
      </c>
      <c r="G9" t="s">
        <v>149</v>
      </c>
      <c r="H9" s="2" t="s">
        <v>150</v>
      </c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1:19" x14ac:dyDescent="0.25">
      <c r="A10" t="s">
        <v>56</v>
      </c>
      <c r="B10" t="s">
        <v>57</v>
      </c>
      <c r="D10" t="s">
        <v>79</v>
      </c>
      <c r="E10" s="25">
        <v>0.308</v>
      </c>
      <c r="F10" s="31" t="s">
        <v>105</v>
      </c>
      <c r="G10" t="s">
        <v>139</v>
      </c>
      <c r="H10" s="2" t="s">
        <v>144</v>
      </c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1:19" x14ac:dyDescent="0.25">
      <c r="A11" t="s">
        <v>58</v>
      </c>
      <c r="B11" t="s">
        <v>59</v>
      </c>
      <c r="D11" t="s">
        <v>86</v>
      </c>
      <c r="E11" s="25">
        <v>0.33800000000000002</v>
      </c>
      <c r="F11" s="31" t="s">
        <v>105</v>
      </c>
      <c r="G11" t="s">
        <v>315</v>
      </c>
      <c r="H11" s="2" t="s">
        <v>142</v>
      </c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</row>
    <row r="12" spans="1:19" x14ac:dyDescent="0.25">
      <c r="A12" t="s">
        <v>60</v>
      </c>
      <c r="B12" t="s">
        <v>61</v>
      </c>
      <c r="D12" t="s">
        <v>81</v>
      </c>
      <c r="E12" s="25">
        <v>0.35799999999999998</v>
      </c>
      <c r="F12" s="31" t="s">
        <v>105</v>
      </c>
      <c r="G12" t="s">
        <v>151</v>
      </c>
      <c r="H12" s="2" t="s">
        <v>152</v>
      </c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1:19" x14ac:dyDescent="0.25">
      <c r="A13" t="s">
        <v>62</v>
      </c>
      <c r="B13" t="s">
        <v>63</v>
      </c>
      <c r="D13" t="s">
        <v>89</v>
      </c>
      <c r="E13" s="25">
        <v>0.375</v>
      </c>
      <c r="F13" s="31" t="s">
        <v>105</v>
      </c>
      <c r="G13" t="s">
        <v>153</v>
      </c>
      <c r="H13" s="2" t="s">
        <v>154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1:19" x14ac:dyDescent="0.25">
      <c r="A14" t="s">
        <v>64</v>
      </c>
      <c r="B14" t="s">
        <v>65</v>
      </c>
      <c r="D14" t="s">
        <v>132</v>
      </c>
      <c r="E14" s="25">
        <v>0.26400000000000001</v>
      </c>
      <c r="F14" s="31" t="s">
        <v>105</v>
      </c>
      <c r="G14" t="s">
        <v>313</v>
      </c>
      <c r="H14" s="2" t="s">
        <v>136</v>
      </c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1:19" x14ac:dyDescent="0.25">
      <c r="A15" t="s">
        <v>66</v>
      </c>
      <c r="B15" t="s">
        <v>67</v>
      </c>
      <c r="D15" t="s">
        <v>87</v>
      </c>
      <c r="E15" s="25">
        <v>0.28399999999999997</v>
      </c>
      <c r="F15" s="31" t="s">
        <v>105</v>
      </c>
      <c r="G15" t="s">
        <v>311</v>
      </c>
      <c r="H15" s="2" t="s">
        <v>137</v>
      </c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1:19" x14ac:dyDescent="0.25">
      <c r="A16" t="s">
        <v>68</v>
      </c>
      <c r="B16" t="s">
        <v>69</v>
      </c>
      <c r="D16" t="s">
        <v>284</v>
      </c>
      <c r="E16" s="25">
        <v>0.28399999999999997</v>
      </c>
      <c r="F16" s="31" t="s">
        <v>105</v>
      </c>
      <c r="G16" t="s">
        <v>312</v>
      </c>
      <c r="H16" s="2" t="s">
        <v>143</v>
      </c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1:19" x14ac:dyDescent="0.25">
      <c r="A17" t="s">
        <v>70</v>
      </c>
      <c r="B17" t="s">
        <v>71</v>
      </c>
      <c r="D17" t="s">
        <v>88</v>
      </c>
      <c r="E17" s="25">
        <v>9.3000000000000007</v>
      </c>
      <c r="F17" s="31" t="s">
        <v>120</v>
      </c>
      <c r="G17" t="s">
        <v>253</v>
      </c>
      <c r="H17" s="2" t="s">
        <v>254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1:19" x14ac:dyDescent="0.25"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</row>
    <row r="19" spans="1:19" x14ac:dyDescent="0.25"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 spans="1:19" x14ac:dyDescent="0.25">
      <c r="A20" s="4" t="s">
        <v>90</v>
      </c>
      <c r="B20" s="20" t="s">
        <v>91</v>
      </c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</row>
    <row r="21" spans="1:19" x14ac:dyDescent="0.25">
      <c r="A21" s="19">
        <v>1</v>
      </c>
      <c r="B21" s="21">
        <v>1</v>
      </c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</row>
    <row r="22" spans="1:19" x14ac:dyDescent="0.25">
      <c r="A22" s="19">
        <v>2</v>
      </c>
      <c r="B22" s="22">
        <v>2</v>
      </c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</row>
    <row r="23" spans="1:19" x14ac:dyDescent="0.25">
      <c r="A23" s="19">
        <v>3</v>
      </c>
      <c r="B23" s="21">
        <v>3</v>
      </c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</row>
    <row r="24" spans="1:19" x14ac:dyDescent="0.25">
      <c r="A24" s="19">
        <v>4</v>
      </c>
      <c r="B24" s="22">
        <v>4</v>
      </c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</row>
    <row r="25" spans="1:19" x14ac:dyDescent="0.25">
      <c r="A25" s="19">
        <v>5</v>
      </c>
      <c r="B25" s="21">
        <v>5</v>
      </c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</row>
    <row r="26" spans="1:19" x14ac:dyDescent="0.25">
      <c r="A26" s="19">
        <v>6</v>
      </c>
      <c r="B26" s="22">
        <v>6</v>
      </c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</row>
    <row r="27" spans="1:19" x14ac:dyDescent="0.25">
      <c r="A27" s="19"/>
      <c r="B27" s="21" t="s">
        <v>92</v>
      </c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</row>
    <row r="28" spans="1:19" x14ac:dyDescent="0.25">
      <c r="A28" s="19"/>
      <c r="B28" s="22" t="s">
        <v>93</v>
      </c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</row>
    <row r="29" spans="1:19" x14ac:dyDescent="0.25">
      <c r="A29" s="19"/>
      <c r="B29" s="23" t="s">
        <v>94</v>
      </c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</row>
    <row r="30" spans="1:19" x14ac:dyDescent="0.25">
      <c r="A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</row>
    <row r="31" spans="1:19" x14ac:dyDescent="0.25">
      <c r="A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</row>
    <row r="32" spans="1:19" x14ac:dyDescent="0.25">
      <c r="A32" s="2" t="s">
        <v>165</v>
      </c>
      <c r="B32" t="s">
        <v>382</v>
      </c>
      <c r="C32" t="s">
        <v>0</v>
      </c>
      <c r="D32" t="s">
        <v>1</v>
      </c>
      <c r="E32" t="s">
        <v>383</v>
      </c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</row>
    <row r="33" spans="1:17" x14ac:dyDescent="0.25">
      <c r="A33" s="2" t="s">
        <v>105</v>
      </c>
      <c r="B33" t="s">
        <v>117</v>
      </c>
      <c r="C33" t="s">
        <v>121</v>
      </c>
      <c r="D33" t="s">
        <v>176</v>
      </c>
      <c r="E33" t="s">
        <v>178</v>
      </c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</row>
    <row r="34" spans="1:17" x14ac:dyDescent="0.25">
      <c r="A34" s="2" t="s">
        <v>159</v>
      </c>
      <c r="B34" t="s">
        <v>166</v>
      </c>
      <c r="C34" t="s">
        <v>168</v>
      </c>
      <c r="D34" t="s">
        <v>177</v>
      </c>
      <c r="E34" t="s">
        <v>179</v>
      </c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</row>
    <row r="35" spans="1:17" x14ac:dyDescent="0.25">
      <c r="A35" s="2" t="s">
        <v>160</v>
      </c>
      <c r="B35" t="s">
        <v>118</v>
      </c>
      <c r="C35" t="s">
        <v>169</v>
      </c>
      <c r="E35" t="s">
        <v>34</v>
      </c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</row>
    <row r="36" spans="1:17" x14ac:dyDescent="0.25">
      <c r="A36" s="2" t="s">
        <v>161</v>
      </c>
      <c r="B36" t="s">
        <v>167</v>
      </c>
      <c r="C36" t="s">
        <v>170</v>
      </c>
      <c r="E36" t="s">
        <v>3</v>
      </c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</row>
    <row r="37" spans="1:17" x14ac:dyDescent="0.25">
      <c r="A37" s="2" t="s">
        <v>120</v>
      </c>
      <c r="C37" t="s">
        <v>171</v>
      </c>
      <c r="E37" t="s">
        <v>181</v>
      </c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</row>
    <row r="38" spans="1:17" x14ac:dyDescent="0.25">
      <c r="A38" s="2" t="s">
        <v>162</v>
      </c>
      <c r="C38" t="s">
        <v>172</v>
      </c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</row>
    <row r="39" spans="1:17" x14ac:dyDescent="0.25">
      <c r="A39" s="2" t="s">
        <v>163</v>
      </c>
      <c r="C39" t="s">
        <v>173</v>
      </c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</row>
    <row r="40" spans="1:17" x14ac:dyDescent="0.25">
      <c r="A40" s="2" t="s">
        <v>164</v>
      </c>
      <c r="C40" t="s">
        <v>122</v>
      </c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</row>
    <row r="41" spans="1:17" x14ac:dyDescent="0.25">
      <c r="A41" s="2"/>
      <c r="C41" t="s">
        <v>174</v>
      </c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</row>
    <row r="42" spans="1:17" x14ac:dyDescent="0.25">
      <c r="A42" s="2"/>
      <c r="C42" t="s">
        <v>175</v>
      </c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</row>
    <row r="43" spans="1:17" x14ac:dyDescent="0.25">
      <c r="A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</row>
    <row r="44" spans="1:17" x14ac:dyDescent="0.25">
      <c r="A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</row>
    <row r="45" spans="1:17" x14ac:dyDescent="0.25">
      <c r="A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</row>
    <row r="46" spans="1:17" x14ac:dyDescent="0.25">
      <c r="A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</row>
    <row r="47" spans="1:17" x14ac:dyDescent="0.25">
      <c r="A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</row>
    <row r="48" spans="1:17" x14ac:dyDescent="0.25">
      <c r="A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</row>
    <row r="49" spans="1:17" x14ac:dyDescent="0.25">
      <c r="A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</row>
    <row r="50" spans="1:17" x14ac:dyDescent="0.25">
      <c r="A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</row>
    <row r="51" spans="1:17" ht="27" customHeight="1" x14ac:dyDescent="0.25">
      <c r="A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</row>
    <row r="52" spans="1:17" x14ac:dyDescent="0.25">
      <c r="A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</row>
    <row r="53" spans="1:17" x14ac:dyDescent="0.25">
      <c r="A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</row>
  </sheetData>
  <dataValidations count="3">
    <dataValidation type="list" allowBlank="1" showInputMessage="1" showErrorMessage="1" sqref="C31" xr:uid="{ED15C27F-73D8-4707-B91A-43F05B042F1B}">
      <formula1>AmmunitionTypeNames</formula1>
    </dataValidation>
    <dataValidation type="list" allowBlank="1" showInputMessage="1" showErrorMessage="1" sqref="D31" xr:uid="{1DE5E386-71BD-4EAA-ADCE-84922CC6E281}">
      <formula1>INDIRECT("Tiers[Firearm]")</formula1>
    </dataValidation>
    <dataValidation type="list" allowBlank="1" showInputMessage="1" showErrorMessage="1" sqref="F3:F17" xr:uid="{B5269A6F-A028-41A8-9148-0B34F97603D8}">
      <formula1>LengthUnits</formula1>
    </dataValidation>
  </dataValidation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FB996-4508-41FA-886D-4D9A5AE72081}">
  <sheetPr codeName="shSpeciesEnergyTable"/>
  <dimension ref="A1:O58"/>
  <sheetViews>
    <sheetView workbookViewId="0">
      <selection activeCell="J21" sqref="J21"/>
    </sheetView>
  </sheetViews>
  <sheetFormatPr defaultRowHeight="15" x14ac:dyDescent="0.25"/>
  <cols>
    <col min="1" max="1" width="23.85546875" customWidth="1"/>
    <col min="2" max="2" width="20" customWidth="1"/>
    <col min="3" max="3" width="25.42578125" customWidth="1"/>
    <col min="4" max="4" width="19.28515625" customWidth="1"/>
    <col min="5" max="5" width="24.85546875" customWidth="1"/>
    <col min="6" max="8" width="24.140625" customWidth="1"/>
    <col min="9" max="9" width="28.42578125" customWidth="1"/>
    <col min="10" max="10" width="23.5703125" customWidth="1"/>
    <col min="11" max="11" width="16.5703125" customWidth="1"/>
    <col min="12" max="12" width="18.5703125" customWidth="1"/>
    <col min="13" max="13" width="16.42578125" customWidth="1"/>
    <col min="14" max="14" width="19.42578125" customWidth="1"/>
    <col min="15" max="15" width="20" customWidth="1"/>
  </cols>
  <sheetData>
    <row r="1" spans="1:15" ht="12" customHeight="1" x14ac:dyDescent="0.25">
      <c r="A1" t="s">
        <v>373</v>
      </c>
      <c r="B1" t="s">
        <v>374</v>
      </c>
      <c r="C1" t="s">
        <v>375</v>
      </c>
      <c r="D1" t="s">
        <v>376</v>
      </c>
      <c r="E1" t="s">
        <v>377</v>
      </c>
      <c r="F1" t="s">
        <v>378</v>
      </c>
      <c r="G1" t="s">
        <v>380</v>
      </c>
      <c r="H1" t="s">
        <v>381</v>
      </c>
      <c r="I1" t="s">
        <v>379</v>
      </c>
      <c r="J1" t="s">
        <v>384</v>
      </c>
      <c r="K1" t="s">
        <v>385</v>
      </c>
      <c r="L1" t="s">
        <v>386</v>
      </c>
      <c r="M1" t="s">
        <v>387</v>
      </c>
      <c r="N1" t="s">
        <v>388</v>
      </c>
      <c r="O1" t="s">
        <v>389</v>
      </c>
    </row>
    <row r="2" spans="1:15" x14ac:dyDescent="0.25">
      <c r="A2" t="s">
        <v>316</v>
      </c>
      <c r="B2" s="5">
        <v>200</v>
      </c>
      <c r="C2" s="5">
        <v>800</v>
      </c>
      <c r="D2" s="51" t="s">
        <v>167</v>
      </c>
      <c r="E2" s="5">
        <v>2500</v>
      </c>
      <c r="F2" s="5">
        <v>4500</v>
      </c>
      <c r="G2" s="5">
        <v>100</v>
      </c>
      <c r="H2" s="5">
        <v>400</v>
      </c>
      <c r="I2" s="51" t="s">
        <v>177</v>
      </c>
      <c r="J2" s="5"/>
      <c r="K2" s="100"/>
      <c r="L2" s="5"/>
      <c r="M2" s="5"/>
      <c r="N2" s="5"/>
      <c r="O2" s="100"/>
    </row>
    <row r="3" spans="1:15" x14ac:dyDescent="0.25">
      <c r="A3" t="s">
        <v>317</v>
      </c>
      <c r="B3" s="5"/>
      <c r="C3" s="5"/>
      <c r="D3" s="51"/>
      <c r="E3" s="5"/>
      <c r="F3" s="5"/>
      <c r="G3" s="5"/>
      <c r="H3" s="5"/>
      <c r="I3" s="51"/>
      <c r="J3" s="5"/>
      <c r="K3" s="100"/>
      <c r="L3" s="5"/>
      <c r="M3" s="5"/>
      <c r="N3" s="5"/>
      <c r="O3" s="100"/>
    </row>
    <row r="4" spans="1:15" x14ac:dyDescent="0.25">
      <c r="A4" t="s">
        <v>318</v>
      </c>
      <c r="B4" s="5"/>
      <c r="C4" s="5"/>
      <c r="D4" s="51"/>
      <c r="E4" s="5"/>
      <c r="F4" s="5"/>
      <c r="G4" s="5"/>
      <c r="H4" s="5"/>
      <c r="I4" s="51"/>
      <c r="J4" s="5"/>
      <c r="K4" s="100"/>
      <c r="L4" s="5"/>
      <c r="M4" s="5"/>
      <c r="N4" s="5"/>
      <c r="O4" s="100"/>
    </row>
    <row r="5" spans="1:15" x14ac:dyDescent="0.25">
      <c r="A5" t="s">
        <v>371</v>
      </c>
      <c r="B5" s="5"/>
      <c r="C5" s="5"/>
      <c r="D5" s="51"/>
      <c r="E5" s="5"/>
      <c r="F5" s="5"/>
      <c r="G5" s="5"/>
      <c r="H5" s="5"/>
      <c r="I5" s="51"/>
      <c r="J5" s="5"/>
      <c r="K5" s="100"/>
      <c r="L5" s="5"/>
      <c r="M5" s="5"/>
      <c r="N5" s="5"/>
      <c r="O5" s="100"/>
    </row>
    <row r="6" spans="1:15" x14ac:dyDescent="0.25">
      <c r="A6" t="s">
        <v>319</v>
      </c>
      <c r="B6" s="5"/>
      <c r="C6" s="5"/>
      <c r="D6" s="51"/>
      <c r="E6" s="5"/>
      <c r="F6" s="5"/>
      <c r="G6" s="5"/>
      <c r="H6" s="5"/>
      <c r="I6" s="51"/>
      <c r="J6" s="5"/>
      <c r="K6" s="100"/>
      <c r="L6" s="5"/>
      <c r="M6" s="5"/>
      <c r="N6" s="5"/>
      <c r="O6" s="100"/>
    </row>
    <row r="7" spans="1:15" x14ac:dyDescent="0.25">
      <c r="A7" t="s">
        <v>320</v>
      </c>
      <c r="B7" s="5"/>
      <c r="C7" s="5"/>
      <c r="D7" s="51"/>
      <c r="E7" s="5"/>
      <c r="F7" s="5"/>
      <c r="G7" s="5"/>
      <c r="H7" s="5"/>
      <c r="I7" s="51"/>
      <c r="J7" s="5"/>
      <c r="K7" s="100"/>
      <c r="L7" s="5"/>
      <c r="M7" s="5"/>
      <c r="N7" s="5"/>
      <c r="O7" s="100"/>
    </row>
    <row r="8" spans="1:15" x14ac:dyDescent="0.25">
      <c r="A8" t="s">
        <v>321</v>
      </c>
      <c r="B8" s="5"/>
      <c r="C8" s="5"/>
      <c r="D8" s="51"/>
      <c r="E8" s="5"/>
      <c r="F8" s="5"/>
      <c r="G8" s="5"/>
      <c r="H8" s="5"/>
      <c r="I8" s="51"/>
      <c r="J8" s="5"/>
      <c r="K8" s="100"/>
      <c r="L8" s="5"/>
      <c r="M8" s="5"/>
      <c r="N8" s="5"/>
      <c r="O8" s="100"/>
    </row>
    <row r="9" spans="1:15" x14ac:dyDescent="0.25">
      <c r="A9" t="s">
        <v>322</v>
      </c>
      <c r="B9" s="5"/>
      <c r="C9" s="5"/>
      <c r="D9" s="51"/>
      <c r="E9" s="5"/>
      <c r="F9" s="5"/>
      <c r="G9" s="5"/>
      <c r="H9" s="5"/>
      <c r="I9" s="51"/>
      <c r="J9" s="5"/>
      <c r="K9" s="100"/>
      <c r="L9" s="5"/>
      <c r="M9" s="5"/>
      <c r="N9" s="5"/>
      <c r="O9" s="100"/>
    </row>
    <row r="10" spans="1:15" x14ac:dyDescent="0.25">
      <c r="A10" t="s">
        <v>323</v>
      </c>
      <c r="B10" s="5"/>
      <c r="C10" s="5"/>
      <c r="D10" s="51"/>
      <c r="E10" s="5"/>
      <c r="F10" s="5"/>
      <c r="G10" s="5"/>
      <c r="H10" s="5"/>
      <c r="I10" s="51"/>
      <c r="J10" s="5"/>
      <c r="K10" s="100"/>
      <c r="L10" s="5"/>
      <c r="M10" s="5"/>
      <c r="N10" s="5"/>
      <c r="O10" s="100"/>
    </row>
    <row r="11" spans="1:15" x14ac:dyDescent="0.25">
      <c r="A11" t="s">
        <v>324</v>
      </c>
      <c r="B11" s="5"/>
      <c r="C11" s="5"/>
      <c r="D11" s="51"/>
      <c r="E11" s="5"/>
      <c r="F11" s="5"/>
      <c r="G11" s="5"/>
      <c r="H11" s="5"/>
      <c r="I11" s="51"/>
      <c r="J11" s="5"/>
      <c r="K11" s="100"/>
      <c r="L11" s="5"/>
      <c r="M11" s="5"/>
      <c r="N11" s="5"/>
      <c r="O11" s="100"/>
    </row>
    <row r="12" spans="1:15" x14ac:dyDescent="0.25">
      <c r="A12" t="s">
        <v>325</v>
      </c>
      <c r="B12" s="5"/>
      <c r="C12" s="5"/>
      <c r="D12" s="51"/>
      <c r="E12" s="5"/>
      <c r="F12" s="5"/>
      <c r="G12" s="5"/>
      <c r="H12" s="5"/>
      <c r="I12" s="51"/>
      <c r="J12" s="5"/>
      <c r="K12" s="100"/>
      <c r="L12" s="5"/>
      <c r="M12" s="5"/>
      <c r="N12" s="5"/>
      <c r="O12" s="100"/>
    </row>
    <row r="13" spans="1:15" x14ac:dyDescent="0.25">
      <c r="A13" t="s">
        <v>326</v>
      </c>
      <c r="B13" s="5"/>
      <c r="C13" s="5"/>
      <c r="D13" s="51"/>
      <c r="E13" s="5"/>
      <c r="F13" s="5"/>
      <c r="G13" s="5"/>
      <c r="H13" s="5"/>
      <c r="I13" s="51"/>
      <c r="J13" s="5"/>
      <c r="K13" s="100"/>
      <c r="L13" s="5"/>
      <c r="M13" s="5"/>
      <c r="N13" s="5"/>
      <c r="O13" s="100"/>
    </row>
    <row r="14" spans="1:15" x14ac:dyDescent="0.25">
      <c r="A14" t="s">
        <v>327</v>
      </c>
      <c r="B14" s="5"/>
      <c r="C14" s="5"/>
      <c r="D14" s="51"/>
      <c r="E14" s="5"/>
      <c r="F14" s="5"/>
      <c r="G14" s="5"/>
      <c r="H14" s="5"/>
      <c r="I14" s="51"/>
      <c r="J14" s="5"/>
      <c r="K14" s="100"/>
      <c r="L14" s="5"/>
      <c r="M14" s="5"/>
      <c r="N14" s="5"/>
      <c r="O14" s="100"/>
    </row>
    <row r="15" spans="1:15" x14ac:dyDescent="0.25">
      <c r="A15" t="s">
        <v>328</v>
      </c>
      <c r="B15" s="5"/>
      <c r="C15" s="5"/>
      <c r="D15" s="51"/>
      <c r="E15" s="5"/>
      <c r="F15" s="5"/>
      <c r="G15" s="5"/>
      <c r="H15" s="5"/>
      <c r="I15" s="51"/>
      <c r="J15" s="5"/>
      <c r="K15" s="100"/>
      <c r="L15" s="5"/>
      <c r="M15" s="5"/>
      <c r="N15" s="5"/>
      <c r="O15" s="100"/>
    </row>
    <row r="16" spans="1:15" x14ac:dyDescent="0.25">
      <c r="A16" t="s">
        <v>329</v>
      </c>
      <c r="B16" s="5"/>
      <c r="C16" s="5"/>
      <c r="D16" s="51"/>
      <c r="E16" s="5"/>
      <c r="F16" s="5"/>
      <c r="G16" s="5"/>
      <c r="H16" s="5"/>
      <c r="I16" s="51"/>
      <c r="J16" s="5"/>
      <c r="K16" s="100"/>
      <c r="L16" s="5"/>
      <c r="M16" s="5"/>
      <c r="N16" s="5"/>
      <c r="O16" s="100"/>
    </row>
    <row r="17" spans="1:15" x14ac:dyDescent="0.25">
      <c r="A17" t="s">
        <v>330</v>
      </c>
      <c r="B17" s="5"/>
      <c r="C17" s="5"/>
      <c r="D17" s="51"/>
      <c r="E17" s="5"/>
      <c r="F17" s="5"/>
      <c r="G17" s="5"/>
      <c r="H17" s="5"/>
      <c r="I17" s="51"/>
      <c r="J17" s="5"/>
      <c r="K17" s="100"/>
      <c r="L17" s="5"/>
      <c r="M17" s="5"/>
      <c r="N17" s="5"/>
      <c r="O17" s="100"/>
    </row>
    <row r="18" spans="1:15" x14ac:dyDescent="0.25">
      <c r="A18" t="s">
        <v>331</v>
      </c>
      <c r="B18" s="5"/>
      <c r="C18" s="5"/>
      <c r="D18" s="51"/>
      <c r="E18" s="5"/>
      <c r="F18" s="5"/>
      <c r="G18" s="5"/>
      <c r="H18" s="5"/>
      <c r="I18" s="51"/>
      <c r="J18" s="5"/>
      <c r="K18" s="100"/>
      <c r="L18" s="5"/>
      <c r="M18" s="5"/>
      <c r="N18" s="5"/>
      <c r="O18" s="100"/>
    </row>
    <row r="19" spans="1:15" x14ac:dyDescent="0.25">
      <c r="A19" t="s">
        <v>332</v>
      </c>
      <c r="B19" s="5"/>
      <c r="C19" s="5"/>
      <c r="D19" s="51"/>
      <c r="E19" s="5"/>
      <c r="F19" s="5"/>
      <c r="G19" s="5"/>
      <c r="H19" s="5"/>
      <c r="I19" s="51"/>
      <c r="J19" s="5"/>
      <c r="K19" s="100"/>
      <c r="L19" s="5"/>
      <c r="M19" s="5"/>
      <c r="N19" s="5"/>
      <c r="O19" s="100"/>
    </row>
    <row r="20" spans="1:15" x14ac:dyDescent="0.25">
      <c r="A20" t="s">
        <v>333</v>
      </c>
      <c r="B20" s="5"/>
      <c r="C20" s="5"/>
      <c r="D20" s="51"/>
      <c r="E20" s="5"/>
      <c r="F20" s="5"/>
      <c r="G20" s="5"/>
      <c r="H20" s="5"/>
      <c r="I20" s="51"/>
      <c r="J20" s="5"/>
      <c r="K20" s="100"/>
      <c r="L20" s="5"/>
      <c r="M20" s="5"/>
      <c r="N20" s="5"/>
      <c r="O20" s="100"/>
    </row>
    <row r="21" spans="1:15" x14ac:dyDescent="0.25">
      <c r="A21" t="s">
        <v>334</v>
      </c>
      <c r="B21" s="5"/>
      <c r="C21" s="5"/>
      <c r="D21" s="51"/>
      <c r="E21" s="5"/>
      <c r="F21" s="5"/>
      <c r="G21" s="5"/>
      <c r="H21" s="5"/>
      <c r="I21" s="51"/>
      <c r="J21" s="5"/>
      <c r="K21" s="100"/>
      <c r="L21" s="5"/>
      <c r="M21" s="5"/>
      <c r="N21" s="5"/>
      <c r="O21" s="100"/>
    </row>
    <row r="22" spans="1:15" x14ac:dyDescent="0.25">
      <c r="A22" t="s">
        <v>335</v>
      </c>
      <c r="B22" s="5"/>
      <c r="C22" s="5"/>
      <c r="D22" s="51"/>
      <c r="E22" s="5"/>
      <c r="F22" s="5"/>
      <c r="G22" s="5"/>
      <c r="H22" s="5"/>
      <c r="I22" s="51"/>
      <c r="J22" s="5"/>
      <c r="K22" s="100"/>
      <c r="L22" s="5"/>
      <c r="M22" s="5"/>
      <c r="N22" s="5"/>
      <c r="O22" s="100"/>
    </row>
    <row r="23" spans="1:15" x14ac:dyDescent="0.25">
      <c r="A23" t="s">
        <v>336</v>
      </c>
      <c r="B23" s="5"/>
      <c r="C23" s="5"/>
      <c r="D23" s="51"/>
      <c r="E23" s="5"/>
      <c r="F23" s="5"/>
      <c r="G23" s="5"/>
      <c r="H23" s="5"/>
      <c r="I23" s="51"/>
      <c r="J23" s="5"/>
      <c r="K23" s="100"/>
      <c r="L23" s="5"/>
      <c r="M23" s="5"/>
      <c r="N23" s="5"/>
      <c r="O23" s="100"/>
    </row>
    <row r="24" spans="1:15" x14ac:dyDescent="0.25">
      <c r="A24" t="s">
        <v>337</v>
      </c>
      <c r="B24" s="5"/>
      <c r="C24" s="5"/>
      <c r="D24" s="51"/>
      <c r="E24" s="5"/>
      <c r="F24" s="5"/>
      <c r="G24" s="5"/>
      <c r="H24" s="5"/>
      <c r="I24" s="51"/>
      <c r="J24" s="5"/>
      <c r="K24" s="100"/>
      <c r="L24" s="5"/>
      <c r="M24" s="5"/>
      <c r="N24" s="5"/>
      <c r="O24" s="100"/>
    </row>
    <row r="25" spans="1:15" x14ac:dyDescent="0.25">
      <c r="A25" t="s">
        <v>338</v>
      </c>
      <c r="B25" s="5"/>
      <c r="C25" s="5"/>
      <c r="D25" s="51"/>
      <c r="E25" s="5"/>
      <c r="F25" s="5"/>
      <c r="G25" s="5"/>
      <c r="H25" s="5"/>
      <c r="I25" s="51"/>
      <c r="J25" s="5"/>
      <c r="K25" s="100"/>
      <c r="L25" s="5"/>
      <c r="M25" s="5"/>
      <c r="N25" s="5"/>
      <c r="O25" s="100"/>
    </row>
    <row r="26" spans="1:15" x14ac:dyDescent="0.25">
      <c r="A26" t="s">
        <v>339</v>
      </c>
      <c r="B26" s="5"/>
      <c r="C26" s="5"/>
      <c r="D26" s="51"/>
      <c r="E26" s="5"/>
      <c r="F26" s="5"/>
      <c r="G26" s="5"/>
      <c r="H26" s="5"/>
      <c r="I26" s="51"/>
      <c r="J26" s="5"/>
      <c r="K26" s="100"/>
      <c r="L26" s="5"/>
      <c r="M26" s="5"/>
      <c r="N26" s="5"/>
      <c r="O26" s="100"/>
    </row>
    <row r="27" spans="1:15" x14ac:dyDescent="0.25">
      <c r="A27" t="s">
        <v>340</v>
      </c>
      <c r="B27" s="5"/>
      <c r="C27" s="5"/>
      <c r="D27" s="51"/>
      <c r="E27" s="5"/>
      <c r="F27" s="5"/>
      <c r="G27" s="5"/>
      <c r="H27" s="5"/>
      <c r="I27" s="51"/>
      <c r="J27" s="5"/>
      <c r="K27" s="100"/>
      <c r="L27" s="5"/>
      <c r="M27" s="5"/>
      <c r="N27" s="5"/>
      <c r="O27" s="100"/>
    </row>
    <row r="28" spans="1:15" x14ac:dyDescent="0.25">
      <c r="A28" t="s">
        <v>341</v>
      </c>
      <c r="B28" s="5"/>
      <c r="C28" s="5"/>
      <c r="D28" s="51"/>
      <c r="E28" s="5"/>
      <c r="F28" s="5"/>
      <c r="G28" s="5"/>
      <c r="H28" s="5"/>
      <c r="I28" s="51"/>
      <c r="J28" s="5"/>
      <c r="K28" s="100"/>
      <c r="L28" s="5"/>
      <c r="M28" s="5"/>
      <c r="N28" s="5"/>
      <c r="O28" s="100"/>
    </row>
    <row r="29" spans="1:15" x14ac:dyDescent="0.25">
      <c r="A29" t="s">
        <v>342</v>
      </c>
      <c r="B29" s="5"/>
      <c r="C29" s="5"/>
      <c r="D29" s="51"/>
      <c r="E29" s="5"/>
      <c r="F29" s="5"/>
      <c r="G29" s="5"/>
      <c r="H29" s="5"/>
      <c r="I29" s="51"/>
      <c r="J29" s="5"/>
      <c r="K29" s="100"/>
      <c r="L29" s="5"/>
      <c r="M29" s="5"/>
      <c r="N29" s="5"/>
      <c r="O29" s="100"/>
    </row>
    <row r="30" spans="1:15" x14ac:dyDescent="0.25">
      <c r="A30" t="s">
        <v>343</v>
      </c>
      <c r="B30" s="5"/>
      <c r="C30" s="5"/>
      <c r="D30" s="51"/>
      <c r="E30" s="5"/>
      <c r="F30" s="5"/>
      <c r="G30" s="5"/>
      <c r="H30" s="5"/>
      <c r="I30" s="51"/>
      <c r="J30" s="5"/>
      <c r="K30" s="100"/>
      <c r="L30" s="5"/>
      <c r="M30" s="5"/>
      <c r="N30" s="5"/>
      <c r="O30" s="100"/>
    </row>
    <row r="31" spans="1:15" x14ac:dyDescent="0.25">
      <c r="A31" t="s">
        <v>344</v>
      </c>
      <c r="B31" s="5"/>
      <c r="C31" s="5"/>
      <c r="D31" s="51"/>
      <c r="E31" s="5"/>
      <c r="F31" s="5"/>
      <c r="G31" s="5"/>
      <c r="H31" s="5"/>
      <c r="I31" s="51"/>
      <c r="J31" s="5"/>
      <c r="K31" s="100"/>
      <c r="L31" s="5"/>
      <c r="M31" s="5"/>
      <c r="N31" s="5"/>
      <c r="O31" s="100"/>
    </row>
    <row r="32" spans="1:15" x14ac:dyDescent="0.25">
      <c r="A32" t="s">
        <v>345</v>
      </c>
      <c r="B32" s="5"/>
      <c r="C32" s="5"/>
      <c r="D32" s="51"/>
      <c r="E32" s="5"/>
      <c r="F32" s="5"/>
      <c r="G32" s="5"/>
      <c r="H32" s="5"/>
      <c r="I32" s="51"/>
      <c r="J32" s="5"/>
      <c r="K32" s="100"/>
      <c r="L32" s="5"/>
      <c r="M32" s="5"/>
      <c r="N32" s="5"/>
      <c r="O32" s="100"/>
    </row>
    <row r="33" spans="1:15" x14ac:dyDescent="0.25">
      <c r="A33" t="s">
        <v>346</v>
      </c>
      <c r="B33" s="5"/>
      <c r="C33" s="5"/>
      <c r="D33" s="51"/>
      <c r="E33" s="5"/>
      <c r="F33" s="5"/>
      <c r="G33" s="5"/>
      <c r="H33" s="5"/>
      <c r="I33" s="51"/>
      <c r="J33" s="5"/>
      <c r="K33" s="100"/>
      <c r="L33" s="5"/>
      <c r="M33" s="5"/>
      <c r="N33" s="5"/>
      <c r="O33" s="100"/>
    </row>
    <row r="34" spans="1:15" x14ac:dyDescent="0.25">
      <c r="A34" t="s">
        <v>347</v>
      </c>
      <c r="B34" s="5"/>
      <c r="C34" s="5"/>
      <c r="D34" s="51"/>
      <c r="E34" s="5"/>
      <c r="F34" s="5"/>
      <c r="G34" s="5"/>
      <c r="H34" s="5"/>
      <c r="I34" s="51"/>
      <c r="J34" s="5"/>
      <c r="K34" s="100"/>
      <c r="L34" s="5"/>
      <c r="M34" s="5"/>
      <c r="N34" s="5"/>
      <c r="O34" s="100"/>
    </row>
    <row r="35" spans="1:15" x14ac:dyDescent="0.25">
      <c r="A35" t="s">
        <v>348</v>
      </c>
      <c r="B35" s="5"/>
      <c r="C35" s="5"/>
      <c r="D35" s="51"/>
      <c r="E35" s="5"/>
      <c r="F35" s="5"/>
      <c r="G35" s="5"/>
      <c r="H35" s="5"/>
      <c r="I35" s="51"/>
      <c r="J35" s="5"/>
      <c r="K35" s="100"/>
      <c r="L35" s="5"/>
      <c r="M35" s="5"/>
      <c r="N35" s="5"/>
      <c r="O35" s="100"/>
    </row>
    <row r="36" spans="1:15" x14ac:dyDescent="0.25">
      <c r="A36" t="s">
        <v>349</v>
      </c>
      <c r="B36" s="5"/>
      <c r="C36" s="5"/>
      <c r="D36" s="51"/>
      <c r="E36" s="5"/>
      <c r="F36" s="5"/>
      <c r="G36" s="5"/>
      <c r="H36" s="5"/>
      <c r="I36" s="51"/>
      <c r="J36" s="5"/>
      <c r="K36" s="100"/>
      <c r="L36" s="5"/>
      <c r="M36" s="5"/>
      <c r="N36" s="5"/>
      <c r="O36" s="100"/>
    </row>
    <row r="37" spans="1:15" x14ac:dyDescent="0.25">
      <c r="A37" t="s">
        <v>350</v>
      </c>
      <c r="B37" s="5"/>
      <c r="C37" s="5"/>
      <c r="D37" s="51"/>
      <c r="E37" s="5"/>
      <c r="F37" s="5"/>
      <c r="G37" s="5"/>
      <c r="H37" s="5"/>
      <c r="I37" s="51"/>
      <c r="J37" s="5"/>
      <c r="K37" s="100"/>
      <c r="L37" s="5"/>
      <c r="M37" s="5"/>
      <c r="N37" s="5"/>
      <c r="O37" s="100"/>
    </row>
    <row r="38" spans="1:15" x14ac:dyDescent="0.25">
      <c r="A38" t="s">
        <v>372</v>
      </c>
      <c r="B38" s="5"/>
      <c r="C38" s="5"/>
      <c r="D38" s="51"/>
      <c r="E38" s="5"/>
      <c r="F38" s="5"/>
      <c r="G38" s="5"/>
      <c r="H38" s="5"/>
      <c r="I38" s="51"/>
      <c r="J38" s="5"/>
      <c r="K38" s="100"/>
      <c r="L38" s="5"/>
      <c r="M38" s="5"/>
      <c r="N38" s="5"/>
      <c r="O38" s="100"/>
    </row>
    <row r="39" spans="1:15" x14ac:dyDescent="0.25">
      <c r="A39" t="s">
        <v>351</v>
      </c>
      <c r="B39" s="5"/>
      <c r="C39" s="5"/>
      <c r="D39" s="51"/>
      <c r="E39" s="5"/>
      <c r="F39" s="5"/>
      <c r="G39" s="5"/>
      <c r="H39" s="5"/>
      <c r="I39" s="51"/>
      <c r="J39" s="5"/>
      <c r="K39" s="100"/>
      <c r="L39" s="5"/>
      <c r="M39" s="5"/>
      <c r="N39" s="5"/>
      <c r="O39" s="100"/>
    </row>
    <row r="40" spans="1:15" x14ac:dyDescent="0.25">
      <c r="A40" t="s">
        <v>352</v>
      </c>
      <c r="B40" s="5"/>
      <c r="C40" s="5"/>
      <c r="D40" s="51"/>
      <c r="E40" s="5"/>
      <c r="F40" s="5"/>
      <c r="G40" s="5"/>
      <c r="H40" s="5"/>
      <c r="I40" s="51"/>
      <c r="J40" s="5"/>
      <c r="K40" s="100"/>
      <c r="L40" s="5"/>
      <c r="M40" s="5"/>
      <c r="N40" s="5"/>
      <c r="O40" s="100"/>
    </row>
    <row r="41" spans="1:15" x14ac:dyDescent="0.25">
      <c r="A41" t="s">
        <v>353</v>
      </c>
      <c r="B41" s="5"/>
      <c r="C41" s="5"/>
      <c r="D41" s="51"/>
      <c r="E41" s="5"/>
      <c r="F41" s="5"/>
      <c r="G41" s="5"/>
      <c r="H41" s="5"/>
      <c r="I41" s="51"/>
      <c r="J41" s="5"/>
      <c r="K41" s="100"/>
      <c r="L41" s="5"/>
      <c r="M41" s="5"/>
      <c r="N41" s="5"/>
      <c r="O41" s="100"/>
    </row>
    <row r="42" spans="1:15" x14ac:dyDescent="0.25">
      <c r="A42" t="s">
        <v>354</v>
      </c>
      <c r="B42" s="5"/>
      <c r="C42" s="5"/>
      <c r="D42" s="51"/>
      <c r="E42" s="5"/>
      <c r="F42" s="5"/>
      <c r="G42" s="5"/>
      <c r="H42" s="5"/>
      <c r="I42" s="51"/>
      <c r="J42" s="5"/>
      <c r="K42" s="100"/>
      <c r="L42" s="5"/>
      <c r="M42" s="5"/>
      <c r="N42" s="5"/>
      <c r="O42" s="100"/>
    </row>
    <row r="43" spans="1:15" x14ac:dyDescent="0.25">
      <c r="A43" t="s">
        <v>355</v>
      </c>
      <c r="B43" s="5"/>
      <c r="C43" s="5"/>
      <c r="D43" s="51"/>
      <c r="E43" s="5"/>
      <c r="F43" s="5"/>
      <c r="G43" s="5"/>
      <c r="H43" s="5"/>
      <c r="I43" s="51"/>
      <c r="J43" s="5"/>
      <c r="K43" s="100"/>
      <c r="L43" s="5"/>
      <c r="M43" s="5"/>
      <c r="N43" s="5"/>
      <c r="O43" s="100"/>
    </row>
    <row r="44" spans="1:15" x14ac:dyDescent="0.25">
      <c r="A44" t="s">
        <v>356</v>
      </c>
      <c r="B44" s="5"/>
      <c r="C44" s="5"/>
      <c r="D44" s="51"/>
      <c r="E44" s="5"/>
      <c r="F44" s="5"/>
      <c r="G44" s="5"/>
      <c r="H44" s="5"/>
      <c r="I44" s="51"/>
      <c r="J44" s="5"/>
      <c r="K44" s="100"/>
      <c r="L44" s="5"/>
      <c r="M44" s="5"/>
      <c r="N44" s="5"/>
      <c r="O44" s="100"/>
    </row>
    <row r="45" spans="1:15" x14ac:dyDescent="0.25">
      <c r="A45" t="s">
        <v>357</v>
      </c>
      <c r="B45" s="5"/>
      <c r="C45" s="5"/>
      <c r="D45" s="51"/>
      <c r="E45" s="5"/>
      <c r="F45" s="5"/>
      <c r="G45" s="5"/>
      <c r="H45" s="5"/>
      <c r="I45" s="51"/>
      <c r="J45" s="5"/>
      <c r="K45" s="100"/>
      <c r="L45" s="5"/>
      <c r="M45" s="5"/>
      <c r="N45" s="5"/>
      <c r="O45" s="100"/>
    </row>
    <row r="46" spans="1:15" x14ac:dyDescent="0.25">
      <c r="A46" t="s">
        <v>358</v>
      </c>
      <c r="B46" s="5"/>
      <c r="C46" s="5"/>
      <c r="D46" s="51"/>
      <c r="E46" s="5"/>
      <c r="F46" s="5"/>
      <c r="G46" s="5"/>
      <c r="H46" s="5"/>
      <c r="I46" s="51"/>
      <c r="J46" s="5"/>
      <c r="K46" s="100"/>
      <c r="L46" s="5"/>
      <c r="M46" s="5"/>
      <c r="N46" s="5"/>
      <c r="O46" s="100"/>
    </row>
    <row r="47" spans="1:15" x14ac:dyDescent="0.25">
      <c r="A47" t="s">
        <v>359</v>
      </c>
      <c r="B47" s="5"/>
      <c r="C47" s="5"/>
      <c r="D47" s="51"/>
      <c r="E47" s="5"/>
      <c r="F47" s="5"/>
      <c r="G47" s="5"/>
      <c r="H47" s="5"/>
      <c r="I47" s="51"/>
      <c r="J47" s="5"/>
      <c r="K47" s="100"/>
      <c r="L47" s="5"/>
      <c r="M47" s="5"/>
      <c r="N47" s="5"/>
      <c r="O47" s="100"/>
    </row>
    <row r="48" spans="1:15" x14ac:dyDescent="0.25">
      <c r="A48" t="s">
        <v>360</v>
      </c>
      <c r="B48" s="5"/>
      <c r="C48" s="5"/>
      <c r="D48" s="51"/>
      <c r="E48" s="5"/>
      <c r="F48" s="5"/>
      <c r="G48" s="5"/>
      <c r="H48" s="5"/>
      <c r="I48" s="51"/>
      <c r="J48" s="5"/>
      <c r="K48" s="100"/>
      <c r="L48" s="5"/>
      <c r="M48" s="5"/>
      <c r="N48" s="5"/>
      <c r="O48" s="100"/>
    </row>
    <row r="49" spans="1:15" x14ac:dyDescent="0.25">
      <c r="A49" t="s">
        <v>361</v>
      </c>
      <c r="B49" s="5"/>
      <c r="C49" s="5"/>
      <c r="D49" s="51"/>
      <c r="E49" s="5"/>
      <c r="F49" s="5"/>
      <c r="G49" s="5"/>
      <c r="H49" s="5"/>
      <c r="I49" s="51"/>
      <c r="J49" s="5"/>
      <c r="K49" s="100"/>
      <c r="L49" s="5"/>
      <c r="M49" s="5"/>
      <c r="N49" s="5"/>
      <c r="O49" s="100"/>
    </row>
    <row r="50" spans="1:15" x14ac:dyDescent="0.25">
      <c r="A50" t="s">
        <v>362</v>
      </c>
      <c r="B50" s="5"/>
      <c r="C50" s="5"/>
      <c r="D50" s="51"/>
      <c r="E50" s="5"/>
      <c r="F50" s="5"/>
      <c r="G50" s="5"/>
      <c r="H50" s="5"/>
      <c r="I50" s="51"/>
      <c r="J50" s="5"/>
      <c r="K50" s="100"/>
      <c r="L50" s="5"/>
      <c r="M50" s="5"/>
      <c r="N50" s="5"/>
      <c r="O50" s="100"/>
    </row>
    <row r="51" spans="1:15" x14ac:dyDescent="0.25">
      <c r="A51" t="s">
        <v>363</v>
      </c>
      <c r="B51" s="5"/>
      <c r="C51" s="5"/>
      <c r="D51" s="51"/>
      <c r="E51" s="5"/>
      <c r="F51" s="5"/>
      <c r="G51" s="5"/>
      <c r="H51" s="5"/>
      <c r="I51" s="51"/>
      <c r="J51" s="5"/>
      <c r="K51" s="100"/>
      <c r="L51" s="5"/>
      <c r="M51" s="5"/>
      <c r="N51" s="5"/>
      <c r="O51" s="100"/>
    </row>
    <row r="52" spans="1:15" x14ac:dyDescent="0.25">
      <c r="A52" t="s">
        <v>364</v>
      </c>
      <c r="B52" s="5"/>
      <c r="C52" s="5"/>
      <c r="D52" s="51"/>
      <c r="E52" s="5"/>
      <c r="F52" s="5"/>
      <c r="G52" s="5"/>
      <c r="H52" s="5"/>
      <c r="I52" s="51"/>
      <c r="J52" s="5"/>
      <c r="K52" s="100"/>
      <c r="L52" s="5"/>
      <c r="M52" s="5"/>
      <c r="N52" s="5"/>
      <c r="O52" s="100"/>
    </row>
    <row r="53" spans="1:15" x14ac:dyDescent="0.25">
      <c r="A53" t="s">
        <v>365</v>
      </c>
      <c r="B53" s="5"/>
      <c r="C53" s="5"/>
      <c r="D53" s="51"/>
      <c r="E53" s="5"/>
      <c r="F53" s="5"/>
      <c r="G53" s="5"/>
      <c r="H53" s="5"/>
      <c r="I53" s="51"/>
      <c r="J53" s="5"/>
      <c r="K53" s="100"/>
      <c r="L53" s="5"/>
      <c r="M53" s="5"/>
      <c r="N53" s="5"/>
      <c r="O53" s="100"/>
    </row>
    <row r="54" spans="1:15" x14ac:dyDescent="0.25">
      <c r="A54" t="s">
        <v>366</v>
      </c>
      <c r="B54" s="5"/>
      <c r="C54" s="5"/>
      <c r="D54" s="51"/>
      <c r="E54" s="5"/>
      <c r="F54" s="5"/>
      <c r="G54" s="5"/>
      <c r="H54" s="5"/>
      <c r="I54" s="51"/>
      <c r="J54" s="5"/>
      <c r="K54" s="100"/>
      <c r="L54" s="5"/>
      <c r="M54" s="5"/>
      <c r="N54" s="5"/>
      <c r="O54" s="100"/>
    </row>
    <row r="55" spans="1:15" x14ac:dyDescent="0.25">
      <c r="A55" t="s">
        <v>367</v>
      </c>
      <c r="B55" s="5"/>
      <c r="C55" s="5"/>
      <c r="D55" s="51"/>
      <c r="E55" s="5"/>
      <c r="F55" s="5"/>
      <c r="G55" s="5"/>
      <c r="H55" s="5"/>
      <c r="I55" s="51"/>
      <c r="J55" s="5"/>
      <c r="K55" s="100"/>
      <c r="L55" s="5"/>
      <c r="M55" s="5"/>
      <c r="N55" s="5"/>
      <c r="O55" s="100"/>
    </row>
    <row r="56" spans="1:15" x14ac:dyDescent="0.25">
      <c r="A56" t="s">
        <v>368</v>
      </c>
      <c r="B56" s="5"/>
      <c r="C56" s="5"/>
      <c r="D56" s="51"/>
      <c r="E56" s="5"/>
      <c r="F56" s="5"/>
      <c r="G56" s="5"/>
      <c r="H56" s="5"/>
      <c r="I56" s="51"/>
      <c r="J56" s="5"/>
      <c r="K56" s="100"/>
      <c r="L56" s="5"/>
      <c r="M56" s="5"/>
      <c r="N56" s="5"/>
      <c r="O56" s="100"/>
    </row>
    <row r="57" spans="1:15" x14ac:dyDescent="0.25">
      <c r="A57" t="s">
        <v>369</v>
      </c>
      <c r="B57" s="5"/>
      <c r="C57" s="5"/>
      <c r="D57" s="51"/>
      <c r="E57" s="5"/>
      <c r="F57" s="5"/>
      <c r="G57" s="5"/>
      <c r="H57" s="5"/>
      <c r="I57" s="51"/>
      <c r="J57" s="5"/>
      <c r="K57" s="100"/>
      <c r="L57" s="5"/>
      <c r="M57" s="5"/>
      <c r="N57" s="5"/>
      <c r="O57" s="100"/>
    </row>
    <row r="58" spans="1:15" x14ac:dyDescent="0.25">
      <c r="A58" t="s">
        <v>370</v>
      </c>
      <c r="B58" s="5"/>
      <c r="C58" s="5"/>
      <c r="D58" s="51"/>
      <c r="E58" s="5"/>
      <c r="F58" s="5"/>
      <c r="G58" s="5"/>
      <c r="H58" s="5"/>
      <c r="I58" s="51"/>
      <c r="J58" s="5"/>
      <c r="K58" s="100"/>
      <c r="L58" s="5"/>
      <c r="M58" s="5"/>
      <c r="N58" s="5"/>
      <c r="O58" s="100"/>
    </row>
  </sheetData>
  <sortState xmlns:xlrd2="http://schemas.microsoft.com/office/spreadsheetml/2017/richdata2" ref="A2:I58">
    <sortCondition ref="A3:A58"/>
  </sortState>
  <dataValidations count="3">
    <dataValidation type="list" allowBlank="1" showInputMessage="1" showErrorMessage="1" sqref="D2:D58" xr:uid="{B5EE41DA-6EC8-4EA7-AC8C-AA2197C53268}">
      <formula1>MassWeightUnits</formula1>
    </dataValidation>
    <dataValidation type="list" allowBlank="1" showInputMessage="1" showErrorMessage="1" sqref="I2:I58" xr:uid="{1033F9C7-7256-43BD-A5EF-460553AF9283}">
      <formula1>EnergyUnits</formula1>
    </dataValidation>
    <dataValidation type="list" allowBlank="1" showInputMessage="1" showErrorMessage="1" sqref="K2:K58 O2:O58" xr:uid="{F3D8F98E-7456-47DF-BE58-81B10661C4AB}">
      <formula1>LengthUnits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A6254-7F5F-498A-8A4A-1D20BD35586B}">
  <sheetPr codeName="shLoadouts"/>
  <dimension ref="A1:AA377"/>
  <sheetViews>
    <sheetView workbookViewId="0">
      <selection activeCell="R55" sqref="R55"/>
    </sheetView>
  </sheetViews>
  <sheetFormatPr defaultRowHeight="15" x14ac:dyDescent="0.25"/>
  <cols>
    <col min="1" max="1" width="25.5703125" customWidth="1"/>
    <col min="2" max="2" width="7.28515625" customWidth="1"/>
    <col min="3" max="3" width="45" customWidth="1"/>
    <col min="4" max="4" width="25.7109375" customWidth="1"/>
    <col min="5" max="5" width="42" customWidth="1"/>
    <col min="6" max="6" width="56" customWidth="1"/>
    <col min="7" max="7" width="33.5703125" customWidth="1"/>
    <col min="8" max="8" width="11.85546875" customWidth="1"/>
    <col min="9" max="9" width="15.85546875" customWidth="1"/>
    <col min="10" max="10" width="16.140625" customWidth="1"/>
    <col min="11" max="11" width="16.42578125" customWidth="1"/>
    <col min="12" max="12" width="15.42578125" customWidth="1"/>
    <col min="13" max="13" width="19.140625" customWidth="1"/>
    <col min="14" max="14" width="27.42578125" customWidth="1"/>
    <col min="15" max="15" width="17.7109375" customWidth="1"/>
    <col min="16" max="16" width="20.7109375" customWidth="1"/>
    <col min="17" max="17" width="20" customWidth="1"/>
    <col min="18" max="18" width="19.42578125" customWidth="1"/>
    <col min="19" max="19" width="16.42578125" customWidth="1"/>
    <col min="20" max="20" width="16.140625" customWidth="1"/>
    <col min="21" max="21" width="16.42578125" customWidth="1"/>
    <col min="22" max="22" width="17.42578125" customWidth="1"/>
    <col min="23" max="23" width="18.28515625" customWidth="1"/>
    <col min="24" max="24" width="15.140625" customWidth="1"/>
    <col min="25" max="25" width="14.5703125" customWidth="1"/>
    <col min="26" max="26" width="29.7109375" customWidth="1"/>
    <col min="27" max="27" width="32.7109375" customWidth="1"/>
    <col min="28" max="28" width="21.5703125" customWidth="1"/>
    <col min="29" max="29" width="19.7109375" customWidth="1"/>
    <col min="30" max="30" width="20.5703125" customWidth="1"/>
    <col min="32" max="32" width="20.85546875" customWidth="1"/>
    <col min="33" max="33" width="18.85546875" customWidth="1"/>
  </cols>
  <sheetData>
    <row r="1" spans="1:27" x14ac:dyDescent="0.25">
      <c r="A1" s="30" t="s">
        <v>100</v>
      </c>
      <c r="C1" s="98" t="s">
        <v>192</v>
      </c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6" t="s">
        <v>107</v>
      </c>
      <c r="R1" s="96"/>
      <c r="S1" s="96"/>
      <c r="T1" s="96"/>
      <c r="U1" s="96"/>
      <c r="V1" s="96"/>
      <c r="W1" s="96"/>
      <c r="X1" s="96"/>
      <c r="Y1" s="96"/>
      <c r="Z1" s="96"/>
    </row>
    <row r="2" spans="1:27" ht="15.75" thickBot="1" x14ac:dyDescent="0.3">
      <c r="A2" s="30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7"/>
      <c r="R2" s="97"/>
      <c r="S2" s="97"/>
      <c r="T2" s="97"/>
      <c r="U2" s="97"/>
      <c r="V2" s="97"/>
      <c r="W2" s="97"/>
      <c r="X2" s="97"/>
      <c r="Y2" s="97"/>
      <c r="Z2" s="97"/>
    </row>
    <row r="3" spans="1:27" s="63" customFormat="1" ht="15.75" thickBot="1" x14ac:dyDescent="0.3">
      <c r="A3" s="91"/>
      <c r="C3" s="91"/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91"/>
      <c r="Y3" s="91"/>
      <c r="Z3" s="91"/>
    </row>
    <row r="4" spans="1:27" ht="17.25" customHeight="1" x14ac:dyDescent="0.25">
      <c r="A4" s="24"/>
      <c r="B4" s="35"/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  <c r="Y4" s="59"/>
      <c r="Z4" s="59"/>
      <c r="AA4" s="60"/>
    </row>
    <row r="5" spans="1:27" ht="33.75" customHeight="1" x14ac:dyDescent="0.25">
      <c r="A5" s="89" t="s">
        <v>263</v>
      </c>
      <c r="B5" s="42"/>
      <c r="C5" s="15" t="s">
        <v>72</v>
      </c>
      <c r="D5" s="15" t="s">
        <v>193</v>
      </c>
      <c r="E5" s="15" t="s">
        <v>2</v>
      </c>
      <c r="F5" s="15" t="s">
        <v>73</v>
      </c>
      <c r="G5" s="15" t="s">
        <v>6</v>
      </c>
      <c r="H5" s="16" t="s">
        <v>104</v>
      </c>
      <c r="I5" s="16" t="s">
        <v>110</v>
      </c>
      <c r="J5" s="17" t="s">
        <v>27</v>
      </c>
      <c r="K5" s="17" t="s">
        <v>111</v>
      </c>
      <c r="L5" s="18" t="s">
        <v>106</v>
      </c>
      <c r="M5" s="18" t="s">
        <v>108</v>
      </c>
      <c r="N5" s="15" t="s">
        <v>95</v>
      </c>
      <c r="O5" s="15" t="s">
        <v>109</v>
      </c>
      <c r="P5" s="14" t="s">
        <v>99</v>
      </c>
      <c r="Q5" s="14" t="s">
        <v>98</v>
      </c>
      <c r="R5" s="16" t="s">
        <v>112</v>
      </c>
      <c r="S5" s="18" t="s">
        <v>74</v>
      </c>
      <c r="T5" s="18" t="s">
        <v>113</v>
      </c>
      <c r="U5" s="15" t="s">
        <v>114</v>
      </c>
      <c r="V5" s="15" t="s">
        <v>115</v>
      </c>
      <c r="W5" s="15" t="s">
        <v>119</v>
      </c>
      <c r="X5" s="15" t="s">
        <v>116</v>
      </c>
      <c r="Y5" s="15" t="s">
        <v>75</v>
      </c>
      <c r="Z5" s="15" t="s">
        <v>96</v>
      </c>
      <c r="AA5" s="61" t="s">
        <v>97</v>
      </c>
    </row>
    <row r="6" spans="1:27" ht="19.5" customHeight="1" x14ac:dyDescent="0.25">
      <c r="A6" s="90"/>
      <c r="B6" s="42"/>
      <c r="C6" s="2" t="s">
        <v>196</v>
      </c>
      <c r="D6" s="2" t="s">
        <v>4</v>
      </c>
      <c r="E6" t="s">
        <v>130</v>
      </c>
      <c r="F6" t="s">
        <v>199</v>
      </c>
      <c r="G6" t="s">
        <v>43</v>
      </c>
      <c r="H6" s="43">
        <f>IF(NOT(ISBLANK($E6)),_xlfn.XLOOKUP($E6,CartridgeNames[Available Chamberings],CartridgeNames[Bullet Caliber],"n/a",0,1),"")</f>
        <v>0.223</v>
      </c>
      <c r="I6" s="62" t="str">
        <f>IF(NOT(ISBLANK($E6)),_xlfn.XLOOKUP($E6,CartridgeNames[Available Chamberings],CartridgeNames[Caliber(Units)],"n/a",0,1),"")</f>
        <v>in</v>
      </c>
      <c r="J6">
        <v>38</v>
      </c>
      <c r="K6" t="s">
        <v>117</v>
      </c>
      <c r="L6" s="1">
        <v>1260</v>
      </c>
      <c r="M6" t="s">
        <v>121</v>
      </c>
      <c r="O6" t="s">
        <v>121</v>
      </c>
      <c r="P6">
        <v>0.13100000000000001</v>
      </c>
      <c r="Q6" t="s">
        <v>21</v>
      </c>
      <c r="R6" s="45" cm="1">
        <f t="array" ref="R6">IF(NOT(OR(ISBLANK($H6),ISBLANK($I6))),ConvertLength($H6,$I6,"in"),"")</f>
        <v>0.223</v>
      </c>
      <c r="S6" s="45" cm="1">
        <f t="array" ref="S6">IF(NOT(OR(ISBLANK($H6),ISBLANK($I6))),ConvertLength($H6,$I6,"mm"),"")</f>
        <v>5.6642000000000001</v>
      </c>
      <c r="T6" s="45">
        <f t="shared" ref="T6:T11" si="0">IF(NOT(AND(ISBLANK($J6),ISBLANK($K6))),CONVERT($J6,$K6,"grain"),"")</f>
        <v>38</v>
      </c>
      <c r="U6" s="45">
        <f t="shared" ref="U6:U11" si="1">IF(NOT(AND(ISBLANK($J6),ISBLANK($K6))),CONVERT($J6,$K6,"g"),"")</f>
        <v>2.4623585800000001</v>
      </c>
      <c r="V6" s="45" cm="1">
        <f t="array" ref="V6">IF(NOT(OR(ISBLANK($L6),ISBLANK($M6))),ConvertSpeed($L6,$M6,"ft/sec"),"")</f>
        <v>1260</v>
      </c>
      <c r="W6" s="45" cm="1">
        <f t="array" ref="W6">IF(NOT(OR(ISBLANK($L6),ISBLANK($M6))),ConvertSpeed($L6,$M6,"m/sec"),"")</f>
        <v>384.048</v>
      </c>
      <c r="X6" s="45" cm="1">
        <f t="array" ref="X6">IF(NOT(OR(ISBLANK(V6),ISBLANK(T6))),MuzzleVelocityToMuzzleEnergyFtLb(V6,T6),"")</f>
        <v>133.93403047931761</v>
      </c>
      <c r="Y6" s="45" cm="1">
        <f t="array" ref="Y6">IF(NOT(OR(ISBLANK(W6),ISBLANK(U6))),MuzzleVelocityToMuzzleEnergyJoules(W6,U6),"")</f>
        <v>181.59016241622368</v>
      </c>
      <c r="Z6" s="45" t="str" cm="1">
        <f t="array" ref="Z6">IF(NOT(OR(ISBLANK($N6),ISBLANK($O6))),ConvertSpeed($N6,$O6,"ft/sec"),"")</f>
        <v/>
      </c>
      <c r="AA6" s="46" t="str" cm="1">
        <f t="array" ref="AA6">IF(NOT(OR(ISBLANK($N6),ISBLANK($O6))),ConvertSpeed($N6,$O6,"m/sec"),"")</f>
        <v/>
      </c>
    </row>
    <row r="7" spans="1:27" x14ac:dyDescent="0.25">
      <c r="A7" s="90"/>
      <c r="B7" s="42"/>
      <c r="C7" s="2" t="s">
        <v>197</v>
      </c>
      <c r="D7" s="2" t="s">
        <v>4</v>
      </c>
      <c r="E7" s="47" t="str">
        <f>$E6</f>
        <v>22 LR</v>
      </c>
      <c r="F7" t="s">
        <v>200</v>
      </c>
      <c r="G7" t="s">
        <v>43</v>
      </c>
      <c r="H7" s="43">
        <f>IF(NOT(ISBLANK($E7)),_xlfn.XLOOKUP($E7,CartridgeNames[Available Chamberings],CartridgeNames[Bullet Caliber],"n/a",0,1),"")</f>
        <v>0.223</v>
      </c>
      <c r="I7" s="62" t="str">
        <f>IF(NOT(ISBLANK($E7)),_xlfn.XLOOKUP($E7,CartridgeNames[Available Chamberings],CartridgeNames[Caliber(Units)],"n/a",0,1),"")</f>
        <v>in</v>
      </c>
      <c r="J7">
        <v>33</v>
      </c>
      <c r="K7" t="s">
        <v>117</v>
      </c>
      <c r="L7" s="1">
        <v>1500</v>
      </c>
      <c r="M7" t="s">
        <v>121</v>
      </c>
      <c r="O7" t="s">
        <v>121</v>
      </c>
      <c r="P7">
        <v>9.5000000000000001E-2</v>
      </c>
      <c r="Q7" t="s">
        <v>21</v>
      </c>
      <c r="R7" s="45" cm="1">
        <f t="array" ref="R7">IF(NOT(OR(ISBLANK($H7),ISBLANK($I7))),ConvertLength($H7,$I7,"in"),"")</f>
        <v>0.223</v>
      </c>
      <c r="S7" s="45" cm="1">
        <f t="array" ref="S7">IF(NOT(OR(ISBLANK($H7),ISBLANK($I7))),ConvertLength($H7,$I7,"mm"),"")</f>
        <v>5.6642000000000001</v>
      </c>
      <c r="T7" s="45">
        <f t="shared" si="0"/>
        <v>33</v>
      </c>
      <c r="U7" s="45">
        <f t="shared" si="1"/>
        <v>2.13836403</v>
      </c>
      <c r="V7" s="45" cm="1">
        <f t="array" ref="V7">IF(NOT(OR(ISBLANK($L7),ISBLANK($M7))),ConvertSpeed($L7,$M7,"ft/sec"),"")</f>
        <v>1500</v>
      </c>
      <c r="W7" s="45" cm="1">
        <f t="array" ref="W7">IF(NOT(OR(ISBLANK($L7),ISBLANK($M7))),ConvertSpeed($L7,$M7,"m/sec"),"")</f>
        <v>457.2</v>
      </c>
      <c r="X7" s="45" cm="1">
        <f t="array" ref="X7">IF(NOT(OR(ISBLANK(V7),ISBLANK(T7))),MuzzleVelocityToMuzzleEnergyFtLb(V7,T7),"")</f>
        <v>164.84003930277632</v>
      </c>
      <c r="Y7" s="45" cm="1">
        <f t="array" ref="Y7">IF(NOT(OR(ISBLANK(W7),ISBLANK(U7))),MuzzleVelocityToMuzzleEnergyJoules(W7,U7),"")</f>
        <v>223.49308389035761</v>
      </c>
      <c r="Z7" s="45" t="str" cm="1">
        <f t="array" ref="Z7">IF(NOT(OR(ISBLANK($N7),ISBLANK($O7))),ConvertSpeed($N7,$O7,"ft/sec"),"")</f>
        <v/>
      </c>
      <c r="AA7" s="46" t="str" cm="1">
        <f t="array" ref="AA7">IF(NOT(OR(ISBLANK($N7),ISBLANK($O7))),ConvertSpeed($N7,$O7,"m/sec"),"")</f>
        <v/>
      </c>
    </row>
    <row r="8" spans="1:27" x14ac:dyDescent="0.25">
      <c r="A8" s="90"/>
      <c r="B8" s="42"/>
      <c r="C8" s="2" t="s">
        <v>198</v>
      </c>
      <c r="D8" s="2" t="s">
        <v>4</v>
      </c>
      <c r="E8" s="47" t="str">
        <f>$E6</f>
        <v>22 LR</v>
      </c>
      <c r="F8" t="s">
        <v>201</v>
      </c>
      <c r="G8" t="s">
        <v>45</v>
      </c>
      <c r="H8" s="43">
        <f>IF(NOT(ISBLANK($E8)),_xlfn.XLOOKUP($E8,CartridgeNames[Available Chamberings],CartridgeNames[Bullet Caliber],"n/a",0,1),"")</f>
        <v>0.223</v>
      </c>
      <c r="I8" s="62" t="str">
        <f>IF(NOT(ISBLANK($E8)),_xlfn.XLOOKUP($E8,CartridgeNames[Available Chamberings],CartridgeNames[Caliber(Units)],"n/a",0,1),"")</f>
        <v>in</v>
      </c>
      <c r="J8">
        <v>40</v>
      </c>
      <c r="K8" t="s">
        <v>117</v>
      </c>
      <c r="L8" s="1">
        <v>1255</v>
      </c>
      <c r="M8" t="s">
        <v>121</v>
      </c>
      <c r="O8" t="s">
        <v>121</v>
      </c>
      <c r="P8">
        <v>0.11600000000000001</v>
      </c>
      <c r="Q8" t="s">
        <v>21</v>
      </c>
      <c r="R8" s="45" cm="1">
        <f t="array" ref="R8">IF(NOT(OR(ISBLANK($H8),ISBLANK($I8))),ConvertLength($H8,$I8,"in"),"")</f>
        <v>0.223</v>
      </c>
      <c r="S8" s="45" cm="1">
        <f t="array" ref="S8">IF(NOT(OR(ISBLANK($H8),ISBLANK($I8))),ConvertLength($H8,$I8,"mm"),"")</f>
        <v>5.6642000000000001</v>
      </c>
      <c r="T8" s="45">
        <f t="shared" si="0"/>
        <v>40</v>
      </c>
      <c r="U8" s="45">
        <f t="shared" si="1"/>
        <v>2.5919563999999999</v>
      </c>
      <c r="V8" s="45" cm="1">
        <f t="array" ref="V8">IF(NOT(OR(ISBLANK($L8),ISBLANK($M8))),ConvertSpeed($L8,$M8,"ft/sec"),"")</f>
        <v>1255</v>
      </c>
      <c r="W8" s="45" cm="1">
        <f t="array" ref="W8">IF(NOT(OR(ISBLANK($L8),ISBLANK($M8))),ConvertSpeed($L8,$M8,"m/sec"),"")</f>
        <v>382.524</v>
      </c>
      <c r="X8" s="45" cm="1">
        <f t="array" ref="X8">IF(NOT(OR(ISBLANK(V8),ISBLANK(T8))),MuzzleVelocityToMuzzleEnergyFtLb(V8,T8),"")</f>
        <v>139.86649583992204</v>
      </c>
      <c r="Y8" s="45" cm="1">
        <f t="array" ref="Y8">IF(NOT(OR(ISBLANK(W8),ISBLANK(U8))),MuzzleVelocityToMuzzleEnergyJoules(W8,U8),"")</f>
        <v>189.63350542998543</v>
      </c>
      <c r="Z8" s="45" t="str" cm="1">
        <f t="array" ref="Z8">IF(NOT(OR(ISBLANK($N8),ISBLANK($O8))),ConvertSpeed($N8,$O8,"ft/sec"),"")</f>
        <v/>
      </c>
      <c r="AA8" s="46" t="str" cm="1">
        <f t="array" ref="AA8">IF(NOT(OR(ISBLANK($N8),ISBLANK($O8))),ConvertSpeed($N8,$O8,"m/sec"),"")</f>
        <v/>
      </c>
    </row>
    <row r="9" spans="1:27" x14ac:dyDescent="0.25">
      <c r="A9" s="90"/>
      <c r="B9" s="42"/>
      <c r="C9" s="2" t="s">
        <v>196</v>
      </c>
      <c r="D9" s="2" t="s">
        <v>195</v>
      </c>
      <c r="E9" s="47" t="str">
        <f>$E6</f>
        <v>22 LR</v>
      </c>
      <c r="F9" t="s">
        <v>199</v>
      </c>
      <c r="G9" t="s">
        <v>43</v>
      </c>
      <c r="H9" s="43">
        <f>IF(NOT(ISBLANK($E9)),_xlfn.XLOOKUP($E9,CartridgeNames[Available Chamberings],CartridgeNames[Bullet Caliber],"n/a",0,1),"")</f>
        <v>0.223</v>
      </c>
      <c r="I9" s="62" t="str">
        <f>IF(NOT(ISBLANK($E9)),_xlfn.XLOOKUP($E9,CartridgeNames[Available Chamberings],CartridgeNames[Caliber(Units)],"n/a",0,1),"")</f>
        <v>in</v>
      </c>
      <c r="J9">
        <v>38</v>
      </c>
      <c r="K9" t="s">
        <v>117</v>
      </c>
      <c r="L9" s="1">
        <v>1260</v>
      </c>
      <c r="M9" t="s">
        <v>121</v>
      </c>
      <c r="O9" t="s">
        <v>121</v>
      </c>
      <c r="P9">
        <v>0.13100000000000001</v>
      </c>
      <c r="Q9" t="s">
        <v>21</v>
      </c>
      <c r="R9" s="45" cm="1">
        <f t="array" ref="R9">IF(NOT(OR(ISBLANK($H9),ISBLANK($I9))),ConvertLength($H9,$I9,"in"),"")</f>
        <v>0.223</v>
      </c>
      <c r="S9" s="45" cm="1">
        <f t="array" ref="S9">IF(NOT(OR(ISBLANK($H9),ISBLANK($I9))),ConvertLength($H9,$I9,"mm"),"")</f>
        <v>5.6642000000000001</v>
      </c>
      <c r="T9" s="45">
        <f t="shared" si="0"/>
        <v>38</v>
      </c>
      <c r="U9" s="45">
        <f t="shared" si="1"/>
        <v>2.4623585800000001</v>
      </c>
      <c r="V9" s="45" cm="1">
        <f t="array" ref="V9">IF(NOT(OR(ISBLANK($L9),ISBLANK($M9))),ConvertSpeed($L9,$M9,"ft/sec"),"")</f>
        <v>1260</v>
      </c>
      <c r="W9" s="45" cm="1">
        <f t="array" ref="W9">IF(NOT(OR(ISBLANK($L9),ISBLANK($M9))),ConvertSpeed($L9,$M9,"m/sec"),"")</f>
        <v>384.048</v>
      </c>
      <c r="X9" s="45" cm="1">
        <f t="array" ref="X9">IF(NOT(OR(ISBLANK(V9),ISBLANK(T9))),MuzzleVelocityToMuzzleEnergyFtLb(V9,T9),"")</f>
        <v>133.93403047931761</v>
      </c>
      <c r="Y9" s="45" cm="1">
        <f t="array" ref="Y9">IF(NOT(OR(ISBLANK(W9),ISBLANK(U9))),MuzzleVelocityToMuzzleEnergyJoules(W9,U9),"")</f>
        <v>181.59016241622368</v>
      </c>
      <c r="Z9" s="45" t="str" cm="1">
        <f t="array" ref="Z9">IF(NOT(OR(ISBLANK($N9),ISBLANK($O9))),ConvertSpeed($N9,$O9,"ft/sec"),"")</f>
        <v/>
      </c>
      <c r="AA9" s="46" t="str" cm="1">
        <f t="array" ref="AA9">IF(NOT(OR(ISBLANK($N9),ISBLANK($O9))),ConvertSpeed($N9,$O9,"m/sec"),"")</f>
        <v/>
      </c>
    </row>
    <row r="10" spans="1:27" x14ac:dyDescent="0.25">
      <c r="A10" s="90"/>
      <c r="B10" s="42"/>
      <c r="C10" s="2" t="s">
        <v>197</v>
      </c>
      <c r="D10" s="2" t="s">
        <v>195</v>
      </c>
      <c r="E10" s="47" t="str">
        <f>$E6</f>
        <v>22 LR</v>
      </c>
      <c r="F10" t="s">
        <v>200</v>
      </c>
      <c r="G10" t="s">
        <v>43</v>
      </c>
      <c r="H10" s="43">
        <f>IF(NOT(ISBLANK($E10)),_xlfn.XLOOKUP($E10,CartridgeNames[Available Chamberings],CartridgeNames[Bullet Caliber],"n/a",0,1),"")</f>
        <v>0.223</v>
      </c>
      <c r="I10" s="62" t="str">
        <f>IF(NOT(ISBLANK($E10)),_xlfn.XLOOKUP($E10,CartridgeNames[Available Chamberings],CartridgeNames[Caliber(Units)],"n/a",0,1),"")</f>
        <v>in</v>
      </c>
      <c r="J10">
        <v>36</v>
      </c>
      <c r="K10" t="s">
        <v>117</v>
      </c>
      <c r="L10" s="1">
        <v>1500</v>
      </c>
      <c r="M10" t="s">
        <v>121</v>
      </c>
      <c r="O10" t="s">
        <v>121</v>
      </c>
      <c r="P10">
        <v>9.5000000000000001E-2</v>
      </c>
      <c r="Q10" t="s">
        <v>21</v>
      </c>
      <c r="R10" s="45" cm="1">
        <f t="array" ref="R10">IF(NOT(OR(ISBLANK($H10),ISBLANK($I10))),ConvertLength($H10,$I10,"in"),"")</f>
        <v>0.223</v>
      </c>
      <c r="S10" s="45" cm="1">
        <f t="array" ref="S10">IF(NOT(OR(ISBLANK($H10),ISBLANK($I10))),ConvertLength($H10,$I10,"mm"),"")</f>
        <v>5.6642000000000001</v>
      </c>
      <c r="T10" s="45">
        <f t="shared" si="0"/>
        <v>36</v>
      </c>
      <c r="U10" s="45">
        <f t="shared" si="1"/>
        <v>2.3327607600000002</v>
      </c>
      <c r="V10" s="45" cm="1">
        <f t="array" ref="V10">IF(NOT(OR(ISBLANK($L10),ISBLANK($M10))),ConvertSpeed($L10,$M10,"ft/sec"),"")</f>
        <v>1500</v>
      </c>
      <c r="W10" s="45" cm="1">
        <f t="array" ref="W10">IF(NOT(OR(ISBLANK($L10),ISBLANK($M10))),ConvertSpeed($L10,$M10,"m/sec"),"")</f>
        <v>457.2</v>
      </c>
      <c r="X10" s="45" cm="1">
        <f t="array" ref="X10">IF(NOT(OR(ISBLANK(V10),ISBLANK(T10))),MuzzleVelocityToMuzzleEnergyFtLb(V10,T10),"")</f>
        <v>179.82549742121054</v>
      </c>
      <c r="Y10" s="45" cm="1">
        <f t="array" ref="Y10">IF(NOT(OR(ISBLANK(W10),ISBLANK(U10))),MuzzleVelocityToMuzzleEnergyJoules(W10,U10),"")</f>
        <v>243.8106369712992</v>
      </c>
      <c r="Z10" s="45" t="str" cm="1">
        <f t="array" ref="Z10">IF(NOT(OR(ISBLANK($N10),ISBLANK($O10))),ConvertSpeed($N10,$O10,"ft/sec"),"")</f>
        <v/>
      </c>
      <c r="AA10" s="46" t="str" cm="1">
        <f t="array" ref="AA10">IF(NOT(OR(ISBLANK($N10),ISBLANK($O10))),ConvertSpeed($N10,$O10,"m/sec"),"")</f>
        <v/>
      </c>
    </row>
    <row r="11" spans="1:27" x14ac:dyDescent="0.25">
      <c r="A11" s="90"/>
      <c r="B11" s="42"/>
      <c r="C11" s="2" t="s">
        <v>198</v>
      </c>
      <c r="D11" s="2" t="s">
        <v>195</v>
      </c>
      <c r="E11" s="47" t="str">
        <f>$E6</f>
        <v>22 LR</v>
      </c>
      <c r="F11" t="s">
        <v>201</v>
      </c>
      <c r="G11" t="s">
        <v>45</v>
      </c>
      <c r="H11" s="43">
        <f>IF(NOT(ISBLANK($E11)),_xlfn.XLOOKUP($E11,CartridgeNames[Available Chamberings],CartridgeNames[Bullet Caliber],"n/a",0,1),"")</f>
        <v>0.223</v>
      </c>
      <c r="I11" s="62" t="str">
        <f>IF(NOT(ISBLANK($E11)),_xlfn.XLOOKUP($E11,CartridgeNames[Available Chamberings],CartridgeNames[Caliber(Units)],"n/a",0,1),"")</f>
        <v>in</v>
      </c>
      <c r="J11">
        <v>40</v>
      </c>
      <c r="K11" t="s">
        <v>117</v>
      </c>
      <c r="L11" s="1">
        <v>1255</v>
      </c>
      <c r="M11" t="s">
        <v>121</v>
      </c>
      <c r="O11" t="s">
        <v>121</v>
      </c>
      <c r="P11">
        <v>0.11600000000000001</v>
      </c>
      <c r="Q11" t="s">
        <v>21</v>
      </c>
      <c r="R11" s="45" cm="1">
        <f t="array" ref="R11">IF(NOT(OR(ISBLANK($H11),ISBLANK($I11))),ConvertLength($H11,$I11,"in"),"")</f>
        <v>0.223</v>
      </c>
      <c r="S11" s="45" cm="1">
        <f t="array" ref="S11">IF(NOT(OR(ISBLANK($H11),ISBLANK($I11))),ConvertLength($H11,$I11,"mm"),"")</f>
        <v>5.6642000000000001</v>
      </c>
      <c r="T11" s="45">
        <f t="shared" si="0"/>
        <v>40</v>
      </c>
      <c r="U11" s="45">
        <f t="shared" si="1"/>
        <v>2.5919563999999999</v>
      </c>
      <c r="V11" s="45" cm="1">
        <f t="array" ref="V11">IF(NOT(OR(ISBLANK($L11),ISBLANK($M11))),ConvertSpeed($L11,$M11,"ft/sec"),"")</f>
        <v>1255</v>
      </c>
      <c r="W11" s="45" cm="1">
        <f t="array" ref="W11">IF(NOT(OR(ISBLANK($L11),ISBLANK($M11))),ConvertSpeed($L11,$M11,"m/sec"),"")</f>
        <v>382.524</v>
      </c>
      <c r="X11" s="45" cm="1">
        <f t="array" ref="X11">IF(NOT(OR(ISBLANK(V11),ISBLANK(T11))),MuzzleVelocityToMuzzleEnergyFtLb(V11,T11),"")</f>
        <v>139.86649583992204</v>
      </c>
      <c r="Y11" s="45" cm="1">
        <f t="array" ref="Y11">IF(NOT(OR(ISBLANK(W11),ISBLANK(U11))),MuzzleVelocityToMuzzleEnergyJoules(W11,U11),"")</f>
        <v>189.63350542998543</v>
      </c>
      <c r="Z11" s="45" t="str" cm="1">
        <f t="array" ref="Z11">IF(NOT(OR(ISBLANK($N11),ISBLANK($O11))),ConvertSpeed($N11,$O11,"ft/sec"),"")</f>
        <v/>
      </c>
      <c r="AA11" s="46" t="str" cm="1">
        <f t="array" ref="AA11">IF(NOT(OR(ISBLANK($N11),ISBLANK($O11))),ConvertSpeed($N11,$O11,"m/sec"),"")</f>
        <v/>
      </c>
    </row>
    <row r="12" spans="1:27" x14ac:dyDescent="0.25">
      <c r="A12" s="90"/>
      <c r="B12" s="42"/>
      <c r="AA12" s="6"/>
    </row>
    <row r="13" spans="1:27" x14ac:dyDescent="0.25">
      <c r="A13" s="90"/>
      <c r="B13" s="42"/>
      <c r="AA13" s="6"/>
    </row>
    <row r="14" spans="1:27" x14ac:dyDescent="0.25">
      <c r="A14" s="90"/>
      <c r="B14" s="42"/>
      <c r="C14" s="49" t="s">
        <v>72</v>
      </c>
      <c r="D14" s="49" t="s">
        <v>124</v>
      </c>
      <c r="E14" s="49" t="s">
        <v>123</v>
      </c>
      <c r="F14" s="49" t="s">
        <v>125</v>
      </c>
      <c r="G14" s="49" t="s">
        <v>27</v>
      </c>
      <c r="H14" s="49" t="s">
        <v>127</v>
      </c>
      <c r="I14" s="49" t="s">
        <v>24</v>
      </c>
      <c r="J14" s="49" t="s">
        <v>26</v>
      </c>
      <c r="K14" s="49" t="s">
        <v>185</v>
      </c>
      <c r="L14" s="49" t="s">
        <v>180</v>
      </c>
      <c r="M14" s="49" t="s">
        <v>28</v>
      </c>
      <c r="N14" s="49" t="s">
        <v>29</v>
      </c>
      <c r="O14" s="49" t="s">
        <v>126</v>
      </c>
      <c r="P14" s="50" t="s">
        <v>182</v>
      </c>
      <c r="Q14" s="50" t="s">
        <v>183</v>
      </c>
      <c r="R14" s="49" t="s">
        <v>184</v>
      </c>
      <c r="AA14" s="6"/>
    </row>
    <row r="15" spans="1:27" x14ac:dyDescent="0.25">
      <c r="A15" s="30"/>
      <c r="B15" s="42"/>
      <c r="C15" t="s">
        <v>259</v>
      </c>
      <c r="D15" t="s">
        <v>130</v>
      </c>
      <c r="E15" t="s">
        <v>260</v>
      </c>
      <c r="F15" t="s">
        <v>156</v>
      </c>
      <c r="G15" s="25"/>
      <c r="H15" s="51"/>
      <c r="I15" s="25"/>
      <c r="J15" s="25"/>
      <c r="K15" s="5"/>
      <c r="L15" s="51"/>
      <c r="M15" s="25"/>
      <c r="N15" s="25"/>
      <c r="O15" s="51"/>
      <c r="P15" s="25"/>
      <c r="Q15" s="25"/>
      <c r="R15" s="51" t="s">
        <v>181</v>
      </c>
      <c r="AA15" s="6"/>
    </row>
    <row r="16" spans="1:27" x14ac:dyDescent="0.25">
      <c r="A16" s="30"/>
      <c r="B16" s="42"/>
      <c r="C16" t="s">
        <v>261</v>
      </c>
      <c r="D16" t="s">
        <v>130</v>
      </c>
      <c r="E16" t="s">
        <v>262</v>
      </c>
      <c r="F16" t="s">
        <v>156</v>
      </c>
      <c r="G16" s="25"/>
      <c r="H16" s="51"/>
      <c r="I16" s="25"/>
      <c r="J16" s="25"/>
      <c r="K16" s="5"/>
      <c r="L16" s="51"/>
      <c r="M16" s="25"/>
      <c r="N16" s="25"/>
      <c r="O16" s="51"/>
      <c r="P16" s="25"/>
      <c r="Q16" s="25"/>
      <c r="R16" s="51" t="s">
        <v>181</v>
      </c>
      <c r="AA16" s="6"/>
    </row>
    <row r="17" spans="1:27" ht="15.75" thickBot="1" x14ac:dyDescent="0.3">
      <c r="A17" s="30"/>
      <c r="B17" s="52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56"/>
    </row>
    <row r="18" spans="1:27" s="63" customFormat="1" x14ac:dyDescent="0.25">
      <c r="A18" s="91"/>
      <c r="C18" s="91"/>
      <c r="D18" s="91"/>
      <c r="E18" s="91"/>
      <c r="F18" s="91"/>
      <c r="G18" s="91"/>
      <c r="H18" s="91"/>
      <c r="I18" s="91"/>
      <c r="J18" s="91"/>
      <c r="K18" s="91"/>
      <c r="L18" s="91"/>
      <c r="M18" s="91"/>
      <c r="N18" s="91"/>
      <c r="O18" s="91"/>
      <c r="P18" s="91"/>
      <c r="Q18" s="91"/>
      <c r="R18" s="91"/>
      <c r="S18" s="91"/>
      <c r="T18" s="91"/>
      <c r="U18" s="91"/>
      <c r="V18" s="91"/>
      <c r="W18" s="91"/>
      <c r="X18" s="91"/>
      <c r="Y18" s="91"/>
      <c r="Z18" s="91"/>
    </row>
    <row r="19" spans="1:27" ht="15.75" thickBot="1" x14ac:dyDescent="0.3">
      <c r="A19" s="24"/>
    </row>
    <row r="20" spans="1:27" x14ac:dyDescent="0.25">
      <c r="A20" s="75"/>
      <c r="B20" s="59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59"/>
      <c r="T20" s="59"/>
      <c r="U20" s="59"/>
      <c r="V20" s="59"/>
      <c r="W20" s="59"/>
      <c r="X20" s="59"/>
      <c r="Y20" s="59"/>
      <c r="Z20" s="59"/>
      <c r="AA20" s="60"/>
    </row>
    <row r="21" spans="1:27" ht="30" x14ac:dyDescent="0.25">
      <c r="A21" s="85" t="s">
        <v>276</v>
      </c>
      <c r="C21" s="15" t="s">
        <v>72</v>
      </c>
      <c r="D21" s="15" t="s">
        <v>193</v>
      </c>
      <c r="E21" s="15" t="s">
        <v>2</v>
      </c>
      <c r="F21" s="15" t="s">
        <v>73</v>
      </c>
      <c r="G21" s="15" t="s">
        <v>6</v>
      </c>
      <c r="H21" s="16" t="s">
        <v>104</v>
      </c>
      <c r="I21" s="16" t="s">
        <v>110</v>
      </c>
      <c r="J21" s="17" t="s">
        <v>27</v>
      </c>
      <c r="K21" s="17" t="s">
        <v>111</v>
      </c>
      <c r="L21" s="18" t="s">
        <v>106</v>
      </c>
      <c r="M21" s="18" t="s">
        <v>108</v>
      </c>
      <c r="N21" s="15" t="s">
        <v>95</v>
      </c>
      <c r="O21" s="15" t="s">
        <v>109</v>
      </c>
      <c r="P21" s="14" t="s">
        <v>99</v>
      </c>
      <c r="Q21" s="14" t="s">
        <v>98</v>
      </c>
      <c r="R21" s="16" t="s">
        <v>112</v>
      </c>
      <c r="S21" s="18" t="s">
        <v>74</v>
      </c>
      <c r="T21" s="18" t="s">
        <v>113</v>
      </c>
      <c r="U21" s="15" t="s">
        <v>114</v>
      </c>
      <c r="V21" s="15" t="s">
        <v>115</v>
      </c>
      <c r="W21" s="15" t="s">
        <v>119</v>
      </c>
      <c r="X21" s="15" t="s">
        <v>116</v>
      </c>
      <c r="Y21" s="15" t="s">
        <v>75</v>
      </c>
      <c r="Z21" s="15" t="s">
        <v>96</v>
      </c>
      <c r="AA21" s="61" t="s">
        <v>97</v>
      </c>
    </row>
    <row r="22" spans="1:27" x14ac:dyDescent="0.25">
      <c r="A22" s="87"/>
      <c r="C22" s="2" t="s">
        <v>224</v>
      </c>
      <c r="D22" s="2" t="s">
        <v>4</v>
      </c>
      <c r="E22" t="s">
        <v>131</v>
      </c>
      <c r="F22" t="s">
        <v>227</v>
      </c>
      <c r="G22" t="s">
        <v>47</v>
      </c>
      <c r="H22" s="43" t="str">
        <f>IF(NOT(ISBLANK($E22)),_xlfn.XLOOKUP($E22,CartridgeNames[Available Chamberings],CartridgeNames[Bullet Caliber],"n/a",0,1),"")</f>
        <v>n/a</v>
      </c>
      <c r="I22" s="62" t="str">
        <f>IF(NOT(ISBLANK($E22)),_xlfn.XLOOKUP($E22,CartridgeNames[Available Chamberings],CartridgeNames[Caliber(Units)],"n/a",0,1),"")</f>
        <v>n/a</v>
      </c>
      <c r="J22">
        <v>62</v>
      </c>
      <c r="K22" t="s">
        <v>117</v>
      </c>
      <c r="L22" s="1">
        <v>3100</v>
      </c>
      <c r="M22" t="s">
        <v>121</v>
      </c>
      <c r="N22" s="1"/>
      <c r="O22" t="s">
        <v>121</v>
      </c>
      <c r="P22">
        <v>0.23400000000000001</v>
      </c>
      <c r="Q22" t="s">
        <v>21</v>
      </c>
      <c r="R22" s="45" t="e" cm="1">
        <f t="array" ref="R22">IF(NOT(OR(ISBLANK($H22),ISBLANK($I22))),ConvertLength($H22,$I22,"in"),"")</f>
        <v>#VALUE!</v>
      </c>
      <c r="S22" s="45" t="e" cm="1">
        <f t="array" ref="S22">IF(NOT(OR(ISBLANK($H22),ISBLANK($I22))),ConvertLength($H22,$I22,"mm"),"")</f>
        <v>#VALUE!</v>
      </c>
      <c r="T22" s="45">
        <f t="shared" ref="T22:T27" si="2">IF(NOT(AND(ISBLANK($J22),ISBLANK($K22))),CONVERT($J22,$K22,"grain"),"")</f>
        <v>62</v>
      </c>
      <c r="U22" s="45">
        <f t="shared" ref="U22:U27" si="3">IF(NOT(AND(ISBLANK($J22),ISBLANK($K22))),CONVERT($J22,$K22,"g"),"")</f>
        <v>4.0175324200000002</v>
      </c>
      <c r="V22" s="45" cm="1">
        <f t="array" ref="V22">IF(NOT(OR(ISBLANK($L22),ISBLANK($M22))),ConvertSpeed($L22,$M22,"ft/sec"),"")</f>
        <v>3100</v>
      </c>
      <c r="W22" s="45" cm="1">
        <f t="array" ref="W22">IF(NOT(OR(ISBLANK($L22),ISBLANK($M22))),ConvertSpeed($L22,$M22,"m/sec"),"")</f>
        <v>944.88</v>
      </c>
      <c r="X22" s="45" cm="1">
        <f t="array" ref="X22">IF(NOT(OR(ISBLANK(V22),ISBLANK(T22))),MuzzleVelocityToMuzzleEnergyFtLb(V22,T22),"")</f>
        <v>1322.7608379445144</v>
      </c>
      <c r="Y22" s="45" cm="1">
        <f t="array" ref="Y22">IF(NOT(OR(ISBLANK(W22),ISBLANK(U22))),MuzzleVelocityToMuzzleEnergyJoules(W22,U22),"")</f>
        <v>1793.4228854350554</v>
      </c>
      <c r="Z22" s="45" t="str" cm="1">
        <f t="array" ref="Z22">IF(NOT(OR(ISBLANK($N22),ISBLANK($O22))),ConvertSpeed($N22,$O22,"ft/sec"),"")</f>
        <v/>
      </c>
      <c r="AA22" s="46" t="str" cm="1">
        <f t="array" ref="AA22">IF(NOT(OR(ISBLANK($N22),ISBLANK($O22))),ConvertSpeed($N22,$O22,"m/sec"),"")</f>
        <v/>
      </c>
    </row>
    <row r="23" spans="1:27" x14ac:dyDescent="0.25">
      <c r="A23" s="87"/>
      <c r="C23" s="2" t="s">
        <v>225</v>
      </c>
      <c r="D23" s="2" t="s">
        <v>4</v>
      </c>
      <c r="E23" s="47" t="str">
        <f>$E22</f>
        <v>223 Remingtion</v>
      </c>
      <c r="F23" t="s">
        <v>228</v>
      </c>
      <c r="G23" t="s">
        <v>49</v>
      </c>
      <c r="H23" s="43" t="str">
        <f>IF(NOT(ISBLANK($E23)),_xlfn.XLOOKUP($E23,CartridgeNames[Available Chamberings],CartridgeNames[Bullet Caliber],"n/a",0,1),"")</f>
        <v>n/a</v>
      </c>
      <c r="I23" s="62" t="str">
        <f>IF(NOT(ISBLANK($E23)),_xlfn.XLOOKUP($E23,CartridgeNames[Available Chamberings],CartridgeNames[Caliber(Units)],"n/a",0,1),"")</f>
        <v>n/a</v>
      </c>
      <c r="J23">
        <v>55</v>
      </c>
      <c r="K23" t="s">
        <v>117</v>
      </c>
      <c r="L23" s="1">
        <v>3200</v>
      </c>
      <c r="M23" t="s">
        <v>121</v>
      </c>
      <c r="N23" s="1"/>
      <c r="O23" t="s">
        <v>121</v>
      </c>
      <c r="P23">
        <v>0.20899999999999999</v>
      </c>
      <c r="Q23" t="s">
        <v>21</v>
      </c>
      <c r="R23" s="45" t="e" cm="1">
        <f t="array" ref="R23">IF(NOT(OR(ISBLANK($H23),ISBLANK($I23))),ConvertLength($H23,$I23,"in"),"")</f>
        <v>#VALUE!</v>
      </c>
      <c r="S23" s="45" t="e" cm="1">
        <f t="array" ref="S23">IF(NOT(OR(ISBLANK($H23),ISBLANK($I23))),ConvertLength($H23,$I23,"mm"),"")</f>
        <v>#VALUE!</v>
      </c>
      <c r="T23" s="45">
        <f t="shared" si="2"/>
        <v>55</v>
      </c>
      <c r="U23" s="45">
        <f t="shared" si="3"/>
        <v>3.5639400500000002</v>
      </c>
      <c r="V23" s="45" cm="1">
        <f t="array" ref="V23">IF(NOT(OR(ISBLANK($L23),ISBLANK($M23))),ConvertSpeed($L23,$M23,"ft/sec"),"")</f>
        <v>3200</v>
      </c>
      <c r="W23" s="45" cm="1">
        <f t="array" ref="W23">IF(NOT(OR(ISBLANK($L23),ISBLANK($M23))),ConvertSpeed($L23,$M23,"m/sec"),"")</f>
        <v>975.36</v>
      </c>
      <c r="X23" s="45" cm="1">
        <f t="array" ref="X23">IF(NOT(OR(ISBLANK(V23),ISBLANK(T23))),MuzzleVelocityToMuzzleEnergyFtLb(V23,T23),"")</f>
        <v>1250.3422240447626</v>
      </c>
      <c r="Y23" s="45" cm="1">
        <f t="array" ref="Y23">IF(NOT(OR(ISBLANK(W23),ISBLANK(U23))),MuzzleVelocityToMuzzleEnergyJoules(W23,U23),"")</f>
        <v>1695.2364289164902</v>
      </c>
      <c r="Z23" s="45" t="str" cm="1">
        <f t="array" ref="Z23">IF(NOT(OR(ISBLANK($N23),ISBLANK($O23))),ConvertSpeed($N23,$O23,"ft/sec"),"")</f>
        <v/>
      </c>
      <c r="AA23" s="46" t="str" cm="1">
        <f t="array" ref="AA23">IF(NOT(OR(ISBLANK($N23),ISBLANK($O23))),ConvertSpeed($N23,$O23,"m/sec"),"")</f>
        <v/>
      </c>
    </row>
    <row r="24" spans="1:27" x14ac:dyDescent="0.25">
      <c r="A24" s="87"/>
      <c r="C24" s="2" t="s">
        <v>226</v>
      </c>
      <c r="D24" s="2" t="s">
        <v>4</v>
      </c>
      <c r="E24" s="47" t="str">
        <f>$E22</f>
        <v>223 Remingtion</v>
      </c>
      <c r="F24" t="s">
        <v>229</v>
      </c>
      <c r="G24" t="s">
        <v>51</v>
      </c>
      <c r="H24" s="43" t="str">
        <f>IF(NOT(ISBLANK($E24)),_xlfn.XLOOKUP($E24,CartridgeNames[Available Chamberings],CartridgeNames[Bullet Caliber],"n/a",0,1),"")</f>
        <v>n/a</v>
      </c>
      <c r="I24" s="62" t="str">
        <f>IF(NOT(ISBLANK($E24)),_xlfn.XLOOKUP($E24,CartridgeNames[Available Chamberings],CartridgeNames[Caliber(Units)],"n/a",0,1),"")</f>
        <v>n/a</v>
      </c>
      <c r="J24">
        <v>55</v>
      </c>
      <c r="K24" t="s">
        <v>117</v>
      </c>
      <c r="L24" s="1">
        <v>3240</v>
      </c>
      <c r="M24" t="s">
        <v>121</v>
      </c>
      <c r="N24" s="1">
        <v>1800</v>
      </c>
      <c r="O24" t="s">
        <v>121</v>
      </c>
      <c r="P24">
        <v>0.30499999999999999</v>
      </c>
      <c r="Q24" t="s">
        <v>21</v>
      </c>
      <c r="R24" s="45" t="e" cm="1">
        <f t="array" ref="R24">IF(NOT(OR(ISBLANK($H24),ISBLANK($I24))),ConvertLength($H24,$I24,"in"),"")</f>
        <v>#VALUE!</v>
      </c>
      <c r="S24" s="45" t="e" cm="1">
        <f t="array" ref="S24">IF(NOT(OR(ISBLANK($H24),ISBLANK($I24))),ConvertLength($H24,$I24,"mm"),"")</f>
        <v>#VALUE!</v>
      </c>
      <c r="T24" s="45">
        <f t="shared" si="2"/>
        <v>55</v>
      </c>
      <c r="U24" s="45">
        <f t="shared" si="3"/>
        <v>3.5639400500000002</v>
      </c>
      <c r="V24" s="45" cm="1">
        <f t="array" ref="V24">IF(NOT(OR(ISBLANK($L24),ISBLANK($M24))),ConvertSpeed($L24,$M24,"ft/sec"),"")</f>
        <v>3240</v>
      </c>
      <c r="W24" s="45" cm="1">
        <f t="array" ref="W24">IF(NOT(OR(ISBLANK($L24),ISBLANK($M24))),ConvertSpeed($L24,$M24,"m/sec"),"")</f>
        <v>987.55200000000002</v>
      </c>
      <c r="X24" s="45" cm="1">
        <f t="array" ref="X24">IF(NOT(OR(ISBLANK(V24),ISBLANK(T24))),MuzzleVelocityToMuzzleEnergyFtLb(V24,T24),"")</f>
        <v>1281.7961456183889</v>
      </c>
      <c r="Y24" s="45" cm="1">
        <f t="array" ref="Y24">IF(NOT(OR(ISBLANK(W24),ISBLANK(U24))),MuzzleVelocityToMuzzleEnergyJoules(W24,U24),"")</f>
        <v>1737.8822203314207</v>
      </c>
      <c r="Z24" s="45" cm="1">
        <f t="array" ref="Z24">IF(NOT(OR(ISBLANK($N24),ISBLANK($O24))),ConvertSpeed($N24,$O24,"ft/sec"),"")</f>
        <v>1800</v>
      </c>
      <c r="AA24" s="46" cm="1">
        <f t="array" ref="AA24">IF(NOT(OR(ISBLANK($N24),ISBLANK($O24))),ConvertSpeed($N24,$O24,"m/sec"),"")</f>
        <v>548.64</v>
      </c>
    </row>
    <row r="25" spans="1:27" ht="25.5" customHeight="1" x14ac:dyDescent="0.25">
      <c r="A25" s="87"/>
      <c r="C25" s="2" t="s">
        <v>224</v>
      </c>
      <c r="D25" s="2" t="s">
        <v>195</v>
      </c>
      <c r="E25" s="47" t="s">
        <v>276</v>
      </c>
      <c r="F25" t="s">
        <v>227</v>
      </c>
      <c r="G25" t="s">
        <v>47</v>
      </c>
      <c r="H25" s="43">
        <f>IF(NOT(ISBLANK($E25)),_xlfn.XLOOKUP($E25,CartridgeNames[Available Chamberings],CartridgeNames[Bullet Caliber],"n/a",0,1),"")</f>
        <v>0.224</v>
      </c>
      <c r="I25" s="62" t="str">
        <f>IF(NOT(ISBLANK($E25)),_xlfn.XLOOKUP($E25,CartridgeNames[Available Chamberings],CartridgeNames[Caliber(Units)],"n/a",0,1),"")</f>
        <v>in</v>
      </c>
      <c r="J25">
        <v>62</v>
      </c>
      <c r="K25" t="s">
        <v>117</v>
      </c>
      <c r="L25" s="1">
        <v>3100</v>
      </c>
      <c r="M25" t="s">
        <v>121</v>
      </c>
      <c r="N25" s="1"/>
      <c r="O25" t="s">
        <v>121</v>
      </c>
      <c r="P25">
        <v>0.23400000000000001</v>
      </c>
      <c r="Q25" t="s">
        <v>21</v>
      </c>
      <c r="R25" s="45" cm="1">
        <f t="array" ref="R25">IF(NOT(OR(ISBLANK($H25),ISBLANK($I25))),ConvertLength($H25,$I25,"in"),"")</f>
        <v>0.224</v>
      </c>
      <c r="S25" s="45" cm="1">
        <f t="array" ref="S25">IF(NOT(OR(ISBLANK($H25),ISBLANK($I25))),ConvertLength($H25,$I25,"mm"),"")</f>
        <v>5.6896000000000004</v>
      </c>
      <c r="T25" s="45">
        <f t="shared" si="2"/>
        <v>62</v>
      </c>
      <c r="U25" s="45">
        <f t="shared" si="3"/>
        <v>4.0175324200000002</v>
      </c>
      <c r="V25" s="45" cm="1">
        <f t="array" ref="V25">IF(NOT(OR(ISBLANK($L25),ISBLANK($M25))),ConvertSpeed($L25,$M25,"ft/sec"),"")</f>
        <v>3100</v>
      </c>
      <c r="W25" s="45" cm="1">
        <f t="array" ref="W25">IF(NOT(OR(ISBLANK($L25),ISBLANK($M25))),ConvertSpeed($L25,$M25,"m/sec"),"")</f>
        <v>944.88</v>
      </c>
      <c r="X25" s="45" cm="1">
        <f t="array" ref="X25">IF(NOT(OR(ISBLANK(V25),ISBLANK(T25))),MuzzleVelocityToMuzzleEnergyFtLb(V25,T25),"")</f>
        <v>1322.7608379445144</v>
      </c>
      <c r="Y25" s="45" cm="1">
        <f t="array" ref="Y25">IF(NOT(OR(ISBLANK(W25),ISBLANK(U25))),MuzzleVelocityToMuzzleEnergyJoules(W25,U25),"")</f>
        <v>1793.4228854350554</v>
      </c>
      <c r="Z25" s="45" t="str" cm="1">
        <f t="array" ref="Z25">IF(NOT(OR(ISBLANK($N25),ISBLANK($O25))),ConvertSpeed($N25,$O25,"ft/sec"),"")</f>
        <v/>
      </c>
      <c r="AA25" s="46" t="str" cm="1">
        <f t="array" ref="AA25">IF(NOT(OR(ISBLANK($N25),ISBLANK($O25))),ConvertSpeed($N25,$O25,"m/sec"),"")</f>
        <v/>
      </c>
    </row>
    <row r="26" spans="1:27" x14ac:dyDescent="0.25">
      <c r="A26" s="87"/>
      <c r="C26" s="2" t="s">
        <v>225</v>
      </c>
      <c r="D26" s="2" t="s">
        <v>195</v>
      </c>
      <c r="E26" s="47" t="s">
        <v>276</v>
      </c>
      <c r="F26" t="s">
        <v>228</v>
      </c>
      <c r="G26" t="s">
        <v>49</v>
      </c>
      <c r="H26" s="43">
        <f>IF(NOT(ISBLANK($E26)),_xlfn.XLOOKUP($E26,CartridgeNames[Available Chamberings],CartridgeNames[Bullet Caliber],"n/a",0,1),"")</f>
        <v>0.224</v>
      </c>
      <c r="I26" s="62" t="str">
        <f>IF(NOT(ISBLANK($E26)),_xlfn.XLOOKUP($E26,CartridgeNames[Available Chamberings],CartridgeNames[Caliber(Units)],"n/a",0,1),"")</f>
        <v>in</v>
      </c>
      <c r="J26">
        <v>55</v>
      </c>
      <c r="K26" t="s">
        <v>117</v>
      </c>
      <c r="L26" s="1">
        <v>3200</v>
      </c>
      <c r="M26" t="s">
        <v>121</v>
      </c>
      <c r="N26" s="1"/>
      <c r="O26" t="s">
        <v>121</v>
      </c>
      <c r="P26">
        <v>0.20899999999999999</v>
      </c>
      <c r="Q26" t="s">
        <v>21</v>
      </c>
      <c r="R26" s="45" cm="1">
        <f t="array" ref="R26">IF(NOT(OR(ISBLANK($H26),ISBLANK($I26))),ConvertLength($H26,$I26,"in"),"")</f>
        <v>0.224</v>
      </c>
      <c r="S26" s="45" cm="1">
        <f t="array" ref="S26">IF(NOT(OR(ISBLANK($H26),ISBLANK($I26))),ConvertLength($H26,$I26,"mm"),"")</f>
        <v>5.6896000000000004</v>
      </c>
      <c r="T26" s="45">
        <f t="shared" si="2"/>
        <v>55</v>
      </c>
      <c r="U26" s="45">
        <f t="shared" si="3"/>
        <v>3.5639400500000002</v>
      </c>
      <c r="V26" s="45" cm="1">
        <f t="array" ref="V26">IF(NOT(OR(ISBLANK($L26),ISBLANK($M26))),ConvertSpeed($L26,$M26,"ft/sec"),"")</f>
        <v>3200</v>
      </c>
      <c r="W26" s="45" cm="1">
        <f t="array" ref="W26">IF(NOT(OR(ISBLANK($L26),ISBLANK($M26))),ConvertSpeed($L26,$M26,"m/sec"),"")</f>
        <v>975.36</v>
      </c>
      <c r="X26" s="45" cm="1">
        <f t="array" ref="X26">IF(NOT(OR(ISBLANK(V26),ISBLANK(T26))),MuzzleVelocityToMuzzleEnergyFtLb(V26,T26),"")</f>
        <v>1250.3422240447626</v>
      </c>
      <c r="Y26" s="45" cm="1">
        <f t="array" ref="Y26">IF(NOT(OR(ISBLANK(W26),ISBLANK(U26))),MuzzleVelocityToMuzzleEnergyJoules(W26,U26),"")</f>
        <v>1695.2364289164902</v>
      </c>
      <c r="Z26" s="45" t="str" cm="1">
        <f t="array" ref="Z26">IF(NOT(OR(ISBLANK($N26),ISBLANK($O26))),ConvertSpeed($N26,$O26,"ft/sec"),"")</f>
        <v/>
      </c>
      <c r="AA26" s="46" t="str" cm="1">
        <f t="array" ref="AA26">IF(NOT(OR(ISBLANK($N26),ISBLANK($O26))),ConvertSpeed($N26,$O26,"m/sec"),"")</f>
        <v/>
      </c>
    </row>
    <row r="27" spans="1:27" x14ac:dyDescent="0.25">
      <c r="A27" s="87"/>
      <c r="C27" s="2" t="s">
        <v>226</v>
      </c>
      <c r="D27" s="2" t="s">
        <v>195</v>
      </c>
      <c r="E27" s="47" t="s">
        <v>276</v>
      </c>
      <c r="F27" t="s">
        <v>229</v>
      </c>
      <c r="G27" t="s">
        <v>51</v>
      </c>
      <c r="H27" s="43">
        <f>IF(NOT(ISBLANK($E27)),_xlfn.XLOOKUP($E27,CartridgeNames[Available Chamberings],CartridgeNames[Bullet Caliber],"n/a",0,1),"")</f>
        <v>0.224</v>
      </c>
      <c r="I27" s="62" t="str">
        <f>IF(NOT(ISBLANK($E27)),_xlfn.XLOOKUP($E27,CartridgeNames[Available Chamberings],CartridgeNames[Caliber(Units)],"n/a",0,1),"")</f>
        <v>in</v>
      </c>
      <c r="J27">
        <v>55</v>
      </c>
      <c r="K27" t="s">
        <v>117</v>
      </c>
      <c r="L27" s="1">
        <v>3240</v>
      </c>
      <c r="M27" t="s">
        <v>121</v>
      </c>
      <c r="N27" s="1">
        <v>1800</v>
      </c>
      <c r="O27" t="s">
        <v>121</v>
      </c>
      <c r="P27">
        <v>0.30499999999999999</v>
      </c>
      <c r="Q27" t="s">
        <v>21</v>
      </c>
      <c r="R27" s="45" cm="1">
        <f t="array" ref="R27">IF(NOT(OR(ISBLANK($H27),ISBLANK($I27))),ConvertLength($H27,$I27,"in"),"")</f>
        <v>0.224</v>
      </c>
      <c r="S27" s="45" cm="1">
        <f t="array" ref="S27">IF(NOT(OR(ISBLANK($H27),ISBLANK($I27))),ConvertLength($H27,$I27,"mm"),"")</f>
        <v>5.6896000000000004</v>
      </c>
      <c r="T27" s="45">
        <f t="shared" si="2"/>
        <v>55</v>
      </c>
      <c r="U27" s="45">
        <f t="shared" si="3"/>
        <v>3.5639400500000002</v>
      </c>
      <c r="V27" s="45" cm="1">
        <f t="array" ref="V27">IF(NOT(OR(ISBLANK($L27),ISBLANK($M27))),ConvertSpeed($L27,$M27,"ft/sec"),"")</f>
        <v>3240</v>
      </c>
      <c r="W27" s="45" cm="1">
        <f t="array" ref="W27">IF(NOT(OR(ISBLANK($L27),ISBLANK($M27))),ConvertSpeed($L27,$M27,"m/sec"),"")</f>
        <v>987.55200000000002</v>
      </c>
      <c r="X27" s="45" cm="1">
        <f t="array" ref="X27">IF(NOT(OR(ISBLANK(V27),ISBLANK(T27))),MuzzleVelocityToMuzzleEnergyFtLb(V27,T27),"")</f>
        <v>1281.7961456183889</v>
      </c>
      <c r="Y27" s="45" cm="1">
        <f t="array" ref="Y27">IF(NOT(OR(ISBLANK(W27),ISBLANK(U27))),MuzzleVelocityToMuzzleEnergyJoules(W27,U27),"")</f>
        <v>1737.8822203314207</v>
      </c>
      <c r="Z27" s="45" cm="1">
        <f t="array" ref="Z27">IF(NOT(OR(ISBLANK($N27),ISBLANK($O27))),ConvertSpeed($N27,$O27,"ft/sec"),"")</f>
        <v>1800</v>
      </c>
      <c r="AA27" s="46" cm="1">
        <f t="array" ref="AA27">IF(NOT(OR(ISBLANK($N27),ISBLANK($O27))),ConvertSpeed($N27,$O27,"m/sec"),"")</f>
        <v>548.64</v>
      </c>
    </row>
    <row r="28" spans="1:27" x14ac:dyDescent="0.25">
      <c r="A28" s="87"/>
      <c r="AA28" s="6"/>
    </row>
    <row r="29" spans="1:27" x14ac:dyDescent="0.25">
      <c r="A29" s="87"/>
      <c r="AA29" s="6"/>
    </row>
    <row r="30" spans="1:27" x14ac:dyDescent="0.25">
      <c r="A30" s="87"/>
      <c r="C30" s="49" t="s">
        <v>72</v>
      </c>
      <c r="D30" s="49" t="s">
        <v>124</v>
      </c>
      <c r="E30" s="49" t="s">
        <v>123</v>
      </c>
      <c r="F30" s="49" t="s">
        <v>125</v>
      </c>
      <c r="G30" s="49" t="s">
        <v>27</v>
      </c>
      <c r="H30" s="49" t="s">
        <v>127</v>
      </c>
      <c r="I30" s="49" t="s">
        <v>24</v>
      </c>
      <c r="J30" s="49" t="s">
        <v>26</v>
      </c>
      <c r="K30" s="49" t="s">
        <v>185</v>
      </c>
      <c r="L30" s="49" t="s">
        <v>180</v>
      </c>
      <c r="M30" s="49" t="s">
        <v>28</v>
      </c>
      <c r="N30" s="49" t="s">
        <v>29</v>
      </c>
      <c r="O30" s="49" t="s">
        <v>126</v>
      </c>
      <c r="P30" s="50" t="s">
        <v>182</v>
      </c>
      <c r="Q30" s="50" t="s">
        <v>183</v>
      </c>
      <c r="R30" s="49" t="s">
        <v>184</v>
      </c>
      <c r="AA30" s="6"/>
    </row>
    <row r="31" spans="1:27" x14ac:dyDescent="0.25">
      <c r="A31" s="87"/>
      <c r="C31" t="s">
        <v>274</v>
      </c>
      <c r="D31" t="s">
        <v>276</v>
      </c>
      <c r="E31" t="s">
        <v>275</v>
      </c>
      <c r="F31" t="s">
        <v>156</v>
      </c>
      <c r="G31" s="25"/>
      <c r="H31" s="51"/>
      <c r="I31" s="25"/>
      <c r="J31" s="25"/>
      <c r="K31" s="5"/>
      <c r="L31" s="51"/>
      <c r="M31" s="25"/>
      <c r="N31" s="25"/>
      <c r="O31" s="51"/>
      <c r="P31" s="25"/>
      <c r="Q31" s="25"/>
      <c r="R31" s="51" t="s">
        <v>181</v>
      </c>
      <c r="AA31" s="6"/>
    </row>
    <row r="32" spans="1:27" x14ac:dyDescent="0.25">
      <c r="A32" s="87"/>
      <c r="G32" s="25"/>
      <c r="H32" s="51"/>
      <c r="I32" s="25"/>
      <c r="J32" s="25"/>
      <c r="K32" s="5"/>
      <c r="L32" s="51"/>
      <c r="M32" s="25"/>
      <c r="N32" s="25"/>
      <c r="O32" s="51"/>
      <c r="P32" s="25"/>
      <c r="Q32" s="25"/>
      <c r="R32" s="51" t="s">
        <v>181</v>
      </c>
      <c r="AA32" s="6"/>
    </row>
    <row r="33" spans="1:27" ht="15.75" thickBot="1" x14ac:dyDescent="0.3">
      <c r="A33" s="74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56"/>
    </row>
    <row r="34" spans="1:27" s="63" customFormat="1" x14ac:dyDescent="0.25">
      <c r="A34" s="91"/>
      <c r="C34" s="91"/>
      <c r="D34" s="91"/>
      <c r="E34" s="91"/>
      <c r="F34" s="91"/>
      <c r="G34" s="91"/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91"/>
      <c r="S34" s="91"/>
      <c r="T34" s="91"/>
      <c r="U34" s="91"/>
      <c r="V34" s="91"/>
      <c r="W34" s="91"/>
      <c r="X34" s="91"/>
      <c r="Y34" s="91"/>
      <c r="Z34" s="91"/>
    </row>
    <row r="35" spans="1:27" ht="15.75" thickBot="1" x14ac:dyDescent="0.3">
      <c r="A35" s="24"/>
    </row>
    <row r="36" spans="1:27" x14ac:dyDescent="0.25">
      <c r="A36" s="75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59"/>
      <c r="Y36" s="59"/>
      <c r="Z36" s="59"/>
      <c r="AA36" s="60"/>
    </row>
    <row r="37" spans="1:27" ht="30" x14ac:dyDescent="0.25">
      <c r="A37" s="85" t="s">
        <v>76</v>
      </c>
      <c r="C37" s="15" t="s">
        <v>72</v>
      </c>
      <c r="D37" s="15" t="s">
        <v>193</v>
      </c>
      <c r="E37" s="15" t="s">
        <v>2</v>
      </c>
      <c r="F37" s="15" t="s">
        <v>73</v>
      </c>
      <c r="G37" s="15" t="s">
        <v>6</v>
      </c>
      <c r="H37" s="16" t="s">
        <v>104</v>
      </c>
      <c r="I37" s="16" t="s">
        <v>110</v>
      </c>
      <c r="J37" s="17" t="s">
        <v>27</v>
      </c>
      <c r="K37" s="17" t="s">
        <v>111</v>
      </c>
      <c r="L37" s="18" t="s">
        <v>106</v>
      </c>
      <c r="M37" s="18" t="s">
        <v>108</v>
      </c>
      <c r="N37" s="15" t="s">
        <v>95</v>
      </c>
      <c r="O37" s="15" t="s">
        <v>109</v>
      </c>
      <c r="P37" s="14" t="s">
        <v>99</v>
      </c>
      <c r="Q37" s="14" t="s">
        <v>98</v>
      </c>
      <c r="R37" s="16" t="s">
        <v>112</v>
      </c>
      <c r="S37" s="18" t="s">
        <v>74</v>
      </c>
      <c r="T37" s="18" t="s">
        <v>113</v>
      </c>
      <c r="U37" s="15" t="s">
        <v>114</v>
      </c>
      <c r="V37" s="15" t="s">
        <v>115</v>
      </c>
      <c r="W37" s="15" t="s">
        <v>119</v>
      </c>
      <c r="X37" s="15" t="s">
        <v>116</v>
      </c>
      <c r="Y37" s="15" t="s">
        <v>75</v>
      </c>
      <c r="Z37" s="15" t="s">
        <v>96</v>
      </c>
      <c r="AA37" s="61" t="s">
        <v>97</v>
      </c>
    </row>
    <row r="38" spans="1:27" x14ac:dyDescent="0.25">
      <c r="A38" s="87"/>
      <c r="C38" s="2" t="s">
        <v>219</v>
      </c>
      <c r="D38" s="2" t="s">
        <v>4</v>
      </c>
      <c r="E38" t="s">
        <v>76</v>
      </c>
      <c r="F38" t="s">
        <v>220</v>
      </c>
      <c r="G38" t="s">
        <v>51</v>
      </c>
      <c r="H38" s="43">
        <f>IF(NOT(ISBLANK($E38)),_xlfn.XLOOKUP($E38,CartridgeNames[Available Chamberings],CartridgeNames[Bullet Caliber],"n/a",0,1),"")</f>
        <v>0.24299999999999999</v>
      </c>
      <c r="I38" s="62" t="str">
        <f>IF(NOT(ISBLANK($E38)),_xlfn.XLOOKUP($E38,CartridgeNames[Available Chamberings],CartridgeNames[Caliber(Units)],"n/a",0,1),"")</f>
        <v>in</v>
      </c>
      <c r="J38">
        <v>75</v>
      </c>
      <c r="K38" t="s">
        <v>117</v>
      </c>
      <c r="L38" s="1">
        <v>3375</v>
      </c>
      <c r="M38" t="s">
        <v>121</v>
      </c>
      <c r="N38" s="1"/>
      <c r="O38" t="s">
        <v>121</v>
      </c>
      <c r="P38" s="2">
        <v>0.33</v>
      </c>
      <c r="Q38" t="s">
        <v>21</v>
      </c>
      <c r="R38" s="45" cm="1">
        <f t="array" ref="R38">IF(NOT(OR(ISBLANK($H38),ISBLANK($I38))),ConvertLength($H38,$I38,"in"),"")</f>
        <v>0.24299999999999999</v>
      </c>
      <c r="S38" s="45" cm="1">
        <f t="array" ref="S38">IF(NOT(OR(ISBLANK($H38),ISBLANK($I38))),ConvertLength($H38,$I38,"mm"),"")</f>
        <v>6.1722000000000001</v>
      </c>
      <c r="T38" s="45">
        <f t="shared" ref="T38:T43" si="4">IF(NOT(AND(ISBLANK($J38),ISBLANK($K38))),CONVERT($J38,$K38,"grain"),"")</f>
        <v>75</v>
      </c>
      <c r="U38" s="45">
        <f t="shared" ref="U38:U43" si="5">IF(NOT(AND(ISBLANK($J38),ISBLANK($K38))),CONVERT($J38,$K38,"g"),"")</f>
        <v>4.8599182499999998</v>
      </c>
      <c r="V38" s="45" cm="1">
        <f t="array" ref="V38">IF(NOT(OR(ISBLANK($L38),ISBLANK($M38))),ConvertSpeed($L38,$M38,"ft/sec"),"")</f>
        <v>3375</v>
      </c>
      <c r="W38" s="45" cm="1">
        <f t="array" ref="W38">IF(NOT(OR(ISBLANK($L38),ISBLANK($M38))),ConvertSpeed($L38,$M38,"m/sec"),"")</f>
        <v>1028.7</v>
      </c>
      <c r="X38" s="45" cm="1">
        <f t="array" ref="X38">IF(NOT(OR(ISBLANK(V38),ISBLANK(T38))),MuzzleVelocityToMuzzleEnergyFtLb(V38,T38),"")</f>
        <v>1896.5970431143298</v>
      </c>
      <c r="Y38" s="45" cm="1">
        <f t="array" ref="Y38">IF(NOT(OR(ISBLANK(W38),ISBLANK(U38))),MuzzleVelocityToMuzzleEnergyJoules(W38,U38),"")</f>
        <v>2571.4403118066712</v>
      </c>
      <c r="Z38" s="45" t="str" cm="1">
        <f t="array" ref="Z38">IF(NOT(OR(ISBLANK($N38),ISBLANK($O38))),ConvertSpeed($N38,$O38,"ft/sec"),"")</f>
        <v/>
      </c>
      <c r="AA38" s="46" t="str" cm="1">
        <f t="array" ref="AA38">IF(NOT(OR(ISBLANK($N38),ISBLANK($O38))),ConvertSpeed($N38,$O38,"m/sec"),"")</f>
        <v/>
      </c>
    </row>
    <row r="39" spans="1:27" x14ac:dyDescent="0.25">
      <c r="A39" s="87"/>
      <c r="C39" s="2" t="s">
        <v>217</v>
      </c>
      <c r="D39" s="2" t="s">
        <v>4</v>
      </c>
      <c r="E39" s="47" t="str">
        <f>$E38</f>
        <v>243 Winchester</v>
      </c>
      <c r="F39" t="s">
        <v>208</v>
      </c>
      <c r="G39" t="s">
        <v>47</v>
      </c>
      <c r="H39" s="43">
        <f>IF(NOT(ISBLANK($E39)),_xlfn.XLOOKUP($E39,CartridgeNames[Available Chamberings],CartridgeNames[Bullet Caliber],"n/a",0,1),"")</f>
        <v>0.24299999999999999</v>
      </c>
      <c r="I39" s="62" t="str">
        <f>IF(NOT(ISBLANK($E39)),_xlfn.XLOOKUP($E39,CartridgeNames[Available Chamberings],CartridgeNames[Caliber(Units)],"n/a",0,1),"")</f>
        <v>in</v>
      </c>
      <c r="J39">
        <v>95</v>
      </c>
      <c r="K39" t="s">
        <v>117</v>
      </c>
      <c r="L39" s="1">
        <v>2980</v>
      </c>
      <c r="M39" t="s">
        <v>121</v>
      </c>
      <c r="N39" s="1"/>
      <c r="O39" t="s">
        <v>121</v>
      </c>
      <c r="P39" s="2">
        <v>0.376</v>
      </c>
      <c r="Q39" t="s">
        <v>21</v>
      </c>
      <c r="R39" s="45" cm="1">
        <f t="array" ref="R39">IF(NOT(OR(ISBLANK($H39),ISBLANK($I39))),ConvertLength($H39,$I39,"in"),"")</f>
        <v>0.24299999999999999</v>
      </c>
      <c r="S39" s="45" cm="1">
        <f t="array" ref="S39">IF(NOT(OR(ISBLANK($H39),ISBLANK($I39))),ConvertLength($H39,$I39,"mm"),"")</f>
        <v>6.1722000000000001</v>
      </c>
      <c r="T39" s="45">
        <f t="shared" si="4"/>
        <v>95</v>
      </c>
      <c r="U39" s="45">
        <f t="shared" si="5"/>
        <v>6.1558964500000002</v>
      </c>
      <c r="V39" s="45" cm="1">
        <f t="array" ref="V39">IF(NOT(OR(ISBLANK($L39),ISBLANK($M39))),ConvertSpeed($L39,$M39,"ft/sec"),"")</f>
        <v>2980</v>
      </c>
      <c r="W39" s="45" cm="1">
        <f t="array" ref="W39">IF(NOT(OR(ISBLANK($L39),ISBLANK($M39))),ConvertSpeed($L39,$M39,"m/sec"),"")</f>
        <v>908.30399999999997</v>
      </c>
      <c r="X39" s="45" cm="1">
        <f t="array" ref="X39">IF(NOT(OR(ISBLANK(V39),ISBLANK(T39))),MuzzleVelocityToMuzzleEnergyFtLb(V39,T39),"")</f>
        <v>1872.9336172029039</v>
      </c>
      <c r="Y39" s="45" cm="1">
        <f t="array" ref="Y39">IF(NOT(OR(ISBLANK(W39),ISBLANK(U39))),MuzzleVelocityToMuzzleEnergyJoules(W39,U39),"")</f>
        <v>2539.3570142369495</v>
      </c>
      <c r="Z39" s="45" t="str" cm="1">
        <f t="array" ref="Z39">IF(NOT(OR(ISBLANK($N39),ISBLANK($O39))),ConvertSpeed($N39,$O39,"ft/sec"),"")</f>
        <v/>
      </c>
      <c r="AA39" s="46" t="str" cm="1">
        <f t="array" ref="AA39">IF(NOT(OR(ISBLANK($N39),ISBLANK($O39))),ConvertSpeed($N39,$O39,"m/sec"),"")</f>
        <v/>
      </c>
    </row>
    <row r="40" spans="1:27" x14ac:dyDescent="0.25">
      <c r="A40" s="87"/>
      <c r="C40" s="2" t="s">
        <v>218</v>
      </c>
      <c r="D40" s="2" t="s">
        <v>4</v>
      </c>
      <c r="E40" s="47" t="str">
        <f>$E38</f>
        <v>243 Winchester</v>
      </c>
      <c r="F40" t="s">
        <v>221</v>
      </c>
      <c r="G40" t="s">
        <v>49</v>
      </c>
      <c r="H40" s="43">
        <f>IF(NOT(ISBLANK($E40)),_xlfn.XLOOKUP($E40,CartridgeNames[Available Chamberings],CartridgeNames[Bullet Caliber],"n/a",0,1),"")</f>
        <v>0.24299999999999999</v>
      </c>
      <c r="I40" s="62" t="str">
        <f>IF(NOT(ISBLANK($E40)),_xlfn.XLOOKUP($E40,CartridgeNames[Available Chamberings],CartridgeNames[Caliber(Units)],"n/a",0,1),"")</f>
        <v>in</v>
      </c>
      <c r="J40">
        <v>100</v>
      </c>
      <c r="K40" t="s">
        <v>117</v>
      </c>
      <c r="L40" s="1">
        <v>2960</v>
      </c>
      <c r="M40" t="s">
        <v>121</v>
      </c>
      <c r="N40" s="1"/>
      <c r="O40" t="s">
        <v>121</v>
      </c>
      <c r="P40" s="2">
        <v>0.35599999999999998</v>
      </c>
      <c r="Q40" t="s">
        <v>21</v>
      </c>
      <c r="R40" s="45" cm="1">
        <f t="array" ref="R40">IF(NOT(OR(ISBLANK($H40),ISBLANK($I40))),ConvertLength($H40,$I40,"in"),"")</f>
        <v>0.24299999999999999</v>
      </c>
      <c r="S40" s="45" cm="1">
        <f t="array" ref="S40">IF(NOT(OR(ISBLANK($H40),ISBLANK($I40))),ConvertLength($H40,$I40,"mm"),"")</f>
        <v>6.1722000000000001</v>
      </c>
      <c r="T40" s="45">
        <f t="shared" si="4"/>
        <v>100</v>
      </c>
      <c r="U40" s="45">
        <f t="shared" si="5"/>
        <v>6.4798910000000003</v>
      </c>
      <c r="V40" s="45" cm="1">
        <f t="array" ref="V40">IF(NOT(OR(ISBLANK($L40),ISBLANK($M40))),ConvertSpeed($L40,$M40,"ft/sec"),"")</f>
        <v>2960</v>
      </c>
      <c r="W40" s="45" cm="1">
        <f t="array" ref="W40">IF(NOT(OR(ISBLANK($L40),ISBLANK($M40))),ConvertSpeed($L40,$M40,"m/sec"),"")</f>
        <v>902.20799999999997</v>
      </c>
      <c r="X40" s="45" cm="1">
        <f t="array" ref="X40">IF(NOT(OR(ISBLANK(V40),ISBLANK(T40))),MuzzleVelocityToMuzzleEnergyFtLb(V40,T40),"")</f>
        <v>1945.1346644514547</v>
      </c>
      <c r="Y40" s="45" cm="1">
        <f t="array" ref="Y40">IF(NOT(OR(ISBLANK(W40),ISBLANK(U40))),MuzzleVelocityToMuzzleEnergyJoules(W40,U40),"")</f>
        <v>2637.2484899848582</v>
      </c>
      <c r="Z40" s="45" t="str" cm="1">
        <f t="array" ref="Z40">IF(NOT(OR(ISBLANK($N40),ISBLANK($O40))),ConvertSpeed($N40,$O40,"ft/sec"),"")</f>
        <v/>
      </c>
      <c r="AA40" s="46" t="str" cm="1">
        <f t="array" ref="AA40">IF(NOT(OR(ISBLANK($N40),ISBLANK($O40))),ConvertSpeed($N40,$O40,"m/sec"),"")</f>
        <v/>
      </c>
    </row>
    <row r="41" spans="1:27" x14ac:dyDescent="0.25">
      <c r="A41" s="87"/>
      <c r="C41" s="2" t="s">
        <v>219</v>
      </c>
      <c r="D41" s="2" t="s">
        <v>195</v>
      </c>
      <c r="E41" s="47" t="str">
        <f>$E38</f>
        <v>243 Winchester</v>
      </c>
      <c r="F41" t="s">
        <v>220</v>
      </c>
      <c r="G41" t="s">
        <v>51</v>
      </c>
      <c r="H41" s="43">
        <f>IF(NOT(ISBLANK($E41)),_xlfn.XLOOKUP($E41,CartridgeNames[Available Chamberings],CartridgeNames[Bullet Caliber],"n/a",0,1),"")</f>
        <v>0.24299999999999999</v>
      </c>
      <c r="I41" s="62" t="str">
        <f>IF(NOT(ISBLANK($E41)),_xlfn.XLOOKUP($E41,CartridgeNames[Available Chamberings],CartridgeNames[Caliber(Units)],"n/a",0,1),"")</f>
        <v>in</v>
      </c>
      <c r="J41">
        <v>100</v>
      </c>
      <c r="K41" t="s">
        <v>117</v>
      </c>
      <c r="L41" s="1">
        <v>3202</v>
      </c>
      <c r="M41" t="s">
        <v>121</v>
      </c>
      <c r="N41" s="1"/>
      <c r="O41" t="s">
        <v>121</v>
      </c>
      <c r="P41" s="2"/>
      <c r="R41" s="45" cm="1">
        <f t="array" ref="R41">IF(NOT(OR(ISBLANK($H41),ISBLANK($I41))),ConvertLength($H41,$I41,"in"),"")</f>
        <v>0.24299999999999999</v>
      </c>
      <c r="S41" s="45" cm="1">
        <f t="array" ref="S41">IF(NOT(OR(ISBLANK($H41),ISBLANK($I41))),ConvertLength($H41,$I41,"mm"),"")</f>
        <v>6.1722000000000001</v>
      </c>
      <c r="T41" s="45">
        <f t="shared" si="4"/>
        <v>100</v>
      </c>
      <c r="U41" s="45">
        <f t="shared" si="5"/>
        <v>6.4798910000000003</v>
      </c>
      <c r="V41" s="45" cm="1">
        <f t="array" ref="V41">IF(NOT(OR(ISBLANK($L41),ISBLANK($M41))),ConvertSpeed($L41,$M41,"ft/sec"),"")</f>
        <v>3202</v>
      </c>
      <c r="W41" s="45" cm="1">
        <f t="array" ref="W41">IF(NOT(OR(ISBLANK($L41),ISBLANK($M41))),ConvertSpeed($L41,$M41,"m/sec"),"")</f>
        <v>975.96960000000001</v>
      </c>
      <c r="X41" s="45" cm="1">
        <f t="array" ref="X41">IF(NOT(OR(ISBLANK(V41),ISBLANK(T41))),MuzzleVelocityToMuzzleEnergyFtLb(V41,T41),"")</f>
        <v>2276.1920731631817</v>
      </c>
      <c r="Y41" s="45" cm="1">
        <f t="array" ref="Y41">IF(NOT(OR(ISBLANK(W41),ISBLANK(U41))),MuzzleVelocityToMuzzleEnergyJoules(W41,U41),"")</f>
        <v>3086.1020666443019</v>
      </c>
      <c r="Z41" s="45" t="str" cm="1">
        <f t="array" ref="Z41">IF(NOT(OR(ISBLANK($N41),ISBLANK($O41))),ConvertSpeed($N41,$O41,"ft/sec"),"")</f>
        <v/>
      </c>
      <c r="AA41" s="46" t="str" cm="1">
        <f t="array" ref="AA41">IF(NOT(OR(ISBLANK($N41),ISBLANK($O41))),ConvertSpeed($N41,$O41,"m/sec"),"")</f>
        <v/>
      </c>
    </row>
    <row r="42" spans="1:27" x14ac:dyDescent="0.25">
      <c r="A42" s="87"/>
      <c r="C42" s="2" t="s">
        <v>217</v>
      </c>
      <c r="D42" s="2" t="s">
        <v>195</v>
      </c>
      <c r="E42" s="47" t="str">
        <f>$E38</f>
        <v>243 Winchester</v>
      </c>
      <c r="F42" t="s">
        <v>208</v>
      </c>
      <c r="G42" t="s">
        <v>47</v>
      </c>
      <c r="H42" s="43">
        <f>IF(NOT(ISBLANK($E42)),_xlfn.XLOOKUP($E42,CartridgeNames[Available Chamberings],CartridgeNames[Bullet Caliber],"n/a",0,1),"")</f>
        <v>0.24299999999999999</v>
      </c>
      <c r="I42" s="62" t="str">
        <f>IF(NOT(ISBLANK($E42)),_xlfn.XLOOKUP($E42,CartridgeNames[Available Chamberings],CartridgeNames[Caliber(Units)],"n/a",0,1),"")</f>
        <v>in</v>
      </c>
      <c r="J42">
        <v>95</v>
      </c>
      <c r="K42" t="s">
        <v>117</v>
      </c>
      <c r="L42" s="1">
        <v>2980</v>
      </c>
      <c r="M42" t="s">
        <v>121</v>
      </c>
      <c r="N42" s="1"/>
      <c r="O42" t="s">
        <v>121</v>
      </c>
      <c r="P42" s="2"/>
      <c r="R42" s="45" cm="1">
        <f t="array" ref="R42">IF(NOT(OR(ISBLANK($H42),ISBLANK($I42))),ConvertLength($H42,$I42,"in"),"")</f>
        <v>0.24299999999999999</v>
      </c>
      <c r="S42" s="45" cm="1">
        <f t="array" ref="S42">IF(NOT(OR(ISBLANK($H42),ISBLANK($I42))),ConvertLength($H42,$I42,"mm"),"")</f>
        <v>6.1722000000000001</v>
      </c>
      <c r="T42" s="45">
        <f t="shared" si="4"/>
        <v>95</v>
      </c>
      <c r="U42" s="45">
        <f t="shared" si="5"/>
        <v>6.1558964500000002</v>
      </c>
      <c r="V42" s="45" cm="1">
        <f t="array" ref="V42">IF(NOT(OR(ISBLANK($L42),ISBLANK($M42))),ConvertSpeed($L42,$M42,"ft/sec"),"")</f>
        <v>2980</v>
      </c>
      <c r="W42" s="45" cm="1">
        <f t="array" ref="W42">IF(NOT(OR(ISBLANK($L42),ISBLANK($M42))),ConvertSpeed($L42,$M42,"m/sec"),"")</f>
        <v>908.30399999999997</v>
      </c>
      <c r="X42" s="45" cm="1">
        <f t="array" ref="X42">IF(NOT(OR(ISBLANK(V42),ISBLANK(T42))),MuzzleVelocityToMuzzleEnergyFtLb(V42,T42),"")</f>
        <v>1872.9336172029039</v>
      </c>
      <c r="Y42" s="45" cm="1">
        <f t="array" ref="Y42">IF(NOT(OR(ISBLANK(W42),ISBLANK(U42))),MuzzleVelocityToMuzzleEnergyJoules(W42,U42),"")</f>
        <v>2539.3570142369495</v>
      </c>
      <c r="Z42" s="45" t="str" cm="1">
        <f t="array" ref="Z42">IF(NOT(OR(ISBLANK($N42),ISBLANK($O42))),ConvertSpeed($N42,$O42,"ft/sec"),"")</f>
        <v/>
      </c>
      <c r="AA42" s="46" t="str" cm="1">
        <f t="array" ref="AA42">IF(NOT(OR(ISBLANK($N42),ISBLANK($O42))),ConvertSpeed($N42,$O42,"m/sec"),"")</f>
        <v/>
      </c>
    </row>
    <row r="43" spans="1:27" x14ac:dyDescent="0.25">
      <c r="A43" s="87"/>
      <c r="C43" s="2" t="s">
        <v>218</v>
      </c>
      <c r="D43" s="2" t="s">
        <v>195</v>
      </c>
      <c r="E43" s="47" t="str">
        <f>$E38</f>
        <v>243 Winchester</v>
      </c>
      <c r="F43" t="s">
        <v>221</v>
      </c>
      <c r="G43" t="s">
        <v>49</v>
      </c>
      <c r="H43" s="43">
        <f>IF(NOT(ISBLANK($E43)),_xlfn.XLOOKUP($E43,CartridgeNames[Available Chamberings],CartridgeNames[Bullet Caliber],"n/a",0,1),"")</f>
        <v>0.24299999999999999</v>
      </c>
      <c r="I43" s="62" t="str">
        <f>IF(NOT(ISBLANK($E43)),_xlfn.XLOOKUP($E43,CartridgeNames[Available Chamberings],CartridgeNames[Caliber(Units)],"n/a",0,1),"")</f>
        <v>in</v>
      </c>
      <c r="J43">
        <v>85</v>
      </c>
      <c r="K43" t="s">
        <v>117</v>
      </c>
      <c r="L43" s="1">
        <v>3200</v>
      </c>
      <c r="M43" t="s">
        <v>121</v>
      </c>
      <c r="N43" s="1"/>
      <c r="O43" t="s">
        <v>121</v>
      </c>
      <c r="P43" s="2"/>
      <c r="R43" s="45" cm="1">
        <f t="array" ref="R43">IF(NOT(OR(ISBLANK($H43),ISBLANK($I43))),ConvertLength($H43,$I43,"in"),"")</f>
        <v>0.24299999999999999</v>
      </c>
      <c r="S43" s="45" cm="1">
        <f t="array" ref="S43">IF(NOT(OR(ISBLANK($H43),ISBLANK($I43))),ConvertLength($H43,$I43,"mm"),"")</f>
        <v>6.1722000000000001</v>
      </c>
      <c r="T43" s="45">
        <f t="shared" si="4"/>
        <v>85</v>
      </c>
      <c r="U43" s="45">
        <f t="shared" si="5"/>
        <v>5.50790735</v>
      </c>
      <c r="V43" s="45" cm="1">
        <f t="array" ref="V43">IF(NOT(OR(ISBLANK($L43),ISBLANK($M43))),ConvertSpeed($L43,$M43,"ft/sec"),"")</f>
        <v>3200</v>
      </c>
      <c r="W43" s="45" cm="1">
        <f t="array" ref="W43">IF(NOT(OR(ISBLANK($L43),ISBLANK($M43))),ConvertSpeed($L43,$M43,"m/sec"),"")</f>
        <v>975.36</v>
      </c>
      <c r="X43" s="45" cm="1">
        <f t="array" ref="X43">IF(NOT(OR(ISBLANK(V43),ISBLANK(T43))),MuzzleVelocityToMuzzleEnergyFtLb(V43,T43),"")</f>
        <v>1932.347073523724</v>
      </c>
      <c r="Y43" s="45" cm="1">
        <f t="array" ref="Y43">IF(NOT(OR(ISBLANK(W43),ISBLANK(U43))),MuzzleVelocityToMuzzleEnergyJoules(W43,U43),"")</f>
        <v>2619.9108446891214</v>
      </c>
      <c r="Z43" s="45" t="str" cm="1">
        <f t="array" ref="Z43">IF(NOT(OR(ISBLANK($N43),ISBLANK($O43))),ConvertSpeed($N43,$O43,"ft/sec"),"")</f>
        <v/>
      </c>
      <c r="AA43" s="46" t="str" cm="1">
        <f t="array" ref="AA43">IF(NOT(OR(ISBLANK($N43),ISBLANK($O43))),ConvertSpeed($N43,$O43,"m/sec"),"")</f>
        <v/>
      </c>
    </row>
    <row r="44" spans="1:27" x14ac:dyDescent="0.25">
      <c r="A44" s="87"/>
      <c r="N44" s="1"/>
      <c r="P44" s="2"/>
      <c r="AA44" s="6"/>
    </row>
    <row r="45" spans="1:27" x14ac:dyDescent="0.25">
      <c r="A45" s="87"/>
      <c r="AA45" s="6"/>
    </row>
    <row r="46" spans="1:27" x14ac:dyDescent="0.25">
      <c r="A46" s="87"/>
      <c r="C46" s="49" t="s">
        <v>72</v>
      </c>
      <c r="D46" s="49" t="s">
        <v>124</v>
      </c>
      <c r="E46" s="49" t="s">
        <v>123</v>
      </c>
      <c r="F46" s="49" t="s">
        <v>125</v>
      </c>
      <c r="G46" s="49" t="s">
        <v>27</v>
      </c>
      <c r="H46" s="49" t="s">
        <v>127</v>
      </c>
      <c r="I46" s="49" t="s">
        <v>24</v>
      </c>
      <c r="J46" s="49" t="s">
        <v>26</v>
      </c>
      <c r="K46" s="49" t="s">
        <v>185</v>
      </c>
      <c r="L46" s="49" t="s">
        <v>180</v>
      </c>
      <c r="M46" s="49" t="s">
        <v>28</v>
      </c>
      <c r="N46" s="49" t="s">
        <v>29</v>
      </c>
      <c r="O46" s="49" t="s">
        <v>126</v>
      </c>
      <c r="P46" s="50" t="s">
        <v>182</v>
      </c>
      <c r="Q46" s="50" t="s">
        <v>183</v>
      </c>
      <c r="R46" s="49" t="s">
        <v>184</v>
      </c>
      <c r="AA46" s="6"/>
    </row>
    <row r="47" spans="1:27" x14ac:dyDescent="0.25">
      <c r="A47" s="87"/>
      <c r="C47" t="s">
        <v>270</v>
      </c>
      <c r="D47" t="s">
        <v>76</v>
      </c>
      <c r="E47" t="s">
        <v>272</v>
      </c>
      <c r="F47" t="s">
        <v>156</v>
      </c>
      <c r="G47" s="25"/>
      <c r="H47" s="51"/>
      <c r="I47" s="25"/>
      <c r="J47" s="25"/>
      <c r="K47" s="5"/>
      <c r="L47" s="51"/>
      <c r="M47" s="25"/>
      <c r="N47" s="25"/>
      <c r="O47" s="51"/>
      <c r="P47" s="25"/>
      <c r="Q47" s="25"/>
      <c r="R47" s="51" t="s">
        <v>181</v>
      </c>
      <c r="AA47" s="6"/>
    </row>
    <row r="48" spans="1:27" x14ac:dyDescent="0.25">
      <c r="A48" s="87"/>
      <c r="C48" t="s">
        <v>271</v>
      </c>
      <c r="D48" t="s">
        <v>76</v>
      </c>
      <c r="E48" t="s">
        <v>273</v>
      </c>
      <c r="F48" t="s">
        <v>156</v>
      </c>
      <c r="G48" s="25"/>
      <c r="H48" s="51"/>
      <c r="I48" s="25"/>
      <c r="J48" s="25"/>
      <c r="K48" s="5"/>
      <c r="L48" s="51"/>
      <c r="M48" s="25"/>
      <c r="N48" s="25"/>
      <c r="O48" s="51"/>
      <c r="P48" s="25"/>
      <c r="Q48" s="25"/>
      <c r="R48" s="51" t="s">
        <v>181</v>
      </c>
      <c r="AA48" s="6"/>
    </row>
    <row r="49" spans="1:27" ht="15.75" thickBot="1" x14ac:dyDescent="0.3">
      <c r="A49" s="8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56"/>
    </row>
    <row r="50" spans="1:27" x14ac:dyDescent="0.25">
      <c r="A50" s="92"/>
    </row>
    <row r="51" spans="1:27" x14ac:dyDescent="0.25">
      <c r="A51" s="92"/>
    </row>
    <row r="52" spans="1:27" ht="15.75" thickBot="1" x14ac:dyDescent="0.3">
      <c r="A52" s="30"/>
    </row>
    <row r="53" spans="1:27" x14ac:dyDescent="0.25">
      <c r="A53" s="73"/>
      <c r="B53" s="59"/>
      <c r="C53" s="59"/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60"/>
    </row>
    <row r="54" spans="1:27" ht="44.25" customHeight="1" x14ac:dyDescent="0.25">
      <c r="A54" s="85" t="s">
        <v>132</v>
      </c>
      <c r="C54" s="15" t="s">
        <v>72</v>
      </c>
      <c r="D54" s="15" t="s">
        <v>193</v>
      </c>
      <c r="E54" s="15" t="s">
        <v>2</v>
      </c>
      <c r="F54" s="15" t="s">
        <v>73</v>
      </c>
      <c r="G54" s="15" t="s">
        <v>6</v>
      </c>
      <c r="H54" s="16" t="s">
        <v>104</v>
      </c>
      <c r="I54" s="16" t="s">
        <v>110</v>
      </c>
      <c r="J54" s="17" t="s">
        <v>27</v>
      </c>
      <c r="K54" s="17" t="s">
        <v>111</v>
      </c>
      <c r="L54" s="18" t="s">
        <v>106</v>
      </c>
      <c r="M54" s="18" t="s">
        <v>108</v>
      </c>
      <c r="N54" s="15" t="s">
        <v>95</v>
      </c>
      <c r="O54" s="15" t="s">
        <v>109</v>
      </c>
      <c r="P54" s="14" t="s">
        <v>99</v>
      </c>
      <c r="Q54" s="14" t="s">
        <v>98</v>
      </c>
      <c r="R54" s="16" t="s">
        <v>112</v>
      </c>
      <c r="S54" s="18" t="s">
        <v>74</v>
      </c>
      <c r="T54" s="18" t="s">
        <v>113</v>
      </c>
      <c r="U54" s="15" t="s">
        <v>114</v>
      </c>
      <c r="V54" s="15" t="s">
        <v>115</v>
      </c>
      <c r="W54" s="15" t="s">
        <v>119</v>
      </c>
      <c r="X54" s="15" t="s">
        <v>116</v>
      </c>
      <c r="Y54" s="15" t="s">
        <v>75</v>
      </c>
      <c r="Z54" s="15" t="s">
        <v>96</v>
      </c>
      <c r="AA54" s="61" t="s">
        <v>97</v>
      </c>
    </row>
    <row r="55" spans="1:27" x14ac:dyDescent="0.25">
      <c r="A55" s="86"/>
      <c r="C55" s="2" t="s">
        <v>205</v>
      </c>
      <c r="D55" s="2" t="s">
        <v>4</v>
      </c>
      <c r="E55" t="s">
        <v>132</v>
      </c>
      <c r="F55" t="s">
        <v>208</v>
      </c>
      <c r="G55" t="s">
        <v>47</v>
      </c>
      <c r="H55" s="43">
        <f>IF(NOT(ISBLANK($E55)),_xlfn.XLOOKUP($E55,CartridgeNames[Available Chamberings],CartridgeNames[Bullet Caliber],"n/a",0,1),"")</f>
        <v>0.26400000000000001</v>
      </c>
      <c r="I55" s="62" t="str">
        <f>IF(NOT(ISBLANK($E55)),_xlfn.XLOOKUP($E55,CartridgeNames[Available Chamberings],CartridgeNames[Caliber(Units)],"n/a",0,1),"")</f>
        <v>in</v>
      </c>
      <c r="J55">
        <v>140</v>
      </c>
      <c r="K55" t="s">
        <v>117</v>
      </c>
      <c r="L55" s="1">
        <v>2725</v>
      </c>
      <c r="M55" t="s">
        <v>121</v>
      </c>
      <c r="O55" t="s">
        <v>121</v>
      </c>
      <c r="P55">
        <v>0.439</v>
      </c>
      <c r="Q55" t="s">
        <v>21</v>
      </c>
      <c r="R55" s="45" cm="1">
        <f t="array" ref="R55">IF(NOT(OR(ISBLANK($H55),ISBLANK($I55))),ConvertLength($H55,$I55,"in"),"")</f>
        <v>0.26400000000000001</v>
      </c>
      <c r="S55" s="45" cm="1">
        <f t="array" ref="S55">IF(NOT(OR(ISBLANK($H55),ISBLANK($I55))),ConvertLength($H55,$I55,"mm"),"")</f>
        <v>6.7055999999999996</v>
      </c>
      <c r="T55" s="45">
        <f t="shared" ref="T55:T60" si="6">IF(NOT(AND(ISBLANK($J55),ISBLANK($K55))),CONVERT($J55,$K55,"grain"),"")</f>
        <v>140</v>
      </c>
      <c r="U55" s="45">
        <f t="shared" ref="U55:U60" si="7">IF(NOT(AND(ISBLANK($J55),ISBLANK($K55))),CONVERT($J55,$K55,"g"),"")</f>
        <v>9.0718473999999993</v>
      </c>
      <c r="V55" s="45" cm="1">
        <f t="array" ref="V55">IF(NOT(OR(ISBLANK($L55),ISBLANK($M55))),ConvertSpeed($L55,$M55,"ft/sec"),"")</f>
        <v>2725</v>
      </c>
      <c r="W55" s="45" cm="1">
        <f t="array" ref="W55">IF(NOT(OR(ISBLANK($L55),ISBLANK($M55))),ConvertSpeed($L55,$M55,"m/sec"),"")</f>
        <v>830.58</v>
      </c>
      <c r="X55" s="45" cm="1">
        <f t="array" ref="X55">IF(NOT(OR(ISBLANK(V55),ISBLANK(T55))),MuzzleVelocityToMuzzleEnergyFtLb(V55,T55),"")</f>
        <v>2307.9548061774412</v>
      </c>
      <c r="Y55" s="45" cm="1">
        <f t="array" ref="Y55">IF(NOT(OR(ISBLANK(W55),ISBLANK(U55))),MuzzleVelocityToMuzzleEnergyJoules(W55,U55),"")</f>
        <v>3129.1665501530929</v>
      </c>
      <c r="Z55" s="45" t="str" cm="1">
        <f t="array" ref="Z55">IF(NOT(OR(ISBLANK($N55),ISBLANK($O55))),ConvertSpeed($N55,$O55,"ft/sec"),"")</f>
        <v/>
      </c>
      <c r="AA55" s="46" t="str" cm="1">
        <f t="array" ref="AA55">IF(NOT(OR(ISBLANK($N55),ISBLANK($O55))),ConvertSpeed($N55,$O55,"m/sec"),"")</f>
        <v/>
      </c>
    </row>
    <row r="56" spans="1:27" x14ac:dyDescent="0.25">
      <c r="A56" s="86"/>
      <c r="C56" s="2" t="s">
        <v>206</v>
      </c>
      <c r="D56" s="2" t="s">
        <v>4</v>
      </c>
      <c r="E56" s="47" t="str">
        <f>$E55</f>
        <v>6.5mm Creedmoor</v>
      </c>
      <c r="F56" t="s">
        <v>209</v>
      </c>
      <c r="G56" t="s">
        <v>49</v>
      </c>
      <c r="H56" s="43">
        <f>IF(NOT(ISBLANK($E56)),_xlfn.XLOOKUP($E56,CartridgeNames[Available Chamberings],CartridgeNames[Bullet Caliber],"n/a",0,1),"")</f>
        <v>0.26400000000000001</v>
      </c>
      <c r="I56" s="62" t="str">
        <f>IF(NOT(ISBLANK($E56)),_xlfn.XLOOKUP($E56,CartridgeNames[Available Chamberings],CartridgeNames[Caliber(Units)],"n/a",0,1),"")</f>
        <v>in</v>
      </c>
      <c r="J56">
        <v>130</v>
      </c>
      <c r="K56" t="s">
        <v>117</v>
      </c>
      <c r="L56" s="1">
        <v>2825</v>
      </c>
      <c r="M56" t="s">
        <v>121</v>
      </c>
      <c r="O56" t="s">
        <v>121</v>
      </c>
      <c r="P56">
        <v>0.36499999999999999</v>
      </c>
      <c r="Q56" t="s">
        <v>21</v>
      </c>
      <c r="R56" s="45" cm="1">
        <f t="array" ref="R56">IF(NOT(OR(ISBLANK($H56),ISBLANK($I56))),ConvertLength($H56,$I56,"in"),"")</f>
        <v>0.26400000000000001</v>
      </c>
      <c r="S56" s="45" cm="1">
        <f t="array" ref="S56">IF(NOT(OR(ISBLANK($H56),ISBLANK($I56))),ConvertLength($H56,$I56,"mm"),"")</f>
        <v>6.7055999999999996</v>
      </c>
      <c r="T56" s="45">
        <f t="shared" si="6"/>
        <v>130</v>
      </c>
      <c r="U56" s="45">
        <f t="shared" si="7"/>
        <v>8.4238583000000009</v>
      </c>
      <c r="V56" s="45" cm="1">
        <f t="array" ref="V56">IF(NOT(OR(ISBLANK($L56),ISBLANK($M56))),ConvertSpeed($L56,$M56,"ft/sec"),"")</f>
        <v>2825</v>
      </c>
      <c r="W56" s="45" cm="1">
        <f t="array" ref="W56">IF(NOT(OR(ISBLANK($L56),ISBLANK($M56))),ConvertSpeed($L56,$M56,"m/sec"),"")</f>
        <v>861.06</v>
      </c>
      <c r="X56" s="45" cm="1">
        <f t="array" ref="X56">IF(NOT(OR(ISBLANK(V56),ISBLANK(T56))),MuzzleVelocityToMuzzleEnergyFtLb(V56,T56),"")</f>
        <v>2303.278788227522</v>
      </c>
      <c r="Y56" s="45" cm="1">
        <f t="array" ref="Y56">IF(NOT(OR(ISBLANK(W56),ISBLANK(U56))),MuzzleVelocityToMuzzleEnergyJoules(W56,U56),"")</f>
        <v>3122.826721089873</v>
      </c>
      <c r="Z56" s="45" t="str" cm="1">
        <f t="array" ref="Z56">IF(NOT(OR(ISBLANK($N56),ISBLANK($O56))),ConvertSpeed($N56,$O56,"ft/sec"),"")</f>
        <v/>
      </c>
      <c r="AA56" s="46" t="str" cm="1">
        <f t="array" ref="AA56">IF(NOT(OR(ISBLANK($N56),ISBLANK($O56))),ConvertSpeed($N56,$O56,"m/sec"),"")</f>
        <v/>
      </c>
    </row>
    <row r="57" spans="1:27" x14ac:dyDescent="0.25">
      <c r="A57" s="86"/>
      <c r="C57" s="2" t="s">
        <v>207</v>
      </c>
      <c r="D57" s="2" t="s">
        <v>4</v>
      </c>
      <c r="E57" s="47" t="str">
        <f>$E55</f>
        <v>6.5mm Creedmoor</v>
      </c>
      <c r="F57" t="s">
        <v>210</v>
      </c>
      <c r="G57" t="s">
        <v>51</v>
      </c>
      <c r="H57" s="43">
        <f>IF(NOT(ISBLANK($E57)),_xlfn.XLOOKUP($E57,CartridgeNames[Available Chamberings],CartridgeNames[Bullet Caliber],"n/a",0,1),"")</f>
        <v>0.26400000000000001</v>
      </c>
      <c r="I57" s="62" t="str">
        <f>IF(NOT(ISBLANK($E57)),_xlfn.XLOOKUP($E57,CartridgeNames[Available Chamberings],CartridgeNames[Caliber(Units)],"n/a",0,1),"")</f>
        <v>in</v>
      </c>
      <c r="J57">
        <v>143</v>
      </c>
      <c r="K57" t="s">
        <v>117</v>
      </c>
      <c r="L57" s="1">
        <v>2700</v>
      </c>
      <c r="M57" t="s">
        <v>121</v>
      </c>
      <c r="O57" t="s">
        <v>121</v>
      </c>
      <c r="P57">
        <v>0.625</v>
      </c>
      <c r="Q57" t="s">
        <v>21</v>
      </c>
      <c r="R57" s="45" cm="1">
        <f t="array" ref="R57">IF(NOT(OR(ISBLANK($H57),ISBLANK($I57))),ConvertLength($H57,$I57,"in"),"")</f>
        <v>0.26400000000000001</v>
      </c>
      <c r="S57" s="45" cm="1">
        <f t="array" ref="S57">IF(NOT(OR(ISBLANK($H57),ISBLANK($I57))),ConvertLength($H57,$I57,"mm"),"")</f>
        <v>6.7055999999999996</v>
      </c>
      <c r="T57" s="45">
        <f t="shared" si="6"/>
        <v>143</v>
      </c>
      <c r="U57" s="45">
        <f t="shared" si="7"/>
        <v>9.2662441300000005</v>
      </c>
      <c r="V57" s="45" cm="1">
        <f t="array" ref="V57">IF(NOT(OR(ISBLANK($L57),ISBLANK($M57))),ConvertSpeed($L57,$M57,"ft/sec"),"")</f>
        <v>2700</v>
      </c>
      <c r="W57" s="45" cm="1">
        <f t="array" ref="W57">IF(NOT(OR(ISBLANK($L57),ISBLANK($M57))),ConvertSpeed($L57,$M57,"m/sec"),"")</f>
        <v>822.96</v>
      </c>
      <c r="X57" s="45" cm="1">
        <f t="array" ref="X57">IF(NOT(OR(ISBLANK(V57),ISBLANK(T57))),MuzzleVelocityToMuzzleEnergyFtLb(V57,T57),"")</f>
        <v>2314.3541518109801</v>
      </c>
      <c r="Y57" s="45" cm="1">
        <f t="array" ref="Y57">IF(NOT(OR(ISBLANK(W57),ISBLANK(U57))),MuzzleVelocityToMuzzleEnergyJoules(W57,U57),"")</f>
        <v>3137.8428978206211</v>
      </c>
      <c r="Z57" s="45" t="str" cm="1">
        <f t="array" ref="Z57">IF(NOT(OR(ISBLANK($N57),ISBLANK($O57))),ConvertSpeed($N57,$O57,"ft/sec"),"")</f>
        <v/>
      </c>
      <c r="AA57" s="46" t="str" cm="1">
        <f t="array" ref="AA57">IF(NOT(OR(ISBLANK($N57),ISBLANK($O57))),ConvertSpeed($N57,$O57,"m/sec"),"")</f>
        <v/>
      </c>
    </row>
    <row r="58" spans="1:27" x14ac:dyDescent="0.25">
      <c r="A58" s="86"/>
      <c r="C58" s="2" t="s">
        <v>205</v>
      </c>
      <c r="D58" s="2" t="s">
        <v>195</v>
      </c>
      <c r="E58" s="47" t="str">
        <f>$E55</f>
        <v>6.5mm Creedmoor</v>
      </c>
      <c r="F58" t="s">
        <v>208</v>
      </c>
      <c r="G58" t="s">
        <v>47</v>
      </c>
      <c r="H58" s="43">
        <f>IF(NOT(ISBLANK($E58)),_xlfn.XLOOKUP($E58,CartridgeNames[Available Chamberings],CartridgeNames[Bullet Caliber],"n/a",0,1),"")</f>
        <v>0.26400000000000001</v>
      </c>
      <c r="I58" s="62" t="str">
        <f>IF(NOT(ISBLANK($E58)),_xlfn.XLOOKUP($E58,CartridgeNames[Available Chamberings],CartridgeNames[Caliber(Units)],"n/a",0,1),"")</f>
        <v>in</v>
      </c>
      <c r="J58">
        <v>140</v>
      </c>
      <c r="K58" t="s">
        <v>117</v>
      </c>
      <c r="L58" s="1">
        <v>2725</v>
      </c>
      <c r="M58" t="s">
        <v>121</v>
      </c>
      <c r="O58" t="s">
        <v>121</v>
      </c>
      <c r="R58" s="45" cm="1">
        <f t="array" ref="R58">IF(NOT(OR(ISBLANK($H58),ISBLANK($I58))),ConvertLength($H58,$I58,"in"),"")</f>
        <v>0.26400000000000001</v>
      </c>
      <c r="S58" s="45" cm="1">
        <f t="array" ref="S58">IF(NOT(OR(ISBLANK($H58),ISBLANK($I58))),ConvertLength($H58,$I58,"mm"),"")</f>
        <v>6.7055999999999996</v>
      </c>
      <c r="T58" s="45">
        <f t="shared" si="6"/>
        <v>140</v>
      </c>
      <c r="U58" s="45">
        <f t="shared" si="7"/>
        <v>9.0718473999999993</v>
      </c>
      <c r="V58" s="45" cm="1">
        <f t="array" ref="V58">IF(NOT(OR(ISBLANK($L58),ISBLANK($M58))),ConvertSpeed($L58,$M58,"ft/sec"),"")</f>
        <v>2725</v>
      </c>
      <c r="W58" s="45" cm="1">
        <f t="array" ref="W58">IF(NOT(OR(ISBLANK($L58),ISBLANK($M58))),ConvertSpeed($L58,$M58,"m/sec"),"")</f>
        <v>830.58</v>
      </c>
      <c r="X58" s="45" cm="1">
        <f t="array" ref="X58">IF(NOT(OR(ISBLANK(V58),ISBLANK(T58))),MuzzleVelocityToMuzzleEnergyFtLb(V58,T58),"")</f>
        <v>2307.9548061774412</v>
      </c>
      <c r="Y58" s="45" cm="1">
        <f t="array" ref="Y58">IF(NOT(OR(ISBLANK(W58),ISBLANK(U58))),MuzzleVelocityToMuzzleEnergyJoules(W58,U58),"")</f>
        <v>3129.1665501530929</v>
      </c>
      <c r="Z58" s="45" t="str" cm="1">
        <f t="array" ref="Z58">IF(NOT(OR(ISBLANK($N58),ISBLANK($O58))),ConvertSpeed($N58,$O58,"ft/sec"),"")</f>
        <v/>
      </c>
      <c r="AA58" s="46" t="str" cm="1">
        <f t="array" ref="AA58">IF(NOT(OR(ISBLANK($N58),ISBLANK($O58))),ConvertSpeed($N58,$O58,"m/sec"),"")</f>
        <v/>
      </c>
    </row>
    <row r="59" spans="1:27" x14ac:dyDescent="0.25">
      <c r="A59" s="86"/>
      <c r="C59" s="2" t="s">
        <v>206</v>
      </c>
      <c r="D59" s="2" t="s">
        <v>195</v>
      </c>
      <c r="E59" s="47" t="str">
        <f>$E55</f>
        <v>6.5mm Creedmoor</v>
      </c>
      <c r="F59" t="s">
        <v>209</v>
      </c>
      <c r="G59" t="s">
        <v>47</v>
      </c>
      <c r="H59" s="43">
        <f>IF(NOT(ISBLANK($E59)),_xlfn.XLOOKUP($E59,CartridgeNames[Available Chamberings],CartridgeNames[Bullet Caliber],"n/a",0,1),"")</f>
        <v>0.26400000000000001</v>
      </c>
      <c r="I59" s="62" t="str">
        <f>IF(NOT(ISBLANK($E59)),_xlfn.XLOOKUP($E59,CartridgeNames[Available Chamberings],CartridgeNames[Caliber(Units)],"n/a",0,1),"")</f>
        <v>in</v>
      </c>
      <c r="J59">
        <v>130</v>
      </c>
      <c r="K59" t="s">
        <v>117</v>
      </c>
      <c r="L59" s="1">
        <v>2825</v>
      </c>
      <c r="M59" t="s">
        <v>121</v>
      </c>
      <c r="O59" t="s">
        <v>121</v>
      </c>
      <c r="R59" s="45" cm="1">
        <f t="array" ref="R59">IF(NOT(OR(ISBLANK($H59),ISBLANK($I59))),ConvertLength($H59,$I59,"in"),"")</f>
        <v>0.26400000000000001</v>
      </c>
      <c r="S59" s="45" cm="1">
        <f t="array" ref="S59">IF(NOT(OR(ISBLANK($H59),ISBLANK($I59))),ConvertLength($H59,$I59,"mm"),"")</f>
        <v>6.7055999999999996</v>
      </c>
      <c r="T59" s="45">
        <f t="shared" si="6"/>
        <v>130</v>
      </c>
      <c r="U59" s="45">
        <f t="shared" si="7"/>
        <v>8.4238583000000009</v>
      </c>
      <c r="V59" s="45" cm="1">
        <f t="array" ref="V59">IF(NOT(OR(ISBLANK($L59),ISBLANK($M59))),ConvertSpeed($L59,$M59,"ft/sec"),"")</f>
        <v>2825</v>
      </c>
      <c r="W59" s="45" cm="1">
        <f t="array" ref="W59">IF(NOT(OR(ISBLANK($L59),ISBLANK($M59))),ConvertSpeed($L59,$M59,"m/sec"),"")</f>
        <v>861.06</v>
      </c>
      <c r="X59" s="45" cm="1">
        <f t="array" ref="X59">IF(NOT(OR(ISBLANK(V59),ISBLANK(T59))),MuzzleVelocityToMuzzleEnergyFtLb(V59,T59),"")</f>
        <v>2303.278788227522</v>
      </c>
      <c r="Y59" s="45" cm="1">
        <f t="array" ref="Y59">IF(NOT(OR(ISBLANK(W59),ISBLANK(U59))),MuzzleVelocityToMuzzleEnergyJoules(W59,U59),"")</f>
        <v>3122.826721089873</v>
      </c>
      <c r="Z59" s="45" t="str" cm="1">
        <f t="array" ref="Z59">IF(NOT(OR(ISBLANK($N59),ISBLANK($O59))),ConvertSpeed($N59,$O59,"ft/sec"),"")</f>
        <v/>
      </c>
      <c r="AA59" s="46" t="str" cm="1">
        <f t="array" ref="AA59">IF(NOT(OR(ISBLANK($N59),ISBLANK($O59))),ConvertSpeed($N59,$O59,"m/sec"),"")</f>
        <v/>
      </c>
    </row>
    <row r="60" spans="1:27" x14ac:dyDescent="0.25">
      <c r="A60" s="86"/>
      <c r="C60" s="2" t="s">
        <v>207</v>
      </c>
      <c r="D60" s="2" t="s">
        <v>195</v>
      </c>
      <c r="E60" s="47" t="str">
        <f>$E55</f>
        <v>6.5mm Creedmoor</v>
      </c>
      <c r="F60" t="s">
        <v>210</v>
      </c>
      <c r="G60" t="s">
        <v>51</v>
      </c>
      <c r="H60" s="43">
        <f>IF(NOT(ISBLANK($E60)),_xlfn.XLOOKUP($E60,CartridgeNames[Available Chamberings],CartridgeNames[Bullet Caliber],"n/a",0,1),"")</f>
        <v>0.26400000000000001</v>
      </c>
      <c r="I60" s="62" t="str">
        <f>IF(NOT(ISBLANK($E60)),_xlfn.XLOOKUP($E60,CartridgeNames[Available Chamberings],CartridgeNames[Caliber(Units)],"n/a",0,1),"")</f>
        <v>in</v>
      </c>
      <c r="J60">
        <v>143</v>
      </c>
      <c r="K60" t="s">
        <v>117</v>
      </c>
      <c r="L60" s="1">
        <v>2700</v>
      </c>
      <c r="M60" t="s">
        <v>121</v>
      </c>
      <c r="O60" t="s">
        <v>121</v>
      </c>
      <c r="R60" s="45" cm="1">
        <f t="array" ref="R60">IF(NOT(OR(ISBLANK($H60),ISBLANK($I60))),ConvertLength($H60,$I60,"in"),"")</f>
        <v>0.26400000000000001</v>
      </c>
      <c r="S60" s="45" cm="1">
        <f t="array" ref="S60">IF(NOT(OR(ISBLANK($H60),ISBLANK($I60))),ConvertLength($H60,$I60,"mm"),"")</f>
        <v>6.7055999999999996</v>
      </c>
      <c r="T60" s="45">
        <f t="shared" si="6"/>
        <v>143</v>
      </c>
      <c r="U60" s="45">
        <f t="shared" si="7"/>
        <v>9.2662441300000005</v>
      </c>
      <c r="V60" s="45" cm="1">
        <f t="array" ref="V60">IF(NOT(OR(ISBLANK($L60),ISBLANK($M60))),ConvertSpeed($L60,$M60,"ft/sec"),"")</f>
        <v>2700</v>
      </c>
      <c r="W60" s="45" cm="1">
        <f t="array" ref="W60">IF(NOT(OR(ISBLANK($L60),ISBLANK($M60))),ConvertSpeed($L60,$M60,"m/sec"),"")</f>
        <v>822.96</v>
      </c>
      <c r="X60" s="45" cm="1">
        <f t="array" ref="X60">IF(NOT(OR(ISBLANK(V60),ISBLANK(T60))),MuzzleVelocityToMuzzleEnergyFtLb(V60,T60),"")</f>
        <v>2314.3541518109801</v>
      </c>
      <c r="Y60" s="45" cm="1">
        <f t="array" ref="Y60">IF(NOT(OR(ISBLANK(W60),ISBLANK(U60))),MuzzleVelocityToMuzzleEnergyJoules(W60,U60),"")</f>
        <v>3137.8428978206211</v>
      </c>
      <c r="Z60" s="45" t="str" cm="1">
        <f t="array" ref="Z60">IF(NOT(OR(ISBLANK($N60),ISBLANK($O60))),ConvertSpeed($N60,$O60,"ft/sec"),"")</f>
        <v/>
      </c>
      <c r="AA60" s="46" t="str" cm="1">
        <f t="array" ref="AA60">IF(NOT(OR(ISBLANK($N60),ISBLANK($O60))),ConvertSpeed($N60,$O60,"m/sec"),"")</f>
        <v/>
      </c>
    </row>
    <row r="61" spans="1:27" x14ac:dyDescent="0.25">
      <c r="A61" s="86"/>
      <c r="AA61" s="6"/>
    </row>
    <row r="62" spans="1:27" x14ac:dyDescent="0.25">
      <c r="A62" s="86"/>
      <c r="AA62" s="6"/>
    </row>
    <row r="63" spans="1:27" x14ac:dyDescent="0.25">
      <c r="A63" s="86"/>
      <c r="C63" s="49" t="s">
        <v>72</v>
      </c>
      <c r="D63" s="49" t="s">
        <v>124</v>
      </c>
      <c r="E63" s="49" t="s">
        <v>123</v>
      </c>
      <c r="F63" s="49" t="s">
        <v>125</v>
      </c>
      <c r="G63" s="49" t="s">
        <v>27</v>
      </c>
      <c r="H63" s="49" t="s">
        <v>127</v>
      </c>
      <c r="I63" s="49" t="s">
        <v>24</v>
      </c>
      <c r="J63" s="49" t="s">
        <v>26</v>
      </c>
      <c r="K63" s="49" t="s">
        <v>185</v>
      </c>
      <c r="L63" s="49" t="s">
        <v>180</v>
      </c>
      <c r="M63" s="49" t="s">
        <v>28</v>
      </c>
      <c r="N63" s="49" t="s">
        <v>29</v>
      </c>
      <c r="O63" s="49" t="s">
        <v>126</v>
      </c>
      <c r="P63" s="50" t="s">
        <v>182</v>
      </c>
      <c r="Q63" s="50" t="s">
        <v>183</v>
      </c>
      <c r="R63" s="49" t="s">
        <v>184</v>
      </c>
      <c r="AA63" s="6"/>
    </row>
    <row r="64" spans="1:27" x14ac:dyDescent="0.25">
      <c r="A64" s="86"/>
      <c r="C64" t="s">
        <v>264</v>
      </c>
      <c r="D64" t="s">
        <v>132</v>
      </c>
      <c r="E64" t="s">
        <v>266</v>
      </c>
      <c r="F64" t="s">
        <v>156</v>
      </c>
      <c r="G64" s="25"/>
      <c r="H64" s="51"/>
      <c r="I64" s="25"/>
      <c r="J64" s="25"/>
      <c r="K64" s="5"/>
      <c r="L64" s="51"/>
      <c r="M64" s="25"/>
      <c r="N64" s="25"/>
      <c r="O64" s="51"/>
      <c r="P64" s="25"/>
      <c r="Q64" s="25"/>
      <c r="R64" s="51" t="s">
        <v>181</v>
      </c>
      <c r="AA64" s="6"/>
    </row>
    <row r="65" spans="1:27" x14ac:dyDescent="0.25">
      <c r="A65" s="86"/>
      <c r="C65" t="s">
        <v>265</v>
      </c>
      <c r="D65" t="s">
        <v>132</v>
      </c>
      <c r="E65" t="s">
        <v>267</v>
      </c>
      <c r="F65" t="s">
        <v>156</v>
      </c>
      <c r="G65" s="25"/>
      <c r="H65" s="51"/>
      <c r="I65" s="25"/>
      <c r="J65" s="25"/>
      <c r="K65" s="5"/>
      <c r="L65" s="51"/>
      <c r="M65" s="25"/>
      <c r="N65" s="25"/>
      <c r="O65" s="51"/>
      <c r="P65" s="25"/>
      <c r="Q65" s="25"/>
      <c r="R65" s="51" t="s">
        <v>181</v>
      </c>
      <c r="AA65" s="6"/>
    </row>
    <row r="66" spans="1:27" ht="15.75" thickBot="1" x14ac:dyDescent="0.3">
      <c r="A66" s="74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56"/>
    </row>
    <row r="67" spans="1:27" x14ac:dyDescent="0.25">
      <c r="A67" s="24"/>
    </row>
    <row r="68" spans="1:27" x14ac:dyDescent="0.25">
      <c r="A68" s="92"/>
    </row>
    <row r="69" spans="1:27" ht="15.75" thickBot="1" x14ac:dyDescent="0.3">
      <c r="A69" s="24"/>
    </row>
    <row r="70" spans="1:27" x14ac:dyDescent="0.25">
      <c r="A70" s="75"/>
      <c r="B70" s="59"/>
      <c r="C70" s="59"/>
      <c r="D70" s="59"/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60"/>
    </row>
    <row r="71" spans="1:27" ht="30" x14ac:dyDescent="0.25">
      <c r="A71" s="85" t="s">
        <v>77</v>
      </c>
      <c r="C71" s="15" t="s">
        <v>72</v>
      </c>
      <c r="D71" s="15" t="s">
        <v>193</v>
      </c>
      <c r="E71" s="15" t="s">
        <v>2</v>
      </c>
      <c r="F71" s="15" t="s">
        <v>73</v>
      </c>
      <c r="G71" s="15" t="s">
        <v>6</v>
      </c>
      <c r="H71" s="16" t="s">
        <v>104</v>
      </c>
      <c r="I71" s="16" t="s">
        <v>110</v>
      </c>
      <c r="J71" s="17" t="s">
        <v>27</v>
      </c>
      <c r="K71" s="17" t="s">
        <v>111</v>
      </c>
      <c r="L71" s="18" t="s">
        <v>106</v>
      </c>
      <c r="M71" s="18" t="s">
        <v>108</v>
      </c>
      <c r="N71" s="15" t="s">
        <v>95</v>
      </c>
      <c r="O71" s="15" t="s">
        <v>109</v>
      </c>
      <c r="P71" s="14" t="s">
        <v>99</v>
      </c>
      <c r="Q71" s="14" t="s">
        <v>98</v>
      </c>
      <c r="R71" s="16" t="s">
        <v>112</v>
      </c>
      <c r="S71" s="18" t="s">
        <v>74</v>
      </c>
      <c r="T71" s="18" t="s">
        <v>113</v>
      </c>
      <c r="U71" s="15" t="s">
        <v>114</v>
      </c>
      <c r="V71" s="15" t="s">
        <v>115</v>
      </c>
      <c r="W71" s="15" t="s">
        <v>119</v>
      </c>
      <c r="X71" s="15" t="s">
        <v>116</v>
      </c>
      <c r="Y71" s="15" t="s">
        <v>75</v>
      </c>
      <c r="Z71" s="15" t="s">
        <v>96</v>
      </c>
      <c r="AA71" s="61" t="s">
        <v>97</v>
      </c>
    </row>
    <row r="72" spans="1:27" x14ac:dyDescent="0.25">
      <c r="A72" s="87"/>
      <c r="C72" s="2" t="s">
        <v>230</v>
      </c>
      <c r="D72" s="2" t="s">
        <v>4</v>
      </c>
      <c r="E72" t="s">
        <v>77</v>
      </c>
      <c r="F72" t="s">
        <v>233</v>
      </c>
      <c r="G72" t="s">
        <v>51</v>
      </c>
      <c r="H72" s="43">
        <f>IF(NOT(ISBLANK($E72)),_xlfn.XLOOKUP($E72,CartridgeNames[Available Chamberings],CartridgeNames[Bullet Caliber],"n/a",0,1),"")</f>
        <v>0.27700000000000002</v>
      </c>
      <c r="I72" s="62" t="str">
        <f>IF(NOT(ISBLANK($E72)),_xlfn.XLOOKUP($E72,CartridgeNames[Available Chamberings],CartridgeNames[Caliber(Units)],"n/a",0,1),"")</f>
        <v>in</v>
      </c>
      <c r="J72">
        <v>130</v>
      </c>
      <c r="K72" t="s">
        <v>117</v>
      </c>
      <c r="L72" s="1">
        <v>3060</v>
      </c>
      <c r="M72" t="s">
        <v>121</v>
      </c>
      <c r="O72" t="s">
        <v>121</v>
      </c>
      <c r="P72" s="2">
        <v>0.44</v>
      </c>
      <c r="Q72" t="s">
        <v>21</v>
      </c>
      <c r="R72" s="45" cm="1">
        <f t="array" ref="R72">IF(NOT(OR(ISBLANK($H72),ISBLANK($I72))),ConvertLength($H72,$I72,"in"),"")</f>
        <v>0.27700000000000002</v>
      </c>
      <c r="S72" s="45" cm="1">
        <f t="array" ref="S72">IF(NOT(OR(ISBLANK($H72),ISBLANK($I72))),ConvertLength($H72,$I72,"mm"),"")</f>
        <v>7.0358000000000001</v>
      </c>
      <c r="T72" s="45">
        <f t="shared" ref="T72:T77" si="8">IF(NOT(AND(ISBLANK($J72),ISBLANK($K72))),CONVERT($J72,$K72,"grain"),"")</f>
        <v>130</v>
      </c>
      <c r="U72" s="45">
        <f t="shared" ref="U72:U77" si="9">IF(NOT(AND(ISBLANK($J72),ISBLANK($K72))),CONVERT($J72,$K72,"g"),"")</f>
        <v>8.4238583000000009</v>
      </c>
      <c r="V72" s="45" cm="1">
        <f t="array" ref="V72">IF(NOT(OR(ISBLANK($L72),ISBLANK($M72))),ConvertSpeed($L72,$M72,"ft/sec"),"")</f>
        <v>3060</v>
      </c>
      <c r="W72" s="45" cm="1">
        <f t="array" ref="W72">IF(NOT(OR(ISBLANK($L72),ISBLANK($M72))),ConvertSpeed($L72,$M72,"m/sec"),"")</f>
        <v>932.68799999999999</v>
      </c>
      <c r="X72" s="45" cm="1">
        <f t="array" ref="X72">IF(NOT(OR(ISBLANK(V72),ISBLANK(T72))),MuzzleVelocityToMuzzleEnergyFtLb(V72,T72),"")</f>
        <v>2702.4175752459519</v>
      </c>
      <c r="Y72" s="45" cm="1">
        <f t="array" ref="Y72">IF(NOT(OR(ISBLANK(W72),ISBLANK(U72))),MuzzleVelocityToMuzzleEnergyJoules(W72,U72),"")</f>
        <v>3663.9862524046848</v>
      </c>
      <c r="Z72" s="45" t="str" cm="1">
        <f t="array" ref="Z72">IF(NOT(OR(ISBLANK($N72),ISBLANK($O72))),ConvertSpeed($N72,$O72,"ft/sec"),"")</f>
        <v/>
      </c>
      <c r="AA72" s="46" t="str" cm="1">
        <f t="array" ref="AA72">IF(NOT(OR(ISBLANK($N72),ISBLANK($O72))),ConvertSpeed($N72,$O72,"m/sec"),"")</f>
        <v/>
      </c>
    </row>
    <row r="73" spans="1:27" x14ac:dyDescent="0.25">
      <c r="A73" s="87"/>
      <c r="C73" s="2" t="s">
        <v>231</v>
      </c>
      <c r="D73" s="2" t="s">
        <v>4</v>
      </c>
      <c r="E73" s="47" t="str">
        <f>$E72</f>
        <v>270 Winchester</v>
      </c>
      <c r="F73" t="s">
        <v>234</v>
      </c>
      <c r="G73" t="s">
        <v>47</v>
      </c>
      <c r="H73" s="43">
        <f>IF(NOT(ISBLANK($E73)),_xlfn.XLOOKUP($E73,CartridgeNames[Available Chamberings],CartridgeNames[Bullet Caliber],"n/a",0,1),"")</f>
        <v>0.27700000000000002</v>
      </c>
      <c r="I73" s="62" t="str">
        <f>IF(NOT(ISBLANK($E73)),_xlfn.XLOOKUP($E73,CartridgeNames[Available Chamberings],CartridgeNames[Caliber(Units)],"n/a",0,1),"")</f>
        <v>in</v>
      </c>
      <c r="J73">
        <v>100</v>
      </c>
      <c r="K73" t="s">
        <v>117</v>
      </c>
      <c r="L73" s="1">
        <v>3320</v>
      </c>
      <c r="M73" t="s">
        <v>121</v>
      </c>
      <c r="O73" t="s">
        <v>121</v>
      </c>
      <c r="P73" s="2">
        <v>0.252</v>
      </c>
      <c r="Q73" t="s">
        <v>21</v>
      </c>
      <c r="R73" s="45" cm="1">
        <f t="array" ref="R73">IF(NOT(OR(ISBLANK($H73),ISBLANK($I73))),ConvertLength($H73,$I73,"in"),"")</f>
        <v>0.27700000000000002</v>
      </c>
      <c r="S73" s="45" cm="1">
        <f t="array" ref="S73">IF(NOT(OR(ISBLANK($H73),ISBLANK($I73))),ConvertLength($H73,$I73,"mm"),"")</f>
        <v>7.0358000000000001</v>
      </c>
      <c r="T73" s="45">
        <f t="shared" si="8"/>
        <v>100</v>
      </c>
      <c r="U73" s="45">
        <f t="shared" si="9"/>
        <v>6.4798910000000003</v>
      </c>
      <c r="V73" s="45" cm="1">
        <f t="array" ref="V73">IF(NOT(OR(ISBLANK($L73),ISBLANK($M73))),ConvertSpeed($L73,$M73,"ft/sec"),"")</f>
        <v>3320</v>
      </c>
      <c r="W73" s="45" cm="1">
        <f t="array" ref="W73">IF(NOT(OR(ISBLANK($L73),ISBLANK($M73))),ConvertSpeed($L73,$M73,"m/sec"),"")</f>
        <v>1011.936</v>
      </c>
      <c r="X73" s="45" cm="1">
        <f t="array" ref="X73">IF(NOT(OR(ISBLANK(V73),ISBLANK(T73))),MuzzleVelocityToMuzzleEnergyFtLb(V73,T73),"")</f>
        <v>2447.0476083648782</v>
      </c>
      <c r="Y73" s="45" cm="1">
        <f t="array" ref="Y73">IF(NOT(OR(ISBLANK(W73),ISBLANK(U73))),MuzzleVelocityToMuzzleEnergyJoules(W73,U73),"")</f>
        <v>3317.7510678425292</v>
      </c>
      <c r="Z73" s="45" t="str" cm="1">
        <f t="array" ref="Z73">IF(NOT(OR(ISBLANK($N73),ISBLANK($O73))),ConvertSpeed($N73,$O73,"ft/sec"),"")</f>
        <v/>
      </c>
      <c r="AA73" s="46" t="str" cm="1">
        <f t="array" ref="AA73">IF(NOT(OR(ISBLANK($N73),ISBLANK($O73))),ConvertSpeed($N73,$O73,"m/sec"),"")</f>
        <v/>
      </c>
    </row>
    <row r="74" spans="1:27" x14ac:dyDescent="0.25">
      <c r="A74" s="87"/>
      <c r="C74" s="2" t="s">
        <v>232</v>
      </c>
      <c r="D74" s="2" t="s">
        <v>4</v>
      </c>
      <c r="E74" s="47" t="str">
        <f>$E72</f>
        <v>270 Winchester</v>
      </c>
      <c r="F74" t="s">
        <v>228</v>
      </c>
      <c r="G74" t="s">
        <v>49</v>
      </c>
      <c r="H74" s="43">
        <f>IF(NOT(ISBLANK($E74)),_xlfn.XLOOKUP($E74,CartridgeNames[Available Chamberings],CartridgeNames[Bullet Caliber],"n/a",0,1),"")</f>
        <v>0.27700000000000002</v>
      </c>
      <c r="I74" s="62" t="str">
        <f>IF(NOT(ISBLANK($E74)),_xlfn.XLOOKUP($E74,CartridgeNames[Available Chamberings],CartridgeNames[Caliber(Units)],"n/a",0,1),"")</f>
        <v>in</v>
      </c>
      <c r="J74">
        <v>130</v>
      </c>
      <c r="K74" t="s">
        <v>117</v>
      </c>
      <c r="L74" s="1">
        <v>3060</v>
      </c>
      <c r="M74" t="s">
        <v>121</v>
      </c>
      <c r="O74" t="s">
        <v>121</v>
      </c>
      <c r="P74" s="2">
        <v>0.374</v>
      </c>
      <c r="Q74" t="s">
        <v>21</v>
      </c>
      <c r="R74" s="45" cm="1">
        <f t="array" ref="R74">IF(NOT(OR(ISBLANK($H74),ISBLANK($I74))),ConvertLength($H74,$I74,"in"),"")</f>
        <v>0.27700000000000002</v>
      </c>
      <c r="S74" s="45" cm="1">
        <f t="array" ref="S74">IF(NOT(OR(ISBLANK($H74),ISBLANK($I74))),ConvertLength($H74,$I74,"mm"),"")</f>
        <v>7.0358000000000001</v>
      </c>
      <c r="T74" s="45">
        <f t="shared" si="8"/>
        <v>130</v>
      </c>
      <c r="U74" s="45">
        <f t="shared" si="9"/>
        <v>8.4238583000000009</v>
      </c>
      <c r="V74" s="45" cm="1">
        <f t="array" ref="V74">IF(NOT(OR(ISBLANK($L74),ISBLANK($M74))),ConvertSpeed($L74,$M74,"ft/sec"),"")</f>
        <v>3060</v>
      </c>
      <c r="W74" s="45" cm="1">
        <f t="array" ref="W74">IF(NOT(OR(ISBLANK($L74),ISBLANK($M74))),ConvertSpeed($L74,$M74,"m/sec"),"")</f>
        <v>932.68799999999999</v>
      </c>
      <c r="X74" s="45" cm="1">
        <f t="array" ref="X74">IF(NOT(OR(ISBLANK(V74),ISBLANK(T74))),MuzzleVelocityToMuzzleEnergyFtLb(V74,T74),"")</f>
        <v>2702.4175752459519</v>
      </c>
      <c r="Y74" s="45" cm="1">
        <f t="array" ref="Y74">IF(NOT(OR(ISBLANK(W74),ISBLANK(U74))),MuzzleVelocityToMuzzleEnergyJoules(W74,U74),"")</f>
        <v>3663.9862524046848</v>
      </c>
      <c r="Z74" s="45" t="str" cm="1">
        <f t="array" ref="Z74">IF(NOT(OR(ISBLANK($N74),ISBLANK($O74))),ConvertSpeed($N74,$O74,"ft/sec"),"")</f>
        <v/>
      </c>
      <c r="AA74" s="46" t="str" cm="1">
        <f t="array" ref="AA74">IF(NOT(OR(ISBLANK($N74),ISBLANK($O74))),ConvertSpeed($N74,$O74,"m/sec"),"")</f>
        <v/>
      </c>
    </row>
    <row r="75" spans="1:27" x14ac:dyDescent="0.25">
      <c r="A75" s="87"/>
      <c r="C75" s="2" t="s">
        <v>230</v>
      </c>
      <c r="D75" s="2" t="s">
        <v>195</v>
      </c>
      <c r="E75" s="47" t="str">
        <f>$E72</f>
        <v>270 Winchester</v>
      </c>
      <c r="F75" t="s">
        <v>233</v>
      </c>
      <c r="G75" t="s">
        <v>51</v>
      </c>
      <c r="H75" s="43">
        <f>IF(NOT(ISBLANK($E75)),_xlfn.XLOOKUP($E75,CartridgeNames[Available Chamberings],CartridgeNames[Bullet Caliber],"n/a",0,1),"")</f>
        <v>0.27700000000000002</v>
      </c>
      <c r="I75" s="62" t="str">
        <f>IF(NOT(ISBLANK($E75)),_xlfn.XLOOKUP($E75,CartridgeNames[Available Chamberings],CartridgeNames[Caliber(Units)],"n/a",0,1),"")</f>
        <v>in</v>
      </c>
      <c r="J75">
        <v>130</v>
      </c>
      <c r="K75" t="s">
        <v>117</v>
      </c>
      <c r="L75" s="1">
        <v>3060</v>
      </c>
      <c r="M75" t="s">
        <v>121</v>
      </c>
      <c r="O75" t="s">
        <v>121</v>
      </c>
      <c r="P75" s="2"/>
      <c r="R75" s="45" cm="1">
        <f t="array" ref="R75">IF(NOT(OR(ISBLANK($H75),ISBLANK($I75))),ConvertLength($H75,$I75,"in"),"")</f>
        <v>0.27700000000000002</v>
      </c>
      <c r="S75" s="45" cm="1">
        <f t="array" ref="S75">IF(NOT(OR(ISBLANK($H75),ISBLANK($I75))),ConvertLength($H75,$I75,"mm"),"")</f>
        <v>7.0358000000000001</v>
      </c>
      <c r="T75" s="45">
        <f t="shared" si="8"/>
        <v>130</v>
      </c>
      <c r="U75" s="45">
        <f t="shared" si="9"/>
        <v>8.4238583000000009</v>
      </c>
      <c r="V75" s="45" cm="1">
        <f t="array" ref="V75">IF(NOT(OR(ISBLANK($L75),ISBLANK($M75))),ConvertSpeed($L75,$M75,"ft/sec"),"")</f>
        <v>3060</v>
      </c>
      <c r="W75" s="45" cm="1">
        <f t="array" ref="W75">IF(NOT(OR(ISBLANK($L75),ISBLANK($M75))),ConvertSpeed($L75,$M75,"m/sec"),"")</f>
        <v>932.68799999999999</v>
      </c>
      <c r="X75" s="45" cm="1">
        <f t="array" ref="X75">IF(NOT(OR(ISBLANK(V75),ISBLANK(T75))),MuzzleVelocityToMuzzleEnergyFtLb(V75,T75),"")</f>
        <v>2702.4175752459519</v>
      </c>
      <c r="Y75" s="45" cm="1">
        <f t="array" ref="Y75">IF(NOT(OR(ISBLANK(W75),ISBLANK(U75))),MuzzleVelocityToMuzzleEnergyJoules(W75,U75),"")</f>
        <v>3663.9862524046848</v>
      </c>
      <c r="Z75" s="45" t="str" cm="1">
        <f t="array" ref="Z75">IF(NOT(OR(ISBLANK($N75),ISBLANK($O75))),ConvertSpeed($N75,$O75,"ft/sec"),"")</f>
        <v/>
      </c>
      <c r="AA75" s="46" t="str" cm="1">
        <f t="array" ref="AA75">IF(NOT(OR(ISBLANK($N75),ISBLANK($O75))),ConvertSpeed($N75,$O75,"m/sec"),"")</f>
        <v/>
      </c>
    </row>
    <row r="76" spans="1:27" x14ac:dyDescent="0.25">
      <c r="A76" s="87"/>
      <c r="C76" s="2" t="s">
        <v>231</v>
      </c>
      <c r="D76" s="2" t="s">
        <v>195</v>
      </c>
      <c r="E76" s="47" t="str">
        <f>$E72</f>
        <v>270 Winchester</v>
      </c>
      <c r="F76" t="s">
        <v>234</v>
      </c>
      <c r="G76" t="s">
        <v>47</v>
      </c>
      <c r="H76" s="43">
        <f>IF(NOT(ISBLANK($E76)),_xlfn.XLOOKUP($E76,CartridgeNames[Available Chamberings],CartridgeNames[Bullet Caliber],"n/a",0,1),"")</f>
        <v>0.27700000000000002</v>
      </c>
      <c r="I76" s="62" t="str">
        <f>IF(NOT(ISBLANK($E76)),_xlfn.XLOOKUP($E76,CartridgeNames[Available Chamberings],CartridgeNames[Caliber(Units)],"n/a",0,1),"")</f>
        <v>in</v>
      </c>
      <c r="J76">
        <v>100</v>
      </c>
      <c r="K76" t="s">
        <v>117</v>
      </c>
      <c r="L76" s="1">
        <v>3320</v>
      </c>
      <c r="M76" t="s">
        <v>121</v>
      </c>
      <c r="O76" t="s">
        <v>121</v>
      </c>
      <c r="P76" s="2"/>
      <c r="R76" s="45" cm="1">
        <f t="array" ref="R76">IF(NOT(OR(ISBLANK($H76),ISBLANK($I76))),ConvertLength($H76,$I76,"in"),"")</f>
        <v>0.27700000000000002</v>
      </c>
      <c r="S76" s="45" cm="1">
        <f t="array" ref="S76">IF(NOT(OR(ISBLANK($H76),ISBLANK($I76))),ConvertLength($H76,$I76,"mm"),"")</f>
        <v>7.0358000000000001</v>
      </c>
      <c r="T76" s="45">
        <f t="shared" si="8"/>
        <v>100</v>
      </c>
      <c r="U76" s="45">
        <f t="shared" si="9"/>
        <v>6.4798910000000003</v>
      </c>
      <c r="V76" s="45" cm="1">
        <f t="array" ref="V76">IF(NOT(OR(ISBLANK($L76),ISBLANK($M76))),ConvertSpeed($L76,$M76,"ft/sec"),"")</f>
        <v>3320</v>
      </c>
      <c r="W76" s="45" cm="1">
        <f t="array" ref="W76">IF(NOT(OR(ISBLANK($L76),ISBLANK($M76))),ConvertSpeed($L76,$M76,"m/sec"),"")</f>
        <v>1011.936</v>
      </c>
      <c r="X76" s="45" cm="1">
        <f t="array" ref="X76">IF(NOT(OR(ISBLANK(V76),ISBLANK(T76))),MuzzleVelocityToMuzzleEnergyFtLb(V76,T76),"")</f>
        <v>2447.0476083648782</v>
      </c>
      <c r="Y76" s="45" cm="1">
        <f t="array" ref="Y76">IF(NOT(OR(ISBLANK(W76),ISBLANK(U76))),MuzzleVelocityToMuzzleEnergyJoules(W76,U76),"")</f>
        <v>3317.7510678425292</v>
      </c>
      <c r="Z76" s="45" t="str" cm="1">
        <f t="array" ref="Z76">IF(NOT(OR(ISBLANK($N76),ISBLANK($O76))),ConvertSpeed($N76,$O76,"ft/sec"),"")</f>
        <v/>
      </c>
      <c r="AA76" s="46" t="str" cm="1">
        <f t="array" ref="AA76">IF(NOT(OR(ISBLANK($N76),ISBLANK($O76))),ConvertSpeed($N76,$O76,"m/sec"),"")</f>
        <v/>
      </c>
    </row>
    <row r="77" spans="1:27" x14ac:dyDescent="0.25">
      <c r="A77" s="87"/>
      <c r="C77" s="2" t="s">
        <v>232</v>
      </c>
      <c r="D77" s="2" t="s">
        <v>195</v>
      </c>
      <c r="E77" s="47" t="str">
        <f>$E72</f>
        <v>270 Winchester</v>
      </c>
      <c r="F77" t="s">
        <v>228</v>
      </c>
      <c r="G77" t="s">
        <v>49</v>
      </c>
      <c r="H77" s="43">
        <f>IF(NOT(ISBLANK($E77)),_xlfn.XLOOKUP($E77,CartridgeNames[Available Chamberings],CartridgeNames[Bullet Caliber],"n/a",0,1),"")</f>
        <v>0.27700000000000002</v>
      </c>
      <c r="I77" s="62" t="str">
        <f>IF(NOT(ISBLANK($E77)),_xlfn.XLOOKUP($E77,CartridgeNames[Available Chamberings],CartridgeNames[Caliber(Units)],"n/a",0,1),"")</f>
        <v>in</v>
      </c>
      <c r="J77">
        <v>130</v>
      </c>
      <c r="K77" t="s">
        <v>117</v>
      </c>
      <c r="L77" s="1">
        <v>3060</v>
      </c>
      <c r="M77" t="s">
        <v>121</v>
      </c>
      <c r="O77" t="s">
        <v>121</v>
      </c>
      <c r="P77" s="2"/>
      <c r="R77" s="45" cm="1">
        <f t="array" ref="R77">IF(NOT(OR(ISBLANK($H77),ISBLANK($I77))),ConvertLength($H77,$I77,"in"),"")</f>
        <v>0.27700000000000002</v>
      </c>
      <c r="S77" s="45" cm="1">
        <f t="array" ref="S77">IF(NOT(OR(ISBLANK($H77),ISBLANK($I77))),ConvertLength($H77,$I77,"mm"),"")</f>
        <v>7.0358000000000001</v>
      </c>
      <c r="T77" s="45">
        <f t="shared" si="8"/>
        <v>130</v>
      </c>
      <c r="U77" s="45">
        <f t="shared" si="9"/>
        <v>8.4238583000000009</v>
      </c>
      <c r="V77" s="45" cm="1">
        <f t="array" ref="V77">IF(NOT(OR(ISBLANK($L77),ISBLANK($M77))),ConvertSpeed($L77,$M77,"ft/sec"),"")</f>
        <v>3060</v>
      </c>
      <c r="W77" s="45" cm="1">
        <f t="array" ref="W77">IF(NOT(OR(ISBLANK($L77),ISBLANK($M77))),ConvertSpeed($L77,$M77,"m/sec"),"")</f>
        <v>932.68799999999999</v>
      </c>
      <c r="X77" s="45" cm="1">
        <f t="array" ref="X77">IF(NOT(OR(ISBLANK(V77),ISBLANK(T77))),MuzzleVelocityToMuzzleEnergyFtLb(V77,T77),"")</f>
        <v>2702.4175752459519</v>
      </c>
      <c r="Y77" s="45" cm="1">
        <f t="array" ref="Y77">IF(NOT(OR(ISBLANK(W77),ISBLANK(U77))),MuzzleVelocityToMuzzleEnergyJoules(W77,U77),"")</f>
        <v>3663.9862524046848</v>
      </c>
      <c r="Z77" s="45" t="str" cm="1">
        <f t="array" ref="Z77">IF(NOT(OR(ISBLANK($N77),ISBLANK($O77))),ConvertSpeed($N77,$O77,"ft/sec"),"")</f>
        <v/>
      </c>
      <c r="AA77" s="46" t="str" cm="1">
        <f t="array" ref="AA77">IF(NOT(OR(ISBLANK($N77),ISBLANK($O77))),ConvertSpeed($N77,$O77,"m/sec"),"")</f>
        <v/>
      </c>
    </row>
    <row r="78" spans="1:27" x14ac:dyDescent="0.25">
      <c r="A78" s="87"/>
      <c r="AA78" s="6"/>
    </row>
    <row r="79" spans="1:27" x14ac:dyDescent="0.25">
      <c r="A79" s="87"/>
      <c r="AA79" s="6"/>
    </row>
    <row r="80" spans="1:27" x14ac:dyDescent="0.25">
      <c r="A80" s="87"/>
      <c r="AA80" s="6"/>
    </row>
    <row r="81" spans="1:27" x14ac:dyDescent="0.25">
      <c r="A81" s="87"/>
      <c r="C81" s="49" t="s">
        <v>72</v>
      </c>
      <c r="D81" s="49" t="s">
        <v>124</v>
      </c>
      <c r="E81" s="49" t="s">
        <v>123</v>
      </c>
      <c r="F81" s="49" t="s">
        <v>125</v>
      </c>
      <c r="G81" s="49" t="s">
        <v>27</v>
      </c>
      <c r="H81" s="49" t="s">
        <v>127</v>
      </c>
      <c r="I81" s="49" t="s">
        <v>24</v>
      </c>
      <c r="J81" s="49" t="s">
        <v>26</v>
      </c>
      <c r="K81" s="49" t="s">
        <v>185</v>
      </c>
      <c r="L81" s="49" t="s">
        <v>180</v>
      </c>
      <c r="M81" s="49" t="s">
        <v>28</v>
      </c>
      <c r="N81" s="49" t="s">
        <v>29</v>
      </c>
      <c r="O81" s="49" t="s">
        <v>126</v>
      </c>
      <c r="P81" s="50" t="s">
        <v>182</v>
      </c>
      <c r="Q81" s="50" t="s">
        <v>183</v>
      </c>
      <c r="R81" s="49" t="s">
        <v>184</v>
      </c>
      <c r="AA81" s="6"/>
    </row>
    <row r="82" spans="1:27" x14ac:dyDescent="0.25">
      <c r="A82" s="87"/>
      <c r="C82" t="s">
        <v>277</v>
      </c>
      <c r="D82" t="s">
        <v>77</v>
      </c>
      <c r="E82" t="s">
        <v>278</v>
      </c>
      <c r="F82" t="s">
        <v>156</v>
      </c>
      <c r="G82" s="25"/>
      <c r="H82" s="51"/>
      <c r="I82" s="25"/>
      <c r="J82" s="25"/>
      <c r="K82" s="5"/>
      <c r="L82" s="51"/>
      <c r="M82" s="25"/>
      <c r="N82" s="25"/>
      <c r="O82" s="51"/>
      <c r="P82" s="25"/>
      <c r="Q82" s="25"/>
      <c r="R82" s="51" t="s">
        <v>181</v>
      </c>
      <c r="AA82" s="6"/>
    </row>
    <row r="83" spans="1:27" x14ac:dyDescent="0.25">
      <c r="A83" s="87"/>
      <c r="C83" t="s">
        <v>279</v>
      </c>
      <c r="D83" t="s">
        <v>77</v>
      </c>
      <c r="E83" t="s">
        <v>280</v>
      </c>
      <c r="F83" t="s">
        <v>281</v>
      </c>
      <c r="G83" s="25"/>
      <c r="H83" s="51"/>
      <c r="I83" s="25"/>
      <c r="J83" s="25"/>
      <c r="K83" s="5"/>
      <c r="L83" s="51"/>
      <c r="M83" s="25"/>
      <c r="N83" s="25"/>
      <c r="O83" s="51"/>
      <c r="P83" s="25"/>
      <c r="Q83" s="25"/>
      <c r="R83" s="51" t="s">
        <v>181</v>
      </c>
      <c r="AA83" s="6"/>
    </row>
    <row r="84" spans="1:27" ht="15.75" thickBot="1" x14ac:dyDescent="0.3">
      <c r="A84" s="74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56"/>
    </row>
    <row r="85" spans="1:27" x14ac:dyDescent="0.25">
      <c r="A85" s="24"/>
    </row>
    <row r="86" spans="1:27" ht="15.75" thickBot="1" x14ac:dyDescent="0.3">
      <c r="A86" s="24"/>
    </row>
    <row r="87" spans="1:27" x14ac:dyDescent="0.25">
      <c r="A87" s="75"/>
      <c r="B87" s="59"/>
      <c r="C87" s="59"/>
      <c r="D87" s="59"/>
      <c r="E87" s="59"/>
      <c r="F87" s="59"/>
      <c r="G87" s="59"/>
      <c r="H87" s="59"/>
      <c r="I87" s="59"/>
      <c r="J87" s="59"/>
      <c r="K87" s="59"/>
      <c r="L87" s="59"/>
      <c r="M87" s="59"/>
      <c r="N87" s="59"/>
      <c r="O87" s="59"/>
      <c r="P87" s="59"/>
      <c r="Q87" s="59"/>
      <c r="R87" s="59"/>
      <c r="S87" s="59"/>
      <c r="T87" s="59"/>
      <c r="U87" s="59"/>
      <c r="V87" s="59"/>
      <c r="W87" s="59"/>
      <c r="X87" s="59"/>
      <c r="Y87" s="59"/>
      <c r="Z87" s="59"/>
      <c r="AA87" s="60"/>
    </row>
    <row r="88" spans="1:27" ht="30" x14ac:dyDescent="0.25">
      <c r="A88" s="93" t="s">
        <v>284</v>
      </c>
      <c r="C88" s="15" t="s">
        <v>72</v>
      </c>
      <c r="D88" s="15" t="s">
        <v>193</v>
      </c>
      <c r="E88" s="15" t="s">
        <v>2</v>
      </c>
      <c r="F88" s="15" t="s">
        <v>73</v>
      </c>
      <c r="G88" s="15" t="s">
        <v>6</v>
      </c>
      <c r="H88" s="16" t="s">
        <v>104</v>
      </c>
      <c r="I88" s="16" t="s">
        <v>110</v>
      </c>
      <c r="J88" s="17" t="s">
        <v>27</v>
      </c>
      <c r="K88" s="17" t="s">
        <v>111</v>
      </c>
      <c r="L88" s="18" t="s">
        <v>106</v>
      </c>
      <c r="M88" s="18" t="s">
        <v>108</v>
      </c>
      <c r="N88" s="15" t="s">
        <v>95</v>
      </c>
      <c r="O88" s="15" t="s">
        <v>109</v>
      </c>
      <c r="P88" s="14" t="s">
        <v>99</v>
      </c>
      <c r="Q88" s="14" t="s">
        <v>98</v>
      </c>
      <c r="R88" s="16" t="s">
        <v>112</v>
      </c>
      <c r="S88" s="18" t="s">
        <v>74</v>
      </c>
      <c r="T88" s="18" t="s">
        <v>113</v>
      </c>
      <c r="U88" s="15" t="s">
        <v>114</v>
      </c>
      <c r="V88" s="15" t="s">
        <v>115</v>
      </c>
      <c r="W88" s="15" t="s">
        <v>119</v>
      </c>
      <c r="X88" s="15" t="s">
        <v>116</v>
      </c>
      <c r="Y88" s="15" t="s">
        <v>75</v>
      </c>
      <c r="Z88" s="15" t="s">
        <v>96</v>
      </c>
      <c r="AA88" s="61" t="s">
        <v>97</v>
      </c>
    </row>
    <row r="89" spans="1:27" x14ac:dyDescent="0.25">
      <c r="A89" s="95"/>
      <c r="C89" s="2" t="s">
        <v>235</v>
      </c>
      <c r="D89" s="2" t="s">
        <v>4</v>
      </c>
      <c r="E89" t="s">
        <v>284</v>
      </c>
      <c r="F89" t="s">
        <v>303</v>
      </c>
      <c r="G89" t="s">
        <v>47</v>
      </c>
      <c r="H89" s="43">
        <f>IF(NOT(ISBLANK($E89)),_xlfn.XLOOKUP($E89,CartridgeNames[Available Chamberings],CartridgeNames[Bullet Caliber],"n/a",0,1),"")</f>
        <v>0.28399999999999997</v>
      </c>
      <c r="I89" s="62" t="str">
        <f>IF(NOT(ISBLANK($E89)),_xlfn.XLOOKUP($E89,CartridgeNames[Available Chamberings],CartridgeNames[Caliber(Units)],"n/a",0,1),"")</f>
        <v>in</v>
      </c>
      <c r="J89">
        <v>150</v>
      </c>
      <c r="K89" t="s">
        <v>117</v>
      </c>
      <c r="L89" s="1">
        <v>2650</v>
      </c>
      <c r="M89" t="s">
        <v>121</v>
      </c>
      <c r="O89" t="s">
        <v>121</v>
      </c>
      <c r="P89" s="2">
        <v>0.40799999999999997</v>
      </c>
      <c r="Q89" t="s">
        <v>21</v>
      </c>
      <c r="R89" s="45" cm="1">
        <f t="array" ref="R89">IF(NOT(OR(ISBLANK($H89),ISBLANK($I89))),ConvertLength($H89,$I89,"in"),"")</f>
        <v>0.28399999999999997</v>
      </c>
      <c r="S89" s="45" cm="1">
        <f t="array" ref="S89">IF(NOT(OR(ISBLANK($H89),ISBLANK($I89))),ConvertLength($H89,$I89,"mm"),"")</f>
        <v>7.2135999999999996</v>
      </c>
      <c r="T89" s="45">
        <f t="shared" ref="T89:T94" si="10">IF(NOT(AND(ISBLANK($J89),ISBLANK($K89))),CONVERT($J89,$K89,"grain"),"")</f>
        <v>150</v>
      </c>
      <c r="U89" s="45">
        <f t="shared" ref="U89:U94" si="11">IF(NOT(AND(ISBLANK($J89),ISBLANK($K89))),CONVERT($J89,$K89,"g"),"")</f>
        <v>9.7198364999999995</v>
      </c>
      <c r="V89" s="45" cm="1">
        <f t="array" ref="V89">IF(NOT(OR(ISBLANK($L89),ISBLANK($M89))),ConvertSpeed($L89,$M89,"ft/sec"),"")</f>
        <v>2650</v>
      </c>
      <c r="W89" s="45" cm="1">
        <f t="array" ref="W89">IF(NOT(OR(ISBLANK($L89),ISBLANK($M89))),ConvertSpeed($L89,$M89,"m/sec"),"")</f>
        <v>807.72</v>
      </c>
      <c r="X89" s="45" cm="1">
        <f t="array" ref="X89">IF(NOT(OR(ISBLANK(V89),ISBLANK(T89))),MuzzleVelocityToMuzzleEnergyFtLb(V89,T89),"")</f>
        <v>2338.563991926761</v>
      </c>
      <c r="Y89" s="45" cm="1">
        <f t="array" ref="Y89">IF(NOT(OR(ISBLANK(W89),ISBLANK(U89))),MuzzleVelocityToMuzzleEnergyJoules(W89,U89),"")</f>
        <v>3170.6670335758308</v>
      </c>
      <c r="Z89" s="45" t="str" cm="1">
        <f t="array" ref="Z89">IF(NOT(OR(ISBLANK($N89),ISBLANK($O89))),ConvertSpeed($N89,$O89,"ft/sec"),"")</f>
        <v/>
      </c>
      <c r="AA89" s="46" t="str" cm="1">
        <f t="array" ref="AA89">IF(NOT(OR(ISBLANK($N89),ISBLANK($O89))),ConvertSpeed($N89,$O89,"m/sec"),"")</f>
        <v/>
      </c>
    </row>
    <row r="90" spans="1:27" x14ac:dyDescent="0.25">
      <c r="A90" s="95"/>
      <c r="C90" s="2" t="s">
        <v>236</v>
      </c>
      <c r="D90" s="2" t="s">
        <v>4</v>
      </c>
      <c r="E90" s="47" t="str">
        <f>$E89</f>
        <v>7mm-08 Remington</v>
      </c>
      <c r="F90" t="s">
        <v>209</v>
      </c>
      <c r="G90" t="s">
        <v>49</v>
      </c>
      <c r="H90" s="43">
        <f>IF(NOT(ISBLANK($E90)),_xlfn.XLOOKUP($E90,CartridgeNames[Available Chamberings],CartridgeNames[Bullet Caliber],"n/a",0,1),"")</f>
        <v>0.28399999999999997</v>
      </c>
      <c r="I90" s="62" t="str">
        <f>IF(NOT(ISBLANK($E90)),_xlfn.XLOOKUP($E90,CartridgeNames[Available Chamberings],CartridgeNames[Caliber(Units)],"n/a",0,1),"")</f>
        <v>in</v>
      </c>
      <c r="J90">
        <v>140</v>
      </c>
      <c r="K90" t="s">
        <v>117</v>
      </c>
      <c r="L90" s="1">
        <v>2820</v>
      </c>
      <c r="M90" t="s">
        <v>121</v>
      </c>
      <c r="O90" t="s">
        <v>121</v>
      </c>
      <c r="P90" s="2">
        <v>0.39400000000000002</v>
      </c>
      <c r="Q90" t="s">
        <v>21</v>
      </c>
      <c r="R90" s="45" cm="1">
        <f t="array" ref="R90">IF(NOT(OR(ISBLANK($H90),ISBLANK($I90))),ConvertLength($H90,$I90,"in"),"")</f>
        <v>0.28399999999999997</v>
      </c>
      <c r="S90" s="45" cm="1">
        <f t="array" ref="S90">IF(NOT(OR(ISBLANK($H90),ISBLANK($I90))),ConvertLength($H90,$I90,"mm"),"")</f>
        <v>7.2135999999999996</v>
      </c>
      <c r="T90" s="45">
        <f t="shared" si="10"/>
        <v>140</v>
      </c>
      <c r="U90" s="45">
        <f t="shared" si="11"/>
        <v>9.0718473999999993</v>
      </c>
      <c r="V90" s="45" cm="1">
        <f t="array" ref="V90">IF(NOT(OR(ISBLANK($L90),ISBLANK($M90))),ConvertSpeed($L90,$M90,"ft/sec"),"")</f>
        <v>2820</v>
      </c>
      <c r="W90" s="45" cm="1">
        <f t="array" ref="W90">IF(NOT(OR(ISBLANK($L90),ISBLANK($M90))),ConvertSpeed($L90,$M90,"m/sec"),"")</f>
        <v>859.53599999999994</v>
      </c>
      <c r="X90" s="45" cm="1">
        <f t="array" ref="X90">IF(NOT(OR(ISBLANK(V90),ISBLANK(T90))),MuzzleVelocityToMuzzleEnergyFtLb(V90,T90),"")</f>
        <v>2471.6814814437139</v>
      </c>
      <c r="Y90" s="45" cm="1">
        <f t="array" ref="Y90">IF(NOT(OR(ISBLANK(W90),ISBLANK(U90))),MuzzleVelocityToMuzzleEnergyJoules(W90,U90),"")</f>
        <v>3351.1501150997324</v>
      </c>
      <c r="Z90" s="45" t="str" cm="1">
        <f t="array" ref="Z90">IF(NOT(OR(ISBLANK($N90),ISBLANK($O90))),ConvertSpeed($N90,$O90,"ft/sec"),"")</f>
        <v/>
      </c>
      <c r="AA90" s="46" t="str" cm="1">
        <f t="array" ref="AA90">IF(NOT(OR(ISBLANK($N90),ISBLANK($O90))),ConvertSpeed($N90,$O90,"m/sec"),"")</f>
        <v/>
      </c>
    </row>
    <row r="91" spans="1:27" x14ac:dyDescent="0.25">
      <c r="A91" s="95"/>
      <c r="C91" s="2" t="s">
        <v>237</v>
      </c>
      <c r="D91" s="2" t="s">
        <v>4</v>
      </c>
      <c r="E91" s="47" t="str">
        <f>$E89</f>
        <v>7mm-08 Remington</v>
      </c>
      <c r="F91" t="s">
        <v>302</v>
      </c>
      <c r="G91" t="s">
        <v>51</v>
      </c>
      <c r="H91" s="43">
        <f>IF(NOT(ISBLANK($E91)),_xlfn.XLOOKUP($E91,CartridgeNames[Available Chamberings],CartridgeNames[Bullet Caliber],"n/a",0,1),"")</f>
        <v>0.28399999999999997</v>
      </c>
      <c r="I91" s="62" t="str">
        <f>IF(NOT(ISBLANK($E91)),_xlfn.XLOOKUP($E91,CartridgeNames[Available Chamberings],CartridgeNames[Caliber(Units)],"n/a",0,1),"")</f>
        <v>in</v>
      </c>
      <c r="J91">
        <v>140</v>
      </c>
      <c r="K91" t="s">
        <v>117</v>
      </c>
      <c r="L91" s="1">
        <v>2850</v>
      </c>
      <c r="M91" t="s">
        <v>121</v>
      </c>
      <c r="O91" t="s">
        <v>121</v>
      </c>
      <c r="P91" s="2">
        <v>0.39</v>
      </c>
      <c r="Q91" t="s">
        <v>21</v>
      </c>
      <c r="R91" s="45" cm="1">
        <f t="array" ref="R91">IF(NOT(OR(ISBLANK($H91),ISBLANK($I91))),ConvertLength($H91,$I91,"in"),"")</f>
        <v>0.28399999999999997</v>
      </c>
      <c r="S91" s="45" cm="1">
        <f t="array" ref="S91">IF(NOT(OR(ISBLANK($H91),ISBLANK($I91))),ConvertLength($H91,$I91,"mm"),"")</f>
        <v>7.2135999999999996</v>
      </c>
      <c r="T91" s="45">
        <f t="shared" si="10"/>
        <v>140</v>
      </c>
      <c r="U91" s="45">
        <f t="shared" si="11"/>
        <v>9.0718473999999993</v>
      </c>
      <c r="V91" s="45" cm="1">
        <f t="array" ref="V91">IF(NOT(OR(ISBLANK($L91),ISBLANK($M91))),ConvertSpeed($L91,$M91,"ft/sec"),"")</f>
        <v>2850</v>
      </c>
      <c r="W91" s="45" cm="1">
        <f t="array" ref="W91">IF(NOT(OR(ISBLANK($L91),ISBLANK($M91))),ConvertSpeed($L91,$M91,"m/sec"),"")</f>
        <v>868.68</v>
      </c>
      <c r="X91" s="45" cm="1">
        <f t="array" ref="X91">IF(NOT(OR(ISBLANK(V91),ISBLANK(T91))),MuzzleVelocityToMuzzleEnergyFtLb(V91,T91),"")</f>
        <v>2524.5501776855499</v>
      </c>
      <c r="Y91" s="45" cm="1">
        <f t="array" ref="Y91">IF(NOT(OR(ISBLANK(W91),ISBLANK(U91))),MuzzleVelocityToMuzzleEnergyJoules(W91,U91),"")</f>
        <v>3422.8304423692944</v>
      </c>
      <c r="Z91" s="45" t="str" cm="1">
        <f t="array" ref="Z91">IF(NOT(OR(ISBLANK($N91),ISBLANK($O91))),ConvertSpeed($N91,$O91,"ft/sec"),"")</f>
        <v/>
      </c>
      <c r="AA91" s="46" t="str" cm="1">
        <f t="array" ref="AA91">IF(NOT(OR(ISBLANK($N91),ISBLANK($O91))),ConvertSpeed($N91,$O91,"m/sec"),"")</f>
        <v/>
      </c>
    </row>
    <row r="92" spans="1:27" x14ac:dyDescent="0.25">
      <c r="A92" s="95"/>
      <c r="C92" s="2" t="s">
        <v>235</v>
      </c>
      <c r="D92" s="2" t="s">
        <v>195</v>
      </c>
      <c r="E92" s="47" t="str">
        <f>$E89</f>
        <v>7mm-08 Remington</v>
      </c>
      <c r="F92" t="s">
        <v>303</v>
      </c>
      <c r="G92" t="s">
        <v>47</v>
      </c>
      <c r="H92" s="43">
        <f>IF(NOT(ISBLANK($E92)),_xlfn.XLOOKUP($E92,CartridgeNames[Available Chamberings],CartridgeNames[Bullet Caliber],"n/a",0,1),"")</f>
        <v>0.28399999999999997</v>
      </c>
      <c r="I92" s="62" t="str">
        <f>IF(NOT(ISBLANK($E92)),_xlfn.XLOOKUP($E92,CartridgeNames[Available Chamberings],CartridgeNames[Caliber(Units)],"n/a",0,1),"")</f>
        <v>in</v>
      </c>
      <c r="J92">
        <v>150</v>
      </c>
      <c r="K92" t="s">
        <v>117</v>
      </c>
      <c r="L92" s="1">
        <v>2650</v>
      </c>
      <c r="M92" t="s">
        <v>121</v>
      </c>
      <c r="O92" t="s">
        <v>121</v>
      </c>
      <c r="P92" s="2"/>
      <c r="R92" s="45" cm="1">
        <f t="array" ref="R92">IF(NOT(OR(ISBLANK($H92),ISBLANK($I92))),ConvertLength($H92,$I92,"in"),"")</f>
        <v>0.28399999999999997</v>
      </c>
      <c r="S92" s="45" cm="1">
        <f t="array" ref="S92">IF(NOT(OR(ISBLANK($H92),ISBLANK($I92))),ConvertLength($H92,$I92,"mm"),"")</f>
        <v>7.2135999999999996</v>
      </c>
      <c r="T92" s="45">
        <f t="shared" si="10"/>
        <v>150</v>
      </c>
      <c r="U92" s="45">
        <f t="shared" si="11"/>
        <v>9.7198364999999995</v>
      </c>
      <c r="V92" s="45" cm="1">
        <f t="array" ref="V92">IF(NOT(OR(ISBLANK($L92),ISBLANK($M92))),ConvertSpeed($L92,$M92,"ft/sec"),"")</f>
        <v>2650</v>
      </c>
      <c r="W92" s="45" cm="1">
        <f t="array" ref="W92">IF(NOT(OR(ISBLANK($L92),ISBLANK($M92))),ConvertSpeed($L92,$M92,"m/sec"),"")</f>
        <v>807.72</v>
      </c>
      <c r="X92" s="45" cm="1">
        <f t="array" ref="X92">IF(NOT(OR(ISBLANK(V92),ISBLANK(T92))),MuzzleVelocityToMuzzleEnergyFtLb(V92,T92),"")</f>
        <v>2338.563991926761</v>
      </c>
      <c r="Y92" s="45" cm="1">
        <f t="array" ref="Y92">IF(NOT(OR(ISBLANK(W92),ISBLANK(U92))),MuzzleVelocityToMuzzleEnergyJoules(W92,U92),"")</f>
        <v>3170.6670335758308</v>
      </c>
      <c r="Z92" s="45" t="str" cm="1">
        <f t="array" ref="Z92">IF(NOT(OR(ISBLANK($N92),ISBLANK($O92))),ConvertSpeed($N92,$O92,"ft/sec"),"")</f>
        <v/>
      </c>
      <c r="AA92" s="46" t="str" cm="1">
        <f t="array" ref="AA92">IF(NOT(OR(ISBLANK($N92),ISBLANK($O92))),ConvertSpeed($N92,$O92,"m/sec"),"")</f>
        <v/>
      </c>
    </row>
    <row r="93" spans="1:27" x14ac:dyDescent="0.25">
      <c r="A93" s="95"/>
      <c r="C93" s="2" t="s">
        <v>236</v>
      </c>
      <c r="D93" s="2" t="s">
        <v>195</v>
      </c>
      <c r="E93" s="47" t="str">
        <f>$E89</f>
        <v>7mm-08 Remington</v>
      </c>
      <c r="F93" t="s">
        <v>209</v>
      </c>
      <c r="G93" t="s">
        <v>49</v>
      </c>
      <c r="H93" s="43">
        <f>IF(NOT(ISBLANK($E93)),_xlfn.XLOOKUP($E93,CartridgeNames[Available Chamberings],CartridgeNames[Bullet Caliber],"n/a",0,1),"")</f>
        <v>0.28399999999999997</v>
      </c>
      <c r="I93" s="62" t="str">
        <f>IF(NOT(ISBLANK($E93)),_xlfn.XLOOKUP($E93,CartridgeNames[Available Chamberings],CartridgeNames[Caliber(Units)],"n/a",0,1),"")</f>
        <v>in</v>
      </c>
      <c r="J93">
        <v>140</v>
      </c>
      <c r="K93" t="s">
        <v>117</v>
      </c>
      <c r="L93" s="1">
        <v>2820</v>
      </c>
      <c r="M93" t="s">
        <v>121</v>
      </c>
      <c r="O93" t="s">
        <v>121</v>
      </c>
      <c r="P93" s="2"/>
      <c r="R93" s="45" cm="1">
        <f t="array" ref="R93">IF(NOT(OR(ISBLANK($H93),ISBLANK($I93))),ConvertLength($H93,$I93,"in"),"")</f>
        <v>0.28399999999999997</v>
      </c>
      <c r="S93" s="45" cm="1">
        <f t="array" ref="S93">IF(NOT(OR(ISBLANK($H93),ISBLANK($I93))),ConvertLength($H93,$I93,"mm"),"")</f>
        <v>7.2135999999999996</v>
      </c>
      <c r="T93" s="45">
        <f t="shared" si="10"/>
        <v>140</v>
      </c>
      <c r="U93" s="45">
        <f t="shared" si="11"/>
        <v>9.0718473999999993</v>
      </c>
      <c r="V93" s="45" cm="1">
        <f t="array" ref="V93">IF(NOT(OR(ISBLANK($L93),ISBLANK($M93))),ConvertSpeed($L93,$M93,"ft/sec"),"")</f>
        <v>2820</v>
      </c>
      <c r="W93" s="45" cm="1">
        <f t="array" ref="W93">IF(NOT(OR(ISBLANK($L93),ISBLANK($M93))),ConvertSpeed($L93,$M93,"m/sec"),"")</f>
        <v>859.53599999999994</v>
      </c>
      <c r="X93" s="45" cm="1">
        <f t="array" ref="X93">IF(NOT(OR(ISBLANK(V93),ISBLANK(T93))),MuzzleVelocityToMuzzleEnergyFtLb(V93,T93),"")</f>
        <v>2471.6814814437139</v>
      </c>
      <c r="Y93" s="45" cm="1">
        <f t="array" ref="Y93">IF(NOT(OR(ISBLANK(W93),ISBLANK(U93))),MuzzleVelocityToMuzzleEnergyJoules(W93,U93),"")</f>
        <v>3351.1501150997324</v>
      </c>
      <c r="Z93" s="45" t="str" cm="1">
        <f t="array" ref="Z93">IF(NOT(OR(ISBLANK($N93),ISBLANK($O93))),ConvertSpeed($N93,$O93,"ft/sec"),"")</f>
        <v/>
      </c>
      <c r="AA93" s="46" t="str" cm="1">
        <f t="array" ref="AA93">IF(NOT(OR(ISBLANK($N93),ISBLANK($O93))),ConvertSpeed($N93,$O93,"m/sec"),"")</f>
        <v/>
      </c>
    </row>
    <row r="94" spans="1:27" x14ac:dyDescent="0.25">
      <c r="A94" s="95"/>
      <c r="C94" s="2" t="s">
        <v>237</v>
      </c>
      <c r="D94" s="2" t="s">
        <v>195</v>
      </c>
      <c r="E94" s="47" t="str">
        <f>$E89</f>
        <v>7mm-08 Remington</v>
      </c>
      <c r="F94" t="s">
        <v>302</v>
      </c>
      <c r="G94" t="s">
        <v>51</v>
      </c>
      <c r="H94" s="43">
        <f>IF(NOT(ISBLANK($E94)),_xlfn.XLOOKUP($E94,CartridgeNames[Available Chamberings],CartridgeNames[Bullet Caliber],"n/a",0,1),"")</f>
        <v>0.28399999999999997</v>
      </c>
      <c r="I94" s="62" t="str">
        <f>IF(NOT(ISBLANK($E94)),_xlfn.XLOOKUP($E94,CartridgeNames[Available Chamberings],CartridgeNames[Caliber(Units)],"n/a",0,1),"")</f>
        <v>in</v>
      </c>
      <c r="J94">
        <v>140</v>
      </c>
      <c r="K94" t="s">
        <v>117</v>
      </c>
      <c r="L94" s="1">
        <v>2800</v>
      </c>
      <c r="M94" t="s">
        <v>121</v>
      </c>
      <c r="O94" t="s">
        <v>121</v>
      </c>
      <c r="P94" s="2"/>
      <c r="R94" s="45" cm="1">
        <f t="array" ref="R94">IF(NOT(OR(ISBLANK($H94),ISBLANK($I94))),ConvertLength($H94,$I94,"in"),"")</f>
        <v>0.28399999999999997</v>
      </c>
      <c r="S94" s="45" cm="1">
        <f t="array" ref="S94">IF(NOT(OR(ISBLANK($H94),ISBLANK($I94))),ConvertLength($H94,$I94,"mm"),"")</f>
        <v>7.2135999999999996</v>
      </c>
      <c r="T94" s="45">
        <f t="shared" si="10"/>
        <v>140</v>
      </c>
      <c r="U94" s="45">
        <f t="shared" si="11"/>
        <v>9.0718473999999993</v>
      </c>
      <c r="V94" s="45" cm="1">
        <f t="array" ref="V94">IF(NOT(OR(ISBLANK($L94),ISBLANK($M94))),ConvertSpeed($L94,$M94,"ft/sec"),"")</f>
        <v>2800</v>
      </c>
      <c r="W94" s="45" cm="1">
        <f t="array" ref="W94">IF(NOT(OR(ISBLANK($L94),ISBLANK($M94))),ConvertSpeed($L94,$M94,"m/sec"),"")</f>
        <v>853.44</v>
      </c>
      <c r="X94" s="45" cm="1">
        <f t="array" ref="X94">IF(NOT(OR(ISBLANK(V94),ISBLANK(T94))),MuzzleVelocityToMuzzleEnergyFtLb(V94,T94),"")</f>
        <v>2436.746493450873</v>
      </c>
      <c r="Y94" s="45" cm="1">
        <f t="array" ref="Y94">IF(NOT(OR(ISBLANK(W94),ISBLANK(U94))),MuzzleVelocityToMuzzleEnergyJoules(W94,U94),"")</f>
        <v>3303.7846313542964</v>
      </c>
      <c r="Z94" s="45" t="str" cm="1">
        <f t="array" ref="Z94">IF(NOT(OR(ISBLANK($N94),ISBLANK($O94))),ConvertSpeed($N94,$O94,"ft/sec"),"")</f>
        <v/>
      </c>
      <c r="AA94" s="46" t="str" cm="1">
        <f t="array" ref="AA94">IF(NOT(OR(ISBLANK($N94),ISBLANK($O94))),ConvertSpeed($N94,$O94,"m/sec"),"")</f>
        <v/>
      </c>
    </row>
    <row r="95" spans="1:27" x14ac:dyDescent="0.25">
      <c r="A95" s="95"/>
      <c r="AA95" s="6"/>
    </row>
    <row r="96" spans="1:27" x14ac:dyDescent="0.25">
      <c r="A96" s="95"/>
      <c r="AA96" s="6"/>
    </row>
    <row r="97" spans="1:27" x14ac:dyDescent="0.25">
      <c r="A97" s="95"/>
      <c r="C97" s="49" t="s">
        <v>72</v>
      </c>
      <c r="D97" s="49" t="s">
        <v>124</v>
      </c>
      <c r="E97" s="49" t="s">
        <v>123</v>
      </c>
      <c r="F97" s="49" t="s">
        <v>125</v>
      </c>
      <c r="G97" s="49" t="s">
        <v>27</v>
      </c>
      <c r="H97" s="49" t="s">
        <v>127</v>
      </c>
      <c r="I97" s="49" t="s">
        <v>24</v>
      </c>
      <c r="J97" s="49" t="s">
        <v>26</v>
      </c>
      <c r="K97" s="49" t="s">
        <v>185</v>
      </c>
      <c r="L97" s="49" t="s">
        <v>180</v>
      </c>
      <c r="M97" s="49" t="s">
        <v>28</v>
      </c>
      <c r="N97" s="49" t="s">
        <v>29</v>
      </c>
      <c r="O97" s="49" t="s">
        <v>126</v>
      </c>
      <c r="P97" s="50" t="s">
        <v>182</v>
      </c>
      <c r="Q97" s="50" t="s">
        <v>183</v>
      </c>
      <c r="R97" s="49" t="s">
        <v>184</v>
      </c>
      <c r="AA97" s="6"/>
    </row>
    <row r="98" spans="1:27" x14ac:dyDescent="0.25">
      <c r="A98" s="95"/>
      <c r="C98" t="s">
        <v>282</v>
      </c>
      <c r="D98" t="s">
        <v>284</v>
      </c>
      <c r="E98" t="s">
        <v>283</v>
      </c>
      <c r="F98" t="s">
        <v>156</v>
      </c>
      <c r="G98" s="25"/>
      <c r="H98" s="51"/>
      <c r="I98" s="25"/>
      <c r="J98" s="25"/>
      <c r="K98" s="5"/>
      <c r="L98" s="51"/>
      <c r="M98" s="25"/>
      <c r="N98" s="25"/>
      <c r="O98" s="51"/>
      <c r="P98" s="25"/>
      <c r="Q98" s="25"/>
      <c r="R98" s="51" t="s">
        <v>181</v>
      </c>
      <c r="AA98" s="6"/>
    </row>
    <row r="99" spans="1:27" x14ac:dyDescent="0.25">
      <c r="A99" s="95"/>
      <c r="G99" s="25"/>
      <c r="H99" s="51"/>
      <c r="I99" s="25"/>
      <c r="J99" s="25"/>
      <c r="K99" s="5"/>
      <c r="L99" s="51"/>
      <c r="M99" s="25"/>
      <c r="N99" s="25"/>
      <c r="O99" s="51"/>
      <c r="P99" s="25"/>
      <c r="Q99" s="25"/>
      <c r="R99" s="51"/>
      <c r="AA99" s="6"/>
    </row>
    <row r="100" spans="1:27" ht="15.75" thickBot="1" x14ac:dyDescent="0.3">
      <c r="A100" s="74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56"/>
    </row>
    <row r="101" spans="1:27" x14ac:dyDescent="0.25">
      <c r="A101" s="24"/>
    </row>
    <row r="102" spans="1:27" ht="15.75" thickBot="1" x14ac:dyDescent="0.3">
      <c r="A102" s="24"/>
    </row>
    <row r="103" spans="1:27" x14ac:dyDescent="0.25">
      <c r="A103" s="75"/>
      <c r="B103" s="59"/>
      <c r="C103" s="59"/>
      <c r="D103" s="59"/>
      <c r="E103" s="59"/>
      <c r="F103" s="59"/>
      <c r="G103" s="59"/>
      <c r="H103" s="59"/>
      <c r="I103" s="59"/>
      <c r="J103" s="59"/>
      <c r="K103" s="59"/>
      <c r="L103" s="59"/>
      <c r="M103" s="59"/>
      <c r="N103" s="59"/>
      <c r="O103" s="59"/>
      <c r="P103" s="59"/>
      <c r="Q103" s="59"/>
      <c r="R103" s="59"/>
      <c r="S103" s="59"/>
      <c r="T103" s="59"/>
      <c r="U103" s="59"/>
      <c r="V103" s="59"/>
      <c r="W103" s="59"/>
      <c r="X103" s="59"/>
      <c r="Y103" s="59"/>
      <c r="Z103" s="59"/>
      <c r="AA103" s="60"/>
    </row>
    <row r="104" spans="1:27" ht="30" x14ac:dyDescent="0.25">
      <c r="A104" s="85" t="s">
        <v>87</v>
      </c>
      <c r="C104" s="15" t="s">
        <v>72</v>
      </c>
      <c r="D104" s="15" t="s">
        <v>193</v>
      </c>
      <c r="E104" s="15" t="s">
        <v>2</v>
      </c>
      <c r="F104" s="15" t="s">
        <v>73</v>
      </c>
      <c r="G104" s="15" t="s">
        <v>6</v>
      </c>
      <c r="H104" s="16" t="s">
        <v>104</v>
      </c>
      <c r="I104" s="16" t="s">
        <v>110</v>
      </c>
      <c r="J104" s="17" t="s">
        <v>27</v>
      </c>
      <c r="K104" s="17" t="s">
        <v>111</v>
      </c>
      <c r="L104" s="18" t="s">
        <v>106</v>
      </c>
      <c r="M104" s="18" t="s">
        <v>108</v>
      </c>
      <c r="N104" s="15" t="s">
        <v>95</v>
      </c>
      <c r="O104" s="15" t="s">
        <v>109</v>
      </c>
      <c r="P104" s="14" t="s">
        <v>99</v>
      </c>
      <c r="Q104" s="14" t="s">
        <v>98</v>
      </c>
      <c r="R104" s="16" t="s">
        <v>112</v>
      </c>
      <c r="S104" s="18" t="s">
        <v>74</v>
      </c>
      <c r="T104" s="18" t="s">
        <v>113</v>
      </c>
      <c r="U104" s="15" t="s">
        <v>114</v>
      </c>
      <c r="V104" s="15" t="s">
        <v>115</v>
      </c>
      <c r="W104" s="15" t="s">
        <v>119</v>
      </c>
      <c r="X104" s="15" t="s">
        <v>116</v>
      </c>
      <c r="Y104" s="15" t="s">
        <v>75</v>
      </c>
      <c r="Z104" s="15" t="s">
        <v>96</v>
      </c>
      <c r="AA104" s="61" t="s">
        <v>97</v>
      </c>
    </row>
    <row r="105" spans="1:27" x14ac:dyDescent="0.25">
      <c r="A105" s="87"/>
      <c r="C105" s="2" t="s">
        <v>211</v>
      </c>
      <c r="D105" s="2" t="s">
        <v>4</v>
      </c>
      <c r="E105" t="s">
        <v>87</v>
      </c>
      <c r="F105" t="s">
        <v>214</v>
      </c>
      <c r="G105" t="s">
        <v>49</v>
      </c>
      <c r="H105" s="43">
        <f>IF(NOT(ISBLANK($E105)),_xlfn.XLOOKUP($E105,CartridgeNames[Available Chamberings],CartridgeNames[Bullet Caliber],"n/a",0,1),"")</f>
        <v>0.28399999999999997</v>
      </c>
      <c r="I105" s="62" t="str">
        <f>IF(NOT(ISBLANK($E105)),_xlfn.XLOOKUP($E105,CartridgeNames[Available Chamberings],CartridgeNames[Caliber(Units)],"n/a",0,1),"")</f>
        <v>in</v>
      </c>
      <c r="J105">
        <v>177</v>
      </c>
      <c r="K105" t="s">
        <v>117</v>
      </c>
      <c r="L105" s="1">
        <v>2925</v>
      </c>
      <c r="M105" t="s">
        <v>121</v>
      </c>
      <c r="O105" t="s">
        <v>121</v>
      </c>
      <c r="R105" s="45" cm="1">
        <f t="array" ref="R105">IF(NOT(OR(ISBLANK($H105),ISBLANK($I105))),ConvertLength($H105,$I105,"in"),"")</f>
        <v>0.28399999999999997</v>
      </c>
      <c r="S105" s="45" cm="1">
        <f t="array" ref="S105">IF(NOT(OR(ISBLANK($H105),ISBLANK($I105))),ConvertLength($H105,$I105,"mm"),"")</f>
        <v>7.2135999999999996</v>
      </c>
      <c r="T105" s="45">
        <f t="shared" ref="T105:T110" si="12">IF(NOT(AND(ISBLANK($J105),ISBLANK($K105))),CONVERT($J105,$K105,"grain"),"")</f>
        <v>177</v>
      </c>
      <c r="U105" s="45">
        <f t="shared" ref="U105:U110" si="13">IF(NOT(AND(ISBLANK($J105),ISBLANK($K105))),CONVERT($J105,$K105,"g"),"")</f>
        <v>11.469407070000001</v>
      </c>
      <c r="V105" s="45" cm="1">
        <f t="array" ref="V105">IF(NOT(OR(ISBLANK($L105),ISBLANK($M105))),ConvertSpeed($L105,$M105,"ft/sec"),"")</f>
        <v>2925</v>
      </c>
      <c r="W105" s="45" cm="1">
        <f t="array" ref="W105">IF(NOT(OR(ISBLANK($L105),ISBLANK($M105))),ConvertSpeed($L105,$M105,"m/sec"),"")</f>
        <v>891.54</v>
      </c>
      <c r="X105" s="45" cm="1">
        <f t="array" ref="X105">IF(NOT(OR(ISBLANK(V105),ISBLANK(T105))),MuzzleVelocityToMuzzleEnergyFtLb(V105,T105),"")</f>
        <v>3361.9500652254192</v>
      </c>
      <c r="Y105" s="45" cm="1">
        <f t="array" ref="Y105">IF(NOT(OR(ISBLANK(W105),ISBLANK(U105))),MuzzleVelocityToMuzzleEnergyJoules(W105,U105),"")</f>
        <v>4558.192239826546</v>
      </c>
      <c r="Z105" s="45" t="str" cm="1">
        <f t="array" ref="Z105">IF(NOT(OR(ISBLANK($N105),ISBLANK($O105))),ConvertSpeed($N105,$O105,"ft/sec"),"")</f>
        <v/>
      </c>
      <c r="AA105" s="46" t="str" cm="1">
        <f t="array" ref="AA105">IF(NOT(OR(ISBLANK($N105),ISBLANK($O105))),ConvertSpeed($N105,$O105,"m/sec"),"")</f>
        <v/>
      </c>
    </row>
    <row r="106" spans="1:27" x14ac:dyDescent="0.25">
      <c r="A106" s="87"/>
      <c r="C106" s="2" t="s">
        <v>212</v>
      </c>
      <c r="D106" s="2" t="s">
        <v>4</v>
      </c>
      <c r="E106" s="47" t="str">
        <f>$E105</f>
        <v>7mm PRC</v>
      </c>
      <c r="F106" t="s">
        <v>215</v>
      </c>
      <c r="G106" t="s">
        <v>51</v>
      </c>
      <c r="H106" s="43">
        <f>IF(NOT(ISBLANK($E106)),_xlfn.XLOOKUP($E106,CartridgeNames[Available Chamberings],CartridgeNames[Bullet Caliber],"n/a",0,1),"")</f>
        <v>0.28399999999999997</v>
      </c>
      <c r="I106" s="62" t="str">
        <f>IF(NOT(ISBLANK($E106)),_xlfn.XLOOKUP($E106,CartridgeNames[Available Chamberings],CartridgeNames[Caliber(Units)],"n/a",0,1),"")</f>
        <v>in</v>
      </c>
      <c r="J106">
        <v>175</v>
      </c>
      <c r="K106" t="s">
        <v>117</v>
      </c>
      <c r="L106" s="1">
        <v>3000</v>
      </c>
      <c r="M106" t="s">
        <v>121</v>
      </c>
      <c r="O106" t="s">
        <v>121</v>
      </c>
      <c r="P106">
        <v>0.54900000000000004</v>
      </c>
      <c r="Q106">
        <v>0.27800000000000002</v>
      </c>
      <c r="R106" s="45" cm="1">
        <f t="array" ref="R106">IF(NOT(OR(ISBLANK($H106),ISBLANK($I106))),ConvertLength($H106,$I106,"in"),"")</f>
        <v>0.28399999999999997</v>
      </c>
      <c r="S106" s="45" cm="1">
        <f t="array" ref="S106">IF(NOT(OR(ISBLANK($H106),ISBLANK($I106))),ConvertLength($H106,$I106,"mm"),"")</f>
        <v>7.2135999999999996</v>
      </c>
      <c r="T106" s="45">
        <f t="shared" si="12"/>
        <v>175</v>
      </c>
      <c r="U106" s="45">
        <f t="shared" si="13"/>
        <v>11.33980925</v>
      </c>
      <c r="V106" s="45" cm="1">
        <f t="array" ref="V106">IF(NOT(OR(ISBLANK($L106),ISBLANK($M106))),ConvertSpeed($L106,$M106,"ft/sec"),"")</f>
        <v>3000</v>
      </c>
      <c r="W106" s="45" cm="1">
        <f t="array" ref="W106">IF(NOT(OR(ISBLANK($L106),ISBLANK($M106))),ConvertSpeed($L106,$M106,"m/sec"),"")</f>
        <v>914.4</v>
      </c>
      <c r="X106" s="45" cm="1">
        <f t="array" ref="X106">IF(NOT(OR(ISBLANK(V106),ISBLANK(T106))),MuzzleVelocityToMuzzleEnergyFtLb(V106,T106),"")</f>
        <v>3496.6068943013161</v>
      </c>
      <c r="Y106" s="45" cm="1">
        <f t="array" ref="Y106">IF(NOT(OR(ISBLANK(W106),ISBLANK(U106))),MuzzleVelocityToMuzzleEnergyJoules(W106,U106),"")</f>
        <v>4740.7623855530401</v>
      </c>
      <c r="Z106" s="45" t="str" cm="1">
        <f t="array" ref="Z106">IF(NOT(OR(ISBLANK($N106),ISBLANK($O106))),ConvertSpeed($N106,$O106,"ft/sec"),"")</f>
        <v/>
      </c>
      <c r="AA106" s="46" t="str" cm="1">
        <f t="array" ref="AA106">IF(NOT(OR(ISBLANK($N106),ISBLANK($O106))),ConvertSpeed($N106,$O106,"m/sec"),"")</f>
        <v/>
      </c>
    </row>
    <row r="107" spans="1:27" x14ac:dyDescent="0.25">
      <c r="A107" s="87"/>
      <c r="C107" s="2" t="s">
        <v>213</v>
      </c>
      <c r="D107" s="2" t="s">
        <v>4</v>
      </c>
      <c r="E107" s="47" t="str">
        <f>$E105</f>
        <v>7mm PRC</v>
      </c>
      <c r="F107" t="s">
        <v>216</v>
      </c>
      <c r="G107" t="s">
        <v>51</v>
      </c>
      <c r="H107" s="43">
        <f>IF(NOT(ISBLANK($E107)),_xlfn.XLOOKUP($E107,CartridgeNames[Available Chamberings],CartridgeNames[Bullet Caliber],"n/a",0,1),"")</f>
        <v>0.28399999999999997</v>
      </c>
      <c r="I107" s="62" t="str">
        <f>IF(NOT(ISBLANK($E107)),_xlfn.XLOOKUP($E107,CartridgeNames[Available Chamberings],CartridgeNames[Caliber(Units)],"n/a",0,1),"")</f>
        <v>in</v>
      </c>
      <c r="J107">
        <v>170</v>
      </c>
      <c r="K107" t="s">
        <v>117</v>
      </c>
      <c r="L107" s="1">
        <v>2950</v>
      </c>
      <c r="M107" t="s">
        <v>121</v>
      </c>
      <c r="O107" t="s">
        <v>121</v>
      </c>
      <c r="P107">
        <v>0.64600000000000002</v>
      </c>
      <c r="Q107" t="s">
        <v>21</v>
      </c>
      <c r="R107" s="45" cm="1">
        <f t="array" ref="R107">IF(NOT(OR(ISBLANK($H107),ISBLANK($I107))),ConvertLength($H107,$I107,"in"),"")</f>
        <v>0.28399999999999997</v>
      </c>
      <c r="S107" s="45" cm="1">
        <f t="array" ref="S107">IF(NOT(OR(ISBLANK($H107),ISBLANK($I107))),ConvertLength($H107,$I107,"mm"),"")</f>
        <v>7.2135999999999996</v>
      </c>
      <c r="T107" s="45">
        <f t="shared" si="12"/>
        <v>170</v>
      </c>
      <c r="U107" s="45">
        <f t="shared" si="13"/>
        <v>11.0158147</v>
      </c>
      <c r="V107" s="45" cm="1">
        <f t="array" ref="V107">IF(NOT(OR(ISBLANK($L107),ISBLANK($M107))),ConvertSpeed($L107,$M107,"ft/sec"),"")</f>
        <v>2950</v>
      </c>
      <c r="W107" s="45" cm="1">
        <f t="array" ref="W107">IF(NOT(OR(ISBLANK($L107),ISBLANK($M107))),ConvertSpeed($L107,$M107,"m/sec"),"")</f>
        <v>899.16</v>
      </c>
      <c r="X107" s="45" cm="1">
        <f t="array" ref="X107">IF(NOT(OR(ISBLANK(V107),ISBLANK(T107))),MuzzleVelocityToMuzzleEnergyFtLb(V107,T107),"")</f>
        <v>3284.4239076836348</v>
      </c>
      <c r="Y107" s="45" cm="1">
        <f t="array" ref="Y107">IF(NOT(OR(ISBLANK(W107),ISBLANK(U107))),MuzzleVelocityToMuzzleEnergyJoules(W107,U107),"")</f>
        <v>4453.0808839662259</v>
      </c>
      <c r="Z107" s="45" t="str" cm="1">
        <f t="array" ref="Z107">IF(NOT(OR(ISBLANK($N107),ISBLANK($O107))),ConvertSpeed($N107,$O107,"ft/sec"),"")</f>
        <v/>
      </c>
      <c r="AA107" s="46" t="str" cm="1">
        <f t="array" ref="AA107">IF(NOT(OR(ISBLANK($N107),ISBLANK($O107))),ConvertSpeed($N107,$O107,"m/sec"),"")</f>
        <v/>
      </c>
    </row>
    <row r="108" spans="1:27" x14ac:dyDescent="0.25">
      <c r="A108" s="87"/>
      <c r="C108" s="2" t="s">
        <v>211</v>
      </c>
      <c r="D108" s="2" t="s">
        <v>195</v>
      </c>
      <c r="E108" s="47" t="str">
        <f>$E105</f>
        <v>7mm PRC</v>
      </c>
      <c r="F108" t="s">
        <v>214</v>
      </c>
      <c r="G108" t="s">
        <v>49</v>
      </c>
      <c r="H108" s="43">
        <f>IF(NOT(ISBLANK($E108)),_xlfn.XLOOKUP($E108,CartridgeNames[Available Chamberings],CartridgeNames[Bullet Caliber],"n/a",0,1),"")</f>
        <v>0.28399999999999997</v>
      </c>
      <c r="I108" s="62" t="str">
        <f>IF(NOT(ISBLANK($E108)),_xlfn.XLOOKUP($E108,CartridgeNames[Available Chamberings],CartridgeNames[Caliber(Units)],"n/a",0,1),"")</f>
        <v>in</v>
      </c>
      <c r="J108">
        <v>177</v>
      </c>
      <c r="K108" t="s">
        <v>117</v>
      </c>
      <c r="L108" s="1">
        <v>2925</v>
      </c>
      <c r="M108" t="s">
        <v>121</v>
      </c>
      <c r="O108" t="s">
        <v>121</v>
      </c>
      <c r="R108" s="45" cm="1">
        <f t="array" ref="R108">IF(NOT(OR(ISBLANK($H108),ISBLANK($I108))),ConvertLength($H108,$I108,"in"),"")</f>
        <v>0.28399999999999997</v>
      </c>
      <c r="S108" s="45" cm="1">
        <f t="array" ref="S108">IF(NOT(OR(ISBLANK($H108),ISBLANK($I108))),ConvertLength($H108,$I108,"mm"),"")</f>
        <v>7.2135999999999996</v>
      </c>
      <c r="T108" s="45">
        <f t="shared" si="12"/>
        <v>177</v>
      </c>
      <c r="U108" s="45">
        <f t="shared" si="13"/>
        <v>11.469407070000001</v>
      </c>
      <c r="V108" s="45" cm="1">
        <f t="array" ref="V108">IF(NOT(OR(ISBLANK($L108),ISBLANK($M108))),ConvertSpeed($L108,$M108,"ft/sec"),"")</f>
        <v>2925</v>
      </c>
      <c r="W108" s="45" cm="1">
        <f t="array" ref="W108">IF(NOT(OR(ISBLANK($L108),ISBLANK($M108))),ConvertSpeed($L108,$M108,"m/sec"),"")</f>
        <v>891.54</v>
      </c>
      <c r="X108" s="45" cm="1">
        <f t="array" ref="X108">IF(NOT(OR(ISBLANK(V108),ISBLANK(T108))),MuzzleVelocityToMuzzleEnergyFtLb(V108,T108),"")</f>
        <v>3361.9500652254192</v>
      </c>
      <c r="Y108" s="45" cm="1">
        <f t="array" ref="Y108">IF(NOT(OR(ISBLANK(W108),ISBLANK(U108))),MuzzleVelocityToMuzzleEnergyJoules(W108,U108),"")</f>
        <v>4558.192239826546</v>
      </c>
      <c r="Z108" s="45" t="str" cm="1">
        <f t="array" ref="Z108">IF(NOT(OR(ISBLANK($N108),ISBLANK($O108))),ConvertSpeed($N108,$O108,"ft/sec"),"")</f>
        <v/>
      </c>
      <c r="AA108" s="46" t="str" cm="1">
        <f t="array" ref="AA108">IF(NOT(OR(ISBLANK($N108),ISBLANK($O108))),ConvertSpeed($N108,$O108,"m/sec"),"")</f>
        <v/>
      </c>
    </row>
    <row r="109" spans="1:27" x14ac:dyDescent="0.25">
      <c r="A109" s="87"/>
      <c r="C109" s="2" t="s">
        <v>212</v>
      </c>
      <c r="D109" s="2" t="s">
        <v>195</v>
      </c>
      <c r="E109" s="47" t="str">
        <f>$E105</f>
        <v>7mm PRC</v>
      </c>
      <c r="F109" t="s">
        <v>215</v>
      </c>
      <c r="G109" t="s">
        <v>51</v>
      </c>
      <c r="H109" s="43">
        <f>IF(NOT(ISBLANK($E109)),_xlfn.XLOOKUP($E109,CartridgeNames[Available Chamberings],CartridgeNames[Bullet Caliber],"n/a",0,1),"")</f>
        <v>0.28399999999999997</v>
      </c>
      <c r="I109" s="62" t="str">
        <f>IF(NOT(ISBLANK($E109)),_xlfn.XLOOKUP($E109,CartridgeNames[Available Chamberings],CartridgeNames[Caliber(Units)],"n/a",0,1),"")</f>
        <v>in</v>
      </c>
      <c r="J109">
        <v>175</v>
      </c>
      <c r="K109" t="s">
        <v>117</v>
      </c>
      <c r="L109" s="1">
        <v>3000</v>
      </c>
      <c r="M109" t="s">
        <v>121</v>
      </c>
      <c r="O109" t="s">
        <v>121</v>
      </c>
      <c r="R109" s="45" cm="1">
        <f t="array" ref="R109">IF(NOT(OR(ISBLANK($H109),ISBLANK($I109))),ConvertLength($H109,$I109,"in"),"")</f>
        <v>0.28399999999999997</v>
      </c>
      <c r="S109" s="45" cm="1">
        <f t="array" ref="S109">IF(NOT(OR(ISBLANK($H109),ISBLANK($I109))),ConvertLength($H109,$I109,"mm"),"")</f>
        <v>7.2135999999999996</v>
      </c>
      <c r="T109" s="45">
        <f t="shared" si="12"/>
        <v>175</v>
      </c>
      <c r="U109" s="45">
        <f t="shared" si="13"/>
        <v>11.33980925</v>
      </c>
      <c r="V109" s="45" cm="1">
        <f t="array" ref="V109">IF(NOT(OR(ISBLANK($L109),ISBLANK($M109))),ConvertSpeed($L109,$M109,"ft/sec"),"")</f>
        <v>3000</v>
      </c>
      <c r="W109" s="45" cm="1">
        <f t="array" ref="W109">IF(NOT(OR(ISBLANK($L109),ISBLANK($M109))),ConvertSpeed($L109,$M109,"m/sec"),"")</f>
        <v>914.4</v>
      </c>
      <c r="X109" s="45" cm="1">
        <f t="array" ref="X109">IF(NOT(OR(ISBLANK(V109),ISBLANK(T109))),MuzzleVelocityToMuzzleEnergyFtLb(V109,T109),"")</f>
        <v>3496.6068943013161</v>
      </c>
      <c r="Y109" s="45" cm="1">
        <f t="array" ref="Y109">IF(NOT(OR(ISBLANK(W109),ISBLANK(U109))),MuzzleVelocityToMuzzleEnergyJoules(W109,U109),"")</f>
        <v>4740.7623855530401</v>
      </c>
      <c r="Z109" s="45" t="str" cm="1">
        <f t="array" ref="Z109">IF(NOT(OR(ISBLANK($N109),ISBLANK($O109))),ConvertSpeed($N109,$O109,"ft/sec"),"")</f>
        <v/>
      </c>
      <c r="AA109" s="46" t="str" cm="1">
        <f t="array" ref="AA109">IF(NOT(OR(ISBLANK($N109),ISBLANK($O109))),ConvertSpeed($N109,$O109,"m/sec"),"")</f>
        <v/>
      </c>
    </row>
    <row r="110" spans="1:27" x14ac:dyDescent="0.25">
      <c r="A110" s="87"/>
      <c r="C110" s="2" t="s">
        <v>213</v>
      </c>
      <c r="D110" s="2" t="s">
        <v>195</v>
      </c>
      <c r="E110" s="47" t="str">
        <f>$E105</f>
        <v>7mm PRC</v>
      </c>
      <c r="F110" t="s">
        <v>216</v>
      </c>
      <c r="G110" t="s">
        <v>51</v>
      </c>
      <c r="H110" s="43">
        <f>IF(NOT(ISBLANK($E110)),_xlfn.XLOOKUP($E110,CartridgeNames[Available Chamberings],CartridgeNames[Bullet Caliber],"n/a",0,1),"")</f>
        <v>0.28399999999999997</v>
      </c>
      <c r="I110" s="62" t="str">
        <f>IF(NOT(ISBLANK($E110)),_xlfn.XLOOKUP($E110,CartridgeNames[Available Chamberings],CartridgeNames[Caliber(Units)],"n/a",0,1),"")</f>
        <v>in</v>
      </c>
      <c r="J110">
        <v>170</v>
      </c>
      <c r="K110" t="s">
        <v>117</v>
      </c>
      <c r="L110" s="1">
        <v>2950</v>
      </c>
      <c r="M110" t="s">
        <v>121</v>
      </c>
      <c r="O110" t="s">
        <v>121</v>
      </c>
      <c r="R110" s="45" cm="1">
        <f t="array" ref="R110">IF(NOT(OR(ISBLANK($H110),ISBLANK($I110))),ConvertLength($H110,$I110,"in"),"")</f>
        <v>0.28399999999999997</v>
      </c>
      <c r="S110" s="45" cm="1">
        <f t="array" ref="S110">IF(NOT(OR(ISBLANK($H110),ISBLANK($I110))),ConvertLength($H110,$I110,"mm"),"")</f>
        <v>7.2135999999999996</v>
      </c>
      <c r="T110" s="45">
        <f t="shared" si="12"/>
        <v>170</v>
      </c>
      <c r="U110" s="45">
        <f t="shared" si="13"/>
        <v>11.0158147</v>
      </c>
      <c r="V110" s="45" cm="1">
        <f t="array" ref="V110">IF(NOT(OR(ISBLANK($L110),ISBLANK($M110))),ConvertSpeed($L110,$M110,"ft/sec"),"")</f>
        <v>2950</v>
      </c>
      <c r="W110" s="45" cm="1">
        <f t="array" ref="W110">IF(NOT(OR(ISBLANK($L110),ISBLANK($M110))),ConvertSpeed($L110,$M110,"m/sec"),"")</f>
        <v>899.16</v>
      </c>
      <c r="X110" s="45" cm="1">
        <f t="array" ref="X110">IF(NOT(OR(ISBLANK(V110),ISBLANK(T110))),MuzzleVelocityToMuzzleEnergyFtLb(V110,T110),"")</f>
        <v>3284.4239076836348</v>
      </c>
      <c r="Y110" s="45" cm="1">
        <f t="array" ref="Y110">IF(NOT(OR(ISBLANK(W110),ISBLANK(U110))),MuzzleVelocityToMuzzleEnergyJoules(W110,U110),"")</f>
        <v>4453.0808839662259</v>
      </c>
      <c r="Z110" s="45" t="str" cm="1">
        <f t="array" ref="Z110">IF(NOT(OR(ISBLANK($N110),ISBLANK($O110))),ConvertSpeed($N110,$O110,"ft/sec"),"")</f>
        <v/>
      </c>
      <c r="AA110" s="46" t="str" cm="1">
        <f t="array" ref="AA110">IF(NOT(OR(ISBLANK($N110),ISBLANK($O110))),ConvertSpeed($N110,$O110,"m/sec"),"")</f>
        <v/>
      </c>
    </row>
    <row r="111" spans="1:27" x14ac:dyDescent="0.25">
      <c r="A111" s="87"/>
      <c r="AA111" s="6"/>
    </row>
    <row r="112" spans="1:27" x14ac:dyDescent="0.25">
      <c r="A112" s="87"/>
      <c r="AA112" s="6"/>
    </row>
    <row r="113" spans="1:27" x14ac:dyDescent="0.25">
      <c r="A113" s="87"/>
      <c r="C113" s="49" t="s">
        <v>72</v>
      </c>
      <c r="D113" s="49" t="s">
        <v>124</v>
      </c>
      <c r="E113" s="49" t="s">
        <v>123</v>
      </c>
      <c r="F113" s="49" t="s">
        <v>125</v>
      </c>
      <c r="G113" s="49" t="s">
        <v>27</v>
      </c>
      <c r="H113" s="49" t="s">
        <v>127</v>
      </c>
      <c r="I113" s="49" t="s">
        <v>24</v>
      </c>
      <c r="J113" s="49" t="s">
        <v>26</v>
      </c>
      <c r="K113" s="49" t="s">
        <v>185</v>
      </c>
      <c r="L113" s="49" t="s">
        <v>180</v>
      </c>
      <c r="M113" s="49" t="s">
        <v>28</v>
      </c>
      <c r="N113" s="49" t="s">
        <v>29</v>
      </c>
      <c r="O113" s="49" t="s">
        <v>126</v>
      </c>
      <c r="P113" s="50" t="s">
        <v>182</v>
      </c>
      <c r="Q113" s="50" t="s">
        <v>183</v>
      </c>
      <c r="R113" s="49" t="s">
        <v>184</v>
      </c>
      <c r="AA113" s="6"/>
    </row>
    <row r="114" spans="1:27" x14ac:dyDescent="0.25">
      <c r="A114" s="87"/>
      <c r="C114" t="s">
        <v>268</v>
      </c>
      <c r="D114" t="s">
        <v>87</v>
      </c>
      <c r="E114" t="s">
        <v>269</v>
      </c>
      <c r="F114" t="s">
        <v>156</v>
      </c>
      <c r="G114" s="25"/>
      <c r="H114" s="51"/>
      <c r="I114" s="25"/>
      <c r="J114" s="25"/>
      <c r="K114" s="5"/>
      <c r="L114" s="51"/>
      <c r="M114" s="25"/>
      <c r="N114" s="25"/>
      <c r="O114" s="51"/>
      <c r="P114" s="25"/>
      <c r="Q114" s="25"/>
      <c r="R114" s="51" t="s">
        <v>181</v>
      </c>
      <c r="AA114" s="6"/>
    </row>
    <row r="115" spans="1:27" ht="15.75" thickBot="1" x14ac:dyDescent="0.3">
      <c r="A115" s="88"/>
      <c r="B115" s="7"/>
      <c r="C115" s="7"/>
      <c r="D115" s="7"/>
      <c r="E115" s="7"/>
      <c r="F115" s="7"/>
      <c r="G115" s="53"/>
      <c r="H115" s="54"/>
      <c r="I115" s="53"/>
      <c r="J115" s="53"/>
      <c r="K115" s="55"/>
      <c r="L115" s="54"/>
      <c r="M115" s="53"/>
      <c r="N115" s="53"/>
      <c r="O115" s="54"/>
      <c r="P115" s="53"/>
      <c r="Q115" s="53"/>
      <c r="R115" s="54" t="s">
        <v>181</v>
      </c>
      <c r="S115" s="7"/>
      <c r="T115" s="7"/>
      <c r="U115" s="7"/>
      <c r="V115" s="7"/>
      <c r="W115" s="7"/>
      <c r="X115" s="7"/>
      <c r="Y115" s="7"/>
      <c r="Z115" s="7"/>
      <c r="AA115" s="56"/>
    </row>
    <row r="116" spans="1:27" x14ac:dyDescent="0.25">
      <c r="A116" s="24"/>
    </row>
    <row r="117" spans="1:27" x14ac:dyDescent="0.25">
      <c r="A117" s="24"/>
    </row>
    <row r="118" spans="1:27" ht="15.75" thickBot="1" x14ac:dyDescent="0.3">
      <c r="A118" s="24"/>
    </row>
    <row r="119" spans="1:27" x14ac:dyDescent="0.25">
      <c r="A119" s="75"/>
      <c r="B119" s="59"/>
      <c r="C119" s="59"/>
      <c r="D119" s="59"/>
      <c r="E119" s="59"/>
      <c r="F119" s="59"/>
      <c r="G119" s="59"/>
      <c r="H119" s="59"/>
      <c r="I119" s="59"/>
      <c r="J119" s="59"/>
      <c r="K119" s="59"/>
      <c r="L119" s="59"/>
      <c r="M119" s="59"/>
      <c r="N119" s="59"/>
      <c r="O119" s="59"/>
      <c r="P119" s="59"/>
      <c r="Q119" s="59"/>
      <c r="R119" s="59"/>
      <c r="S119" s="59"/>
      <c r="T119" s="59"/>
      <c r="U119" s="59"/>
      <c r="V119" s="59"/>
      <c r="W119" s="59"/>
      <c r="X119" s="59"/>
      <c r="Y119" s="59"/>
      <c r="Z119" s="59"/>
      <c r="AA119" s="60"/>
    </row>
    <row r="120" spans="1:27" ht="30" x14ac:dyDescent="0.25">
      <c r="A120" s="85" t="s">
        <v>78</v>
      </c>
      <c r="C120" s="15" t="s">
        <v>72</v>
      </c>
      <c r="D120" s="15" t="s">
        <v>193</v>
      </c>
      <c r="E120" s="15" t="s">
        <v>2</v>
      </c>
      <c r="F120" s="15" t="s">
        <v>73</v>
      </c>
      <c r="G120" s="15" t="s">
        <v>6</v>
      </c>
      <c r="H120" s="16" t="s">
        <v>104</v>
      </c>
      <c r="I120" s="16" t="s">
        <v>110</v>
      </c>
      <c r="J120" s="17" t="s">
        <v>27</v>
      </c>
      <c r="K120" s="17" t="s">
        <v>111</v>
      </c>
      <c r="L120" s="18" t="s">
        <v>106</v>
      </c>
      <c r="M120" s="18" t="s">
        <v>108</v>
      </c>
      <c r="N120" s="15" t="s">
        <v>95</v>
      </c>
      <c r="O120" s="15" t="s">
        <v>109</v>
      </c>
      <c r="P120" s="14" t="s">
        <v>99</v>
      </c>
      <c r="Q120" s="14" t="s">
        <v>98</v>
      </c>
      <c r="R120" s="16" t="s">
        <v>112</v>
      </c>
      <c r="S120" s="18" t="s">
        <v>74</v>
      </c>
      <c r="T120" s="18" t="s">
        <v>113</v>
      </c>
      <c r="U120" s="15" t="s">
        <v>114</v>
      </c>
      <c r="V120" s="15" t="s">
        <v>115</v>
      </c>
      <c r="W120" s="15" t="s">
        <v>119</v>
      </c>
      <c r="X120" s="15" t="s">
        <v>116</v>
      </c>
      <c r="Y120" s="15" t="s">
        <v>75</v>
      </c>
      <c r="Z120" s="15" t="s">
        <v>96</v>
      </c>
      <c r="AA120" s="61" t="s">
        <v>97</v>
      </c>
    </row>
    <row r="121" spans="1:27" x14ac:dyDescent="0.25">
      <c r="A121" s="87"/>
      <c r="C121" s="2" t="s">
        <v>241</v>
      </c>
      <c r="D121" s="2" t="s">
        <v>4</v>
      </c>
      <c r="E121" t="s">
        <v>78</v>
      </c>
      <c r="F121" t="s">
        <v>304</v>
      </c>
      <c r="G121" t="s">
        <v>47</v>
      </c>
      <c r="H121" s="43">
        <f>IF(NOT(ISBLANK($E121)),_xlfn.XLOOKUP($E121,CartridgeNames[Available Chamberings],CartridgeNames[Bullet Caliber],"n/a",0,1),"")</f>
        <v>0.308</v>
      </c>
      <c r="I121" s="62" t="str">
        <f>IF(NOT(ISBLANK($E121)),_xlfn.XLOOKUP($E121,CartridgeNames[Available Chamberings],CartridgeNames[Caliber(Units)],"n/a",0,1),"")</f>
        <v>in</v>
      </c>
      <c r="J121">
        <v>170</v>
      </c>
      <c r="K121" t="s">
        <v>117</v>
      </c>
      <c r="L121" s="1">
        <v>2200</v>
      </c>
      <c r="M121" t="s">
        <v>121</v>
      </c>
      <c r="O121" t="s">
        <v>121</v>
      </c>
      <c r="P121">
        <v>0.254</v>
      </c>
      <c r="R121" s="45" cm="1">
        <f t="array" ref="R121">IF(NOT(OR(ISBLANK($H121),ISBLANK($I121))),ConvertLength($H121,$I121,"in"),"")</f>
        <v>0.308</v>
      </c>
      <c r="S121" s="45" cm="1">
        <f t="array" ref="S121">IF(NOT(OR(ISBLANK($H121),ISBLANK($I121))),ConvertLength($H121,$I121,"mm"),"")</f>
        <v>7.8232000000000008</v>
      </c>
      <c r="T121" s="45">
        <f t="shared" ref="T121:T126" si="14">IF(NOT(AND(ISBLANK($J121),ISBLANK($K121))),CONVERT($J121,$K121,"grain"),"")</f>
        <v>170</v>
      </c>
      <c r="U121" s="45">
        <f t="shared" ref="U121:U126" si="15">IF(NOT(AND(ISBLANK($J121),ISBLANK($K121))),CONVERT($J121,$K121,"g"),"")</f>
        <v>11.0158147</v>
      </c>
      <c r="V121" s="45" cm="1">
        <f t="array" ref="V121">IF(NOT(OR(ISBLANK($L121),ISBLANK($M121))),ConvertSpeed($L121,$M121,"ft/sec"),"")</f>
        <v>2200</v>
      </c>
      <c r="W121" s="45" cm="1">
        <f t="array" ref="W121">IF(NOT(OR(ISBLANK($L121),ISBLANK($M121))),ConvertSpeed($L121,$M121,"m/sec"),"")</f>
        <v>670.56</v>
      </c>
      <c r="X121" s="45" cm="1">
        <f t="array" ref="X121">IF(NOT(OR(ISBLANK(V121),ISBLANK(T121))),MuzzleVelocityToMuzzleEnergyFtLb(V121,T121),"")</f>
        <v>1826.671842940395</v>
      </c>
      <c r="Y121" s="45" cm="1">
        <f t="array" ref="Y121">IF(NOT(OR(ISBLANK(W121),ISBLANK(U121))),MuzzleVelocityToMuzzleEnergyJoules(W121,U121),"")</f>
        <v>2476.6344703701843</v>
      </c>
      <c r="Z121" s="45" t="str" cm="1">
        <f t="array" ref="Z121">IF(NOT(OR(ISBLANK($N121),ISBLANK($O121))),ConvertSpeed($N121,$O121,"ft/sec"),"")</f>
        <v/>
      </c>
      <c r="AA121" s="46" t="str" cm="1">
        <f t="array" ref="AA121">IF(NOT(OR(ISBLANK($N121),ISBLANK($O121))),ConvertSpeed($N121,$O121,"m/sec"),"")</f>
        <v/>
      </c>
    </row>
    <row r="122" spans="1:27" x14ac:dyDescent="0.25">
      <c r="A122" s="87"/>
      <c r="C122" s="2" t="s">
        <v>242</v>
      </c>
      <c r="D122" s="2" t="s">
        <v>4</v>
      </c>
      <c r="E122" s="47" t="str">
        <f>$E121</f>
        <v>30-30 Winchester</v>
      </c>
      <c r="F122" t="s">
        <v>227</v>
      </c>
      <c r="G122" t="s">
        <v>47</v>
      </c>
      <c r="H122" s="43">
        <f>IF(NOT(ISBLANK($E122)),_xlfn.XLOOKUP($E122,CartridgeNames[Available Chamberings],CartridgeNames[Bullet Caliber],"n/a",0,1),"")</f>
        <v>0.308</v>
      </c>
      <c r="I122" s="62" t="str">
        <f>IF(NOT(ISBLANK($E122)),_xlfn.XLOOKUP($E122,CartridgeNames[Available Chamberings],CartridgeNames[Caliber(Units)],"n/a",0,1),"")</f>
        <v>in</v>
      </c>
      <c r="J122">
        <v>150</v>
      </c>
      <c r="K122" t="s">
        <v>117</v>
      </c>
      <c r="L122" s="1">
        <v>2390</v>
      </c>
      <c r="M122" t="s">
        <v>121</v>
      </c>
      <c r="O122" t="s">
        <v>121</v>
      </c>
      <c r="P122">
        <v>0.193</v>
      </c>
      <c r="Q122" t="s">
        <v>21</v>
      </c>
      <c r="R122" s="45" cm="1">
        <f t="array" ref="R122">IF(NOT(OR(ISBLANK($H122),ISBLANK($I122))),ConvertLength($H122,$I122,"in"),"")</f>
        <v>0.308</v>
      </c>
      <c r="S122" s="45" cm="1">
        <f t="array" ref="S122">IF(NOT(OR(ISBLANK($H122),ISBLANK($I122))),ConvertLength($H122,$I122,"mm"),"")</f>
        <v>7.8232000000000008</v>
      </c>
      <c r="T122" s="45">
        <f t="shared" si="14"/>
        <v>150</v>
      </c>
      <c r="U122" s="45">
        <f t="shared" si="15"/>
        <v>9.7198364999999995</v>
      </c>
      <c r="V122" s="45" cm="1">
        <f t="array" ref="V122">IF(NOT(OR(ISBLANK($L122),ISBLANK($M122))),ConvertSpeed($L122,$M122,"ft/sec"),"")</f>
        <v>2390</v>
      </c>
      <c r="W122" s="45" cm="1">
        <f t="array" ref="W122">IF(NOT(OR(ISBLANK($L122),ISBLANK($M122))),ConvertSpeed($L122,$M122,"m/sec"),"")</f>
        <v>728.47199999999998</v>
      </c>
      <c r="X122" s="45" cm="1">
        <f t="array" ref="X122">IF(NOT(OR(ISBLANK(V122),ISBLANK(T122))),MuzzleVelocityToMuzzleEnergyFtLb(V122,T122),"")</f>
        <v>1902.1874515179563</v>
      </c>
      <c r="Y122" s="45" cm="1">
        <f t="array" ref="Y122">IF(NOT(OR(ISBLANK(W122),ISBLANK(U122))),MuzzleVelocityToMuzzleEnergyJoules(W122,U122),"")</f>
        <v>2579.0198878588108</v>
      </c>
      <c r="Z122" s="45" t="str" cm="1">
        <f t="array" ref="Z122">IF(NOT(OR(ISBLANK($N122),ISBLANK($O122))),ConvertSpeed($N122,$O122,"ft/sec"),"")</f>
        <v/>
      </c>
      <c r="AA122" s="46" t="str" cm="1">
        <f t="array" ref="AA122">IF(NOT(OR(ISBLANK($N122),ISBLANK($O122))),ConvertSpeed($N122,$O122,"m/sec"),"")</f>
        <v/>
      </c>
    </row>
    <row r="123" spans="1:27" x14ac:dyDescent="0.25">
      <c r="A123" s="87"/>
      <c r="C123" s="2" t="s">
        <v>243</v>
      </c>
      <c r="D123" s="2" t="s">
        <v>4</v>
      </c>
      <c r="E123" s="47" t="str">
        <f>$E121</f>
        <v>30-30 Winchester</v>
      </c>
      <c r="F123" t="s">
        <v>305</v>
      </c>
      <c r="G123" t="s">
        <v>47</v>
      </c>
      <c r="H123" s="43">
        <f>IF(NOT(ISBLANK($E123)),_xlfn.XLOOKUP($E123,CartridgeNames[Available Chamberings],CartridgeNames[Bullet Caliber],"n/a",0,1),"")</f>
        <v>0.308</v>
      </c>
      <c r="I123" s="62" t="str">
        <f>IF(NOT(ISBLANK($E123)),_xlfn.XLOOKUP($E123,CartridgeNames[Available Chamberings],CartridgeNames[Caliber(Units)],"n/a",0,1),"")</f>
        <v>in</v>
      </c>
      <c r="J123">
        <v>125</v>
      </c>
      <c r="K123" t="s">
        <v>117</v>
      </c>
      <c r="L123" s="1">
        <v>2175</v>
      </c>
      <c r="M123" t="s">
        <v>121</v>
      </c>
      <c r="O123" t="s">
        <v>121</v>
      </c>
      <c r="P123">
        <v>0.215</v>
      </c>
      <c r="R123" s="45" cm="1">
        <f t="array" ref="R123">IF(NOT(OR(ISBLANK($H123),ISBLANK($I123))),ConvertLength($H123,$I123,"in"),"")</f>
        <v>0.308</v>
      </c>
      <c r="S123" s="45" cm="1">
        <f t="array" ref="S123">IF(NOT(OR(ISBLANK($H123),ISBLANK($I123))),ConvertLength($H123,$I123,"mm"),"")</f>
        <v>7.8232000000000008</v>
      </c>
      <c r="T123" s="45">
        <f t="shared" si="14"/>
        <v>125.00000000000001</v>
      </c>
      <c r="U123" s="45">
        <f t="shared" si="15"/>
        <v>8.0998637500000008</v>
      </c>
      <c r="V123" s="45" cm="1">
        <f t="array" ref="V123">IF(NOT(OR(ISBLANK($L123),ISBLANK($M123))),ConvertSpeed($L123,$M123,"ft/sec"),"")</f>
        <v>2175</v>
      </c>
      <c r="W123" s="45" cm="1">
        <f t="array" ref="W123">IF(NOT(OR(ISBLANK($L123),ISBLANK($M123))),ConvertSpeed($L123,$M123,"m/sec"),"")</f>
        <v>662.94</v>
      </c>
      <c r="X123" s="45" cm="1">
        <f t="array" ref="X123">IF(NOT(OR(ISBLANK(V123),ISBLANK(T123))),MuzzleVelocityToMuzzleEnergyFtLb(V123,T123),"")</f>
        <v>1312.7885705836638</v>
      </c>
      <c r="Y123" s="45" cm="1">
        <f t="array" ref="Y123">IF(NOT(OR(ISBLANK(W123),ISBLANK(U123))),MuzzleVelocityToMuzzleEnergyJoules(W123,U123),"")</f>
        <v>1779.9023063616551</v>
      </c>
      <c r="Z123" s="45" t="str" cm="1">
        <f t="array" ref="Z123">IF(NOT(OR(ISBLANK($N123),ISBLANK($O123))),ConvertSpeed($N123,$O123,"ft/sec"),"")</f>
        <v/>
      </c>
      <c r="AA123" s="46" t="str" cm="1">
        <f t="array" ref="AA123">IF(NOT(OR(ISBLANK($N123),ISBLANK($O123))),ConvertSpeed($N123,$O123,"m/sec"),"")</f>
        <v/>
      </c>
    </row>
    <row r="124" spans="1:27" x14ac:dyDescent="0.25">
      <c r="A124" s="87"/>
      <c r="C124" s="2" t="s">
        <v>241</v>
      </c>
      <c r="D124" s="2" t="s">
        <v>195</v>
      </c>
      <c r="E124" s="47" t="str">
        <f>$E121</f>
        <v>30-30 Winchester</v>
      </c>
      <c r="F124" t="s">
        <v>304</v>
      </c>
      <c r="G124" t="s">
        <v>47</v>
      </c>
      <c r="H124" s="43">
        <f>IF(NOT(ISBLANK($E124)),_xlfn.XLOOKUP($E124,CartridgeNames[Available Chamberings],CartridgeNames[Bullet Caliber],"n/a",0,1),"")</f>
        <v>0.308</v>
      </c>
      <c r="I124" s="62" t="str">
        <f>IF(NOT(ISBLANK($E124)),_xlfn.XLOOKUP($E124,CartridgeNames[Available Chamberings],CartridgeNames[Caliber(Units)],"n/a",0,1),"")</f>
        <v>in</v>
      </c>
      <c r="J124">
        <v>170</v>
      </c>
      <c r="K124" t="s">
        <v>117</v>
      </c>
      <c r="L124" s="1">
        <v>2200</v>
      </c>
      <c r="M124" t="s">
        <v>121</v>
      </c>
      <c r="O124" t="s">
        <v>121</v>
      </c>
      <c r="R124" s="45" cm="1">
        <f t="array" ref="R124">IF(NOT(OR(ISBLANK($H124),ISBLANK($I124))),ConvertLength($H124,$I124,"in"),"")</f>
        <v>0.308</v>
      </c>
      <c r="S124" s="45" cm="1">
        <f t="array" ref="S124">IF(NOT(OR(ISBLANK($H124),ISBLANK($I124))),ConvertLength($H124,$I124,"mm"),"")</f>
        <v>7.8232000000000008</v>
      </c>
      <c r="T124" s="45">
        <f t="shared" si="14"/>
        <v>170</v>
      </c>
      <c r="U124" s="45">
        <f t="shared" si="15"/>
        <v>11.0158147</v>
      </c>
      <c r="V124" s="45" cm="1">
        <f t="array" ref="V124">IF(NOT(OR(ISBLANK($L124),ISBLANK($M124))),ConvertSpeed($L124,$M124,"ft/sec"),"")</f>
        <v>2200</v>
      </c>
      <c r="W124" s="45" cm="1">
        <f t="array" ref="W124">IF(NOT(OR(ISBLANK($L124),ISBLANK($M124))),ConvertSpeed($L124,$M124,"m/sec"),"")</f>
        <v>670.56</v>
      </c>
      <c r="X124" s="45" cm="1">
        <f t="array" ref="X124">IF(NOT(OR(ISBLANK(V124),ISBLANK(T124))),MuzzleVelocityToMuzzleEnergyFtLb(V124,T124),"")</f>
        <v>1826.671842940395</v>
      </c>
      <c r="Y124" s="45" cm="1">
        <f t="array" ref="Y124">IF(NOT(OR(ISBLANK(W124),ISBLANK(U124))),MuzzleVelocityToMuzzleEnergyJoules(W124,U124),"")</f>
        <v>2476.6344703701843</v>
      </c>
      <c r="Z124" s="45" t="str" cm="1">
        <f t="array" ref="Z124">IF(NOT(OR(ISBLANK($N124),ISBLANK($O124))),ConvertSpeed($N124,$O124,"ft/sec"),"")</f>
        <v/>
      </c>
      <c r="AA124" s="46" t="str" cm="1">
        <f t="array" ref="AA124">IF(NOT(OR(ISBLANK($N124),ISBLANK($O124))),ConvertSpeed($N124,$O124,"m/sec"),"")</f>
        <v/>
      </c>
    </row>
    <row r="125" spans="1:27" x14ac:dyDescent="0.25">
      <c r="A125" s="87"/>
      <c r="C125" s="2" t="s">
        <v>242</v>
      </c>
      <c r="D125" s="2" t="s">
        <v>195</v>
      </c>
      <c r="E125" s="47" t="str">
        <f>$E121</f>
        <v>30-30 Winchester</v>
      </c>
      <c r="F125" t="s">
        <v>227</v>
      </c>
      <c r="G125" t="s">
        <v>47</v>
      </c>
      <c r="H125" s="43">
        <f>IF(NOT(ISBLANK($E125)),_xlfn.XLOOKUP($E125,CartridgeNames[Available Chamberings],CartridgeNames[Bullet Caliber],"n/a",0,1),"")</f>
        <v>0.308</v>
      </c>
      <c r="I125" s="62" t="str">
        <f>IF(NOT(ISBLANK($E125)),_xlfn.XLOOKUP($E125,CartridgeNames[Available Chamberings],CartridgeNames[Caliber(Units)],"n/a",0,1),"")</f>
        <v>in</v>
      </c>
      <c r="J125">
        <v>150</v>
      </c>
      <c r="K125" t="s">
        <v>117</v>
      </c>
      <c r="L125" s="1">
        <v>2390</v>
      </c>
      <c r="M125" t="s">
        <v>121</v>
      </c>
      <c r="O125" t="s">
        <v>121</v>
      </c>
      <c r="R125" s="45" cm="1">
        <f t="array" ref="R125">IF(NOT(OR(ISBLANK($H125),ISBLANK($I125))),ConvertLength($H125,$I125,"in"),"")</f>
        <v>0.308</v>
      </c>
      <c r="S125" s="45" cm="1">
        <f t="array" ref="S125">IF(NOT(OR(ISBLANK($H125),ISBLANK($I125))),ConvertLength($H125,$I125,"mm"),"")</f>
        <v>7.8232000000000008</v>
      </c>
      <c r="T125" s="45">
        <f t="shared" si="14"/>
        <v>150</v>
      </c>
      <c r="U125" s="45">
        <f t="shared" si="15"/>
        <v>9.7198364999999995</v>
      </c>
      <c r="V125" s="45" cm="1">
        <f t="array" ref="V125">IF(NOT(OR(ISBLANK($L125),ISBLANK($M125))),ConvertSpeed($L125,$M125,"ft/sec"),"")</f>
        <v>2390</v>
      </c>
      <c r="W125" s="45" cm="1">
        <f t="array" ref="W125">IF(NOT(OR(ISBLANK($L125),ISBLANK($M125))),ConvertSpeed($L125,$M125,"m/sec"),"")</f>
        <v>728.47199999999998</v>
      </c>
      <c r="X125" s="45" cm="1">
        <f t="array" ref="X125">IF(NOT(OR(ISBLANK(V125),ISBLANK(T125))),MuzzleVelocityToMuzzleEnergyFtLb(V125,T125),"")</f>
        <v>1902.1874515179563</v>
      </c>
      <c r="Y125" s="45" cm="1">
        <f t="array" ref="Y125">IF(NOT(OR(ISBLANK(W125),ISBLANK(U125))),MuzzleVelocityToMuzzleEnergyJoules(W125,U125),"")</f>
        <v>2579.0198878588108</v>
      </c>
      <c r="Z125" s="45" t="str" cm="1">
        <f t="array" ref="Z125">IF(NOT(OR(ISBLANK($N125),ISBLANK($O125))),ConvertSpeed($N125,$O125,"ft/sec"),"")</f>
        <v/>
      </c>
      <c r="AA125" s="46" t="str" cm="1">
        <f t="array" ref="AA125">IF(NOT(OR(ISBLANK($N125),ISBLANK($O125))),ConvertSpeed($N125,$O125,"m/sec"),"")</f>
        <v/>
      </c>
    </row>
    <row r="126" spans="1:27" x14ac:dyDescent="0.25">
      <c r="A126" s="87"/>
      <c r="C126" s="2" t="s">
        <v>243</v>
      </c>
      <c r="D126" s="2" t="s">
        <v>195</v>
      </c>
      <c r="E126" s="47" t="str">
        <f>$E121</f>
        <v>30-30 Winchester</v>
      </c>
      <c r="F126" t="s">
        <v>305</v>
      </c>
      <c r="G126" t="s">
        <v>47</v>
      </c>
      <c r="H126" s="43">
        <f>IF(NOT(ISBLANK($E126)),_xlfn.XLOOKUP($E126,CartridgeNames[Available Chamberings],CartridgeNames[Bullet Caliber],"n/a",0,1),"")</f>
        <v>0.308</v>
      </c>
      <c r="I126" s="62" t="str">
        <f>IF(NOT(ISBLANK($E126)),_xlfn.XLOOKUP($E126,CartridgeNames[Available Chamberings],CartridgeNames[Caliber(Units)],"n/a",0,1),"")</f>
        <v>in</v>
      </c>
      <c r="J126">
        <v>125</v>
      </c>
      <c r="K126" t="s">
        <v>117</v>
      </c>
      <c r="L126" s="1">
        <v>2175</v>
      </c>
      <c r="M126" t="s">
        <v>121</v>
      </c>
      <c r="O126" t="s">
        <v>121</v>
      </c>
      <c r="R126" s="45" cm="1">
        <f t="array" ref="R126">IF(NOT(OR(ISBLANK($H126),ISBLANK($I126))),ConvertLength($H126,$I126,"in"),"")</f>
        <v>0.308</v>
      </c>
      <c r="S126" s="45" cm="1">
        <f t="array" ref="S126">IF(NOT(OR(ISBLANK($H126),ISBLANK($I126))),ConvertLength($H126,$I126,"mm"),"")</f>
        <v>7.8232000000000008</v>
      </c>
      <c r="T126" s="45">
        <f t="shared" si="14"/>
        <v>125.00000000000001</v>
      </c>
      <c r="U126" s="45">
        <f t="shared" si="15"/>
        <v>8.0998637500000008</v>
      </c>
      <c r="V126" s="45" cm="1">
        <f t="array" ref="V126">IF(NOT(OR(ISBLANK($L126),ISBLANK($M126))),ConvertSpeed($L126,$M126,"ft/sec"),"")</f>
        <v>2175</v>
      </c>
      <c r="W126" s="45" cm="1">
        <f t="array" ref="W126">IF(NOT(OR(ISBLANK($L126),ISBLANK($M126))),ConvertSpeed($L126,$M126,"m/sec"),"")</f>
        <v>662.94</v>
      </c>
      <c r="X126" s="45" cm="1">
        <f t="array" ref="X126">IF(NOT(OR(ISBLANK(V126),ISBLANK(T126))),MuzzleVelocityToMuzzleEnergyFtLb(V126,T126),"")</f>
        <v>1312.7885705836638</v>
      </c>
      <c r="Y126" s="45" cm="1">
        <f t="array" ref="Y126">IF(NOT(OR(ISBLANK(W126),ISBLANK(U126))),MuzzleVelocityToMuzzleEnergyJoules(W126,U126),"")</f>
        <v>1779.9023063616551</v>
      </c>
      <c r="Z126" s="45" t="str" cm="1">
        <f t="array" ref="Z126">IF(NOT(OR(ISBLANK($N126),ISBLANK($O126))),ConvertSpeed($N126,$O126,"ft/sec"),"")</f>
        <v/>
      </c>
      <c r="AA126" s="46" t="str" cm="1">
        <f t="array" ref="AA126">IF(NOT(OR(ISBLANK($N126),ISBLANK($O126))),ConvertSpeed($N126,$O126,"m/sec"),"")</f>
        <v/>
      </c>
    </row>
    <row r="127" spans="1:27" x14ac:dyDescent="0.25">
      <c r="A127" s="87"/>
      <c r="AA127" s="6"/>
    </row>
    <row r="128" spans="1:27" x14ac:dyDescent="0.25">
      <c r="A128" s="87"/>
      <c r="C128" s="76" t="s">
        <v>72</v>
      </c>
      <c r="D128" s="76" t="s">
        <v>124</v>
      </c>
      <c r="E128" s="76" t="s">
        <v>123</v>
      </c>
      <c r="F128" s="76" t="s">
        <v>125</v>
      </c>
      <c r="G128" s="76" t="s">
        <v>27</v>
      </c>
      <c r="H128" s="76" t="s">
        <v>127</v>
      </c>
      <c r="I128" s="76" t="s">
        <v>24</v>
      </c>
      <c r="J128" s="76" t="s">
        <v>26</v>
      </c>
      <c r="K128" s="76" t="s">
        <v>185</v>
      </c>
      <c r="L128" s="76" t="s">
        <v>180</v>
      </c>
      <c r="M128" s="76" t="s">
        <v>28</v>
      </c>
      <c r="N128" s="76" t="s">
        <v>29</v>
      </c>
      <c r="O128" s="76" t="s">
        <v>126</v>
      </c>
      <c r="P128" s="77" t="s">
        <v>182</v>
      </c>
      <c r="Q128" s="77" t="s">
        <v>183</v>
      </c>
      <c r="R128" s="76" t="s">
        <v>184</v>
      </c>
      <c r="AA128" s="6"/>
    </row>
    <row r="129" spans="1:27" x14ac:dyDescent="0.25">
      <c r="A129" s="87"/>
      <c r="C129" t="s">
        <v>287</v>
      </c>
      <c r="D129" t="s">
        <v>78</v>
      </c>
      <c r="E129" t="s">
        <v>289</v>
      </c>
      <c r="F129" t="s">
        <v>288</v>
      </c>
      <c r="G129" s="25"/>
      <c r="H129" s="51"/>
      <c r="I129" s="25"/>
      <c r="J129" s="25"/>
      <c r="K129" s="5"/>
      <c r="L129" s="51"/>
      <c r="M129" s="25"/>
      <c r="N129" s="25"/>
      <c r="O129" s="51"/>
      <c r="P129" s="25"/>
      <c r="Q129" s="25"/>
      <c r="R129" s="51" t="s">
        <v>181</v>
      </c>
      <c r="AA129" s="6"/>
    </row>
    <row r="130" spans="1:27" ht="15.75" thickBot="1" x14ac:dyDescent="0.3">
      <c r="A130" s="74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56"/>
    </row>
    <row r="131" spans="1:27" x14ac:dyDescent="0.25">
      <c r="A131" s="24"/>
    </row>
    <row r="132" spans="1:27" x14ac:dyDescent="0.25">
      <c r="A132" s="24"/>
    </row>
    <row r="133" spans="1:27" x14ac:dyDescent="0.25">
      <c r="A133" s="24"/>
    </row>
    <row r="134" spans="1:27" x14ac:dyDescent="0.25">
      <c r="A134" s="24"/>
    </row>
    <row r="135" spans="1:27" x14ac:dyDescent="0.25">
      <c r="A135" s="24"/>
    </row>
    <row r="136" spans="1:27" x14ac:dyDescent="0.25">
      <c r="A136" s="24"/>
    </row>
    <row r="137" spans="1:27" ht="21.75" customHeight="1" thickBot="1" x14ac:dyDescent="0.3">
      <c r="A137" s="30"/>
    </row>
    <row r="138" spans="1:27" ht="29.25" customHeight="1" x14ac:dyDescent="0.25">
      <c r="A138" s="30"/>
      <c r="B138" s="35"/>
      <c r="C138" s="59"/>
      <c r="D138" s="59"/>
      <c r="E138" s="59"/>
      <c r="F138" s="59"/>
      <c r="G138" s="59"/>
      <c r="H138" s="59"/>
      <c r="I138" s="59"/>
      <c r="J138" s="59"/>
      <c r="K138" s="59"/>
      <c r="L138" s="59"/>
      <c r="M138" s="59"/>
      <c r="N138" s="59"/>
      <c r="O138" s="59"/>
      <c r="P138" s="59"/>
      <c r="Q138" s="59"/>
      <c r="R138" s="59"/>
      <c r="S138" s="59"/>
      <c r="T138" s="59"/>
      <c r="U138" s="59"/>
      <c r="V138" s="59"/>
      <c r="W138" s="59"/>
      <c r="X138" s="59"/>
      <c r="Y138" s="59"/>
      <c r="Z138" s="59"/>
      <c r="AA138" s="60"/>
    </row>
    <row r="139" spans="1:27" ht="23.25" customHeight="1" x14ac:dyDescent="0.25">
      <c r="A139" s="30" t="s">
        <v>79</v>
      </c>
      <c r="B139" s="42"/>
      <c r="C139" s="15" t="s">
        <v>72</v>
      </c>
      <c r="D139" s="15" t="s">
        <v>193</v>
      </c>
      <c r="E139" s="15" t="s">
        <v>2</v>
      </c>
      <c r="F139" s="15" t="s">
        <v>73</v>
      </c>
      <c r="G139" s="15" t="s">
        <v>6</v>
      </c>
      <c r="H139" s="16" t="s">
        <v>104</v>
      </c>
      <c r="I139" s="16" t="s">
        <v>110</v>
      </c>
      <c r="J139" s="17" t="s">
        <v>27</v>
      </c>
      <c r="K139" s="17" t="s">
        <v>111</v>
      </c>
      <c r="L139" s="18" t="s">
        <v>106</v>
      </c>
      <c r="M139" s="18" t="s">
        <v>108</v>
      </c>
      <c r="N139" s="15" t="s">
        <v>95</v>
      </c>
      <c r="O139" s="15" t="s">
        <v>109</v>
      </c>
      <c r="P139" s="14" t="s">
        <v>99</v>
      </c>
      <c r="Q139" s="14" t="s">
        <v>98</v>
      </c>
      <c r="R139" s="16" t="s">
        <v>112</v>
      </c>
      <c r="S139" s="18" t="s">
        <v>74</v>
      </c>
      <c r="T139" s="18" t="s">
        <v>113</v>
      </c>
      <c r="U139" s="15" t="s">
        <v>114</v>
      </c>
      <c r="V139" s="15" t="s">
        <v>115</v>
      </c>
      <c r="W139" s="15" t="s">
        <v>119</v>
      </c>
      <c r="X139" s="15" t="s">
        <v>116</v>
      </c>
      <c r="Y139" s="15" t="s">
        <v>75</v>
      </c>
      <c r="Z139" s="15" t="s">
        <v>96</v>
      </c>
      <c r="AA139" s="61" t="s">
        <v>97</v>
      </c>
    </row>
    <row r="140" spans="1:27" x14ac:dyDescent="0.25">
      <c r="A140" s="24"/>
      <c r="B140" s="42"/>
      <c r="C140" s="2" t="s">
        <v>186</v>
      </c>
      <c r="D140" s="2" t="s">
        <v>4</v>
      </c>
      <c r="E140" t="s">
        <v>79</v>
      </c>
      <c r="F140" t="s">
        <v>298</v>
      </c>
      <c r="G140" t="s">
        <v>49</v>
      </c>
      <c r="H140" s="43">
        <f>IF(NOT(ISBLANK($E140)),_xlfn.XLOOKUP($E140,CartridgeNames[Available Chamberings],CartridgeNames[Bullet Caliber],"n/a",0,1),"")</f>
        <v>0.308</v>
      </c>
      <c r="I140" s="62" t="str">
        <f>IF(NOT(ISBLANK($E140)),_xlfn.XLOOKUP($E140,CartridgeNames[Available Chamberings],CartridgeNames[Caliber(Units)],"n/a",0,1),"")</f>
        <v>in</v>
      </c>
      <c r="J140">
        <v>165</v>
      </c>
      <c r="K140" t="s">
        <v>117</v>
      </c>
      <c r="L140">
        <v>2650</v>
      </c>
      <c r="M140" t="s">
        <v>121</v>
      </c>
      <c r="O140" t="s">
        <v>121</v>
      </c>
      <c r="P140">
        <v>0.39800000000000002</v>
      </c>
      <c r="R140" s="45" cm="1">
        <f t="array" ref="R140">IF(NOT(OR(ISBLANK($H140),ISBLANK($I140))),ConvertLength($H140,$I140,"in"),"")</f>
        <v>0.308</v>
      </c>
      <c r="S140" s="45" cm="1">
        <f t="array" ref="S140">IF(NOT(OR(ISBLANK($H140),ISBLANK($I140))),ConvertLength($H140,$I140,"mm"),"")</f>
        <v>7.8232000000000008</v>
      </c>
      <c r="T140" s="45">
        <f t="shared" ref="T140:T145" si="16">IF(NOT(AND(ISBLANK($J140),ISBLANK($K140))),CONVERT($J140,$K140,"grain"),"")</f>
        <v>165</v>
      </c>
      <c r="U140" s="45">
        <f t="shared" ref="U140:U145" si="17">IF(NOT(AND(ISBLANK($J140),ISBLANK($K140))),CONVERT($J140,$K140,"g"),"")</f>
        <v>10.69182015</v>
      </c>
      <c r="V140" s="45" cm="1">
        <f t="array" ref="V140">IF(NOT(OR(ISBLANK($L140),ISBLANK($M140))),ConvertSpeed($L140,$M140,"ft/sec"),"")</f>
        <v>2650</v>
      </c>
      <c r="W140" s="45" cm="1">
        <f t="array" ref="W140">IF(NOT(OR(ISBLANK($L140),ISBLANK($M140))),ConvertSpeed($L140,$M140,"m/sec"),"")</f>
        <v>807.72</v>
      </c>
      <c r="X140" s="45" cm="1">
        <f t="array" ref="X140">IF(NOT(OR(ISBLANK(V140),ISBLANK(T140))),MuzzleVelocityToMuzzleEnergyFtLb(V140,T140),"")</f>
        <v>2572.4203911194377</v>
      </c>
      <c r="Y140" s="45" cm="1">
        <f t="array" ref="Y140">IF(NOT(OR(ISBLANK(W140),ISBLANK(U140))),MuzzleVelocityToMuzzleEnergyJoules(W140,U140),"")</f>
        <v>3487.7337369334141</v>
      </c>
      <c r="Z140" s="45" t="str" cm="1">
        <f t="array" ref="Z140">IF(NOT(OR(ISBLANK($N140),ISBLANK($O140))),ConvertSpeed($N140,$O140,"ft/sec"),"")</f>
        <v/>
      </c>
      <c r="AA140" s="46" t="str" cm="1">
        <f t="array" ref="AA140">IF(NOT(OR(ISBLANK($N140),ISBLANK($O140))),ConvertSpeed($N140,$O140,"m/sec"),"")</f>
        <v/>
      </c>
    </row>
    <row r="141" spans="1:27" x14ac:dyDescent="0.25">
      <c r="A141" s="24"/>
      <c r="B141" s="42"/>
      <c r="C141" s="2" t="s">
        <v>187</v>
      </c>
      <c r="D141" s="2" t="s">
        <v>4</v>
      </c>
      <c r="E141" s="47" t="str">
        <f>$E$140</f>
        <v>308 Winchester</v>
      </c>
      <c r="F141" t="s">
        <v>227</v>
      </c>
      <c r="G141" t="s">
        <v>47</v>
      </c>
      <c r="H141" s="43">
        <f>IF(NOT(ISBLANK($E141)),_xlfn.XLOOKUP($E141,CartridgeNames[Available Chamberings],CartridgeNames[Bullet Caliber],"n/a",0,1),"")</f>
        <v>0.308</v>
      </c>
      <c r="I141" s="62" t="str">
        <f>IF(NOT(ISBLANK($E141)),_xlfn.XLOOKUP($E141,CartridgeNames[Available Chamberings],CartridgeNames[Caliber(Units)],"n/a",0,1),"")</f>
        <v>in</v>
      </c>
      <c r="J141">
        <v>180</v>
      </c>
      <c r="K141" t="s">
        <v>117</v>
      </c>
      <c r="L141">
        <v>2620</v>
      </c>
      <c r="M141" t="s">
        <v>121</v>
      </c>
      <c r="O141" t="s">
        <v>121</v>
      </c>
      <c r="P141">
        <v>0.248</v>
      </c>
      <c r="R141" s="45" cm="1">
        <f t="array" ref="R141">IF(NOT(OR(ISBLANK($H141),ISBLANK($I141))),ConvertLength($H141,$I141,"in"),"")</f>
        <v>0.308</v>
      </c>
      <c r="S141" s="45" cm="1">
        <f t="array" ref="S141">IF(NOT(OR(ISBLANK($H141),ISBLANK($I141))),ConvertLength($H141,$I141,"mm"),"")</f>
        <v>7.8232000000000008</v>
      </c>
      <c r="T141" s="45">
        <f t="shared" si="16"/>
        <v>180</v>
      </c>
      <c r="U141" s="45">
        <f t="shared" si="17"/>
        <v>11.6638038</v>
      </c>
      <c r="V141" s="45" cm="1">
        <f t="array" ref="V141">IF(NOT(OR(ISBLANK($L141),ISBLANK($M141))),ConvertSpeed($L141,$M141,"ft/sec"),"")</f>
        <v>2620</v>
      </c>
      <c r="W141" s="45" cm="1">
        <f t="array" ref="W141">IF(NOT(OR(ISBLANK($L141),ISBLANK($M141))),ConvertSpeed($L141,$M141,"m/sec"),"")</f>
        <v>798.57600000000002</v>
      </c>
      <c r="X141" s="45" cm="1">
        <f t="array" ref="X141">IF(NOT(OR(ISBLANK(V141),ISBLANK(T141))),MuzzleVelocityToMuzzleEnergyFtLb(V141,T141),"")</f>
        <v>2743.098098884795</v>
      </c>
      <c r="Y141" s="45" cm="1">
        <f t="array" ref="Y141">IF(NOT(OR(ISBLANK(W141),ISBLANK(U141))),MuzzleVelocityToMuzzleEnergyJoules(W141,U141),"")</f>
        <v>3719.1416365017476</v>
      </c>
      <c r="Z141" s="45" t="str" cm="1">
        <f t="array" ref="Z141">IF(NOT(OR(ISBLANK($N141),ISBLANK($O141))),ConvertSpeed($N141,$O141,"ft/sec"),"")</f>
        <v/>
      </c>
      <c r="AA141" s="46" t="str" cm="1">
        <f t="array" ref="AA141">IF(NOT(OR(ISBLANK($N141),ISBLANK($O141))),ConvertSpeed($N141,$O141,"m/sec"),"")</f>
        <v/>
      </c>
    </row>
    <row r="142" spans="1:27" x14ac:dyDescent="0.25">
      <c r="A142" s="24"/>
      <c r="B142" s="42"/>
      <c r="C142" s="2" t="s">
        <v>188</v>
      </c>
      <c r="D142" s="2" t="s">
        <v>4</v>
      </c>
      <c r="E142" s="47" t="str">
        <f>$E$140</f>
        <v>308 Winchester</v>
      </c>
      <c r="F142" t="s">
        <v>299</v>
      </c>
      <c r="G142" t="s">
        <v>51</v>
      </c>
      <c r="H142" s="43">
        <f>IF(NOT(ISBLANK($E142)),_xlfn.XLOOKUP($E142,CartridgeNames[Available Chamberings],CartridgeNames[Bullet Caliber],"n/a",0,1),"")</f>
        <v>0.308</v>
      </c>
      <c r="I142" s="62" t="str">
        <f>IF(NOT(ISBLANK($E142)),_xlfn.XLOOKUP($E142,CartridgeNames[Available Chamberings],CartridgeNames[Caliber(Units)],"n/a",0,1),"")</f>
        <v>in</v>
      </c>
      <c r="J142">
        <v>180</v>
      </c>
      <c r="K142" t="s">
        <v>117</v>
      </c>
      <c r="L142">
        <v>2640</v>
      </c>
      <c r="M142" t="s">
        <v>121</v>
      </c>
      <c r="O142" t="s">
        <v>121</v>
      </c>
      <c r="P142">
        <v>0.48</v>
      </c>
      <c r="R142" s="45" cm="1">
        <f t="array" ref="R142">IF(NOT(OR(ISBLANK($H142),ISBLANK($I142))),ConvertLength($H142,$I142,"in"),"")</f>
        <v>0.308</v>
      </c>
      <c r="S142" s="45" cm="1">
        <f t="array" ref="S142">IF(NOT(OR(ISBLANK($H142),ISBLANK($I142))),ConvertLength($H142,$I142,"mm"),"")</f>
        <v>7.8232000000000008</v>
      </c>
      <c r="T142" s="45">
        <f t="shared" si="16"/>
        <v>180</v>
      </c>
      <c r="U142" s="45">
        <f t="shared" si="17"/>
        <v>11.6638038</v>
      </c>
      <c r="V142" s="45" cm="1">
        <f t="array" ref="V142">IF(NOT(OR(ISBLANK($L142),ISBLANK($M142))),ConvertSpeed($L142,$M142,"ft/sec"),"")</f>
        <v>2640</v>
      </c>
      <c r="W142" s="45" cm="1">
        <f t="array" ref="W142">IF(NOT(OR(ISBLANK($L142),ISBLANK($M142))),ConvertSpeed($L142,$M142,"m/sec"),"")</f>
        <v>804.67200000000003</v>
      </c>
      <c r="X142" s="45" cm="1">
        <f t="array" ref="X142">IF(NOT(OR(ISBLANK(V142),ISBLANK(T142))),MuzzleVelocityToMuzzleEnergyFtLb(V142,T142),"")</f>
        <v>2785.1373040597091</v>
      </c>
      <c r="Y142" s="45" cm="1">
        <f t="array" ref="Y142">IF(NOT(OR(ISBLANK(W142),ISBLANK(U142))),MuzzleVelocityToMuzzleEnergyJoules(W142,U142),"")</f>
        <v>3776.1391454114823</v>
      </c>
      <c r="Z142" s="45" t="str" cm="1">
        <f t="array" ref="Z142">IF(NOT(OR(ISBLANK($N142),ISBLANK($O142))),ConvertSpeed($N142,$O142,"ft/sec"),"")</f>
        <v/>
      </c>
      <c r="AA142" s="46" t="str" cm="1">
        <f t="array" ref="AA142">IF(NOT(OR(ISBLANK($N142),ISBLANK($O142))),ConvertSpeed($N142,$O142,"m/sec"),"")</f>
        <v/>
      </c>
    </row>
    <row r="143" spans="1:27" x14ac:dyDescent="0.25">
      <c r="A143" s="24"/>
      <c r="B143" s="42"/>
      <c r="C143" s="2" t="s">
        <v>186</v>
      </c>
      <c r="D143" s="2" t="s">
        <v>195</v>
      </c>
      <c r="E143" s="47" t="str">
        <f>$E$140</f>
        <v>308 Winchester</v>
      </c>
      <c r="F143" t="s">
        <v>298</v>
      </c>
      <c r="G143" t="s">
        <v>49</v>
      </c>
      <c r="H143" s="43">
        <f>IF(NOT(ISBLANK($E143)),_xlfn.XLOOKUP($E143,CartridgeNames[Available Chamberings],CartridgeNames[Bullet Caliber],"n/a",0,1),"")</f>
        <v>0.308</v>
      </c>
      <c r="I143" s="62" t="str">
        <f>IF(NOT(ISBLANK($E143)),_xlfn.XLOOKUP($E143,CartridgeNames[Available Chamberings],CartridgeNames[Caliber(Units)],"n/a",0,1),"")</f>
        <v>in</v>
      </c>
      <c r="J143">
        <v>165</v>
      </c>
      <c r="K143" t="s">
        <v>117</v>
      </c>
      <c r="L143">
        <v>2650</v>
      </c>
      <c r="M143" t="s">
        <v>121</v>
      </c>
      <c r="O143" t="s">
        <v>121</v>
      </c>
      <c r="R143" s="45" cm="1">
        <f t="array" ref="R143">IF(NOT(OR(ISBLANK($H143),ISBLANK($I143))),ConvertLength($H143,$I143,"in"),"")</f>
        <v>0.308</v>
      </c>
      <c r="S143" s="45" cm="1">
        <f t="array" ref="S143">IF(NOT(OR(ISBLANK($H143),ISBLANK($I143))),ConvertLength($H143,$I143,"mm"),"")</f>
        <v>7.8232000000000008</v>
      </c>
      <c r="T143" s="45">
        <f t="shared" si="16"/>
        <v>165</v>
      </c>
      <c r="U143" s="45">
        <f t="shared" si="17"/>
        <v>10.69182015</v>
      </c>
      <c r="V143" s="45" cm="1">
        <f t="array" ref="V143">IF(NOT(OR(ISBLANK($L143),ISBLANK($M143))),ConvertSpeed($L143,$M143,"ft/sec"),"")</f>
        <v>2650</v>
      </c>
      <c r="W143" s="45" cm="1">
        <f t="array" ref="W143">IF(NOT(OR(ISBLANK($L143),ISBLANK($M143))),ConvertSpeed($L143,$M143,"m/sec"),"")</f>
        <v>807.72</v>
      </c>
      <c r="X143" s="45" cm="1">
        <f t="array" ref="X143">IF(NOT(OR(ISBLANK(V143),ISBLANK(T143))),MuzzleVelocityToMuzzleEnergyFtLb(V143,T143),"")</f>
        <v>2572.4203911194377</v>
      </c>
      <c r="Y143" s="45" cm="1">
        <f t="array" ref="Y143">IF(NOT(OR(ISBLANK(W143),ISBLANK(U143))),MuzzleVelocityToMuzzleEnergyJoules(W143,U143),"")</f>
        <v>3487.7337369334141</v>
      </c>
      <c r="Z143" s="45" t="str" cm="1">
        <f t="array" ref="Z143">IF(NOT(OR(ISBLANK($N143),ISBLANK($O143))),ConvertSpeed($N143,$O143,"ft/sec"),"")</f>
        <v/>
      </c>
      <c r="AA143" s="46" t="str" cm="1">
        <f t="array" ref="AA143">IF(NOT(OR(ISBLANK($N143),ISBLANK($O143))),ConvertSpeed($N143,$O143,"m/sec"),"")</f>
        <v/>
      </c>
    </row>
    <row r="144" spans="1:27" x14ac:dyDescent="0.25">
      <c r="A144" s="24"/>
      <c r="B144" s="42"/>
      <c r="C144" s="2" t="s">
        <v>187</v>
      </c>
      <c r="D144" s="2" t="s">
        <v>195</v>
      </c>
      <c r="E144" s="47" t="str">
        <f>$E$140</f>
        <v>308 Winchester</v>
      </c>
      <c r="F144" t="s">
        <v>227</v>
      </c>
      <c r="G144" t="s">
        <v>47</v>
      </c>
      <c r="H144" s="43">
        <f>IF(NOT(ISBLANK($E144)),_xlfn.XLOOKUP($E144,CartridgeNames[Available Chamberings],CartridgeNames[Bullet Caliber],"n/a",0,1),"")</f>
        <v>0.308</v>
      </c>
      <c r="I144" s="62" t="str">
        <f>IF(NOT(ISBLANK($E144)),_xlfn.XLOOKUP($E144,CartridgeNames[Available Chamberings],CartridgeNames[Caliber(Units)],"n/a",0,1),"")</f>
        <v>in</v>
      </c>
      <c r="J144">
        <v>180</v>
      </c>
      <c r="K144" t="s">
        <v>117</v>
      </c>
      <c r="L144">
        <v>2620</v>
      </c>
      <c r="M144" t="s">
        <v>121</v>
      </c>
      <c r="O144" t="s">
        <v>121</v>
      </c>
      <c r="R144" s="45" cm="1">
        <f t="array" ref="R144">IF(NOT(OR(ISBLANK($H144),ISBLANK($I144))),ConvertLength($H144,$I144,"in"),"")</f>
        <v>0.308</v>
      </c>
      <c r="S144" s="45" cm="1">
        <f t="array" ref="S144">IF(NOT(OR(ISBLANK($H144),ISBLANK($I144))),ConvertLength($H144,$I144,"mm"),"")</f>
        <v>7.8232000000000008</v>
      </c>
      <c r="T144" s="45">
        <f t="shared" si="16"/>
        <v>180</v>
      </c>
      <c r="U144" s="45">
        <f t="shared" si="17"/>
        <v>11.6638038</v>
      </c>
      <c r="V144" s="45" cm="1">
        <f t="array" ref="V144">IF(NOT(OR(ISBLANK($L144),ISBLANK($M144))),ConvertSpeed($L144,$M144,"ft/sec"),"")</f>
        <v>2620</v>
      </c>
      <c r="W144" s="45" cm="1">
        <f t="array" ref="W144">IF(NOT(OR(ISBLANK($L144),ISBLANK($M144))),ConvertSpeed($L144,$M144,"m/sec"),"")</f>
        <v>798.57600000000002</v>
      </c>
      <c r="X144" s="45" cm="1">
        <f t="array" ref="X144">IF(NOT(OR(ISBLANK(V144),ISBLANK(T144))),MuzzleVelocityToMuzzleEnergyFtLb(V144,T144),"")</f>
        <v>2743.098098884795</v>
      </c>
      <c r="Y144" s="45" cm="1">
        <f t="array" ref="Y144">IF(NOT(OR(ISBLANK(W144),ISBLANK(U144))),MuzzleVelocityToMuzzleEnergyJoules(W144,U144),"")</f>
        <v>3719.1416365017476</v>
      </c>
      <c r="Z144" s="45" t="str" cm="1">
        <f t="array" ref="Z144">IF(NOT(OR(ISBLANK($N144),ISBLANK($O144))),ConvertSpeed($N144,$O144,"ft/sec"),"")</f>
        <v/>
      </c>
      <c r="AA144" s="46" t="str" cm="1">
        <f t="array" ref="AA144">IF(NOT(OR(ISBLANK($N144),ISBLANK($O144))),ConvertSpeed($N144,$O144,"m/sec"),"")</f>
        <v/>
      </c>
    </row>
    <row r="145" spans="1:27" x14ac:dyDescent="0.25">
      <c r="A145" s="24"/>
      <c r="B145" s="42"/>
      <c r="C145" s="2" t="s">
        <v>188</v>
      </c>
      <c r="D145" s="2" t="s">
        <v>195</v>
      </c>
      <c r="E145" s="47" t="str">
        <f>$E$140</f>
        <v>308 Winchester</v>
      </c>
      <c r="F145" t="s">
        <v>297</v>
      </c>
      <c r="G145" t="s">
        <v>51</v>
      </c>
      <c r="H145" s="43">
        <f>IF(NOT(ISBLANK($E145)),_xlfn.XLOOKUP($E145,CartridgeNames[Available Chamberings],CartridgeNames[Bullet Caliber],"n/a",0,1),"")</f>
        <v>0.308</v>
      </c>
      <c r="I145" s="62" t="str">
        <f>IF(NOT(ISBLANK($E145)),_xlfn.XLOOKUP($E145,CartridgeNames[Available Chamberings],CartridgeNames[Caliber(Units)],"n/a",0,1),"")</f>
        <v>in</v>
      </c>
      <c r="J145">
        <v>180</v>
      </c>
      <c r="K145" t="s">
        <v>117</v>
      </c>
      <c r="L145">
        <v>2650</v>
      </c>
      <c r="M145" t="s">
        <v>121</v>
      </c>
      <c r="O145" t="s">
        <v>121</v>
      </c>
      <c r="R145" s="45" cm="1">
        <f t="array" ref="R145">IF(NOT(OR(ISBLANK($H145),ISBLANK($I145))),ConvertLength($H145,$I145,"in"),"")</f>
        <v>0.308</v>
      </c>
      <c r="S145" s="45" cm="1">
        <f t="array" ref="S145">IF(NOT(OR(ISBLANK($H145),ISBLANK($I145))),ConvertLength($H145,$I145,"mm"),"")</f>
        <v>7.8232000000000008</v>
      </c>
      <c r="T145" s="45">
        <f t="shared" si="16"/>
        <v>180</v>
      </c>
      <c r="U145" s="45">
        <f t="shared" si="17"/>
        <v>11.6638038</v>
      </c>
      <c r="V145" s="45" cm="1">
        <f t="array" ref="V145">IF(NOT(OR(ISBLANK($L145),ISBLANK($M145))),ConvertSpeed($L145,$M145,"ft/sec"),"")</f>
        <v>2650</v>
      </c>
      <c r="W145" s="45" cm="1">
        <f t="array" ref="W145">IF(NOT(OR(ISBLANK($L145),ISBLANK($M145))),ConvertSpeed($L145,$M145,"m/sec"),"")</f>
        <v>807.72</v>
      </c>
      <c r="X145" s="45" cm="1">
        <f t="array" ref="X145">IF(NOT(OR(ISBLANK(V145),ISBLANK(T145))),MuzzleVelocityToMuzzleEnergyFtLb(V145,T145),"")</f>
        <v>2806.2767903121135</v>
      </c>
      <c r="Y145" s="45" cm="1">
        <f t="array" ref="Y145">IF(NOT(OR(ISBLANK(W145),ISBLANK(U145))),MuzzleVelocityToMuzzleEnergyJoules(W145,U145),"")</f>
        <v>3804.8004402909974</v>
      </c>
      <c r="Z145" s="45" t="str" cm="1">
        <f t="array" ref="Z145">IF(NOT(OR(ISBLANK($N145),ISBLANK($O145))),ConvertSpeed($N145,$O145,"ft/sec"),"")</f>
        <v/>
      </c>
      <c r="AA145" s="46" t="str" cm="1">
        <f t="array" ref="AA145">IF(NOT(OR(ISBLANK($N145),ISBLANK($O145))),ConvertSpeed($N145,$O145,"m/sec"),"")</f>
        <v/>
      </c>
    </row>
    <row r="146" spans="1:27" x14ac:dyDescent="0.25">
      <c r="A146" s="24"/>
      <c r="B146" s="42"/>
      <c r="C146" s="2"/>
      <c r="D146" s="12"/>
      <c r="E146" s="63"/>
      <c r="F146" s="63"/>
      <c r="G146" s="63"/>
      <c r="H146" s="12"/>
      <c r="I146" s="64"/>
      <c r="J146" s="63"/>
      <c r="K146" s="63"/>
      <c r="L146" s="63"/>
      <c r="M146" s="63"/>
      <c r="N146" s="63"/>
      <c r="O146" s="63"/>
      <c r="P146" s="63"/>
      <c r="Q146" s="63"/>
      <c r="R146" s="65"/>
      <c r="S146" s="65"/>
      <c r="T146" s="65"/>
      <c r="U146" s="65"/>
      <c r="V146" s="65"/>
      <c r="W146" s="65"/>
      <c r="X146" s="65"/>
      <c r="Y146" s="65"/>
      <c r="Z146" s="65"/>
      <c r="AA146" s="66"/>
    </row>
    <row r="147" spans="1:27" x14ac:dyDescent="0.25">
      <c r="A147" s="24"/>
      <c r="B147" s="42"/>
      <c r="AA147" s="6"/>
    </row>
    <row r="148" spans="1:27" x14ac:dyDescent="0.25">
      <c r="A148" s="24"/>
      <c r="B148" s="42"/>
      <c r="C148" s="49" t="s">
        <v>72</v>
      </c>
      <c r="D148" s="49" t="s">
        <v>124</v>
      </c>
      <c r="E148" s="49" t="s">
        <v>123</v>
      </c>
      <c r="F148" s="49" t="s">
        <v>125</v>
      </c>
      <c r="G148" s="49" t="s">
        <v>27</v>
      </c>
      <c r="H148" s="49" t="s">
        <v>127</v>
      </c>
      <c r="I148" s="49" t="s">
        <v>24</v>
      </c>
      <c r="J148" s="49" t="s">
        <v>26</v>
      </c>
      <c r="K148" s="49" t="s">
        <v>185</v>
      </c>
      <c r="L148" s="49" t="s">
        <v>180</v>
      </c>
      <c r="M148" s="49" t="s">
        <v>28</v>
      </c>
      <c r="N148" s="49" t="s">
        <v>29</v>
      </c>
      <c r="O148" s="49" t="s">
        <v>126</v>
      </c>
      <c r="P148" s="50" t="s">
        <v>182</v>
      </c>
      <c r="Q148" s="50" t="s">
        <v>183</v>
      </c>
      <c r="R148" s="49" t="s">
        <v>184</v>
      </c>
      <c r="AA148" s="6"/>
    </row>
    <row r="149" spans="1:27" x14ac:dyDescent="0.25">
      <c r="A149" s="24"/>
      <c r="B149" s="42"/>
      <c r="C149" t="s">
        <v>190</v>
      </c>
      <c r="D149" t="s">
        <v>79</v>
      </c>
      <c r="E149" t="s">
        <v>191</v>
      </c>
      <c r="F149" t="s">
        <v>156</v>
      </c>
      <c r="G149" s="25"/>
      <c r="H149" s="51"/>
      <c r="I149" s="25"/>
      <c r="J149" s="25"/>
      <c r="K149" s="5"/>
      <c r="L149" s="51"/>
      <c r="M149" s="25"/>
      <c r="N149" s="25"/>
      <c r="O149" s="51"/>
      <c r="P149" s="25"/>
      <c r="Q149" s="25"/>
      <c r="R149" s="51" t="s">
        <v>181</v>
      </c>
      <c r="AA149" s="6"/>
    </row>
    <row r="150" spans="1:27" x14ac:dyDescent="0.25">
      <c r="A150" s="24"/>
      <c r="B150" s="42"/>
      <c r="G150" s="25"/>
      <c r="H150" s="51"/>
      <c r="I150" s="25"/>
      <c r="J150" s="25"/>
      <c r="K150" s="5"/>
      <c r="L150" s="51"/>
      <c r="M150" s="25"/>
      <c r="N150" s="25"/>
      <c r="O150" s="51"/>
      <c r="P150" s="25"/>
      <c r="Q150" s="25"/>
      <c r="R150" s="51"/>
      <c r="AA150" s="6"/>
    </row>
    <row r="151" spans="1:27" ht="15.75" thickBot="1" x14ac:dyDescent="0.3">
      <c r="A151" s="30"/>
      <c r="B151" s="52"/>
      <c r="C151" s="67"/>
      <c r="D151" s="68"/>
      <c r="E151" s="69"/>
      <c r="F151" s="69"/>
      <c r="G151" s="69"/>
      <c r="H151" s="68"/>
      <c r="I151" s="70"/>
      <c r="J151" s="69"/>
      <c r="K151" s="69"/>
      <c r="L151" s="69"/>
      <c r="M151" s="69"/>
      <c r="N151" s="69"/>
      <c r="O151" s="69"/>
      <c r="P151" s="69"/>
      <c r="Q151" s="69"/>
      <c r="R151" s="71"/>
      <c r="S151" s="71"/>
      <c r="T151" s="71"/>
      <c r="U151" s="71"/>
      <c r="V151" s="71"/>
      <c r="W151" s="71"/>
      <c r="X151" s="71"/>
      <c r="Y151" s="71"/>
      <c r="Z151" s="71"/>
      <c r="AA151" s="72"/>
    </row>
    <row r="152" spans="1:27" x14ac:dyDescent="0.25">
      <c r="A152" s="30"/>
      <c r="C152" s="2"/>
      <c r="D152" s="28"/>
      <c r="E152" s="13"/>
      <c r="F152" s="13"/>
      <c r="G152" s="13"/>
      <c r="H152" s="28"/>
      <c r="I152" s="57"/>
      <c r="J152" s="13"/>
      <c r="K152" s="13"/>
      <c r="L152" s="13"/>
      <c r="M152" s="13"/>
      <c r="N152" s="13"/>
      <c r="O152" s="13"/>
      <c r="P152" s="13"/>
      <c r="Q152" s="13"/>
      <c r="R152" s="58"/>
      <c r="S152" s="58"/>
      <c r="T152" s="58"/>
      <c r="U152" s="58"/>
      <c r="V152" s="58"/>
      <c r="W152" s="58"/>
      <c r="X152" s="58"/>
      <c r="Y152" s="58"/>
      <c r="Z152" s="58"/>
      <c r="AA152" s="58"/>
    </row>
    <row r="153" spans="1:27" ht="15.75" thickBot="1" x14ac:dyDescent="0.3">
      <c r="A153" s="24"/>
    </row>
    <row r="154" spans="1:27" x14ac:dyDescent="0.25">
      <c r="A154" s="75"/>
      <c r="B154" s="59"/>
      <c r="C154" s="59"/>
      <c r="D154" s="59"/>
      <c r="E154" s="59"/>
      <c r="F154" s="59"/>
      <c r="G154" s="59"/>
      <c r="H154" s="59"/>
      <c r="I154" s="59"/>
      <c r="J154" s="59"/>
      <c r="K154" s="59"/>
      <c r="L154" s="59"/>
      <c r="M154" s="59"/>
      <c r="N154" s="59"/>
      <c r="O154" s="59"/>
      <c r="P154" s="59"/>
      <c r="Q154" s="59"/>
      <c r="R154" s="59"/>
      <c r="S154" s="59"/>
      <c r="T154" s="59"/>
      <c r="U154" s="59"/>
      <c r="V154" s="59"/>
      <c r="W154" s="59"/>
      <c r="X154" s="59"/>
      <c r="Y154" s="59"/>
      <c r="Z154" s="59"/>
      <c r="AA154" s="60"/>
    </row>
    <row r="155" spans="1:27" ht="30" x14ac:dyDescent="0.25">
      <c r="A155" s="85" t="s">
        <v>80</v>
      </c>
      <c r="C155" s="15" t="s">
        <v>72</v>
      </c>
      <c r="D155" s="15" t="s">
        <v>193</v>
      </c>
      <c r="E155" s="15" t="s">
        <v>2</v>
      </c>
      <c r="F155" s="15" t="s">
        <v>73</v>
      </c>
      <c r="G155" s="15" t="s">
        <v>6</v>
      </c>
      <c r="H155" s="16" t="s">
        <v>104</v>
      </c>
      <c r="I155" s="16" t="s">
        <v>110</v>
      </c>
      <c r="J155" s="17" t="s">
        <v>27</v>
      </c>
      <c r="K155" s="17" t="s">
        <v>111</v>
      </c>
      <c r="L155" s="18" t="s">
        <v>106</v>
      </c>
      <c r="M155" s="18" t="s">
        <v>108</v>
      </c>
      <c r="N155" s="15" t="s">
        <v>95</v>
      </c>
      <c r="O155" s="15" t="s">
        <v>109</v>
      </c>
      <c r="P155" s="14" t="s">
        <v>99</v>
      </c>
      <c r="Q155" s="14" t="s">
        <v>98</v>
      </c>
      <c r="R155" s="16" t="s">
        <v>112</v>
      </c>
      <c r="S155" s="18" t="s">
        <v>74</v>
      </c>
      <c r="T155" s="18" t="s">
        <v>113</v>
      </c>
      <c r="U155" s="15" t="s">
        <v>114</v>
      </c>
      <c r="V155" s="15" t="s">
        <v>115</v>
      </c>
      <c r="W155" s="15" t="s">
        <v>119</v>
      </c>
      <c r="X155" s="15" t="s">
        <v>116</v>
      </c>
      <c r="Y155" s="15" t="s">
        <v>75</v>
      </c>
      <c r="Z155" s="15" t="s">
        <v>96</v>
      </c>
      <c r="AA155" s="61" t="s">
        <v>97</v>
      </c>
    </row>
    <row r="156" spans="1:27" x14ac:dyDescent="0.25">
      <c r="A156" s="87"/>
      <c r="C156" s="2" t="s">
        <v>238</v>
      </c>
      <c r="D156" s="2" t="s">
        <v>4</v>
      </c>
      <c r="E156" t="s">
        <v>80</v>
      </c>
      <c r="F156" t="s">
        <v>300</v>
      </c>
      <c r="G156" t="s">
        <v>51</v>
      </c>
      <c r="H156" s="43">
        <f>IF(NOT(ISBLANK($E156)),_xlfn.XLOOKUP($E156,CartridgeNames[Available Chamberings],CartridgeNames[Bullet Caliber],"n/a",0,1),"")</f>
        <v>0.308</v>
      </c>
      <c r="I156" s="62" t="str">
        <f>IF(NOT(ISBLANK($E156)),_xlfn.XLOOKUP($E156,CartridgeNames[Available Chamberings],CartridgeNames[Caliber(Units)],"n/a",0,1),"")</f>
        <v>in</v>
      </c>
      <c r="J156">
        <v>180</v>
      </c>
      <c r="K156" t="s">
        <v>117</v>
      </c>
      <c r="L156" s="1">
        <v>2700</v>
      </c>
      <c r="M156" t="s">
        <v>121</v>
      </c>
      <c r="O156" t="s">
        <v>121</v>
      </c>
      <c r="P156" s="2">
        <v>0.5</v>
      </c>
      <c r="R156" s="45" cm="1">
        <f t="array" ref="R156">IF(NOT(OR(ISBLANK($H156),ISBLANK($I156))),ConvertLength($H156,$I156,"in"),"")</f>
        <v>0.308</v>
      </c>
      <c r="S156" s="45" cm="1">
        <f t="array" ref="S156">IF(NOT(OR(ISBLANK($H156),ISBLANK($I156))),ConvertLength($H156,$I156,"mm"),"")</f>
        <v>7.8232000000000008</v>
      </c>
      <c r="T156" s="45">
        <f t="shared" ref="T156:T161" si="18">IF(NOT(AND(ISBLANK($J156),ISBLANK($K156))),CONVERT($J156,$K156,"grain"),"")</f>
        <v>180</v>
      </c>
      <c r="U156" s="45">
        <f t="shared" ref="U156:U161" si="19">IF(NOT(AND(ISBLANK($J156),ISBLANK($K156))),CONVERT($J156,$K156,"g"),"")</f>
        <v>11.6638038</v>
      </c>
      <c r="V156" s="45" cm="1">
        <f t="array" ref="V156">IF(NOT(OR(ISBLANK($L156),ISBLANK($M156))),ConvertSpeed($L156,$M156,"ft/sec"),"")</f>
        <v>2700</v>
      </c>
      <c r="W156" s="45" cm="1">
        <f t="array" ref="W156">IF(NOT(OR(ISBLANK($L156),ISBLANK($M156))),ConvertSpeed($L156,$M156,"m/sec"),"")</f>
        <v>822.96</v>
      </c>
      <c r="X156" s="45" cm="1">
        <f t="array" ref="X156">IF(NOT(OR(ISBLANK(V156),ISBLANK(T156))),MuzzleVelocityToMuzzleEnergyFtLb(V156,T156),"")</f>
        <v>2913.1730582236114</v>
      </c>
      <c r="Y156" s="45" cm="1">
        <f t="array" ref="Y156">IF(NOT(OR(ISBLANK(W156),ISBLANK(U156))),MuzzleVelocityToMuzzleEnergyJoules(W156,U156),"")</f>
        <v>3949.7323189350477</v>
      </c>
      <c r="Z156" s="45" t="str" cm="1">
        <f t="array" ref="Z156">IF(NOT(OR(ISBLANK($N156),ISBLANK($O156))),ConvertSpeed($N156,$O156,"ft/sec"),"")</f>
        <v/>
      </c>
      <c r="AA156" s="46" t="str" cm="1">
        <f t="array" ref="AA156">IF(NOT(OR(ISBLANK($N156),ISBLANK($O156))),ConvertSpeed($N156,$O156,"m/sec"),"")</f>
        <v/>
      </c>
    </row>
    <row r="157" spans="1:27" x14ac:dyDescent="0.25">
      <c r="A157" s="87"/>
      <c r="C157" s="2" t="s">
        <v>239</v>
      </c>
      <c r="D157" s="2" t="s">
        <v>4</v>
      </c>
      <c r="E157" s="47" t="str">
        <f>$E156</f>
        <v>30-06 Springfield</v>
      </c>
      <c r="F157" t="s">
        <v>301</v>
      </c>
      <c r="G157" t="s">
        <v>47</v>
      </c>
      <c r="H157" s="43">
        <f>IF(NOT(ISBLANK($E157)),_xlfn.XLOOKUP($E157,CartridgeNames[Available Chamberings],CartridgeNames[Bullet Caliber],"n/a",0,1),"")</f>
        <v>0.308</v>
      </c>
      <c r="I157" s="62" t="str">
        <f>IF(NOT(ISBLANK($E157)),_xlfn.XLOOKUP($E157,CartridgeNames[Available Chamberings],CartridgeNames[Caliber(Units)],"n/a",0,1),"")</f>
        <v>in</v>
      </c>
      <c r="J157">
        <v>150</v>
      </c>
      <c r="K157" t="s">
        <v>117</v>
      </c>
      <c r="L157" s="1">
        <v>2910</v>
      </c>
      <c r="M157" t="s">
        <v>121</v>
      </c>
      <c r="O157" t="s">
        <v>121</v>
      </c>
      <c r="P157" s="2">
        <v>0.313</v>
      </c>
      <c r="R157" s="45" cm="1">
        <f t="array" ref="R157">IF(NOT(OR(ISBLANK($H157),ISBLANK($I157))),ConvertLength($H157,$I157,"in"),"")</f>
        <v>0.308</v>
      </c>
      <c r="S157" s="45" cm="1">
        <f t="array" ref="S157">IF(NOT(OR(ISBLANK($H157),ISBLANK($I157))),ConvertLength($H157,$I157,"mm"),"")</f>
        <v>7.8232000000000008</v>
      </c>
      <c r="T157" s="45">
        <f t="shared" si="18"/>
        <v>150</v>
      </c>
      <c r="U157" s="45">
        <f t="shared" si="19"/>
        <v>9.7198364999999995</v>
      </c>
      <c r="V157" s="45" cm="1">
        <f t="array" ref="V157">IF(NOT(OR(ISBLANK($L157),ISBLANK($M157))),ConvertSpeed($L157,$M157,"ft/sec"),"")</f>
        <v>2910</v>
      </c>
      <c r="W157" s="45" cm="1">
        <f t="array" ref="W157">IF(NOT(OR(ISBLANK($L157),ISBLANK($M157))),ConvertSpeed($L157,$M157,"m/sec"),"")</f>
        <v>886.96799999999996</v>
      </c>
      <c r="X157" s="45" cm="1">
        <f t="array" ref="X157">IF(NOT(OR(ISBLANK(V157),ISBLANK(T157))),MuzzleVelocityToMuzzleEnergyFtLb(V157,T157),"")</f>
        <v>2819.9635087269494</v>
      </c>
      <c r="Y157" s="45" cm="1">
        <f t="array" ref="Y157">IF(NOT(OR(ISBLANK(W157),ISBLANK(U157))),MuzzleVelocityToMuzzleEnergyJoules(W157,U157),"")</f>
        <v>3823.3571387715897</v>
      </c>
      <c r="Z157" s="45" t="str" cm="1">
        <f t="array" ref="Z157">IF(NOT(OR(ISBLANK($N157),ISBLANK($O157))),ConvertSpeed($N157,$O157,"ft/sec"),"")</f>
        <v/>
      </c>
      <c r="AA157" s="46" t="str" cm="1">
        <f t="array" ref="AA157">IF(NOT(OR(ISBLANK($N157),ISBLANK($O157))),ConvertSpeed($N157,$O157,"m/sec"),"")</f>
        <v/>
      </c>
    </row>
    <row r="158" spans="1:27" x14ac:dyDescent="0.25">
      <c r="A158" s="87"/>
      <c r="C158" s="2" t="s">
        <v>240</v>
      </c>
      <c r="D158" s="2" t="s">
        <v>4</v>
      </c>
      <c r="E158" s="47" t="str">
        <f>$E156</f>
        <v>30-06 Springfield</v>
      </c>
      <c r="F158" t="s">
        <v>306</v>
      </c>
      <c r="G158" t="s">
        <v>49</v>
      </c>
      <c r="H158" s="43">
        <f>IF(NOT(ISBLANK($E158)),_xlfn.XLOOKUP($E158,CartridgeNames[Available Chamberings],CartridgeNames[Bullet Caliber],"n/a",0,1),"")</f>
        <v>0.308</v>
      </c>
      <c r="I158" s="62" t="str">
        <f>IF(NOT(ISBLANK($E158)),_xlfn.XLOOKUP($E158,CartridgeNames[Available Chamberings],CartridgeNames[Caliber(Units)],"n/a",0,1),"")</f>
        <v>in</v>
      </c>
      <c r="J158">
        <v>165</v>
      </c>
      <c r="K158" t="s">
        <v>117</v>
      </c>
      <c r="L158" s="1">
        <v>2800</v>
      </c>
      <c r="M158" t="s">
        <v>121</v>
      </c>
      <c r="O158" t="s">
        <v>121</v>
      </c>
      <c r="P158" s="2">
        <v>0.39800000000000002</v>
      </c>
      <c r="R158" s="45" cm="1">
        <f t="array" ref="R158">IF(NOT(OR(ISBLANK($H158),ISBLANK($I158))),ConvertLength($H158,$I158,"in"),"")</f>
        <v>0.308</v>
      </c>
      <c r="S158" s="45" cm="1">
        <f t="array" ref="S158">IF(NOT(OR(ISBLANK($H158),ISBLANK($I158))),ConvertLength($H158,$I158,"mm"),"")</f>
        <v>7.8232000000000008</v>
      </c>
      <c r="T158" s="45">
        <f t="shared" si="18"/>
        <v>165</v>
      </c>
      <c r="U158" s="45">
        <f t="shared" si="19"/>
        <v>10.69182015</v>
      </c>
      <c r="V158" s="45" cm="1">
        <f t="array" ref="V158">IF(NOT(OR(ISBLANK($L158),ISBLANK($M158))),ConvertSpeed($L158,$M158,"ft/sec"),"")</f>
        <v>2800</v>
      </c>
      <c r="W158" s="45" cm="1">
        <f t="array" ref="W158">IF(NOT(OR(ISBLANK($L158),ISBLANK($M158))),ConvertSpeed($L158,$M158,"m/sec"),"")</f>
        <v>853.44</v>
      </c>
      <c r="X158" s="45" cm="1">
        <f t="array" ref="X158">IF(NOT(OR(ISBLANK(V158),ISBLANK(T158))),MuzzleVelocityToMuzzleEnergyFtLb(V158,T158),"")</f>
        <v>2871.8797958528144</v>
      </c>
      <c r="Y158" s="45" cm="1">
        <f t="array" ref="Y158">IF(NOT(OR(ISBLANK(W158),ISBLANK(U158))),MuzzleVelocityToMuzzleEnergyJoules(W158,U158),"")</f>
        <v>3893.7461726675638</v>
      </c>
      <c r="Z158" s="45" t="str" cm="1">
        <f t="array" ref="Z158">IF(NOT(OR(ISBLANK($N158),ISBLANK($O158))),ConvertSpeed($N158,$O158,"ft/sec"),"")</f>
        <v/>
      </c>
      <c r="AA158" s="46" t="str" cm="1">
        <f t="array" ref="AA158">IF(NOT(OR(ISBLANK($N158),ISBLANK($O158))),ConvertSpeed($N158,$O158,"m/sec"),"")</f>
        <v/>
      </c>
    </row>
    <row r="159" spans="1:27" x14ac:dyDescent="0.25">
      <c r="A159" s="87"/>
      <c r="C159" s="2" t="s">
        <v>238</v>
      </c>
      <c r="D159" s="2" t="s">
        <v>195</v>
      </c>
      <c r="E159" s="47" t="str">
        <f>$E156</f>
        <v>30-06 Springfield</v>
      </c>
      <c r="F159" t="s">
        <v>300</v>
      </c>
      <c r="G159" t="s">
        <v>51</v>
      </c>
      <c r="H159" s="43">
        <f>IF(NOT(ISBLANK($E159)),_xlfn.XLOOKUP($E159,CartridgeNames[Available Chamberings],CartridgeNames[Bullet Caliber],"n/a",0,1),"")</f>
        <v>0.308</v>
      </c>
      <c r="I159" s="62" t="str">
        <f>IF(NOT(ISBLANK($E159)),_xlfn.XLOOKUP($E159,CartridgeNames[Available Chamberings],CartridgeNames[Caliber(Units)],"n/a",0,1),"")</f>
        <v>in</v>
      </c>
      <c r="J159">
        <v>180</v>
      </c>
      <c r="K159" t="s">
        <v>117</v>
      </c>
      <c r="L159" s="1">
        <v>2700</v>
      </c>
      <c r="M159" t="s">
        <v>121</v>
      </c>
      <c r="O159" t="s">
        <v>121</v>
      </c>
      <c r="P159" s="2"/>
      <c r="R159" s="45" cm="1">
        <f t="array" ref="R159">IF(NOT(OR(ISBLANK($H159),ISBLANK($I159))),ConvertLength($H159,$I159,"in"),"")</f>
        <v>0.308</v>
      </c>
      <c r="S159" s="45" cm="1">
        <f t="array" ref="S159">IF(NOT(OR(ISBLANK($H159),ISBLANK($I159))),ConvertLength($H159,$I159,"mm"),"")</f>
        <v>7.8232000000000008</v>
      </c>
      <c r="T159" s="45">
        <f t="shared" si="18"/>
        <v>180</v>
      </c>
      <c r="U159" s="45">
        <f t="shared" si="19"/>
        <v>11.6638038</v>
      </c>
      <c r="V159" s="45" cm="1">
        <f t="array" ref="V159">IF(NOT(OR(ISBLANK($L159),ISBLANK($M159))),ConvertSpeed($L159,$M159,"ft/sec"),"")</f>
        <v>2700</v>
      </c>
      <c r="W159" s="45" cm="1">
        <f t="array" ref="W159">IF(NOT(OR(ISBLANK($L159),ISBLANK($M159))),ConvertSpeed($L159,$M159,"m/sec"),"")</f>
        <v>822.96</v>
      </c>
      <c r="X159" s="45" cm="1">
        <f t="array" ref="X159">IF(NOT(OR(ISBLANK(V159),ISBLANK(T159))),MuzzleVelocityToMuzzleEnergyFtLb(V159,T159),"")</f>
        <v>2913.1730582236114</v>
      </c>
      <c r="Y159" s="45" cm="1">
        <f t="array" ref="Y159">IF(NOT(OR(ISBLANK(W159),ISBLANK(U159))),MuzzleVelocityToMuzzleEnergyJoules(W159,U159),"")</f>
        <v>3949.7323189350477</v>
      </c>
      <c r="Z159" s="45" t="str" cm="1">
        <f t="array" ref="Z159">IF(NOT(OR(ISBLANK($N159),ISBLANK($O159))),ConvertSpeed($N159,$O159,"ft/sec"),"")</f>
        <v/>
      </c>
      <c r="AA159" s="46" t="str" cm="1">
        <f t="array" ref="AA159">IF(NOT(OR(ISBLANK($N159),ISBLANK($O159))),ConvertSpeed($N159,$O159,"m/sec"),"")</f>
        <v/>
      </c>
    </row>
    <row r="160" spans="1:27" x14ac:dyDescent="0.25">
      <c r="A160" s="87"/>
      <c r="C160" s="2" t="s">
        <v>239</v>
      </c>
      <c r="D160" s="2" t="s">
        <v>195</v>
      </c>
      <c r="E160" s="47" t="str">
        <f>$E156</f>
        <v>30-06 Springfield</v>
      </c>
      <c r="F160" t="s">
        <v>301</v>
      </c>
      <c r="G160" t="s">
        <v>47</v>
      </c>
      <c r="H160" s="43">
        <f>IF(NOT(ISBLANK($E160)),_xlfn.XLOOKUP($E160,CartridgeNames[Available Chamberings],CartridgeNames[Bullet Caliber],"n/a",0,1),"")</f>
        <v>0.308</v>
      </c>
      <c r="I160" s="62" t="str">
        <f>IF(NOT(ISBLANK($E160)),_xlfn.XLOOKUP($E160,CartridgeNames[Available Chamberings],CartridgeNames[Caliber(Units)],"n/a",0,1),"")</f>
        <v>in</v>
      </c>
      <c r="J160">
        <v>150</v>
      </c>
      <c r="K160" t="s">
        <v>117</v>
      </c>
      <c r="L160" s="1">
        <v>2910</v>
      </c>
      <c r="M160" t="s">
        <v>121</v>
      </c>
      <c r="O160" t="s">
        <v>121</v>
      </c>
      <c r="P160" s="2"/>
      <c r="R160" s="45" cm="1">
        <f t="array" ref="R160">IF(NOT(OR(ISBLANK($H160),ISBLANK($I160))),ConvertLength($H160,$I160,"in"),"")</f>
        <v>0.308</v>
      </c>
      <c r="S160" s="45" cm="1">
        <f t="array" ref="S160">IF(NOT(OR(ISBLANK($H160),ISBLANK($I160))),ConvertLength($H160,$I160,"mm"),"")</f>
        <v>7.8232000000000008</v>
      </c>
      <c r="T160" s="45">
        <f t="shared" si="18"/>
        <v>150</v>
      </c>
      <c r="U160" s="45">
        <f t="shared" si="19"/>
        <v>9.7198364999999995</v>
      </c>
      <c r="V160" s="45" cm="1">
        <f t="array" ref="V160">IF(NOT(OR(ISBLANK($L160),ISBLANK($M160))),ConvertSpeed($L160,$M160,"ft/sec"),"")</f>
        <v>2910</v>
      </c>
      <c r="W160" s="45" cm="1">
        <f t="array" ref="W160">IF(NOT(OR(ISBLANK($L160),ISBLANK($M160))),ConvertSpeed($L160,$M160,"m/sec"),"")</f>
        <v>886.96799999999996</v>
      </c>
      <c r="X160" s="45" cm="1">
        <f t="array" ref="X160">IF(NOT(OR(ISBLANK(V160),ISBLANK(T160))),MuzzleVelocityToMuzzleEnergyFtLb(V160,T160),"")</f>
        <v>2819.9635087269494</v>
      </c>
      <c r="Y160" s="45" cm="1">
        <f t="array" ref="Y160">IF(NOT(OR(ISBLANK(W160),ISBLANK(U160))),MuzzleVelocityToMuzzleEnergyJoules(W160,U160),"")</f>
        <v>3823.3571387715897</v>
      </c>
      <c r="Z160" s="45" t="str" cm="1">
        <f t="array" ref="Z160">IF(NOT(OR(ISBLANK($N160),ISBLANK($O160))),ConvertSpeed($N160,$O160,"ft/sec"),"")</f>
        <v/>
      </c>
      <c r="AA160" s="46" t="str" cm="1">
        <f t="array" ref="AA160">IF(NOT(OR(ISBLANK($N160),ISBLANK($O160))),ConvertSpeed($N160,$O160,"m/sec"),"")</f>
        <v/>
      </c>
    </row>
    <row r="161" spans="1:27" x14ac:dyDescent="0.25">
      <c r="A161" s="87"/>
      <c r="C161" s="2" t="s">
        <v>240</v>
      </c>
      <c r="D161" s="2" t="s">
        <v>195</v>
      </c>
      <c r="E161" s="47" t="str">
        <f>$E156</f>
        <v>30-06 Springfield</v>
      </c>
      <c r="F161" t="s">
        <v>306</v>
      </c>
      <c r="G161" t="s">
        <v>49</v>
      </c>
      <c r="H161" s="43">
        <f>IF(NOT(ISBLANK($E161)),_xlfn.XLOOKUP($E161,CartridgeNames[Available Chamberings],CartridgeNames[Bullet Caliber],"n/a",0,1),"")</f>
        <v>0.308</v>
      </c>
      <c r="I161" s="62" t="str">
        <f>IF(NOT(ISBLANK($E161)),_xlfn.XLOOKUP($E161,CartridgeNames[Available Chamberings],CartridgeNames[Caliber(Units)],"n/a",0,1),"")</f>
        <v>in</v>
      </c>
      <c r="J161">
        <v>165</v>
      </c>
      <c r="K161" t="s">
        <v>117</v>
      </c>
      <c r="L161" s="1">
        <v>2800</v>
      </c>
      <c r="M161" t="s">
        <v>121</v>
      </c>
      <c r="O161" t="s">
        <v>121</v>
      </c>
      <c r="P161" s="2"/>
      <c r="R161" s="45" cm="1">
        <f t="array" ref="R161">IF(NOT(OR(ISBLANK($H161),ISBLANK($I161))),ConvertLength($H161,$I161,"in"),"")</f>
        <v>0.308</v>
      </c>
      <c r="S161" s="45" cm="1">
        <f t="array" ref="S161">IF(NOT(OR(ISBLANK($H161),ISBLANK($I161))),ConvertLength($H161,$I161,"mm"),"")</f>
        <v>7.8232000000000008</v>
      </c>
      <c r="T161" s="45">
        <f t="shared" si="18"/>
        <v>165</v>
      </c>
      <c r="U161" s="45">
        <f t="shared" si="19"/>
        <v>10.69182015</v>
      </c>
      <c r="V161" s="45" cm="1">
        <f t="array" ref="V161">IF(NOT(OR(ISBLANK($L161),ISBLANK($M161))),ConvertSpeed($L161,$M161,"ft/sec"),"")</f>
        <v>2800</v>
      </c>
      <c r="W161" s="45" cm="1">
        <f t="array" ref="W161">IF(NOT(OR(ISBLANK($L161),ISBLANK($M161))),ConvertSpeed($L161,$M161,"m/sec"),"")</f>
        <v>853.44</v>
      </c>
      <c r="X161" s="45" cm="1">
        <f t="array" ref="X161">IF(NOT(OR(ISBLANK(V161),ISBLANK(T161))),MuzzleVelocityToMuzzleEnergyFtLb(V161,T161),"")</f>
        <v>2871.8797958528144</v>
      </c>
      <c r="Y161" s="45" cm="1">
        <f t="array" ref="Y161">IF(NOT(OR(ISBLANK(W161),ISBLANK(U161))),MuzzleVelocityToMuzzleEnergyJoules(W161,U161),"")</f>
        <v>3893.7461726675638</v>
      </c>
      <c r="Z161" s="45" t="str" cm="1">
        <f t="array" ref="Z161">IF(NOT(OR(ISBLANK($N161),ISBLANK($O161))),ConvertSpeed($N161,$O161,"ft/sec"),"")</f>
        <v/>
      </c>
      <c r="AA161" s="46" t="str" cm="1">
        <f t="array" ref="AA161">IF(NOT(OR(ISBLANK($N161),ISBLANK($O161))),ConvertSpeed($N161,$O161,"m/sec"),"")</f>
        <v/>
      </c>
    </row>
    <row r="162" spans="1:27" x14ac:dyDescent="0.25">
      <c r="A162" s="87"/>
      <c r="AA162" s="6"/>
    </row>
    <row r="163" spans="1:27" x14ac:dyDescent="0.25">
      <c r="A163" s="87"/>
      <c r="AA163" s="6"/>
    </row>
    <row r="164" spans="1:27" x14ac:dyDescent="0.25">
      <c r="A164" s="87"/>
      <c r="C164" s="49" t="s">
        <v>72</v>
      </c>
      <c r="D164" s="49" t="s">
        <v>124</v>
      </c>
      <c r="E164" s="49" t="s">
        <v>123</v>
      </c>
      <c r="F164" s="49" t="s">
        <v>125</v>
      </c>
      <c r="G164" s="49" t="s">
        <v>27</v>
      </c>
      <c r="H164" s="49" t="s">
        <v>127</v>
      </c>
      <c r="I164" s="49" t="s">
        <v>24</v>
      </c>
      <c r="J164" s="49" t="s">
        <v>26</v>
      </c>
      <c r="K164" s="49" t="s">
        <v>185</v>
      </c>
      <c r="L164" s="49" t="s">
        <v>180</v>
      </c>
      <c r="M164" s="49" t="s">
        <v>28</v>
      </c>
      <c r="N164" s="49" t="s">
        <v>29</v>
      </c>
      <c r="O164" s="49" t="s">
        <v>126</v>
      </c>
      <c r="P164" s="50" t="s">
        <v>182</v>
      </c>
      <c r="Q164" s="50" t="s">
        <v>183</v>
      </c>
      <c r="R164" s="49" t="s">
        <v>184</v>
      </c>
      <c r="AA164" s="6"/>
    </row>
    <row r="165" spans="1:27" x14ac:dyDescent="0.25">
      <c r="A165" s="87"/>
      <c r="C165" t="s">
        <v>285</v>
      </c>
      <c r="D165" t="s">
        <v>80</v>
      </c>
      <c r="E165" t="s">
        <v>286</v>
      </c>
      <c r="F165" t="s">
        <v>156</v>
      </c>
      <c r="G165" s="25"/>
      <c r="H165" s="51"/>
      <c r="I165" s="25"/>
      <c r="J165" s="25"/>
      <c r="K165" s="5"/>
      <c r="L165" s="51"/>
      <c r="M165" s="25"/>
      <c r="N165" s="25"/>
      <c r="O165" s="51"/>
      <c r="P165" s="25"/>
      <c r="Q165" s="25"/>
      <c r="R165" s="51" t="s">
        <v>181</v>
      </c>
      <c r="AA165" s="6"/>
    </row>
    <row r="166" spans="1:27" ht="15.75" thickBot="1" x14ac:dyDescent="0.3">
      <c r="A166" s="88"/>
      <c r="B166" s="7"/>
      <c r="C166" s="7"/>
      <c r="D166" s="7"/>
      <c r="E166" s="7"/>
      <c r="F166" s="7"/>
      <c r="G166" s="53"/>
      <c r="H166" s="54"/>
      <c r="I166" s="53"/>
      <c r="J166" s="53"/>
      <c r="K166" s="55"/>
      <c r="L166" s="54"/>
      <c r="M166" s="53"/>
      <c r="N166" s="53"/>
      <c r="O166" s="54"/>
      <c r="P166" s="53"/>
      <c r="Q166" s="53"/>
      <c r="R166" s="54"/>
      <c r="S166" s="7"/>
      <c r="T166" s="7"/>
      <c r="U166" s="7"/>
      <c r="V166" s="7"/>
      <c r="W166" s="7"/>
      <c r="X166" s="7"/>
      <c r="Y166" s="7"/>
      <c r="Z166" s="7"/>
      <c r="AA166" s="56"/>
    </row>
    <row r="167" spans="1:27" x14ac:dyDescent="0.25">
      <c r="A167" s="24"/>
    </row>
    <row r="168" spans="1:27" x14ac:dyDescent="0.25">
      <c r="A168" s="92"/>
    </row>
    <row r="169" spans="1:27" ht="15.75" thickBot="1" x14ac:dyDescent="0.3">
      <c r="A169" s="24"/>
    </row>
    <row r="170" spans="1:27" ht="25.5" customHeight="1" x14ac:dyDescent="0.25">
      <c r="A170" s="30" t="s">
        <v>83</v>
      </c>
      <c r="B170" s="35"/>
      <c r="C170" s="36" t="s">
        <v>72</v>
      </c>
      <c r="D170" s="36" t="s">
        <v>193</v>
      </c>
      <c r="E170" s="36" t="s">
        <v>2</v>
      </c>
      <c r="F170" s="36" t="s">
        <v>73</v>
      </c>
      <c r="G170" s="36" t="s">
        <v>6</v>
      </c>
      <c r="H170" s="37" t="s">
        <v>104</v>
      </c>
      <c r="I170" s="37" t="s">
        <v>110</v>
      </c>
      <c r="J170" s="38" t="s">
        <v>27</v>
      </c>
      <c r="K170" s="38" t="s">
        <v>111</v>
      </c>
      <c r="L170" s="39" t="s">
        <v>106</v>
      </c>
      <c r="M170" s="39" t="s">
        <v>108</v>
      </c>
      <c r="N170" s="36" t="s">
        <v>95</v>
      </c>
      <c r="O170" s="36" t="s">
        <v>109</v>
      </c>
      <c r="P170" s="40" t="s">
        <v>99</v>
      </c>
      <c r="Q170" s="40" t="s">
        <v>98</v>
      </c>
      <c r="R170" s="37" t="s">
        <v>112</v>
      </c>
      <c r="S170" s="39" t="s">
        <v>74</v>
      </c>
      <c r="T170" s="39" t="s">
        <v>113</v>
      </c>
      <c r="U170" s="36" t="s">
        <v>114</v>
      </c>
      <c r="V170" s="36" t="s">
        <v>115</v>
      </c>
      <c r="W170" s="36" t="s">
        <v>119</v>
      </c>
      <c r="X170" s="36" t="s">
        <v>116</v>
      </c>
      <c r="Y170" s="36" t="s">
        <v>75</v>
      </c>
      <c r="Z170" s="36" t="s">
        <v>96</v>
      </c>
      <c r="AA170" s="41" t="s">
        <v>97</v>
      </c>
    </row>
    <row r="171" spans="1:27" x14ac:dyDescent="0.25">
      <c r="A171" s="24"/>
      <c r="B171" s="42"/>
      <c r="C171" s="2" t="s">
        <v>82</v>
      </c>
      <c r="D171" s="2" t="s">
        <v>4</v>
      </c>
      <c r="E171" t="s">
        <v>83</v>
      </c>
      <c r="F171" t="s">
        <v>101</v>
      </c>
      <c r="G171" t="s">
        <v>51</v>
      </c>
      <c r="H171" s="43">
        <f>IF(NOT(ISBLANK($E171)),_xlfn.XLOOKUP($E171,CartridgeNames[Available Chamberings],CartridgeNames[Bullet Caliber],"n/a",0,1),"")</f>
        <v>0.308</v>
      </c>
      <c r="I171" s="44" t="str">
        <f>IF(NOT(ISBLANK($E171)),_xlfn.XLOOKUP($E171,CartridgeNames[Available Chamberings],CartridgeNames[Caliber(Units)],"n/a",0,1),"")</f>
        <v>in</v>
      </c>
      <c r="J171">
        <v>200</v>
      </c>
      <c r="K171" t="s">
        <v>117</v>
      </c>
      <c r="L171">
        <v>2810</v>
      </c>
      <c r="M171" t="s">
        <v>121</v>
      </c>
      <c r="O171" t="s">
        <v>121</v>
      </c>
      <c r="P171" s="2">
        <v>0.60799999999999998</v>
      </c>
      <c r="Q171">
        <v>0.30399999999999999</v>
      </c>
      <c r="R171" s="45" cm="1">
        <f t="array" ref="R171">IF(NOT(OR(ISBLANK($H171),ISBLANK($I171))),ConvertLength($H171,$I171,"in"),"")</f>
        <v>0.308</v>
      </c>
      <c r="S171" s="45" cm="1">
        <f t="array" ref="S171">IF(NOT(OR(ISBLANK($H171),ISBLANK($I171))),ConvertLength($H171,$I171,"mm"),"")</f>
        <v>7.8232000000000008</v>
      </c>
      <c r="T171" s="45">
        <f t="shared" ref="T171:T176" si="20">IF(NOT(AND(ISBLANK($J171),ISBLANK($K171))),CONVERT($J171,$K171,"grain"),"")</f>
        <v>200</v>
      </c>
      <c r="U171" s="45">
        <f t="shared" ref="U171:U176" si="21">IF(NOT(AND(ISBLANK($J171),ISBLANK($K171))),CONVERT($J171,$K171,"g"),"")</f>
        <v>12.959782000000001</v>
      </c>
      <c r="V171" s="45" cm="1">
        <f t="array" ref="V171">IF(NOT(OR(ISBLANK($L171),ISBLANK($M171))),ConvertSpeed($L171,$M171,"ft/sec"),"")</f>
        <v>2810</v>
      </c>
      <c r="W171" s="45" cm="1">
        <f t="array" ref="W171">IF(NOT(OR(ISBLANK($L171),ISBLANK($M171))),ConvertSpeed($L171,$M171,"m/sec"),"")</f>
        <v>856.48800000000006</v>
      </c>
      <c r="X171" s="45" cm="1">
        <f t="array" ref="X171">IF(NOT(OR(ISBLANK(V171),ISBLANK(T171))),MuzzleVelocityToMuzzleEnergyFtLb(V171,T171),"")</f>
        <v>3505.9755807101751</v>
      </c>
      <c r="Y171" s="45" cm="1">
        <f t="array" ref="Y171">IF(NOT(OR(ISBLANK(W171),ISBLANK(U171))),MuzzleVelocityToMuzzleEnergyJoules(W171,U171),"")</f>
        <v>4753.4646187384596</v>
      </c>
      <c r="Z171" s="45" t="str" cm="1">
        <f t="array" ref="Z171">IF(NOT(OR(ISBLANK($N171),ISBLANK($O171))),ConvertSpeed($N171,$O171,"ft/sec"),"")</f>
        <v/>
      </c>
      <c r="AA171" s="46" t="str" cm="1">
        <f t="array" ref="AA171">IF(NOT(OR(ISBLANK($N171),ISBLANK($O171))),ConvertSpeed($N171,$O171,"m/sec"),"")</f>
        <v/>
      </c>
    </row>
    <row r="172" spans="1:27" x14ac:dyDescent="0.25">
      <c r="A172" s="24"/>
      <c r="B172" s="42"/>
      <c r="C172" s="2" t="s">
        <v>84</v>
      </c>
      <c r="D172" s="2" t="s">
        <v>4</v>
      </c>
      <c r="E172" s="47" t="str">
        <f>$E$171</f>
        <v>300 Winchester Magnum</v>
      </c>
      <c r="F172" t="s">
        <v>103</v>
      </c>
      <c r="G172" t="s">
        <v>47</v>
      </c>
      <c r="H172" s="43">
        <f>IF(NOT(ISBLANK($E172)),_xlfn.XLOOKUP($E172,CartridgeNames[Available Chamberings],CartridgeNames[Bullet Caliber],"n/a",0,1),"")</f>
        <v>0.308</v>
      </c>
      <c r="I172" s="44" t="str">
        <f>IF(NOT(ISBLANK($E172)),_xlfn.XLOOKUP($E172,CartridgeNames[Available Chamberings],CartridgeNames[Caliber(Units)],"n/a",0,1),"")</f>
        <v>in</v>
      </c>
      <c r="J172">
        <v>150</v>
      </c>
      <c r="K172" t="s">
        <v>117</v>
      </c>
      <c r="L172">
        <v>3150</v>
      </c>
      <c r="M172" t="s">
        <v>121</v>
      </c>
      <c r="O172" t="s">
        <v>121</v>
      </c>
      <c r="P172" s="2">
        <v>0.38900000000000001</v>
      </c>
      <c r="R172" s="45" cm="1">
        <f t="array" ref="R172">IF(NOT(OR(ISBLANK($H172),ISBLANK($I172))),ConvertLength($H172,$I172,"in"),"")</f>
        <v>0.308</v>
      </c>
      <c r="S172" s="45" cm="1">
        <f t="array" ref="S172">IF(NOT(OR(ISBLANK($H172),ISBLANK($I172))),ConvertLength($H172,$I172,"mm"),"")</f>
        <v>7.8232000000000008</v>
      </c>
      <c r="T172" s="45">
        <f t="shared" si="20"/>
        <v>150</v>
      </c>
      <c r="U172" s="45">
        <f t="shared" si="21"/>
        <v>9.7198364999999995</v>
      </c>
      <c r="V172" s="45" cm="1">
        <f t="array" ref="V172">IF(NOT(OR(ISBLANK($L172),ISBLANK($M172))),ConvertSpeed($L172,$M172,"ft/sec"),"")</f>
        <v>3150</v>
      </c>
      <c r="W172" s="45" cm="1">
        <f t="array" ref="W172">IF(NOT(OR(ISBLANK($L172),ISBLANK($M172))),ConvertSpeed($L172,$M172,"m/sec"),"")</f>
        <v>960.12</v>
      </c>
      <c r="X172" s="45" cm="1">
        <f t="array" ref="X172">IF(NOT(OR(ISBLANK(V172),ISBLANK(T172))),MuzzleVelocityToMuzzleEnergyFtLb(V172,T172),"")</f>
        <v>3304.2935151147431</v>
      </c>
      <c r="Y172" s="45" cm="1">
        <f t="array" ref="Y172">IF(NOT(OR(ISBLANK(W172),ISBLANK(U172))),MuzzleVelocityToMuzzleEnergyJoules(W172,U172),"")</f>
        <v>4480.020454347622</v>
      </c>
      <c r="Z172" s="45" t="str" cm="1">
        <f t="array" ref="Z172">IF(NOT(OR(ISBLANK($N172),ISBLANK($O172))),ConvertSpeed($N172,$O172,"ft/sec"),"")</f>
        <v/>
      </c>
      <c r="AA172" s="46" t="str" cm="1">
        <f t="array" ref="AA172">IF(NOT(OR(ISBLANK($N172),ISBLANK($O172))),ConvertSpeed($N172,$O172,"m/sec"),"")</f>
        <v/>
      </c>
    </row>
    <row r="173" spans="1:27" x14ac:dyDescent="0.25">
      <c r="A173" s="24"/>
      <c r="B173" s="42"/>
      <c r="C173" s="2" t="s">
        <v>85</v>
      </c>
      <c r="D173" s="2" t="s">
        <v>4</v>
      </c>
      <c r="E173" s="47" t="str">
        <f>$E$171</f>
        <v>300 Winchester Magnum</v>
      </c>
      <c r="F173" t="s">
        <v>102</v>
      </c>
      <c r="G173" t="s">
        <v>49</v>
      </c>
      <c r="H173" s="43">
        <f>IF(NOT(ISBLANK($E173)),_xlfn.XLOOKUP($E173,CartridgeNames[Available Chamberings],CartridgeNames[Bullet Caliber],"n/a",0,1),"")</f>
        <v>0.308</v>
      </c>
      <c r="I173" s="44" t="str">
        <f>IF(NOT(ISBLANK($E173)),_xlfn.XLOOKUP($E173,CartridgeNames[Available Chamberings],CartridgeNames[Caliber(Units)],"n/a",0,1),"")</f>
        <v>in</v>
      </c>
      <c r="J173">
        <v>180</v>
      </c>
      <c r="K173" t="s">
        <v>117</v>
      </c>
      <c r="L173">
        <v>2850</v>
      </c>
      <c r="M173" t="s">
        <v>121</v>
      </c>
      <c r="O173" t="s">
        <v>121</v>
      </c>
      <c r="P173" s="2">
        <v>0.33</v>
      </c>
      <c r="R173" s="45" cm="1">
        <f t="array" ref="R173">IF(NOT(OR(ISBLANK($H173),ISBLANK($I173))),ConvertLength($H173,$I173,"in"),"")</f>
        <v>0.308</v>
      </c>
      <c r="S173" s="45" cm="1">
        <f t="array" ref="S173">IF(NOT(OR(ISBLANK($H173),ISBLANK($I173))),ConvertLength($H173,$I173,"mm"),"")</f>
        <v>7.8232000000000008</v>
      </c>
      <c r="T173" s="45">
        <f t="shared" si="20"/>
        <v>180</v>
      </c>
      <c r="U173" s="45">
        <f t="shared" si="21"/>
        <v>11.6638038</v>
      </c>
      <c r="V173" s="45" cm="1">
        <f t="array" ref="V173">IF(NOT(OR(ISBLANK($L173),ISBLANK($M173))),ConvertSpeed($L173,$M173,"ft/sec"),"")</f>
        <v>2850</v>
      </c>
      <c r="W173" s="45" cm="1">
        <f t="array" ref="W173">IF(NOT(OR(ISBLANK($L173),ISBLANK($M173))),ConvertSpeed($L173,$M173,"m/sec"),"")</f>
        <v>868.68</v>
      </c>
      <c r="X173" s="45" cm="1">
        <f t="array" ref="X173">IF(NOT(OR(ISBLANK(V173),ISBLANK(T173))),MuzzleVelocityToMuzzleEnergyFtLb(V173,T173),"")</f>
        <v>3245.8502284528499</v>
      </c>
      <c r="Y173" s="45" cm="1">
        <f t="array" ref="Y173">IF(NOT(OR(ISBLANK(W173),ISBLANK(U173))),MuzzleVelocityToMuzzleEnergyJoules(W173,U173),"")</f>
        <v>4400.7819973319502</v>
      </c>
      <c r="Z173" s="45" t="str" cm="1">
        <f t="array" ref="Z173">IF(NOT(OR(ISBLANK($N173),ISBLANK($O173))),ConvertSpeed($N173,$O173,"ft/sec"),"")</f>
        <v/>
      </c>
      <c r="AA173" s="46" t="str" cm="1">
        <f t="array" ref="AA173">IF(NOT(OR(ISBLANK($N173),ISBLANK($O173))),ConvertSpeed($N173,$O173,"m/sec"),"")</f>
        <v/>
      </c>
    </row>
    <row r="174" spans="1:27" x14ac:dyDescent="0.25">
      <c r="A174" s="24"/>
      <c r="B174" s="42"/>
      <c r="C174" s="2" t="s">
        <v>82</v>
      </c>
      <c r="D174" s="2" t="s">
        <v>195</v>
      </c>
      <c r="E174" s="47" t="str">
        <f>$E$171</f>
        <v>300 Winchester Magnum</v>
      </c>
      <c r="F174" t="s">
        <v>101</v>
      </c>
      <c r="G174" t="s">
        <v>51</v>
      </c>
      <c r="H174" s="43">
        <f>IF(NOT(ISBLANK($E174)),_xlfn.XLOOKUP($E174,CartridgeNames[Available Chamberings],CartridgeNames[Bullet Caliber],"n/a",0,1),"")</f>
        <v>0.308</v>
      </c>
      <c r="I174" s="44" t="str">
        <f>IF(NOT(ISBLANK($E174)),_xlfn.XLOOKUP($E174,CartridgeNames[Available Chamberings],CartridgeNames[Caliber(Units)],"n/a",0,1),"")</f>
        <v>in</v>
      </c>
      <c r="J174">
        <v>200</v>
      </c>
      <c r="K174" t="s">
        <v>117</v>
      </c>
      <c r="L174">
        <v>2810</v>
      </c>
      <c r="M174" t="s">
        <v>121</v>
      </c>
      <c r="O174" t="s">
        <v>121</v>
      </c>
      <c r="P174" s="2"/>
      <c r="R174" s="45" cm="1">
        <f t="array" ref="R174">IF(NOT(OR(ISBLANK($H174),ISBLANK($I174))),ConvertLength($H174,$I174,"in"),"")</f>
        <v>0.308</v>
      </c>
      <c r="S174" s="45" cm="1">
        <f t="array" ref="S174">IF(NOT(OR(ISBLANK($H174),ISBLANK($I174))),ConvertLength($H174,$I174,"mm"),"")</f>
        <v>7.8232000000000008</v>
      </c>
      <c r="T174" s="45">
        <f t="shared" si="20"/>
        <v>200</v>
      </c>
      <c r="U174" s="45">
        <f t="shared" si="21"/>
        <v>12.959782000000001</v>
      </c>
      <c r="V174" s="45" cm="1">
        <f t="array" ref="V174">IF(NOT(OR(ISBLANK($L174),ISBLANK($M174))),ConvertSpeed($L174,$M174,"ft/sec"),"")</f>
        <v>2810</v>
      </c>
      <c r="W174" s="45" cm="1">
        <f t="array" ref="W174">IF(NOT(OR(ISBLANK($L174),ISBLANK($M174))),ConvertSpeed($L174,$M174,"m/sec"),"")</f>
        <v>856.48800000000006</v>
      </c>
      <c r="X174" s="45" cm="1">
        <f t="array" ref="X174">IF(NOT(OR(ISBLANK(V174),ISBLANK(T174))),MuzzleVelocityToMuzzleEnergyFtLb(V174,T174),"")</f>
        <v>3505.9755807101751</v>
      </c>
      <c r="Y174" s="45" cm="1">
        <f t="array" ref="Y174">IF(NOT(OR(ISBLANK(W174),ISBLANK(U174))),MuzzleVelocityToMuzzleEnergyJoules(W174,U174),"")</f>
        <v>4753.4646187384596</v>
      </c>
      <c r="Z174" s="45" t="str" cm="1">
        <f t="array" ref="Z174">IF(NOT(OR(ISBLANK($N174),ISBLANK($O174))),ConvertSpeed($N174,$O174,"ft/sec"),"")</f>
        <v/>
      </c>
      <c r="AA174" s="46" t="str" cm="1">
        <f t="array" ref="AA174">IF(NOT(OR(ISBLANK($N174),ISBLANK($O174))),ConvertSpeed($N174,$O174,"m/sec"),"")</f>
        <v/>
      </c>
    </row>
    <row r="175" spans="1:27" x14ac:dyDescent="0.25">
      <c r="A175" s="24"/>
      <c r="B175" s="42"/>
      <c r="C175" s="2" t="s">
        <v>84</v>
      </c>
      <c r="D175" s="2" t="s">
        <v>195</v>
      </c>
      <c r="E175" s="47" t="str">
        <f>$E$171</f>
        <v>300 Winchester Magnum</v>
      </c>
      <c r="F175" t="s">
        <v>103</v>
      </c>
      <c r="G175" t="s">
        <v>47</v>
      </c>
      <c r="H175" s="43">
        <f>IF(NOT(ISBLANK($E175)),_xlfn.XLOOKUP($E175,CartridgeNames[Available Chamberings],CartridgeNames[Bullet Caliber],"n/a",0,1),"")</f>
        <v>0.308</v>
      </c>
      <c r="I175" s="44" t="str">
        <f>IF(NOT(ISBLANK($E175)),_xlfn.XLOOKUP($E175,CartridgeNames[Available Chamberings],CartridgeNames[Caliber(Units)],"n/a",0,1),"")</f>
        <v>in</v>
      </c>
      <c r="J175">
        <v>150</v>
      </c>
      <c r="K175" t="s">
        <v>117</v>
      </c>
      <c r="L175">
        <v>3150</v>
      </c>
      <c r="M175" t="s">
        <v>121</v>
      </c>
      <c r="O175" t="s">
        <v>121</v>
      </c>
      <c r="P175" s="2"/>
      <c r="R175" s="45" cm="1">
        <f t="array" ref="R175">IF(NOT(OR(ISBLANK($H175),ISBLANK($I175))),ConvertLength($H175,$I175,"in"),"")</f>
        <v>0.308</v>
      </c>
      <c r="S175" s="45" cm="1">
        <f t="array" ref="S175">IF(NOT(OR(ISBLANK($H175),ISBLANK($I175))),ConvertLength($H175,$I175,"mm"),"")</f>
        <v>7.8232000000000008</v>
      </c>
      <c r="T175" s="45">
        <f t="shared" si="20"/>
        <v>150</v>
      </c>
      <c r="U175" s="45">
        <f t="shared" si="21"/>
        <v>9.7198364999999995</v>
      </c>
      <c r="V175" s="45" cm="1">
        <f t="array" ref="V175">IF(NOT(OR(ISBLANK($L175),ISBLANK($M175))),ConvertSpeed($L175,$M175,"ft/sec"),"")</f>
        <v>3150</v>
      </c>
      <c r="W175" s="45" cm="1">
        <f t="array" ref="W175">IF(NOT(OR(ISBLANK($L175),ISBLANK($M175))),ConvertSpeed($L175,$M175,"m/sec"),"")</f>
        <v>960.12</v>
      </c>
      <c r="X175" s="45" cm="1">
        <f t="array" ref="X175">IF(NOT(OR(ISBLANK(V175),ISBLANK(T175))),MuzzleVelocityToMuzzleEnergyFtLb(V175,T175),"")</f>
        <v>3304.2935151147431</v>
      </c>
      <c r="Y175" s="45" cm="1">
        <f t="array" ref="Y175">IF(NOT(OR(ISBLANK(W175),ISBLANK(U175))),MuzzleVelocityToMuzzleEnergyJoules(W175,U175),"")</f>
        <v>4480.020454347622</v>
      </c>
      <c r="Z175" s="45" t="str" cm="1">
        <f t="array" ref="Z175">IF(NOT(OR(ISBLANK($N175),ISBLANK($O175))),ConvertSpeed($N175,$O175,"ft/sec"),"")</f>
        <v/>
      </c>
      <c r="AA175" s="46" t="str" cm="1">
        <f t="array" ref="AA175">IF(NOT(OR(ISBLANK($N175),ISBLANK($O175))),ConvertSpeed($N175,$O175,"m/sec"),"")</f>
        <v/>
      </c>
    </row>
    <row r="176" spans="1:27" x14ac:dyDescent="0.25">
      <c r="A176" s="24"/>
      <c r="B176" s="42"/>
      <c r="C176" s="2" t="s">
        <v>85</v>
      </c>
      <c r="D176" s="2" t="s">
        <v>195</v>
      </c>
      <c r="E176" s="47" t="str">
        <f>$E$171</f>
        <v>300 Winchester Magnum</v>
      </c>
      <c r="F176" t="s">
        <v>102</v>
      </c>
      <c r="G176" t="s">
        <v>49</v>
      </c>
      <c r="H176" s="43">
        <f>IF(NOT(ISBLANK($E176)),_xlfn.XLOOKUP($E176,CartridgeNames[Available Chamberings],CartridgeNames[Bullet Caliber],"n/a",0,1),"")</f>
        <v>0.308</v>
      </c>
      <c r="I176" s="44" t="str">
        <f>IF(NOT(ISBLANK($E176)),_xlfn.XLOOKUP($E176,CartridgeNames[Available Chamberings],CartridgeNames[Caliber(Units)],"n/a",0,1),"")</f>
        <v>in</v>
      </c>
      <c r="J176">
        <v>180</v>
      </c>
      <c r="K176" t="s">
        <v>117</v>
      </c>
      <c r="L176">
        <v>2850</v>
      </c>
      <c r="M176" t="s">
        <v>121</v>
      </c>
      <c r="O176" t="s">
        <v>121</v>
      </c>
      <c r="P176" s="2"/>
      <c r="R176" s="45" cm="1">
        <f t="array" ref="R176">IF(NOT(OR(ISBLANK($H176),ISBLANK($I176))),ConvertLength($H176,$I176,"in"),"")</f>
        <v>0.308</v>
      </c>
      <c r="S176" s="45" cm="1">
        <f t="array" ref="S176">IF(NOT(OR(ISBLANK($H176),ISBLANK($I176))),ConvertLength($H176,$I176,"mm"),"")</f>
        <v>7.8232000000000008</v>
      </c>
      <c r="T176" s="45">
        <f t="shared" si="20"/>
        <v>180</v>
      </c>
      <c r="U176" s="45">
        <f t="shared" si="21"/>
        <v>11.6638038</v>
      </c>
      <c r="V176" s="45" cm="1">
        <f t="array" ref="V176">IF(NOT(OR(ISBLANK($L176),ISBLANK($M176))),ConvertSpeed($L176,$M176,"ft/sec"),"")</f>
        <v>2850</v>
      </c>
      <c r="W176" s="45" cm="1">
        <f t="array" ref="W176">IF(NOT(OR(ISBLANK($L176),ISBLANK($M176))),ConvertSpeed($L176,$M176,"m/sec"),"")</f>
        <v>868.68</v>
      </c>
      <c r="X176" s="45" cm="1">
        <f t="array" ref="X176">IF(NOT(OR(ISBLANK(V176),ISBLANK(T176))),MuzzleVelocityToMuzzleEnergyFtLb(V176,T176),"")</f>
        <v>3245.8502284528499</v>
      </c>
      <c r="Y176" s="45" cm="1">
        <f t="array" ref="Y176">IF(NOT(OR(ISBLANK(W176),ISBLANK(U176))),MuzzleVelocityToMuzzleEnergyJoules(W176,U176),"")</f>
        <v>4400.7819973319502</v>
      </c>
      <c r="Z176" s="45" t="str" cm="1">
        <f t="array" ref="Z176">IF(NOT(OR(ISBLANK($N176),ISBLANK($O176))),ConvertSpeed($N176,$O176,"ft/sec"),"")</f>
        <v/>
      </c>
      <c r="AA176" s="46" t="str" cm="1">
        <f t="array" ref="AA176">IF(NOT(OR(ISBLANK($N176),ISBLANK($O176))),ConvertSpeed($N176,$O176,"m/sec"),"")</f>
        <v/>
      </c>
    </row>
    <row r="177" spans="1:27" x14ac:dyDescent="0.25">
      <c r="A177" s="24"/>
      <c r="B177" s="42"/>
      <c r="AA177" s="6"/>
    </row>
    <row r="178" spans="1:27" x14ac:dyDescent="0.25">
      <c r="A178" s="24"/>
      <c r="B178" s="42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48"/>
    </row>
    <row r="179" spans="1:27" x14ac:dyDescent="0.25">
      <c r="A179" s="24"/>
      <c r="B179" s="42"/>
      <c r="C179" s="49" t="s">
        <v>72</v>
      </c>
      <c r="D179" s="49" t="s">
        <v>124</v>
      </c>
      <c r="E179" s="49" t="s">
        <v>123</v>
      </c>
      <c r="F179" s="49" t="s">
        <v>125</v>
      </c>
      <c r="G179" s="49" t="s">
        <v>27</v>
      </c>
      <c r="H179" s="49" t="s">
        <v>127</v>
      </c>
      <c r="I179" s="49" t="s">
        <v>24</v>
      </c>
      <c r="J179" s="49" t="s">
        <v>26</v>
      </c>
      <c r="K179" s="49" t="s">
        <v>185</v>
      </c>
      <c r="L179" s="49" t="s">
        <v>180</v>
      </c>
      <c r="M179" s="49" t="s">
        <v>28</v>
      </c>
      <c r="N179" s="49" t="s">
        <v>29</v>
      </c>
      <c r="O179" s="49" t="s">
        <v>126</v>
      </c>
      <c r="P179" s="50" t="s">
        <v>182</v>
      </c>
      <c r="Q179" s="50" t="s">
        <v>183</v>
      </c>
      <c r="R179" s="49" t="s">
        <v>184</v>
      </c>
      <c r="AA179" s="6"/>
    </row>
    <row r="180" spans="1:27" x14ac:dyDescent="0.25">
      <c r="A180" s="24"/>
      <c r="B180" s="42"/>
      <c r="C180" t="s">
        <v>128</v>
      </c>
      <c r="D180" t="s">
        <v>83</v>
      </c>
      <c r="E180" t="s">
        <v>155</v>
      </c>
      <c r="F180" t="s">
        <v>156</v>
      </c>
      <c r="G180" s="25"/>
      <c r="H180" s="51"/>
      <c r="I180" s="25"/>
      <c r="J180" s="25"/>
      <c r="K180" s="5"/>
      <c r="L180" s="51"/>
      <c r="M180" s="25"/>
      <c r="N180" s="25"/>
      <c r="O180" s="51"/>
      <c r="P180" s="25"/>
      <c r="Q180" s="25"/>
      <c r="R180" s="51" t="s">
        <v>181</v>
      </c>
      <c r="AA180" s="6"/>
    </row>
    <row r="181" spans="1:27" ht="15.75" thickBot="1" x14ac:dyDescent="0.3">
      <c r="A181" s="24"/>
      <c r="B181" s="52"/>
      <c r="C181" s="7" t="s">
        <v>157</v>
      </c>
      <c r="D181" s="7" t="s">
        <v>83</v>
      </c>
      <c r="E181" s="7" t="s">
        <v>158</v>
      </c>
      <c r="F181" s="7" t="s">
        <v>156</v>
      </c>
      <c r="G181" s="53"/>
      <c r="H181" s="54"/>
      <c r="I181" s="53"/>
      <c r="J181" s="53"/>
      <c r="K181" s="55"/>
      <c r="L181" s="54"/>
      <c r="M181" s="53"/>
      <c r="N181" s="53"/>
      <c r="O181" s="54"/>
      <c r="P181" s="53"/>
      <c r="Q181" s="53"/>
      <c r="R181" s="54" t="s">
        <v>181</v>
      </c>
      <c r="S181" s="7"/>
      <c r="T181" s="7"/>
      <c r="U181" s="7"/>
      <c r="V181" s="7"/>
      <c r="W181" s="7"/>
      <c r="X181" s="7"/>
      <c r="Y181" s="7"/>
      <c r="Z181" s="7"/>
      <c r="AA181" s="56"/>
    </row>
    <row r="182" spans="1:27" ht="8.25" customHeight="1" x14ac:dyDescent="0.25">
      <c r="A182" s="24"/>
      <c r="G182" s="25"/>
      <c r="H182" s="51"/>
      <c r="I182" s="25"/>
      <c r="J182" s="25"/>
      <c r="K182" s="5"/>
      <c r="L182" s="51"/>
      <c r="M182" s="25"/>
      <c r="N182" s="25"/>
      <c r="O182" s="51"/>
      <c r="P182" s="25"/>
      <c r="Q182" s="25"/>
      <c r="R182" s="51"/>
    </row>
    <row r="183" spans="1:27" ht="15.75" thickBot="1" x14ac:dyDescent="0.3">
      <c r="A183" s="30"/>
    </row>
    <row r="184" spans="1:27" ht="16.5" customHeight="1" x14ac:dyDescent="0.25">
      <c r="A184" s="89" t="s">
        <v>86</v>
      </c>
      <c r="B184" s="35"/>
      <c r="C184" s="59"/>
      <c r="D184" s="59"/>
      <c r="E184" s="59"/>
      <c r="F184" s="59"/>
      <c r="G184" s="59"/>
      <c r="H184" s="59"/>
      <c r="I184" s="59"/>
      <c r="J184" s="59"/>
      <c r="K184" s="59"/>
      <c r="L184" s="59"/>
      <c r="M184" s="59"/>
      <c r="N184" s="59"/>
      <c r="O184" s="59"/>
      <c r="P184" s="59"/>
      <c r="Q184" s="59"/>
      <c r="R184" s="59"/>
      <c r="S184" s="59"/>
      <c r="T184" s="59"/>
      <c r="U184" s="59"/>
      <c r="V184" s="59"/>
      <c r="W184" s="59"/>
      <c r="X184" s="59"/>
      <c r="Y184" s="59"/>
      <c r="Z184" s="59"/>
      <c r="AA184" s="60"/>
    </row>
    <row r="185" spans="1:27" ht="36.75" customHeight="1" x14ac:dyDescent="0.25">
      <c r="A185" s="90"/>
      <c r="B185" s="42"/>
      <c r="C185" s="15" t="s">
        <v>72</v>
      </c>
      <c r="D185" s="15" t="s">
        <v>193</v>
      </c>
      <c r="E185" s="15" t="s">
        <v>2</v>
      </c>
      <c r="F185" s="15" t="s">
        <v>73</v>
      </c>
      <c r="G185" s="15" t="s">
        <v>6</v>
      </c>
      <c r="H185" s="16" t="s">
        <v>104</v>
      </c>
      <c r="I185" s="16" t="s">
        <v>110</v>
      </c>
      <c r="J185" s="17" t="s">
        <v>27</v>
      </c>
      <c r="K185" s="17" t="s">
        <v>111</v>
      </c>
      <c r="L185" s="18" t="s">
        <v>106</v>
      </c>
      <c r="M185" s="18" t="s">
        <v>108</v>
      </c>
      <c r="N185" s="15" t="s">
        <v>95</v>
      </c>
      <c r="O185" s="15" t="s">
        <v>109</v>
      </c>
      <c r="P185" s="14" t="s">
        <v>99</v>
      </c>
      <c r="Q185" s="14" t="s">
        <v>98</v>
      </c>
      <c r="R185" s="16" t="s">
        <v>112</v>
      </c>
      <c r="S185" s="18" t="s">
        <v>74</v>
      </c>
      <c r="T185" s="18" t="s">
        <v>113</v>
      </c>
      <c r="U185" s="15" t="s">
        <v>114</v>
      </c>
      <c r="V185" s="15" t="s">
        <v>115</v>
      </c>
      <c r="W185" s="15" t="s">
        <v>119</v>
      </c>
      <c r="X185" s="15" t="s">
        <v>116</v>
      </c>
      <c r="Y185" s="15" t="s">
        <v>75</v>
      </c>
      <c r="Z185" s="15" t="s">
        <v>96</v>
      </c>
      <c r="AA185" s="61" t="s">
        <v>97</v>
      </c>
    </row>
    <row r="186" spans="1:27" x14ac:dyDescent="0.25">
      <c r="A186" s="90"/>
      <c r="B186" s="42"/>
      <c r="C186" s="2" t="s">
        <v>189</v>
      </c>
      <c r="D186" s="2" t="s">
        <v>4</v>
      </c>
      <c r="E186" t="s">
        <v>86</v>
      </c>
      <c r="F186" t="s">
        <v>203</v>
      </c>
      <c r="G186" t="s">
        <v>51</v>
      </c>
      <c r="H186" s="43">
        <f>IF(NOT(ISBLANK($E186)),_xlfn.XLOOKUP($E186,CartridgeNames[Available Chamberings],CartridgeNames[Bullet Caliber],"n/a",0,1),"")</f>
        <v>0.33800000000000002</v>
      </c>
      <c r="I186" s="62" t="str">
        <f>IF(NOT(ISBLANK($E186)),_xlfn.XLOOKUP($E186,CartridgeNames[Available Chamberings],CartridgeNames[Caliber(Units)],"n/a",0,1),"")</f>
        <v>in</v>
      </c>
      <c r="J186">
        <v>250</v>
      </c>
      <c r="K186" t="s">
        <v>117</v>
      </c>
      <c r="L186">
        <v>2850</v>
      </c>
      <c r="M186" t="s">
        <v>121</v>
      </c>
      <c r="O186" t="s">
        <v>121</v>
      </c>
      <c r="P186">
        <v>0.625</v>
      </c>
      <c r="R186" s="45" cm="1">
        <f t="array" ref="R186">IF(NOT(OR(ISBLANK($H186),ISBLANK($I186))),ConvertLength($H186,$I186,"in"),"")</f>
        <v>0.33800000000000002</v>
      </c>
      <c r="S186" s="45" cm="1">
        <f t="array" ref="S186">IF(NOT(OR(ISBLANK($H186),ISBLANK($I186))),ConvertLength($H186,$I186,"mm"),"")</f>
        <v>8.5851999999999986</v>
      </c>
      <c r="T186" s="45">
        <f>IF(NOT(AND(ISBLANK($J186),ISBLANK($K186))),CONVERT($J186,$K186,"grain"),"")</f>
        <v>250.00000000000003</v>
      </c>
      <c r="U186" s="45">
        <f>IF(NOT(AND(ISBLANK($J186),ISBLANK($K186))),CONVERT($J186,$K186,"g"),"")</f>
        <v>16.199727500000002</v>
      </c>
      <c r="V186" s="45" cm="1">
        <f t="array" ref="V186">IF(NOT(OR(ISBLANK($L186),ISBLANK($M186))),ConvertSpeed($L186,$M186,"ft/sec"),"")</f>
        <v>2850</v>
      </c>
      <c r="W186" s="45" cm="1">
        <f t="array" ref="W186">IF(NOT(OR(ISBLANK($L186),ISBLANK($M186))),ConvertSpeed($L186,$M186,"m/sec"),"")</f>
        <v>868.68</v>
      </c>
      <c r="X186" s="45" cm="1">
        <f t="array" ref="X186">IF(NOT(OR(ISBLANK(V186),ISBLANK(T186))),MuzzleVelocityToMuzzleEnergyFtLb(V186,T186),"")</f>
        <v>4508.1253172956249</v>
      </c>
      <c r="Y186" s="45" cm="1">
        <f t="array" ref="Y186">IF(NOT(OR(ISBLANK(W186),ISBLANK(U186))),MuzzleVelocityToMuzzleEnergyJoules(W186,U186),"")</f>
        <v>6112.1972185165978</v>
      </c>
      <c r="Z186" s="45" t="str" cm="1">
        <f t="array" ref="Z186">IF(NOT(OR(ISBLANK($N186),ISBLANK($O186))),ConvertSpeed($N186,$O186,"ft/sec"),"")</f>
        <v/>
      </c>
      <c r="AA186" s="46" t="str" cm="1">
        <f t="array" ref="AA186">IF(NOT(OR(ISBLANK($N186),ISBLANK($O186))),ConvertSpeed($N186,$O186,"m/sec"),"")</f>
        <v/>
      </c>
    </row>
    <row r="187" spans="1:27" x14ac:dyDescent="0.25">
      <c r="A187" s="90"/>
      <c r="B187" s="42"/>
      <c r="C187" s="2" t="s">
        <v>189</v>
      </c>
      <c r="D187" s="2" t="s">
        <v>195</v>
      </c>
      <c r="E187" s="47" t="str">
        <f>$E186</f>
        <v>338 Lapua Magnum</v>
      </c>
      <c r="F187" t="s">
        <v>203</v>
      </c>
      <c r="G187" t="s">
        <v>51</v>
      </c>
      <c r="H187" s="43">
        <f>IF(NOT(ISBLANK($E187)),_xlfn.XLOOKUP($E187,CartridgeNames[Available Chamberings],CartridgeNames[Bullet Caliber],"n/a",0,1),"")</f>
        <v>0.33800000000000002</v>
      </c>
      <c r="I187" s="62" t="str">
        <f>IF(NOT(ISBLANK($E187)),_xlfn.XLOOKUP($E187,CartridgeNames[Available Chamberings],CartridgeNames[Caliber(Units)],"n/a",0,1),"")</f>
        <v>in</v>
      </c>
      <c r="J187">
        <v>250</v>
      </c>
      <c r="K187" t="s">
        <v>117</v>
      </c>
      <c r="L187">
        <v>2950</v>
      </c>
      <c r="M187" t="s">
        <v>121</v>
      </c>
      <c r="O187" t="s">
        <v>121</v>
      </c>
      <c r="R187" s="45" cm="1">
        <f t="array" ref="R187">IF(NOT(OR(ISBLANK($H187),ISBLANK($I187))),ConvertLength($H187,$I187,"in"),"")</f>
        <v>0.33800000000000002</v>
      </c>
      <c r="S187" s="45" cm="1">
        <f t="array" ref="S187">IF(NOT(OR(ISBLANK($H187),ISBLANK($I187))),ConvertLength($H187,$I187,"mm"),"")</f>
        <v>8.5851999999999986</v>
      </c>
      <c r="T187" s="45">
        <f>IF(NOT(AND(ISBLANK($J187),ISBLANK($K187))),CONVERT($J187,$K187,"grain"),"")</f>
        <v>250.00000000000003</v>
      </c>
      <c r="U187" s="45">
        <f>IF(NOT(AND(ISBLANK($J187),ISBLANK($K187))),CONVERT($J187,$K187,"g"),"")</f>
        <v>16.199727500000002</v>
      </c>
      <c r="V187" s="45" cm="1">
        <f t="array" ref="V187">IF(NOT(OR(ISBLANK($L187),ISBLANK($M187))),ConvertSpeed($L187,$M187,"ft/sec"),"")</f>
        <v>2950</v>
      </c>
      <c r="W187" s="45" cm="1">
        <f t="array" ref="W187">IF(NOT(OR(ISBLANK($L187),ISBLANK($M187))),ConvertSpeed($L187,$M187,"m/sec"),"")</f>
        <v>899.16</v>
      </c>
      <c r="X187" s="45" cm="1">
        <f t="array" ref="X187">IF(NOT(OR(ISBLANK(V187),ISBLANK(T187))),MuzzleVelocityToMuzzleEnergyFtLb(V187,T187),"")</f>
        <v>4830.0351583582851</v>
      </c>
      <c r="Y187" s="45" cm="1">
        <f t="array" ref="Y187">IF(NOT(OR(ISBLANK(W187),ISBLANK(U187))),MuzzleVelocityToMuzzleEnergyJoules(W187,U187),"")</f>
        <v>6548.6483587738612</v>
      </c>
      <c r="Z187" s="45" t="str" cm="1">
        <f t="array" ref="Z187">IF(NOT(OR(ISBLANK($N187),ISBLANK($O187))),ConvertSpeed($N187,$O187,"ft/sec"),"")</f>
        <v/>
      </c>
      <c r="AA187" s="46" t="str" cm="1">
        <f t="array" ref="AA187">IF(NOT(OR(ISBLANK($N187),ISBLANK($O187))),ConvertSpeed($N187,$O187,"m/sec"),"")</f>
        <v/>
      </c>
    </row>
    <row r="188" spans="1:27" x14ac:dyDescent="0.25">
      <c r="A188" s="90"/>
      <c r="B188" s="42"/>
      <c r="C188" s="2" t="s">
        <v>202</v>
      </c>
      <c r="D188" s="2" t="s">
        <v>195</v>
      </c>
      <c r="E188" s="47" t="str">
        <f>$E186</f>
        <v>338 Lapua Magnum</v>
      </c>
      <c r="F188" t="s">
        <v>204</v>
      </c>
      <c r="G188" t="s">
        <v>51</v>
      </c>
      <c r="H188" s="43">
        <f>IF(NOT(ISBLANK($E188)),_xlfn.XLOOKUP($E188,CartridgeNames[Available Chamberings],CartridgeNames[Bullet Caliber],"n/a",0,1),"")</f>
        <v>0.33800000000000002</v>
      </c>
      <c r="I188" s="62" t="str">
        <f>IF(NOT(ISBLANK($E188)),_xlfn.XLOOKUP($E188,CartridgeNames[Available Chamberings],CartridgeNames[Caliber(Units)],"n/a",0,1),"")</f>
        <v>in</v>
      </c>
      <c r="J188">
        <v>275</v>
      </c>
      <c r="K188" t="s">
        <v>117</v>
      </c>
      <c r="L188">
        <v>2650</v>
      </c>
      <c r="M188" t="s">
        <v>121</v>
      </c>
      <c r="O188" t="s">
        <v>121</v>
      </c>
      <c r="R188" s="45" cm="1">
        <f t="array" ref="R188">IF(NOT(OR(ISBLANK($H188),ISBLANK($I188))),ConvertLength($H188,$I188,"in"),"")</f>
        <v>0.33800000000000002</v>
      </c>
      <c r="S188" s="45" cm="1">
        <f t="array" ref="S188">IF(NOT(OR(ISBLANK($H188),ISBLANK($I188))),ConvertLength($H188,$I188,"mm"),"")</f>
        <v>8.5851999999999986</v>
      </c>
      <c r="T188" s="45">
        <f>IF(NOT(AND(ISBLANK($J188),ISBLANK($K188))),CONVERT($J188,$K188,"grain"),"")</f>
        <v>275</v>
      </c>
      <c r="U188" s="45">
        <f>IF(NOT(AND(ISBLANK($J188),ISBLANK($K188))),CONVERT($J188,$K188,"g"),"")</f>
        <v>17.81970025</v>
      </c>
      <c r="V188" s="45" cm="1">
        <f t="array" ref="V188">IF(NOT(OR(ISBLANK($L188),ISBLANK($M188))),ConvertSpeed($L188,$M188,"ft/sec"),"")</f>
        <v>2650</v>
      </c>
      <c r="W188" s="45" cm="1">
        <f t="array" ref="W188">IF(NOT(OR(ISBLANK($L188),ISBLANK($M188))),ConvertSpeed($L188,$M188,"m/sec"),"")</f>
        <v>807.72</v>
      </c>
      <c r="X188" s="45" cm="1">
        <f t="array" ref="X188">IF(NOT(OR(ISBLANK(V188),ISBLANK(T188))),MuzzleVelocityToMuzzleEnergyFtLb(V188,T188),"")</f>
        <v>4287.3673185323951</v>
      </c>
      <c r="Y188" s="45" cm="1">
        <f t="array" ref="Y188">IF(NOT(OR(ISBLANK(W188),ISBLANK(U188))),MuzzleVelocityToMuzzleEnergyJoules(W188,U188),"")</f>
        <v>5812.8895615556903</v>
      </c>
      <c r="Z188" s="45" t="str" cm="1">
        <f t="array" ref="Z188">IF(NOT(OR(ISBLANK($N188),ISBLANK($O188))),ConvertSpeed($N188,$O188,"ft/sec"),"")</f>
        <v/>
      </c>
      <c r="AA188" s="46" t="str" cm="1">
        <f t="array" ref="AA188">IF(NOT(OR(ISBLANK($N188),ISBLANK($O188))),ConvertSpeed($N188,$O188,"m/sec"),"")</f>
        <v/>
      </c>
    </row>
    <row r="189" spans="1:27" x14ac:dyDescent="0.25">
      <c r="A189" s="90"/>
      <c r="B189" s="42"/>
      <c r="C189" s="2"/>
      <c r="D189" s="2"/>
      <c r="E189" s="47"/>
      <c r="H189" s="43"/>
      <c r="I189" s="62"/>
      <c r="R189" s="45"/>
      <c r="S189" s="45"/>
      <c r="T189" s="45"/>
      <c r="U189" s="45"/>
      <c r="V189" s="45"/>
      <c r="W189" s="45"/>
      <c r="X189" s="45"/>
      <c r="Y189" s="45"/>
      <c r="Z189" s="45"/>
      <c r="AA189" s="46"/>
    </row>
    <row r="190" spans="1:27" x14ac:dyDescent="0.25">
      <c r="A190" s="90"/>
      <c r="B190" s="42"/>
      <c r="S190" s="45"/>
      <c r="T190" s="45"/>
      <c r="U190" s="45"/>
      <c r="V190" s="45"/>
      <c r="W190" s="45"/>
      <c r="X190" s="45"/>
      <c r="Y190" s="45"/>
      <c r="Z190" s="45"/>
      <c r="AA190" s="46"/>
    </row>
    <row r="191" spans="1:27" x14ac:dyDescent="0.25">
      <c r="A191" s="90"/>
      <c r="B191" s="42"/>
      <c r="C191" s="49" t="s">
        <v>72</v>
      </c>
      <c r="D191" s="49" t="s">
        <v>124</v>
      </c>
      <c r="E191" s="49" t="s">
        <v>123</v>
      </c>
      <c r="F191" s="49" t="s">
        <v>125</v>
      </c>
      <c r="G191" s="49" t="s">
        <v>27</v>
      </c>
      <c r="H191" s="49" t="s">
        <v>127</v>
      </c>
      <c r="I191" s="49" t="s">
        <v>24</v>
      </c>
      <c r="J191" s="49" t="s">
        <v>26</v>
      </c>
      <c r="K191" s="49" t="s">
        <v>185</v>
      </c>
      <c r="L191" s="49" t="s">
        <v>180</v>
      </c>
      <c r="M191" s="49" t="s">
        <v>28</v>
      </c>
      <c r="N191" s="49" t="s">
        <v>29</v>
      </c>
      <c r="O191" s="49" t="s">
        <v>126</v>
      </c>
      <c r="P191" s="50" t="s">
        <v>182</v>
      </c>
      <c r="Q191" s="50" t="s">
        <v>183</v>
      </c>
      <c r="R191" s="49" t="s">
        <v>184</v>
      </c>
      <c r="S191" s="45"/>
      <c r="T191" s="45"/>
      <c r="U191" s="45"/>
      <c r="V191" s="45"/>
      <c r="W191" s="45"/>
      <c r="X191" s="45"/>
      <c r="Y191" s="45"/>
      <c r="Z191" s="45"/>
      <c r="AA191" s="46"/>
    </row>
    <row r="192" spans="1:27" x14ac:dyDescent="0.25">
      <c r="A192" s="90"/>
      <c r="B192" s="42"/>
      <c r="C192" t="s">
        <v>257</v>
      </c>
      <c r="D192" t="s">
        <v>86</v>
      </c>
      <c r="E192" t="s">
        <v>258</v>
      </c>
      <c r="F192" t="s">
        <v>156</v>
      </c>
      <c r="G192" s="25"/>
      <c r="H192" s="51"/>
      <c r="I192" s="25"/>
      <c r="J192" s="25"/>
      <c r="K192" s="5"/>
      <c r="L192" s="51"/>
      <c r="M192" s="25"/>
      <c r="N192" s="25"/>
      <c r="O192" s="51"/>
      <c r="P192" s="25"/>
      <c r="Q192" s="25"/>
      <c r="R192" s="51" t="s">
        <v>181</v>
      </c>
      <c r="S192" s="45"/>
      <c r="T192" s="45"/>
      <c r="U192" s="45"/>
      <c r="V192" s="45"/>
      <c r="W192" s="45"/>
      <c r="X192" s="45"/>
      <c r="Y192" s="45"/>
      <c r="Z192" s="45"/>
      <c r="AA192" s="46"/>
    </row>
    <row r="193" spans="1:27" ht="15.75" thickBot="1" x14ac:dyDescent="0.3">
      <c r="A193" s="90"/>
      <c r="B193" s="52"/>
      <c r="C193" s="7"/>
      <c r="D193" s="7"/>
      <c r="E193" s="7"/>
      <c r="F193" s="7"/>
      <c r="G193" s="53"/>
      <c r="H193" s="54"/>
      <c r="I193" s="53"/>
      <c r="J193" s="53"/>
      <c r="K193" s="55"/>
      <c r="L193" s="54"/>
      <c r="M193" s="53"/>
      <c r="N193" s="53"/>
      <c r="O193" s="54"/>
      <c r="P193" s="53"/>
      <c r="Q193" s="53"/>
      <c r="R193" s="54"/>
      <c r="S193" s="7"/>
      <c r="T193" s="7"/>
      <c r="U193" s="7"/>
      <c r="V193" s="7"/>
      <c r="W193" s="7"/>
      <c r="X193" s="7"/>
      <c r="Y193" s="7"/>
      <c r="Z193" s="7"/>
      <c r="AA193" s="56"/>
    </row>
    <row r="194" spans="1:27" x14ac:dyDescent="0.25">
      <c r="A194" s="24"/>
    </row>
    <row r="195" spans="1:27" x14ac:dyDescent="0.25">
      <c r="A195" s="24"/>
    </row>
    <row r="196" spans="1:27" ht="15.75" thickBot="1" x14ac:dyDescent="0.3">
      <c r="A196" s="30"/>
      <c r="C196" s="26"/>
      <c r="D196" s="26"/>
      <c r="E196" s="27"/>
      <c r="F196" s="27"/>
      <c r="G196" s="27"/>
      <c r="H196" s="26"/>
      <c r="I196" s="82"/>
      <c r="J196" s="27"/>
      <c r="K196" s="27"/>
      <c r="L196" s="83"/>
      <c r="M196" s="27"/>
      <c r="N196" s="27"/>
      <c r="O196" s="27"/>
      <c r="P196" s="27"/>
      <c r="Q196" s="27"/>
      <c r="R196" s="84"/>
      <c r="S196" s="84"/>
      <c r="T196" s="84"/>
      <c r="U196" s="84"/>
      <c r="V196" s="84"/>
      <c r="W196" s="84"/>
      <c r="X196" s="84"/>
      <c r="Y196" s="84"/>
      <c r="Z196" s="84"/>
      <c r="AA196" s="84"/>
    </row>
    <row r="197" spans="1:27" x14ac:dyDescent="0.25">
      <c r="A197" s="73"/>
      <c r="B197" s="59"/>
      <c r="C197" s="59"/>
      <c r="D197" s="59"/>
      <c r="E197" s="59"/>
      <c r="F197" s="59"/>
      <c r="G197" s="59"/>
      <c r="H197" s="59"/>
      <c r="I197" s="59"/>
      <c r="J197" s="59"/>
      <c r="K197" s="59"/>
      <c r="L197" s="59"/>
      <c r="M197" s="59"/>
      <c r="N197" s="59"/>
      <c r="O197" s="59"/>
      <c r="P197" s="59"/>
      <c r="Q197" s="59"/>
      <c r="R197" s="59"/>
      <c r="S197" s="59"/>
      <c r="T197" s="59"/>
      <c r="U197" s="59"/>
      <c r="V197" s="59"/>
      <c r="W197" s="59"/>
      <c r="X197" s="59"/>
      <c r="Y197" s="59"/>
      <c r="Z197" s="59"/>
      <c r="AA197" s="60"/>
    </row>
    <row r="198" spans="1:27" ht="30" x14ac:dyDescent="0.25">
      <c r="A198" s="93" t="s">
        <v>81</v>
      </c>
      <c r="C198" s="15" t="s">
        <v>72</v>
      </c>
      <c r="D198" s="15" t="s">
        <v>193</v>
      </c>
      <c r="E198" s="15" t="s">
        <v>2</v>
      </c>
      <c r="F198" s="15" t="s">
        <v>73</v>
      </c>
      <c r="G198" s="15" t="s">
        <v>6</v>
      </c>
      <c r="H198" s="16" t="s">
        <v>104</v>
      </c>
      <c r="I198" s="16" t="s">
        <v>110</v>
      </c>
      <c r="J198" s="17" t="s">
        <v>27</v>
      </c>
      <c r="K198" s="17" t="s">
        <v>111</v>
      </c>
      <c r="L198" s="18" t="s">
        <v>106</v>
      </c>
      <c r="M198" s="18" t="s">
        <v>108</v>
      </c>
      <c r="N198" s="15" t="s">
        <v>95</v>
      </c>
      <c r="O198" s="15" t="s">
        <v>109</v>
      </c>
      <c r="P198" s="14" t="s">
        <v>99</v>
      </c>
      <c r="Q198" s="14" t="s">
        <v>98</v>
      </c>
      <c r="R198" s="16" t="s">
        <v>112</v>
      </c>
      <c r="S198" s="18" t="s">
        <v>74</v>
      </c>
      <c r="T198" s="18" t="s">
        <v>113</v>
      </c>
      <c r="U198" s="15" t="s">
        <v>114</v>
      </c>
      <c r="V198" s="15" t="s">
        <v>115</v>
      </c>
      <c r="W198" s="15" t="s">
        <v>119</v>
      </c>
      <c r="X198" s="15" t="s">
        <v>116</v>
      </c>
      <c r="Y198" s="15" t="s">
        <v>75</v>
      </c>
      <c r="Z198" s="15" t="s">
        <v>96</v>
      </c>
      <c r="AA198" s="61" t="s">
        <v>97</v>
      </c>
    </row>
    <row r="199" spans="1:27" x14ac:dyDescent="0.25">
      <c r="A199" s="94"/>
      <c r="C199" s="2" t="s">
        <v>256</v>
      </c>
      <c r="D199" s="2" t="s">
        <v>4</v>
      </c>
      <c r="E199" t="s">
        <v>81</v>
      </c>
      <c r="F199" t="s">
        <v>234</v>
      </c>
      <c r="G199" t="s">
        <v>47</v>
      </c>
      <c r="H199" s="43">
        <f>IF(NOT(ISBLANK($E199)),_xlfn.XLOOKUP($E199,CartridgeNames[Available Chamberings],CartridgeNames[Bullet Caliber],"n/a",0,1),"")</f>
        <v>0.35799999999999998</v>
      </c>
      <c r="I199" s="62" t="str">
        <f>IF(NOT(ISBLANK($E199)),_xlfn.XLOOKUP($E199,CartridgeNames[Available Chamberings],CartridgeNames[Caliber(Units)],"n/a",0,1),"")</f>
        <v>in</v>
      </c>
      <c r="J199">
        <v>200</v>
      </c>
      <c r="K199" t="s">
        <v>117</v>
      </c>
      <c r="L199" s="1">
        <v>2774</v>
      </c>
      <c r="M199" t="s">
        <v>121</v>
      </c>
      <c r="O199" t="s">
        <v>121</v>
      </c>
      <c r="R199" s="45" cm="1">
        <f t="array" ref="R199">IF(NOT(OR(ISBLANK($H199),ISBLANK($I199))),ConvertLength($H199,$I199,"in"),"")</f>
        <v>0.35799999999999998</v>
      </c>
      <c r="S199" s="45" cm="1">
        <f t="array" ref="S199">IF(NOT(OR(ISBLANK($H199),ISBLANK($I199))),ConvertLength($H199,$I199,"mm"),"")</f>
        <v>9.0931999999999995</v>
      </c>
      <c r="T199" s="45">
        <f>IF(NOT(AND(ISBLANK($J199),ISBLANK($K199))),CONVERT($J199,$K199,"grain"),"")</f>
        <v>200</v>
      </c>
      <c r="U199" s="45">
        <f>IF(NOT(AND(ISBLANK($J199),ISBLANK($K199))),CONVERT($J199,$K199,"g"),"")</f>
        <v>12.959782000000001</v>
      </c>
      <c r="V199" s="45" cm="1">
        <f t="array" ref="V199">IF(NOT(OR(ISBLANK($L199),ISBLANK($M199))),ConvertSpeed($L199,$M199,"ft/sec"),"")</f>
        <v>2774</v>
      </c>
      <c r="W199" s="45" cm="1">
        <f t="array" ref="W199">IF(NOT(OR(ISBLANK($L199),ISBLANK($M199))),ConvertSpeed($L199,$M199,"m/sec"),"")</f>
        <v>845.51520000000005</v>
      </c>
      <c r="X199" s="45" cm="1">
        <f t="array" ref="X199">IF(NOT(OR(ISBLANK(V199),ISBLANK(T199))),MuzzleVelocityToMuzzleEnergyFtLb(V199,T199),"")</f>
        <v>3416.7181960346152</v>
      </c>
      <c r="Y199" s="45" cm="1">
        <f t="array" ref="Y199">IF(NOT(OR(ISBLANK(W199),ISBLANK(U199))),MuzzleVelocityToMuzzleEnergyJoules(W199,U199),"")</f>
        <v>4632.4478545742159</v>
      </c>
      <c r="Z199" s="45" t="str" cm="1">
        <f t="array" ref="Z199">IF(NOT(OR(ISBLANK($N199),ISBLANK($O199))),ConvertSpeed($N199,$O199,"ft/sec"),"")</f>
        <v/>
      </c>
      <c r="AA199" s="46" t="str" cm="1">
        <f t="array" ref="AA199">IF(NOT(OR(ISBLANK($N199),ISBLANK($O199))),ConvertSpeed($N199,$O199,"m/sec"),"")</f>
        <v/>
      </c>
    </row>
    <row r="200" spans="1:27" x14ac:dyDescent="0.25">
      <c r="A200" s="94"/>
      <c r="C200" s="2" t="s">
        <v>256</v>
      </c>
      <c r="D200" s="2" t="s">
        <v>195</v>
      </c>
      <c r="E200" s="47" t="str">
        <f>$E199</f>
        <v>350 Remington Magnum</v>
      </c>
      <c r="F200" t="s">
        <v>234</v>
      </c>
      <c r="G200" t="s">
        <v>47</v>
      </c>
      <c r="H200" s="43">
        <f>IF(NOT(ISBLANK($E200)),_xlfn.XLOOKUP($E200,CartridgeNames[Available Chamberings],CartridgeNames[Bullet Caliber],"n/a",0,1),"")</f>
        <v>0.35799999999999998</v>
      </c>
      <c r="I200" s="62" t="str">
        <f>IF(NOT(ISBLANK($E200)),_xlfn.XLOOKUP($E200,CartridgeNames[Available Chamberings],CartridgeNames[Caliber(Units)],"n/a",0,1),"")</f>
        <v>in</v>
      </c>
      <c r="J200">
        <v>200</v>
      </c>
      <c r="K200" t="s">
        <v>117</v>
      </c>
      <c r="L200" s="1">
        <v>2774</v>
      </c>
      <c r="M200" t="s">
        <v>121</v>
      </c>
      <c r="O200" t="s">
        <v>121</v>
      </c>
      <c r="R200" s="45" cm="1">
        <f t="array" ref="R200">IF(NOT(OR(ISBLANK($H200),ISBLANK($I200))),ConvertLength($H200,$I200,"in"),"")</f>
        <v>0.35799999999999998</v>
      </c>
      <c r="S200" s="45" cm="1">
        <f t="array" ref="S200">IF(NOT(OR(ISBLANK($H200),ISBLANK($I200))),ConvertLength($H200,$I200,"mm"),"")</f>
        <v>9.0931999999999995</v>
      </c>
      <c r="T200" s="45">
        <f>IF(NOT(AND(ISBLANK($J200),ISBLANK($K200))),CONVERT($J200,$K200,"grain"),"")</f>
        <v>200</v>
      </c>
      <c r="U200" s="45">
        <f>IF(NOT(AND(ISBLANK($J200),ISBLANK($K200))),CONVERT($J200,$K200,"g"),"")</f>
        <v>12.959782000000001</v>
      </c>
      <c r="V200" s="45" cm="1">
        <f t="array" ref="V200">IF(NOT(OR(ISBLANK($L200),ISBLANK($M200))),ConvertSpeed($L200,$M200,"ft/sec"),"")</f>
        <v>2774</v>
      </c>
      <c r="W200" s="45" cm="1">
        <f t="array" ref="W200">IF(NOT(OR(ISBLANK($L200),ISBLANK($M200))),ConvertSpeed($L200,$M200,"m/sec"),"")</f>
        <v>845.51520000000005</v>
      </c>
      <c r="X200" s="45" cm="1">
        <f t="array" ref="X200">IF(NOT(OR(ISBLANK(V200),ISBLANK(T200))),MuzzleVelocityToMuzzleEnergyFtLb(V200,T200),"")</f>
        <v>3416.7181960346152</v>
      </c>
      <c r="Y200" s="45" cm="1">
        <f t="array" ref="Y200">IF(NOT(OR(ISBLANK(W200),ISBLANK(U200))),MuzzleVelocityToMuzzleEnergyJoules(W200,U200),"")</f>
        <v>4632.4478545742159</v>
      </c>
      <c r="Z200" s="45" t="str" cm="1">
        <f t="array" ref="Z200">IF(NOT(OR(ISBLANK($N200),ISBLANK($O200))),ConvertSpeed($N200,$O200,"ft/sec"),"")</f>
        <v/>
      </c>
      <c r="AA200" s="46" t="str" cm="1">
        <f t="array" ref="AA200">IF(NOT(OR(ISBLANK($N200),ISBLANK($O200))),ConvertSpeed($N200,$O200,"m/sec"),"")</f>
        <v/>
      </c>
    </row>
    <row r="201" spans="1:27" x14ac:dyDescent="0.25">
      <c r="A201" s="94"/>
      <c r="C201" s="12"/>
      <c r="D201" s="12"/>
      <c r="E201" s="63"/>
      <c r="F201" s="63"/>
      <c r="G201" s="63"/>
      <c r="H201" s="12"/>
      <c r="I201" s="64"/>
      <c r="J201" s="63"/>
      <c r="K201" s="63"/>
      <c r="L201" s="79"/>
      <c r="M201" s="63"/>
      <c r="N201" s="63"/>
      <c r="O201" s="63"/>
      <c r="P201" s="63"/>
      <c r="Q201" s="63"/>
      <c r="R201" s="65"/>
      <c r="S201" s="65"/>
      <c r="T201" s="65"/>
      <c r="U201" s="65"/>
      <c r="V201" s="65"/>
      <c r="W201" s="65"/>
      <c r="X201" s="65"/>
      <c r="Y201" s="65"/>
      <c r="Z201" s="65"/>
      <c r="AA201" s="66"/>
    </row>
    <row r="202" spans="1:27" x14ac:dyDescent="0.25">
      <c r="A202" s="94"/>
      <c r="C202" s="76" t="s">
        <v>72</v>
      </c>
      <c r="D202" s="76" t="s">
        <v>124</v>
      </c>
      <c r="E202" s="76" t="s">
        <v>123</v>
      </c>
      <c r="F202" s="76" t="s">
        <v>125</v>
      </c>
      <c r="G202" s="76" t="s">
        <v>27</v>
      </c>
      <c r="H202" s="76" t="s">
        <v>127</v>
      </c>
      <c r="I202" s="76" t="s">
        <v>24</v>
      </c>
      <c r="J202" s="76" t="s">
        <v>26</v>
      </c>
      <c r="K202" s="76" t="s">
        <v>185</v>
      </c>
      <c r="L202" s="76" t="s">
        <v>180</v>
      </c>
      <c r="M202" s="76" t="s">
        <v>28</v>
      </c>
      <c r="N202" s="76" t="s">
        <v>29</v>
      </c>
      <c r="O202" s="76" t="s">
        <v>126</v>
      </c>
      <c r="P202" s="77" t="s">
        <v>182</v>
      </c>
      <c r="Q202" s="77" t="s">
        <v>183</v>
      </c>
      <c r="R202" s="76" t="s">
        <v>184</v>
      </c>
      <c r="S202" s="65"/>
      <c r="T202" s="65"/>
      <c r="U202" s="65"/>
      <c r="V202" s="65"/>
      <c r="W202" s="65"/>
      <c r="X202" s="65"/>
      <c r="Y202" s="65"/>
      <c r="Z202" s="65"/>
      <c r="AA202" s="66"/>
    </row>
    <row r="203" spans="1:27" x14ac:dyDescent="0.25">
      <c r="A203" s="94"/>
      <c r="C203" t="s">
        <v>294</v>
      </c>
      <c r="D203" t="s">
        <v>81</v>
      </c>
      <c r="E203" t="s">
        <v>295</v>
      </c>
      <c r="F203" t="s">
        <v>156</v>
      </c>
      <c r="G203" s="25"/>
      <c r="H203" s="51"/>
      <c r="I203" s="25"/>
      <c r="J203" s="25"/>
      <c r="K203" s="5"/>
      <c r="L203" s="51"/>
      <c r="M203" s="25"/>
      <c r="N203" s="25"/>
      <c r="O203" s="51"/>
      <c r="P203" s="25"/>
      <c r="Q203" s="25"/>
      <c r="R203" s="51" t="s">
        <v>181</v>
      </c>
      <c r="S203" s="65"/>
      <c r="T203" s="65"/>
      <c r="U203" s="65"/>
      <c r="V203" s="65"/>
      <c r="W203" s="65"/>
      <c r="X203" s="65"/>
      <c r="Y203" s="65"/>
      <c r="Z203" s="65"/>
      <c r="AA203" s="66"/>
    </row>
    <row r="204" spans="1:27" x14ac:dyDescent="0.25">
      <c r="A204" s="94"/>
      <c r="C204" s="12"/>
      <c r="D204" s="12"/>
      <c r="E204" s="63"/>
      <c r="F204" s="63"/>
      <c r="G204" s="63"/>
      <c r="H204" s="12"/>
      <c r="I204" s="64"/>
      <c r="J204" s="63"/>
      <c r="K204" s="63"/>
      <c r="L204" s="79"/>
      <c r="M204" s="63"/>
      <c r="N204" s="63"/>
      <c r="O204" s="63"/>
      <c r="P204" s="63"/>
      <c r="Q204" s="63"/>
      <c r="R204" s="65"/>
      <c r="S204" s="65"/>
      <c r="T204" s="65"/>
      <c r="U204" s="65"/>
      <c r="V204" s="65"/>
      <c r="W204" s="65"/>
      <c r="X204" s="65"/>
      <c r="Y204" s="65"/>
      <c r="Z204" s="65"/>
      <c r="AA204" s="66"/>
    </row>
    <row r="205" spans="1:27" ht="15.75" thickBot="1" x14ac:dyDescent="0.3">
      <c r="A205" s="52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56"/>
    </row>
    <row r="207" spans="1:27" x14ac:dyDescent="0.25">
      <c r="A207" s="24"/>
    </row>
    <row r="208" spans="1:27" x14ac:dyDescent="0.25">
      <c r="A208" s="24"/>
    </row>
    <row r="209" spans="1:27" ht="15.75" thickBot="1" x14ac:dyDescent="0.3">
      <c r="A209" s="24"/>
    </row>
    <row r="210" spans="1:27" x14ac:dyDescent="0.25">
      <c r="A210" s="73" t="s">
        <v>88</v>
      </c>
      <c r="B210" s="59"/>
      <c r="C210" s="59"/>
      <c r="D210" s="59"/>
      <c r="E210" s="59"/>
      <c r="F210" s="59"/>
      <c r="G210" s="59"/>
      <c r="H210" s="59"/>
      <c r="I210" s="59"/>
      <c r="J210" s="59"/>
      <c r="K210" s="59"/>
      <c r="L210" s="59"/>
      <c r="M210" s="59"/>
      <c r="N210" s="59"/>
      <c r="O210" s="59"/>
      <c r="P210" s="59"/>
      <c r="Q210" s="59"/>
      <c r="R210" s="59"/>
      <c r="S210" s="59"/>
      <c r="T210" s="59"/>
      <c r="U210" s="59"/>
      <c r="V210" s="59"/>
      <c r="W210" s="59"/>
      <c r="X210" s="59"/>
      <c r="Y210" s="59"/>
      <c r="Z210" s="59"/>
      <c r="AA210" s="60"/>
    </row>
    <row r="211" spans="1:27" ht="30" x14ac:dyDescent="0.25">
      <c r="A211" s="85"/>
      <c r="C211" s="15" t="s">
        <v>72</v>
      </c>
      <c r="D211" s="15" t="s">
        <v>193</v>
      </c>
      <c r="E211" s="15" t="s">
        <v>2</v>
      </c>
      <c r="F211" s="15" t="s">
        <v>73</v>
      </c>
      <c r="G211" s="15" t="s">
        <v>6</v>
      </c>
      <c r="H211" s="16" t="s">
        <v>104</v>
      </c>
      <c r="I211" s="16" t="s">
        <v>110</v>
      </c>
      <c r="J211" s="17" t="s">
        <v>27</v>
      </c>
      <c r="K211" s="17" t="s">
        <v>111</v>
      </c>
      <c r="L211" s="18" t="s">
        <v>106</v>
      </c>
      <c r="M211" s="18" t="s">
        <v>108</v>
      </c>
      <c r="N211" s="15" t="s">
        <v>95</v>
      </c>
      <c r="O211" s="15" t="s">
        <v>109</v>
      </c>
      <c r="P211" s="14" t="s">
        <v>99</v>
      </c>
      <c r="Q211" s="14" t="s">
        <v>98</v>
      </c>
      <c r="R211" s="16" t="s">
        <v>112</v>
      </c>
      <c r="S211" s="18" t="s">
        <v>74</v>
      </c>
      <c r="T211" s="18" t="s">
        <v>113</v>
      </c>
      <c r="U211" s="15" t="s">
        <v>114</v>
      </c>
      <c r="V211" s="15" t="s">
        <v>115</v>
      </c>
      <c r="W211" s="15" t="s">
        <v>119</v>
      </c>
      <c r="X211" s="15" t="s">
        <v>116</v>
      </c>
      <c r="Y211" s="15" t="s">
        <v>75</v>
      </c>
      <c r="Z211" s="15" t="s">
        <v>96</v>
      </c>
      <c r="AA211" s="61" t="s">
        <v>97</v>
      </c>
    </row>
    <row r="212" spans="1:27" x14ac:dyDescent="0.25">
      <c r="A212" s="85"/>
      <c r="C212" s="2" t="s">
        <v>244</v>
      </c>
      <c r="D212" s="2" t="s">
        <v>4</v>
      </c>
      <c r="E212" t="s">
        <v>88</v>
      </c>
      <c r="F212" t="s">
        <v>307</v>
      </c>
      <c r="G212" t="s">
        <v>51</v>
      </c>
      <c r="H212" s="43">
        <f>IF(NOT(ISBLANK($E212)),_xlfn.XLOOKUP($E212,CartridgeNames[Available Chamberings],CartridgeNames[Bullet Caliber],"n/a",0,1),"")</f>
        <v>9.3000000000000007</v>
      </c>
      <c r="I212" s="62" t="str">
        <f>IF(NOT(ISBLANK($E212)),_xlfn.XLOOKUP($E212,CartridgeNames[Available Chamberings],CartridgeNames[Caliber(Units)],"n/a",0,1),"")</f>
        <v>mm</v>
      </c>
      <c r="J212">
        <v>286</v>
      </c>
      <c r="K212" t="s">
        <v>117</v>
      </c>
      <c r="L212" s="1">
        <v>2360</v>
      </c>
      <c r="M212" t="s">
        <v>121</v>
      </c>
      <c r="O212" t="s">
        <v>121</v>
      </c>
      <c r="P212" s="2">
        <v>0.26</v>
      </c>
      <c r="Q212" s="2"/>
      <c r="R212" s="45" cm="1">
        <f t="array" ref="R212">IF(NOT(OR(ISBLANK($H212),ISBLANK($I212))),ConvertLength($H212,$I212,"in"),"")</f>
        <v>0.36614173228346458</v>
      </c>
      <c r="S212" s="45" cm="1">
        <f t="array" ref="S212">IF(NOT(OR(ISBLANK($H212),ISBLANK($I212))),ConvertLength($H212,$I212,"mm"),"")</f>
        <v>9.3000000000000007</v>
      </c>
      <c r="T212" s="45">
        <f>IF(NOT(AND(ISBLANK($J212),ISBLANK($K212))),CONVERT($J212,$K212,"grain"),"")</f>
        <v>286</v>
      </c>
      <c r="U212" s="45">
        <f>IF(NOT(AND(ISBLANK($J212),ISBLANK($K212))),CONVERT($J212,$K212,"g"),"")</f>
        <v>18.532488260000001</v>
      </c>
      <c r="V212" s="45" cm="1">
        <f t="array" ref="V212">IF(NOT(OR(ISBLANK($L212),ISBLANK($M212))),ConvertSpeed($L212,$M212,"ft/sec"),"")</f>
        <v>2360</v>
      </c>
      <c r="W212" s="45" cm="1">
        <f t="array" ref="W212">IF(NOT(OR(ISBLANK($L212),ISBLANK($M212))),ConvertSpeed($L212,$M212,"m/sec"),"")</f>
        <v>719.32799999999997</v>
      </c>
      <c r="X212" s="45" cm="1">
        <f t="array" ref="X212">IF(NOT(OR(ISBLANK(V212),ISBLANK(T212))),MuzzleVelocityToMuzzleEnergyFtLb(V212,T212),"")</f>
        <v>3536.3585415436023</v>
      </c>
      <c r="Y212" s="45" cm="1">
        <f t="array" ref="Y212">IF(NOT(OR(ISBLANK(W212),ISBLANK(U212))),MuzzleVelocityToMuzzleEnergyJoules(W212,U212),"")</f>
        <v>4794.6583823598703</v>
      </c>
      <c r="Z212" s="45" t="str" cm="1">
        <f t="array" ref="Z212">IF(NOT(OR(ISBLANK($N212),ISBLANK($O212))),ConvertSpeed($N212,$O212,"ft/sec"),"")</f>
        <v/>
      </c>
      <c r="AA212" s="46" t="str" cm="1">
        <f t="array" ref="AA212">IF(NOT(OR(ISBLANK($N212),ISBLANK($O212))),ConvertSpeed($N212,$O212,"m/sec"),"")</f>
        <v/>
      </c>
    </row>
    <row r="213" spans="1:27" x14ac:dyDescent="0.25">
      <c r="A213" s="85"/>
      <c r="C213" s="2" t="s">
        <v>245</v>
      </c>
      <c r="D213" s="2" t="s">
        <v>4</v>
      </c>
      <c r="E213" s="47" t="str">
        <f>$E212</f>
        <v>9.3mmx62 Mauser</v>
      </c>
      <c r="F213" t="s">
        <v>308</v>
      </c>
      <c r="G213" t="s">
        <v>49</v>
      </c>
      <c r="H213" s="43">
        <f>IF(NOT(ISBLANK($E213)),_xlfn.XLOOKUP($E213,CartridgeNames[Available Chamberings],CartridgeNames[Bullet Caliber],"n/a",0,1),"")</f>
        <v>9.3000000000000007</v>
      </c>
      <c r="I213" s="62" t="str">
        <f>IF(NOT(ISBLANK($E213)),_xlfn.XLOOKUP($E213,CartridgeNames[Available Chamberings],CartridgeNames[Caliber(Units)],"n/a",0,1),"")</f>
        <v>mm</v>
      </c>
      <c r="J213">
        <v>286</v>
      </c>
      <c r="K213" t="s">
        <v>117</v>
      </c>
      <c r="L213" s="1">
        <v>2360</v>
      </c>
      <c r="M213" t="s">
        <v>121</v>
      </c>
      <c r="O213" t="s">
        <v>121</v>
      </c>
      <c r="P213" s="2">
        <v>0.38500000000000001</v>
      </c>
      <c r="Q213" s="2"/>
      <c r="R213" s="45" cm="1">
        <f t="array" ref="R213">IF(NOT(OR(ISBLANK($H213),ISBLANK($I213))),ConvertLength($H213,$I213,"in"),"")</f>
        <v>0.36614173228346458</v>
      </c>
      <c r="S213" s="45" cm="1">
        <f t="array" ref="S213">IF(NOT(OR(ISBLANK($H213),ISBLANK($I213))),ConvertLength($H213,$I213,"mm"),"")</f>
        <v>9.3000000000000007</v>
      </c>
      <c r="T213" s="45">
        <f>IF(NOT(AND(ISBLANK($J213),ISBLANK($K213))),CONVERT($J213,$K213,"grain"),"")</f>
        <v>286</v>
      </c>
      <c r="U213" s="45">
        <f>IF(NOT(AND(ISBLANK($J213),ISBLANK($K213))),CONVERT($J213,$K213,"g"),"")</f>
        <v>18.532488260000001</v>
      </c>
      <c r="V213" s="45" cm="1">
        <f t="array" ref="V213">IF(NOT(OR(ISBLANK($L213),ISBLANK($M213))),ConvertSpeed($L213,$M213,"ft/sec"),"")</f>
        <v>2360</v>
      </c>
      <c r="W213" s="45" cm="1">
        <f t="array" ref="W213">IF(NOT(OR(ISBLANK($L213),ISBLANK($M213))),ConvertSpeed($L213,$M213,"m/sec"),"")</f>
        <v>719.32799999999997</v>
      </c>
      <c r="X213" s="45" cm="1">
        <f t="array" ref="X213">IF(NOT(OR(ISBLANK(V213),ISBLANK(T213))),MuzzleVelocityToMuzzleEnergyFtLb(V213,T213),"")</f>
        <v>3536.3585415436023</v>
      </c>
      <c r="Y213" s="45" cm="1">
        <f t="array" ref="Y213">IF(NOT(OR(ISBLANK(W213),ISBLANK(U213))),MuzzleVelocityToMuzzleEnergyJoules(W213,U213),"")</f>
        <v>4794.6583823598703</v>
      </c>
      <c r="Z213" s="45" t="str" cm="1">
        <f t="array" ref="Z213">IF(NOT(OR(ISBLANK($N213),ISBLANK($O213))),ConvertSpeed($N213,$O213,"ft/sec"),"")</f>
        <v/>
      </c>
      <c r="AA213" s="46" t="str" cm="1">
        <f t="array" ref="AA213">IF(NOT(OR(ISBLANK($N213),ISBLANK($O213))),ConvertSpeed($N213,$O213,"m/sec"),"")</f>
        <v/>
      </c>
    </row>
    <row r="214" spans="1:27" x14ac:dyDescent="0.25">
      <c r="A214" s="85"/>
      <c r="C214" s="2" t="s">
        <v>244</v>
      </c>
      <c r="D214" s="2" t="s">
        <v>195</v>
      </c>
      <c r="E214" s="47" t="str">
        <f>$E212</f>
        <v>9.3mmx62 Mauser</v>
      </c>
      <c r="F214" t="s">
        <v>307</v>
      </c>
      <c r="G214" t="s">
        <v>51</v>
      </c>
      <c r="H214" s="43">
        <f>IF(NOT(ISBLANK($E214)),_xlfn.XLOOKUP($E214,CartridgeNames[Available Chamberings],CartridgeNames[Bullet Caliber],"n/a",0,1),"")</f>
        <v>9.3000000000000007</v>
      </c>
      <c r="I214" s="62" t="str">
        <f>IF(NOT(ISBLANK($E214)),_xlfn.XLOOKUP($E214,CartridgeNames[Available Chamberings],CartridgeNames[Caliber(Units)],"n/a",0,1),"")</f>
        <v>mm</v>
      </c>
      <c r="J214">
        <v>286</v>
      </c>
      <c r="K214" t="s">
        <v>117</v>
      </c>
      <c r="L214" s="1">
        <v>2360</v>
      </c>
      <c r="M214" t="s">
        <v>121</v>
      </c>
      <c r="O214" t="s">
        <v>121</v>
      </c>
      <c r="P214" s="2"/>
      <c r="Q214" s="2"/>
      <c r="R214" s="45" cm="1">
        <f t="array" ref="R214">IF(NOT(OR(ISBLANK($H214),ISBLANK($I214))),ConvertLength($H214,$I214,"in"),"")</f>
        <v>0.36614173228346458</v>
      </c>
      <c r="S214" s="45" cm="1">
        <f t="array" ref="S214">IF(NOT(OR(ISBLANK($H214),ISBLANK($I214))),ConvertLength($H214,$I214,"mm"),"")</f>
        <v>9.3000000000000007</v>
      </c>
      <c r="T214" s="45">
        <f>IF(NOT(AND(ISBLANK($J214),ISBLANK($K214))),CONVERT($J214,$K214,"grain"),"")</f>
        <v>286</v>
      </c>
      <c r="U214" s="45">
        <f>IF(NOT(AND(ISBLANK($J214),ISBLANK($K214))),CONVERT($J214,$K214,"g"),"")</f>
        <v>18.532488260000001</v>
      </c>
      <c r="V214" s="45" cm="1">
        <f t="array" ref="V214">IF(NOT(OR(ISBLANK($L214),ISBLANK($M214))),ConvertSpeed($L214,$M214,"ft/sec"),"")</f>
        <v>2360</v>
      </c>
      <c r="W214" s="45" cm="1">
        <f t="array" ref="W214">IF(NOT(OR(ISBLANK($L214),ISBLANK($M214))),ConvertSpeed($L214,$M214,"m/sec"),"")</f>
        <v>719.32799999999997</v>
      </c>
      <c r="X214" s="45" cm="1">
        <f t="array" ref="X214">IF(NOT(OR(ISBLANK(V214),ISBLANK(T214))),MuzzleVelocityToMuzzleEnergyFtLb(V214,T214),"")</f>
        <v>3536.3585415436023</v>
      </c>
      <c r="Y214" s="45" cm="1">
        <f t="array" ref="Y214">IF(NOT(OR(ISBLANK(W214),ISBLANK(U214))),MuzzleVelocityToMuzzleEnergyJoules(W214,U214),"")</f>
        <v>4794.6583823598703</v>
      </c>
      <c r="Z214" s="45" t="str" cm="1">
        <f t="array" ref="Z214">IF(NOT(OR(ISBLANK($N214),ISBLANK($O214))),ConvertSpeed($N214,$O214,"ft/sec"),"")</f>
        <v/>
      </c>
      <c r="AA214" s="46" t="str" cm="1">
        <f t="array" ref="AA214">IF(NOT(OR(ISBLANK($N214),ISBLANK($O214))),ConvertSpeed($N214,$O214,"m/sec"),"")</f>
        <v/>
      </c>
    </row>
    <row r="215" spans="1:27" x14ac:dyDescent="0.25">
      <c r="A215" s="85"/>
      <c r="C215" s="2" t="s">
        <v>245</v>
      </c>
      <c r="D215" s="2" t="s">
        <v>195</v>
      </c>
      <c r="E215" s="47" t="str">
        <f>$E212</f>
        <v>9.3mmx62 Mauser</v>
      </c>
      <c r="F215" t="s">
        <v>309</v>
      </c>
      <c r="G215" t="s">
        <v>49</v>
      </c>
      <c r="H215" s="43">
        <f>IF(NOT(ISBLANK($E215)),_xlfn.XLOOKUP($E215,CartridgeNames[Available Chamberings],CartridgeNames[Bullet Caliber],"n/a",0,1),"")</f>
        <v>9.3000000000000007</v>
      </c>
      <c r="I215" s="62" t="str">
        <f>IF(NOT(ISBLANK($E215)),_xlfn.XLOOKUP($E215,CartridgeNames[Available Chamberings],CartridgeNames[Caliber(Units)],"n/a",0,1),"")</f>
        <v>mm</v>
      </c>
      <c r="J215">
        <v>286</v>
      </c>
      <c r="K215" t="s">
        <v>117</v>
      </c>
      <c r="L215" s="1">
        <v>2360</v>
      </c>
      <c r="M215" t="s">
        <v>121</v>
      </c>
      <c r="O215" t="s">
        <v>121</v>
      </c>
      <c r="P215" s="2"/>
      <c r="Q215" s="2"/>
      <c r="R215" s="45" cm="1">
        <f t="array" ref="R215">IF(NOT(OR(ISBLANK($H215),ISBLANK($I215))),ConvertLength($H215,$I215,"in"),"")</f>
        <v>0.36614173228346458</v>
      </c>
      <c r="S215" s="45" cm="1">
        <f t="array" ref="S215">IF(NOT(OR(ISBLANK($H215),ISBLANK($I215))),ConvertLength($H215,$I215,"mm"),"")</f>
        <v>9.3000000000000007</v>
      </c>
      <c r="T215" s="45">
        <f>IF(NOT(AND(ISBLANK($J215),ISBLANK($K215))),CONVERT($J215,$K215,"grain"),"")</f>
        <v>286</v>
      </c>
      <c r="U215" s="45">
        <f>IF(NOT(AND(ISBLANK($J215),ISBLANK($K215))),CONVERT($J215,$K215,"g"),"")</f>
        <v>18.532488260000001</v>
      </c>
      <c r="V215" s="45" cm="1">
        <f t="array" ref="V215">IF(NOT(OR(ISBLANK($L215),ISBLANK($M215))),ConvertSpeed($L215,$M215,"ft/sec"),"")</f>
        <v>2360</v>
      </c>
      <c r="W215" s="45" cm="1">
        <f t="array" ref="W215">IF(NOT(OR(ISBLANK($L215),ISBLANK($M215))),ConvertSpeed($L215,$M215,"m/sec"),"")</f>
        <v>719.32799999999997</v>
      </c>
      <c r="X215" s="45" cm="1">
        <f t="array" ref="X215">IF(NOT(OR(ISBLANK(V215),ISBLANK(T215))),MuzzleVelocityToMuzzleEnergyFtLb(V215,T215),"")</f>
        <v>3536.3585415436023</v>
      </c>
      <c r="Y215" s="45" cm="1">
        <f t="array" ref="Y215">IF(NOT(OR(ISBLANK(W215),ISBLANK(U215))),MuzzleVelocityToMuzzleEnergyJoules(W215,U215),"")</f>
        <v>4794.6583823598703</v>
      </c>
      <c r="Z215" s="45" t="str" cm="1">
        <f t="array" ref="Z215">IF(NOT(OR(ISBLANK($N215),ISBLANK($O215))),ConvertSpeed($N215,$O215,"ft/sec"),"")</f>
        <v/>
      </c>
      <c r="AA215" s="46" t="str" cm="1">
        <f t="array" ref="AA215">IF(NOT(OR(ISBLANK($N215),ISBLANK($O215))),ConvertSpeed($N215,$O215,"m/sec"),"")</f>
        <v/>
      </c>
    </row>
    <row r="216" spans="1:27" x14ac:dyDescent="0.25">
      <c r="A216" s="85"/>
      <c r="C216" s="2" t="s">
        <v>246</v>
      </c>
      <c r="D216" s="2" t="s">
        <v>195</v>
      </c>
      <c r="E216" s="47" t="str">
        <f>$E212</f>
        <v>9.3mmx62 Mauser</v>
      </c>
      <c r="F216" t="s">
        <v>247</v>
      </c>
      <c r="G216" t="s">
        <v>51</v>
      </c>
      <c r="H216" s="43">
        <f>IF(NOT(ISBLANK($E216)),_xlfn.XLOOKUP($E216,CartridgeNames[Available Chamberings],CartridgeNames[Bullet Caliber],"n/a",0,1),"")</f>
        <v>9.3000000000000007</v>
      </c>
      <c r="I216" s="62" t="str">
        <f>IF(NOT(ISBLANK($E216)),_xlfn.XLOOKUP($E216,CartridgeNames[Available Chamberings],CartridgeNames[Caliber(Units)],"n/a",0,1),"")</f>
        <v>mm</v>
      </c>
      <c r="J216">
        <v>285</v>
      </c>
      <c r="K216" t="s">
        <v>117</v>
      </c>
      <c r="L216" s="1">
        <v>2350</v>
      </c>
      <c r="M216" t="s">
        <v>121</v>
      </c>
      <c r="O216" t="s">
        <v>121</v>
      </c>
      <c r="P216" s="2"/>
      <c r="Q216" s="2"/>
      <c r="R216" s="45" cm="1">
        <f t="array" ref="R216">IF(NOT(OR(ISBLANK($H216),ISBLANK($I216))),ConvertLength($H216,$I216,"in"),"")</f>
        <v>0.36614173228346458</v>
      </c>
      <c r="S216" s="45" cm="1">
        <f t="array" ref="S216">IF(NOT(OR(ISBLANK($H216),ISBLANK($I216))),ConvertLength($H216,$I216,"mm"),"")</f>
        <v>9.3000000000000007</v>
      </c>
      <c r="T216" s="45">
        <f>IF(NOT(AND(ISBLANK($J216),ISBLANK($K216))),CONVERT($J216,$K216,"grain"),"")</f>
        <v>285</v>
      </c>
      <c r="U216" s="45">
        <f>IF(NOT(AND(ISBLANK($J216),ISBLANK($K216))),CONVERT($J216,$K216,"g"),"")</f>
        <v>18.467689350000001</v>
      </c>
      <c r="V216" s="45" cm="1">
        <f t="array" ref="V216">IF(NOT(OR(ISBLANK($L216),ISBLANK($M216))),ConvertSpeed($L216,$M216,"ft/sec"),"")</f>
        <v>2350</v>
      </c>
      <c r="W216" s="45" cm="1">
        <f t="array" ref="W216">IF(NOT(OR(ISBLANK($L216),ISBLANK($M216))),ConvertSpeed($L216,$M216,"m/sec"),"")</f>
        <v>716.28</v>
      </c>
      <c r="X216" s="45" cm="1">
        <f t="array" ref="X216">IF(NOT(OR(ISBLANK(V216),ISBLANK(T216))),MuzzleVelocityToMuzzleEnergyFtLb(V216,T216),"")</f>
        <v>3494.1925704933456</v>
      </c>
      <c r="Y216" s="45" cm="1">
        <f t="array" ref="Y216">IF(NOT(OR(ISBLANK(W216),ISBLANK(U216))),MuzzleVelocityToMuzzleEnergyJoules(W216,U216),"")</f>
        <v>4737.4890020011098</v>
      </c>
      <c r="Z216" s="45" t="str" cm="1">
        <f t="array" ref="Z216">IF(NOT(OR(ISBLANK($N216),ISBLANK($O216))),ConvertSpeed($N216,$O216,"ft/sec"),"")</f>
        <v/>
      </c>
      <c r="AA216" s="46" t="str" cm="1">
        <f t="array" ref="AA216">IF(NOT(OR(ISBLANK($N216),ISBLANK($O216))),ConvertSpeed($N216,$O216,"m/sec"),"")</f>
        <v/>
      </c>
    </row>
    <row r="217" spans="1:27" x14ac:dyDescent="0.25">
      <c r="A217" s="85"/>
      <c r="AA217" s="6"/>
    </row>
    <row r="218" spans="1:27" x14ac:dyDescent="0.25">
      <c r="A218" s="85"/>
      <c r="C218" s="76" t="s">
        <v>72</v>
      </c>
      <c r="D218" s="76" t="s">
        <v>124</v>
      </c>
      <c r="E218" s="76" t="s">
        <v>123</v>
      </c>
      <c r="F218" s="76" t="s">
        <v>125</v>
      </c>
      <c r="G218" s="76" t="s">
        <v>27</v>
      </c>
      <c r="H218" s="76" t="s">
        <v>127</v>
      </c>
      <c r="I218" s="76" t="s">
        <v>24</v>
      </c>
      <c r="J218" s="76" t="s">
        <v>26</v>
      </c>
      <c r="K218" s="76" t="s">
        <v>185</v>
      </c>
      <c r="L218" s="76" t="s">
        <v>180</v>
      </c>
      <c r="M218" s="76" t="s">
        <v>28</v>
      </c>
      <c r="N218" s="76" t="s">
        <v>29</v>
      </c>
      <c r="O218" s="76" t="s">
        <v>126</v>
      </c>
      <c r="P218" s="77" t="s">
        <v>182</v>
      </c>
      <c r="Q218" s="77" t="s">
        <v>183</v>
      </c>
      <c r="R218" s="76" t="s">
        <v>184</v>
      </c>
      <c r="AA218" s="6"/>
    </row>
    <row r="219" spans="1:27" x14ac:dyDescent="0.25">
      <c r="A219" s="85"/>
      <c r="C219" t="s">
        <v>290</v>
      </c>
      <c r="D219" t="s">
        <v>88</v>
      </c>
      <c r="E219" t="s">
        <v>291</v>
      </c>
      <c r="F219" t="s">
        <v>156</v>
      </c>
      <c r="G219" s="25"/>
      <c r="H219" s="51"/>
      <c r="I219" s="25"/>
      <c r="J219" s="25"/>
      <c r="K219" s="5"/>
      <c r="L219" s="51"/>
      <c r="M219" s="25"/>
      <c r="N219" s="25"/>
      <c r="O219" s="51"/>
      <c r="P219" s="25"/>
      <c r="Q219" s="25"/>
      <c r="R219" s="51" t="s">
        <v>181</v>
      </c>
      <c r="AA219" s="6"/>
    </row>
    <row r="220" spans="1:27" x14ac:dyDescent="0.25">
      <c r="A220" s="85"/>
      <c r="AA220" s="6"/>
    </row>
    <row r="221" spans="1:27" ht="15.75" thickBot="1" x14ac:dyDescent="0.3">
      <c r="A221" s="52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56"/>
    </row>
    <row r="224" spans="1:27" ht="15.75" thickBot="1" x14ac:dyDescent="0.3"/>
    <row r="225" spans="1:27" x14ac:dyDescent="0.25">
      <c r="A225" s="35"/>
      <c r="B225" s="59"/>
      <c r="C225" s="59"/>
      <c r="D225" s="59"/>
      <c r="E225" s="59"/>
      <c r="F225" s="59"/>
      <c r="G225" s="59"/>
      <c r="H225" s="59"/>
      <c r="I225" s="59"/>
      <c r="J225" s="59"/>
      <c r="K225" s="59"/>
      <c r="L225" s="59"/>
      <c r="M225" s="59"/>
      <c r="N225" s="59"/>
      <c r="O225" s="59"/>
      <c r="P225" s="59"/>
      <c r="Q225" s="59"/>
      <c r="R225" s="59"/>
      <c r="S225" s="59"/>
      <c r="T225" s="59"/>
      <c r="U225" s="59"/>
      <c r="V225" s="59"/>
      <c r="W225" s="59"/>
      <c r="X225" s="59"/>
      <c r="Y225" s="59"/>
      <c r="Z225" s="59"/>
      <c r="AA225" s="60"/>
    </row>
    <row r="226" spans="1:27" ht="27" customHeight="1" x14ac:dyDescent="0.25">
      <c r="A226" s="85" t="s">
        <v>89</v>
      </c>
      <c r="C226" s="15" t="s">
        <v>72</v>
      </c>
      <c r="D226" s="15" t="s">
        <v>193</v>
      </c>
      <c r="E226" s="15" t="s">
        <v>2</v>
      </c>
      <c r="F226" s="15" t="s">
        <v>73</v>
      </c>
      <c r="G226" s="15" t="s">
        <v>6</v>
      </c>
      <c r="H226" s="16" t="s">
        <v>104</v>
      </c>
      <c r="I226" s="16" t="s">
        <v>110</v>
      </c>
      <c r="J226" s="17" t="s">
        <v>27</v>
      </c>
      <c r="K226" s="17" t="s">
        <v>111</v>
      </c>
      <c r="L226" s="18" t="s">
        <v>106</v>
      </c>
      <c r="M226" s="18" t="s">
        <v>108</v>
      </c>
      <c r="N226" s="15" t="s">
        <v>95</v>
      </c>
      <c r="O226" s="15" t="s">
        <v>109</v>
      </c>
      <c r="P226" s="14" t="s">
        <v>99</v>
      </c>
      <c r="Q226" s="14" t="s">
        <v>98</v>
      </c>
      <c r="R226" s="16" t="s">
        <v>112</v>
      </c>
      <c r="S226" s="18" t="s">
        <v>74</v>
      </c>
      <c r="T226" s="18" t="s">
        <v>113</v>
      </c>
      <c r="U226" s="15" t="s">
        <v>114</v>
      </c>
      <c r="V226" s="15" t="s">
        <v>115</v>
      </c>
      <c r="W226" s="15" t="s">
        <v>119</v>
      </c>
      <c r="X226" s="15" t="s">
        <v>116</v>
      </c>
      <c r="Y226" s="15" t="s">
        <v>75</v>
      </c>
      <c r="Z226" s="15" t="s">
        <v>96</v>
      </c>
      <c r="AA226" s="61" t="s">
        <v>97</v>
      </c>
    </row>
    <row r="227" spans="1:27" x14ac:dyDescent="0.25">
      <c r="A227" s="85"/>
      <c r="C227" s="2" t="s">
        <v>248</v>
      </c>
      <c r="D227" s="2" t="s">
        <v>4</v>
      </c>
      <c r="E227" t="s">
        <v>89</v>
      </c>
      <c r="F227" t="s">
        <v>251</v>
      </c>
      <c r="G227" t="s">
        <v>47</v>
      </c>
      <c r="H227" s="43">
        <f>IF(NOT(ISBLANK($E227)),_xlfn.XLOOKUP($E227,CartridgeNames[Available Chamberings],CartridgeNames[Bullet Caliber],"n/a",0,1),"")</f>
        <v>0.375</v>
      </c>
      <c r="I227" s="62" t="str">
        <f>IF(NOT(ISBLANK($E227)),_xlfn.XLOOKUP($E227,CartridgeNames[Available Chamberings],CartridgeNames[Caliber(Units)],"n/a",0,1),"")</f>
        <v>in</v>
      </c>
      <c r="J227">
        <v>300</v>
      </c>
      <c r="K227" t="s">
        <v>117</v>
      </c>
      <c r="L227" s="1">
        <v>2440</v>
      </c>
      <c r="M227" t="s">
        <v>121</v>
      </c>
      <c r="O227" t="s">
        <v>121</v>
      </c>
      <c r="P227">
        <v>0.253</v>
      </c>
      <c r="R227" s="45" cm="1">
        <f t="array" ref="R227">IF(NOT(OR(ISBLANK($H227),ISBLANK($I227))),ConvertLength($H227,$I227,"in"),"")</f>
        <v>0.375</v>
      </c>
      <c r="S227" s="45" cm="1">
        <f t="array" ref="S227">IF(NOT(OR(ISBLANK($H227),ISBLANK($I227))),ConvertLength($H227,$I227,"mm"),"")</f>
        <v>9.5250000000000004</v>
      </c>
      <c r="T227" s="45">
        <f t="shared" ref="T227:T232" si="22">IF(NOT(AND(ISBLANK($J227),ISBLANK($K227))),CONVERT($J227,$K227,"grain"),"")</f>
        <v>300</v>
      </c>
      <c r="U227" s="45">
        <f t="shared" ref="U227:U232" si="23">IF(NOT(AND(ISBLANK($J227),ISBLANK($K227))),CONVERT($J227,$K227,"g"),"")</f>
        <v>19.439672999999999</v>
      </c>
      <c r="V227" s="45" cm="1">
        <f t="array" ref="V227">IF(NOT(OR(ISBLANK($L227),ISBLANK($M227))),ConvertSpeed($L227,$M227,"ft/sec"),"")</f>
        <v>2440</v>
      </c>
      <c r="W227" s="45" cm="1">
        <f t="array" ref="W227">IF(NOT(OR(ISBLANK($L227),ISBLANK($M227))),ConvertSpeed($L227,$M227,"m/sec"),"")</f>
        <v>743.71199999999999</v>
      </c>
      <c r="X227" s="45" cm="1">
        <f t="array" ref="X227">IF(NOT(OR(ISBLANK(V227),ISBLANK(T227))),MuzzleVelocityToMuzzleEnergyFtLb(V227,T227),"")</f>
        <v>3965.218820173774</v>
      </c>
      <c r="Y227" s="45" cm="1">
        <f t="array" ref="Y227">IF(NOT(OR(ISBLANK(W227),ISBLANK(U227))),MuzzleVelocityToMuzzleEnergyJoules(W227,U227),"")</f>
        <v>5376.1148454530621</v>
      </c>
      <c r="Z227" s="45" t="str" cm="1">
        <f t="array" ref="Z227">IF(NOT(OR(ISBLANK($N227),ISBLANK($O227))),ConvertSpeed($N227,$O227,"ft/sec"),"")</f>
        <v/>
      </c>
      <c r="AA227" s="46" t="str" cm="1">
        <f t="array" ref="AA227">IF(NOT(OR(ISBLANK($N227),ISBLANK($O227))),ConvertSpeed($N227,$O227,"m/sec"),"")</f>
        <v/>
      </c>
    </row>
    <row r="228" spans="1:27" x14ac:dyDescent="0.25">
      <c r="A228" s="85"/>
      <c r="C228" s="2" t="s">
        <v>249</v>
      </c>
      <c r="D228" s="2" t="s">
        <v>4</v>
      </c>
      <c r="E228" s="47" t="str">
        <f>$E227</f>
        <v>375 H&amp;H Magnum</v>
      </c>
      <c r="F228" t="s">
        <v>252</v>
      </c>
      <c r="G228" t="s">
        <v>47</v>
      </c>
      <c r="H228" s="43">
        <f>IF(NOT(ISBLANK($E228)),_xlfn.XLOOKUP($E228,CartridgeNames[Available Chamberings],CartridgeNames[Bullet Caliber],"n/a",0,1),"")</f>
        <v>0.375</v>
      </c>
      <c r="I228" s="62" t="str">
        <f>IF(NOT(ISBLANK($E228)),_xlfn.XLOOKUP($E228,CartridgeNames[Available Chamberings],CartridgeNames[Caliber(Units)],"n/a",0,1),"")</f>
        <v>in</v>
      </c>
      <c r="J228">
        <v>270</v>
      </c>
      <c r="K228" t="s">
        <v>117</v>
      </c>
      <c r="L228" s="1">
        <v>2690</v>
      </c>
      <c r="M228" t="s">
        <v>121</v>
      </c>
      <c r="O228" t="s">
        <v>121</v>
      </c>
      <c r="P228">
        <v>0.26700000000000002</v>
      </c>
      <c r="R228" s="45" cm="1">
        <f t="array" ref="R228">IF(NOT(OR(ISBLANK($H228),ISBLANK($I228))),ConvertLength($H228,$I228,"in"),"")</f>
        <v>0.375</v>
      </c>
      <c r="S228" s="45" cm="1">
        <f t="array" ref="S228">IF(NOT(OR(ISBLANK($H228),ISBLANK($I228))),ConvertLength($H228,$I228,"mm"),"")</f>
        <v>9.5250000000000004</v>
      </c>
      <c r="T228" s="45">
        <f t="shared" si="22"/>
        <v>270</v>
      </c>
      <c r="U228" s="45">
        <f t="shared" si="23"/>
        <v>17.495705700000002</v>
      </c>
      <c r="V228" s="45" cm="1">
        <f t="array" ref="V228">IF(NOT(OR(ISBLANK($L228),ISBLANK($M228))),ConvertSpeed($L228,$M228,"ft/sec"),"")</f>
        <v>2690</v>
      </c>
      <c r="W228" s="45" cm="1">
        <f t="array" ref="W228">IF(NOT(OR(ISBLANK($L228),ISBLANK($M228))),ConvertSpeed($L228,$M228,"m/sec"),"")</f>
        <v>819.91200000000003</v>
      </c>
      <c r="X228" s="45" cm="1">
        <f t="array" ref="X228">IF(NOT(OR(ISBLANK(V228),ISBLANK(T228))),MuzzleVelocityToMuzzleEnergyFtLb(V228,T228),"")</f>
        <v>4337.4509396320727</v>
      </c>
      <c r="Y228" s="45" cm="1">
        <f t="array" ref="Y228">IF(NOT(OR(ISBLANK(W228),ISBLANK(U228))),MuzzleVelocityToMuzzleEnergyJoules(W228,U228),"")</f>
        <v>5880.7938339600614</v>
      </c>
      <c r="Z228" s="45" t="str" cm="1">
        <f t="array" ref="Z228">IF(NOT(OR(ISBLANK($N228),ISBLANK($O228))),ConvertSpeed($N228,$O228,"ft/sec"),"")</f>
        <v/>
      </c>
      <c r="AA228" s="46" t="str" cm="1">
        <f t="array" ref="AA228">IF(NOT(OR(ISBLANK($N228),ISBLANK($O228))),ConvertSpeed($N228,$O228,"m/sec"),"")</f>
        <v/>
      </c>
    </row>
    <row r="229" spans="1:27" x14ac:dyDescent="0.25">
      <c r="A229" s="85"/>
      <c r="C229" s="2" t="s">
        <v>250</v>
      </c>
      <c r="D229" s="2" t="s">
        <v>4</v>
      </c>
      <c r="E229" s="47" t="str">
        <f>$E227</f>
        <v>375 H&amp;H Magnum</v>
      </c>
      <c r="F229" t="s">
        <v>247</v>
      </c>
      <c r="G229" t="s">
        <v>51</v>
      </c>
      <c r="H229" s="43">
        <f>IF(NOT(ISBLANK($E229)),_xlfn.XLOOKUP($E229,CartridgeNames[Available Chamberings],CartridgeNames[Bullet Caliber],"n/a",0,1),"")</f>
        <v>0.375</v>
      </c>
      <c r="I229" s="62" t="str">
        <f>IF(NOT(ISBLANK($E229)),_xlfn.XLOOKUP($E229,CartridgeNames[Available Chamberings],CartridgeNames[Caliber(Units)],"n/a",0,1),"")</f>
        <v>in</v>
      </c>
      <c r="J229">
        <v>260</v>
      </c>
      <c r="K229" t="s">
        <v>117</v>
      </c>
      <c r="L229" s="1">
        <v>2700</v>
      </c>
      <c r="M229" t="s">
        <v>121</v>
      </c>
      <c r="O229" t="s">
        <v>121</v>
      </c>
      <c r="R229" s="45" cm="1">
        <f t="array" ref="R229">IF(NOT(OR(ISBLANK($H229),ISBLANK($I229))),ConvertLength($H229,$I229,"in"),"")</f>
        <v>0.375</v>
      </c>
      <c r="S229" s="45" cm="1">
        <f t="array" ref="S229">IF(NOT(OR(ISBLANK($H229),ISBLANK($I229))),ConvertLength($H229,$I229,"mm"),"")</f>
        <v>9.5250000000000004</v>
      </c>
      <c r="T229" s="45">
        <f t="shared" si="22"/>
        <v>260</v>
      </c>
      <c r="U229" s="45">
        <f t="shared" si="23"/>
        <v>16.847716600000002</v>
      </c>
      <c r="V229" s="45" cm="1">
        <f t="array" ref="V229">IF(NOT(OR(ISBLANK($L229),ISBLANK($M229))),ConvertSpeed($L229,$M229,"ft/sec"),"")</f>
        <v>2700</v>
      </c>
      <c r="W229" s="45" cm="1">
        <f t="array" ref="W229">IF(NOT(OR(ISBLANK($L229),ISBLANK($M229))),ConvertSpeed($L229,$M229,"m/sec"),"")</f>
        <v>822.96</v>
      </c>
      <c r="X229" s="45" cm="1">
        <f t="array" ref="X229">IF(NOT(OR(ISBLANK(V229),ISBLANK(T229))),MuzzleVelocityToMuzzleEnergyFtLb(V229,T229),"")</f>
        <v>4207.9166396563278</v>
      </c>
      <c r="Y229" s="45" cm="1">
        <f t="array" ref="Y229">IF(NOT(OR(ISBLANK(W229),ISBLANK(U229))),MuzzleVelocityToMuzzleEnergyJoules(W229,U229),"")</f>
        <v>5705.1689051284029</v>
      </c>
      <c r="Z229" s="45" t="str" cm="1">
        <f t="array" ref="Z229">IF(NOT(OR(ISBLANK($N229),ISBLANK($O229))),ConvertSpeed($N229,$O229,"ft/sec"),"")</f>
        <v/>
      </c>
      <c r="AA229" s="46" t="str" cm="1">
        <f t="array" ref="AA229">IF(NOT(OR(ISBLANK($N229),ISBLANK($O229))),ConvertSpeed($N229,$O229,"m/sec"),"")</f>
        <v/>
      </c>
    </row>
    <row r="230" spans="1:27" x14ac:dyDescent="0.25">
      <c r="A230" s="85"/>
      <c r="C230" s="2" t="s">
        <v>248</v>
      </c>
      <c r="D230" s="2" t="s">
        <v>195</v>
      </c>
      <c r="E230" s="47" t="str">
        <f>$E227</f>
        <v>375 H&amp;H Magnum</v>
      </c>
      <c r="F230" t="s">
        <v>251</v>
      </c>
      <c r="G230" t="s">
        <v>47</v>
      </c>
      <c r="H230" s="43">
        <f>IF(NOT(ISBLANK($E230)),_xlfn.XLOOKUP($E230,CartridgeNames[Available Chamberings],CartridgeNames[Bullet Caliber],"n/a",0,1),"")</f>
        <v>0.375</v>
      </c>
      <c r="I230" s="62" t="str">
        <f>IF(NOT(ISBLANK($E230)),_xlfn.XLOOKUP($E230,CartridgeNames[Available Chamberings],CartridgeNames[Caliber(Units)],"n/a",0,1),"")</f>
        <v>in</v>
      </c>
      <c r="J230">
        <v>300</v>
      </c>
      <c r="K230" t="s">
        <v>117</v>
      </c>
      <c r="L230" s="1">
        <v>2440</v>
      </c>
      <c r="M230" t="s">
        <v>121</v>
      </c>
      <c r="O230" t="s">
        <v>121</v>
      </c>
      <c r="R230" s="45" cm="1">
        <f t="array" ref="R230">IF(NOT(OR(ISBLANK($H230),ISBLANK($I230))),ConvertLength($H230,$I230,"in"),"")</f>
        <v>0.375</v>
      </c>
      <c r="S230" s="45" cm="1">
        <f t="array" ref="S230">IF(NOT(OR(ISBLANK($H230),ISBLANK($I230))),ConvertLength($H230,$I230,"mm"),"")</f>
        <v>9.5250000000000004</v>
      </c>
      <c r="T230" s="45">
        <f t="shared" si="22"/>
        <v>300</v>
      </c>
      <c r="U230" s="45">
        <f t="shared" si="23"/>
        <v>19.439672999999999</v>
      </c>
      <c r="V230" s="45" cm="1">
        <f t="array" ref="V230">IF(NOT(OR(ISBLANK($L230),ISBLANK($M230))),ConvertSpeed($L230,$M230,"ft/sec"),"")</f>
        <v>2440</v>
      </c>
      <c r="W230" s="45" cm="1">
        <f t="array" ref="W230">IF(NOT(OR(ISBLANK($L230),ISBLANK($M230))),ConvertSpeed($L230,$M230,"m/sec"),"")</f>
        <v>743.71199999999999</v>
      </c>
      <c r="X230" s="45" cm="1">
        <f t="array" ref="X230">IF(NOT(OR(ISBLANK(V230),ISBLANK(T230))),MuzzleVelocityToMuzzleEnergyFtLb(V230,T230),"")</f>
        <v>3965.218820173774</v>
      </c>
      <c r="Y230" s="45" cm="1">
        <f t="array" ref="Y230">IF(NOT(OR(ISBLANK(W230),ISBLANK(U230))),MuzzleVelocityToMuzzleEnergyJoules(W230,U230),"")</f>
        <v>5376.1148454530621</v>
      </c>
      <c r="Z230" s="45" t="str" cm="1">
        <f t="array" ref="Z230">IF(NOT(OR(ISBLANK($N230),ISBLANK($O230))),ConvertSpeed($N230,$O230,"ft/sec"),"")</f>
        <v/>
      </c>
      <c r="AA230" s="46" t="str" cm="1">
        <f t="array" ref="AA230">IF(NOT(OR(ISBLANK($N230),ISBLANK($O230))),ConvertSpeed($N230,$O230,"m/sec"),"")</f>
        <v/>
      </c>
    </row>
    <row r="231" spans="1:27" x14ac:dyDescent="0.25">
      <c r="A231" s="85"/>
      <c r="C231" s="2" t="s">
        <v>249</v>
      </c>
      <c r="D231" s="2" t="s">
        <v>195</v>
      </c>
      <c r="E231" s="47" t="str">
        <f>$E227</f>
        <v>375 H&amp;H Magnum</v>
      </c>
      <c r="F231" t="s">
        <v>252</v>
      </c>
      <c r="G231" t="s">
        <v>47</v>
      </c>
      <c r="H231" s="43">
        <f>IF(NOT(ISBLANK($E231)),_xlfn.XLOOKUP($E231,CartridgeNames[Available Chamberings],CartridgeNames[Bullet Caliber],"n/a",0,1),"")</f>
        <v>0.375</v>
      </c>
      <c r="I231" s="62" t="str">
        <f>IF(NOT(ISBLANK($E231)),_xlfn.XLOOKUP($E231,CartridgeNames[Available Chamberings],CartridgeNames[Caliber(Units)],"n/a",0,1),"")</f>
        <v>in</v>
      </c>
      <c r="J231">
        <v>270</v>
      </c>
      <c r="K231" t="s">
        <v>117</v>
      </c>
      <c r="L231" s="1">
        <v>2690</v>
      </c>
      <c r="M231" t="s">
        <v>121</v>
      </c>
      <c r="O231" t="s">
        <v>121</v>
      </c>
      <c r="R231" s="45" cm="1">
        <f t="array" ref="R231">IF(NOT(OR(ISBLANK($H231),ISBLANK($I231))),ConvertLength($H231,$I231,"in"),"")</f>
        <v>0.375</v>
      </c>
      <c r="S231" s="45" cm="1">
        <f t="array" ref="S231">IF(NOT(OR(ISBLANK($H231),ISBLANK($I231))),ConvertLength($H231,$I231,"mm"),"")</f>
        <v>9.5250000000000004</v>
      </c>
      <c r="T231" s="45">
        <f t="shared" si="22"/>
        <v>270</v>
      </c>
      <c r="U231" s="45">
        <f t="shared" si="23"/>
        <v>17.495705700000002</v>
      </c>
      <c r="V231" s="45" cm="1">
        <f t="array" ref="V231">IF(NOT(OR(ISBLANK($L231),ISBLANK($M231))),ConvertSpeed($L231,$M231,"ft/sec"),"")</f>
        <v>2690</v>
      </c>
      <c r="W231" s="45" cm="1">
        <f t="array" ref="W231">IF(NOT(OR(ISBLANK($L231),ISBLANK($M231))),ConvertSpeed($L231,$M231,"m/sec"),"")</f>
        <v>819.91200000000003</v>
      </c>
      <c r="X231" s="45" cm="1">
        <f t="array" ref="X231">IF(NOT(OR(ISBLANK(V231),ISBLANK(T231))),MuzzleVelocityToMuzzleEnergyFtLb(V231,T231),"")</f>
        <v>4337.4509396320727</v>
      </c>
      <c r="Y231" s="45" cm="1">
        <f t="array" ref="Y231">IF(NOT(OR(ISBLANK(W231),ISBLANK(U231))),MuzzleVelocityToMuzzleEnergyJoules(W231,U231),"")</f>
        <v>5880.7938339600614</v>
      </c>
      <c r="Z231" s="45" t="str" cm="1">
        <f t="array" ref="Z231">IF(NOT(OR(ISBLANK($N231),ISBLANK($O231))),ConvertSpeed($N231,$O231,"ft/sec"),"")</f>
        <v/>
      </c>
      <c r="AA231" s="46" t="str" cm="1">
        <f t="array" ref="AA231">IF(NOT(OR(ISBLANK($N231),ISBLANK($O231))),ConvertSpeed($N231,$O231,"m/sec"),"")</f>
        <v/>
      </c>
    </row>
    <row r="232" spans="1:27" x14ac:dyDescent="0.25">
      <c r="A232" s="85"/>
      <c r="C232" s="2" t="s">
        <v>250</v>
      </c>
      <c r="D232" s="2" t="s">
        <v>195</v>
      </c>
      <c r="E232" s="47" t="str">
        <f>$E227</f>
        <v>375 H&amp;H Magnum</v>
      </c>
      <c r="F232" t="s">
        <v>247</v>
      </c>
      <c r="G232" t="s">
        <v>51</v>
      </c>
      <c r="H232" s="43">
        <f>IF(NOT(ISBLANK($E232)),_xlfn.XLOOKUP($E232,CartridgeNames[Available Chamberings],CartridgeNames[Bullet Caliber],"n/a",0,1),"")</f>
        <v>0.375</v>
      </c>
      <c r="I232" s="62" t="str">
        <f>IF(NOT(ISBLANK($E232)),_xlfn.XLOOKUP($E232,CartridgeNames[Available Chamberings],CartridgeNames[Caliber(Units)],"n/a",0,1),"")</f>
        <v>in</v>
      </c>
      <c r="J232">
        <v>260</v>
      </c>
      <c r="K232" t="s">
        <v>117</v>
      </c>
      <c r="L232" s="1">
        <v>2700</v>
      </c>
      <c r="M232" t="s">
        <v>121</v>
      </c>
      <c r="O232" t="s">
        <v>121</v>
      </c>
      <c r="R232" s="45" cm="1">
        <f t="array" ref="R232">IF(NOT(OR(ISBLANK($H232),ISBLANK($I232))),ConvertLength($H232,$I232,"in"),"")</f>
        <v>0.375</v>
      </c>
      <c r="S232" s="45" cm="1">
        <f t="array" ref="S232">IF(NOT(OR(ISBLANK($H232),ISBLANK($I232))),ConvertLength($H232,$I232,"mm"),"")</f>
        <v>9.5250000000000004</v>
      </c>
      <c r="T232" s="45">
        <f t="shared" si="22"/>
        <v>260</v>
      </c>
      <c r="U232" s="45">
        <f t="shared" si="23"/>
        <v>16.847716600000002</v>
      </c>
      <c r="V232" s="45" cm="1">
        <f t="array" ref="V232">IF(NOT(OR(ISBLANK($L232),ISBLANK($M232))),ConvertSpeed($L232,$M232,"ft/sec"),"")</f>
        <v>2700</v>
      </c>
      <c r="W232" s="45" cm="1">
        <f t="array" ref="W232">IF(NOT(OR(ISBLANK($L232),ISBLANK($M232))),ConvertSpeed($L232,$M232,"m/sec"),"")</f>
        <v>822.96</v>
      </c>
      <c r="X232" s="45" cm="1">
        <f t="array" ref="X232">IF(NOT(OR(ISBLANK(V232),ISBLANK(T232))),MuzzleVelocityToMuzzleEnergyFtLb(V232,T232),"")</f>
        <v>4207.9166396563278</v>
      </c>
      <c r="Y232" s="45" cm="1">
        <f t="array" ref="Y232">IF(NOT(OR(ISBLANK(W232),ISBLANK(U232))),MuzzleVelocityToMuzzleEnergyJoules(W232,U232),"")</f>
        <v>5705.1689051284029</v>
      </c>
      <c r="Z232" s="45" t="str" cm="1">
        <f t="array" ref="Z232">IF(NOT(OR(ISBLANK($N232),ISBLANK($O232))),ConvertSpeed($N232,$O232,"ft/sec"),"")</f>
        <v/>
      </c>
      <c r="AA232" s="46" t="str" cm="1">
        <f t="array" ref="AA232">IF(NOT(OR(ISBLANK($N232),ISBLANK($O232))),ConvertSpeed($N232,$O232,"m/sec"),"")</f>
        <v/>
      </c>
    </row>
    <row r="233" spans="1:27" x14ac:dyDescent="0.25">
      <c r="A233" s="85"/>
      <c r="C233" s="12"/>
      <c r="D233" s="12"/>
      <c r="E233" s="63"/>
      <c r="F233" s="63"/>
      <c r="G233" s="63"/>
      <c r="H233" s="12"/>
      <c r="I233" s="64"/>
      <c r="J233" s="63"/>
      <c r="K233" s="63"/>
      <c r="L233" s="79"/>
      <c r="M233" s="63"/>
      <c r="N233" s="63"/>
      <c r="O233" s="63"/>
      <c r="P233" s="63"/>
      <c r="Q233" s="63"/>
      <c r="R233" s="65"/>
      <c r="S233" s="65"/>
      <c r="T233" s="65"/>
      <c r="U233" s="65"/>
      <c r="V233" s="65"/>
      <c r="W233" s="65"/>
      <c r="X233" s="65"/>
      <c r="Y233" s="65"/>
      <c r="Z233" s="65"/>
      <c r="AA233" s="66"/>
    </row>
    <row r="234" spans="1:27" x14ac:dyDescent="0.25">
      <c r="A234" s="85"/>
      <c r="C234" s="12"/>
      <c r="D234" s="12"/>
      <c r="E234" s="63"/>
      <c r="F234" s="63"/>
      <c r="G234" s="63"/>
      <c r="H234" s="12"/>
      <c r="I234" s="64"/>
      <c r="J234" s="63"/>
      <c r="K234" s="63"/>
      <c r="L234" s="79"/>
      <c r="M234" s="63"/>
      <c r="N234" s="63"/>
      <c r="O234" s="63"/>
      <c r="P234" s="63"/>
      <c r="Q234" s="63"/>
      <c r="R234" s="65"/>
      <c r="S234" s="65"/>
      <c r="T234" s="65"/>
      <c r="U234" s="65"/>
      <c r="V234" s="65"/>
      <c r="W234" s="65"/>
      <c r="X234" s="65"/>
      <c r="Y234" s="65"/>
      <c r="Z234" s="65"/>
      <c r="AA234" s="66"/>
    </row>
    <row r="235" spans="1:27" x14ac:dyDescent="0.25">
      <c r="A235" s="85"/>
      <c r="C235" s="76" t="s">
        <v>72</v>
      </c>
      <c r="D235" s="76" t="s">
        <v>124</v>
      </c>
      <c r="E235" s="76" t="s">
        <v>123</v>
      </c>
      <c r="F235" s="76" t="s">
        <v>125</v>
      </c>
      <c r="G235" s="76" t="s">
        <v>27</v>
      </c>
      <c r="H235" s="76" t="s">
        <v>127</v>
      </c>
      <c r="I235" s="76" t="s">
        <v>24</v>
      </c>
      <c r="J235" s="76" t="s">
        <v>26</v>
      </c>
      <c r="K235" s="76" t="s">
        <v>185</v>
      </c>
      <c r="L235" s="76" t="s">
        <v>180</v>
      </c>
      <c r="M235" s="76" t="s">
        <v>28</v>
      </c>
      <c r="N235" s="76" t="s">
        <v>29</v>
      </c>
      <c r="O235" s="76" t="s">
        <v>126</v>
      </c>
      <c r="P235" s="77" t="s">
        <v>182</v>
      </c>
      <c r="Q235" s="77" t="s">
        <v>183</v>
      </c>
      <c r="R235" s="76" t="s">
        <v>184</v>
      </c>
      <c r="S235" s="65"/>
      <c r="T235" s="65"/>
      <c r="U235" s="65"/>
      <c r="V235" s="65"/>
      <c r="W235" s="65"/>
      <c r="X235" s="65"/>
      <c r="Y235" s="65"/>
      <c r="Z235" s="65"/>
      <c r="AA235" s="66"/>
    </row>
    <row r="236" spans="1:27" x14ac:dyDescent="0.25">
      <c r="A236" s="85"/>
      <c r="C236" t="s">
        <v>292</v>
      </c>
      <c r="D236" t="s">
        <v>89</v>
      </c>
      <c r="E236" t="s">
        <v>293</v>
      </c>
      <c r="F236" t="s">
        <v>156</v>
      </c>
      <c r="G236" s="25"/>
      <c r="H236" s="51"/>
      <c r="I236" s="25"/>
      <c r="J236" s="25"/>
      <c r="K236" s="5"/>
      <c r="L236" s="51"/>
      <c r="M236" s="25"/>
      <c r="N236" s="25"/>
      <c r="O236" s="51"/>
      <c r="P236" s="25"/>
      <c r="Q236" s="25"/>
      <c r="R236" s="51" t="s">
        <v>181</v>
      </c>
      <c r="S236" s="65"/>
      <c r="T236" s="65"/>
      <c r="U236" s="65"/>
      <c r="V236" s="65"/>
      <c r="W236" s="65"/>
      <c r="X236" s="65"/>
      <c r="Y236" s="65"/>
      <c r="Z236" s="65"/>
      <c r="AA236" s="66"/>
    </row>
    <row r="237" spans="1:27" ht="15.75" thickBot="1" x14ac:dyDescent="0.3">
      <c r="A237" s="80"/>
      <c r="B237" s="7"/>
      <c r="C237" s="68"/>
      <c r="D237" s="68"/>
      <c r="E237" s="69"/>
      <c r="F237" s="69"/>
      <c r="G237" s="69"/>
      <c r="H237" s="68"/>
      <c r="I237" s="70"/>
      <c r="J237" s="69"/>
      <c r="K237" s="69"/>
      <c r="L237" s="81"/>
      <c r="M237" s="69"/>
      <c r="N237" s="69"/>
      <c r="O237" s="69"/>
      <c r="P237" s="69"/>
      <c r="Q237" s="69"/>
      <c r="R237" s="71"/>
      <c r="S237" s="71"/>
      <c r="T237" s="71"/>
      <c r="U237" s="71"/>
      <c r="V237" s="71"/>
      <c r="W237" s="71"/>
      <c r="X237" s="71"/>
      <c r="Y237" s="71"/>
      <c r="Z237" s="71"/>
      <c r="AA237" s="72"/>
    </row>
    <row r="238" spans="1:27" x14ac:dyDescent="0.25">
      <c r="A238" s="30"/>
      <c r="C238" s="28"/>
      <c r="D238" s="28"/>
      <c r="E238" s="13"/>
      <c r="F238" s="13"/>
      <c r="G238" s="13"/>
      <c r="H238" s="28"/>
      <c r="I238" s="57"/>
      <c r="J238" s="13"/>
      <c r="K238" s="13"/>
      <c r="L238" s="78"/>
      <c r="M238" s="13"/>
      <c r="N238" s="13"/>
      <c r="O238" s="13"/>
      <c r="P238" s="13"/>
      <c r="Q238" s="13"/>
      <c r="R238" s="58"/>
      <c r="S238" s="58"/>
      <c r="T238" s="58"/>
      <c r="U238" s="58"/>
      <c r="V238" s="58"/>
      <c r="W238" s="58"/>
      <c r="X238" s="58"/>
      <c r="Y238" s="58"/>
      <c r="Z238" s="58"/>
      <c r="AA238" s="58"/>
    </row>
    <row r="239" spans="1:27" x14ac:dyDescent="0.25">
      <c r="A239" s="30"/>
      <c r="C239" s="10"/>
      <c r="D239" s="10"/>
      <c r="E239" s="11"/>
      <c r="F239" s="11"/>
      <c r="G239" s="11"/>
      <c r="H239" s="10"/>
      <c r="I239" s="32"/>
      <c r="J239" s="11"/>
      <c r="K239" s="11"/>
      <c r="L239" s="33"/>
      <c r="M239" s="11"/>
      <c r="N239" s="11"/>
      <c r="O239" s="11"/>
      <c r="P239" s="11"/>
      <c r="Q239" s="11"/>
      <c r="R239" s="34"/>
      <c r="S239" s="34"/>
      <c r="T239" s="34"/>
      <c r="U239" s="34"/>
      <c r="V239" s="34"/>
      <c r="W239" s="34"/>
      <c r="X239" s="34"/>
      <c r="Y239" s="34"/>
      <c r="Z239" s="34"/>
      <c r="AA239" s="34"/>
    </row>
    <row r="240" spans="1:27" x14ac:dyDescent="0.25">
      <c r="A240" s="30"/>
      <c r="C240" s="10"/>
      <c r="D240" s="10"/>
      <c r="E240" s="11"/>
      <c r="F240" s="11"/>
      <c r="G240" s="11"/>
      <c r="H240" s="10"/>
      <c r="I240" s="32"/>
      <c r="J240" s="11"/>
      <c r="K240" s="11"/>
      <c r="L240" s="33"/>
      <c r="M240" s="11"/>
      <c r="N240" s="11"/>
      <c r="O240" s="11"/>
      <c r="P240" s="11"/>
      <c r="Q240" s="11"/>
      <c r="R240" s="34"/>
      <c r="S240" s="34"/>
      <c r="T240" s="34"/>
      <c r="U240" s="34"/>
      <c r="V240" s="34"/>
      <c r="W240" s="34"/>
      <c r="X240" s="34"/>
      <c r="Y240" s="34"/>
      <c r="Z240" s="34"/>
      <c r="AA240" s="34"/>
    </row>
    <row r="241" spans="1:27" x14ac:dyDescent="0.25">
      <c r="A241" s="30"/>
      <c r="C241" s="10"/>
      <c r="D241" s="10"/>
      <c r="E241" s="11"/>
      <c r="F241" s="11"/>
      <c r="G241" s="11"/>
      <c r="H241" s="10"/>
      <c r="I241" s="32"/>
      <c r="J241" s="11"/>
      <c r="K241" s="11"/>
      <c r="L241" s="33"/>
      <c r="M241" s="11"/>
      <c r="N241" s="11"/>
      <c r="O241" s="11"/>
      <c r="P241" s="11"/>
      <c r="Q241" s="11"/>
      <c r="R241" s="34"/>
      <c r="S241" s="34"/>
      <c r="T241" s="34"/>
      <c r="U241" s="34"/>
      <c r="V241" s="34"/>
      <c r="W241" s="34"/>
      <c r="X241" s="34"/>
      <c r="Y241" s="34"/>
      <c r="Z241" s="34"/>
      <c r="AA241" s="34"/>
    </row>
    <row r="242" spans="1:27" x14ac:dyDescent="0.25">
      <c r="A242" s="30"/>
      <c r="C242" s="10"/>
      <c r="D242" s="10"/>
      <c r="E242" s="11"/>
      <c r="F242" s="11"/>
      <c r="G242" s="11"/>
      <c r="H242" s="10"/>
      <c r="I242" s="32"/>
      <c r="J242" s="11"/>
      <c r="K242" s="11"/>
      <c r="L242" s="33"/>
      <c r="M242" s="11"/>
      <c r="N242" s="11"/>
      <c r="O242" s="11"/>
      <c r="P242" s="11"/>
      <c r="Q242" s="11"/>
      <c r="R242" s="34"/>
      <c r="S242" s="34"/>
      <c r="T242" s="34"/>
      <c r="U242" s="34"/>
      <c r="V242" s="34"/>
      <c r="W242" s="34"/>
      <c r="X242" s="34"/>
      <c r="Y242" s="34"/>
      <c r="Z242" s="34"/>
      <c r="AA242" s="34"/>
    </row>
    <row r="243" spans="1:27" x14ac:dyDescent="0.25">
      <c r="A243" s="30"/>
      <c r="C243" s="10"/>
      <c r="D243" s="10"/>
      <c r="E243" s="11"/>
      <c r="F243" s="11"/>
      <c r="G243" s="11"/>
      <c r="H243" s="10"/>
      <c r="I243" s="32"/>
      <c r="J243" s="11"/>
      <c r="K243" s="11"/>
      <c r="L243" s="33"/>
      <c r="M243" s="11"/>
      <c r="N243" s="11"/>
      <c r="O243" s="11"/>
      <c r="P243" s="11"/>
      <c r="Q243" s="11"/>
      <c r="R243" s="34"/>
      <c r="S243" s="34"/>
      <c r="T243" s="34"/>
      <c r="U243" s="34"/>
      <c r="V243" s="34"/>
      <c r="W243" s="34"/>
      <c r="X243" s="34"/>
      <c r="Y243" s="34"/>
      <c r="Z243" s="34"/>
      <c r="AA243" s="34"/>
    </row>
    <row r="244" spans="1:27" x14ac:dyDescent="0.25">
      <c r="A244" s="30"/>
      <c r="C244" s="10"/>
      <c r="D244" s="10"/>
      <c r="E244" s="11"/>
      <c r="F244" s="11"/>
      <c r="G244" s="11"/>
      <c r="H244" s="10"/>
      <c r="I244" s="32"/>
      <c r="J244" s="11"/>
      <c r="K244" s="11"/>
      <c r="L244" s="33"/>
      <c r="M244" s="11"/>
      <c r="N244" s="11"/>
      <c r="O244" s="11"/>
      <c r="P244" s="11"/>
      <c r="Q244" s="11"/>
      <c r="R244" s="34"/>
      <c r="S244" s="34"/>
      <c r="T244" s="34"/>
      <c r="U244" s="34"/>
      <c r="V244" s="34"/>
      <c r="W244" s="34"/>
      <c r="X244" s="34"/>
      <c r="Y244" s="34"/>
      <c r="Z244" s="34"/>
      <c r="AA244" s="34"/>
    </row>
    <row r="245" spans="1:27" x14ac:dyDescent="0.25">
      <c r="A245" s="30"/>
      <c r="C245" s="10"/>
      <c r="D245" s="10"/>
      <c r="E245" s="11"/>
      <c r="F245" s="11"/>
      <c r="G245" s="11"/>
      <c r="H245" s="10"/>
      <c r="I245" s="32"/>
      <c r="J245" s="11"/>
      <c r="K245" s="11"/>
      <c r="L245" s="33"/>
      <c r="M245" s="11"/>
      <c r="N245" s="11"/>
      <c r="O245" s="11"/>
      <c r="P245" s="11"/>
      <c r="Q245" s="11"/>
      <c r="R245" s="34"/>
      <c r="S245" s="34"/>
      <c r="T245" s="34"/>
      <c r="U245" s="34"/>
      <c r="V245" s="34"/>
      <c r="W245" s="34"/>
      <c r="X245" s="34"/>
      <c r="Y245" s="34"/>
      <c r="Z245" s="34"/>
      <c r="AA245" s="34"/>
    </row>
    <row r="248" spans="1:27" x14ac:dyDescent="0.25">
      <c r="A248" s="29"/>
    </row>
    <row r="323" spans="1:1" x14ac:dyDescent="0.25">
      <c r="A323" s="24"/>
    </row>
    <row r="324" spans="1:1" x14ac:dyDescent="0.25">
      <c r="A324" s="24"/>
    </row>
    <row r="325" spans="1:1" x14ac:dyDescent="0.25">
      <c r="A325" s="24"/>
    </row>
    <row r="326" spans="1:1" x14ac:dyDescent="0.25">
      <c r="A326" s="24"/>
    </row>
    <row r="327" spans="1:1" x14ac:dyDescent="0.25">
      <c r="A327" s="24"/>
    </row>
    <row r="328" spans="1:1" x14ac:dyDescent="0.25">
      <c r="A328" s="24"/>
    </row>
    <row r="329" spans="1:1" x14ac:dyDescent="0.25">
      <c r="A329" s="24"/>
    </row>
    <row r="330" spans="1:1" x14ac:dyDescent="0.25">
      <c r="A330" s="24"/>
    </row>
    <row r="331" spans="1:1" x14ac:dyDescent="0.25">
      <c r="A331" s="24"/>
    </row>
    <row r="332" spans="1:1" x14ac:dyDescent="0.25">
      <c r="A332" s="24"/>
    </row>
    <row r="333" spans="1:1" x14ac:dyDescent="0.25">
      <c r="A333" s="24"/>
    </row>
    <row r="334" spans="1:1" x14ac:dyDescent="0.25">
      <c r="A334" s="24"/>
    </row>
    <row r="335" spans="1:1" x14ac:dyDescent="0.25">
      <c r="A335" s="24"/>
    </row>
    <row r="336" spans="1:1" x14ac:dyDescent="0.25">
      <c r="A336" s="24"/>
    </row>
    <row r="337" spans="1:1" x14ac:dyDescent="0.25">
      <c r="A337" s="24"/>
    </row>
    <row r="338" spans="1:1" x14ac:dyDescent="0.25">
      <c r="A338" s="24"/>
    </row>
    <row r="339" spans="1:1" x14ac:dyDescent="0.25">
      <c r="A339" s="24"/>
    </row>
    <row r="340" spans="1:1" x14ac:dyDescent="0.25">
      <c r="A340" s="24"/>
    </row>
    <row r="341" spans="1:1" x14ac:dyDescent="0.25">
      <c r="A341" s="24"/>
    </row>
    <row r="342" spans="1:1" x14ac:dyDescent="0.25">
      <c r="A342" s="24"/>
    </row>
    <row r="343" spans="1:1" x14ac:dyDescent="0.25">
      <c r="A343" s="24"/>
    </row>
    <row r="344" spans="1:1" x14ac:dyDescent="0.25">
      <c r="A344" s="24"/>
    </row>
    <row r="345" spans="1:1" x14ac:dyDescent="0.25">
      <c r="A345" s="24"/>
    </row>
    <row r="346" spans="1:1" x14ac:dyDescent="0.25">
      <c r="A346" s="24"/>
    </row>
    <row r="347" spans="1:1" x14ac:dyDescent="0.25">
      <c r="A347" s="24"/>
    </row>
    <row r="348" spans="1:1" x14ac:dyDescent="0.25">
      <c r="A348" s="24"/>
    </row>
    <row r="349" spans="1:1" x14ac:dyDescent="0.25">
      <c r="A349" s="24"/>
    </row>
    <row r="350" spans="1:1" x14ac:dyDescent="0.25">
      <c r="A350" s="24"/>
    </row>
    <row r="351" spans="1:1" x14ac:dyDescent="0.25">
      <c r="A351" s="24"/>
    </row>
    <row r="352" spans="1:1" x14ac:dyDescent="0.25">
      <c r="A352" s="24"/>
    </row>
    <row r="353" spans="1:1" x14ac:dyDescent="0.25">
      <c r="A353" s="24"/>
    </row>
    <row r="354" spans="1:1" x14ac:dyDescent="0.25">
      <c r="A354" s="24"/>
    </row>
    <row r="355" spans="1:1" x14ac:dyDescent="0.25">
      <c r="A355" s="24"/>
    </row>
    <row r="356" spans="1:1" x14ac:dyDescent="0.25">
      <c r="A356" s="24"/>
    </row>
    <row r="357" spans="1:1" x14ac:dyDescent="0.25">
      <c r="A357" s="24"/>
    </row>
    <row r="358" spans="1:1" x14ac:dyDescent="0.25">
      <c r="A358" s="24"/>
    </row>
    <row r="359" spans="1:1" x14ac:dyDescent="0.25">
      <c r="A359" s="24"/>
    </row>
    <row r="360" spans="1:1" x14ac:dyDescent="0.25">
      <c r="A360" s="24"/>
    </row>
    <row r="361" spans="1:1" x14ac:dyDescent="0.25">
      <c r="A361" s="24"/>
    </row>
    <row r="362" spans="1:1" x14ac:dyDescent="0.25">
      <c r="A362" s="24"/>
    </row>
    <row r="363" spans="1:1" x14ac:dyDescent="0.25">
      <c r="A363" s="24"/>
    </row>
    <row r="364" spans="1:1" x14ac:dyDescent="0.25">
      <c r="A364" s="24"/>
    </row>
    <row r="365" spans="1:1" x14ac:dyDescent="0.25">
      <c r="A365" s="24"/>
    </row>
    <row r="366" spans="1:1" x14ac:dyDescent="0.25">
      <c r="A366" s="24"/>
    </row>
    <row r="367" spans="1:1" x14ac:dyDescent="0.25">
      <c r="A367" s="24"/>
    </row>
    <row r="368" spans="1:1" x14ac:dyDescent="0.25">
      <c r="A368" s="24"/>
    </row>
    <row r="369" spans="1:1" x14ac:dyDescent="0.25">
      <c r="A369" s="24"/>
    </row>
    <row r="370" spans="1:1" x14ac:dyDescent="0.25">
      <c r="A370" s="24"/>
    </row>
    <row r="371" spans="1:1" x14ac:dyDescent="0.25">
      <c r="A371" s="24"/>
    </row>
    <row r="372" spans="1:1" x14ac:dyDescent="0.25">
      <c r="A372" s="24"/>
    </row>
    <row r="373" spans="1:1" x14ac:dyDescent="0.25">
      <c r="A373" s="24"/>
    </row>
    <row r="374" spans="1:1" x14ac:dyDescent="0.25">
      <c r="A374" s="24"/>
    </row>
    <row r="375" spans="1:1" x14ac:dyDescent="0.25">
      <c r="A375" s="24"/>
    </row>
    <row r="376" spans="1:1" x14ac:dyDescent="0.25">
      <c r="A376" s="24"/>
    </row>
    <row r="377" spans="1:1" x14ac:dyDescent="0.25">
      <c r="A377" s="24"/>
    </row>
  </sheetData>
  <mergeCells count="4">
    <mergeCell ref="A198:A204"/>
    <mergeCell ref="A88:A99"/>
    <mergeCell ref="Q1:Z2"/>
    <mergeCell ref="C1:P2"/>
  </mergeCells>
  <phoneticPr fontId="2" type="noConversion"/>
  <dataValidations count="7">
    <dataValidation type="list" allowBlank="1" showInputMessage="1" showErrorMessage="1" sqref="I105:I110 L180:L182 I171 L149:L150 I140 I199 I6:I11 I55:I60 I38:I43 I22:I27 I72:I77 I89:I94 I156 I121 I212 I227 I186:I189 L192:L193 L15:L16 L64:L65 L114:L115 L47:L48 L31:L32 L82:L83 L98:L99 L165:L166 L129 L219 L236 L203" xr:uid="{6B70BD2F-ED37-4448-889C-FDD49F62FCD4}">
      <formula1>LengthUnits</formula1>
    </dataValidation>
    <dataValidation type="list" allowBlank="1" showInputMessage="1" showErrorMessage="1" sqref="O171:O176 M171:M176 O6:O11 M6:M11 O186:O193 O204 O55:O60 M55:M60 O105:O110 M105:M110 O38:O43 M38:M43 O22:O27 M22:M27 O72:O77 M72:M77 O89:O94 M89:M94 O140:O167 M140:M167 O121:O126 M121:M126 M212:M216 O212:O216 M186:M193 O227:O234 M227:M234 O199:O201 M199:M201 M204 M196 M237:M245 O196 O237:O245" xr:uid="{36F74CB0-333E-4A5B-AB51-08E5439B2901}">
      <formula1>VelocityUnits</formula1>
    </dataValidation>
    <dataValidation type="list" allowBlank="1" showInputMessage="1" showErrorMessage="1" sqref="K171:K176 H180:H182 H149:H150 K6:K11 H236 K55:K60 K105:K110 K38:K43 K22:K27 K72:K77 K89:K94 K140:K167 K121:K126 K212:K216 H219 K186:K193 H192:H193 H15:H16 H64:H65 H114:H115 H47:H48 H31:H32 H82:H83 H98:H99 H165:H166 H129 K227:K234 K199:K201 K204 H203 K196 K237:K245" xr:uid="{B7B98B05-F11F-4A2D-A297-81FDF2B3BC68}">
      <formula1>MassWeightUnits</formula1>
    </dataValidation>
    <dataValidation type="list" allowBlank="1" showInputMessage="1" showErrorMessage="1" sqref="E105:E110 D180:D182 E171 D149:D150 E6:E11 E199 E55:E60 E140 E38:E43 E22:E27 E72:E77 E89:E94 E156 E121 E212 E227 E186:E189 D192:D193 D15:D16 D64:D65 D114:D115 D47:D48 D31:D32 D82:D83 D98:D99 D165:D166 D129 D219 D236 D203" xr:uid="{A79A9299-EDE5-43FC-BC48-821811D6ECF7}">
      <formula1>Chamberings</formula1>
    </dataValidation>
    <dataValidation type="list" allowBlank="1" showInputMessage="1" showErrorMessage="1" sqref="O180:O182 R180:R182 O149:O150 R149:R150 O192:O193 R192:R193 O15:O16 R15:R16 O64:O65 R64:R65 O114:O115 R114:R115 O47:O48 R47:R48 O31:O32 R31:R32 O82:O83 R82:R83 O98:O99 R98:R99 O165:O166 R165:R166 O129 R129 O219 R219 O236 R236 O203 R203" xr:uid="{D33A85B2-EB04-4728-BD28-DABB92311F70}">
      <formula1>AngularUnits</formula1>
    </dataValidation>
    <dataValidation type="list" allowBlank="1" showInputMessage="1" showErrorMessage="1" sqref="D171:D176 D6:D11 D55:D60 D105:D110 D38:D43 D22:D27 D72:D77 D89:D94 D140:D167 D121:D126 D212:D216 D186:D193 D227:D234 D199:D201 D204 D196 D237:D245" xr:uid="{D44144F0-11C2-47E8-A6C7-E531E8CAB59F}">
      <formula1>SpecificationTypeList</formula1>
    </dataValidation>
    <dataValidation type="list" allowBlank="1" showInputMessage="1" showErrorMessage="1" sqref="G171:G176 G6:G11 G55:G60 G105:G110 G38:G43 G22:G27 G20 G72:G77 G89:G94 G140:G167 G121:G126 G212:G216 G227:G234 G4 G186:G206 G237:G245" xr:uid="{AA044F31-960F-4CD6-AD69-13528CDB9636}">
      <formula1>ProjectileTypes</formula1>
    </dataValidation>
  </dataValidations>
  <pageMargins left="0.7" right="0.7" top="0.75" bottom="0.75" header="0.3" footer="0.3"/>
  <tableParts count="3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F4E08-384E-492F-BD40-6CFAA0CFAF78}">
  <sheetPr codeName="shRiflescopeData"/>
  <dimension ref="A1:N4"/>
  <sheetViews>
    <sheetView workbookViewId="0">
      <selection activeCell="I30" sqref="I30"/>
    </sheetView>
  </sheetViews>
  <sheetFormatPr defaultRowHeight="15" x14ac:dyDescent="0.25"/>
  <cols>
    <col min="1" max="1" width="28.42578125" customWidth="1"/>
    <col min="2" max="2" width="22.85546875" customWidth="1"/>
    <col min="3" max="3" width="23.5703125" customWidth="1"/>
    <col min="4" max="4" width="15.42578125" customWidth="1"/>
    <col min="5" max="5" width="17.28515625" customWidth="1"/>
    <col min="6" max="6" width="14.42578125" customWidth="1"/>
    <col min="7" max="7" width="16.140625" customWidth="1"/>
    <col min="8" max="8" width="15.28515625" customWidth="1"/>
    <col min="9" max="9" width="13" customWidth="1"/>
    <col min="10" max="10" width="12.85546875" customWidth="1"/>
    <col min="11" max="11" width="19.140625" customWidth="1"/>
    <col min="12" max="12" width="14.7109375" customWidth="1"/>
    <col min="13" max="13" width="17.28515625" customWidth="1"/>
    <col min="14" max="14" width="17.42578125" customWidth="1"/>
    <col min="15" max="15" width="12.42578125" customWidth="1"/>
    <col min="16" max="16" width="14.5703125" customWidth="1"/>
  </cols>
  <sheetData>
    <row r="1" spans="1:14" ht="45" x14ac:dyDescent="0.25">
      <c r="A1" s="3" t="s">
        <v>5</v>
      </c>
      <c r="B1" s="8" t="s">
        <v>4</v>
      </c>
      <c r="C1" s="8" t="s">
        <v>12</v>
      </c>
      <c r="D1" s="8" t="s">
        <v>7</v>
      </c>
      <c r="E1" s="8" t="s">
        <v>8</v>
      </c>
      <c r="F1" s="8" t="s">
        <v>10</v>
      </c>
      <c r="G1" s="8" t="s">
        <v>9</v>
      </c>
      <c r="H1" s="8" t="s">
        <v>11</v>
      </c>
      <c r="I1" s="8" t="s">
        <v>13</v>
      </c>
      <c r="J1" s="8" t="s">
        <v>14</v>
      </c>
      <c r="K1" s="8" t="s">
        <v>15</v>
      </c>
      <c r="L1" s="8" t="s">
        <v>16</v>
      </c>
      <c r="M1" s="8" t="s">
        <v>23</v>
      </c>
      <c r="N1" s="8" t="s">
        <v>22</v>
      </c>
    </row>
    <row r="2" spans="1:14" x14ac:dyDescent="0.25">
      <c r="A2" s="3" t="s">
        <v>25</v>
      </c>
      <c r="B2" s="3" t="s">
        <v>17</v>
      </c>
      <c r="C2" s="3" t="s">
        <v>18</v>
      </c>
      <c r="D2" s="3" t="s">
        <v>19</v>
      </c>
      <c r="E2" s="1">
        <v>50</v>
      </c>
      <c r="F2" s="3" t="s">
        <v>20</v>
      </c>
      <c r="G2" s="3" t="s">
        <v>3</v>
      </c>
      <c r="H2" s="3" t="s">
        <v>21</v>
      </c>
      <c r="I2" s="2">
        <v>0.125</v>
      </c>
      <c r="J2" s="2">
        <v>0.25</v>
      </c>
      <c r="K2" s="2">
        <v>0.5</v>
      </c>
      <c r="L2" s="2">
        <v>1</v>
      </c>
      <c r="M2" s="5">
        <v>7.5</v>
      </c>
      <c r="N2" s="5">
        <v>1.5</v>
      </c>
    </row>
    <row r="3" spans="1:14" x14ac:dyDescent="0.25">
      <c r="A3" s="3" t="s">
        <v>30</v>
      </c>
      <c r="B3" s="3" t="s">
        <v>17</v>
      </c>
      <c r="C3" s="3" t="s">
        <v>31</v>
      </c>
      <c r="D3" s="3" t="s">
        <v>32</v>
      </c>
      <c r="E3" s="1">
        <v>44</v>
      </c>
      <c r="F3" s="3" t="s">
        <v>33</v>
      </c>
      <c r="G3" s="3" t="s">
        <v>34</v>
      </c>
      <c r="H3" s="3" t="s">
        <v>35</v>
      </c>
      <c r="I3" s="2">
        <v>0.5</v>
      </c>
      <c r="J3" s="2">
        <v>1</v>
      </c>
      <c r="K3" s="2"/>
      <c r="L3" s="2">
        <v>5</v>
      </c>
      <c r="M3" s="5"/>
      <c r="N3" s="5"/>
    </row>
    <row r="4" spans="1:14" x14ac:dyDescent="0.25">
      <c r="A4" s="3" t="s">
        <v>36</v>
      </c>
      <c r="B4" s="3" t="s">
        <v>17</v>
      </c>
      <c r="C4" s="3" t="s">
        <v>37</v>
      </c>
      <c r="D4" s="3" t="s">
        <v>38</v>
      </c>
      <c r="E4" s="1">
        <v>40</v>
      </c>
      <c r="F4" s="3" t="s">
        <v>33</v>
      </c>
      <c r="G4" s="3" t="s">
        <v>34</v>
      </c>
      <c r="H4" s="3" t="s">
        <v>39</v>
      </c>
      <c r="I4" s="2" t="s">
        <v>21</v>
      </c>
      <c r="J4" s="2" t="s">
        <v>21</v>
      </c>
      <c r="K4" s="2" t="s">
        <v>21</v>
      </c>
      <c r="L4" s="2">
        <v>8</v>
      </c>
      <c r="M4" s="5"/>
      <c r="N4" s="5"/>
    </row>
  </sheetData>
  <dataValidations count="2">
    <dataValidation type="list" allowBlank="1" showInputMessage="1" showErrorMessage="1" sqref="F2:F4" xr:uid="{A2D07E39-E5EB-482A-8A23-309F8AF378B5}">
      <formula1>"FFP,SFP"</formula1>
    </dataValidation>
    <dataValidation type="list" allowBlank="1" showInputMessage="1" showErrorMessage="1" sqref="G2:G4" xr:uid="{314A86DB-223B-4CF0-B791-6C809D987FE0}">
      <formula1>AngularUnits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Constants</vt:lpstr>
      <vt:lpstr>Species Energy Tables</vt:lpstr>
      <vt:lpstr>Rifle Loadouts</vt:lpstr>
      <vt:lpstr>Riflescope Data</vt:lpstr>
      <vt:lpstr>AngularUnits</vt:lpstr>
      <vt:lpstr>Chamberings</vt:lpstr>
      <vt:lpstr>EnergyUnits</vt:lpstr>
      <vt:lpstr>LengthUnits</vt:lpstr>
      <vt:lpstr>MassWeightUnits</vt:lpstr>
      <vt:lpstr>ProjectileTypes</vt:lpstr>
      <vt:lpstr>RiflescopeList</vt:lpstr>
      <vt:lpstr>SpecificationTypeList</vt:lpstr>
      <vt:lpstr>VelocityUnits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Victoria Dassen</dc:creator>
  <cp:lastModifiedBy>Victoria Dassen</cp:lastModifiedBy>
  <dcterms:created xsi:type="dcterms:W3CDTF">2024-03-05T21:27:49Z</dcterms:created>
  <dcterms:modified xsi:type="dcterms:W3CDTF">2024-10-17T23:46:52Z</dcterms:modified>
</cp:coreProperties>
</file>