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7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8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0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1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SteyrMonobloc-308Win\"/>
    </mc:Choice>
  </mc:AlternateContent>
  <xr:revisionPtr revIDLastSave="0" documentId="13_ncr:1_{6D77B613-86E6-42B1-95BF-320778DB674F}" xr6:coauthVersionLast="47" xr6:coauthVersionMax="47" xr10:uidLastSave="{00000000-0000-0000-0000-000000000000}"/>
  <bookViews>
    <workbookView xWindow="8715" yWindow="2670" windowWidth="29010" windowHeight="15345" xr2:uid="{2F0FA23F-61CC-43E6-AF0F-86720E5DCFA1}"/>
  </bookViews>
  <sheets>
    <sheet name="Remington Core-Lokt PHP" sheetId="4" r:id="rId1"/>
    <sheet name="Remington Core-Lokt PHP(2)" sheetId="8" r:id="rId2"/>
    <sheet name="Federal Barnes TSX HP" sheetId="5" r:id="rId3"/>
    <sheet name="Remington Core-Lokt SP" sheetId="6" r:id="rId4"/>
    <sheet name="Bullet Comparisons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4" l="1"/>
  <c r="H3" i="4"/>
  <c r="H2" i="4"/>
  <c r="H7" i="8"/>
  <c r="H3" i="8"/>
  <c r="H2" i="8"/>
  <c r="H7" i="5"/>
  <c r="H3" i="5"/>
  <c r="H2" i="5"/>
  <c r="H7" i="6"/>
  <c r="H3" i="6"/>
  <c r="H2" i="6"/>
  <c r="C18" i="6"/>
  <c r="I23" i="6"/>
  <c r="L23" i="6"/>
  <c r="K23" i="6"/>
  <c r="J23" i="6"/>
  <c r="H23" i="6"/>
  <c r="D14" i="6"/>
  <c r="C17" i="6"/>
  <c r="C20" i="6" s="1"/>
  <c r="B14" i="6"/>
  <c r="L22" i="5"/>
  <c r="K22" i="5"/>
  <c r="J22" i="5"/>
  <c r="I22" i="5"/>
  <c r="H22" i="5"/>
  <c r="C17" i="5"/>
  <c r="C16" i="5"/>
  <c r="B13" i="5"/>
  <c r="D13" i="5" s="1"/>
  <c r="C17" i="8"/>
  <c r="C16" i="8"/>
  <c r="C19" i="8" s="1"/>
  <c r="B13" i="8"/>
  <c r="D13" i="8" s="1"/>
  <c r="L22" i="4"/>
  <c r="K22" i="4"/>
  <c r="J22" i="4"/>
  <c r="I22" i="4"/>
  <c r="H22" i="4"/>
  <c r="C17" i="4"/>
  <c r="C16" i="4"/>
  <c r="B13" i="4"/>
  <c r="D13" i="4" s="1"/>
  <c r="C9" i="4"/>
  <c r="G209" i="8" a="1"/>
  <c r="G209" i="8" s="1"/>
  <c r="G208" i="8" a="1"/>
  <c r="G208" i="8" s="1"/>
  <c r="G207" i="8" a="1"/>
  <c r="G207" i="8" s="1"/>
  <c r="G206" i="8" a="1"/>
  <c r="G206" i="8" s="1"/>
  <c r="B7" i="8"/>
  <c r="C7" i="8" s="1"/>
  <c r="C6" i="8"/>
  <c r="C3" i="8"/>
  <c r="C2" i="8"/>
  <c r="G210" i="6" a="1"/>
  <c r="G210" i="6" s="1"/>
  <c r="G209" i="6" a="1"/>
  <c r="G209" i="6" s="1"/>
  <c r="G208" i="6" a="1"/>
  <c r="G208" i="6" s="1"/>
  <c r="G207" i="6" a="1"/>
  <c r="G207" i="6" s="1"/>
  <c r="G209" i="5" a="1"/>
  <c r="G209" i="5" s="1"/>
  <c r="G208" i="5" a="1"/>
  <c r="G208" i="5" s="1"/>
  <c r="G207" i="5" a="1"/>
  <c r="G207" i="5" s="1"/>
  <c r="G206" i="5" a="1"/>
  <c r="G206" i="5" s="1"/>
  <c r="G209" i="4" a="1"/>
  <c r="G209" i="4" s="1"/>
  <c r="G208" i="4" a="1"/>
  <c r="G208" i="4" s="1"/>
  <c r="G207" i="4" a="1"/>
  <c r="G207" i="4" s="1"/>
  <c r="G206" i="4" a="1"/>
  <c r="G206" i="4" s="1"/>
  <c r="B7" i="6" a="1"/>
  <c r="I29" i="8" a="1"/>
  <c r="L34" i="6" a="1"/>
  <c r="K32" i="8" a="1"/>
  <c r="K27" i="4" a="1"/>
  <c r="G232" i="4" a="1"/>
  <c r="G232" i="5" a="1"/>
  <c r="H33" i="4" a="1"/>
  <c r="G230" i="4" a="1"/>
  <c r="B7" i="4" a="1"/>
  <c r="J24" i="5" a="1"/>
  <c r="H32" i="5" a="1"/>
  <c r="K32" i="4" a="1"/>
  <c r="L30" i="5" a="1"/>
  <c r="J26" i="5" a="1"/>
  <c r="H23" i="5" a="1"/>
  <c r="G227" i="4" a="1"/>
  <c r="H32" i="6" a="1"/>
  <c r="H34" i="8" a="1"/>
  <c r="J25" i="5" a="1"/>
  <c r="G6" i="6" a="1"/>
  <c r="L27" i="6" a="1"/>
  <c r="G230" i="8" a="1"/>
  <c r="H33" i="6" a="1"/>
  <c r="I26" i="4" a="1"/>
  <c r="J35" i="4" a="1"/>
  <c r="J24" i="6" a="1"/>
  <c r="G236" i="8" a="1"/>
  <c r="I25" i="8" a="1"/>
  <c r="G235" i="5" a="1"/>
  <c r="G233" i="5" a="1"/>
  <c r="J34" i="6" a="1"/>
  <c r="L27" i="4" a="1"/>
  <c r="K35" i="8" a="1"/>
  <c r="L24" i="6" a="1"/>
  <c r="G227" i="5" a="1"/>
  <c r="I23" i="4" a="1"/>
  <c r="L28" i="5" a="1"/>
  <c r="J28" i="5" a="1"/>
  <c r="J33" i="8" a="1"/>
  <c r="L24" i="5" a="1"/>
  <c r="K31" i="8" a="1"/>
  <c r="L23" i="8" a="1"/>
  <c r="G220" i="6" a="1"/>
  <c r="L23" i="5" a="1"/>
  <c r="B12" i="8" a="1"/>
  <c r="L29" i="5" a="1"/>
  <c r="K25" i="6" a="1"/>
  <c r="I27" i="5" a="1"/>
  <c r="G223" i="5" a="1"/>
  <c r="H29" i="6" a="1"/>
  <c r="G219" i="5" a="1"/>
  <c r="K29" i="5" a="1"/>
  <c r="I25" i="4" a="1"/>
  <c r="K30" i="6" a="1"/>
  <c r="K33" i="5" a="1"/>
  <c r="J29" i="4" a="1"/>
  <c r="J26" i="8" a="1"/>
  <c r="I26" i="5" a="1"/>
  <c r="L24" i="4" a="1"/>
  <c r="H33" i="5" a="1"/>
  <c r="J25" i="4" a="1"/>
  <c r="I28" i="6" a="1"/>
  <c r="K26" i="6" a="1"/>
  <c r="H35" i="6" a="1"/>
  <c r="L32" i="4" a="1"/>
  <c r="H35" i="5" a="1"/>
  <c r="G222" i="4" a="1"/>
  <c r="G217" i="8" a="1"/>
  <c r="H24" i="8" a="1"/>
  <c r="G236" i="4" a="1"/>
  <c r="I31" i="6" a="1"/>
  <c r="G221" i="8" a="1"/>
  <c r="J24" i="4" a="1"/>
  <c r="K24" i="4" a="1"/>
  <c r="H35" i="4" a="1"/>
  <c r="J23" i="4" a="1"/>
  <c r="L31" i="5" a="1"/>
  <c r="J33" i="5" a="1"/>
  <c r="J34" i="5" a="1"/>
  <c r="H31" i="6" a="1"/>
  <c r="J29" i="6" a="1"/>
  <c r="J32" i="5" a="1"/>
  <c r="J29" i="5" a="1"/>
  <c r="J30" i="4" a="1"/>
  <c r="L28" i="4" a="1"/>
  <c r="K33" i="4" a="1"/>
  <c r="H29" i="4" a="1"/>
  <c r="G224" i="4" a="1"/>
  <c r="L25" i="5" a="1"/>
  <c r="I28" i="4" a="1"/>
  <c r="L33" i="8" a="1"/>
  <c r="G233" i="4" a="1"/>
  <c r="K30" i="8" a="1"/>
  <c r="J29" i="8" a="1"/>
  <c r="L25" i="6" a="1"/>
  <c r="I33" i="6" a="1"/>
  <c r="L35" i="4" a="1"/>
  <c r="I32" i="6" a="1"/>
  <c r="H32" i="4" a="1"/>
  <c r="I31" i="8" a="1"/>
  <c r="L32" i="5" a="1"/>
  <c r="L30" i="4" a="1"/>
  <c r="I24" i="4" a="1"/>
  <c r="H32" i="8" a="1"/>
  <c r="L31" i="6" a="1"/>
  <c r="L28" i="8" a="1"/>
  <c r="I26" i="6" a="1"/>
  <c r="I31" i="5" a="1"/>
  <c r="G237" i="6" a="1"/>
  <c r="K34" i="5" a="1"/>
  <c r="K35" i="6" a="1"/>
  <c r="G217" i="4" a="1"/>
  <c r="K35" i="5" a="1"/>
  <c r="K24" i="8" a="1"/>
  <c r="G224" i="8" a="1"/>
  <c r="K26" i="4" a="1"/>
  <c r="K23" i="5" a="1"/>
  <c r="K34" i="6" a="1"/>
  <c r="G229" i="8" a="1"/>
  <c r="I32" i="8" a="1"/>
  <c r="L27" i="8" a="1"/>
  <c r="L32" i="8" a="1"/>
  <c r="L23" i="4" a="1"/>
  <c r="G219" i="8" a="1"/>
  <c r="K29" i="6" a="1"/>
  <c r="G218" i="6" a="1"/>
  <c r="G222" i="6" a="1"/>
  <c r="G216" i="4" a="1"/>
  <c r="L27" i="5" a="1"/>
  <c r="I24" i="5" a="1"/>
  <c r="G235" i="4" a="1"/>
  <c r="I23" i="5" a="1"/>
  <c r="I28" i="5" a="1"/>
  <c r="I32" i="5" a="1"/>
  <c r="J27" i="4" a="1"/>
  <c r="I34" i="5" a="1"/>
  <c r="I29" i="6" a="1"/>
  <c r="L29" i="6" a="1"/>
  <c r="J24" i="8" a="1"/>
  <c r="G221" i="5" a="1"/>
  <c r="G228" i="5" a="1"/>
  <c r="G234" i="8" a="1"/>
  <c r="J25" i="6" a="1"/>
  <c r="I23" i="8" a="1"/>
  <c r="G227" i="8" a="1"/>
  <c r="I36" i="6" a="1"/>
  <c r="H31" i="5" a="1"/>
  <c r="K29" i="4" a="1"/>
  <c r="K28" i="8" a="1"/>
  <c r="G224" i="5" a="1"/>
  <c r="K24" i="6" a="1"/>
  <c r="L34" i="4" a="1"/>
  <c r="H6" i="6" a="1"/>
  <c r="G218" i="4" a="1"/>
  <c r="K27" i="8" a="1"/>
  <c r="H28" i="6" a="1"/>
  <c r="K33" i="6" a="1"/>
  <c r="B12" i="4" a="1"/>
  <c r="J23" i="8" a="1"/>
  <c r="G221" i="6" a="1"/>
  <c r="G236" i="5" a="1"/>
  <c r="L25" i="4" a="1"/>
  <c r="L26" i="5" a="1"/>
  <c r="J30" i="5" a="1"/>
  <c r="H28" i="4" a="1"/>
  <c r="J31" i="6" a="1"/>
  <c r="I32" i="4" a="1"/>
  <c r="G223" i="4" a="1"/>
  <c r="I27" i="8" a="1"/>
  <c r="K25" i="4" a="1"/>
  <c r="I29" i="5" a="1"/>
  <c r="I27" i="4" a="1"/>
  <c r="G226" i="8" a="1"/>
  <c r="G217" i="6" a="1"/>
  <c r="H23" i="4" a="1"/>
  <c r="G230" i="5" a="1"/>
  <c r="K31" i="5" a="1"/>
  <c r="H30" i="6" a="1"/>
  <c r="J34" i="8" a="1"/>
  <c r="J31" i="4" a="1"/>
  <c r="G220" i="8" a="1"/>
  <c r="H28" i="8" a="1"/>
  <c r="G223" i="6" a="1"/>
  <c r="G233" i="8" a="1"/>
  <c r="G225" i="4" a="1"/>
  <c r="G234" i="5" a="1"/>
  <c r="G225" i="6" a="1"/>
  <c r="I30" i="8" a="1"/>
  <c r="G228" i="6" a="1"/>
  <c r="L29" i="4" a="1"/>
  <c r="G232" i="6" a="1"/>
  <c r="K28" i="4" a="1"/>
  <c r="H29" i="8" a="1"/>
  <c r="K29" i="8" a="1"/>
  <c r="L34" i="5" a="1"/>
  <c r="H27" i="8" a="1"/>
  <c r="G235" i="6" a="1"/>
  <c r="I35" i="6" a="1"/>
  <c r="K24" i="5" a="1"/>
  <c r="G227" i="6" a="1"/>
  <c r="K23" i="4" a="1"/>
  <c r="H31" i="8" a="1"/>
  <c r="L35" i="6" a="1"/>
  <c r="K27" i="6" a="1"/>
  <c r="G226" i="5" a="1"/>
  <c r="G229" i="6" a="1"/>
  <c r="K31" i="4" a="1"/>
  <c r="I35" i="4" a="1"/>
  <c r="G236" i="6" a="1"/>
  <c r="L35" i="5" a="1"/>
  <c r="J34" i="4" a="1"/>
  <c r="K34" i="8" a="1"/>
  <c r="L29" i="8" a="1"/>
  <c r="K27" i="5" a="1"/>
  <c r="I26" i="8" a="1"/>
  <c r="J35" i="6" a="1"/>
  <c r="G217" i="5" a="1"/>
  <c r="J36" i="6" a="1"/>
  <c r="J30" i="8" a="1"/>
  <c r="L26" i="8" a="1"/>
  <c r="H24" i="4" a="1"/>
  <c r="K26" i="8" a="1"/>
  <c r="H23" i="8" a="1"/>
  <c r="J26" i="6" a="1"/>
  <c r="L33" i="5" a="1"/>
  <c r="L36" i="6" a="1"/>
  <c r="G223" i="8" a="1"/>
  <c r="J28" i="8" a="1"/>
  <c r="G224" i="6" a="1"/>
  <c r="I33" i="5" a="1"/>
  <c r="H24" i="6" a="1"/>
  <c r="B12" i="5" a="1"/>
  <c r="I34" i="8" a="1"/>
  <c r="I25" i="5" a="1"/>
  <c r="J32" i="4" a="1"/>
  <c r="L28" i="6" a="1"/>
  <c r="I30" i="6" a="1"/>
  <c r="J27" i="5" a="1"/>
  <c r="L26" i="6" a="1"/>
  <c r="B7" i="5" a="1"/>
  <c r="G221" i="4" a="1"/>
  <c r="B13" i="6" a="1"/>
  <c r="G232" i="8" a="1"/>
  <c r="K28" i="6" a="1"/>
  <c r="G235" i="8" a="1"/>
  <c r="I31" i="4" a="1"/>
  <c r="I33" i="8" a="1"/>
  <c r="L30" i="6" a="1"/>
  <c r="I24" i="8" a="1"/>
  <c r="G225" i="5" a="1"/>
  <c r="G231" i="4" a="1"/>
  <c r="H24" i="5" a="1"/>
  <c r="G231" i="8" a="1"/>
  <c r="G234" i="4" a="1"/>
  <c r="K25" i="8" a="1"/>
  <c r="H36" i="6" a="1"/>
  <c r="J33" i="4" a="1"/>
  <c r="H25" i="6" a="1"/>
  <c r="G219" i="4" a="1"/>
  <c r="G226" i="4" a="1"/>
  <c r="L26" i="4" a="1"/>
  <c r="H35" i="8" a="1"/>
  <c r="G219" i="6" a="1"/>
  <c r="K30" i="5" a="1"/>
  <c r="I35" i="5" a="1"/>
  <c r="L33" i="4" a="1"/>
  <c r="I34" i="4" a="1"/>
  <c r="G216" i="8" a="1"/>
  <c r="H27" i="4" a="1"/>
  <c r="G222" i="8" a="1"/>
  <c r="I30" i="5" a="1"/>
  <c r="I24" i="6" a="1"/>
  <c r="K33" i="8" a="1"/>
  <c r="K32" i="5" a="1"/>
  <c r="J27" i="6" a="1"/>
  <c r="J23" i="5" a="1"/>
  <c r="G220" i="4" a="1"/>
  <c r="H27" i="6" a="1"/>
  <c r="J28" i="6" a="1"/>
  <c r="H30" i="4" a="1"/>
  <c r="H30" i="8" a="1"/>
  <c r="G222" i="5" a="1"/>
  <c r="I33" i="4" a="1"/>
  <c r="L35" i="8" a="1"/>
  <c r="K34" i="4" a="1"/>
  <c r="L30" i="8" a="1"/>
  <c r="G231" i="5" a="1"/>
  <c r="G230" i="6" a="1"/>
  <c r="H30" i="5" a="1"/>
  <c r="I34" i="6" a="1"/>
  <c r="J31" i="5" a="1"/>
  <c r="H26" i="6" a="1"/>
  <c r="H29" i="5" a="1"/>
  <c r="I35" i="8" a="1"/>
  <c r="L25" i="8" a="1"/>
  <c r="H25" i="4" a="1"/>
  <c r="H25" i="8" a="1"/>
  <c r="J27" i="8" a="1"/>
  <c r="J28" i="4" a="1"/>
  <c r="L33" i="6" a="1"/>
  <c r="I28" i="8" a="1"/>
  <c r="G220" i="5" a="1"/>
  <c r="J32" i="6" a="1"/>
  <c r="L34" i="8" a="1"/>
  <c r="G216" i="5" a="1"/>
  <c r="G226" i="6" a="1"/>
  <c r="J31" i="8" a="1"/>
  <c r="J33" i="6" a="1"/>
  <c r="G234" i="6" a="1"/>
  <c r="L32" i="6" a="1"/>
  <c r="K28" i="5" a="1"/>
  <c r="H34" i="5" a="1"/>
  <c r="H26" i="4" a="1"/>
  <c r="J30" i="6" a="1"/>
  <c r="J25" i="8" a="1"/>
  <c r="K35" i="4" a="1"/>
  <c r="G228" i="8" a="1"/>
  <c r="G233" i="6" a="1"/>
  <c r="K32" i="6" a="1"/>
  <c r="K23" i="8" a="1"/>
  <c r="I25" i="6" a="1"/>
  <c r="G225" i="8" a="1"/>
  <c r="H26" i="8" a="1"/>
  <c r="I29" i="4" a="1"/>
  <c r="K25" i="5" a="1"/>
  <c r="H26" i="5" a="1"/>
  <c r="G228" i="4" a="1"/>
  <c r="L24" i="8" a="1"/>
  <c r="K26" i="5" a="1"/>
  <c r="J26" i="4" a="1"/>
  <c r="H34" i="6" a="1"/>
  <c r="K30" i="4" a="1"/>
  <c r="H28" i="5" a="1"/>
  <c r="J35" i="8" a="1"/>
  <c r="H25" i="5" a="1"/>
  <c r="C7" i="4" a="1"/>
  <c r="G231" i="6" a="1"/>
  <c r="H6" i="4" a="1"/>
  <c r="K36" i="6" a="1"/>
  <c r="I30" i="4" a="1"/>
  <c r="L31" i="4" a="1"/>
  <c r="G229" i="5" a="1"/>
  <c r="G218" i="8" a="1"/>
  <c r="G6" i="4" a="1"/>
  <c r="I27" i="6" a="1"/>
  <c r="G229" i="4" a="1"/>
  <c r="K31" i="6" a="1"/>
  <c r="H31" i="4" a="1"/>
  <c r="L31" i="8" a="1"/>
  <c r="H33" i="8" a="1"/>
  <c r="J32" i="8" a="1"/>
  <c r="G218" i="5" a="1"/>
  <c r="H6" i="5" a="1"/>
  <c r="J35" i="5" a="1"/>
  <c r="H27" i="5" a="1"/>
  <c r="H34" i="4" a="1"/>
  <c r="J22" i="8" l="1"/>
  <c r="K22" i="8"/>
  <c r="H6" i="8"/>
  <c r="G6" i="8" s="1"/>
  <c r="L22" i="8"/>
  <c r="H22" i="8"/>
  <c r="I22" i="8"/>
  <c r="C7" i="4"/>
  <c r="H6" i="4"/>
  <c r="G6" i="4"/>
  <c r="B7" i="6"/>
  <c r="G6" i="6"/>
  <c r="H6" i="6"/>
  <c r="B7" i="5"/>
  <c r="H6" i="5"/>
  <c r="G6" i="5"/>
  <c r="B7" i="4"/>
  <c r="C19" i="5"/>
  <c r="C19" i="4"/>
  <c r="B13" i="6"/>
  <c r="I29" i="6"/>
  <c r="J29" i="6"/>
  <c r="I34" i="6"/>
  <c r="K30" i="6"/>
  <c r="L34" i="6"/>
  <c r="J31" i="6"/>
  <c r="K27" i="6"/>
  <c r="L27" i="6"/>
  <c r="I36" i="6"/>
  <c r="J24" i="6"/>
  <c r="J28" i="6"/>
  <c r="J32" i="6"/>
  <c r="J36" i="6"/>
  <c r="I33" i="6"/>
  <c r="J25" i="6"/>
  <c r="K29" i="6"/>
  <c r="L25" i="6"/>
  <c r="I26" i="6"/>
  <c r="J30" i="6"/>
  <c r="I27" i="6"/>
  <c r="K35" i="6"/>
  <c r="L35" i="6"/>
  <c r="I32" i="6"/>
  <c r="K33" i="6"/>
  <c r="L33" i="6"/>
  <c r="J34" i="6"/>
  <c r="K34" i="6"/>
  <c r="L26" i="6"/>
  <c r="I35" i="6"/>
  <c r="J27" i="6"/>
  <c r="L31" i="6"/>
  <c r="I28" i="6"/>
  <c r="K24" i="6"/>
  <c r="K28" i="6"/>
  <c r="K36" i="6"/>
  <c r="L24" i="6"/>
  <c r="L28" i="6"/>
  <c r="L32" i="6"/>
  <c r="L36" i="6"/>
  <c r="I25" i="6"/>
  <c r="J33" i="6"/>
  <c r="K25" i="6"/>
  <c r="L29" i="6"/>
  <c r="I30" i="6"/>
  <c r="J26" i="6"/>
  <c r="K26" i="6"/>
  <c r="L30" i="6"/>
  <c r="I31" i="6"/>
  <c r="J35" i="6"/>
  <c r="K31" i="6"/>
  <c r="I24" i="6"/>
  <c r="K32" i="6"/>
  <c r="H29" i="6"/>
  <c r="H30" i="6"/>
  <c r="H31" i="6"/>
  <c r="H34" i="6"/>
  <c r="H32" i="6"/>
  <c r="H25" i="6"/>
  <c r="H27" i="6"/>
  <c r="H35" i="6"/>
  <c r="H36" i="6"/>
  <c r="H26" i="6"/>
  <c r="H28" i="6"/>
  <c r="H33" i="6"/>
  <c r="H24" i="6"/>
  <c r="K33" i="5"/>
  <c r="H31" i="5"/>
  <c r="I31" i="5"/>
  <c r="J23" i="5"/>
  <c r="K23" i="5"/>
  <c r="K31" i="5"/>
  <c r="I34" i="5"/>
  <c r="J25" i="5"/>
  <c r="J33" i="5"/>
  <c r="I28" i="5"/>
  <c r="H23" i="5"/>
  <c r="L28" i="5"/>
  <c r="J34" i="5"/>
  <c r="I29" i="5"/>
  <c r="J29" i="5"/>
  <c r="I32" i="5"/>
  <c r="J24" i="5"/>
  <c r="H35" i="5"/>
  <c r="K24" i="5"/>
  <c r="J27" i="5"/>
  <c r="I30" i="5"/>
  <c r="I23" i="5"/>
  <c r="H34" i="5"/>
  <c r="I26" i="5"/>
  <c r="H29" i="5"/>
  <c r="K26" i="5"/>
  <c r="L34" i="5"/>
  <c r="H27" i="5"/>
  <c r="I27" i="5"/>
  <c r="I35" i="5"/>
  <c r="H30" i="5"/>
  <c r="H25" i="5"/>
  <c r="L27" i="5"/>
  <c r="J30" i="5"/>
  <c r="H33" i="5"/>
  <c r="L35" i="5"/>
  <c r="H28" i="5"/>
  <c r="L25" i="5"/>
  <c r="H26" i="5"/>
  <c r="L31" i="5"/>
  <c r="L29" i="5"/>
  <c r="K35" i="5"/>
  <c r="K25" i="5"/>
  <c r="J31" i="5"/>
  <c r="J26" i="5"/>
  <c r="L26" i="5"/>
  <c r="I24" i="5"/>
  <c r="J32" i="5"/>
  <c r="L32" i="5"/>
  <c r="K27" i="5"/>
  <c r="I25" i="5"/>
  <c r="K30" i="5"/>
  <c r="I33" i="5"/>
  <c r="L30" i="5"/>
  <c r="J28" i="5"/>
  <c r="L33" i="5"/>
  <c r="K28" i="5"/>
  <c r="L23" i="5"/>
  <c r="K34" i="5"/>
  <c r="H24" i="5"/>
  <c r="H32" i="5"/>
  <c r="K29" i="5"/>
  <c r="K32" i="5"/>
  <c r="L24" i="5"/>
  <c r="J35" i="5"/>
  <c r="B12" i="5"/>
  <c r="H31" i="8"/>
  <c r="K23" i="8"/>
  <c r="I26" i="8"/>
  <c r="K31" i="8"/>
  <c r="I34" i="8"/>
  <c r="J28" i="8"/>
  <c r="L23" i="8"/>
  <c r="J26" i="8"/>
  <c r="H29" i="8"/>
  <c r="L31" i="8"/>
  <c r="I29" i="8"/>
  <c r="J29" i="8"/>
  <c r="K24" i="8"/>
  <c r="I27" i="8"/>
  <c r="K32" i="8"/>
  <c r="I35" i="8"/>
  <c r="J25" i="8"/>
  <c r="K28" i="8"/>
  <c r="K29" i="8"/>
  <c r="H28" i="8"/>
  <c r="L25" i="8"/>
  <c r="J23" i="8"/>
  <c r="H26" i="8"/>
  <c r="J31" i="8"/>
  <c r="K34" i="8"/>
  <c r="H24" i="8"/>
  <c r="L24" i="8"/>
  <c r="K27" i="8"/>
  <c r="I30" i="8"/>
  <c r="K35" i="8"/>
  <c r="L30" i="8"/>
  <c r="L28" i="8"/>
  <c r="J34" i="8"/>
  <c r="K26" i="8"/>
  <c r="H32" i="8"/>
  <c r="I24" i="8"/>
  <c r="H27" i="8"/>
  <c r="L32" i="8"/>
  <c r="K25" i="8"/>
  <c r="K33" i="8"/>
  <c r="H23" i="8"/>
  <c r="I31" i="8"/>
  <c r="H34" i="8"/>
  <c r="I32" i="8"/>
  <c r="H30" i="8"/>
  <c r="H25" i="8"/>
  <c r="L27" i="8"/>
  <c r="J30" i="8"/>
  <c r="H33" i="8"/>
  <c r="L35" i="8"/>
  <c r="J33" i="8"/>
  <c r="I28" i="8"/>
  <c r="L33" i="8"/>
  <c r="L34" i="8"/>
  <c r="J35" i="8"/>
  <c r="I23" i="8"/>
  <c r="L26" i="8"/>
  <c r="J24" i="8"/>
  <c r="L29" i="8"/>
  <c r="J32" i="8"/>
  <c r="H35" i="8"/>
  <c r="I25" i="8"/>
  <c r="K30" i="8"/>
  <c r="I33" i="8"/>
  <c r="J27" i="8"/>
  <c r="B12" i="8"/>
  <c r="I24" i="4"/>
  <c r="I28" i="4"/>
  <c r="I32" i="4"/>
  <c r="J32" i="4"/>
  <c r="K32" i="4"/>
  <c r="K24" i="4"/>
  <c r="L24" i="4"/>
  <c r="L28" i="4"/>
  <c r="J25" i="4"/>
  <c r="J29" i="4"/>
  <c r="J33" i="4"/>
  <c r="K28" i="4"/>
  <c r="L32" i="4"/>
  <c r="J24" i="4"/>
  <c r="J28" i="4"/>
  <c r="I25" i="4"/>
  <c r="J30" i="4"/>
  <c r="K26" i="4"/>
  <c r="K30" i="4"/>
  <c r="K34" i="4"/>
  <c r="L29" i="4"/>
  <c r="I33" i="4"/>
  <c r="K25" i="4"/>
  <c r="L30" i="4"/>
  <c r="I23" i="4"/>
  <c r="I31" i="4"/>
  <c r="J23" i="4"/>
  <c r="J27" i="4"/>
  <c r="J31" i="4"/>
  <c r="J35" i="4"/>
  <c r="I27" i="4"/>
  <c r="K29" i="4"/>
  <c r="I30" i="4"/>
  <c r="I34" i="4"/>
  <c r="J34" i="4"/>
  <c r="L34" i="4"/>
  <c r="I35" i="4"/>
  <c r="K23" i="4"/>
  <c r="K27" i="4"/>
  <c r="K31" i="4"/>
  <c r="K35" i="4"/>
  <c r="K33" i="4"/>
  <c r="L25" i="4"/>
  <c r="L33" i="4"/>
  <c r="J26" i="4"/>
  <c r="L23" i="4"/>
  <c r="L27" i="4"/>
  <c r="L31" i="4"/>
  <c r="L35" i="4"/>
  <c r="I29" i="4"/>
  <c r="I26" i="4"/>
  <c r="L26" i="4"/>
  <c r="H24" i="4"/>
  <c r="H25" i="4"/>
  <c r="H27" i="4"/>
  <c r="H32" i="4"/>
  <c r="H34" i="4"/>
  <c r="H26" i="4"/>
  <c r="H29" i="4"/>
  <c r="H30" i="4"/>
  <c r="H33" i="4"/>
  <c r="H35" i="4"/>
  <c r="H28" i="4"/>
  <c r="H31" i="4"/>
  <c r="H23" i="4"/>
  <c r="B12" i="4"/>
  <c r="G231" i="8"/>
  <c r="G218" i="8"/>
  <c r="G226" i="8"/>
  <c r="G234" i="8"/>
  <c r="G221" i="8"/>
  <c r="G229" i="8"/>
  <c r="G223" i="8"/>
  <c r="G216" i="8"/>
  <c r="G224" i="8"/>
  <c r="G232" i="8"/>
  <c r="G219" i="8"/>
  <c r="G227" i="8"/>
  <c r="G235" i="8"/>
  <c r="G222" i="8"/>
  <c r="G230" i="8"/>
  <c r="G217" i="8"/>
  <c r="G225" i="8"/>
  <c r="G233" i="8"/>
  <c r="G220" i="8"/>
  <c r="G228" i="8"/>
  <c r="G236" i="8"/>
  <c r="G227" i="6"/>
  <c r="G235" i="6"/>
  <c r="G230" i="6"/>
  <c r="G220" i="6"/>
  <c r="G224" i="6"/>
  <c r="G219" i="6"/>
  <c r="G217" i="6"/>
  <c r="G233" i="6"/>
  <c r="G222" i="6"/>
  <c r="G228" i="6"/>
  <c r="G236" i="6"/>
  <c r="G223" i="6"/>
  <c r="G231" i="6"/>
  <c r="G221" i="6"/>
  <c r="G229" i="6"/>
  <c r="G237" i="6"/>
  <c r="G232" i="6"/>
  <c r="G225" i="6"/>
  <c r="G218" i="6"/>
  <c r="G226" i="6"/>
  <c r="G234" i="6"/>
  <c r="G234" i="5"/>
  <c r="G216" i="5"/>
  <c r="G224" i="5"/>
  <c r="G232" i="5"/>
  <c r="G219" i="5"/>
  <c r="G227" i="5"/>
  <c r="G235" i="5"/>
  <c r="G217" i="5"/>
  <c r="G225" i="5"/>
  <c r="G233" i="5"/>
  <c r="G230" i="5"/>
  <c r="G223" i="5"/>
  <c r="G231" i="5"/>
  <c r="G218" i="5"/>
  <c r="G222" i="5"/>
  <c r="G220" i="5"/>
  <c r="G228" i="5"/>
  <c r="G236" i="5"/>
  <c r="G226" i="5"/>
  <c r="G221" i="5"/>
  <c r="G229" i="5"/>
  <c r="G225" i="4"/>
  <c r="G227" i="4"/>
  <c r="G234" i="4"/>
  <c r="G223" i="4"/>
  <c r="G217" i="4"/>
  <c r="G228" i="4"/>
  <c r="G231" i="4"/>
  <c r="G235" i="4"/>
  <c r="G232" i="4"/>
  <c r="G219" i="4"/>
  <c r="G222" i="4"/>
  <c r="G233" i="4"/>
  <c r="G220" i="4"/>
  <c r="G236" i="4"/>
  <c r="G221" i="4"/>
  <c r="G224" i="4"/>
  <c r="G226" i="4"/>
  <c r="G229" i="4"/>
  <c r="G230" i="4"/>
  <c r="G218" i="4"/>
  <c r="G216" i="4"/>
  <c r="D209" i="8" l="1" a="1"/>
  <c r="D209" i="8" s="1"/>
  <c r="D206" i="8" a="1"/>
  <c r="D206" i="8" s="1"/>
  <c r="D208" i="8" a="1"/>
  <c r="D208" i="8" s="1"/>
  <c r="D207" i="8" a="1"/>
  <c r="D207" i="8" s="1"/>
  <c r="B19" i="6"/>
  <c r="C13" i="6"/>
  <c r="B18" i="5"/>
  <c r="C12" i="5"/>
  <c r="B18" i="8"/>
  <c r="C12" i="8"/>
  <c r="B18" i="4"/>
  <c r="C12" i="4"/>
  <c r="F206" i="8" a="1"/>
  <c r="F206" i="8" s="1"/>
  <c r="F209" i="8" a="1"/>
  <c r="F209" i="8" s="1"/>
  <c r="F208" i="8" a="1"/>
  <c r="F208" i="8" s="1"/>
  <c r="F207" i="8" a="1"/>
  <c r="F207" i="8" s="1"/>
  <c r="E209" i="8" a="1"/>
  <c r="E209" i="8" s="1"/>
  <c r="E206" i="8" a="1"/>
  <c r="E206" i="8" s="1"/>
  <c r="E208" i="8" a="1"/>
  <c r="E208" i="8" s="1"/>
  <c r="E207" i="8" a="1"/>
  <c r="E207" i="8" s="1"/>
  <c r="B209" i="8" a="1"/>
  <c r="B209" i="8" s="1"/>
  <c r="B206" i="8" a="1"/>
  <c r="B206" i="8" s="1"/>
  <c r="B208" i="8" a="1"/>
  <c r="B208" i="8" s="1"/>
  <c r="B207" i="8" a="1"/>
  <c r="B207" i="8" s="1"/>
  <c r="C209" i="8" a="1"/>
  <c r="C209" i="8" s="1"/>
  <c r="C206" i="8" a="1"/>
  <c r="C206" i="8" s="1"/>
  <c r="C208" i="8" a="1"/>
  <c r="C208" i="8" s="1"/>
  <c r="C207" i="8" a="1"/>
  <c r="C207" i="8" s="1"/>
  <c r="C7" i="6"/>
  <c r="C6" i="6"/>
  <c r="C3" i="6"/>
  <c r="C2" i="6"/>
  <c r="C7" i="5"/>
  <c r="C6" i="5"/>
  <c r="C3" i="5"/>
  <c r="C2" i="5"/>
  <c r="C6" i="4"/>
  <c r="C3" i="4"/>
  <c r="C2" i="4"/>
  <c r="F230" i="8" a="1"/>
  <c r="D220" i="8" a="1"/>
  <c r="D225" i="8" a="1"/>
  <c r="D233" i="8" a="1"/>
  <c r="D231" i="8" a="1"/>
  <c r="F235" i="8" a="1"/>
  <c r="E220" i="8" a="1"/>
  <c r="B227" i="8" a="1"/>
  <c r="B223" i="8" a="1"/>
  <c r="B216" i="8" a="1"/>
  <c r="F234" i="8" a="1"/>
  <c r="F227" i="8" a="1"/>
  <c r="E217" i="8" a="1"/>
  <c r="F218" i="8" a="1"/>
  <c r="D222" i="8" a="1"/>
  <c r="E226" i="8" a="1"/>
  <c r="C236" i="8" a="1"/>
  <c r="D223" i="8" a="1"/>
  <c r="B224" i="8" a="1"/>
  <c r="F219" i="8" a="1"/>
  <c r="C225" i="8" a="1"/>
  <c r="B218" i="8" a="1"/>
  <c r="F229" i="8" a="1"/>
  <c r="C220" i="8" a="1"/>
  <c r="D236" i="8" a="1"/>
  <c r="D235" i="8" a="1"/>
  <c r="B225" i="8" a="1"/>
  <c r="D234" i="8" a="1"/>
  <c r="E216" i="8" a="1"/>
  <c r="B226" i="8" a="1"/>
  <c r="C235" i="8" a="1"/>
  <c r="D227" i="8" a="1"/>
  <c r="B229" i="8" a="1"/>
  <c r="F220" i="8" a="1"/>
  <c r="C223" i="8" a="1"/>
  <c r="F228" i="8" a="1"/>
  <c r="E233" i="8" a="1"/>
  <c r="E227" i="8" a="1"/>
  <c r="E230" i="8" a="1"/>
  <c r="E221" i="8" a="1"/>
  <c r="B231" i="8" a="1"/>
  <c r="C217" i="8" a="1"/>
  <c r="D232" i="8" a="1"/>
  <c r="C226" i="8" a="1"/>
  <c r="C229" i="8" a="1"/>
  <c r="B232" i="8" a="1"/>
  <c r="D230" i="8" a="1"/>
  <c r="E228" i="8" a="1"/>
  <c r="F236" i="8" a="1"/>
  <c r="D216" i="8" a="1"/>
  <c r="C222" i="8" a="1"/>
  <c r="C231" i="8" a="1"/>
  <c r="B220" i="8" a="1"/>
  <c r="E222" i="8" a="1"/>
  <c r="F231" i="8" a="1"/>
  <c r="B228" i="8" a="1"/>
  <c r="C234" i="8" a="1"/>
  <c r="E223" i="8" a="1"/>
  <c r="E218" i="8" a="1"/>
  <c r="F216" i="8" a="1"/>
  <c r="B236" i="8" a="1"/>
  <c r="D224" i="8" a="1"/>
  <c r="C216" i="8" a="1"/>
  <c r="C233" i="8" a="1"/>
  <c r="E232" i="8" a="1"/>
  <c r="E236" i="8" a="1"/>
  <c r="B235" i="8" a="1"/>
  <c r="B217" i="8" a="1"/>
  <c r="E219" i="8" a="1"/>
  <c r="B219" i="8" a="1"/>
  <c r="E234" i="8" a="1"/>
  <c r="D226" i="8" a="1"/>
  <c r="C219" i="8" a="1"/>
  <c r="F222" i="8" a="1"/>
  <c r="F221" i="8" a="1"/>
  <c r="C224" i="8" a="1"/>
  <c r="F225" i="8" a="1"/>
  <c r="D217" i="8" a="1"/>
  <c r="D228" i="8" a="1"/>
  <c r="C221" i="8" a="1"/>
  <c r="F224" i="8" a="1"/>
  <c r="F217" i="8" a="1"/>
  <c r="E225" i="8" a="1"/>
  <c r="C230" i="8" a="1"/>
  <c r="D219" i="8" a="1"/>
  <c r="F223" i="8" a="1"/>
  <c r="E224" i="8" a="1"/>
  <c r="F226" i="8" a="1"/>
  <c r="B230" i="8" a="1"/>
  <c r="F233" i="8" a="1"/>
  <c r="E235" i="8" a="1"/>
  <c r="B221" i="8" a="1"/>
  <c r="D218" i="8" a="1"/>
  <c r="B233" i="8" a="1"/>
  <c r="C228" i="8" a="1"/>
  <c r="E229" i="8" a="1"/>
  <c r="B222" i="8" a="1"/>
  <c r="C232" i="8" a="1"/>
  <c r="D229" i="8" a="1"/>
  <c r="C218" i="8" a="1"/>
  <c r="E231" i="8" a="1"/>
  <c r="B234" i="8" a="1"/>
  <c r="F232" i="8" a="1"/>
  <c r="D221" i="8" a="1"/>
  <c r="C227" i="8" a="1"/>
  <c r="D226" i="8" l="1"/>
  <c r="D220" i="8"/>
  <c r="D224" i="8"/>
  <c r="D228" i="8"/>
  <c r="D232" i="8"/>
  <c r="D230" i="8"/>
  <c r="D234" i="8"/>
  <c r="D221" i="8"/>
  <c r="D235" i="8"/>
  <c r="D216" i="8"/>
  <c r="D219" i="8"/>
  <c r="D236" i="8"/>
  <c r="D227" i="8"/>
  <c r="D223" i="8"/>
  <c r="D231" i="8"/>
  <c r="D229" i="8"/>
  <c r="D217" i="8"/>
  <c r="D233" i="8"/>
  <c r="D222" i="8"/>
  <c r="D225" i="8"/>
  <c r="D218" i="8"/>
  <c r="D18" i="6"/>
  <c r="E18" i="6" s="1"/>
  <c r="D17" i="6"/>
  <c r="F234" i="8"/>
  <c r="F218" i="8"/>
  <c r="F236" i="8"/>
  <c r="F232" i="8"/>
  <c r="F228" i="8"/>
  <c r="F224" i="8"/>
  <c r="F220" i="8"/>
  <c r="F216" i="8"/>
  <c r="F226" i="8"/>
  <c r="F235" i="8"/>
  <c r="F227" i="8"/>
  <c r="F219" i="8"/>
  <c r="F231" i="8"/>
  <c r="F223" i="8"/>
  <c r="F222" i="8"/>
  <c r="F230" i="8"/>
  <c r="F233" i="8"/>
  <c r="F229" i="8"/>
  <c r="F225" i="8"/>
  <c r="F221" i="8"/>
  <c r="F217" i="8"/>
  <c r="E234" i="8"/>
  <c r="E226" i="8"/>
  <c r="E222" i="8"/>
  <c r="E217" i="8"/>
  <c r="E231" i="8"/>
  <c r="E219" i="8"/>
  <c r="E218" i="8"/>
  <c r="E236" i="8"/>
  <c r="E232" i="8"/>
  <c r="E228" i="8"/>
  <c r="E224" i="8"/>
  <c r="E220" i="8"/>
  <c r="E216" i="8"/>
  <c r="E235" i="8"/>
  <c r="E223" i="8"/>
  <c r="E227" i="8"/>
  <c r="E230" i="8"/>
  <c r="E229" i="8"/>
  <c r="E225" i="8"/>
  <c r="E221" i="8"/>
  <c r="E233" i="8"/>
  <c r="C229" i="8"/>
  <c r="C217" i="8"/>
  <c r="C221" i="8"/>
  <c r="C236" i="8"/>
  <c r="C231" i="8"/>
  <c r="C227" i="8"/>
  <c r="C223" i="8"/>
  <c r="C219" i="8"/>
  <c r="C232" i="8"/>
  <c r="C224" i="8"/>
  <c r="C220" i="8"/>
  <c r="C216" i="8"/>
  <c r="C228" i="8"/>
  <c r="C225" i="8"/>
  <c r="C235" i="8"/>
  <c r="C233" i="8"/>
  <c r="C234" i="8"/>
  <c r="C230" i="8"/>
  <c r="C226" i="8"/>
  <c r="C222" i="8"/>
  <c r="C218" i="8"/>
  <c r="B235" i="8"/>
  <c r="B217" i="8"/>
  <c r="B222" i="8"/>
  <c r="B236" i="8"/>
  <c r="B220" i="8"/>
  <c r="B219" i="8"/>
  <c r="B233" i="8"/>
  <c r="B230" i="8"/>
  <c r="B229" i="8"/>
  <c r="B223" i="8"/>
  <c r="B221" i="8"/>
  <c r="B232" i="8"/>
  <c r="B231" i="8"/>
  <c r="B234" i="8"/>
  <c r="B218" i="8"/>
  <c r="B224" i="8"/>
  <c r="B228" i="8"/>
  <c r="B227" i="8"/>
  <c r="B226" i="8"/>
  <c r="B225" i="8"/>
  <c r="B216" i="8"/>
  <c r="E210" i="6" a="1"/>
  <c r="E210" i="6" s="1"/>
  <c r="E207" i="6" a="1"/>
  <c r="E207" i="6" s="1"/>
  <c r="E209" i="6" a="1"/>
  <c r="E209" i="6" s="1"/>
  <c r="E208" i="6" a="1"/>
  <c r="E208" i="6" s="1"/>
  <c r="F209" i="6" a="1"/>
  <c r="F209" i="6" s="1"/>
  <c r="F210" i="6" a="1"/>
  <c r="F210" i="6" s="1"/>
  <c r="F207" i="6" a="1"/>
  <c r="F207" i="6" s="1"/>
  <c r="F208" i="6" a="1"/>
  <c r="F208" i="6" s="1"/>
  <c r="D16" i="5"/>
  <c r="D17" i="5"/>
  <c r="E17" i="5" s="1"/>
  <c r="F209" i="5" a="1"/>
  <c r="F209" i="5" s="1"/>
  <c r="F206" i="5" a="1"/>
  <c r="F206" i="5" s="1"/>
  <c r="F207" i="5" a="1"/>
  <c r="F207" i="5" s="1"/>
  <c r="F208" i="5" a="1"/>
  <c r="F208" i="5" s="1"/>
  <c r="D17" i="8"/>
  <c r="E17" i="8" s="1"/>
  <c r="D16" i="8"/>
  <c r="D17" i="4"/>
  <c r="E17" i="4" s="1"/>
  <c r="D16" i="4"/>
  <c r="F233" i="6" a="1"/>
  <c r="F221" i="6" a="1"/>
  <c r="E228" i="6" a="1"/>
  <c r="F225" i="6" a="1"/>
  <c r="E217" i="6" a="1"/>
  <c r="F235" i="6" a="1"/>
  <c r="E231" i="6" a="1"/>
  <c r="F223" i="5" a="1"/>
  <c r="F232" i="5" a="1"/>
  <c r="F229" i="5" a="1"/>
  <c r="E223" i="6" a="1"/>
  <c r="F232" i="6" a="1"/>
  <c r="E227" i="6" a="1"/>
  <c r="E234" i="6" a="1"/>
  <c r="F231" i="6" a="1"/>
  <c r="F234" i="6" a="1"/>
  <c r="F220" i="5" a="1"/>
  <c r="F236" i="5" a="1"/>
  <c r="F236" i="6" a="1"/>
  <c r="F222" i="5" a="1"/>
  <c r="F217" i="6" a="1"/>
  <c r="F225" i="5" a="1"/>
  <c r="F227" i="6" a="1"/>
  <c r="F230" i="6" a="1"/>
  <c r="F237" i="6" a="1"/>
  <c r="E226" i="6" a="1"/>
  <c r="E220" i="6" a="1"/>
  <c r="F219" i="5" a="1"/>
  <c r="E230" i="6" a="1"/>
  <c r="F228" i="5" a="1"/>
  <c r="F233" i="5" a="1"/>
  <c r="E225" i="6" a="1"/>
  <c r="E20" i="6" a="1"/>
  <c r="F219" i="6" a="1"/>
  <c r="F220" i="6" a="1"/>
  <c r="F230" i="5" a="1"/>
  <c r="F234" i="5" a="1"/>
  <c r="F221" i="5" a="1"/>
  <c r="F229" i="6" a="1"/>
  <c r="E235" i="6" a="1"/>
  <c r="F224" i="5" a="1"/>
  <c r="F235" i="5" a="1"/>
  <c r="F231" i="5" a="1"/>
  <c r="E233" i="6" a="1"/>
  <c r="F226" i="5" a="1"/>
  <c r="E218" i="6" a="1"/>
  <c r="E229" i="6" a="1"/>
  <c r="E221" i="6" a="1"/>
  <c r="E219" i="6" a="1"/>
  <c r="F223" i="6" a="1"/>
  <c r="E222" i="6" a="1"/>
  <c r="F222" i="6" a="1"/>
  <c r="F228" i="6" a="1"/>
  <c r="F218" i="6" a="1"/>
  <c r="E19" i="4" a="1"/>
  <c r="E232" i="6" a="1"/>
  <c r="E224" i="6" a="1"/>
  <c r="E19" i="5" a="1"/>
  <c r="F216" i="5" a="1"/>
  <c r="E19" i="8" a="1"/>
  <c r="F217" i="5" a="1"/>
  <c r="F218" i="5" a="1"/>
  <c r="F226" i="6" a="1"/>
  <c r="E236" i="6" a="1"/>
  <c r="E237" i="6" a="1"/>
  <c r="F227" i="5" a="1"/>
  <c r="F224" i="6" a="1"/>
  <c r="E19" i="5" l="1"/>
  <c r="E16" i="5"/>
  <c r="E19" i="8"/>
  <c r="E16" i="8"/>
  <c r="E19" i="4"/>
  <c r="E16" i="4"/>
  <c r="E20" i="6"/>
  <c r="E17" i="6"/>
  <c r="F223" i="5"/>
  <c r="F230" i="5"/>
  <c r="F225" i="5"/>
  <c r="F236" i="5"/>
  <c r="F232" i="5"/>
  <c r="F228" i="5"/>
  <c r="F224" i="5"/>
  <c r="F220" i="5"/>
  <c r="F216" i="5"/>
  <c r="F227" i="5"/>
  <c r="F226" i="5"/>
  <c r="F221" i="5"/>
  <c r="F235" i="5"/>
  <c r="F222" i="5"/>
  <c r="F218" i="5"/>
  <c r="F231" i="5"/>
  <c r="F219" i="5"/>
  <c r="F234" i="5"/>
  <c r="F233" i="5"/>
  <c r="F217" i="5"/>
  <c r="F229" i="5"/>
  <c r="F229" i="6"/>
  <c r="F232" i="6"/>
  <c r="F219" i="6"/>
  <c r="F218" i="6"/>
  <c r="F237" i="6"/>
  <c r="F233" i="6"/>
  <c r="F225" i="6"/>
  <c r="F221" i="6"/>
  <c r="F217" i="6"/>
  <c r="F224" i="6"/>
  <c r="F220" i="6"/>
  <c r="F222" i="6"/>
  <c r="F236" i="6"/>
  <c r="F231" i="6"/>
  <c r="F230" i="6"/>
  <c r="F227" i="6"/>
  <c r="F228" i="6"/>
  <c r="F223" i="6"/>
  <c r="F226" i="6"/>
  <c r="F235" i="6"/>
  <c r="F234" i="6"/>
  <c r="E232" i="6"/>
  <c r="E219" i="6"/>
  <c r="E225" i="6"/>
  <c r="E221" i="6"/>
  <c r="E236" i="6"/>
  <c r="E222" i="6"/>
  <c r="E233" i="6"/>
  <c r="E228" i="6"/>
  <c r="E235" i="6"/>
  <c r="E230" i="6"/>
  <c r="E237" i="6"/>
  <c r="E229" i="6"/>
  <c r="E217" i="6"/>
  <c r="E223" i="6"/>
  <c r="E218" i="6"/>
  <c r="E224" i="6"/>
  <c r="E231" i="6"/>
  <c r="E226" i="6"/>
  <c r="E220" i="6"/>
  <c r="E227" i="6"/>
  <c r="E234" i="6"/>
  <c r="D210" i="6" a="1"/>
  <c r="D210" i="6" s="1"/>
  <c r="D207" i="6" a="1"/>
  <c r="D207" i="6" s="1"/>
  <c r="D208" i="6" a="1"/>
  <c r="D208" i="6" s="1"/>
  <c r="D209" i="6" a="1"/>
  <c r="D209" i="6" s="1"/>
  <c r="B208" i="6" a="1"/>
  <c r="B208" i="6" s="1"/>
  <c r="B207" i="6" a="1"/>
  <c r="B207" i="6" s="1"/>
  <c r="B209" i="6" a="1"/>
  <c r="B209" i="6" s="1"/>
  <c r="B210" i="6" a="1"/>
  <c r="B210" i="6" s="1"/>
  <c r="C210" i="6" a="1"/>
  <c r="C210" i="6" s="1"/>
  <c r="C209" i="6" a="1"/>
  <c r="C209" i="6" s="1"/>
  <c r="C208" i="6" a="1"/>
  <c r="C208" i="6" s="1"/>
  <c r="C207" i="6" a="1"/>
  <c r="C207" i="6" s="1"/>
  <c r="D209" i="5" a="1"/>
  <c r="D209" i="5" s="1"/>
  <c r="D208" i="5" a="1"/>
  <c r="D208" i="5" s="1"/>
  <c r="D207" i="5" a="1"/>
  <c r="D207" i="5" s="1"/>
  <c r="D206" i="5" a="1"/>
  <c r="D206" i="5" s="1"/>
  <c r="B206" i="5" a="1"/>
  <c r="B206" i="5" s="1"/>
  <c r="B209" i="5" a="1"/>
  <c r="B209" i="5" s="1"/>
  <c r="B208" i="5" a="1"/>
  <c r="B208" i="5" s="1"/>
  <c r="B207" i="5" a="1"/>
  <c r="B207" i="5" s="1"/>
  <c r="C209" i="5" a="1"/>
  <c r="C209" i="5" s="1"/>
  <c r="C207" i="5" a="1"/>
  <c r="C207" i="5" s="1"/>
  <c r="C206" i="5" a="1"/>
  <c r="C206" i="5" s="1"/>
  <c r="C208" i="5" a="1"/>
  <c r="C208" i="5" s="1"/>
  <c r="E207" i="5" a="1"/>
  <c r="E207" i="5" s="1"/>
  <c r="E208" i="5" a="1"/>
  <c r="E208" i="5" s="1"/>
  <c r="E206" i="5" a="1"/>
  <c r="E206" i="5" s="1"/>
  <c r="E209" i="5" a="1"/>
  <c r="E209" i="5" s="1"/>
  <c r="D207" i="4" a="1"/>
  <c r="D207" i="4" s="1"/>
  <c r="D206" i="4" a="1"/>
  <c r="D206" i="4" s="1"/>
  <c r="D209" i="4" a="1"/>
  <c r="D209" i="4" s="1"/>
  <c r="D208" i="4" a="1"/>
  <c r="D208" i="4" s="1"/>
  <c r="B209" i="4" a="1"/>
  <c r="B209" i="4" s="1"/>
  <c r="B208" i="4" a="1"/>
  <c r="B208" i="4" s="1"/>
  <c r="B207" i="4" a="1"/>
  <c r="B207" i="4" s="1"/>
  <c r="B206" i="4" a="1"/>
  <c r="B206" i="4" s="1"/>
  <c r="F206" i="4" a="1"/>
  <c r="F206" i="4" s="1"/>
  <c r="F209" i="4" a="1"/>
  <c r="F209" i="4" s="1"/>
  <c r="F208" i="4" a="1"/>
  <c r="F208" i="4" s="1"/>
  <c r="F207" i="4" a="1"/>
  <c r="F207" i="4" s="1"/>
  <c r="C207" i="4" a="1"/>
  <c r="C207" i="4" s="1"/>
  <c r="C206" i="4" a="1"/>
  <c r="C206" i="4" s="1"/>
  <c r="C209" i="4" a="1"/>
  <c r="C209" i="4" s="1"/>
  <c r="C208" i="4" a="1"/>
  <c r="C208" i="4" s="1"/>
  <c r="E207" i="4" a="1"/>
  <c r="E207" i="4" s="1"/>
  <c r="E206" i="4" a="1"/>
  <c r="E206" i="4" s="1"/>
  <c r="E209" i="4" a="1"/>
  <c r="E209" i="4" s="1"/>
  <c r="E208" i="4" a="1"/>
  <c r="E208" i="4" s="1"/>
  <c r="D234" i="4" a="1"/>
  <c r="B216" i="4" a="1"/>
  <c r="C222" i="4" a="1"/>
  <c r="B224" i="6" a="1"/>
  <c r="D219" i="4" a="1"/>
  <c r="E235" i="5" a="1"/>
  <c r="D220" i="5" a="1"/>
  <c r="B224" i="5" a="1"/>
  <c r="M35" i="8" a="1"/>
  <c r="M25" i="6" a="1"/>
  <c r="B219" i="4" a="1"/>
  <c r="B230" i="5" a="1"/>
  <c r="B230" i="4" a="1"/>
  <c r="E220" i="5" a="1"/>
  <c r="M29" i="8" a="1"/>
  <c r="F223" i="4" a="1"/>
  <c r="C236" i="4" a="1"/>
  <c r="E219" i="5" a="1"/>
  <c r="M27" i="8" a="1"/>
  <c r="F236" i="4" a="1"/>
  <c r="M26" i="8" a="1"/>
  <c r="E223" i="5" a="1"/>
  <c r="M23" i="8" a="1"/>
  <c r="D218" i="6" a="1"/>
  <c r="D234" i="6" a="1"/>
  <c r="C223" i="6" a="1"/>
  <c r="B232" i="4" a="1"/>
  <c r="E236" i="5" a="1"/>
  <c r="B225" i="5" a="1"/>
  <c r="C217" i="6" a="1"/>
  <c r="D217" i="4" a="1"/>
  <c r="B227" i="4" a="1"/>
  <c r="C229" i="6" a="1"/>
  <c r="B218" i="4" a="1"/>
  <c r="E228" i="5" a="1"/>
  <c r="C227" i="5" a="1"/>
  <c r="B232" i="5" a="1"/>
  <c r="M26" i="4" a="1"/>
  <c r="D231" i="4" a="1"/>
  <c r="B217" i="6" a="1"/>
  <c r="M29" i="5" a="1"/>
  <c r="C222" i="6" a="1"/>
  <c r="F232" i="4" a="1"/>
  <c r="D234" i="5" a="1"/>
  <c r="D218" i="4" a="1"/>
  <c r="C236" i="6" a="1"/>
  <c r="M35" i="4" a="1"/>
  <c r="E234" i="4" a="1"/>
  <c r="D225" i="4" a="1"/>
  <c r="M25" i="5" a="1"/>
  <c r="B226" i="6" a="1"/>
  <c r="C218" i="4" a="1"/>
  <c r="B221" i="4" a="1"/>
  <c r="F220" i="4" a="1"/>
  <c r="B217" i="4" a="1"/>
  <c r="E229" i="5" a="1"/>
  <c r="D226" i="5" a="1"/>
  <c r="B235" i="5" a="1"/>
  <c r="M30" i="8" a="1"/>
  <c r="M24" i="6" a="1"/>
  <c r="E231" i="5" a="1"/>
  <c r="D232" i="5" a="1"/>
  <c r="M31" i="8" a="1"/>
  <c r="M26" i="6" a="1"/>
  <c r="M33" i="6" a="1"/>
  <c r="E231" i="4" a="1"/>
  <c r="C224" i="4" a="1"/>
  <c r="D222" i="5" a="1"/>
  <c r="C235" i="6" a="1"/>
  <c r="D218" i="5" a="1"/>
  <c r="F230" i="4" a="1"/>
  <c r="E222" i="4" a="1"/>
  <c r="M34" i="4" a="1"/>
  <c r="F217" i="4" a="1"/>
  <c r="E224" i="4" a="1"/>
  <c r="F226" i="4" a="1"/>
  <c r="C220" i="5" a="1"/>
  <c r="M24" i="4" a="1"/>
  <c r="E232" i="5" a="1"/>
  <c r="M32" i="4" a="1"/>
  <c r="B233" i="6" a="1"/>
  <c r="F216" i="4" a="1"/>
  <c r="C225" i="6" a="1"/>
  <c r="F231" i="4" a="1"/>
  <c r="C232" i="6" a="1"/>
  <c r="E229" i="4" a="1"/>
  <c r="E227" i="4" a="1"/>
  <c r="E222" i="5" a="1"/>
  <c r="D228" i="5" a="1"/>
  <c r="B216" i="5" a="1"/>
  <c r="M28" i="8" a="1"/>
  <c r="M31" i="6" a="1"/>
  <c r="B217" i="5" a="1"/>
  <c r="M29" i="6" a="1"/>
  <c r="B224" i="4" a="1"/>
  <c r="E218" i="5" a="1"/>
  <c r="C218" i="5" a="1"/>
  <c r="D235" i="6" a="1"/>
  <c r="B235" i="4" a="1"/>
  <c r="C223" i="4" a="1"/>
  <c r="D220" i="4" a="1"/>
  <c r="B226" i="4" a="1"/>
  <c r="C226" i="4" a="1"/>
  <c r="E230" i="5" a="1"/>
  <c r="C219" i="5" a="1"/>
  <c r="M30" i="4" a="1"/>
  <c r="C235" i="4" a="1"/>
  <c r="B229" i="6" a="1"/>
  <c r="D231" i="5" a="1"/>
  <c r="M23" i="5" a="1"/>
  <c r="C219" i="6" a="1"/>
  <c r="D227" i="5" a="1"/>
  <c r="D235" i="4" a="1"/>
  <c r="B229" i="4" a="1"/>
  <c r="F234" i="4" a="1"/>
  <c r="D230" i="4" a="1"/>
  <c r="F222" i="4" a="1"/>
  <c r="E234" i="5" a="1"/>
  <c r="D233" i="5" a="1"/>
  <c r="B222" i="5" a="1"/>
  <c r="M34" i="8" a="1"/>
  <c r="M32" i="6" a="1"/>
  <c r="C217" i="5" a="1"/>
  <c r="M28" i="4" a="1"/>
  <c r="D222" i="4" a="1"/>
  <c r="E225" i="4" a="1"/>
  <c r="B220" i="6" a="1"/>
  <c r="C222" i="5" a="1"/>
  <c r="D224" i="6" a="1"/>
  <c r="M25" i="4" a="1"/>
  <c r="E221" i="4" a="1"/>
  <c r="C236" i="5" a="1"/>
  <c r="D230" i="5" a="1"/>
  <c r="M29" i="4" a="1"/>
  <c r="B228" i="4" a="1"/>
  <c r="D236" i="5" a="1"/>
  <c r="F219" i="4" a="1"/>
  <c r="D226" i="4" a="1"/>
  <c r="C228" i="5" a="1"/>
  <c r="M34" i="6" a="1"/>
  <c r="B223" i="6" a="1"/>
  <c r="B221" i="6" a="1"/>
  <c r="C227" i="4" a="1"/>
  <c r="M36" i="6" a="1"/>
  <c r="C218" i="6" a="1"/>
  <c r="D228" i="4" a="1"/>
  <c r="E223" i="4" a="1"/>
  <c r="F229" i="4" a="1"/>
  <c r="B223" i="4" a="1"/>
  <c r="E217" i="5" a="1"/>
  <c r="D217" i="5" a="1"/>
  <c r="B219" i="5" a="1"/>
  <c r="M32" i="8" a="1"/>
  <c r="M35" i="6" a="1"/>
  <c r="C234" i="4" a="1"/>
  <c r="B228" i="6" a="1"/>
  <c r="B231" i="6" a="1"/>
  <c r="E235" i="4" a="1"/>
  <c r="B228" i="5" a="1"/>
  <c r="B222" i="4" a="1"/>
  <c r="C221" i="4" a="1"/>
  <c r="E226" i="5" a="1"/>
  <c r="B236" i="5" a="1"/>
  <c r="M24" i="8" a="1"/>
  <c r="D217" i="6" a="1"/>
  <c r="E216" i="5" a="1"/>
  <c r="D229" i="4" a="1"/>
  <c r="D224" i="4" a="1"/>
  <c r="E227" i="5" a="1"/>
  <c r="B221" i="5" a="1"/>
  <c r="C229" i="4" a="1"/>
  <c r="B218" i="6" a="1"/>
  <c r="C228" i="4" a="1"/>
  <c r="B225" i="4" a="1"/>
  <c r="C227" i="6" a="1"/>
  <c r="B236" i="6" a="1"/>
  <c r="C224" i="5" a="1"/>
  <c r="C226" i="5" a="1"/>
  <c r="C221" i="6" a="1"/>
  <c r="E228" i="4" a="1"/>
  <c r="D232" i="4" a="1"/>
  <c r="D227" i="4" a="1"/>
  <c r="C224" i="6" a="1"/>
  <c r="B223" i="5" a="1"/>
  <c r="D236" i="4" a="1"/>
  <c r="E224" i="5" a="1"/>
  <c r="M25" i="8" a="1"/>
  <c r="E220" i="4" a="1"/>
  <c r="C231" i="5" a="1"/>
  <c r="D237" i="6" a="1"/>
  <c r="C231" i="4" a="1"/>
  <c r="C230" i="5" a="1"/>
  <c r="C233" i="5" a="1"/>
  <c r="C230" i="6" a="1"/>
  <c r="D216" i="5" a="1"/>
  <c r="F228" i="4" a="1"/>
  <c r="M35" i="5" a="1"/>
  <c r="D233" i="6" a="1"/>
  <c r="M32" i="5" a="1"/>
  <c r="B220" i="4" a="1"/>
  <c r="D226" i="6" a="1"/>
  <c r="B226" i="5" a="1"/>
  <c r="B233" i="4" a="1"/>
  <c r="C225" i="4" a="1"/>
  <c r="F227" i="4" a="1"/>
  <c r="D223" i="6" a="1"/>
  <c r="D227" i="6" a="1"/>
  <c r="E225" i="5" a="1"/>
  <c r="D225" i="5" a="1"/>
  <c r="B231" i="5" a="1"/>
  <c r="M33" i="8" a="1"/>
  <c r="E216" i="4" a="1"/>
  <c r="C228" i="6" a="1"/>
  <c r="E226" i="4" a="1"/>
  <c r="B218" i="5" a="1"/>
  <c r="D221" i="6" a="1"/>
  <c r="F233" i="4" a="1"/>
  <c r="C225" i="5" a="1"/>
  <c r="D216" i="4" a="1"/>
  <c r="D228" i="6" a="1"/>
  <c r="B227" i="5" a="1"/>
  <c r="C237" i="6" a="1"/>
  <c r="C232" i="5" a="1"/>
  <c r="B219" i="6" a="1"/>
  <c r="M31" i="5" a="1"/>
  <c r="F221" i="4" a="1"/>
  <c r="M23" i="4" a="1"/>
  <c r="D233" i="4" a="1"/>
  <c r="D222" i="6" a="1"/>
  <c r="B233" i="5" a="1"/>
  <c r="C216" i="5" a="1"/>
  <c r="C220" i="6" a="1"/>
  <c r="M28" i="5" a="1"/>
  <c r="E217" i="4" a="1"/>
  <c r="C219" i="4" a="1"/>
  <c r="B237" i="6" a="1"/>
  <c r="M28" i="6" a="1"/>
  <c r="C231" i="6" a="1"/>
  <c r="C229" i="5" a="1"/>
  <c r="D219" i="5" a="1"/>
  <c r="C223" i="5" a="1"/>
  <c r="M30" i="5" a="1"/>
  <c r="M27" i="6" a="1"/>
  <c r="C216" i="4" a="1"/>
  <c r="E230" i="4" a="1"/>
  <c r="C217" i="4" a="1"/>
  <c r="E219" i="4" a="1"/>
  <c r="B229" i="5" a="1"/>
  <c r="B230" i="6" a="1"/>
  <c r="M33" i="5" a="1"/>
  <c r="F235" i="4" a="1"/>
  <c r="E233" i="4" a="1"/>
  <c r="D229" i="5" a="1"/>
  <c r="D223" i="5" a="1"/>
  <c r="B234" i="5" a="1"/>
  <c r="M34" i="5" a="1"/>
  <c r="D229" i="6" a="1"/>
  <c r="C234" i="6" a="1"/>
  <c r="B220" i="5" a="1"/>
  <c r="M27" i="5" a="1"/>
  <c r="D232" i="6" a="1"/>
  <c r="F224" i="4" a="1"/>
  <c r="F218" i="4" a="1"/>
  <c r="M23" i="6" a="1"/>
  <c r="D219" i="6" a="1"/>
  <c r="B231" i="4" a="1"/>
  <c r="E221" i="5" a="1"/>
  <c r="C221" i="5" a="1"/>
  <c r="B236" i="4" a="1"/>
  <c r="D236" i="6" a="1"/>
  <c r="B234" i="4" a="1"/>
  <c r="C234" i="5" a="1"/>
  <c r="D223" i="4" a="1"/>
  <c r="C233" i="6" a="1"/>
  <c r="B225" i="6" a="1"/>
  <c r="M26" i="5" a="1"/>
  <c r="B232" i="6" a="1"/>
  <c r="B234" i="6" a="1"/>
  <c r="E233" i="5" a="1"/>
  <c r="E218" i="4" a="1"/>
  <c r="D220" i="6" a="1"/>
  <c r="C220" i="4" a="1"/>
  <c r="M27" i="4" a="1"/>
  <c r="C230" i="4" a="1"/>
  <c r="D230" i="6" a="1"/>
  <c r="D224" i="5" a="1"/>
  <c r="D221" i="4" a="1"/>
  <c r="F225" i="4" a="1"/>
  <c r="D231" i="6" a="1"/>
  <c r="B227" i="6" a="1"/>
  <c r="D225" i="6" a="1"/>
  <c r="D235" i="5" a="1"/>
  <c r="C235" i="5" a="1"/>
  <c r="M24" i="5" a="1"/>
  <c r="M31" i="4" a="1"/>
  <c r="C232" i="4" a="1"/>
  <c r="B222" i="6" a="1"/>
  <c r="M33" i="4" a="1"/>
  <c r="B235" i="6" a="1"/>
  <c r="E232" i="4" a="1"/>
  <c r="C233" i="4" a="1"/>
  <c r="C226" i="6" a="1"/>
  <c r="D221" i="5" a="1"/>
  <c r="M30" i="6" a="1"/>
  <c r="E236" i="4" a="1"/>
  <c r="M34" i="5" l="1"/>
  <c r="M25" i="5"/>
  <c r="M26" i="5"/>
  <c r="M30" i="5"/>
  <c r="M32" i="5"/>
  <c r="M35" i="5"/>
  <c r="M23" i="5"/>
  <c r="M27" i="5"/>
  <c r="M28" i="5"/>
  <c r="M24" i="5"/>
  <c r="M29" i="5"/>
  <c r="M31" i="5"/>
  <c r="M33" i="5"/>
  <c r="M23" i="8"/>
  <c r="M24" i="8"/>
  <c r="M25" i="8"/>
  <c r="M26" i="8"/>
  <c r="M27" i="8"/>
  <c r="M29" i="8"/>
  <c r="M33" i="8"/>
  <c r="M31" i="8"/>
  <c r="M32" i="8"/>
  <c r="M34" i="8"/>
  <c r="M28" i="8"/>
  <c r="M30" i="8"/>
  <c r="M35" i="8"/>
  <c r="M23" i="4"/>
  <c r="M35" i="4"/>
  <c r="M33" i="4"/>
  <c r="M31" i="4"/>
  <c r="M27" i="4"/>
  <c r="M29" i="4"/>
  <c r="M32" i="4"/>
  <c r="M25" i="4"/>
  <c r="M26" i="4"/>
  <c r="M30" i="4"/>
  <c r="M24" i="4"/>
  <c r="M34" i="4"/>
  <c r="M28" i="4"/>
  <c r="M29" i="6"/>
  <c r="M33" i="6"/>
  <c r="M26" i="6"/>
  <c r="M35" i="6"/>
  <c r="M32" i="6"/>
  <c r="M31" i="6"/>
  <c r="M24" i="6"/>
  <c r="M25" i="6"/>
  <c r="M36" i="6"/>
  <c r="M23" i="6"/>
  <c r="M34" i="6"/>
  <c r="M27" i="6"/>
  <c r="M30" i="6"/>
  <c r="M28" i="6"/>
  <c r="B231" i="4"/>
  <c r="B220" i="4"/>
  <c r="B230" i="4"/>
  <c r="B219" i="4"/>
  <c r="B229" i="4"/>
  <c r="B222" i="4"/>
  <c r="B234" i="4"/>
  <c r="B228" i="4"/>
  <c r="B221" i="4"/>
  <c r="B236" i="4"/>
  <c r="B218" i="4"/>
  <c r="B235" i="4"/>
  <c r="B225" i="4"/>
  <c r="B224" i="4"/>
  <c r="B223" i="4"/>
  <c r="B216" i="4"/>
  <c r="B226" i="4"/>
  <c r="B227" i="4"/>
  <c r="B233" i="4"/>
  <c r="B232" i="4"/>
  <c r="B217" i="4"/>
  <c r="C231" i="4"/>
  <c r="C234" i="4"/>
  <c r="C228" i="4"/>
  <c r="C223" i="4"/>
  <c r="C219" i="4"/>
  <c r="C236" i="4"/>
  <c r="C224" i="4"/>
  <c r="C225" i="4"/>
  <c r="C216" i="4"/>
  <c r="C217" i="4"/>
  <c r="C218" i="4"/>
  <c r="C230" i="4"/>
  <c r="C220" i="4"/>
  <c r="C222" i="4"/>
  <c r="C233" i="4"/>
  <c r="C226" i="4"/>
  <c r="C221" i="4"/>
  <c r="C232" i="4"/>
  <c r="C229" i="4"/>
  <c r="C235" i="4"/>
  <c r="C227" i="4"/>
  <c r="F229" i="4"/>
  <c r="F230" i="4"/>
  <c r="F227" i="4"/>
  <c r="F235" i="4"/>
  <c r="F217" i="4"/>
  <c r="F221" i="4"/>
  <c r="F218" i="4"/>
  <c r="F236" i="4"/>
  <c r="F234" i="4"/>
  <c r="F232" i="4"/>
  <c r="F231" i="4"/>
  <c r="F228" i="4"/>
  <c r="F219" i="4"/>
  <c r="F220" i="4"/>
  <c r="F216" i="4"/>
  <c r="F224" i="4"/>
  <c r="F226" i="4"/>
  <c r="F233" i="4"/>
  <c r="F225" i="4"/>
  <c r="F223" i="4"/>
  <c r="F222" i="4"/>
  <c r="D231" i="4"/>
  <c r="D224" i="4"/>
  <c r="D220" i="4"/>
  <c r="D217" i="4"/>
  <c r="D216" i="4"/>
  <c r="D219" i="4"/>
  <c r="D235" i="4"/>
  <c r="D229" i="4"/>
  <c r="D225" i="4"/>
  <c r="D221" i="4"/>
  <c r="D234" i="4"/>
  <c r="D230" i="4"/>
  <c r="D233" i="4"/>
  <c r="D227" i="4"/>
  <c r="D226" i="4"/>
  <c r="D222" i="4"/>
  <c r="D218" i="4"/>
  <c r="D236" i="4"/>
  <c r="D223" i="4"/>
  <c r="D232" i="4"/>
  <c r="D228" i="4"/>
  <c r="E230" i="4"/>
  <c r="E217" i="4"/>
  <c r="E222" i="4"/>
  <c r="E235" i="4"/>
  <c r="E221" i="4"/>
  <c r="E231" i="4"/>
  <c r="E227" i="4"/>
  <c r="E233" i="4"/>
  <c r="E234" i="4"/>
  <c r="E224" i="4"/>
  <c r="E228" i="4"/>
  <c r="E219" i="4"/>
  <c r="E236" i="4"/>
  <c r="E232" i="4"/>
  <c r="E225" i="4"/>
  <c r="E220" i="4"/>
  <c r="E218" i="4"/>
  <c r="E216" i="4"/>
  <c r="E229" i="4"/>
  <c r="E226" i="4"/>
  <c r="E223" i="4"/>
  <c r="E228" i="5"/>
  <c r="E217" i="5"/>
  <c r="E236" i="5"/>
  <c r="E224" i="5"/>
  <c r="E216" i="5"/>
  <c r="E235" i="5"/>
  <c r="E223" i="5"/>
  <c r="E219" i="5"/>
  <c r="E233" i="5"/>
  <c r="E232" i="5"/>
  <c r="E220" i="5"/>
  <c r="E231" i="5"/>
  <c r="E234" i="5"/>
  <c r="E230" i="5"/>
  <c r="E226" i="5"/>
  <c r="E222" i="5"/>
  <c r="E218" i="5"/>
  <c r="E221" i="5"/>
  <c r="E227" i="5"/>
  <c r="E229" i="5"/>
  <c r="E225" i="5"/>
  <c r="D235" i="5"/>
  <c r="D225" i="5"/>
  <c r="D221" i="5"/>
  <c r="D233" i="5"/>
  <c r="D231" i="5"/>
  <c r="D223" i="5"/>
  <c r="D219" i="5"/>
  <c r="D236" i="5"/>
  <c r="D232" i="5"/>
  <c r="D228" i="5"/>
  <c r="D224" i="5"/>
  <c r="D220" i="5"/>
  <c r="D216" i="5"/>
  <c r="D227" i="5"/>
  <c r="D229" i="5"/>
  <c r="D234" i="5"/>
  <c r="D230" i="5"/>
  <c r="D226" i="5"/>
  <c r="D222" i="5"/>
  <c r="D218" i="5"/>
  <c r="D217" i="5"/>
  <c r="C228" i="5"/>
  <c r="C223" i="5"/>
  <c r="C230" i="5"/>
  <c r="C229" i="5"/>
  <c r="C236" i="5"/>
  <c r="C227" i="5"/>
  <c r="C219" i="5"/>
  <c r="C218" i="5"/>
  <c r="C233" i="5"/>
  <c r="C217" i="5"/>
  <c r="C224" i="5"/>
  <c r="C220" i="5"/>
  <c r="C235" i="5"/>
  <c r="C222" i="5"/>
  <c r="C225" i="5"/>
  <c r="C232" i="5"/>
  <c r="C216" i="5"/>
  <c r="C231" i="5"/>
  <c r="C234" i="5"/>
  <c r="C226" i="5"/>
  <c r="C221" i="5"/>
  <c r="B224" i="5"/>
  <c r="B236" i="5"/>
  <c r="B220" i="5"/>
  <c r="B217" i="5"/>
  <c r="B222" i="5"/>
  <c r="B235" i="5"/>
  <c r="B219" i="5"/>
  <c r="B231" i="5"/>
  <c r="B230" i="5"/>
  <c r="B227" i="5"/>
  <c r="B225" i="5"/>
  <c r="B226" i="5"/>
  <c r="B234" i="5"/>
  <c r="B218" i="5"/>
  <c r="B233" i="5"/>
  <c r="B232" i="5"/>
  <c r="B229" i="5"/>
  <c r="B228" i="5"/>
  <c r="B223" i="5"/>
  <c r="B221" i="5"/>
  <c r="B216" i="5"/>
  <c r="D225" i="6"/>
  <c r="D217" i="6"/>
  <c r="D219" i="6"/>
  <c r="D229" i="6"/>
  <c r="D221" i="6"/>
  <c r="D220" i="6"/>
  <c r="D222" i="6"/>
  <c r="D232" i="6"/>
  <c r="D223" i="6"/>
  <c r="D234" i="6"/>
  <c r="D224" i="6"/>
  <c r="D235" i="6"/>
  <c r="D218" i="6"/>
  <c r="D233" i="6"/>
  <c r="D228" i="6"/>
  <c r="D227" i="6"/>
  <c r="D226" i="6"/>
  <c r="D237" i="6"/>
  <c r="D236" i="6"/>
  <c r="D231" i="6"/>
  <c r="D230" i="6"/>
  <c r="C237" i="6"/>
  <c r="C223" i="6"/>
  <c r="C222" i="6"/>
  <c r="C225" i="6"/>
  <c r="C221" i="6"/>
  <c r="C220" i="6"/>
  <c r="C227" i="6"/>
  <c r="C233" i="6"/>
  <c r="C236" i="6"/>
  <c r="C219" i="6"/>
  <c r="C230" i="6"/>
  <c r="C229" i="6"/>
  <c r="C224" i="6"/>
  <c r="C235" i="6"/>
  <c r="C218" i="6"/>
  <c r="C217" i="6"/>
  <c r="C228" i="6"/>
  <c r="C231" i="6"/>
  <c r="C234" i="6"/>
  <c r="C232" i="6"/>
  <c r="C226" i="6"/>
  <c r="B228" i="6"/>
  <c r="B237" i="6"/>
  <c r="B221" i="6"/>
  <c r="B232" i="6"/>
  <c r="B231" i="6"/>
  <c r="B225" i="6"/>
  <c r="B224" i="6"/>
  <c r="B235" i="6"/>
  <c r="B230" i="6"/>
  <c r="B227" i="6"/>
  <c r="B236" i="6"/>
  <c r="B220" i="6"/>
  <c r="B219" i="6"/>
  <c r="B218" i="6"/>
  <c r="B233" i="6"/>
  <c r="B229" i="6"/>
  <c r="B223" i="6"/>
  <c r="B234" i="6"/>
  <c r="B226" i="6"/>
  <c r="B222" i="6"/>
  <c r="B21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<sst xmlns="http://schemas.openxmlformats.org/spreadsheetml/2006/main" count="569" uniqueCount="90">
  <si>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</si>
  <si>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</si>
  <si>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</si>
  <si>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</si>
  <si>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</si>
  <si>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</si>
  <si>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</si>
  <si>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</si>
  <si>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</si>
  <si>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</si>
  <si>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</si>
  <si>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</si>
  <si>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</si>
  <si>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</si>
  <si>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</si>
  <si>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</si>
  <si>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</si>
  <si>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</si>
  <si>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</si>
  <si>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</si>
  <si>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</si>
  <si>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</si>
  <si>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308 Winchester</t>
  </si>
  <si>
    <t>Measured Muzzle Energy(J)</t>
  </si>
  <si>
    <t>Bushnell Elite Tactical FFP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</si>
  <si>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</si>
  <si>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</si>
  <si>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</si>
  <si>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</si>
  <si>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</si>
  <si>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Remington Core-Lokt Tipped</t>
  </si>
  <si>
    <t>Hollow Point</t>
  </si>
  <si>
    <t>Polymer Tipped Hollow Point</t>
  </si>
  <si>
    <t>Remington Core-Lokt</t>
  </si>
  <si>
    <t>Federal Premium Barnes TSX</t>
  </si>
  <si>
    <t>Soft Point</t>
  </si>
  <si>
    <t>Estimated Error</t>
  </si>
  <si>
    <t>(cm)</t>
  </si>
  <si>
    <t>Wind Drift (MOA)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</si>
  <si>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</si>
  <si>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</si>
  <si>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</si>
  <si>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</si>
  <si>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</si>
  <si>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</si>
  <si>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</si>
  <si>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</si>
  <si>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</si>
  <si>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</si>
  <si>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</si>
  <si>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</si>
  <si>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</si>
  <si>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</si>
  <si>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</si>
  <si>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</si>
  <si>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</si>
  <si>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</si>
  <si>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</si>
  <si>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</si>
  <si>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</si>
  <si>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</si>
  <si>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Bushell Enage SFP @16x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</si>
  <si>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</si>
  <si>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</si>
  <si>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</si>
  <si>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</si>
  <si>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</si>
  <si>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</si>
  <si>
    <t>50m zero(G1 BC)</t>
  </si>
  <si>
    <t>100m zero(G1 BC)</t>
  </si>
  <si>
    <t>150m zero(G1 BC)</t>
  </si>
  <si>
    <t>200m zero(G1 BC)</t>
  </si>
  <si>
    <t>300m zero(G1 BC)</t>
  </si>
  <si>
    <t>Wind Drift</t>
  </si>
  <si>
    <t>Wind Drift (MILS)</t>
  </si>
  <si>
    <t>50m Zero(G7 BC)</t>
  </si>
  <si>
    <t>100m Zero(G7 BC)</t>
  </si>
  <si>
    <t>150m Zero(G7 BC)</t>
  </si>
  <si>
    <t>200m Zero(G7 BC)</t>
  </si>
  <si>
    <t>300m Zero(G7 BC)</t>
  </si>
  <si>
    <t>50m Zero(G1 BC=0.525)</t>
  </si>
  <si>
    <t>100m Zero(G1 BC=0.525)</t>
  </si>
  <si>
    <t>150m Zero(G1 BC=0.525)</t>
  </si>
  <si>
    <t>200m Zero(G1 BC=0.525)</t>
  </si>
  <si>
    <t>300m Zero(G1 BC=0.525)</t>
  </si>
  <si>
    <t>50m zero(G1 BC = 0.480)</t>
  </si>
  <si>
    <t>100m zero(G1 BC=0.480)</t>
  </si>
  <si>
    <t>150m zero(G1 BC=0.480)</t>
  </si>
  <si>
    <t>200m zero(G1 BC=0.480)</t>
  </si>
  <si>
    <t>300m zero(G1 BC=0.480)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</si>
</sst>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wrapText="1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0" fillId="3" borderId="0" xfId="0" applyNumberFormat="1" applyFill="1"/>
    <xf numFmtId="166" fontId="0" fillId="0" borderId="0" xfId="0" applyNumberFormat="1"/>
    <xf numFmtId="0" fontId="1" fillId="5" borderId="0" xfId="0" applyFont="1" applyFill="1"/>
    <xf numFmtId="164" fontId="1" fillId="5" borderId="0" xfId="0" applyNumberFormat="1" applyFont="1" applyFill="1"/>
    <xf numFmtId="164" fontId="0" fillId="5" borderId="0" xfId="0" applyNumberFormat="1" applyFill="1"/>
    <xf numFmtId="0" fontId="0" fillId="5" borderId="0" xfId="0" applyFill="1"/>
    <xf numFmtId="0" fontId="0" fillId="4" borderId="1" xfId="0" applyFill="1" applyBorder="1"/>
    <xf numFmtId="2" fontId="1" fillId="4" borderId="1" xfId="0" applyNumberFormat="1" applyFon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PHP'!$B$22:$B$35</c:f>
              <c:numCache>
                <c:formatCode>0.00</c:formatCode>
                <c:ptCount val="14"/>
                <c:pt idx="0">
                  <c:v>3776.2</c:v>
                </c:pt>
                <c:pt idx="1">
                  <c:v>3659.5</c:v>
                </c:pt>
                <c:pt idx="2">
                  <c:v>3537.8</c:v>
                </c:pt>
                <c:pt idx="3">
                  <c:v>3402.4</c:v>
                </c:pt>
                <c:pt idx="4">
                  <c:v>3291.7</c:v>
                </c:pt>
                <c:pt idx="5">
                  <c:v>3168.9</c:v>
                </c:pt>
                <c:pt idx="6">
                  <c:v>3051.9</c:v>
                </c:pt>
                <c:pt idx="7">
                  <c:v>2834.5</c:v>
                </c:pt>
                <c:pt idx="8">
                  <c:v>2623.4</c:v>
                </c:pt>
                <c:pt idx="9">
                  <c:v>2432</c:v>
                </c:pt>
                <c:pt idx="10">
                  <c:v>2247.1999999999998</c:v>
                </c:pt>
                <c:pt idx="11">
                  <c:v>2079.9</c:v>
                </c:pt>
                <c:pt idx="12">
                  <c:v>1921.6</c:v>
                </c:pt>
                <c:pt idx="13">
                  <c:v>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'Remington Core-Lokt PHP'!$A$78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PHP'!$C$80:$C$100</c:f>
              <c:numCache>
                <c:formatCode>0.00</c:formatCode>
                <c:ptCount val="21"/>
                <c:pt idx="0">
                  <c:v>3777</c:v>
                </c:pt>
                <c:pt idx="1">
                  <c:v>3632</c:v>
                </c:pt>
                <c:pt idx="2">
                  <c:v>3492</c:v>
                </c:pt>
                <c:pt idx="3">
                  <c:v>3357</c:v>
                </c:pt>
                <c:pt idx="4">
                  <c:v>3226</c:v>
                </c:pt>
                <c:pt idx="5">
                  <c:v>3099</c:v>
                </c:pt>
                <c:pt idx="6">
                  <c:v>2975</c:v>
                </c:pt>
                <c:pt idx="7">
                  <c:v>2856</c:v>
                </c:pt>
                <c:pt idx="8">
                  <c:v>2740</c:v>
                </c:pt>
                <c:pt idx="9">
                  <c:v>2628</c:v>
                </c:pt>
                <c:pt idx="10">
                  <c:v>2519</c:v>
                </c:pt>
                <c:pt idx="11">
                  <c:v>2415</c:v>
                </c:pt>
                <c:pt idx="12">
                  <c:v>2313</c:v>
                </c:pt>
                <c:pt idx="13">
                  <c:v>2215</c:v>
                </c:pt>
                <c:pt idx="14">
                  <c:v>2120</c:v>
                </c:pt>
                <c:pt idx="15">
                  <c:v>2029</c:v>
                </c:pt>
                <c:pt idx="16">
                  <c:v>1941</c:v>
                </c:pt>
                <c:pt idx="17">
                  <c:v>1856</c:v>
                </c:pt>
                <c:pt idx="18">
                  <c:v>1774</c:v>
                </c:pt>
                <c:pt idx="19">
                  <c:v>1695</c:v>
                </c:pt>
                <c:pt idx="20">
                  <c:v>1622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'Remington Core-Lokt PHP'!$H$78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PHP'!$J$80:$J$100</c:f>
              <c:numCache>
                <c:formatCode>0.00</c:formatCode>
                <c:ptCount val="21"/>
                <c:pt idx="0">
                  <c:v>3777</c:v>
                </c:pt>
                <c:pt idx="1">
                  <c:v>3644</c:v>
                </c:pt>
                <c:pt idx="2">
                  <c:v>3516</c:v>
                </c:pt>
                <c:pt idx="3">
                  <c:v>3391</c:v>
                </c:pt>
                <c:pt idx="4">
                  <c:v>3270</c:v>
                </c:pt>
                <c:pt idx="5">
                  <c:v>3153</c:v>
                </c:pt>
                <c:pt idx="6">
                  <c:v>3038</c:v>
                </c:pt>
                <c:pt idx="7">
                  <c:v>2927</c:v>
                </c:pt>
                <c:pt idx="8">
                  <c:v>2819</c:v>
                </c:pt>
                <c:pt idx="9">
                  <c:v>2714</c:v>
                </c:pt>
                <c:pt idx="10">
                  <c:v>2612</c:v>
                </c:pt>
                <c:pt idx="11">
                  <c:v>2513</c:v>
                </c:pt>
                <c:pt idx="12">
                  <c:v>2418</c:v>
                </c:pt>
                <c:pt idx="13">
                  <c:v>2325</c:v>
                </c:pt>
                <c:pt idx="14">
                  <c:v>2234</c:v>
                </c:pt>
                <c:pt idx="15">
                  <c:v>2147</c:v>
                </c:pt>
                <c:pt idx="16">
                  <c:v>2062</c:v>
                </c:pt>
                <c:pt idx="17">
                  <c:v>1981</c:v>
                </c:pt>
                <c:pt idx="18">
                  <c:v>1901</c:v>
                </c:pt>
                <c:pt idx="19">
                  <c:v>1825</c:v>
                </c:pt>
                <c:pt idx="20">
                  <c:v>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FB-42C3-B904-40EBFD392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1.9921875468540204</c:v>
                </c:pt>
                <c:pt idx="4">
                  <c:v>3.1875001079516645</c:v>
                </c:pt>
                <c:pt idx="5">
                  <c:v>3.3203125780900344</c:v>
                </c:pt>
                <c:pt idx="6">
                  <c:v>0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-47.812540481913686</c:v>
                </c:pt>
                <c:pt idx="10">
                  <c:v>-70.656345983176067</c:v>
                </c:pt>
                <c:pt idx="11">
                  <c:v>-106.25024988880747</c:v>
                </c:pt>
                <c:pt idx="12">
                  <c:v>-143.43798578444495</c:v>
                </c:pt>
                <c:pt idx="13">
                  <c:v>-199.21980422212562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'Remington Core-Lokt PHP'!$I$21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-2.5500008843403683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-0.62500000052083338</c:v>
                </c:pt>
                <c:pt idx="6">
                  <c:v>-3.7500000781250016</c:v>
                </c:pt>
                <c:pt idx="7">
                  <c:v>-15.000002812500634</c:v>
                </c:pt>
                <c:pt idx="8">
                  <c:v>-25.00000833333667</c:v>
                </c:pt>
                <c:pt idx="9">
                  <c:v>-52.500053593815657</c:v>
                </c:pt>
                <c:pt idx="10">
                  <c:v>-70.000093333482667</c:v>
                </c:pt>
                <c:pt idx="11">
                  <c:v>-110.00027729250546</c:v>
                </c:pt>
                <c:pt idx="12">
                  <c:v>-146.25051492405055</c:v>
                </c:pt>
                <c:pt idx="13">
                  <c:v>-195.00098865601495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'Remington Core-Lokt PHP'!$J$21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1.5000000450000013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-45.000033750030376</c:v>
                </c:pt>
                <c:pt idx="10">
                  <c:v>-59.500057318399598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'Remington Core-Lokt PHP'!$K$21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-1.2750001105425117</c:v>
                </c:pt>
                <c:pt idx="2">
                  <c:v>2.5500002210850234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7.5000009000001286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-110.25022059240466</c:v>
                </c:pt>
                <c:pt idx="13">
                  <c:v>-165.00059895260901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'Remington Core-Lokt PHP'!$L$21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1.1953125910842215</c:v>
                </c:pt>
                <c:pt idx="2">
                  <c:v>6.9375044519272571</c:v>
                </c:pt>
                <c:pt idx="3">
                  <c:v>12.304698539984193</c:v>
                </c:pt>
                <c:pt idx="4">
                  <c:v>16.387514669568045</c:v>
                </c:pt>
                <c:pt idx="5">
                  <c:v>17.578136587152109</c:v>
                </c:pt>
                <c:pt idx="6">
                  <c:v>17.578133046631464</c:v>
                </c:pt>
                <c:pt idx="7">
                  <c:v>18.750005493165993</c:v>
                </c:pt>
                <c:pt idx="8">
                  <c:v>14.062501483154483</c:v>
                </c:pt>
                <c:pt idx="9">
                  <c:v>0</c:v>
                </c:pt>
                <c:pt idx="10">
                  <c:v>-16.406251201629747</c:v>
                </c:pt>
                <c:pt idx="11">
                  <c:v>-37.500010986331986</c:v>
                </c:pt>
                <c:pt idx="12">
                  <c:v>-73.828191239905152</c:v>
                </c:pt>
                <c:pt idx="13">
                  <c:v>-117.18771457719266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7.4999999999999997E-2</c:v>
                </c:pt>
                <c:pt idx="4">
                  <c:v>6.25E-2</c:v>
                </c:pt>
                <c:pt idx="5">
                  <c:v>0</c:v>
                </c:pt>
                <c:pt idx="6">
                  <c:v>-0.125</c:v>
                </c:pt>
                <c:pt idx="7">
                  <c:v>-0.1875</c:v>
                </c:pt>
                <c:pt idx="8">
                  <c:v>-0.375</c:v>
                </c:pt>
                <c:pt idx="9">
                  <c:v>-0.47499999999999998</c:v>
                </c:pt>
                <c:pt idx="10">
                  <c:v>-0.625</c:v>
                </c:pt>
                <c:pt idx="11">
                  <c:v>-0.75</c:v>
                </c:pt>
                <c:pt idx="12">
                  <c:v>-0.9375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'Remington Core-Lokt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PHP'!$D$23:$D$35</c:f>
              <c:numCache>
                <c:formatCode>0.000</c:formatCode>
                <c:ptCount val="13"/>
                <c:pt idx="0">
                  <c:v>-0.255</c:v>
                </c:pt>
                <c:pt idx="1">
                  <c:v>-7.4999999999999997E-2</c:v>
                </c:pt>
                <c:pt idx="2">
                  <c:v>0</c:v>
                </c:pt>
                <c:pt idx="3">
                  <c:v>0</c:v>
                </c:pt>
                <c:pt idx="4">
                  <c:v>-1.2500000000000001E-2</c:v>
                </c:pt>
                <c:pt idx="5">
                  <c:v>-6.25E-2</c:v>
                </c:pt>
                <c:pt idx="6">
                  <c:v>-0.1875</c:v>
                </c:pt>
                <c:pt idx="7">
                  <c:v>-0.25</c:v>
                </c:pt>
                <c:pt idx="8">
                  <c:v>-0.4375</c:v>
                </c:pt>
                <c:pt idx="9">
                  <c:v>-0.5</c:v>
                </c:pt>
                <c:pt idx="10">
                  <c:v>-0.6875</c:v>
                </c:pt>
                <c:pt idx="11">
                  <c:v>-0.8125</c:v>
                </c:pt>
                <c:pt idx="12">
                  <c:v>-0.97499999999999998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'Remington Core-Lokt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PHP'!$E$23:$E$35</c:f>
              <c:numCache>
                <c:formatCode>0.000</c:formatCode>
                <c:ptCount val="13"/>
                <c:pt idx="0">
                  <c:v>-0.17499999999999999</c:v>
                </c:pt>
                <c:pt idx="1">
                  <c:v>7.4999999999999997E-2</c:v>
                </c:pt>
                <c:pt idx="2">
                  <c:v>6.25E-2</c:v>
                </c:pt>
                <c:pt idx="3">
                  <c:v>0.125</c:v>
                </c:pt>
                <c:pt idx="4">
                  <c:v>0.125</c:v>
                </c:pt>
                <c:pt idx="5">
                  <c:v>0</c:v>
                </c:pt>
                <c:pt idx="6">
                  <c:v>-0.125</c:v>
                </c:pt>
                <c:pt idx="7">
                  <c:v>-0.1875</c:v>
                </c:pt>
                <c:pt idx="8">
                  <c:v>-0.375</c:v>
                </c:pt>
                <c:pt idx="9">
                  <c:v>-0.42499999999999999</c:v>
                </c:pt>
                <c:pt idx="10">
                  <c:v>-0.625</c:v>
                </c:pt>
                <c:pt idx="11">
                  <c:v>-0.75</c:v>
                </c:pt>
                <c:pt idx="12">
                  <c:v>-0.9375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'Remington Core-Lokt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PHP'!$F$23:$F$35</c:f>
              <c:numCache>
                <c:formatCode>0.000</c:formatCode>
                <c:ptCount val="13"/>
                <c:pt idx="0">
                  <c:v>-0.1275</c:v>
                </c:pt>
                <c:pt idx="1">
                  <c:v>0.1275</c:v>
                </c:pt>
                <c:pt idx="2">
                  <c:v>0.1875</c:v>
                </c:pt>
                <c:pt idx="3">
                  <c:v>0.1875</c:v>
                </c:pt>
                <c:pt idx="4">
                  <c:v>0.15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-0.61250000000000004</c:v>
                </c:pt>
                <c:pt idx="12">
                  <c:v>-0.82499999999999996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'Remington Core-Lokt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PHP'!$G$23:$G$35</c:f>
              <c:numCache>
                <c:formatCode>0.000</c:formatCode>
                <c:ptCount val="13"/>
                <c:pt idx="0">
                  <c:v>0.1275</c:v>
                </c:pt>
                <c:pt idx="1">
                  <c:v>0.37</c:v>
                </c:pt>
                <c:pt idx="2">
                  <c:v>0.4375</c:v>
                </c:pt>
                <c:pt idx="3">
                  <c:v>0.437</c:v>
                </c:pt>
                <c:pt idx="4">
                  <c:v>0.375</c:v>
                </c:pt>
                <c:pt idx="5">
                  <c:v>0.3125</c:v>
                </c:pt>
                <c:pt idx="6">
                  <c:v>0.25</c:v>
                </c:pt>
                <c:pt idx="7">
                  <c:v>0.15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-0.4375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1.9921875468540204</c:v>
                </c:pt>
                <c:pt idx="4">
                  <c:v>3.1875001079516645</c:v>
                </c:pt>
                <c:pt idx="5">
                  <c:v>3.3203125780900344</c:v>
                </c:pt>
                <c:pt idx="6">
                  <c:v>0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-47.812540481913686</c:v>
                </c:pt>
                <c:pt idx="10">
                  <c:v>-70.656345983176067</c:v>
                </c:pt>
                <c:pt idx="11">
                  <c:v>-106.25024988880747</c:v>
                </c:pt>
                <c:pt idx="12">
                  <c:v>-143.43798578444495</c:v>
                </c:pt>
                <c:pt idx="13">
                  <c:v>-199.21980422212562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'Remington Core-Lokt PHP'!$A$78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-2.2000000000000002</c:v>
                </c:pt>
                <c:pt idx="6">
                  <c:v>-5.2</c:v>
                </c:pt>
                <c:pt idx="7">
                  <c:v>-9.4</c:v>
                </c:pt>
                <c:pt idx="8">
                  <c:v>-15</c:v>
                </c:pt>
                <c:pt idx="9">
                  <c:v>-21.8</c:v>
                </c:pt>
                <c:pt idx="10">
                  <c:v>-30</c:v>
                </c:pt>
                <c:pt idx="11">
                  <c:v>-40</c:v>
                </c:pt>
                <c:pt idx="12">
                  <c:v>-51.2</c:v>
                </c:pt>
                <c:pt idx="13">
                  <c:v>-63.9</c:v>
                </c:pt>
                <c:pt idx="14">
                  <c:v>-78.900000000000006</c:v>
                </c:pt>
                <c:pt idx="15">
                  <c:v>-95.1</c:v>
                </c:pt>
                <c:pt idx="16">
                  <c:v>-113.2</c:v>
                </c:pt>
                <c:pt idx="17">
                  <c:v>-134</c:v>
                </c:pt>
                <c:pt idx="18">
                  <c:v>-156</c:v>
                </c:pt>
                <c:pt idx="19">
                  <c:v>-180.2</c:v>
                </c:pt>
                <c:pt idx="20">
                  <c:v>-206.7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'Remington Core-Lokt PHP'!$H$78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-2.1</c:v>
                </c:pt>
                <c:pt idx="6">
                  <c:v>-5</c:v>
                </c:pt>
                <c:pt idx="7">
                  <c:v>-9.1</c:v>
                </c:pt>
                <c:pt idx="8">
                  <c:v>-14.7</c:v>
                </c:pt>
                <c:pt idx="9">
                  <c:v>-21.3</c:v>
                </c:pt>
                <c:pt idx="10">
                  <c:v>-29.3</c:v>
                </c:pt>
                <c:pt idx="11">
                  <c:v>-39</c:v>
                </c:pt>
                <c:pt idx="12">
                  <c:v>-49.8</c:v>
                </c:pt>
                <c:pt idx="13">
                  <c:v>-62.2</c:v>
                </c:pt>
                <c:pt idx="14">
                  <c:v>-76.599999999999994</c:v>
                </c:pt>
                <c:pt idx="15">
                  <c:v>-92.3</c:v>
                </c:pt>
                <c:pt idx="16">
                  <c:v>-109.6</c:v>
                </c:pt>
                <c:pt idx="17">
                  <c:v>-129.5</c:v>
                </c:pt>
                <c:pt idx="18">
                  <c:v>-150.6</c:v>
                </c:pt>
                <c:pt idx="19">
                  <c:v>-173.6</c:v>
                </c:pt>
                <c:pt idx="20">
                  <c:v>-198.8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0E-494A-A613-D732D9991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-2.5500008843403683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-0.62500000052083338</c:v>
                </c:pt>
                <c:pt idx="6">
                  <c:v>-3.7500000781250016</c:v>
                </c:pt>
                <c:pt idx="7">
                  <c:v>-15.000002812500634</c:v>
                </c:pt>
                <c:pt idx="8">
                  <c:v>-25.00000833333667</c:v>
                </c:pt>
                <c:pt idx="9">
                  <c:v>-52.500053593815657</c:v>
                </c:pt>
                <c:pt idx="10">
                  <c:v>-70.000093333482667</c:v>
                </c:pt>
                <c:pt idx="11">
                  <c:v>-110.00027729250546</c:v>
                </c:pt>
                <c:pt idx="12">
                  <c:v>-146.25051492405055</c:v>
                </c:pt>
                <c:pt idx="13">
                  <c:v>-195.00098865601495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'Remington Core-Lokt PHP'!$A$102</c:f>
              <c:strCache>
                <c:ptCount val="1"/>
                <c:pt idx="0">
                  <c:v>100m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-4.7</c:v>
                </c:pt>
                <c:pt idx="7">
                  <c:v>-8.8000000000000007</c:v>
                </c:pt>
                <c:pt idx="8">
                  <c:v>-14.4</c:v>
                </c:pt>
                <c:pt idx="9">
                  <c:v>-21.1</c:v>
                </c:pt>
                <c:pt idx="10">
                  <c:v>-29.2</c:v>
                </c:pt>
                <c:pt idx="11">
                  <c:v>-39.1</c:v>
                </c:pt>
                <c:pt idx="12">
                  <c:v>-50.2</c:v>
                </c:pt>
                <c:pt idx="13">
                  <c:v>-62.8</c:v>
                </c:pt>
                <c:pt idx="14">
                  <c:v>-77.7</c:v>
                </c:pt>
                <c:pt idx="15">
                  <c:v>-93.9</c:v>
                </c:pt>
                <c:pt idx="16">
                  <c:v>-111.9</c:v>
                </c:pt>
                <c:pt idx="17">
                  <c:v>-132.5</c:v>
                </c:pt>
                <c:pt idx="18">
                  <c:v>-154.5</c:v>
                </c:pt>
                <c:pt idx="19">
                  <c:v>-178.6</c:v>
                </c:pt>
                <c:pt idx="20">
                  <c:v>-205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'Remington Core-Lokt PHP'!$H$102</c:f>
              <c:strCache>
                <c:ptCount val="1"/>
                <c:pt idx="0">
                  <c:v>100m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-4.5999999999999996</c:v>
                </c:pt>
                <c:pt idx="7">
                  <c:v>-8.6</c:v>
                </c:pt>
                <c:pt idx="8">
                  <c:v>-14.1</c:v>
                </c:pt>
                <c:pt idx="9">
                  <c:v>-20.6</c:v>
                </c:pt>
                <c:pt idx="10">
                  <c:v>-28.5</c:v>
                </c:pt>
                <c:pt idx="11">
                  <c:v>-38.1</c:v>
                </c:pt>
                <c:pt idx="12">
                  <c:v>-48.9</c:v>
                </c:pt>
                <c:pt idx="13">
                  <c:v>-61.2</c:v>
                </c:pt>
                <c:pt idx="14">
                  <c:v>-75.599999999999994</c:v>
                </c:pt>
                <c:pt idx="15">
                  <c:v>-91.1</c:v>
                </c:pt>
                <c:pt idx="16">
                  <c:v>-108.4</c:v>
                </c:pt>
                <c:pt idx="17">
                  <c:v>-128.19999999999999</c:v>
                </c:pt>
                <c:pt idx="18">
                  <c:v>-149.19999999999999</c:v>
                </c:pt>
                <c:pt idx="19">
                  <c:v>-172.2</c:v>
                </c:pt>
                <c:pt idx="20">
                  <c:v>-197.3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18-4132-AE64-7D279AE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1.5000000450000013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-45.000033750030376</c:v>
                </c:pt>
                <c:pt idx="10">
                  <c:v>-59.500057318399598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'Remington Core-Lokt PHP'!$A$126</c:f>
              <c:strCache>
                <c:ptCount val="1"/>
                <c:pt idx="0">
                  <c:v>150m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1.8</c:v>
                </c:pt>
                <c:pt idx="3">
                  <c:v>3</c:v>
                </c:pt>
                <c:pt idx="4">
                  <c:v>3.1</c:v>
                </c:pt>
                <c:pt idx="5">
                  <c:v>2.1</c:v>
                </c:pt>
                <c:pt idx="6">
                  <c:v>0</c:v>
                </c:pt>
                <c:pt idx="7">
                  <c:v>-3.3</c:v>
                </c:pt>
                <c:pt idx="8">
                  <c:v>-8.1</c:v>
                </c:pt>
                <c:pt idx="9">
                  <c:v>-14</c:v>
                </c:pt>
                <c:pt idx="10">
                  <c:v>-21.3</c:v>
                </c:pt>
                <c:pt idx="11">
                  <c:v>-30.4</c:v>
                </c:pt>
                <c:pt idx="12">
                  <c:v>-40.799999999999997</c:v>
                </c:pt>
                <c:pt idx="13">
                  <c:v>-52.7</c:v>
                </c:pt>
                <c:pt idx="14">
                  <c:v>-66.8</c:v>
                </c:pt>
                <c:pt idx="15">
                  <c:v>-82.1</c:v>
                </c:pt>
                <c:pt idx="16">
                  <c:v>-99.3</c:v>
                </c:pt>
                <c:pt idx="17">
                  <c:v>-119.2</c:v>
                </c:pt>
                <c:pt idx="18">
                  <c:v>-140.4</c:v>
                </c:pt>
                <c:pt idx="19">
                  <c:v>-163.80000000000001</c:v>
                </c:pt>
                <c:pt idx="20">
                  <c:v>-189.3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ser>
          <c:idx val="2"/>
          <c:order val="2"/>
          <c:tx>
            <c:strRef>
              <c:f>'Remington Core-Lokt PHP'!$H$126</c:f>
              <c:strCache>
                <c:ptCount val="1"/>
                <c:pt idx="0">
                  <c:v>150m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PHP'!$H$128:$H$148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PHP'!$K$128:$K$148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1.7</c:v>
                </c:pt>
                <c:pt idx="3">
                  <c:v>2.9</c:v>
                </c:pt>
                <c:pt idx="4">
                  <c:v>3.1</c:v>
                </c:pt>
                <c:pt idx="5">
                  <c:v>2.1</c:v>
                </c:pt>
                <c:pt idx="6">
                  <c:v>0</c:v>
                </c:pt>
                <c:pt idx="7">
                  <c:v>-3.3</c:v>
                </c:pt>
                <c:pt idx="8">
                  <c:v>-7.9</c:v>
                </c:pt>
                <c:pt idx="9">
                  <c:v>-13.7</c:v>
                </c:pt>
                <c:pt idx="10">
                  <c:v>-20.9</c:v>
                </c:pt>
                <c:pt idx="11">
                  <c:v>-29.7</c:v>
                </c:pt>
                <c:pt idx="12">
                  <c:v>-39.700000000000003</c:v>
                </c:pt>
                <c:pt idx="13">
                  <c:v>-51.3</c:v>
                </c:pt>
                <c:pt idx="14">
                  <c:v>-64.900000000000006</c:v>
                </c:pt>
                <c:pt idx="15">
                  <c:v>-79.7</c:v>
                </c:pt>
                <c:pt idx="16">
                  <c:v>-96.2</c:v>
                </c:pt>
                <c:pt idx="17">
                  <c:v>-115.2</c:v>
                </c:pt>
                <c:pt idx="18">
                  <c:v>-135.5</c:v>
                </c:pt>
                <c:pt idx="19">
                  <c:v>-157.69999999999999</c:v>
                </c:pt>
                <c:pt idx="20">
                  <c:v>-182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3D-4A9E-9318-37E34D930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-1.2750001105425117</c:v>
                </c:pt>
                <c:pt idx="2">
                  <c:v>2.5500002210850234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7.5000009000001286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-110.25022059240466</c:v>
                </c:pt>
                <c:pt idx="13">
                  <c:v>-165.00059895260901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'Remington Core-Lokt PHP'!$A$150</c:f>
              <c:strCache>
                <c:ptCount val="1"/>
                <c:pt idx="0">
                  <c:v>200m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3.8</c:v>
                </c:pt>
                <c:pt idx="3">
                  <c:v>6</c:v>
                </c:pt>
                <c:pt idx="4">
                  <c:v>7.2</c:v>
                </c:pt>
                <c:pt idx="5">
                  <c:v>7.2</c:v>
                </c:pt>
                <c:pt idx="6">
                  <c:v>6.1</c:v>
                </c:pt>
                <c:pt idx="7">
                  <c:v>3.7</c:v>
                </c:pt>
                <c:pt idx="8">
                  <c:v>0</c:v>
                </c:pt>
                <c:pt idx="9">
                  <c:v>-5</c:v>
                </c:pt>
                <c:pt idx="10">
                  <c:v>-11.3</c:v>
                </c:pt>
                <c:pt idx="11">
                  <c:v>-19.399999999999999</c:v>
                </c:pt>
                <c:pt idx="12">
                  <c:v>-28.7</c:v>
                </c:pt>
                <c:pt idx="13">
                  <c:v>-39.6</c:v>
                </c:pt>
                <c:pt idx="14">
                  <c:v>-52.7</c:v>
                </c:pt>
                <c:pt idx="15">
                  <c:v>-67</c:v>
                </c:pt>
                <c:pt idx="16">
                  <c:v>-83.2</c:v>
                </c:pt>
                <c:pt idx="17">
                  <c:v>-102.1</c:v>
                </c:pt>
                <c:pt idx="18">
                  <c:v>-122.3</c:v>
                </c:pt>
                <c:pt idx="19">
                  <c:v>-144.69999999999999</c:v>
                </c:pt>
                <c:pt idx="20">
                  <c:v>-169.2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'Remington Core-Lokt PHP'!$H$150</c:f>
              <c:strCache>
                <c:ptCount val="1"/>
                <c:pt idx="0">
                  <c:v>200m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PHP'!$H$152:$H$172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3.7</c:v>
                </c:pt>
                <c:pt idx="3">
                  <c:v>5.9</c:v>
                </c:pt>
                <c:pt idx="4">
                  <c:v>7</c:v>
                </c:pt>
                <c:pt idx="5">
                  <c:v>7</c:v>
                </c:pt>
                <c:pt idx="6">
                  <c:v>5.9</c:v>
                </c:pt>
                <c:pt idx="7">
                  <c:v>3.6</c:v>
                </c:pt>
                <c:pt idx="8">
                  <c:v>0</c:v>
                </c:pt>
                <c:pt idx="9">
                  <c:v>-4.8</c:v>
                </c:pt>
                <c:pt idx="10">
                  <c:v>-11</c:v>
                </c:pt>
                <c:pt idx="11">
                  <c:v>-18.8</c:v>
                </c:pt>
                <c:pt idx="12">
                  <c:v>-27.9</c:v>
                </c:pt>
                <c:pt idx="13">
                  <c:v>-38.4</c:v>
                </c:pt>
                <c:pt idx="14">
                  <c:v>-51</c:v>
                </c:pt>
                <c:pt idx="15">
                  <c:v>-64.8</c:v>
                </c:pt>
                <c:pt idx="16">
                  <c:v>-80.400000000000006</c:v>
                </c:pt>
                <c:pt idx="17">
                  <c:v>-98.4</c:v>
                </c:pt>
                <c:pt idx="18">
                  <c:v>-117.7</c:v>
                </c:pt>
                <c:pt idx="19">
                  <c:v>-138.9</c:v>
                </c:pt>
                <c:pt idx="20">
                  <c:v>-162.30000000000001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3D-4C80-ACED-4D5F6411E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1.1953125910842215</c:v>
                </c:pt>
                <c:pt idx="2">
                  <c:v>6.9375044519272571</c:v>
                </c:pt>
                <c:pt idx="3">
                  <c:v>12.304698539984193</c:v>
                </c:pt>
                <c:pt idx="4">
                  <c:v>16.387514669568045</c:v>
                </c:pt>
                <c:pt idx="5">
                  <c:v>17.578136587152109</c:v>
                </c:pt>
                <c:pt idx="6">
                  <c:v>17.578133046631464</c:v>
                </c:pt>
                <c:pt idx="7">
                  <c:v>18.750005493165993</c:v>
                </c:pt>
                <c:pt idx="8">
                  <c:v>14.062501483154483</c:v>
                </c:pt>
                <c:pt idx="9">
                  <c:v>0</c:v>
                </c:pt>
                <c:pt idx="10">
                  <c:v>-16.406251201629747</c:v>
                </c:pt>
                <c:pt idx="11">
                  <c:v>-37.500010986331986</c:v>
                </c:pt>
                <c:pt idx="12">
                  <c:v>-73.828191239905152</c:v>
                </c:pt>
                <c:pt idx="13">
                  <c:v>-117.18771457719266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2"/>
          <c:order val="2"/>
          <c:tx>
            <c:strRef>
              <c:f>'Remington Core-Lokt PHP'!$H$174</c:f>
              <c:strCache>
                <c:ptCount val="1"/>
                <c:pt idx="0">
                  <c:v>300m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PHP'!$H$176:$H$196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8.4</c:v>
                </c:pt>
                <c:pt idx="3">
                  <c:v>12.9</c:v>
                </c:pt>
                <c:pt idx="4">
                  <c:v>16.3</c:v>
                </c:pt>
                <c:pt idx="5">
                  <c:v>18.7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18.7</c:v>
                </c:pt>
                <c:pt idx="9">
                  <c:v>16.100000000000001</c:v>
                </c:pt>
                <c:pt idx="10">
                  <c:v>12.3</c:v>
                </c:pt>
                <c:pt idx="11">
                  <c:v>6.8</c:v>
                </c:pt>
                <c:pt idx="12">
                  <c:v>0.1</c:v>
                </c:pt>
                <c:pt idx="13">
                  <c:v>-8.1999999999999993</c:v>
                </c:pt>
                <c:pt idx="14">
                  <c:v>-18.399999999999999</c:v>
                </c:pt>
                <c:pt idx="15">
                  <c:v>-29.9</c:v>
                </c:pt>
                <c:pt idx="16">
                  <c:v>-43.1</c:v>
                </c:pt>
                <c:pt idx="17">
                  <c:v>-58.8</c:v>
                </c:pt>
                <c:pt idx="18">
                  <c:v>-75.8</c:v>
                </c:pt>
                <c:pt idx="19">
                  <c:v>-94.7</c:v>
                </c:pt>
                <c:pt idx="20">
                  <c:v>-115.7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05-49FC-BB9A-0BC922A7C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'Remington Core-Lokt PHP'!$A$174</c15:sqref>
                        </c15:formulaRef>
                      </c:ext>
                    </c:extLst>
                    <c:strCache>
                      <c:ptCount val="1"/>
                      <c:pt idx="0">
                        <c:v>300m zero(G1 BC=0.480)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layout>
                      <c:manualLayout>
                        <c:x val="9.5684428199359475E-2"/>
                        <c:y val="-0.19706717215903574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'Remington Core-Lokt PHP'!$A$176:$A$196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'Remington Core-Lokt PHP'!$D$176:$D$196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2.8</c:v>
                      </c:pt>
                      <c:pt idx="2">
                        <c:v>8.6</c:v>
                      </c:pt>
                      <c:pt idx="3">
                        <c:v>13.2</c:v>
                      </c:pt>
                      <c:pt idx="4">
                        <c:v>16.7</c:v>
                      </c:pt>
                      <c:pt idx="5">
                        <c:v>19.2</c:v>
                      </c:pt>
                      <c:pt idx="6">
                        <c:v>20.399999999999999</c:v>
                      </c:pt>
                      <c:pt idx="7">
                        <c:v>20.5</c:v>
                      </c:pt>
                      <c:pt idx="8">
                        <c:v>19.2</c:v>
                      </c:pt>
                      <c:pt idx="9">
                        <c:v>16.600000000000001</c:v>
                      </c:pt>
                      <c:pt idx="10">
                        <c:v>12.7</c:v>
                      </c:pt>
                      <c:pt idx="11">
                        <c:v>7</c:v>
                      </c:pt>
                      <c:pt idx="12">
                        <c:v>0.1</c:v>
                      </c:pt>
                      <c:pt idx="13">
                        <c:v>-8.5</c:v>
                      </c:pt>
                      <c:pt idx="14">
                        <c:v>-19.100000000000001</c:v>
                      </c:pt>
                      <c:pt idx="15">
                        <c:v>-31.1</c:v>
                      </c:pt>
                      <c:pt idx="16">
                        <c:v>-44.9</c:v>
                      </c:pt>
                      <c:pt idx="17">
                        <c:v>-61.3</c:v>
                      </c:pt>
                      <c:pt idx="18">
                        <c:v>-79.2</c:v>
                      </c:pt>
                      <c:pt idx="19">
                        <c:v>-99.2</c:v>
                      </c:pt>
                      <c:pt idx="20">
                        <c:v>-121.4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2FB9-4B49-A310-17615B48A297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PHP(2)'!$B$22:$B$35</c:f>
              <c:numCache>
                <c:formatCode>0.00</c:formatCode>
                <c:ptCount val="14"/>
                <c:pt idx="0">
                  <c:v>3776.2</c:v>
                </c:pt>
                <c:pt idx="1">
                  <c:v>3659.5</c:v>
                </c:pt>
                <c:pt idx="2">
                  <c:v>3537.8</c:v>
                </c:pt>
                <c:pt idx="3">
                  <c:v>3402.4</c:v>
                </c:pt>
                <c:pt idx="4">
                  <c:v>3291.7</c:v>
                </c:pt>
                <c:pt idx="5">
                  <c:v>3168.9</c:v>
                </c:pt>
                <c:pt idx="6">
                  <c:v>3051.9</c:v>
                </c:pt>
                <c:pt idx="7">
                  <c:v>2834.5</c:v>
                </c:pt>
                <c:pt idx="8">
                  <c:v>2623.4</c:v>
                </c:pt>
                <c:pt idx="9">
                  <c:v>2432</c:v>
                </c:pt>
                <c:pt idx="10">
                  <c:v>2247.1999999999998</c:v>
                </c:pt>
                <c:pt idx="11">
                  <c:v>2079.9</c:v>
                </c:pt>
                <c:pt idx="12">
                  <c:v>1921.6</c:v>
                </c:pt>
                <c:pt idx="13">
                  <c:v>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37-494E-911C-D99E69A747BE}"/>
            </c:ext>
          </c:extLst>
        </c:ser>
        <c:ser>
          <c:idx val="1"/>
          <c:order val="1"/>
          <c:tx>
            <c:strRef>
              <c:f>'Remington Core-Lokt PHP(2)'!$A$78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PHP(2)'!$C$80:$C$100</c:f>
              <c:numCache>
                <c:formatCode>0.00</c:formatCode>
                <c:ptCount val="21"/>
                <c:pt idx="0">
                  <c:v>3777</c:v>
                </c:pt>
                <c:pt idx="1">
                  <c:v>3632</c:v>
                </c:pt>
                <c:pt idx="2">
                  <c:v>3492</c:v>
                </c:pt>
                <c:pt idx="3">
                  <c:v>3357</c:v>
                </c:pt>
                <c:pt idx="4">
                  <c:v>3226</c:v>
                </c:pt>
                <c:pt idx="5">
                  <c:v>3099</c:v>
                </c:pt>
                <c:pt idx="6">
                  <c:v>2975</c:v>
                </c:pt>
                <c:pt idx="7">
                  <c:v>2856</c:v>
                </c:pt>
                <c:pt idx="8">
                  <c:v>2740</c:v>
                </c:pt>
                <c:pt idx="9">
                  <c:v>2628</c:v>
                </c:pt>
                <c:pt idx="10">
                  <c:v>2519</c:v>
                </c:pt>
                <c:pt idx="11">
                  <c:v>2415</c:v>
                </c:pt>
                <c:pt idx="12">
                  <c:v>2313</c:v>
                </c:pt>
                <c:pt idx="13">
                  <c:v>2215</c:v>
                </c:pt>
                <c:pt idx="14">
                  <c:v>2120</c:v>
                </c:pt>
                <c:pt idx="15">
                  <c:v>2029</c:v>
                </c:pt>
                <c:pt idx="16">
                  <c:v>1941</c:v>
                </c:pt>
                <c:pt idx="17">
                  <c:v>1856</c:v>
                </c:pt>
                <c:pt idx="18">
                  <c:v>1774</c:v>
                </c:pt>
                <c:pt idx="19">
                  <c:v>1695</c:v>
                </c:pt>
                <c:pt idx="20">
                  <c:v>1622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37-494E-911C-D99E69A747BE}"/>
            </c:ext>
          </c:extLst>
        </c:ser>
        <c:ser>
          <c:idx val="2"/>
          <c:order val="2"/>
          <c:tx>
            <c:strRef>
              <c:f>'Remington Core-Lokt PHP(2)'!$H$78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PHP(2)'!$J$80:$J$100</c:f>
              <c:numCache>
                <c:formatCode>0.00</c:formatCode>
                <c:ptCount val="21"/>
                <c:pt idx="0">
                  <c:v>3777</c:v>
                </c:pt>
                <c:pt idx="1">
                  <c:v>3644</c:v>
                </c:pt>
                <c:pt idx="2">
                  <c:v>3516</c:v>
                </c:pt>
                <c:pt idx="3">
                  <c:v>3391</c:v>
                </c:pt>
                <c:pt idx="4">
                  <c:v>3270</c:v>
                </c:pt>
                <c:pt idx="5">
                  <c:v>3153</c:v>
                </c:pt>
                <c:pt idx="6">
                  <c:v>3038</c:v>
                </c:pt>
                <c:pt idx="7">
                  <c:v>2927</c:v>
                </c:pt>
                <c:pt idx="8">
                  <c:v>2819</c:v>
                </c:pt>
                <c:pt idx="9">
                  <c:v>2714</c:v>
                </c:pt>
                <c:pt idx="10">
                  <c:v>2612</c:v>
                </c:pt>
                <c:pt idx="11">
                  <c:v>2513</c:v>
                </c:pt>
                <c:pt idx="12">
                  <c:v>2418</c:v>
                </c:pt>
                <c:pt idx="13">
                  <c:v>2325</c:v>
                </c:pt>
                <c:pt idx="14">
                  <c:v>2234</c:v>
                </c:pt>
                <c:pt idx="15">
                  <c:v>2147</c:v>
                </c:pt>
                <c:pt idx="16">
                  <c:v>2062</c:v>
                </c:pt>
                <c:pt idx="17">
                  <c:v>1981</c:v>
                </c:pt>
                <c:pt idx="18">
                  <c:v>1901</c:v>
                </c:pt>
                <c:pt idx="19">
                  <c:v>1825</c:v>
                </c:pt>
                <c:pt idx="20">
                  <c:v>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BE-48E8-AA48-516E77ABA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-2.0625004679298149</c:v>
                </c:pt>
                <c:pt idx="2">
                  <c:v>0</c:v>
                </c:pt>
                <c:pt idx="3">
                  <c:v>2.0625000519921892</c:v>
                </c:pt>
                <c:pt idx="4">
                  <c:v>2.750000069322919</c:v>
                </c:pt>
                <c:pt idx="5">
                  <c:v>0</c:v>
                </c:pt>
                <c:pt idx="6">
                  <c:v>-2.0625000129980471</c:v>
                </c:pt>
                <c:pt idx="7">
                  <c:v>-11.000001109166799</c:v>
                </c:pt>
                <c:pt idx="8">
                  <c:v>-24.062507430552884</c:v>
                </c:pt>
                <c:pt idx="9">
                  <c:v>-45.37503460083245</c:v>
                </c:pt>
                <c:pt idx="10">
                  <c:v>-72.187602359793317</c:v>
                </c:pt>
                <c:pt idx="11">
                  <c:v>-110.00027729250546</c:v>
                </c:pt>
                <c:pt idx="12">
                  <c:v>-154.68810928632709</c:v>
                </c:pt>
                <c:pt idx="13">
                  <c:v>-206.25116983218095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4-4296-9DA1-970AAF9934A9}"/>
            </c:ext>
          </c:extLst>
        </c:ser>
        <c:ser>
          <c:idx val="1"/>
          <c:order val="1"/>
          <c:tx>
            <c:strRef>
              <c:f>'Remington Core-Lokt PHP(2)'!$I$21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-2.4062507430552884</c:v>
                </c:pt>
                <c:pt idx="2">
                  <c:v>0</c:v>
                </c:pt>
                <c:pt idx="3">
                  <c:v>1.0312500064990235</c:v>
                </c:pt>
                <c:pt idx="4">
                  <c:v>0</c:v>
                </c:pt>
                <c:pt idx="5">
                  <c:v>0</c:v>
                </c:pt>
                <c:pt idx="6">
                  <c:v>-4.1250001039843784</c:v>
                </c:pt>
                <c:pt idx="7">
                  <c:v>-13.750002166341554</c:v>
                </c:pt>
                <c:pt idx="8">
                  <c:v>-27.500011091672039</c:v>
                </c:pt>
                <c:pt idx="9">
                  <c:v>-49.500044921298922</c:v>
                </c:pt>
                <c:pt idx="10">
                  <c:v>-77.000124226907175</c:v>
                </c:pt>
                <c:pt idx="11">
                  <c:v>-115.50032100083621</c:v>
                </c:pt>
                <c:pt idx="12">
                  <c:v>-160.87568536451937</c:v>
                </c:pt>
                <c:pt idx="13">
                  <c:v>-199.37605670460479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E4-4296-9DA1-970AAF9934A9}"/>
            </c:ext>
          </c:extLst>
        </c:ser>
        <c:ser>
          <c:idx val="2"/>
          <c:order val="2"/>
          <c:tx>
            <c:strRef>
              <c:f>'Remington Core-Lokt PHP(2)'!$J$21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-1.7187502707926943</c:v>
                </c:pt>
                <c:pt idx="2">
                  <c:v>1.3750000346614595</c:v>
                </c:pt>
                <c:pt idx="3">
                  <c:v>3.0937501754736449</c:v>
                </c:pt>
                <c:pt idx="4">
                  <c:v>2.750000069322919</c:v>
                </c:pt>
                <c:pt idx="5">
                  <c:v>3.4375000866536483</c:v>
                </c:pt>
                <c:pt idx="6">
                  <c:v>0</c:v>
                </c:pt>
                <c:pt idx="7">
                  <c:v>-8.2500004679297199</c:v>
                </c:pt>
                <c:pt idx="8">
                  <c:v>-24.062507430552884</c:v>
                </c:pt>
                <c:pt idx="9">
                  <c:v>-41.250025996113408</c:v>
                </c:pt>
                <c:pt idx="10">
                  <c:v>-67.375083222284815</c:v>
                </c:pt>
                <c:pt idx="11">
                  <c:v>-104.50023774359174</c:v>
                </c:pt>
                <c:pt idx="12">
                  <c:v>-142.312974443607</c:v>
                </c:pt>
                <c:pt idx="13">
                  <c:v>-192.50095111605583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E4-4296-9DA1-970AAF9934A9}"/>
            </c:ext>
          </c:extLst>
        </c:ser>
        <c:ser>
          <c:idx val="3"/>
          <c:order val="3"/>
          <c:tx>
            <c:strRef>
              <c:f>'Remington Core-Lokt PHP(2)'!$K$21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2.5000002083333537</c:v>
                </c:pt>
                <c:pt idx="3">
                  <c:v>4.6875006103516581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5.6250002636718905</c:v>
                </c:pt>
                <c:pt idx="7">
                  <c:v>0</c:v>
                </c:pt>
                <c:pt idx="8">
                  <c:v>-9.3750004394531494</c:v>
                </c:pt>
                <c:pt idx="9">
                  <c:v>-26.250006699220808</c:v>
                </c:pt>
                <c:pt idx="10">
                  <c:v>-48.125030328798971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3E4-4296-9DA1-970AAF9934A9}"/>
            </c:ext>
          </c:extLst>
        </c:ser>
        <c:ser>
          <c:idx val="4"/>
          <c:order val="4"/>
          <c:tx>
            <c:strRef>
              <c:f>'Remington Core-Lokt PHP(2)'!$L$21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1.5625002034505526</c:v>
                </c:pt>
                <c:pt idx="2">
                  <c:v>7.5000056250050626</c:v>
                </c:pt>
                <c:pt idx="3">
                  <c:v>12.187510727550393</c:v>
                </c:pt>
                <c:pt idx="4">
                  <c:v>16.250014303400523</c:v>
                </c:pt>
                <c:pt idx="5">
                  <c:v>18.750014062512658</c:v>
                </c:pt>
                <c:pt idx="6">
                  <c:v>20.625012998056704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-73.12506436530235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3E4-4296-9DA1-970AAF99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PHP(2)'!$C$23:$C$35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</c:v>
                </c:pt>
                <c:pt idx="5">
                  <c:v>-0.05</c:v>
                </c:pt>
                <c:pt idx="6">
                  <c:v>-0.2</c:v>
                </c:pt>
                <c:pt idx="7">
                  <c:v>-0.35</c:v>
                </c:pt>
                <c:pt idx="8">
                  <c:v>-0.55000000000000004</c:v>
                </c:pt>
                <c:pt idx="9">
                  <c:v>-0.75</c:v>
                </c:pt>
                <c:pt idx="10">
                  <c:v>-1</c:v>
                </c:pt>
                <c:pt idx="11">
                  <c:v>-1.25</c:v>
                </c:pt>
                <c:pt idx="12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167-9567-C2EF09B8111B}"/>
            </c:ext>
          </c:extLst>
        </c:ser>
        <c:ser>
          <c:idx val="1"/>
          <c:order val="1"/>
          <c:tx>
            <c:strRef>
              <c:f>'Remington Core-Lokt PHP(2)'!$D$21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PHP(2)'!$D$23:$D$35</c:f>
              <c:numCache>
                <c:formatCode>0.000</c:formatCode>
                <c:ptCount val="13"/>
                <c:pt idx="0">
                  <c:v>-0.35</c:v>
                </c:pt>
                <c:pt idx="1">
                  <c:v>0</c:v>
                </c:pt>
                <c:pt idx="2">
                  <c:v>0.05</c:v>
                </c:pt>
                <c:pt idx="3">
                  <c:v>0</c:v>
                </c:pt>
                <c:pt idx="4">
                  <c:v>0</c:v>
                </c:pt>
                <c:pt idx="5">
                  <c:v>-0.1</c:v>
                </c:pt>
                <c:pt idx="6">
                  <c:v>-0.25</c:v>
                </c:pt>
                <c:pt idx="7">
                  <c:v>-0.4</c:v>
                </c:pt>
                <c:pt idx="8">
                  <c:v>-0.6</c:v>
                </c:pt>
                <c:pt idx="9">
                  <c:v>-0.8</c:v>
                </c:pt>
                <c:pt idx="10">
                  <c:v>-1.05</c:v>
                </c:pt>
                <c:pt idx="11">
                  <c:v>-1.3</c:v>
                </c:pt>
                <c:pt idx="12">
                  <c:v>-1.45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167-9567-C2EF09B8111B}"/>
            </c:ext>
          </c:extLst>
        </c:ser>
        <c:ser>
          <c:idx val="2"/>
          <c:order val="2"/>
          <c:tx>
            <c:strRef>
              <c:f>'Remington Core-Lokt PHP(2)'!$E$21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PHP(2)'!$E$23:$E$35</c:f>
              <c:numCache>
                <c:formatCode>0.000</c:formatCode>
                <c:ptCount val="13"/>
                <c:pt idx="0">
                  <c:v>-0.25</c:v>
                </c:pt>
                <c:pt idx="1">
                  <c:v>0.1</c:v>
                </c:pt>
                <c:pt idx="2">
                  <c:v>0.15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-0.15</c:v>
                </c:pt>
                <c:pt idx="7">
                  <c:v>-0.35</c:v>
                </c:pt>
                <c:pt idx="8">
                  <c:v>-0.5</c:v>
                </c:pt>
                <c:pt idx="9">
                  <c:v>-0.7</c:v>
                </c:pt>
                <c:pt idx="10">
                  <c:v>-0.95</c:v>
                </c:pt>
                <c:pt idx="11">
                  <c:v>-1.1499999999999999</c:v>
                </c:pt>
                <c:pt idx="12">
                  <c:v>-1.4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8F8-4167-9567-C2EF09B8111B}"/>
            </c:ext>
          </c:extLst>
        </c:ser>
        <c:ser>
          <c:idx val="3"/>
          <c:order val="3"/>
          <c:tx>
            <c:strRef>
              <c:f>'Remington Core-Lokt PHP(2)'!$F$21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PHP(2)'!$F$23:$F$35</c:f>
              <c:numCache>
                <c:formatCode>0.000</c:formatCode>
                <c:ptCount val="13"/>
                <c:pt idx="0">
                  <c:v>-0.1</c:v>
                </c:pt>
                <c:pt idx="1">
                  <c:v>0.2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0.15</c:v>
                </c:pt>
                <c:pt idx="6">
                  <c:v>0</c:v>
                </c:pt>
                <c:pt idx="7">
                  <c:v>-0.15</c:v>
                </c:pt>
                <c:pt idx="8">
                  <c:v>-0.35</c:v>
                </c:pt>
                <c:pt idx="9">
                  <c:v>-0.55000000000000004</c:v>
                </c:pt>
                <c:pt idx="10">
                  <c:v>-0.8</c:v>
                </c:pt>
                <c:pt idx="11">
                  <c:v>-1</c:v>
                </c:pt>
                <c:pt idx="12">
                  <c:v>-1.3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8F8-4167-9567-C2EF09B8111B}"/>
            </c:ext>
          </c:extLst>
        </c:ser>
        <c:ser>
          <c:idx val="4"/>
          <c:order val="4"/>
          <c:tx>
            <c:strRef>
              <c:f>'Remington Core-Lokt PHP(2)'!$G$21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PHP(2)'!$G$23:$G$35</c:f>
              <c:numCache>
                <c:formatCode>0.000</c:formatCode>
                <c:ptCount val="13"/>
                <c:pt idx="0">
                  <c:v>0.25</c:v>
                </c:pt>
                <c:pt idx="1">
                  <c:v>0.6</c:v>
                </c:pt>
                <c:pt idx="2">
                  <c:v>0.65</c:v>
                </c:pt>
                <c:pt idx="3">
                  <c:v>0.65</c:v>
                </c:pt>
                <c:pt idx="4">
                  <c:v>0.6</c:v>
                </c:pt>
                <c:pt idx="5">
                  <c:v>0.55000000000000004</c:v>
                </c:pt>
                <c:pt idx="6">
                  <c:v>0.4</c:v>
                </c:pt>
                <c:pt idx="7">
                  <c:v>0.2</c:v>
                </c:pt>
                <c:pt idx="8">
                  <c:v>0</c:v>
                </c:pt>
                <c:pt idx="9">
                  <c:v>-0.2</c:v>
                </c:pt>
                <c:pt idx="10">
                  <c:v>-0.4</c:v>
                </c:pt>
                <c:pt idx="11">
                  <c:v>-0.65</c:v>
                </c:pt>
                <c:pt idx="12">
                  <c:v>-0.9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8F8-4167-9567-C2EF09B81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-2.0625004679298149</c:v>
                </c:pt>
                <c:pt idx="2">
                  <c:v>0</c:v>
                </c:pt>
                <c:pt idx="3">
                  <c:v>2.0625000519921892</c:v>
                </c:pt>
                <c:pt idx="4">
                  <c:v>2.750000069322919</c:v>
                </c:pt>
                <c:pt idx="5">
                  <c:v>0</c:v>
                </c:pt>
                <c:pt idx="6">
                  <c:v>-2.0625000129980471</c:v>
                </c:pt>
                <c:pt idx="7">
                  <c:v>-11.000001109166799</c:v>
                </c:pt>
                <c:pt idx="8">
                  <c:v>-24.062507430552884</c:v>
                </c:pt>
                <c:pt idx="9">
                  <c:v>-45.37503460083245</c:v>
                </c:pt>
                <c:pt idx="10">
                  <c:v>-72.187602359793317</c:v>
                </c:pt>
                <c:pt idx="11">
                  <c:v>-110.00027729250546</c:v>
                </c:pt>
                <c:pt idx="12">
                  <c:v>-154.68810928632709</c:v>
                </c:pt>
                <c:pt idx="13">
                  <c:v>-206.25116983218095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D1-43A7-ADA8-CEE65150665B}"/>
            </c:ext>
          </c:extLst>
        </c:ser>
        <c:ser>
          <c:idx val="1"/>
          <c:order val="1"/>
          <c:tx>
            <c:strRef>
              <c:f>'Remington Core-Lokt PHP(2)'!$A$78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-2.2000000000000002</c:v>
                </c:pt>
                <c:pt idx="6">
                  <c:v>-5.2</c:v>
                </c:pt>
                <c:pt idx="7">
                  <c:v>-9.4</c:v>
                </c:pt>
                <c:pt idx="8">
                  <c:v>-15</c:v>
                </c:pt>
                <c:pt idx="9">
                  <c:v>-21.8</c:v>
                </c:pt>
                <c:pt idx="10">
                  <c:v>-30</c:v>
                </c:pt>
                <c:pt idx="11">
                  <c:v>-40</c:v>
                </c:pt>
                <c:pt idx="12">
                  <c:v>-51.2</c:v>
                </c:pt>
                <c:pt idx="13">
                  <c:v>-63.9</c:v>
                </c:pt>
                <c:pt idx="14">
                  <c:v>-78.900000000000006</c:v>
                </c:pt>
                <c:pt idx="15">
                  <c:v>-95.1</c:v>
                </c:pt>
                <c:pt idx="16">
                  <c:v>-113.2</c:v>
                </c:pt>
                <c:pt idx="17">
                  <c:v>-134</c:v>
                </c:pt>
                <c:pt idx="18">
                  <c:v>-156</c:v>
                </c:pt>
                <c:pt idx="19">
                  <c:v>-180.2</c:v>
                </c:pt>
                <c:pt idx="20">
                  <c:v>-206.7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D1-43A7-ADA8-CEE65150665B}"/>
            </c:ext>
          </c:extLst>
        </c:ser>
        <c:ser>
          <c:idx val="2"/>
          <c:order val="2"/>
          <c:tx>
            <c:strRef>
              <c:f>'Remington Core-Lokt PHP(2)'!$H$78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-2.1</c:v>
                </c:pt>
                <c:pt idx="6">
                  <c:v>-5</c:v>
                </c:pt>
                <c:pt idx="7">
                  <c:v>-9.1</c:v>
                </c:pt>
                <c:pt idx="8">
                  <c:v>-14.7</c:v>
                </c:pt>
                <c:pt idx="9">
                  <c:v>-21.3</c:v>
                </c:pt>
                <c:pt idx="10">
                  <c:v>-29.3</c:v>
                </c:pt>
                <c:pt idx="11">
                  <c:v>-39</c:v>
                </c:pt>
                <c:pt idx="12">
                  <c:v>-49.8</c:v>
                </c:pt>
                <c:pt idx="13">
                  <c:v>-62.2</c:v>
                </c:pt>
                <c:pt idx="14">
                  <c:v>-76.599999999999994</c:v>
                </c:pt>
                <c:pt idx="15">
                  <c:v>-92.3</c:v>
                </c:pt>
                <c:pt idx="16">
                  <c:v>-109.6</c:v>
                </c:pt>
                <c:pt idx="17">
                  <c:v>-129.5</c:v>
                </c:pt>
                <c:pt idx="18">
                  <c:v>-150.6</c:v>
                </c:pt>
                <c:pt idx="19">
                  <c:v>-173.6</c:v>
                </c:pt>
                <c:pt idx="20">
                  <c:v>-198.8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04-4BFD-933C-80B802264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-2.4062507430552884</c:v>
                </c:pt>
                <c:pt idx="2">
                  <c:v>0</c:v>
                </c:pt>
                <c:pt idx="3">
                  <c:v>1.0312500064990235</c:v>
                </c:pt>
                <c:pt idx="4">
                  <c:v>0</c:v>
                </c:pt>
                <c:pt idx="5">
                  <c:v>0</c:v>
                </c:pt>
                <c:pt idx="6">
                  <c:v>-4.1250001039843784</c:v>
                </c:pt>
                <c:pt idx="7">
                  <c:v>-13.750002166341554</c:v>
                </c:pt>
                <c:pt idx="8">
                  <c:v>-27.500011091672039</c:v>
                </c:pt>
                <c:pt idx="9">
                  <c:v>-49.500044921298922</c:v>
                </c:pt>
                <c:pt idx="10">
                  <c:v>-77.000124226907175</c:v>
                </c:pt>
                <c:pt idx="11">
                  <c:v>-115.50032100083621</c:v>
                </c:pt>
                <c:pt idx="12">
                  <c:v>-160.87568536451937</c:v>
                </c:pt>
                <c:pt idx="13">
                  <c:v>-199.37605670460479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39-4514-8743-C1033FF7D8C1}"/>
            </c:ext>
          </c:extLst>
        </c:ser>
        <c:ser>
          <c:idx val="1"/>
          <c:order val="1"/>
          <c:tx>
            <c:strRef>
              <c:f>'Remington Core-Lokt PHP(2)'!$A$102</c:f>
              <c:strCache>
                <c:ptCount val="1"/>
                <c:pt idx="0">
                  <c:v>100m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-4.7</c:v>
                </c:pt>
                <c:pt idx="7">
                  <c:v>-8.8000000000000007</c:v>
                </c:pt>
                <c:pt idx="8">
                  <c:v>-14.4</c:v>
                </c:pt>
                <c:pt idx="9">
                  <c:v>-21.1</c:v>
                </c:pt>
                <c:pt idx="10">
                  <c:v>-29.2</c:v>
                </c:pt>
                <c:pt idx="11">
                  <c:v>-39.1</c:v>
                </c:pt>
                <c:pt idx="12">
                  <c:v>-50.2</c:v>
                </c:pt>
                <c:pt idx="13">
                  <c:v>-62.8</c:v>
                </c:pt>
                <c:pt idx="14">
                  <c:v>-77.7</c:v>
                </c:pt>
                <c:pt idx="15">
                  <c:v>-93.9</c:v>
                </c:pt>
                <c:pt idx="16">
                  <c:v>-111.9</c:v>
                </c:pt>
                <c:pt idx="17">
                  <c:v>-132.5</c:v>
                </c:pt>
                <c:pt idx="18">
                  <c:v>-154.5</c:v>
                </c:pt>
                <c:pt idx="19">
                  <c:v>-178.6</c:v>
                </c:pt>
                <c:pt idx="20">
                  <c:v>-205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39-4514-8743-C1033FF7D8C1}"/>
            </c:ext>
          </c:extLst>
        </c:ser>
        <c:ser>
          <c:idx val="2"/>
          <c:order val="2"/>
          <c:tx>
            <c:strRef>
              <c:f>'Remington Core-Lokt PHP(2)'!$H$102</c:f>
              <c:strCache>
                <c:ptCount val="1"/>
                <c:pt idx="0">
                  <c:v>100m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-4.5999999999999996</c:v>
                </c:pt>
                <c:pt idx="7">
                  <c:v>-8.6</c:v>
                </c:pt>
                <c:pt idx="8">
                  <c:v>-14.1</c:v>
                </c:pt>
                <c:pt idx="9">
                  <c:v>-20.6</c:v>
                </c:pt>
                <c:pt idx="10">
                  <c:v>-28.5</c:v>
                </c:pt>
                <c:pt idx="11">
                  <c:v>-38.1</c:v>
                </c:pt>
                <c:pt idx="12">
                  <c:v>-48.9</c:v>
                </c:pt>
                <c:pt idx="13">
                  <c:v>-61.2</c:v>
                </c:pt>
                <c:pt idx="14">
                  <c:v>-75.599999999999994</c:v>
                </c:pt>
                <c:pt idx="15">
                  <c:v>-91.1</c:v>
                </c:pt>
                <c:pt idx="16">
                  <c:v>-108.4</c:v>
                </c:pt>
                <c:pt idx="17">
                  <c:v>-128.19999999999999</c:v>
                </c:pt>
                <c:pt idx="18">
                  <c:v>-149.19999999999999</c:v>
                </c:pt>
                <c:pt idx="19">
                  <c:v>-172.2</c:v>
                </c:pt>
                <c:pt idx="20">
                  <c:v>-197.3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45-4C7D-BAC1-C5357DD7B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-1.7187502707926943</c:v>
                </c:pt>
                <c:pt idx="2">
                  <c:v>1.3750000346614595</c:v>
                </c:pt>
                <c:pt idx="3">
                  <c:v>3.0937501754736449</c:v>
                </c:pt>
                <c:pt idx="4">
                  <c:v>2.750000069322919</c:v>
                </c:pt>
                <c:pt idx="5">
                  <c:v>3.4375000866536483</c:v>
                </c:pt>
                <c:pt idx="6">
                  <c:v>0</c:v>
                </c:pt>
                <c:pt idx="7">
                  <c:v>-8.2500004679297199</c:v>
                </c:pt>
                <c:pt idx="8">
                  <c:v>-24.062507430552884</c:v>
                </c:pt>
                <c:pt idx="9">
                  <c:v>-41.250025996113408</c:v>
                </c:pt>
                <c:pt idx="10">
                  <c:v>-67.375083222284815</c:v>
                </c:pt>
                <c:pt idx="11">
                  <c:v>-104.50023774359174</c:v>
                </c:pt>
                <c:pt idx="12">
                  <c:v>-142.312974443607</c:v>
                </c:pt>
                <c:pt idx="13">
                  <c:v>-192.50095111605583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E-4A13-B53F-086B85B28E9A}"/>
            </c:ext>
          </c:extLst>
        </c:ser>
        <c:ser>
          <c:idx val="1"/>
          <c:order val="1"/>
          <c:tx>
            <c:strRef>
              <c:f>'Remington Core-Lokt PHP(2)'!$A$102</c:f>
              <c:strCache>
                <c:ptCount val="1"/>
                <c:pt idx="0">
                  <c:v>100m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1.8</c:v>
                </c:pt>
                <c:pt idx="3">
                  <c:v>3</c:v>
                </c:pt>
                <c:pt idx="4">
                  <c:v>3.1</c:v>
                </c:pt>
                <c:pt idx="5">
                  <c:v>2.1</c:v>
                </c:pt>
                <c:pt idx="6">
                  <c:v>0</c:v>
                </c:pt>
                <c:pt idx="7">
                  <c:v>-3.3</c:v>
                </c:pt>
                <c:pt idx="8">
                  <c:v>-8.1</c:v>
                </c:pt>
                <c:pt idx="9">
                  <c:v>-14</c:v>
                </c:pt>
                <c:pt idx="10">
                  <c:v>-21.3</c:v>
                </c:pt>
                <c:pt idx="11">
                  <c:v>-30.4</c:v>
                </c:pt>
                <c:pt idx="12">
                  <c:v>-40.799999999999997</c:v>
                </c:pt>
                <c:pt idx="13">
                  <c:v>-52.7</c:v>
                </c:pt>
                <c:pt idx="14">
                  <c:v>-66.8</c:v>
                </c:pt>
                <c:pt idx="15">
                  <c:v>-82.1</c:v>
                </c:pt>
                <c:pt idx="16">
                  <c:v>-99.3</c:v>
                </c:pt>
                <c:pt idx="17">
                  <c:v>-119.2</c:v>
                </c:pt>
                <c:pt idx="18">
                  <c:v>-140.4</c:v>
                </c:pt>
                <c:pt idx="19">
                  <c:v>-163.80000000000001</c:v>
                </c:pt>
                <c:pt idx="20">
                  <c:v>-189.3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BE-4A13-B53F-086B85B28E9A}"/>
            </c:ext>
          </c:extLst>
        </c:ser>
        <c:ser>
          <c:idx val="2"/>
          <c:order val="2"/>
          <c:tx>
            <c:strRef>
              <c:f>'Remington Core-Lokt PHP(2)'!$H$102</c:f>
              <c:strCache>
                <c:ptCount val="1"/>
                <c:pt idx="0">
                  <c:v>100m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-4.5999999999999996</c:v>
                </c:pt>
                <c:pt idx="7">
                  <c:v>-8.6</c:v>
                </c:pt>
                <c:pt idx="8">
                  <c:v>-14.1</c:v>
                </c:pt>
                <c:pt idx="9">
                  <c:v>-20.6</c:v>
                </c:pt>
                <c:pt idx="10">
                  <c:v>-28.5</c:v>
                </c:pt>
                <c:pt idx="11">
                  <c:v>-38.1</c:v>
                </c:pt>
                <c:pt idx="12">
                  <c:v>-48.9</c:v>
                </c:pt>
                <c:pt idx="13">
                  <c:v>-61.2</c:v>
                </c:pt>
                <c:pt idx="14">
                  <c:v>-75.599999999999994</c:v>
                </c:pt>
                <c:pt idx="15">
                  <c:v>-91.1</c:v>
                </c:pt>
                <c:pt idx="16">
                  <c:v>-108.4</c:v>
                </c:pt>
                <c:pt idx="17">
                  <c:v>-128.19999999999999</c:v>
                </c:pt>
                <c:pt idx="18">
                  <c:v>-149.19999999999999</c:v>
                </c:pt>
                <c:pt idx="19">
                  <c:v>-172.2</c:v>
                </c:pt>
                <c:pt idx="20">
                  <c:v>-197.3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69-4B31-B050-B5BE213BE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2.5000002083333537</c:v>
                </c:pt>
                <c:pt idx="3">
                  <c:v>4.6875006103516581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5.6250002636718905</c:v>
                </c:pt>
                <c:pt idx="7">
                  <c:v>0</c:v>
                </c:pt>
                <c:pt idx="8">
                  <c:v>-9.3750004394531494</c:v>
                </c:pt>
                <c:pt idx="9">
                  <c:v>-26.250006699220808</c:v>
                </c:pt>
                <c:pt idx="10">
                  <c:v>-48.125030328798971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19-4CD1-AC16-38C71C72A568}"/>
            </c:ext>
          </c:extLst>
        </c:ser>
        <c:ser>
          <c:idx val="1"/>
          <c:order val="1"/>
          <c:tx>
            <c:strRef>
              <c:f>'Remington Core-Lokt PHP(2)'!$A$150</c:f>
              <c:strCache>
                <c:ptCount val="1"/>
                <c:pt idx="0">
                  <c:v>200m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'Remington Core-Lokt PHP(2)'!$A$152:$A$172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3.8</c:v>
                </c:pt>
                <c:pt idx="3">
                  <c:v>6</c:v>
                </c:pt>
                <c:pt idx="4">
                  <c:v>7.2</c:v>
                </c:pt>
                <c:pt idx="5">
                  <c:v>7.2</c:v>
                </c:pt>
                <c:pt idx="6">
                  <c:v>6.1</c:v>
                </c:pt>
                <c:pt idx="7">
                  <c:v>3.7</c:v>
                </c:pt>
                <c:pt idx="8">
                  <c:v>0</c:v>
                </c:pt>
                <c:pt idx="9">
                  <c:v>-5</c:v>
                </c:pt>
                <c:pt idx="10">
                  <c:v>-11.3</c:v>
                </c:pt>
                <c:pt idx="11">
                  <c:v>-19.399999999999999</c:v>
                </c:pt>
                <c:pt idx="12">
                  <c:v>-28.7</c:v>
                </c:pt>
                <c:pt idx="13">
                  <c:v>-39.6</c:v>
                </c:pt>
                <c:pt idx="14">
                  <c:v>-52.7</c:v>
                </c:pt>
                <c:pt idx="15">
                  <c:v>-67</c:v>
                </c:pt>
                <c:pt idx="16">
                  <c:v>-83.2</c:v>
                </c:pt>
                <c:pt idx="17">
                  <c:v>-102.1</c:v>
                </c:pt>
                <c:pt idx="18">
                  <c:v>-122.3</c:v>
                </c:pt>
                <c:pt idx="19">
                  <c:v>-144.69999999999999</c:v>
                </c:pt>
                <c:pt idx="20">
                  <c:v>-169.2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77-4D47-BF53-CD323C352D0F}"/>
            </c:ext>
          </c:extLst>
        </c:ser>
        <c:ser>
          <c:idx val="2"/>
          <c:order val="2"/>
          <c:tx>
            <c:strRef>
              <c:f>'Remington Core-Lokt PHP(2)'!$H$150</c:f>
              <c:strCache>
                <c:ptCount val="1"/>
                <c:pt idx="0">
                  <c:v>200m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PHP(2)'!$H$152:$H$172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3.7</c:v>
                </c:pt>
                <c:pt idx="3">
                  <c:v>5.9</c:v>
                </c:pt>
                <c:pt idx="4">
                  <c:v>7</c:v>
                </c:pt>
                <c:pt idx="5">
                  <c:v>7</c:v>
                </c:pt>
                <c:pt idx="6">
                  <c:v>5.9</c:v>
                </c:pt>
                <c:pt idx="7">
                  <c:v>3.6</c:v>
                </c:pt>
                <c:pt idx="8">
                  <c:v>0</c:v>
                </c:pt>
                <c:pt idx="9">
                  <c:v>-4.8</c:v>
                </c:pt>
                <c:pt idx="10">
                  <c:v>-11</c:v>
                </c:pt>
                <c:pt idx="11">
                  <c:v>-18.8</c:v>
                </c:pt>
                <c:pt idx="12">
                  <c:v>-27.9</c:v>
                </c:pt>
                <c:pt idx="13">
                  <c:v>-38.4</c:v>
                </c:pt>
                <c:pt idx="14">
                  <c:v>-51</c:v>
                </c:pt>
                <c:pt idx="15">
                  <c:v>-64.8</c:v>
                </c:pt>
                <c:pt idx="16">
                  <c:v>-80.400000000000006</c:v>
                </c:pt>
                <c:pt idx="17">
                  <c:v>-98.4</c:v>
                </c:pt>
                <c:pt idx="18">
                  <c:v>-117.7</c:v>
                </c:pt>
                <c:pt idx="19">
                  <c:v>-138.9</c:v>
                </c:pt>
                <c:pt idx="20">
                  <c:v>-162.30000000000001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77-4D47-BF53-CD323C352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1.5625002034505526</c:v>
                </c:pt>
                <c:pt idx="2">
                  <c:v>7.5000056250050626</c:v>
                </c:pt>
                <c:pt idx="3">
                  <c:v>12.187510727550393</c:v>
                </c:pt>
                <c:pt idx="4">
                  <c:v>16.250014303400523</c:v>
                </c:pt>
                <c:pt idx="5">
                  <c:v>18.750014062512658</c:v>
                </c:pt>
                <c:pt idx="6">
                  <c:v>20.625012998056704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-73.12506436530235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57-400E-9DA5-6994CDA4F9CB}"/>
            </c:ext>
          </c:extLst>
        </c:ser>
        <c:ser>
          <c:idx val="1"/>
          <c:order val="1"/>
          <c:tx>
            <c:strRef>
              <c:f>'Remington Core-Lokt PHP(2)'!$A$174</c:f>
              <c:strCache>
                <c:ptCount val="1"/>
                <c:pt idx="0">
                  <c:v>300m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2.8</c:v>
                </c:pt>
                <c:pt idx="2">
                  <c:v>8.6</c:v>
                </c:pt>
                <c:pt idx="3">
                  <c:v>13.2</c:v>
                </c:pt>
                <c:pt idx="4">
                  <c:v>16.7</c:v>
                </c:pt>
                <c:pt idx="5">
                  <c:v>19.2</c:v>
                </c:pt>
                <c:pt idx="6">
                  <c:v>20.399999999999999</c:v>
                </c:pt>
                <c:pt idx="7">
                  <c:v>20.5</c:v>
                </c:pt>
                <c:pt idx="8">
                  <c:v>19.2</c:v>
                </c:pt>
                <c:pt idx="9">
                  <c:v>16.600000000000001</c:v>
                </c:pt>
                <c:pt idx="10">
                  <c:v>12.7</c:v>
                </c:pt>
                <c:pt idx="11">
                  <c:v>7</c:v>
                </c:pt>
                <c:pt idx="12">
                  <c:v>0.1</c:v>
                </c:pt>
                <c:pt idx="13">
                  <c:v>-8.5</c:v>
                </c:pt>
                <c:pt idx="14">
                  <c:v>-19.100000000000001</c:v>
                </c:pt>
                <c:pt idx="15">
                  <c:v>-31.1</c:v>
                </c:pt>
                <c:pt idx="16">
                  <c:v>-44.9</c:v>
                </c:pt>
                <c:pt idx="17">
                  <c:v>-61.3</c:v>
                </c:pt>
                <c:pt idx="18">
                  <c:v>-79.2</c:v>
                </c:pt>
                <c:pt idx="19">
                  <c:v>-99.2</c:v>
                </c:pt>
                <c:pt idx="20">
                  <c:v>-121.4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57-400E-9DA5-6994CDA4F9CB}"/>
            </c:ext>
          </c:extLst>
        </c:ser>
        <c:ser>
          <c:idx val="2"/>
          <c:order val="2"/>
          <c:tx>
            <c:strRef>
              <c:f>'Remington Core-Lokt PHP(2)'!$H$174</c:f>
              <c:strCache>
                <c:ptCount val="1"/>
                <c:pt idx="0">
                  <c:v>300m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PHP(2)'!$H$176:$H$196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8.4</c:v>
                </c:pt>
                <c:pt idx="3">
                  <c:v>12.9</c:v>
                </c:pt>
                <c:pt idx="4">
                  <c:v>16.3</c:v>
                </c:pt>
                <c:pt idx="5">
                  <c:v>18.7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18.7</c:v>
                </c:pt>
                <c:pt idx="9">
                  <c:v>16.100000000000001</c:v>
                </c:pt>
                <c:pt idx="10">
                  <c:v>12.3</c:v>
                </c:pt>
                <c:pt idx="11">
                  <c:v>6.8</c:v>
                </c:pt>
                <c:pt idx="12">
                  <c:v>0.1</c:v>
                </c:pt>
                <c:pt idx="13">
                  <c:v>-8.1999999999999993</c:v>
                </c:pt>
                <c:pt idx="14">
                  <c:v>-18.399999999999999</c:v>
                </c:pt>
                <c:pt idx="15">
                  <c:v>-29.9</c:v>
                </c:pt>
                <c:pt idx="16">
                  <c:v>-43.1</c:v>
                </c:pt>
                <c:pt idx="17">
                  <c:v>-58.8</c:v>
                </c:pt>
                <c:pt idx="18">
                  <c:v>-75.8</c:v>
                </c:pt>
                <c:pt idx="19">
                  <c:v>-94.7</c:v>
                </c:pt>
                <c:pt idx="20">
                  <c:v>-115.7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8F-4EA2-808C-80395CBF2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3487.8</c:v>
                </c:pt>
                <c:pt idx="1">
                  <c:v>3417.3</c:v>
                </c:pt>
                <c:pt idx="2">
                  <c:v>3342.6</c:v>
                </c:pt>
                <c:pt idx="3">
                  <c:v>3270.5</c:v>
                </c:pt>
                <c:pt idx="4">
                  <c:v>3188.9</c:v>
                </c:pt>
                <c:pt idx="5">
                  <c:v>3121</c:v>
                </c:pt>
                <c:pt idx="6">
                  <c:v>3044.1</c:v>
                </c:pt>
                <c:pt idx="7">
                  <c:v>2907.2</c:v>
                </c:pt>
                <c:pt idx="8">
                  <c:v>2772.2</c:v>
                </c:pt>
                <c:pt idx="9">
                  <c:v>2640.3</c:v>
                </c:pt>
                <c:pt idx="10">
                  <c:v>2512.1999999999998</c:v>
                </c:pt>
                <c:pt idx="11">
                  <c:v>2396.1</c:v>
                </c:pt>
                <c:pt idx="12">
                  <c:v>2281.4</c:v>
                </c:pt>
                <c:pt idx="13">
                  <c:v>2167.5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76-488B-9668-96AEAEC8F99B}"/>
            </c:ext>
          </c:extLst>
        </c:ser>
        <c:ser>
          <c:idx val="1"/>
          <c:order val="1"/>
          <c:tx>
            <c:strRef>
              <c:f>'Federal Barnes TSX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HP'!$C$80:$C$100</c:f>
              <c:numCache>
                <c:formatCode>0.00</c:formatCode>
                <c:ptCount val="21"/>
                <c:pt idx="0">
                  <c:v>3490</c:v>
                </c:pt>
                <c:pt idx="1">
                  <c:v>3329</c:v>
                </c:pt>
                <c:pt idx="2">
                  <c:v>3175</c:v>
                </c:pt>
                <c:pt idx="3">
                  <c:v>3027</c:v>
                </c:pt>
                <c:pt idx="4">
                  <c:v>2884</c:v>
                </c:pt>
                <c:pt idx="5">
                  <c:v>2747</c:v>
                </c:pt>
                <c:pt idx="6">
                  <c:v>2614</c:v>
                </c:pt>
                <c:pt idx="7">
                  <c:v>2487</c:v>
                </c:pt>
                <c:pt idx="8">
                  <c:v>2364</c:v>
                </c:pt>
                <c:pt idx="9">
                  <c:v>2247</c:v>
                </c:pt>
                <c:pt idx="10">
                  <c:v>2134</c:v>
                </c:pt>
                <c:pt idx="11">
                  <c:v>2025</c:v>
                </c:pt>
                <c:pt idx="12">
                  <c:v>1921</c:v>
                </c:pt>
                <c:pt idx="13">
                  <c:v>1821</c:v>
                </c:pt>
                <c:pt idx="14">
                  <c:v>1726</c:v>
                </c:pt>
                <c:pt idx="15">
                  <c:v>1634</c:v>
                </c:pt>
                <c:pt idx="16">
                  <c:v>1547</c:v>
                </c:pt>
                <c:pt idx="17">
                  <c:v>1464</c:v>
                </c:pt>
                <c:pt idx="18">
                  <c:v>1385</c:v>
                </c:pt>
                <c:pt idx="19">
                  <c:v>1310</c:v>
                </c:pt>
                <c:pt idx="20">
                  <c:v>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76-488B-9668-96AEAEC8F99B}"/>
            </c:ext>
          </c:extLst>
        </c:ser>
        <c:ser>
          <c:idx val="2"/>
          <c:order val="2"/>
          <c:tx>
            <c:strRef>
              <c:f>'Federal Barnes TSX HP'!$H$78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HP'!$J$80:$J$100</c:f>
              <c:numCache>
                <c:formatCode>0.00</c:formatCode>
                <c:ptCount val="21"/>
                <c:pt idx="0">
                  <c:v>3489</c:v>
                </c:pt>
                <c:pt idx="1">
                  <c:v>3409</c:v>
                </c:pt>
                <c:pt idx="2">
                  <c:v>3330</c:v>
                </c:pt>
                <c:pt idx="3">
                  <c:v>3253</c:v>
                </c:pt>
                <c:pt idx="4">
                  <c:v>3176</c:v>
                </c:pt>
                <c:pt idx="5">
                  <c:v>3102</c:v>
                </c:pt>
                <c:pt idx="6">
                  <c:v>3029</c:v>
                </c:pt>
                <c:pt idx="7">
                  <c:v>2957</c:v>
                </c:pt>
                <c:pt idx="8">
                  <c:v>2886</c:v>
                </c:pt>
                <c:pt idx="9">
                  <c:v>2817</c:v>
                </c:pt>
                <c:pt idx="10">
                  <c:v>2748</c:v>
                </c:pt>
                <c:pt idx="11">
                  <c:v>2682</c:v>
                </c:pt>
                <c:pt idx="12">
                  <c:v>2616</c:v>
                </c:pt>
                <c:pt idx="13">
                  <c:v>2552</c:v>
                </c:pt>
                <c:pt idx="14">
                  <c:v>2489</c:v>
                </c:pt>
                <c:pt idx="15">
                  <c:v>2427</c:v>
                </c:pt>
                <c:pt idx="16">
                  <c:v>2366</c:v>
                </c:pt>
                <c:pt idx="17">
                  <c:v>2306</c:v>
                </c:pt>
                <c:pt idx="18">
                  <c:v>2248</c:v>
                </c:pt>
                <c:pt idx="19">
                  <c:v>2191</c:v>
                </c:pt>
                <c:pt idx="20">
                  <c:v>2137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81-4B00-AB2A-98A4FC9CA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4.4531255233002449</c:v>
                </c:pt>
                <c:pt idx="4">
                  <c:v>5.9375006977336602</c:v>
                </c:pt>
                <c:pt idx="5">
                  <c:v>10.390627393226776</c:v>
                </c:pt>
                <c:pt idx="6">
                  <c:v>0</c:v>
                </c:pt>
                <c:pt idx="7">
                  <c:v>-5.9375001744333975</c:v>
                </c:pt>
                <c:pt idx="8">
                  <c:v>-22.265630887128793</c:v>
                </c:pt>
                <c:pt idx="9">
                  <c:v>-39.187522288416091</c:v>
                </c:pt>
                <c:pt idx="10">
                  <c:v>-72.734479703823396</c:v>
                </c:pt>
                <c:pt idx="11">
                  <c:v>-95.000178620194674</c:v>
                </c:pt>
                <c:pt idx="12">
                  <c:v>-133.59414247651179</c:v>
                </c:pt>
                <c:pt idx="13">
                  <c:v>-178.12575355607157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B3-4343-9769-FBD4E2DAFC7E}"/>
            </c:ext>
          </c:extLst>
        </c:ser>
        <c:ser>
          <c:idx val="1"/>
          <c:order val="1"/>
          <c:tx>
            <c:strRef>
              <c:f>'Federal Barnes TSX HP'!$I$21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-2.815626190483516</c:v>
                </c:pt>
                <c:pt idx="2">
                  <c:v>-2.6031252351927088</c:v>
                </c:pt>
                <c:pt idx="3">
                  <c:v>0</c:v>
                </c:pt>
                <c:pt idx="4">
                  <c:v>0</c:v>
                </c:pt>
                <c:pt idx="5">
                  <c:v>-0.66406250062472028</c:v>
                </c:pt>
                <c:pt idx="6">
                  <c:v>-7.9687507496643928</c:v>
                </c:pt>
                <c:pt idx="7">
                  <c:v>-11.05000112436066</c:v>
                </c:pt>
                <c:pt idx="8">
                  <c:v>-26.562509995528604</c:v>
                </c:pt>
                <c:pt idx="9">
                  <c:v>-47.812540481913686</c:v>
                </c:pt>
                <c:pt idx="10">
                  <c:v>-73.631358625038999</c:v>
                </c:pt>
                <c:pt idx="11">
                  <c:v>-104.12523519332022</c:v>
                </c:pt>
                <c:pt idx="12">
                  <c:v>-132.9191365573885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B3-4343-9769-FBD4E2DAFC7E}"/>
            </c:ext>
          </c:extLst>
        </c:ser>
        <c:ser>
          <c:idx val="2"/>
          <c:order val="2"/>
          <c:tx>
            <c:strRef>
              <c:f>'Federal Barnes TSX HP'!$J$21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3.1250000651041678</c:v>
                </c:pt>
                <c:pt idx="6">
                  <c:v>0</c:v>
                </c:pt>
                <c:pt idx="7">
                  <c:v>-6.0000001800000051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-61.250062526118263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B3-4343-9769-FBD4E2DAFC7E}"/>
            </c:ext>
          </c:extLst>
        </c:ser>
        <c:ser>
          <c:idx val="3"/>
          <c:order val="3"/>
          <c:tx>
            <c:strRef>
              <c:f>'Federal Barnes TSX 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-60.000045000040501</c:v>
                </c:pt>
                <c:pt idx="12">
                  <c:v>-103.50018250538618</c:v>
                </c:pt>
                <c:pt idx="13">
                  <c:v>-137.00034284809627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BB3-4343-9769-FBD4E2DAFC7E}"/>
            </c:ext>
          </c:extLst>
        </c:ser>
        <c:ser>
          <c:idx val="4"/>
          <c:order val="4"/>
          <c:tx>
            <c:strRef>
              <c:f>'Federal Barnes TSX 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6.2500032552103679</c:v>
                </c:pt>
                <c:pt idx="3">
                  <c:v>9.3750048828155528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BB3-4343-9769-FBD4E2DAF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0.17499999999999999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-0.27500000000000002</c:v>
                </c:pt>
                <c:pt idx="9">
                  <c:v>-0.4375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A7-4777-A3E8-FC8C2C327200}"/>
            </c:ext>
          </c:extLst>
        </c:ser>
        <c:ser>
          <c:idx val="1"/>
          <c:order val="1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HP'!$D$23:$D$35</c:f>
              <c:numCache>
                <c:formatCode>0.000</c:formatCode>
                <c:ptCount val="13"/>
                <c:pt idx="0">
                  <c:v>-0.26500000000000001</c:v>
                </c:pt>
                <c:pt idx="1">
                  <c:v>-0.1225</c:v>
                </c:pt>
                <c:pt idx="2">
                  <c:v>0</c:v>
                </c:pt>
                <c:pt idx="3">
                  <c:v>0</c:v>
                </c:pt>
                <c:pt idx="4">
                  <c:v>-1.2500000000000001E-2</c:v>
                </c:pt>
                <c:pt idx="5">
                  <c:v>-0.125</c:v>
                </c:pt>
                <c:pt idx="6">
                  <c:v>-0.13</c:v>
                </c:pt>
                <c:pt idx="7">
                  <c:v>-0.25</c:v>
                </c:pt>
                <c:pt idx="8">
                  <c:v>-0.375</c:v>
                </c:pt>
                <c:pt idx="9">
                  <c:v>-0.495</c:v>
                </c:pt>
                <c:pt idx="10">
                  <c:v>-0.61250000000000004</c:v>
                </c:pt>
                <c:pt idx="11">
                  <c:v>-0.69499999999999995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A7-4777-A3E8-FC8C2C327200}"/>
            </c:ext>
          </c:extLst>
        </c:ser>
        <c:ser>
          <c:idx val="2"/>
          <c:order val="2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HP'!$E$23:$E$35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0.125</c:v>
                </c:pt>
                <c:pt idx="4">
                  <c:v>6.25E-2</c:v>
                </c:pt>
                <c:pt idx="5">
                  <c:v>0</c:v>
                </c:pt>
                <c:pt idx="6">
                  <c:v>-7.4999999999999997E-2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-0.4375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7A7-4777-A3E8-FC8C2C327200}"/>
            </c:ext>
          </c:extLst>
        </c:ser>
        <c:ser>
          <c:idx val="3"/>
          <c:order val="3"/>
          <c:tx>
            <c:strRef>
              <c:f>'Federal Barnes TSX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0.125</c:v>
                </c:pt>
                <c:pt idx="2">
                  <c:v>0.1875</c:v>
                </c:pt>
                <c:pt idx="3">
                  <c:v>0.1875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-0.375</c:v>
                </c:pt>
                <c:pt idx="11">
                  <c:v>-0.57499999999999996</c:v>
                </c:pt>
                <c:pt idx="12">
                  <c:v>-0.68500000000000005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7A7-4777-A3E8-FC8C2C327200}"/>
            </c:ext>
          </c:extLst>
        </c:ser>
        <c:ser>
          <c:idx val="4"/>
          <c:order val="4"/>
          <c:tx>
            <c:strRef>
              <c:f>'Federal Barnes TSX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HP'!$G$23:$G$35</c:f>
              <c:numCache>
                <c:formatCode>0.000</c:formatCode>
                <c:ptCount val="13"/>
                <c:pt idx="0">
                  <c:v>0.125</c:v>
                </c:pt>
                <c:pt idx="1">
                  <c:v>0.3125</c:v>
                </c:pt>
                <c:pt idx="2">
                  <c:v>0.3125</c:v>
                </c:pt>
                <c:pt idx="3">
                  <c:v>0.375</c:v>
                </c:pt>
                <c:pt idx="4">
                  <c:v>0.375</c:v>
                </c:pt>
                <c:pt idx="5">
                  <c:v>0.35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7A7-4777-A3E8-FC8C2C327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4.4531255233002449</c:v>
                </c:pt>
                <c:pt idx="4">
                  <c:v>5.9375006977336602</c:v>
                </c:pt>
                <c:pt idx="5">
                  <c:v>10.390627393226776</c:v>
                </c:pt>
                <c:pt idx="6">
                  <c:v>0</c:v>
                </c:pt>
                <c:pt idx="7">
                  <c:v>-5.9375001744333975</c:v>
                </c:pt>
                <c:pt idx="8">
                  <c:v>-22.265630887128793</c:v>
                </c:pt>
                <c:pt idx="9">
                  <c:v>-39.187522288416091</c:v>
                </c:pt>
                <c:pt idx="10">
                  <c:v>-72.734479703823396</c:v>
                </c:pt>
                <c:pt idx="11">
                  <c:v>-95.000178620194674</c:v>
                </c:pt>
                <c:pt idx="12">
                  <c:v>-133.59414247651179</c:v>
                </c:pt>
                <c:pt idx="13">
                  <c:v>-178.12575355607157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F3-46B7-995B-2D92B07CDC79}"/>
            </c:ext>
          </c:extLst>
        </c:ser>
        <c:ser>
          <c:idx val="1"/>
          <c:order val="1"/>
          <c:tx>
            <c:strRef>
              <c:f>'Federal Barnes TSX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-0.4</c:v>
                </c:pt>
                <c:pt idx="5">
                  <c:v>-2.2999999999999998</c:v>
                </c:pt>
                <c:pt idx="6">
                  <c:v>-5.4</c:v>
                </c:pt>
                <c:pt idx="7">
                  <c:v>-9.6999999999999993</c:v>
                </c:pt>
                <c:pt idx="8">
                  <c:v>-15.6</c:v>
                </c:pt>
                <c:pt idx="9">
                  <c:v>-22.8</c:v>
                </c:pt>
                <c:pt idx="10">
                  <c:v>-31.4</c:v>
                </c:pt>
                <c:pt idx="11">
                  <c:v>-42</c:v>
                </c:pt>
                <c:pt idx="12">
                  <c:v>-53.9</c:v>
                </c:pt>
                <c:pt idx="13">
                  <c:v>-67.599999999999994</c:v>
                </c:pt>
                <c:pt idx="14">
                  <c:v>-83.8</c:v>
                </c:pt>
                <c:pt idx="15">
                  <c:v>-101.4</c:v>
                </c:pt>
                <c:pt idx="16">
                  <c:v>-121.1</c:v>
                </c:pt>
                <c:pt idx="17">
                  <c:v>-143.9</c:v>
                </c:pt>
                <c:pt idx="18">
                  <c:v>-168.4</c:v>
                </c:pt>
                <c:pt idx="19">
                  <c:v>-195.4</c:v>
                </c:pt>
                <c:pt idx="20">
                  <c:v>-226.2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F3-46B7-995B-2D92B07CDC79}"/>
            </c:ext>
          </c:extLst>
        </c:ser>
        <c:ser>
          <c:idx val="2"/>
          <c:order val="2"/>
          <c:tx>
            <c:strRef>
              <c:f>'Federal Barnes TSX HP'!$H$78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-0.2</c:v>
                </c:pt>
                <c:pt idx="5">
                  <c:v>-1.8</c:v>
                </c:pt>
                <c:pt idx="6">
                  <c:v>-4.5</c:v>
                </c:pt>
                <c:pt idx="7">
                  <c:v>-8.1999999999999993</c:v>
                </c:pt>
                <c:pt idx="8">
                  <c:v>-13.3</c:v>
                </c:pt>
                <c:pt idx="9">
                  <c:v>-19.3</c:v>
                </c:pt>
                <c:pt idx="10">
                  <c:v>-26.5</c:v>
                </c:pt>
                <c:pt idx="11">
                  <c:v>-35.200000000000003</c:v>
                </c:pt>
                <c:pt idx="12">
                  <c:v>-44.8</c:v>
                </c:pt>
                <c:pt idx="13">
                  <c:v>-55.7</c:v>
                </c:pt>
                <c:pt idx="14">
                  <c:v>-68.3</c:v>
                </c:pt>
                <c:pt idx="15">
                  <c:v>-81.900000000000006</c:v>
                </c:pt>
                <c:pt idx="16">
                  <c:v>-96.8</c:v>
                </c:pt>
                <c:pt idx="17">
                  <c:v>-113.8</c:v>
                </c:pt>
                <c:pt idx="18">
                  <c:v>-131.6</c:v>
                </c:pt>
                <c:pt idx="19">
                  <c:v>-150.9</c:v>
                </c:pt>
                <c:pt idx="20">
                  <c:v>-171.7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81-4BBC-B4A2-FE741252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-2.815626190483516</c:v>
                </c:pt>
                <c:pt idx="2">
                  <c:v>-2.6031252351927088</c:v>
                </c:pt>
                <c:pt idx="3">
                  <c:v>0</c:v>
                </c:pt>
                <c:pt idx="4">
                  <c:v>0</c:v>
                </c:pt>
                <c:pt idx="5">
                  <c:v>-0.66406250062472028</c:v>
                </c:pt>
                <c:pt idx="6">
                  <c:v>-7.9687507496643928</c:v>
                </c:pt>
                <c:pt idx="7">
                  <c:v>-11.05000112436066</c:v>
                </c:pt>
                <c:pt idx="8">
                  <c:v>-26.562509995528604</c:v>
                </c:pt>
                <c:pt idx="9">
                  <c:v>-47.812540481913686</c:v>
                </c:pt>
                <c:pt idx="10">
                  <c:v>-73.631358625038999</c:v>
                </c:pt>
                <c:pt idx="11">
                  <c:v>-104.12523519332022</c:v>
                </c:pt>
                <c:pt idx="12">
                  <c:v>-132.9191365573885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C0-4E60-B8D4-CBDA2ABF0B58}"/>
            </c:ext>
          </c:extLst>
        </c:ser>
        <c:ser>
          <c:idx val="1"/>
          <c:order val="1"/>
          <c:tx>
            <c:strRef>
              <c:f>'Federal Barnes TSX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-4.8</c:v>
                </c:pt>
                <c:pt idx="7">
                  <c:v>-9.1</c:v>
                </c:pt>
                <c:pt idx="8">
                  <c:v>-14.9</c:v>
                </c:pt>
                <c:pt idx="9">
                  <c:v>-21.9</c:v>
                </c:pt>
                <c:pt idx="10">
                  <c:v>-30.4</c:v>
                </c:pt>
                <c:pt idx="11">
                  <c:v>-41</c:v>
                </c:pt>
                <c:pt idx="12">
                  <c:v>-52.8</c:v>
                </c:pt>
                <c:pt idx="13">
                  <c:v>-66.400000000000006</c:v>
                </c:pt>
                <c:pt idx="14">
                  <c:v>-82.4</c:v>
                </c:pt>
                <c:pt idx="15">
                  <c:v>-100</c:v>
                </c:pt>
                <c:pt idx="16">
                  <c:v>-119.6</c:v>
                </c:pt>
                <c:pt idx="17">
                  <c:v>-142.4</c:v>
                </c:pt>
                <c:pt idx="18">
                  <c:v>-166.7</c:v>
                </c:pt>
                <c:pt idx="19">
                  <c:v>-193.6</c:v>
                </c:pt>
                <c:pt idx="20">
                  <c:v>-224.3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C0-4E60-B8D4-CBDA2ABF0B58}"/>
            </c:ext>
          </c:extLst>
        </c:ser>
        <c:ser>
          <c:idx val="2"/>
          <c:order val="2"/>
          <c:tx>
            <c:strRef>
              <c:f>'Federal Barnes TSX HP'!$H$104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0.1</c:v>
                </c:pt>
                <c:pt idx="3">
                  <c:v>0.6</c:v>
                </c:pt>
                <c:pt idx="4">
                  <c:v>0</c:v>
                </c:pt>
                <c:pt idx="5">
                  <c:v>-1.6</c:v>
                </c:pt>
                <c:pt idx="6">
                  <c:v>-4.2</c:v>
                </c:pt>
                <c:pt idx="7">
                  <c:v>-7.9</c:v>
                </c:pt>
                <c:pt idx="8">
                  <c:v>-12.9</c:v>
                </c:pt>
                <c:pt idx="9">
                  <c:v>-18.899999999999999</c:v>
                </c:pt>
                <c:pt idx="10">
                  <c:v>-26</c:v>
                </c:pt>
                <c:pt idx="11">
                  <c:v>-34.6</c:v>
                </c:pt>
                <c:pt idx="12">
                  <c:v>-44.2</c:v>
                </c:pt>
                <c:pt idx="13">
                  <c:v>-55.1</c:v>
                </c:pt>
                <c:pt idx="14">
                  <c:v>-67.7</c:v>
                </c:pt>
                <c:pt idx="15">
                  <c:v>-81.2</c:v>
                </c:pt>
                <c:pt idx="16">
                  <c:v>-96.1</c:v>
                </c:pt>
                <c:pt idx="17">
                  <c:v>-113</c:v>
                </c:pt>
                <c:pt idx="18">
                  <c:v>-130.69999999999999</c:v>
                </c:pt>
                <c:pt idx="19">
                  <c:v>-150</c:v>
                </c:pt>
                <c:pt idx="20">
                  <c:v>-170.8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DC-49FD-9BC9-C4B94EA42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3.1250000651041678</c:v>
                </c:pt>
                <c:pt idx="6">
                  <c:v>0</c:v>
                </c:pt>
                <c:pt idx="7">
                  <c:v>-6.0000001800000051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-61.250062526118263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F8-42D3-8494-CD3F0830266D}"/>
            </c:ext>
          </c:extLst>
        </c:ser>
        <c:ser>
          <c:idx val="1"/>
          <c:order val="1"/>
          <c:tx>
            <c:strRef>
              <c:f>'Federal Barnes TSX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1.8</c:v>
                </c:pt>
                <c:pt idx="3">
                  <c:v>3.1</c:v>
                </c:pt>
                <c:pt idx="4">
                  <c:v>3.2</c:v>
                </c:pt>
                <c:pt idx="5">
                  <c:v>2.2000000000000002</c:v>
                </c:pt>
                <c:pt idx="6">
                  <c:v>0</c:v>
                </c:pt>
                <c:pt idx="7">
                  <c:v>-3.4</c:v>
                </c:pt>
                <c:pt idx="8">
                  <c:v>-8.4</c:v>
                </c:pt>
                <c:pt idx="9">
                  <c:v>-14.6</c:v>
                </c:pt>
                <c:pt idx="10">
                  <c:v>-22.3</c:v>
                </c:pt>
                <c:pt idx="11">
                  <c:v>-32</c:v>
                </c:pt>
                <c:pt idx="12">
                  <c:v>-43</c:v>
                </c:pt>
                <c:pt idx="13">
                  <c:v>-55.8</c:v>
                </c:pt>
                <c:pt idx="14">
                  <c:v>-71.099999999999994</c:v>
                </c:pt>
                <c:pt idx="15">
                  <c:v>-87.8</c:v>
                </c:pt>
                <c:pt idx="16">
                  <c:v>-106.7</c:v>
                </c:pt>
                <c:pt idx="17">
                  <c:v>-128.6</c:v>
                </c:pt>
                <c:pt idx="18">
                  <c:v>-152.1</c:v>
                </c:pt>
                <c:pt idx="19">
                  <c:v>-178.2</c:v>
                </c:pt>
                <c:pt idx="20">
                  <c:v>-208.1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F8-42D3-8494-CD3F0830266D}"/>
            </c:ext>
          </c:extLst>
        </c:ser>
        <c:ser>
          <c:idx val="2"/>
          <c:order val="2"/>
          <c:tx>
            <c:strRef>
              <c:f>'Federal Barnes TSX HP'!$H$126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HP'!$H$128:$H$148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HP'!$K$128:$K$148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</c:v>
                </c:pt>
                <c:pt idx="8">
                  <c:v>-7.2</c:v>
                </c:pt>
                <c:pt idx="9">
                  <c:v>-12.5</c:v>
                </c:pt>
                <c:pt idx="10">
                  <c:v>-18.899999999999999</c:v>
                </c:pt>
                <c:pt idx="11">
                  <c:v>-26.8</c:v>
                </c:pt>
                <c:pt idx="12">
                  <c:v>-35.700000000000003</c:v>
                </c:pt>
                <c:pt idx="13">
                  <c:v>-45.9</c:v>
                </c:pt>
                <c:pt idx="14">
                  <c:v>-57.7</c:v>
                </c:pt>
                <c:pt idx="15">
                  <c:v>-70.599999999999994</c:v>
                </c:pt>
                <c:pt idx="16">
                  <c:v>-84.7</c:v>
                </c:pt>
                <c:pt idx="17">
                  <c:v>-100.9</c:v>
                </c:pt>
                <c:pt idx="18">
                  <c:v>-118</c:v>
                </c:pt>
                <c:pt idx="19">
                  <c:v>-136.6</c:v>
                </c:pt>
                <c:pt idx="20">
                  <c:v>-156.6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77-498B-9ED8-3144D97F0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-60.000045000040501</c:v>
                </c:pt>
                <c:pt idx="12">
                  <c:v>-103.50018250538618</c:v>
                </c:pt>
                <c:pt idx="13">
                  <c:v>-137.00034284809627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9F-4D00-8401-BEC38F2180E8}"/>
            </c:ext>
          </c:extLst>
        </c:ser>
        <c:ser>
          <c:idx val="1"/>
          <c:order val="1"/>
          <c:tx>
            <c:strRef>
              <c:f>'Federal Barnes TSX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0.5</c:v>
                </c:pt>
                <c:pt idx="2">
                  <c:v>3.9</c:v>
                </c:pt>
                <c:pt idx="3">
                  <c:v>6.2</c:v>
                </c:pt>
                <c:pt idx="4">
                  <c:v>7.4</c:v>
                </c:pt>
                <c:pt idx="5">
                  <c:v>7.5</c:v>
                </c:pt>
                <c:pt idx="6">
                  <c:v>6.3</c:v>
                </c:pt>
                <c:pt idx="7">
                  <c:v>3.9</c:v>
                </c:pt>
                <c:pt idx="8">
                  <c:v>0</c:v>
                </c:pt>
                <c:pt idx="9">
                  <c:v>-5.2</c:v>
                </c:pt>
                <c:pt idx="10">
                  <c:v>-11.9</c:v>
                </c:pt>
                <c:pt idx="11">
                  <c:v>-20.5</c:v>
                </c:pt>
                <c:pt idx="12">
                  <c:v>-30.5</c:v>
                </c:pt>
                <c:pt idx="13">
                  <c:v>-42.3</c:v>
                </c:pt>
                <c:pt idx="14">
                  <c:v>-56.5</c:v>
                </c:pt>
                <c:pt idx="15">
                  <c:v>-72.099999999999994</c:v>
                </c:pt>
                <c:pt idx="16">
                  <c:v>-90</c:v>
                </c:pt>
                <c:pt idx="17">
                  <c:v>-110.8</c:v>
                </c:pt>
                <c:pt idx="18">
                  <c:v>-133.30000000000001</c:v>
                </c:pt>
                <c:pt idx="19">
                  <c:v>-158.4</c:v>
                </c:pt>
                <c:pt idx="20">
                  <c:v>-187.2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9F-4D00-8401-BEC38F2180E8}"/>
            </c:ext>
          </c:extLst>
        </c:ser>
        <c:ser>
          <c:idx val="2"/>
          <c:order val="2"/>
          <c:tx>
            <c:strRef>
              <c:f>'Federal Barnes TSX HP'!$H$150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HP'!$H$152:$H$172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3.3</c:v>
                </c:pt>
                <c:pt idx="3">
                  <c:v>5.4</c:v>
                </c:pt>
                <c:pt idx="4">
                  <c:v>6.4</c:v>
                </c:pt>
                <c:pt idx="5">
                  <c:v>6.5</c:v>
                </c:pt>
                <c:pt idx="6">
                  <c:v>5.4</c:v>
                </c:pt>
                <c:pt idx="7">
                  <c:v>3.3</c:v>
                </c:pt>
                <c:pt idx="8">
                  <c:v>-0.1</c:v>
                </c:pt>
                <c:pt idx="9">
                  <c:v>-4.4000000000000004</c:v>
                </c:pt>
                <c:pt idx="10">
                  <c:v>-10</c:v>
                </c:pt>
                <c:pt idx="11">
                  <c:v>-17</c:v>
                </c:pt>
                <c:pt idx="12">
                  <c:v>-25</c:v>
                </c:pt>
                <c:pt idx="13">
                  <c:v>-34.200000000000003</c:v>
                </c:pt>
                <c:pt idx="14">
                  <c:v>-45.2</c:v>
                </c:pt>
                <c:pt idx="15">
                  <c:v>-57.1</c:v>
                </c:pt>
                <c:pt idx="16">
                  <c:v>-70.400000000000006</c:v>
                </c:pt>
                <c:pt idx="17">
                  <c:v>-85.7</c:v>
                </c:pt>
                <c:pt idx="18">
                  <c:v>-101.9</c:v>
                </c:pt>
                <c:pt idx="19">
                  <c:v>-119.6</c:v>
                </c:pt>
                <c:pt idx="20">
                  <c:v>-138.80000000000001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13-4A03-AA97-F762A6A3E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6.2500032552103679</c:v>
                </c:pt>
                <c:pt idx="3">
                  <c:v>9.3750048828155528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E3-47D8-8ECD-94852904D8EA}"/>
            </c:ext>
          </c:extLst>
        </c:ser>
        <c:ser>
          <c:idx val="1"/>
          <c:order val="1"/>
          <c:tx>
            <c:strRef>
              <c:f>'Federal Barnes TSX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3</c:v>
                </c:pt>
                <c:pt idx="2">
                  <c:v>9.1</c:v>
                </c:pt>
                <c:pt idx="3">
                  <c:v>13.9</c:v>
                </c:pt>
                <c:pt idx="4">
                  <c:v>17.600000000000001</c:v>
                </c:pt>
                <c:pt idx="5">
                  <c:v>20.2</c:v>
                </c:pt>
                <c:pt idx="6">
                  <c:v>21.6</c:v>
                </c:pt>
                <c:pt idx="7">
                  <c:v>21.7</c:v>
                </c:pt>
                <c:pt idx="8">
                  <c:v>20.399999999999999</c:v>
                </c:pt>
                <c:pt idx="9">
                  <c:v>17.7</c:v>
                </c:pt>
                <c:pt idx="10">
                  <c:v>13.5</c:v>
                </c:pt>
                <c:pt idx="11">
                  <c:v>7.5</c:v>
                </c:pt>
                <c:pt idx="12">
                  <c:v>0</c:v>
                </c:pt>
                <c:pt idx="13">
                  <c:v>-9.1999999999999993</c:v>
                </c:pt>
                <c:pt idx="14">
                  <c:v>-20.8</c:v>
                </c:pt>
                <c:pt idx="15">
                  <c:v>-34</c:v>
                </c:pt>
                <c:pt idx="16">
                  <c:v>-49.3</c:v>
                </c:pt>
                <c:pt idx="17">
                  <c:v>-67.5</c:v>
                </c:pt>
                <c:pt idx="18">
                  <c:v>-87.5</c:v>
                </c:pt>
                <c:pt idx="19">
                  <c:v>-110.1</c:v>
                </c:pt>
                <c:pt idx="20">
                  <c:v>-136.30000000000001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E3-47D8-8ECD-94852904D8EA}"/>
            </c:ext>
          </c:extLst>
        </c:ser>
        <c:ser>
          <c:idx val="2"/>
          <c:order val="2"/>
          <c:tx>
            <c:strRef>
              <c:f>'Federal Barnes TSX HP'!$H$174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HP'!$H$176:$H$196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2.2999999999999998</c:v>
                </c:pt>
                <c:pt idx="2">
                  <c:v>7.6</c:v>
                </c:pt>
                <c:pt idx="3">
                  <c:v>11.7</c:v>
                </c:pt>
                <c:pt idx="4">
                  <c:v>14.8</c:v>
                </c:pt>
                <c:pt idx="5">
                  <c:v>16.899999999999999</c:v>
                </c:pt>
                <c:pt idx="6">
                  <c:v>17.899999999999999</c:v>
                </c:pt>
                <c:pt idx="7">
                  <c:v>17.899999999999999</c:v>
                </c:pt>
                <c:pt idx="8">
                  <c:v>16.7</c:v>
                </c:pt>
                <c:pt idx="9">
                  <c:v>14.4</c:v>
                </c:pt>
                <c:pt idx="10">
                  <c:v>10.9</c:v>
                </c:pt>
                <c:pt idx="11">
                  <c:v>6</c:v>
                </c:pt>
                <c:pt idx="12">
                  <c:v>0.1</c:v>
                </c:pt>
                <c:pt idx="13">
                  <c:v>-7.1</c:v>
                </c:pt>
                <c:pt idx="14">
                  <c:v>-15.9</c:v>
                </c:pt>
                <c:pt idx="15">
                  <c:v>-25.8</c:v>
                </c:pt>
                <c:pt idx="16">
                  <c:v>-37</c:v>
                </c:pt>
                <c:pt idx="17">
                  <c:v>-50.2</c:v>
                </c:pt>
                <c:pt idx="18">
                  <c:v>-64.3</c:v>
                </c:pt>
                <c:pt idx="19">
                  <c:v>-79.900000000000006</c:v>
                </c:pt>
                <c:pt idx="20">
                  <c:v>-97.1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DB-4BBF-A32C-BE241B75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SP'!$B$23:$B$36</c:f>
              <c:numCache>
                <c:formatCode>0.00</c:formatCode>
                <c:ptCount val="14"/>
                <c:pt idx="0">
                  <c:v>3719.2</c:v>
                </c:pt>
                <c:pt idx="1">
                  <c:v>3639.3</c:v>
                </c:pt>
                <c:pt idx="2">
                  <c:v>3554.7</c:v>
                </c:pt>
                <c:pt idx="3">
                  <c:v>3459.3</c:v>
                </c:pt>
                <c:pt idx="4">
                  <c:v>3380</c:v>
                </c:pt>
                <c:pt idx="5">
                  <c:v>3290.7</c:v>
                </c:pt>
                <c:pt idx="6">
                  <c:v>3216.5</c:v>
                </c:pt>
                <c:pt idx="7">
                  <c:v>3051.5</c:v>
                </c:pt>
                <c:pt idx="8">
                  <c:v>2897</c:v>
                </c:pt>
                <c:pt idx="9">
                  <c:v>2742.5</c:v>
                </c:pt>
                <c:pt idx="10">
                  <c:v>2607.8000000000002</c:v>
                </c:pt>
                <c:pt idx="11">
                  <c:v>2477</c:v>
                </c:pt>
                <c:pt idx="12">
                  <c:v>2350.6999999999998</c:v>
                </c:pt>
                <c:pt idx="13">
                  <c:v>2231.8000000000002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CE-4791-9CDE-F9971801BBC0}"/>
            </c:ext>
          </c:extLst>
        </c:ser>
        <c:ser>
          <c:idx val="1"/>
          <c:order val="1"/>
          <c:tx>
            <c:strRef>
              <c:f>'Remington Core-Lokt SP'!$A$79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SP'!$C$81:$C$101</c:f>
              <c:numCache>
                <c:formatCode>0.00</c:formatCode>
                <c:ptCount val="21"/>
                <c:pt idx="0">
                  <c:v>3719</c:v>
                </c:pt>
                <c:pt idx="1">
                  <c:v>3446</c:v>
                </c:pt>
                <c:pt idx="2">
                  <c:v>3191</c:v>
                </c:pt>
                <c:pt idx="3">
                  <c:v>2950</c:v>
                </c:pt>
                <c:pt idx="4">
                  <c:v>2724</c:v>
                </c:pt>
                <c:pt idx="5">
                  <c:v>2511</c:v>
                </c:pt>
                <c:pt idx="6">
                  <c:v>2312</c:v>
                </c:pt>
                <c:pt idx="7">
                  <c:v>2125</c:v>
                </c:pt>
                <c:pt idx="8">
                  <c:v>1951</c:v>
                </c:pt>
                <c:pt idx="9">
                  <c:v>1788</c:v>
                </c:pt>
                <c:pt idx="10">
                  <c:v>1637</c:v>
                </c:pt>
                <c:pt idx="11">
                  <c:v>1498</c:v>
                </c:pt>
                <c:pt idx="12">
                  <c:v>1370</c:v>
                </c:pt>
                <c:pt idx="13">
                  <c:v>1252</c:v>
                </c:pt>
                <c:pt idx="14">
                  <c:v>1144</c:v>
                </c:pt>
                <c:pt idx="15">
                  <c:v>1047</c:v>
                </c:pt>
                <c:pt idx="16">
                  <c:v>959</c:v>
                </c:pt>
                <c:pt idx="17">
                  <c:v>880</c:v>
                </c:pt>
                <c:pt idx="18">
                  <c:v>811</c:v>
                </c:pt>
                <c:pt idx="19">
                  <c:v>751</c:v>
                </c:pt>
                <c:pt idx="20">
                  <c:v>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CE-4791-9CDE-F9971801BBC0}"/>
            </c:ext>
          </c:extLst>
        </c:ser>
        <c:ser>
          <c:idx val="2"/>
          <c:order val="2"/>
          <c:tx>
            <c:strRef>
              <c:f>'Remington Core-Lokt SP'!$H$79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SP'!$J$81:$J$101</c:f>
              <c:numCache>
                <c:formatCode>0.00</c:formatCode>
                <c:ptCount val="21"/>
                <c:pt idx="0">
                  <c:v>3719</c:v>
                </c:pt>
                <c:pt idx="1">
                  <c:v>3633</c:v>
                </c:pt>
                <c:pt idx="2">
                  <c:v>3548</c:v>
                </c:pt>
                <c:pt idx="3">
                  <c:v>3466</c:v>
                </c:pt>
                <c:pt idx="4">
                  <c:v>3384</c:v>
                </c:pt>
                <c:pt idx="5">
                  <c:v>3304</c:v>
                </c:pt>
                <c:pt idx="6">
                  <c:v>3226</c:v>
                </c:pt>
                <c:pt idx="7">
                  <c:v>3148</c:v>
                </c:pt>
                <c:pt idx="8">
                  <c:v>3073</c:v>
                </c:pt>
                <c:pt idx="9">
                  <c:v>2999</c:v>
                </c:pt>
                <c:pt idx="10">
                  <c:v>2926</c:v>
                </c:pt>
                <c:pt idx="11">
                  <c:v>2854</c:v>
                </c:pt>
                <c:pt idx="12">
                  <c:v>2784</c:v>
                </c:pt>
                <c:pt idx="13">
                  <c:v>2715</c:v>
                </c:pt>
                <c:pt idx="14">
                  <c:v>2648</c:v>
                </c:pt>
                <c:pt idx="15">
                  <c:v>2581</c:v>
                </c:pt>
                <c:pt idx="16">
                  <c:v>2516</c:v>
                </c:pt>
                <c:pt idx="17">
                  <c:v>2453</c:v>
                </c:pt>
                <c:pt idx="18">
                  <c:v>2390</c:v>
                </c:pt>
                <c:pt idx="19">
                  <c:v>2329</c:v>
                </c:pt>
                <c:pt idx="20">
                  <c:v>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B7-4B3A-9D7B-243BC64BC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SP'!$H$22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SP'!$H$23:$H$36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5.3125003198567935</c:v>
                </c:pt>
                <c:pt idx="6">
                  <c:v>0</c:v>
                </c:pt>
                <c:pt idx="7">
                  <c:v>-10.625000999552523</c:v>
                </c:pt>
                <c:pt idx="8">
                  <c:v>-21.250005117709815</c:v>
                </c:pt>
                <c:pt idx="9">
                  <c:v>-39.843773427026107</c:v>
                </c:pt>
                <c:pt idx="10">
                  <c:v>-55.781297228899298</c:v>
                </c:pt>
                <c:pt idx="11">
                  <c:v>-93.500170292116977</c:v>
                </c:pt>
                <c:pt idx="12">
                  <c:v>-131.48474917747484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9-417B-B2E4-59912076683F}"/>
            </c:ext>
          </c:extLst>
        </c:ser>
        <c:ser>
          <c:idx val="1"/>
          <c:order val="1"/>
          <c:tx>
            <c:strRef>
              <c:f>'Remington Core-Lokt SP'!$I$22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SP'!$I$23:$I$36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-7.5000006250000615</c:v>
                </c:pt>
                <c:pt idx="7">
                  <c:v>-14.400002488320515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-90.000151875307537</c:v>
                </c:pt>
                <c:pt idx="12">
                  <c:v>-135.00040500145803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A9-417B-B2E4-59912076683F}"/>
            </c:ext>
          </c:extLst>
        </c:ser>
        <c:ser>
          <c:idx val="2"/>
          <c:order val="2"/>
          <c:tx>
            <c:strRef>
              <c:f>'Remington Core-Lokt SP'!$J$22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0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-33.000013310006445</c:v>
                </c:pt>
                <c:pt idx="10">
                  <c:v>-52.500039375035435</c:v>
                </c:pt>
                <c:pt idx="11">
                  <c:v>-88.000141973608208</c:v>
                </c:pt>
                <c:pt idx="12">
                  <c:v>-123.75031195406865</c:v>
                </c:pt>
                <c:pt idx="13">
                  <c:v>-160.00054613557032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9A9-417B-B2E4-59912076683F}"/>
            </c:ext>
          </c:extLst>
        </c:ser>
        <c:ser>
          <c:idx val="3"/>
          <c:order val="3"/>
          <c:tx>
            <c:strRef>
              <c:f>'Remington Core-Lokt SP'!$K$22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-1.3500001312200154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8.7500014291669466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-72.000077760100766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9A9-417B-B2E4-59912076683F}"/>
            </c:ext>
          </c:extLst>
        </c:ser>
        <c:ser>
          <c:idx val="4"/>
          <c:order val="4"/>
          <c:tx>
            <c:strRef>
              <c:f>'Remington Core-Lokt SP'!$L$22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SP'!$L$23:$L$36</c:f>
              <c:numCache>
                <c:formatCode>0.00</c:formatCode>
                <c:ptCount val="14"/>
                <c:pt idx="0">
                  <c:v>-3.81</c:v>
                </c:pt>
                <c:pt idx="1">
                  <c:v>0.62500001302083352</c:v>
                </c:pt>
                <c:pt idx="2">
                  <c:v>7.5000056250050626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15.625008138025919</c:v>
                </c:pt>
                <c:pt idx="6">
                  <c:v>19.200010485766871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9A9-417B-B2E4-599120766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SP'!$C$22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SP'!$C$24:$C$36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</c:v>
                </c:pt>
                <c:pt idx="5">
                  <c:v>0</c:v>
                </c:pt>
                <c:pt idx="6">
                  <c:v>-0.125</c:v>
                </c:pt>
                <c:pt idx="7">
                  <c:v>-0.2</c:v>
                </c:pt>
                <c:pt idx="8">
                  <c:v>-0.3125</c:v>
                </c:pt>
                <c:pt idx="9">
                  <c:v>-0.375</c:v>
                </c:pt>
                <c:pt idx="10">
                  <c:v>-0.55000000000000004</c:v>
                </c:pt>
                <c:pt idx="11">
                  <c:v>-0.6875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19-4B20-BB6A-A507D871E083}"/>
            </c:ext>
          </c:extLst>
        </c:ser>
        <c:ser>
          <c:idx val="1"/>
          <c:order val="1"/>
          <c:tx>
            <c:strRef>
              <c:f>'Remington Core-Lokt SP'!$D$22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SP'!$D$24:$D$36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-0.125</c:v>
                </c:pt>
                <c:pt idx="6">
                  <c:v>-0.18</c:v>
                </c:pt>
                <c:pt idx="7">
                  <c:v>-0.25</c:v>
                </c:pt>
                <c:pt idx="8">
                  <c:v>-0.375</c:v>
                </c:pt>
                <c:pt idx="9">
                  <c:v>-0.5</c:v>
                </c:pt>
                <c:pt idx="10">
                  <c:v>-0.5625</c:v>
                </c:pt>
                <c:pt idx="11">
                  <c:v>-0.75</c:v>
                </c:pt>
                <c:pt idx="12">
                  <c:v>-0.875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19-4B20-BB6A-A507D871E083}"/>
            </c:ext>
          </c:extLst>
        </c:ser>
        <c:ser>
          <c:idx val="2"/>
          <c:order val="2"/>
          <c:tx>
            <c:strRef>
              <c:f>'Remington Core-Lokt SP'!$E$22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SP'!$E$24:$E$36</c:f>
              <c:numCache>
                <c:formatCode>0.000</c:formatCode>
                <c:ptCount val="13"/>
                <c:pt idx="0">
                  <c:v>-0.245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</c:v>
                </c:pt>
                <c:pt idx="6">
                  <c:v>-0.125</c:v>
                </c:pt>
                <c:pt idx="7">
                  <c:v>-0.1875</c:v>
                </c:pt>
                <c:pt idx="8">
                  <c:v>-0.27500000000000002</c:v>
                </c:pt>
                <c:pt idx="9">
                  <c:v>-0.375</c:v>
                </c:pt>
                <c:pt idx="10">
                  <c:v>-0.55000000000000004</c:v>
                </c:pt>
                <c:pt idx="11">
                  <c:v>-0.6875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19-4B20-BB6A-A507D871E083}"/>
            </c:ext>
          </c:extLst>
        </c:ser>
        <c:ser>
          <c:idx val="3"/>
          <c:order val="3"/>
          <c:tx>
            <c:strRef>
              <c:f>'Remington Core-Lokt SP'!$F$22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SP'!$F$24:$F$36</c:f>
              <c:numCache>
                <c:formatCode>0.000</c:formatCode>
                <c:ptCount val="13"/>
                <c:pt idx="0">
                  <c:v>-0.13500000000000001</c:v>
                </c:pt>
                <c:pt idx="1">
                  <c:v>0.125</c:v>
                </c:pt>
                <c:pt idx="2">
                  <c:v>0.1875</c:v>
                </c:pt>
                <c:pt idx="3">
                  <c:v>0.1875</c:v>
                </c:pt>
                <c:pt idx="4">
                  <c:v>0.17499999999999999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-0.45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19-4B20-BB6A-A507D871E083}"/>
            </c:ext>
          </c:extLst>
        </c:ser>
        <c:ser>
          <c:idx val="4"/>
          <c:order val="4"/>
          <c:tx>
            <c:strRef>
              <c:f>'Remington Core-Lokt SP'!$G$22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SP'!$G$24:$G$36</c:f>
              <c:numCache>
                <c:formatCode>0.000</c:formatCode>
                <c:ptCount val="13"/>
                <c:pt idx="0">
                  <c:v>6.25E-2</c:v>
                </c:pt>
                <c:pt idx="1">
                  <c:v>0.375</c:v>
                </c:pt>
                <c:pt idx="2">
                  <c:v>0.375</c:v>
                </c:pt>
                <c:pt idx="3">
                  <c:v>0.375</c:v>
                </c:pt>
                <c:pt idx="4">
                  <c:v>0.3125</c:v>
                </c:pt>
                <c:pt idx="5">
                  <c:v>0.32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019-4B20-BB6A-A507D871E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layout>
        <c:manualLayout>
          <c:xMode val="edge"/>
          <c:yMode val="edge"/>
          <c:x val="0.40869158796773597"/>
          <c:y val="2.9197080291970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SP'!$H$22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SP'!$H$23:$H$36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5.3125003198567935</c:v>
                </c:pt>
                <c:pt idx="6">
                  <c:v>0</c:v>
                </c:pt>
                <c:pt idx="7">
                  <c:v>-10.625000999552523</c:v>
                </c:pt>
                <c:pt idx="8">
                  <c:v>-21.250005117709815</c:v>
                </c:pt>
                <c:pt idx="9">
                  <c:v>-39.843773427026107</c:v>
                </c:pt>
                <c:pt idx="10">
                  <c:v>-55.781297228899298</c:v>
                </c:pt>
                <c:pt idx="11">
                  <c:v>-93.500170292116977</c:v>
                </c:pt>
                <c:pt idx="12">
                  <c:v>-131.48474917747484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65-4340-AE00-E1B33A47392E}"/>
            </c:ext>
          </c:extLst>
        </c:ser>
        <c:ser>
          <c:idx val="1"/>
          <c:order val="1"/>
          <c:tx>
            <c:strRef>
              <c:f>'Remington Core-Lokt SP'!$A$103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SP'!$D$81:$D$101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0.2</c:v>
                </c:pt>
                <c:pt idx="4">
                  <c:v>-0.7</c:v>
                </c:pt>
                <c:pt idx="5">
                  <c:v>-3.2</c:v>
                </c:pt>
                <c:pt idx="6">
                  <c:v>-7</c:v>
                </c:pt>
                <c:pt idx="7">
                  <c:v>-12.3</c:v>
                </c:pt>
                <c:pt idx="8">
                  <c:v>-19.7</c:v>
                </c:pt>
                <c:pt idx="9">
                  <c:v>-28.8</c:v>
                </c:pt>
                <c:pt idx="10">
                  <c:v>-40</c:v>
                </c:pt>
                <c:pt idx="11">
                  <c:v>-54.1</c:v>
                </c:pt>
                <c:pt idx="12">
                  <c:v>-70.3</c:v>
                </c:pt>
                <c:pt idx="13">
                  <c:v>-89.2</c:v>
                </c:pt>
                <c:pt idx="14">
                  <c:v>-112.2</c:v>
                </c:pt>
                <c:pt idx="15">
                  <c:v>-137.80000000000001</c:v>
                </c:pt>
                <c:pt idx="16">
                  <c:v>-167.2</c:v>
                </c:pt>
                <c:pt idx="17">
                  <c:v>-202.1</c:v>
                </c:pt>
                <c:pt idx="18">
                  <c:v>-240.3</c:v>
                </c:pt>
                <c:pt idx="19">
                  <c:v>-283.3</c:v>
                </c:pt>
                <c:pt idx="20">
                  <c:v>-331.6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65-4340-AE00-E1B33A47392E}"/>
            </c:ext>
          </c:extLst>
        </c:ser>
        <c:ser>
          <c:idx val="2"/>
          <c:order val="2"/>
          <c:tx>
            <c:strRef>
              <c:f>'Remington Core-Lokt SP'!$H$79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SP'!$K$81:$K$101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</c:v>
                </c:pt>
                <c:pt idx="6">
                  <c:v>-4.8</c:v>
                </c:pt>
                <c:pt idx="7">
                  <c:v>-8.6999999999999993</c:v>
                </c:pt>
                <c:pt idx="8">
                  <c:v>-13.9</c:v>
                </c:pt>
                <c:pt idx="9">
                  <c:v>-20.100000000000001</c:v>
                </c:pt>
                <c:pt idx="10">
                  <c:v>-27.5</c:v>
                </c:pt>
                <c:pt idx="11">
                  <c:v>-36.5</c:v>
                </c:pt>
                <c:pt idx="12">
                  <c:v>-46.4</c:v>
                </c:pt>
                <c:pt idx="13">
                  <c:v>-57.6</c:v>
                </c:pt>
                <c:pt idx="14">
                  <c:v>-70.599999999999994</c:v>
                </c:pt>
                <c:pt idx="15">
                  <c:v>-84.5</c:v>
                </c:pt>
                <c:pt idx="16">
                  <c:v>-99.9</c:v>
                </c:pt>
                <c:pt idx="17">
                  <c:v>-117.3</c:v>
                </c:pt>
                <c:pt idx="18">
                  <c:v>-135.6</c:v>
                </c:pt>
                <c:pt idx="19">
                  <c:v>-155.5</c:v>
                </c:pt>
                <c:pt idx="20">
                  <c:v>-176.9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A3-4677-8FC1-62A6C1035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SP'!$I$23:$I$36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-7.5000006250000615</c:v>
                </c:pt>
                <c:pt idx="7">
                  <c:v>-14.400002488320515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-90.000151875307537</c:v>
                </c:pt>
                <c:pt idx="12">
                  <c:v>-135.00040500145803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A9-4D8A-B00C-290686E76C58}"/>
            </c:ext>
          </c:extLst>
        </c:ser>
        <c:ser>
          <c:idx val="1"/>
          <c:order val="1"/>
          <c:tx>
            <c:strRef>
              <c:f>'Remington Core-Lokt SP'!$A$127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SP'!$A$105:$A$125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SP'!$D$105:$D$125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0.4</c:v>
                </c:pt>
                <c:pt idx="3">
                  <c:v>0.8</c:v>
                </c:pt>
                <c:pt idx="4">
                  <c:v>0</c:v>
                </c:pt>
                <c:pt idx="5">
                  <c:v>-2.2000000000000002</c:v>
                </c:pt>
                <c:pt idx="6">
                  <c:v>-5.8</c:v>
                </c:pt>
                <c:pt idx="7">
                  <c:v>-11</c:v>
                </c:pt>
                <c:pt idx="8">
                  <c:v>-18.2</c:v>
                </c:pt>
                <c:pt idx="9">
                  <c:v>-27.1</c:v>
                </c:pt>
                <c:pt idx="10">
                  <c:v>-38.1</c:v>
                </c:pt>
                <c:pt idx="11">
                  <c:v>-51.9</c:v>
                </c:pt>
                <c:pt idx="12">
                  <c:v>-67.900000000000006</c:v>
                </c:pt>
                <c:pt idx="13">
                  <c:v>-86.7</c:v>
                </c:pt>
                <c:pt idx="14">
                  <c:v>-109.5</c:v>
                </c:pt>
                <c:pt idx="15">
                  <c:v>-134.9</c:v>
                </c:pt>
                <c:pt idx="16">
                  <c:v>-164.1</c:v>
                </c:pt>
                <c:pt idx="17">
                  <c:v>-198.8</c:v>
                </c:pt>
                <c:pt idx="18">
                  <c:v>-236.7</c:v>
                </c:pt>
                <c:pt idx="19">
                  <c:v>-279.60000000000002</c:v>
                </c:pt>
                <c:pt idx="20">
                  <c:v>-327.7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A9-4D8A-B00C-290686E76C58}"/>
            </c:ext>
          </c:extLst>
        </c:ser>
        <c:ser>
          <c:idx val="2"/>
          <c:order val="2"/>
          <c:tx>
            <c:strRef>
              <c:f>'Remington Core-Lokt SP'!$H$103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SP'!$H$105:$H$125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SP'!$K$105:$K$125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-4.4000000000000004</c:v>
                </c:pt>
                <c:pt idx="7">
                  <c:v>-8.1999999999999993</c:v>
                </c:pt>
                <c:pt idx="8">
                  <c:v>-13.3</c:v>
                </c:pt>
                <c:pt idx="9">
                  <c:v>-19.399999999999999</c:v>
                </c:pt>
                <c:pt idx="10">
                  <c:v>-26.8</c:v>
                </c:pt>
                <c:pt idx="11">
                  <c:v>-35.6</c:v>
                </c:pt>
                <c:pt idx="12">
                  <c:v>-45.5</c:v>
                </c:pt>
                <c:pt idx="13">
                  <c:v>-56.6</c:v>
                </c:pt>
                <c:pt idx="14">
                  <c:v>-69.599999999999994</c:v>
                </c:pt>
                <c:pt idx="15">
                  <c:v>-83.4</c:v>
                </c:pt>
                <c:pt idx="16">
                  <c:v>-98.7</c:v>
                </c:pt>
                <c:pt idx="17">
                  <c:v>-116</c:v>
                </c:pt>
                <c:pt idx="18">
                  <c:v>-134.30000000000001</c:v>
                </c:pt>
                <c:pt idx="19">
                  <c:v>-154.1</c:v>
                </c:pt>
                <c:pt idx="20">
                  <c:v>-175.4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DF-4D00-83E3-884C3A86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0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-33.000013310006445</c:v>
                </c:pt>
                <c:pt idx="10">
                  <c:v>-52.500039375035435</c:v>
                </c:pt>
                <c:pt idx="11">
                  <c:v>-88.000141973608208</c:v>
                </c:pt>
                <c:pt idx="12">
                  <c:v>-123.75031195406865</c:v>
                </c:pt>
                <c:pt idx="13">
                  <c:v>-160.00054613557032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6-4C64-984B-8F3F506D5C3A}"/>
            </c:ext>
          </c:extLst>
        </c:ser>
        <c:ser>
          <c:idx val="1"/>
          <c:order val="1"/>
          <c:tx>
            <c:strRef>
              <c:f>'Remington Core-Lokt SP'!$A$127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SP'!$A$129:$A$149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SP'!$D$129:$D$149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2.4</c:v>
                </c:pt>
                <c:pt idx="3">
                  <c:v>3.7</c:v>
                </c:pt>
                <c:pt idx="4">
                  <c:v>3.9</c:v>
                </c:pt>
                <c:pt idx="5">
                  <c:v>2.7</c:v>
                </c:pt>
                <c:pt idx="6">
                  <c:v>0</c:v>
                </c:pt>
                <c:pt idx="7">
                  <c:v>-4.2</c:v>
                </c:pt>
                <c:pt idx="8">
                  <c:v>-10.4</c:v>
                </c:pt>
                <c:pt idx="9">
                  <c:v>-18.399999999999999</c:v>
                </c:pt>
                <c:pt idx="10">
                  <c:v>-28.4</c:v>
                </c:pt>
                <c:pt idx="11">
                  <c:v>-41.3</c:v>
                </c:pt>
                <c:pt idx="12">
                  <c:v>-56.3</c:v>
                </c:pt>
                <c:pt idx="13">
                  <c:v>-74.099999999999994</c:v>
                </c:pt>
                <c:pt idx="14">
                  <c:v>-95.9</c:v>
                </c:pt>
                <c:pt idx="15">
                  <c:v>-120.4</c:v>
                </c:pt>
                <c:pt idx="16">
                  <c:v>-148.6</c:v>
                </c:pt>
                <c:pt idx="17">
                  <c:v>-182.3</c:v>
                </c:pt>
                <c:pt idx="18">
                  <c:v>-219.3</c:v>
                </c:pt>
                <c:pt idx="19">
                  <c:v>-261.2</c:v>
                </c:pt>
                <c:pt idx="20">
                  <c:v>-308.39999999999998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F6-4C64-984B-8F3F506D5C3A}"/>
            </c:ext>
          </c:extLst>
        </c:ser>
        <c:ser>
          <c:idx val="2"/>
          <c:order val="2"/>
          <c:tx>
            <c:strRef>
              <c:f>'Remington Core-Lokt SP'!$H$127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SP'!$H$129:$H$149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SP'!$K$129:$K$149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1.6</c:v>
                </c:pt>
                <c:pt idx="3">
                  <c:v>2.8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-3.1</c:v>
                </c:pt>
                <c:pt idx="8">
                  <c:v>-7.5</c:v>
                </c:pt>
                <c:pt idx="9">
                  <c:v>-12.9</c:v>
                </c:pt>
                <c:pt idx="10">
                  <c:v>-19.5</c:v>
                </c:pt>
                <c:pt idx="11">
                  <c:v>-27.6</c:v>
                </c:pt>
                <c:pt idx="12">
                  <c:v>-36.799999999999997</c:v>
                </c:pt>
                <c:pt idx="13">
                  <c:v>-47.2</c:v>
                </c:pt>
                <c:pt idx="14">
                  <c:v>-59.4</c:v>
                </c:pt>
                <c:pt idx="15">
                  <c:v>-72.5</c:v>
                </c:pt>
                <c:pt idx="16">
                  <c:v>-87.1</c:v>
                </c:pt>
                <c:pt idx="17">
                  <c:v>-103.7</c:v>
                </c:pt>
                <c:pt idx="18">
                  <c:v>-121.2</c:v>
                </c:pt>
                <c:pt idx="19">
                  <c:v>-140.19999999999999</c:v>
                </c:pt>
                <c:pt idx="20">
                  <c:v>-160.9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4E-47A1-8B8B-EB95A751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SP'!$K$22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-1.3500001312200154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8.7500014291669466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-72.000077760100766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82-412A-BFB8-0657009C6FAE}"/>
            </c:ext>
          </c:extLst>
        </c:ser>
        <c:ser>
          <c:idx val="1"/>
          <c:order val="1"/>
          <c:tx>
            <c:strRef>
              <c:f>'Remington Core-Lokt SP'!$A$151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SP'!$A$153:$A$173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SP'!$D$153:$D$173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</c:v>
                </c:pt>
                <c:pt idx="3">
                  <c:v>7.6</c:v>
                </c:pt>
                <c:pt idx="4">
                  <c:v>9.1</c:v>
                </c:pt>
                <c:pt idx="5">
                  <c:v>9.1999999999999993</c:v>
                </c:pt>
                <c:pt idx="6">
                  <c:v>7.8</c:v>
                </c:pt>
                <c:pt idx="7">
                  <c:v>4.9000000000000004</c:v>
                </c:pt>
                <c:pt idx="8">
                  <c:v>0</c:v>
                </c:pt>
                <c:pt idx="9">
                  <c:v>-6.7</c:v>
                </c:pt>
                <c:pt idx="10">
                  <c:v>-15.5</c:v>
                </c:pt>
                <c:pt idx="11">
                  <c:v>-27</c:v>
                </c:pt>
                <c:pt idx="12">
                  <c:v>-40.700000000000003</c:v>
                </c:pt>
                <c:pt idx="13">
                  <c:v>-57.3</c:v>
                </c:pt>
                <c:pt idx="14">
                  <c:v>-77.7</c:v>
                </c:pt>
                <c:pt idx="15">
                  <c:v>-100.9</c:v>
                </c:pt>
                <c:pt idx="16">
                  <c:v>-127.9</c:v>
                </c:pt>
                <c:pt idx="17">
                  <c:v>-160.19999999999999</c:v>
                </c:pt>
                <c:pt idx="18">
                  <c:v>-196</c:v>
                </c:pt>
                <c:pt idx="19">
                  <c:v>-236.6</c:v>
                </c:pt>
                <c:pt idx="20">
                  <c:v>-282.5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82-412A-BFB8-0657009C6FAE}"/>
            </c:ext>
          </c:extLst>
        </c:ser>
        <c:ser>
          <c:idx val="2"/>
          <c:order val="2"/>
          <c:tx>
            <c:strRef>
              <c:f>'Remington Core-Lokt SP'!$H$151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SP'!$H$153:$H$173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SP'!$K$153:$K$173</c:f>
              <c:numCache>
                <c:formatCode>0.00</c:formatCode>
                <c:ptCount val="21"/>
                <c:pt idx="0">
                  <c:v>-3.8</c:v>
                </c:pt>
                <c:pt idx="1">
                  <c:v>0.3</c:v>
                </c:pt>
                <c:pt idx="2">
                  <c:v>3.5</c:v>
                </c:pt>
                <c:pt idx="3">
                  <c:v>5.6</c:v>
                </c:pt>
                <c:pt idx="4">
                  <c:v>6.7</c:v>
                </c:pt>
                <c:pt idx="5">
                  <c:v>6.7</c:v>
                </c:pt>
                <c:pt idx="6">
                  <c:v>5.6</c:v>
                </c:pt>
                <c:pt idx="7">
                  <c:v>3.4</c:v>
                </c:pt>
                <c:pt idx="8">
                  <c:v>0</c:v>
                </c:pt>
                <c:pt idx="9">
                  <c:v>-4.5</c:v>
                </c:pt>
                <c:pt idx="10">
                  <c:v>-10.199999999999999</c:v>
                </c:pt>
                <c:pt idx="11">
                  <c:v>-17.399999999999999</c:v>
                </c:pt>
                <c:pt idx="12">
                  <c:v>-25.6</c:v>
                </c:pt>
                <c:pt idx="13">
                  <c:v>-35.1</c:v>
                </c:pt>
                <c:pt idx="14">
                  <c:v>-46.3</c:v>
                </c:pt>
                <c:pt idx="15">
                  <c:v>-58.5</c:v>
                </c:pt>
                <c:pt idx="16">
                  <c:v>-72.2</c:v>
                </c:pt>
                <c:pt idx="17">
                  <c:v>-87.8</c:v>
                </c:pt>
                <c:pt idx="18">
                  <c:v>-104.4</c:v>
                </c:pt>
                <c:pt idx="19">
                  <c:v>-122.5</c:v>
                </c:pt>
                <c:pt idx="20">
                  <c:v>-142.19999999999999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6C-4633-BBEE-319D4D1DB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SP'!$L$22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SP'!$L$23:$L$36</c:f>
              <c:numCache>
                <c:formatCode>0.00</c:formatCode>
                <c:ptCount val="14"/>
                <c:pt idx="0">
                  <c:v>-3.81</c:v>
                </c:pt>
                <c:pt idx="1">
                  <c:v>0.62500001302083352</c:v>
                </c:pt>
                <c:pt idx="2">
                  <c:v>7.5000056250050626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15.625008138025919</c:v>
                </c:pt>
                <c:pt idx="6">
                  <c:v>19.200010485766871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B5-4D95-AEEF-4FE55F6ABC65}"/>
            </c:ext>
          </c:extLst>
        </c:ser>
        <c:ser>
          <c:idx val="1"/>
          <c:order val="1"/>
          <c:tx>
            <c:strRef>
              <c:f>'Remington Core-Lokt SP'!$A$175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SP'!$A$177:$A$197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SP'!$D$177:$D$197</c:f>
              <c:numCache>
                <c:formatCode>0.00</c:formatCode>
                <c:ptCount val="21"/>
                <c:pt idx="0">
                  <c:v>-3.8</c:v>
                </c:pt>
                <c:pt idx="1">
                  <c:v>4.4000000000000004</c:v>
                </c:pt>
                <c:pt idx="2">
                  <c:v>11.8</c:v>
                </c:pt>
                <c:pt idx="3">
                  <c:v>17.899999999999999</c:v>
                </c:pt>
                <c:pt idx="4">
                  <c:v>22.7</c:v>
                </c:pt>
                <c:pt idx="5">
                  <c:v>26.3</c:v>
                </c:pt>
                <c:pt idx="6">
                  <c:v>28.2</c:v>
                </c:pt>
                <c:pt idx="7">
                  <c:v>28.7</c:v>
                </c:pt>
                <c:pt idx="8">
                  <c:v>27.2</c:v>
                </c:pt>
                <c:pt idx="9">
                  <c:v>23.9</c:v>
                </c:pt>
                <c:pt idx="10">
                  <c:v>18.5</c:v>
                </c:pt>
                <c:pt idx="11">
                  <c:v>10.5</c:v>
                </c:pt>
                <c:pt idx="12">
                  <c:v>0.1</c:v>
                </c:pt>
                <c:pt idx="13">
                  <c:v>-13.1</c:v>
                </c:pt>
                <c:pt idx="14">
                  <c:v>-30.1</c:v>
                </c:pt>
                <c:pt idx="15">
                  <c:v>-49.9</c:v>
                </c:pt>
                <c:pt idx="16">
                  <c:v>-73.5</c:v>
                </c:pt>
                <c:pt idx="17">
                  <c:v>-102.4</c:v>
                </c:pt>
                <c:pt idx="18">
                  <c:v>-134.80000000000001</c:v>
                </c:pt>
                <c:pt idx="19">
                  <c:v>-172</c:v>
                </c:pt>
                <c:pt idx="20">
                  <c:v>-214.6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B5-4D95-AEEF-4FE55F6ABC65}"/>
            </c:ext>
          </c:extLst>
        </c:ser>
        <c:ser>
          <c:idx val="2"/>
          <c:order val="2"/>
          <c:tx>
            <c:strRef>
              <c:f>'Remington Core-Lokt SP'!$H$175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SP'!$H$177:$H$197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SP'!$K$177:$K$197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7.8</c:v>
                </c:pt>
                <c:pt idx="3">
                  <c:v>12</c:v>
                </c:pt>
                <c:pt idx="4">
                  <c:v>15.2</c:v>
                </c:pt>
                <c:pt idx="5">
                  <c:v>17.399999999999999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17.100000000000001</c:v>
                </c:pt>
                <c:pt idx="9">
                  <c:v>14.7</c:v>
                </c:pt>
                <c:pt idx="10">
                  <c:v>11.1</c:v>
                </c:pt>
                <c:pt idx="11">
                  <c:v>6.1</c:v>
                </c:pt>
                <c:pt idx="12">
                  <c:v>0.1</c:v>
                </c:pt>
                <c:pt idx="13">
                  <c:v>-7.3</c:v>
                </c:pt>
                <c:pt idx="14">
                  <c:v>-16.399999999999999</c:v>
                </c:pt>
                <c:pt idx="15">
                  <c:v>-26.5</c:v>
                </c:pt>
                <c:pt idx="16">
                  <c:v>-38</c:v>
                </c:pt>
                <c:pt idx="17">
                  <c:v>-51.5</c:v>
                </c:pt>
                <c:pt idx="18">
                  <c:v>-66</c:v>
                </c:pt>
                <c:pt idx="19">
                  <c:v>-82</c:v>
                </c:pt>
                <c:pt idx="20">
                  <c:v>-99.6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BA-4322-8049-F61E1B09E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 Energy</a:t>
            </a:r>
            <a:r>
              <a:rPr lang="en-CA" baseline="0"/>
              <a:t>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PHP'!$B$1:$C$1</c:f>
              <c:strCache>
                <c:ptCount val="1"/>
                <c:pt idx="0">
                  <c:v>308 Winchester Remington Core-Lokt Tipped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PHP'!$B$22:$B$35</c:f>
              <c:numCache>
                <c:formatCode>0.00</c:formatCode>
                <c:ptCount val="14"/>
                <c:pt idx="0">
                  <c:v>3776.2</c:v>
                </c:pt>
                <c:pt idx="1">
                  <c:v>3659.5</c:v>
                </c:pt>
                <c:pt idx="2">
                  <c:v>3537.8</c:v>
                </c:pt>
                <c:pt idx="3">
                  <c:v>3402.4</c:v>
                </c:pt>
                <c:pt idx="4">
                  <c:v>3291.7</c:v>
                </c:pt>
                <c:pt idx="5">
                  <c:v>3168.9</c:v>
                </c:pt>
                <c:pt idx="6">
                  <c:v>3051.9</c:v>
                </c:pt>
                <c:pt idx="7">
                  <c:v>2834.5</c:v>
                </c:pt>
                <c:pt idx="8">
                  <c:v>2623.4</c:v>
                </c:pt>
                <c:pt idx="9">
                  <c:v>2432</c:v>
                </c:pt>
                <c:pt idx="10">
                  <c:v>2247.1999999999998</c:v>
                </c:pt>
                <c:pt idx="11">
                  <c:v>2079.9</c:v>
                </c:pt>
                <c:pt idx="12">
                  <c:v>1921.6</c:v>
                </c:pt>
                <c:pt idx="13">
                  <c:v>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9-482A-A5FF-972A2C402357}"/>
            </c:ext>
          </c:extLst>
        </c:ser>
        <c:ser>
          <c:idx val="1"/>
          <c:order val="1"/>
          <c:tx>
            <c:strRef>
              <c:f>'Federal Barnes TSX HP'!$B$1:$C$1</c:f>
              <c:strCache>
                <c:ptCount val="1"/>
                <c:pt idx="0">
                  <c:v>308 Winchester Federal Premium Barnes TSX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3487.8</c:v>
                </c:pt>
                <c:pt idx="1">
                  <c:v>3417.3</c:v>
                </c:pt>
                <c:pt idx="2">
                  <c:v>3342.6</c:v>
                </c:pt>
                <c:pt idx="3">
                  <c:v>3270.5</c:v>
                </c:pt>
                <c:pt idx="4">
                  <c:v>3188.9</c:v>
                </c:pt>
                <c:pt idx="5">
                  <c:v>3121</c:v>
                </c:pt>
                <c:pt idx="6">
                  <c:v>3044.1</c:v>
                </c:pt>
                <c:pt idx="7">
                  <c:v>2907.2</c:v>
                </c:pt>
                <c:pt idx="8">
                  <c:v>2772.2</c:v>
                </c:pt>
                <c:pt idx="9">
                  <c:v>2640.3</c:v>
                </c:pt>
                <c:pt idx="10">
                  <c:v>2512.1999999999998</c:v>
                </c:pt>
                <c:pt idx="11">
                  <c:v>2396.1</c:v>
                </c:pt>
                <c:pt idx="12">
                  <c:v>2281.4</c:v>
                </c:pt>
                <c:pt idx="13">
                  <c:v>2167.5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9-482A-A5FF-972A2C402357}"/>
            </c:ext>
          </c:extLst>
        </c:ser>
        <c:ser>
          <c:idx val="2"/>
          <c:order val="2"/>
          <c:tx>
            <c:strRef>
              <c:f>'Remington Core-Lokt SP'!$B$1:$C$1</c:f>
              <c:strCache>
                <c:ptCount val="1"/>
                <c:pt idx="0">
                  <c:v>308 Winchester Remington Core-Lokt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SP'!$B$23:$B$36</c:f>
              <c:numCache>
                <c:formatCode>0.00</c:formatCode>
                <c:ptCount val="14"/>
                <c:pt idx="0">
                  <c:v>3719.2</c:v>
                </c:pt>
                <c:pt idx="1">
                  <c:v>3639.3</c:v>
                </c:pt>
                <c:pt idx="2">
                  <c:v>3554.7</c:v>
                </c:pt>
                <c:pt idx="3">
                  <c:v>3459.3</c:v>
                </c:pt>
                <c:pt idx="4">
                  <c:v>3380</c:v>
                </c:pt>
                <c:pt idx="5">
                  <c:v>3290.7</c:v>
                </c:pt>
                <c:pt idx="6">
                  <c:v>3216.5</c:v>
                </c:pt>
                <c:pt idx="7">
                  <c:v>3051.5</c:v>
                </c:pt>
                <c:pt idx="8">
                  <c:v>2897</c:v>
                </c:pt>
                <c:pt idx="9">
                  <c:v>2742.5</c:v>
                </c:pt>
                <c:pt idx="10">
                  <c:v>2607.8000000000002</c:v>
                </c:pt>
                <c:pt idx="11">
                  <c:v>2477</c:v>
                </c:pt>
                <c:pt idx="12">
                  <c:v>2350.6999999999998</c:v>
                </c:pt>
                <c:pt idx="13">
                  <c:v>2231.8000000000002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9-482A-A5FF-972A2C402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375232"/>
        <c:axId val="1762370432"/>
      </c:scatterChart>
      <c:valAx>
        <c:axId val="176237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0432"/>
        <c:crosses val="autoZero"/>
        <c:crossBetween val="midCat"/>
      </c:valAx>
      <c:valAx>
        <c:axId val="17623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Energy</a:t>
            </a:r>
            <a:r>
              <a:rPr lang="en-CA" baseline="0"/>
              <a:t> vs Range (Hornady Calculator)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PHP'!$B$1:$C$1</c:f>
              <c:strCache>
                <c:ptCount val="1"/>
                <c:pt idx="0">
                  <c:v>308 Winchester Remington Core-Lokt Tipped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PHP'!$J$80:$J$100</c:f>
              <c:numCache>
                <c:formatCode>0.00</c:formatCode>
                <c:ptCount val="21"/>
                <c:pt idx="0">
                  <c:v>3777</c:v>
                </c:pt>
                <c:pt idx="1">
                  <c:v>3644</c:v>
                </c:pt>
                <c:pt idx="2">
                  <c:v>3516</c:v>
                </c:pt>
                <c:pt idx="3">
                  <c:v>3391</c:v>
                </c:pt>
                <c:pt idx="4">
                  <c:v>3270</c:v>
                </c:pt>
                <c:pt idx="5">
                  <c:v>3153</c:v>
                </c:pt>
                <c:pt idx="6">
                  <c:v>3038</c:v>
                </c:pt>
                <c:pt idx="7">
                  <c:v>2927</c:v>
                </c:pt>
                <c:pt idx="8">
                  <c:v>2819</c:v>
                </c:pt>
                <c:pt idx="9">
                  <c:v>2714</c:v>
                </c:pt>
                <c:pt idx="10">
                  <c:v>2612</c:v>
                </c:pt>
                <c:pt idx="11">
                  <c:v>2513</c:v>
                </c:pt>
                <c:pt idx="12">
                  <c:v>2418</c:v>
                </c:pt>
                <c:pt idx="13">
                  <c:v>2325</c:v>
                </c:pt>
                <c:pt idx="14">
                  <c:v>2234</c:v>
                </c:pt>
                <c:pt idx="15">
                  <c:v>2147</c:v>
                </c:pt>
                <c:pt idx="16">
                  <c:v>2062</c:v>
                </c:pt>
                <c:pt idx="17">
                  <c:v>1981</c:v>
                </c:pt>
                <c:pt idx="18">
                  <c:v>1901</c:v>
                </c:pt>
                <c:pt idx="19">
                  <c:v>1825</c:v>
                </c:pt>
                <c:pt idx="20">
                  <c:v>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A4-4C90-8974-BEF1A4729555}"/>
            </c:ext>
          </c:extLst>
        </c:ser>
        <c:ser>
          <c:idx val="1"/>
          <c:order val="1"/>
          <c:tx>
            <c:strRef>
              <c:f>'Federal Barnes TSX HP'!$B$1:$C$1</c:f>
              <c:strCache>
                <c:ptCount val="1"/>
                <c:pt idx="0">
                  <c:v>308 Winchester Federal Premium Barnes TSX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HP'!$J$80:$J$100</c:f>
              <c:numCache>
                <c:formatCode>0.00</c:formatCode>
                <c:ptCount val="21"/>
                <c:pt idx="0">
                  <c:v>3489</c:v>
                </c:pt>
                <c:pt idx="1">
                  <c:v>3409</c:v>
                </c:pt>
                <c:pt idx="2">
                  <c:v>3330</c:v>
                </c:pt>
                <c:pt idx="3">
                  <c:v>3253</c:v>
                </c:pt>
                <c:pt idx="4">
                  <c:v>3176</c:v>
                </c:pt>
                <c:pt idx="5">
                  <c:v>3102</c:v>
                </c:pt>
                <c:pt idx="6">
                  <c:v>3029</c:v>
                </c:pt>
                <c:pt idx="7">
                  <c:v>2957</c:v>
                </c:pt>
                <c:pt idx="8">
                  <c:v>2886</c:v>
                </c:pt>
                <c:pt idx="9">
                  <c:v>2817</c:v>
                </c:pt>
                <c:pt idx="10">
                  <c:v>2748</c:v>
                </c:pt>
                <c:pt idx="11">
                  <c:v>2682</c:v>
                </c:pt>
                <c:pt idx="12">
                  <c:v>2616</c:v>
                </c:pt>
                <c:pt idx="13">
                  <c:v>2552</c:v>
                </c:pt>
                <c:pt idx="14">
                  <c:v>2489</c:v>
                </c:pt>
                <c:pt idx="15">
                  <c:v>2427</c:v>
                </c:pt>
                <c:pt idx="16">
                  <c:v>2366</c:v>
                </c:pt>
                <c:pt idx="17">
                  <c:v>2306</c:v>
                </c:pt>
                <c:pt idx="18">
                  <c:v>2248</c:v>
                </c:pt>
                <c:pt idx="19">
                  <c:v>2191</c:v>
                </c:pt>
                <c:pt idx="20">
                  <c:v>2137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A4-4C90-8974-BEF1A4729555}"/>
            </c:ext>
          </c:extLst>
        </c:ser>
        <c:ser>
          <c:idx val="2"/>
          <c:order val="2"/>
          <c:tx>
            <c:strRef>
              <c:f>'Remington Core-Lokt SP'!$B$1:$C$1</c:f>
              <c:strCache>
                <c:ptCount val="1"/>
                <c:pt idx="0">
                  <c:v>308 Winchester Remington Core-Lokt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SP'!$J$81:$J$101</c:f>
              <c:numCache>
                <c:formatCode>0.00</c:formatCode>
                <c:ptCount val="21"/>
                <c:pt idx="0">
                  <c:v>3719</c:v>
                </c:pt>
                <c:pt idx="1">
                  <c:v>3633</c:v>
                </c:pt>
                <c:pt idx="2">
                  <c:v>3548</c:v>
                </c:pt>
                <c:pt idx="3">
                  <c:v>3466</c:v>
                </c:pt>
                <c:pt idx="4">
                  <c:v>3384</c:v>
                </c:pt>
                <c:pt idx="5">
                  <c:v>3304</c:v>
                </c:pt>
                <c:pt idx="6">
                  <c:v>3226</c:v>
                </c:pt>
                <c:pt idx="7">
                  <c:v>3148</c:v>
                </c:pt>
                <c:pt idx="8">
                  <c:v>3073</c:v>
                </c:pt>
                <c:pt idx="9">
                  <c:v>2999</c:v>
                </c:pt>
                <c:pt idx="10">
                  <c:v>2926</c:v>
                </c:pt>
                <c:pt idx="11">
                  <c:v>2854</c:v>
                </c:pt>
                <c:pt idx="12">
                  <c:v>2784</c:v>
                </c:pt>
                <c:pt idx="13">
                  <c:v>2715</c:v>
                </c:pt>
                <c:pt idx="14">
                  <c:v>2648</c:v>
                </c:pt>
                <c:pt idx="15">
                  <c:v>2581</c:v>
                </c:pt>
                <c:pt idx="16">
                  <c:v>2516</c:v>
                </c:pt>
                <c:pt idx="17">
                  <c:v>2453</c:v>
                </c:pt>
                <c:pt idx="18">
                  <c:v>2390</c:v>
                </c:pt>
                <c:pt idx="19">
                  <c:v>2329</c:v>
                </c:pt>
                <c:pt idx="20">
                  <c:v>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A4-4C90-8974-BEF1A4729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375232"/>
        <c:axId val="1762370432"/>
      </c:scatterChart>
      <c:valAx>
        <c:axId val="176237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0432"/>
        <c:crosses val="autoZero"/>
        <c:crossBetween val="midCat"/>
      </c:valAx>
      <c:valAx>
        <c:axId val="17623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600075</xdr:colOff>
      <xdr:row>10</xdr:row>
      <xdr:rowOff>0</xdr:rowOff>
    </xdr:from>
    <xdr:to>
      <xdr:col>30</xdr:col>
      <xdr:colOff>381000</xdr:colOff>
      <xdr:row>43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885824</xdr:colOff>
      <xdr:row>44</xdr:row>
      <xdr:rowOff>142875</xdr:rowOff>
    </xdr:from>
    <xdr:to>
      <xdr:col>16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7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481011</xdr:colOff>
      <xdr:row>74</xdr:row>
      <xdr:rowOff>133351</xdr:rowOff>
    </xdr:from>
    <xdr:to>
      <xdr:col>29</xdr:col>
      <xdr:colOff>400049</xdr:colOff>
      <xdr:row>99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566737</xdr:colOff>
      <xdr:row>98</xdr:row>
      <xdr:rowOff>180975</xdr:rowOff>
    </xdr:from>
    <xdr:to>
      <xdr:col>35</xdr:col>
      <xdr:colOff>190500</xdr:colOff>
      <xdr:row>120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104775</xdr:colOff>
      <xdr:row>123</xdr:row>
      <xdr:rowOff>28575</xdr:rowOff>
    </xdr:from>
    <xdr:to>
      <xdr:col>35</xdr:col>
      <xdr:colOff>338138</xdr:colOff>
      <xdr:row>144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148</xdr:row>
      <xdr:rowOff>9525</xdr:rowOff>
    </xdr:from>
    <xdr:to>
      <xdr:col>35</xdr:col>
      <xdr:colOff>300038</xdr:colOff>
      <xdr:row>169</xdr:row>
      <xdr:rowOff>123825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57150</xdr:colOff>
      <xdr:row>172</xdr:row>
      <xdr:rowOff>161925</xdr:rowOff>
    </xdr:from>
    <xdr:to>
      <xdr:col>35</xdr:col>
      <xdr:colOff>290513</xdr:colOff>
      <xdr:row>194</xdr:row>
      <xdr:rowOff>85725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971550</xdr:colOff>
      <xdr:row>17</xdr:row>
      <xdr:rowOff>161925</xdr:rowOff>
    </xdr:from>
    <xdr:to>
      <xdr:col>29</xdr:col>
      <xdr:colOff>352425</xdr:colOff>
      <xdr:row>42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8D10C7-5775-4B38-8FCC-160BBE20C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571499</xdr:colOff>
      <xdr:row>43</xdr:row>
      <xdr:rowOff>152400</xdr:rowOff>
    </xdr:from>
    <xdr:to>
      <xdr:col>18</xdr:col>
      <xdr:colOff>66675</xdr:colOff>
      <xdr:row>70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499D6D-77A2-46B2-8DA5-3F5B5D100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7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6A7B19-7200-4B3B-8895-A949E7491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385761</xdr:colOff>
      <xdr:row>75</xdr:row>
      <xdr:rowOff>47624</xdr:rowOff>
    </xdr:from>
    <xdr:to>
      <xdr:col>35</xdr:col>
      <xdr:colOff>123824</xdr:colOff>
      <xdr:row>95</xdr:row>
      <xdr:rowOff>152399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85CE6EA-42E2-4FDB-A74E-29110FF00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681037</xdr:colOff>
      <xdr:row>100</xdr:row>
      <xdr:rowOff>180975</xdr:rowOff>
    </xdr:from>
    <xdr:to>
      <xdr:col>32</xdr:col>
      <xdr:colOff>504825</xdr:colOff>
      <xdr:row>122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35F994-18C0-4E5A-898A-8B11A37B8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342900</xdr:colOff>
      <xdr:row>124</xdr:row>
      <xdr:rowOff>114300</xdr:rowOff>
    </xdr:from>
    <xdr:to>
      <xdr:col>33</xdr:col>
      <xdr:colOff>566738</xdr:colOff>
      <xdr:row>146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A767D34-0752-4F56-A062-6F10BD7FE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781050</xdr:colOff>
      <xdr:row>148</xdr:row>
      <xdr:rowOff>114300</xdr:rowOff>
    </xdr:from>
    <xdr:to>
      <xdr:col>32</xdr:col>
      <xdr:colOff>604838</xdr:colOff>
      <xdr:row>170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70492C2-62D8-42A1-AD1E-B0CA2B5D1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990600</xdr:colOff>
      <xdr:row>172</xdr:row>
      <xdr:rowOff>66675</xdr:rowOff>
    </xdr:from>
    <xdr:to>
      <xdr:col>33</xdr:col>
      <xdr:colOff>204788</xdr:colOff>
      <xdr:row>193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0F95FCD-B4A4-45FB-8E9E-1CFD754A6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704850</xdr:colOff>
      <xdr:row>10</xdr:row>
      <xdr:rowOff>85725</xdr:rowOff>
    </xdr:from>
    <xdr:to>
      <xdr:col>30</xdr:col>
      <xdr:colOff>485775</xdr:colOff>
      <xdr:row>35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DA3CA9-5311-4CD9-A3C4-FF902D20B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885824</xdr:colOff>
      <xdr:row>35</xdr:row>
      <xdr:rowOff>142875</xdr:rowOff>
    </xdr:from>
    <xdr:to>
      <xdr:col>16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226B3-15FE-468E-8FE0-6DBFF00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7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A3C3B4-021C-47F6-A7F5-AE59EBC9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14286</xdr:colOff>
      <xdr:row>69</xdr:row>
      <xdr:rowOff>66674</xdr:rowOff>
    </xdr:from>
    <xdr:to>
      <xdr:col>35</xdr:col>
      <xdr:colOff>361949</xdr:colOff>
      <xdr:row>89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D2DFEB-8C8B-4C68-89F0-091A09C7DA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604837</xdr:colOff>
      <xdr:row>92</xdr:row>
      <xdr:rowOff>28575</xdr:rowOff>
    </xdr:from>
    <xdr:to>
      <xdr:col>35</xdr:col>
      <xdr:colOff>390525</xdr:colOff>
      <xdr:row>113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3BEBE5-9B7F-4F06-A24B-C47CCE365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57150</xdr:colOff>
      <xdr:row>117</xdr:row>
      <xdr:rowOff>0</xdr:rowOff>
    </xdr:from>
    <xdr:to>
      <xdr:col>35</xdr:col>
      <xdr:colOff>452438</xdr:colOff>
      <xdr:row>138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43C748D-E3B0-422C-9F08-3899F2BB4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57150</xdr:colOff>
      <xdr:row>139</xdr:row>
      <xdr:rowOff>142875</xdr:rowOff>
    </xdr:from>
    <xdr:to>
      <xdr:col>35</xdr:col>
      <xdr:colOff>452438</xdr:colOff>
      <xdr:row>161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66C2B64-F264-4B59-82D2-0E3B8D072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163</xdr:row>
      <xdr:rowOff>66675</xdr:rowOff>
    </xdr:from>
    <xdr:to>
      <xdr:col>35</xdr:col>
      <xdr:colOff>404813</xdr:colOff>
      <xdr:row>184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6A6F3F2-30B2-4F73-A320-1190D4F99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11</xdr:row>
      <xdr:rowOff>0</xdr:rowOff>
    </xdr:from>
    <xdr:to>
      <xdr:col>26</xdr:col>
      <xdr:colOff>276225</xdr:colOff>
      <xdr:row>35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B78772-9456-4178-A73E-76BCD6502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885824</xdr:colOff>
      <xdr:row>36</xdr:row>
      <xdr:rowOff>142875</xdr:rowOff>
    </xdr:from>
    <xdr:to>
      <xdr:col>16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3B18E5-E1BA-4FAE-BFAF-40CF0011E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44</xdr:row>
      <xdr:rowOff>171450</xdr:rowOff>
    </xdr:from>
    <xdr:to>
      <xdr:col>7</xdr:col>
      <xdr:colOff>123825</xdr:colOff>
      <xdr:row>72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C02CAC-CD81-4356-87CD-E31DEDDB1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157161</xdr:colOff>
      <xdr:row>69</xdr:row>
      <xdr:rowOff>190499</xdr:rowOff>
    </xdr:from>
    <xdr:to>
      <xdr:col>35</xdr:col>
      <xdr:colOff>504824</xdr:colOff>
      <xdr:row>90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2F076A-878C-47E9-9A2A-D57C642F2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509587</xdr:colOff>
      <xdr:row>90</xdr:row>
      <xdr:rowOff>123825</xdr:rowOff>
    </xdr:from>
    <xdr:to>
      <xdr:col>35</xdr:col>
      <xdr:colOff>295275</xdr:colOff>
      <xdr:row>112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8784C1E-69D1-4DFE-BC5D-85FC30B1F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390525</xdr:colOff>
      <xdr:row>115</xdr:row>
      <xdr:rowOff>161925</xdr:rowOff>
    </xdr:from>
    <xdr:to>
      <xdr:col>38</xdr:col>
      <xdr:colOff>176213</xdr:colOff>
      <xdr:row>137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88A099C-E530-4D08-8526-5DFED3E87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28575</xdr:colOff>
      <xdr:row>138</xdr:row>
      <xdr:rowOff>57150</xdr:rowOff>
    </xdr:from>
    <xdr:to>
      <xdr:col>36</xdr:col>
      <xdr:colOff>423863</xdr:colOff>
      <xdr:row>159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F34C50-3F3B-47FA-9356-917E64B70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104775</xdr:colOff>
      <xdr:row>165</xdr:row>
      <xdr:rowOff>66675</xdr:rowOff>
    </xdr:from>
    <xdr:to>
      <xdr:col>36</xdr:col>
      <xdr:colOff>500063</xdr:colOff>
      <xdr:row>186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75317BE-857D-47FC-9FEA-675AFA8D6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104774</xdr:rowOff>
    </xdr:from>
    <xdr:to>
      <xdr:col>17</xdr:col>
      <xdr:colOff>447675</xdr:colOff>
      <xdr:row>42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DA6E73-DB13-2E37-51D2-8CA95AB4C6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209550</xdr:colOff>
      <xdr:row>6</xdr:row>
      <xdr:rowOff>95250</xdr:rowOff>
    </xdr:from>
    <xdr:to>
      <xdr:col>35</xdr:col>
      <xdr:colOff>38100</xdr:colOff>
      <xdr:row>42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15358A-34D4-4352-96C9-146A6990D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P236"/>
  <sheetViews>
    <sheetView tabSelected="1" workbookViewId="0">
      <selection activeCell="G8" sqref="G8"/>
    </sheetView>
  </sheetViews>
  <sheetFormatPr defaultRowHeight="15" x14ac:dyDescent="0.25"/>
  <cols>
    <col min="1" max="1" width="39" customWidth="1"/>
    <col min="2" max="2" width="30" customWidth="1"/>
    <col min="3" max="3" width="14.140625" customWidth="1"/>
    <col min="4" max="4" width="16" customWidth="1"/>
    <col min="5" max="5" width="15" customWidth="1"/>
    <col min="6" max="6" width="18.5703125" customWidth="1"/>
    <col min="7" max="7" width="14.42578125" customWidth="1"/>
    <col min="8" max="8" width="12.7109375" customWidth="1"/>
    <col min="9" max="9" width="11.28515625" customWidth="1"/>
    <col min="10" max="10" width="12.42578125" customWidth="1"/>
    <col min="11" max="11" width="13.28515625" customWidth="1"/>
    <col min="12" max="12" width="11.140625" customWidth="1"/>
    <col min="13" max="13" width="19.5703125" customWidth="1"/>
    <col min="14" max="14" width="14.28515625" customWidth="1"/>
    <col min="15" max="15" width="15.140625" customWidth="1"/>
    <col min="16" max="16" width="17" customWidth="1"/>
  </cols>
  <sheetData>
    <row r="1" spans="1:9" x14ac:dyDescent="0.25">
      <c r="A1" s="15" t="s">
        <v>18</v>
      </c>
      <c r="B1" t="s">
        <v>22</v>
      </c>
      <c r="C1" t="s">
        <v>30</v>
      </c>
      <c r="D1" t="s">
        <v>32</v>
      </c>
      <c r="F1" s="27" t="s">
        <v>62</v>
      </c>
      <c r="G1" s="27"/>
      <c r="H1" s="27"/>
      <c r="I1" s="27"/>
    </row>
    <row r="2" spans="1:9" x14ac:dyDescent="0.25">
      <c r="A2" s="15" t="s">
        <v>20</v>
      </c>
      <c r="B2" s="2">
        <v>180</v>
      </c>
      <c r="C2" s="2">
        <f>CONVERT($B$2,"grain","g")</f>
        <v>11.6638038</v>
      </c>
      <c r="F2" t="s">
        <v>63</v>
      </c>
      <c r="G2" s="2">
        <v>180</v>
      </c>
      <c r="H2" s="2">
        <f>CONVERT($G$2,"grain","g")</f>
        <v>11.6638038</v>
      </c>
    </row>
    <row r="3" spans="1:9" x14ac:dyDescent="0.25">
      <c r="A3" s="15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s="15" t="s">
        <v>11</v>
      </c>
      <c r="B4" s="2"/>
      <c r="C4" s="2"/>
      <c r="F4" t="s">
        <v>11</v>
      </c>
      <c r="G4" s="2" t="s">
        <v>65</v>
      </c>
      <c r="H4" s="2"/>
    </row>
    <row r="5" spans="1:9" x14ac:dyDescent="0.25">
      <c r="A5" s="15" t="s">
        <v>21</v>
      </c>
      <c r="B5" s="2">
        <v>0.48</v>
      </c>
      <c r="C5" s="2">
        <v>0.52500000000000002</v>
      </c>
      <c r="F5" t="s">
        <v>21</v>
      </c>
      <c r="G5" s="2">
        <v>0.48</v>
      </c>
      <c r="H5" s="2"/>
    </row>
    <row r="6" spans="1:9" x14ac:dyDescent="0.25">
      <c r="A6" s="15" t="s">
        <v>23</v>
      </c>
      <c r="B6" s="2">
        <v>3776.2</v>
      </c>
      <c r="C6" s="2">
        <f>CONVERT($B$6,"J","flb")</f>
        <v>2785.1821881008095</v>
      </c>
      <c r="F6" t="s">
        <v>66</v>
      </c>
      <c r="G6" s="2" cm="1">
        <f t="array" ref="G6">MuzzleVelocityToMuzzleEnergyFtLb(G7,B2)</f>
        <v>2806.2767903121135</v>
      </c>
      <c r="H6" s="2" cm="1">
        <f t="array" ref="H6">MuzzleVelocityToMuzzleEnergyJoules(H7, $C$2)</f>
        <v>3804.8004402909974</v>
      </c>
    </row>
    <row r="7" spans="1:9" x14ac:dyDescent="0.25">
      <c r="A7" s="15" t="s">
        <v>19</v>
      </c>
      <c r="B7" s="2" cm="1">
        <f t="array" ref="B7">MuzzleEnergyToMuzzleVelocityMPS($B$6,$C$2)</f>
        <v>804.6784838429254</v>
      </c>
      <c r="C7" s="2" cm="1">
        <f t="array" ref="C7">MuzzleEnergyToMuzzleVelocityFPS(C6,B2)</f>
        <v>2640.0212724505427</v>
      </c>
      <c r="F7" t="s">
        <v>67</v>
      </c>
      <c r="G7" s="2">
        <v>2650</v>
      </c>
      <c r="H7" s="2">
        <f>CONVERT($G$7,"ft","m")</f>
        <v>807.72</v>
      </c>
    </row>
    <row r="8" spans="1:9" x14ac:dyDescent="0.25">
      <c r="A8" s="15" t="s">
        <v>1</v>
      </c>
      <c r="B8" s="2">
        <v>0</v>
      </c>
      <c r="C8" s="2"/>
    </row>
    <row r="9" spans="1:9" x14ac:dyDescent="0.25">
      <c r="A9" s="15" t="s">
        <v>2</v>
      </c>
      <c r="B9" s="2">
        <v>0</v>
      </c>
      <c r="C9" s="2">
        <f>CONVERT($B$10,"m/sec","km/hr")</f>
        <v>0</v>
      </c>
    </row>
    <row r="10" spans="1:9" x14ac:dyDescent="0.25">
      <c r="A10" s="15" t="s">
        <v>3</v>
      </c>
      <c r="B10" s="2"/>
      <c r="C10" s="2"/>
    </row>
    <row r="11" spans="1:9" x14ac:dyDescent="0.25">
      <c r="A11" s="15" t="s">
        <v>49</v>
      </c>
      <c r="B11" s="2">
        <v>0.5</v>
      </c>
      <c r="C11" s="19"/>
    </row>
    <row r="12" spans="1:9" x14ac:dyDescent="0.25">
      <c r="A12" s="15" t="s">
        <v>50</v>
      </c>
      <c r="B12" s="2" cm="1">
        <f t="array" ref="B12">MOAToMRAD($B$11)</f>
        <v>0.14544410433286079</v>
      </c>
      <c r="C12" s="19">
        <f>$B$12/2</f>
        <v>7.2722052166430393E-2</v>
      </c>
    </row>
    <row r="13" spans="1:9" x14ac:dyDescent="0.25">
      <c r="A13" s="15" t="s">
        <v>28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15" t="s">
        <v>5</v>
      </c>
      <c r="B14" t="s">
        <v>51</v>
      </c>
    </row>
    <row r="15" spans="1:9" x14ac:dyDescent="0.25">
      <c r="A15" t="s">
        <v>52</v>
      </c>
      <c r="B15" s="16" t="s">
        <v>53</v>
      </c>
      <c r="C15" s="16" t="s">
        <v>54</v>
      </c>
      <c r="D15" s="16" t="s">
        <v>55</v>
      </c>
      <c r="E15" s="16" t="s">
        <v>56</v>
      </c>
    </row>
    <row r="16" spans="1:9" x14ac:dyDescent="0.25">
      <c r="A16" s="15" t="s">
        <v>57</v>
      </c>
      <c r="B16" s="2">
        <v>0.625</v>
      </c>
      <c r="C16">
        <f>$B16/2</f>
        <v>0.3125</v>
      </c>
      <c r="D16" s="2">
        <f>$B$16 * $B$18</f>
        <v>0.36361026083215198</v>
      </c>
      <c r="E16" s="17">
        <f>$D16/2</f>
        <v>0.18180513041607599</v>
      </c>
    </row>
    <row r="17" spans="1:16" x14ac:dyDescent="0.25">
      <c r="A17" s="15" t="s">
        <v>58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17">
        <f>$D17/2</f>
        <v>7.2722052166430393E-2</v>
      </c>
    </row>
    <row r="18" spans="1:16" s="23" customFormat="1" x14ac:dyDescent="0.25">
      <c r="A18" s="20" t="s">
        <v>59</v>
      </c>
      <c r="B18" s="21">
        <f>$B$12/$B$17</f>
        <v>0.58177641733144314</v>
      </c>
      <c r="C18" s="22"/>
      <c r="H18" s="22">
        <v>4.25</v>
      </c>
      <c r="I18" s="22">
        <v>4</v>
      </c>
      <c r="J18" s="22">
        <v>4</v>
      </c>
      <c r="K18" s="22">
        <v>4</v>
      </c>
      <c r="L18" s="22">
        <v>3.75</v>
      </c>
      <c r="M18" s="22"/>
      <c r="P18" s="22">
        <v>4</v>
      </c>
    </row>
    <row r="19" spans="1:16" s="22" customFormat="1" x14ac:dyDescent="0.25">
      <c r="A19" s="20" t="s">
        <v>60</v>
      </c>
      <c r="B19" s="21"/>
      <c r="C19" s="21">
        <f>$C$17*0.61+$C16*0.39</f>
        <v>0.198125</v>
      </c>
      <c r="D19" s="21"/>
      <c r="E19" s="21" cm="1">
        <f t="array" ref="E19">ProbableAngularPOIError(D17,D16,B12,0.68)</f>
        <v>0.15024454823627703</v>
      </c>
      <c r="F19" s="23"/>
      <c r="G19" s="23"/>
      <c r="H19" s="23"/>
      <c r="I19" s="23"/>
    </row>
    <row r="20" spans="1:16" x14ac:dyDescent="0.25">
      <c r="C20" s="26" t="s">
        <v>26</v>
      </c>
      <c r="D20" s="26"/>
      <c r="E20" s="26"/>
      <c r="F20" s="26"/>
      <c r="G20" s="26"/>
      <c r="H20" s="26" t="s">
        <v>27</v>
      </c>
      <c r="I20" s="26"/>
      <c r="J20" s="26"/>
      <c r="K20" s="26"/>
      <c r="L20" s="26"/>
      <c r="M20" s="24" t="s">
        <v>36</v>
      </c>
    </row>
    <row r="21" spans="1:16" x14ac:dyDescent="0.25">
      <c r="A21" t="s">
        <v>4</v>
      </c>
      <c r="B21" t="s">
        <v>25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6</v>
      </c>
      <c r="I21" t="s">
        <v>7</v>
      </c>
      <c r="J21" t="s">
        <v>8</v>
      </c>
      <c r="K21" t="s">
        <v>9</v>
      </c>
      <c r="L21" t="s">
        <v>10</v>
      </c>
      <c r="M21" s="24" t="s">
        <v>37</v>
      </c>
    </row>
    <row r="22" spans="1:16" x14ac:dyDescent="0.25">
      <c r="A22" s="1">
        <v>0</v>
      </c>
      <c r="B22" s="1">
        <v>3776.2</v>
      </c>
      <c r="C22" s="3"/>
      <c r="D22" s="4"/>
      <c r="E22" s="4"/>
      <c r="F22" s="4"/>
      <c r="G22" s="5"/>
      <c r="H22" s="8">
        <f>$B$13*(-1)</f>
        <v>-3.81</v>
      </c>
      <c r="I22" s="8">
        <f>$B$13*(-1)</f>
        <v>-3.81</v>
      </c>
      <c r="J22" s="8">
        <f>$B$13*(-1)</f>
        <v>-3.81</v>
      </c>
      <c r="K22" s="8">
        <f>$B$13*(-1)</f>
        <v>-3.81</v>
      </c>
      <c r="L22" s="8">
        <f>$B$13*(-1)</f>
        <v>-3.81</v>
      </c>
      <c r="M22" s="25">
        <v>0</v>
      </c>
    </row>
    <row r="23" spans="1:16" x14ac:dyDescent="0.25">
      <c r="A23" s="1">
        <v>25</v>
      </c>
      <c r="B23" s="1">
        <v>3659.5</v>
      </c>
      <c r="C23" s="6">
        <v>-0.25</v>
      </c>
      <c r="D23" s="6">
        <v>-0.255</v>
      </c>
      <c r="E23" s="6">
        <v>-0.17499999999999999</v>
      </c>
      <c r="F23" s="6">
        <v>-0.1275</v>
      </c>
      <c r="G23" s="6">
        <v>0.1275</v>
      </c>
      <c r="H23" s="9" cm="1">
        <f t="array" ref="H23">TrajectoryDropInCM(C23,$A23,H$18)</f>
        <v>-2.65625099955286</v>
      </c>
      <c r="I23" s="9" cm="1">
        <f t="array" ref="I23">TrajectoryDropInCM(D23,$A23,I$18)</f>
        <v>-2.5500008843403683</v>
      </c>
      <c r="J23" s="9" cm="1">
        <f t="array" ref="J23">TrajectoryDropInCM(E23,$A23,J$18)</f>
        <v>-1.7500002858333894</v>
      </c>
      <c r="K23" s="9" cm="1">
        <f t="array" ref="K23">TrajectoryDropInCM(F23,$A23,K$18)</f>
        <v>-1.2750001105425117</v>
      </c>
      <c r="L23" s="9" cm="1">
        <f t="array" ref="L23">TrajectoryDropInCM(G23,$A23,L$18)</f>
        <v>1.1953125910842215</v>
      </c>
      <c r="M23" s="25" cm="1">
        <f t="array" ref="M23">TrajectoryErrorCM($E$19,1,$A23)</f>
        <v>0.37561137059069255</v>
      </c>
    </row>
    <row r="24" spans="1:16" x14ac:dyDescent="0.25">
      <c r="A24" s="1">
        <v>50</v>
      </c>
      <c r="B24" s="1">
        <v>3537.8</v>
      </c>
      <c r="C24" s="7">
        <v>0</v>
      </c>
      <c r="D24" s="6">
        <v>-7.4999999999999997E-2</v>
      </c>
      <c r="E24" s="6">
        <v>7.4999999999999997E-2</v>
      </c>
      <c r="F24" s="6">
        <v>0.1275</v>
      </c>
      <c r="G24" s="6">
        <v>0.37</v>
      </c>
      <c r="H24" s="9" cm="1">
        <f t="array" ref="H24">TrajectoryDropInCM(C24,$A24,H$18)</f>
        <v>0</v>
      </c>
      <c r="I24" s="9" cm="1">
        <f t="array" ref="I24">TrajectoryDropInCM(D24,$A24,I$18)</f>
        <v>-1.5000000450000013</v>
      </c>
      <c r="J24" s="9" cm="1">
        <f t="array" ref="J24">TrajectoryDropInCM(E24,$A24,J$18)</f>
        <v>1.5000000450000013</v>
      </c>
      <c r="K24" s="9" cm="1">
        <f t="array" ref="K24">TrajectoryDropInCM(F24,$A24,K$18)</f>
        <v>2.5500002210850234</v>
      </c>
      <c r="L24" s="9" cm="1">
        <f t="array" ref="L24">TrajectoryDropInCM(G24,$A24,L$18)</f>
        <v>6.9375044519272571</v>
      </c>
      <c r="M24" s="25" cm="1">
        <f t="array" ref="M24">TrajectoryErrorCM($E$19,1,$A24)</f>
        <v>0.7512227411813851</v>
      </c>
    </row>
    <row r="25" spans="1:16" x14ac:dyDescent="0.25">
      <c r="A25" s="1">
        <v>75</v>
      </c>
      <c r="B25" s="1">
        <v>3402.4</v>
      </c>
      <c r="C25" s="6">
        <v>6.25E-2</v>
      </c>
      <c r="D25" s="6">
        <v>0</v>
      </c>
      <c r="E25" s="6">
        <v>6.25E-2</v>
      </c>
      <c r="F25" s="6">
        <v>0.1875</v>
      </c>
      <c r="G25" s="6">
        <v>0.4375</v>
      </c>
      <c r="H25" s="9" cm="1">
        <f t="array" ref="H25">TrajectoryDropInCM(C25,$A25,H$18)</f>
        <v>1.9921875468540204</v>
      </c>
      <c r="I25" s="9" cm="1">
        <f t="array" ref="I25">TrajectoryDropInCM(D25,$A25,I$18)</f>
        <v>0</v>
      </c>
      <c r="J25" s="9" cm="1">
        <f t="array" ref="J25">TrajectoryDropInCM(E25,$A25,J$18)</f>
        <v>1.8750000390625008</v>
      </c>
      <c r="K25" s="9" cm="1">
        <f t="array" ref="K25">TrajectoryDropInCM(F25,$A25,K$18)</f>
        <v>5.625001054687738</v>
      </c>
      <c r="L25" s="9" cm="1">
        <f t="array" ref="L25">TrajectoryDropInCM(G25,$A25,L$18)</f>
        <v>12.304698539984193</v>
      </c>
      <c r="M25" s="25" cm="1">
        <f t="array" ref="M25">TrajectoryErrorCM($E$19,1,$A25)</f>
        <v>1.1268341117720777</v>
      </c>
    </row>
    <row r="26" spans="1:16" x14ac:dyDescent="0.25">
      <c r="A26" s="1">
        <v>100</v>
      </c>
      <c r="B26" s="1">
        <v>3291.7</v>
      </c>
      <c r="C26" s="6">
        <v>7.4999999999999997E-2</v>
      </c>
      <c r="D26" s="7">
        <v>0</v>
      </c>
      <c r="E26" s="6">
        <v>0.125</v>
      </c>
      <c r="F26" s="6">
        <v>0.1875</v>
      </c>
      <c r="G26" s="6">
        <v>0.437</v>
      </c>
      <c r="H26" s="9" cm="1">
        <f t="array" ref="H26">TrajectoryDropInCM(C26,$A26,H$18)</f>
        <v>3.1875001079516645</v>
      </c>
      <c r="I26" s="9" cm="1">
        <f t="array" ref="I26">TrajectoryDropInCM(D26,$A26,I$18)</f>
        <v>0</v>
      </c>
      <c r="J26" s="9" cm="1">
        <f t="array" ref="J26">TrajectoryDropInCM(E26,$A26,J$18)</f>
        <v>5.0000004166667074</v>
      </c>
      <c r="K26" s="9" cm="1">
        <f t="array" ref="K26">TrajectoryDropInCM(F26,$A26,K$18)</f>
        <v>7.5000014062503171</v>
      </c>
      <c r="L26" s="9" cm="1">
        <f t="array" ref="L26">TrajectoryDropInCM(G26,$A26,L$18)</f>
        <v>16.387514669568045</v>
      </c>
      <c r="M26" s="25" cm="1">
        <f t="array" ref="M26">TrajectoryErrorCM($E$19,1,$A26)</f>
        <v>1.5024454823627702</v>
      </c>
    </row>
    <row r="27" spans="1:16" x14ac:dyDescent="0.25">
      <c r="A27" s="1">
        <v>125</v>
      </c>
      <c r="B27" s="1">
        <v>3168.9</v>
      </c>
      <c r="C27" s="6">
        <v>6.25E-2</v>
      </c>
      <c r="D27" s="6">
        <v>-1.2500000000000001E-2</v>
      </c>
      <c r="E27" s="6">
        <v>0.125</v>
      </c>
      <c r="F27" s="6">
        <v>0.15</v>
      </c>
      <c r="G27" s="6">
        <v>0.375</v>
      </c>
      <c r="H27" s="9" cm="1">
        <f t="array" ref="H27">TrajectoryDropInCM(C27,$A27,H$18)</f>
        <v>3.3203125780900344</v>
      </c>
      <c r="I27" s="9" cm="1">
        <f t="array" ref="I27">TrajectoryDropInCM(D27,$A27,I$18)</f>
        <v>-0.62500000052083338</v>
      </c>
      <c r="J27" s="9" cm="1">
        <f t="array" ref="J27">TrajectoryDropInCM(E27,$A27,J$18)</f>
        <v>6.2500005208333844</v>
      </c>
      <c r="K27" s="9" cm="1">
        <f t="array" ref="K27">TrajectoryDropInCM(F27,$A27,K$18)</f>
        <v>7.5000009000001286</v>
      </c>
      <c r="L27" s="9" cm="1">
        <f t="array" ref="L27">TrajectoryDropInCM(G27,$A27,L$18)</f>
        <v>17.578136587152109</v>
      </c>
      <c r="M27" s="25" cm="1">
        <f t="array" ref="M27">TrajectoryErrorCM($E$19,1,$A27)</f>
        <v>1.8780568529534629</v>
      </c>
    </row>
    <row r="28" spans="1:16" x14ac:dyDescent="0.25">
      <c r="A28" s="1">
        <v>150</v>
      </c>
      <c r="B28" s="1">
        <v>3051.9</v>
      </c>
      <c r="C28" s="6">
        <v>0</v>
      </c>
      <c r="D28" s="6">
        <v>-6.25E-2</v>
      </c>
      <c r="E28" s="7">
        <v>0</v>
      </c>
      <c r="F28" s="6">
        <v>0.125</v>
      </c>
      <c r="G28" s="6">
        <v>0.3125</v>
      </c>
      <c r="H28" s="9" cm="1">
        <f t="array" ref="H28">TrajectoryDropInCM(C28,$A28,H$18)</f>
        <v>0</v>
      </c>
      <c r="I28" s="9" cm="1">
        <f t="array" ref="I28">TrajectoryDropInCM(D28,$A28,I$18)</f>
        <v>-3.7500000781250016</v>
      </c>
      <c r="J28" s="9" cm="1">
        <f t="array" ref="J28">TrajectoryDropInCM(E28,$A28,J$18)</f>
        <v>0</v>
      </c>
      <c r="K28" s="9" cm="1">
        <f t="array" ref="K28">TrajectoryDropInCM(F28,$A28,K$18)</f>
        <v>7.5000006250000615</v>
      </c>
      <c r="L28" s="9" cm="1">
        <f t="array" ref="L28">TrajectoryDropInCM(G28,$A28,L$18)</f>
        <v>17.578133046631464</v>
      </c>
      <c r="M28" s="25" cm="1">
        <f t="array" ref="M28">TrajectoryErrorCM($E$19,1,$A28)</f>
        <v>2.2536682235441554</v>
      </c>
    </row>
    <row r="29" spans="1:16" x14ac:dyDescent="0.25">
      <c r="A29" s="1">
        <v>200</v>
      </c>
      <c r="B29" s="1">
        <v>2834.5</v>
      </c>
      <c r="C29" s="6">
        <v>-0.125</v>
      </c>
      <c r="D29" s="6">
        <v>-0.1875</v>
      </c>
      <c r="E29" s="6">
        <v>-0.125</v>
      </c>
      <c r="F29" s="7">
        <v>0</v>
      </c>
      <c r="G29" s="6">
        <v>0.25</v>
      </c>
      <c r="H29" s="9" cm="1">
        <f t="array" ref="H29">TrajectoryDropInCM(C29,$A29,H$18)</f>
        <v>-10.625000999552523</v>
      </c>
      <c r="I29" s="9" cm="1">
        <f t="array" ref="I29">TrajectoryDropInCM(D29,$A29,I$18)</f>
        <v>-15.000002812500634</v>
      </c>
      <c r="J29" s="9" cm="1">
        <f t="array" ref="J29">TrajectoryDropInCM(E29,$A29,J$18)</f>
        <v>-10.000000833333415</v>
      </c>
      <c r="K29" s="9" cm="1">
        <f t="array" ref="K29">TrajectoryDropInCM(F29,$A29,K$18)</f>
        <v>0</v>
      </c>
      <c r="L29" s="9" cm="1">
        <f t="array" ref="L29">TrajectoryDropInCM(G29,$A29,L$18)</f>
        <v>18.750005493165993</v>
      </c>
      <c r="M29" s="25" cm="1">
        <f t="array" ref="M29">TrajectoryErrorCM($E$19,1,$A29)</f>
        <v>3.0048909647255404</v>
      </c>
    </row>
    <row r="30" spans="1:16" x14ac:dyDescent="0.25">
      <c r="A30" s="1">
        <v>250</v>
      </c>
      <c r="B30" s="1">
        <v>2623.4</v>
      </c>
      <c r="C30" s="6">
        <v>-0.1875</v>
      </c>
      <c r="D30" s="6">
        <v>-0.25</v>
      </c>
      <c r="E30" s="6">
        <v>-0.1875</v>
      </c>
      <c r="F30" s="6">
        <v>-0.125</v>
      </c>
      <c r="G30" s="6">
        <v>0.15</v>
      </c>
      <c r="H30" s="9" cm="1">
        <f t="array" ref="H30">TrajectoryDropInCM(C30,$A30,H$18)</f>
        <v>-19.921879216862795</v>
      </c>
      <c r="I30" s="9" cm="1">
        <f t="array" ref="I30">TrajectoryDropInCM(D30,$A30,I$18)</f>
        <v>-25.00000833333667</v>
      </c>
      <c r="J30" s="9" cm="1">
        <f t="array" ref="J30">TrajectoryDropInCM(E30,$A30,J$18)</f>
        <v>-18.750003515625792</v>
      </c>
      <c r="K30" s="9" cm="1">
        <f t="array" ref="K30">TrajectoryDropInCM(F30,$A30,K$18)</f>
        <v>-12.500001041666769</v>
      </c>
      <c r="L30" s="9" cm="1">
        <f t="array" ref="L30">TrajectoryDropInCM(G30,$A30,L$18)</f>
        <v>14.062501483154483</v>
      </c>
      <c r="M30" s="25" cm="1">
        <f t="array" ref="M30">TrajectoryErrorCM($E$19,1,$A30)</f>
        <v>3.7561137059069258</v>
      </c>
    </row>
    <row r="31" spans="1:16" x14ac:dyDescent="0.25">
      <c r="A31" s="1">
        <v>300</v>
      </c>
      <c r="B31" s="1">
        <v>2432</v>
      </c>
      <c r="C31" s="6">
        <v>-0.375</v>
      </c>
      <c r="D31" s="6">
        <v>-0.4375</v>
      </c>
      <c r="E31" s="6">
        <v>-0.375</v>
      </c>
      <c r="F31" s="6">
        <v>-0.25</v>
      </c>
      <c r="G31" s="7">
        <v>0</v>
      </c>
      <c r="H31" s="9" cm="1">
        <f t="array" ref="H31">TrajectoryDropInCM(C31,$A31,H$18)</f>
        <v>-47.812540481913686</v>
      </c>
      <c r="I31" s="9" cm="1">
        <f t="array" ref="I31">TrajectoryDropInCM(D31,$A31,I$18)</f>
        <v>-52.500053593815657</v>
      </c>
      <c r="J31" s="9" cm="1">
        <f t="array" ref="J31">TrajectoryDropInCM(E31,$A31,J$18)</f>
        <v>-45.000033750030376</v>
      </c>
      <c r="K31" s="9" cm="1">
        <f t="array" ref="K31">TrajectoryDropInCM(F31,$A31,K$18)</f>
        <v>-30.000010000004</v>
      </c>
      <c r="L31" s="9" cm="1">
        <f t="array" ref="L31">TrajectoryDropInCM(G31,$A31,L$18)</f>
        <v>0</v>
      </c>
      <c r="M31" s="25" cm="1">
        <f t="array" ref="M31">TrajectoryErrorCM($E$19,1,$A31)</f>
        <v>4.5073364470883108</v>
      </c>
    </row>
    <row r="32" spans="1:16" x14ac:dyDescent="0.25">
      <c r="A32" s="1">
        <v>350</v>
      </c>
      <c r="B32" s="1">
        <v>2247.1999999999998</v>
      </c>
      <c r="C32" s="6">
        <v>-0.47499999999999998</v>
      </c>
      <c r="D32" s="6">
        <v>-0.5</v>
      </c>
      <c r="E32" s="6">
        <v>-0.42499999999999999</v>
      </c>
      <c r="F32" s="6">
        <v>-0.375</v>
      </c>
      <c r="G32" s="6">
        <v>-0.125</v>
      </c>
      <c r="H32" s="9" cm="1">
        <f t="array" ref="H32">TrajectoryDropInCM(C32,$A32,H$18)</f>
        <v>-70.656345983176067</v>
      </c>
      <c r="I32" s="9" cm="1">
        <f t="array" ref="I32">TrajectoryDropInCM(D32,$A32,I$18)</f>
        <v>-70.000093333482667</v>
      </c>
      <c r="J32" s="9" cm="1">
        <f t="array" ref="J32">TrajectoryDropInCM(E32,$A32,J$18)</f>
        <v>-59.500057318399598</v>
      </c>
      <c r="K32" s="9" cm="1">
        <f t="array" ref="K32">TrajectoryDropInCM(F32,$A32,K$18)</f>
        <v>-52.500039375035435</v>
      </c>
      <c r="L32" s="9" cm="1">
        <f t="array" ref="L32">TrajectoryDropInCM(G32,$A32,L$18)</f>
        <v>-16.406251201629747</v>
      </c>
      <c r="M32" s="25" cm="1">
        <f t="array" ref="M32">TrajectoryErrorCM($E$19,1,$A32)</f>
        <v>5.2585591882696958</v>
      </c>
    </row>
    <row r="33" spans="1:13" x14ac:dyDescent="0.25">
      <c r="A33" s="1">
        <v>400</v>
      </c>
      <c r="B33" s="1">
        <v>2079.9</v>
      </c>
      <c r="C33" s="6">
        <v>-0.625</v>
      </c>
      <c r="D33" s="6">
        <v>-0.6875</v>
      </c>
      <c r="E33" s="6">
        <v>-0.625</v>
      </c>
      <c r="F33" s="6">
        <v>-0.5</v>
      </c>
      <c r="G33" s="6">
        <v>-0.25</v>
      </c>
      <c r="H33" s="9" cm="1">
        <f t="array" ref="H33">TrajectoryDropInCM(C33,$A33,H$18)</f>
        <v>-106.25024988880747</v>
      </c>
      <c r="I33" s="9" cm="1">
        <f t="array" ref="I33">TrajectoryDropInCM(D33,$A33,I$18)</f>
        <v>-110.00027729250546</v>
      </c>
      <c r="J33" s="9" cm="1">
        <f t="array" ref="J33">TrajectoryDropInCM(E33,$A33,J$18)</f>
        <v>-100.00020833385418</v>
      </c>
      <c r="K33" s="9" cm="1">
        <f t="array" ref="K33">TrajectoryDropInCM(F33,$A33,K$18)</f>
        <v>-80.000106666837326</v>
      </c>
      <c r="L33" s="9" cm="1">
        <f t="array" ref="L33">TrajectoryDropInCM(G33,$A33,L$18)</f>
        <v>-37.500010986331986</v>
      </c>
      <c r="M33" s="25" cm="1">
        <f t="array" ref="M33">TrajectoryErrorCM($E$19,1,$A33)</f>
        <v>6.0097819294510808</v>
      </c>
    </row>
    <row r="34" spans="1:13" x14ac:dyDescent="0.25">
      <c r="A34" s="1">
        <v>450</v>
      </c>
      <c r="B34" s="1">
        <v>1921.6</v>
      </c>
      <c r="C34" s="6">
        <v>-0.75</v>
      </c>
      <c r="D34" s="6">
        <v>-0.8125</v>
      </c>
      <c r="E34" s="6">
        <v>-0.75</v>
      </c>
      <c r="F34" s="6">
        <v>-0.61250000000000004</v>
      </c>
      <c r="G34" s="6">
        <v>-0.4375</v>
      </c>
      <c r="H34" s="9" cm="1">
        <f t="array" ref="H34">TrajectoryDropInCM(C34,$A34,H$18)</f>
        <v>-143.43798578444495</v>
      </c>
      <c r="I34" s="9" cm="1">
        <f t="array" ref="I34">TrajectoryDropInCM(D34,$A34,I$18)</f>
        <v>-146.25051492405055</v>
      </c>
      <c r="J34" s="9" cm="1">
        <f t="array" ref="J34">TrajectoryDropInCM(E34,$A34,J$18)</f>
        <v>-135.00040500145803</v>
      </c>
      <c r="K34" s="9" cm="1">
        <f t="array" ref="K34">TrajectoryDropInCM(F34,$A34,K$18)</f>
        <v>-110.25022059240466</v>
      </c>
      <c r="L34" s="9" cm="1">
        <f t="array" ref="L34">TrajectoryDropInCM(G34,$A34,L$18)</f>
        <v>-73.828191239905152</v>
      </c>
      <c r="M34" s="25" cm="1">
        <f t="array" ref="M34">TrajectoryErrorCM($E$19,1,$A34)</f>
        <v>6.7610046706324667</v>
      </c>
    </row>
    <row r="35" spans="1:13" x14ac:dyDescent="0.25">
      <c r="A35" s="1">
        <v>500</v>
      </c>
      <c r="B35" s="1">
        <v>1768</v>
      </c>
      <c r="C35" s="6">
        <v>-0.9375</v>
      </c>
      <c r="D35" s="6">
        <v>-0.97499999999999998</v>
      </c>
      <c r="E35" s="6">
        <v>-0.9375</v>
      </c>
      <c r="F35" s="6">
        <v>-0.82499999999999996</v>
      </c>
      <c r="G35" s="6">
        <v>-0.625</v>
      </c>
      <c r="H35" s="9" cm="1">
        <f t="array" ref="H35">TrajectoryDropInCM(C35,$A35,H$18)</f>
        <v>-199.21980422212562</v>
      </c>
      <c r="I35" s="9" cm="1">
        <f t="array" ref="I35">TrajectoryDropInCM(D35,$A35,I$18)</f>
        <v>-195.00098865601495</v>
      </c>
      <c r="J35" s="9" cm="1">
        <f t="array" ref="J35">TrajectoryDropInCM(E35,$A35,J$18)</f>
        <v>-187.50087891119387</v>
      </c>
      <c r="K35" s="9" cm="1">
        <f t="array" ref="K35">TrajectoryDropInCM(F35,$A35,K$18)</f>
        <v>-165.00059895260901</v>
      </c>
      <c r="L35" s="9" cm="1">
        <f t="array" ref="L35">TrajectoryDropInCM(G35,$A35,L$18)</f>
        <v>-117.18771457719266</v>
      </c>
      <c r="M35" s="25" cm="1">
        <f t="array" ref="M35">TrajectoryErrorCM($E$19,1,$A35)</f>
        <v>7.5122274118138517</v>
      </c>
    </row>
    <row r="77" spans="1:13" x14ac:dyDescent="0.25">
      <c r="A77" t="s">
        <v>29</v>
      </c>
    </row>
    <row r="78" spans="1:13" x14ac:dyDescent="0.25">
      <c r="A78" t="s">
        <v>85</v>
      </c>
      <c r="H78" t="s">
        <v>80</v>
      </c>
    </row>
    <row r="79" spans="1:1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t="s">
        <v>17</v>
      </c>
    </row>
    <row r="80" spans="1:13" x14ac:dyDescent="0.25">
      <c r="A80" s="1">
        <v>0</v>
      </c>
      <c r="B80" s="1">
        <v>805</v>
      </c>
      <c r="C80" s="1">
        <v>3777</v>
      </c>
      <c r="D80" s="1">
        <v>-3.8</v>
      </c>
      <c r="E80" s="1">
        <v>0</v>
      </c>
      <c r="F80" s="1">
        <v>0</v>
      </c>
      <c r="H80" s="1">
        <v>0</v>
      </c>
      <c r="I80" s="1">
        <v>805</v>
      </c>
      <c r="J80" s="1">
        <v>3777</v>
      </c>
      <c r="K80" s="1">
        <v>-3.8</v>
      </c>
      <c r="L80" s="1">
        <v>0</v>
      </c>
      <c r="M80" s="1">
        <v>0</v>
      </c>
    </row>
    <row r="81" spans="1:13" x14ac:dyDescent="0.25">
      <c r="A81" s="1">
        <v>25</v>
      </c>
      <c r="B81" s="1">
        <v>789</v>
      </c>
      <c r="C81" s="1">
        <v>3632</v>
      </c>
      <c r="D81" s="1">
        <v>-1.4</v>
      </c>
      <c r="E81" s="1">
        <v>2</v>
      </c>
      <c r="F81" s="1">
        <v>0.6</v>
      </c>
      <c r="H81" s="1">
        <v>25</v>
      </c>
      <c r="I81" s="1">
        <v>790</v>
      </c>
      <c r="J81" s="1">
        <v>3644</v>
      </c>
      <c r="K81" s="1">
        <v>-1.4</v>
      </c>
      <c r="L81" s="1">
        <v>2</v>
      </c>
      <c r="M81" s="1">
        <v>0.6</v>
      </c>
    </row>
    <row r="82" spans="1:13" x14ac:dyDescent="0.25">
      <c r="A82" s="10">
        <v>50</v>
      </c>
      <c r="B82" s="10">
        <v>774</v>
      </c>
      <c r="C82" s="10">
        <v>3492</v>
      </c>
      <c r="D82" s="10">
        <v>0</v>
      </c>
      <c r="E82" s="10">
        <v>0</v>
      </c>
      <c r="F82" s="10">
        <v>0</v>
      </c>
      <c r="H82" s="1">
        <v>50</v>
      </c>
      <c r="I82" s="1">
        <v>776</v>
      </c>
      <c r="J82" s="1">
        <v>3516</v>
      </c>
      <c r="K82" s="1">
        <v>0</v>
      </c>
      <c r="L82" s="1">
        <v>0</v>
      </c>
      <c r="M82" s="1">
        <v>0</v>
      </c>
    </row>
    <row r="83" spans="1:13" x14ac:dyDescent="0.25">
      <c r="A83" s="1">
        <v>75</v>
      </c>
      <c r="B83" s="1">
        <v>759</v>
      </c>
      <c r="C83" s="1">
        <v>3357</v>
      </c>
      <c r="D83" s="1">
        <v>0.4</v>
      </c>
      <c r="E83" s="1">
        <v>-0.2</v>
      </c>
      <c r="F83" s="1">
        <v>0</v>
      </c>
      <c r="H83" s="1">
        <v>75</v>
      </c>
      <c r="I83" s="1">
        <v>763</v>
      </c>
      <c r="J83" s="1">
        <v>3391</v>
      </c>
      <c r="K83" s="1">
        <v>0.4</v>
      </c>
      <c r="L83" s="1">
        <v>-0.2</v>
      </c>
      <c r="M83" s="1">
        <v>-0.1</v>
      </c>
    </row>
    <row r="84" spans="1:13" x14ac:dyDescent="0.25">
      <c r="A84" s="1">
        <v>100</v>
      </c>
      <c r="B84" s="1">
        <v>744</v>
      </c>
      <c r="C84" s="1">
        <v>3226</v>
      </c>
      <c r="D84" s="1">
        <v>-0.3</v>
      </c>
      <c r="E84" s="1">
        <v>0.1</v>
      </c>
      <c r="F84" s="1">
        <v>0</v>
      </c>
      <c r="H84" s="1">
        <v>100</v>
      </c>
      <c r="I84" s="1">
        <v>749</v>
      </c>
      <c r="J84" s="1">
        <v>3270</v>
      </c>
      <c r="K84" s="1">
        <v>-0.3</v>
      </c>
      <c r="L84" s="1">
        <v>0.1</v>
      </c>
      <c r="M84" s="1">
        <v>0</v>
      </c>
    </row>
    <row r="85" spans="1:13" x14ac:dyDescent="0.25">
      <c r="A85" s="1">
        <v>125</v>
      </c>
      <c r="B85" s="1">
        <v>729</v>
      </c>
      <c r="C85" s="1">
        <v>3099</v>
      </c>
      <c r="D85" s="1">
        <v>-2.2000000000000002</v>
      </c>
      <c r="E85" s="1">
        <v>0.6</v>
      </c>
      <c r="F85" s="1">
        <v>0.2</v>
      </c>
      <c r="H85" s="1">
        <v>125</v>
      </c>
      <c r="I85" s="1">
        <v>735</v>
      </c>
      <c r="J85" s="1">
        <v>3153</v>
      </c>
      <c r="K85" s="1">
        <v>-2.1</v>
      </c>
      <c r="L85" s="1">
        <v>0.6</v>
      </c>
      <c r="M85" s="1">
        <v>0.2</v>
      </c>
    </row>
    <row r="86" spans="1:13" x14ac:dyDescent="0.25">
      <c r="A86" s="1">
        <v>150</v>
      </c>
      <c r="B86" s="1">
        <v>714</v>
      </c>
      <c r="C86" s="1">
        <v>2975</v>
      </c>
      <c r="D86" s="1">
        <v>-5.2</v>
      </c>
      <c r="E86" s="1">
        <v>1.2</v>
      </c>
      <c r="F86" s="1">
        <v>0.3</v>
      </c>
      <c r="H86" s="1">
        <v>150</v>
      </c>
      <c r="I86" s="1">
        <v>722</v>
      </c>
      <c r="J86" s="1">
        <v>3038</v>
      </c>
      <c r="K86" s="1">
        <v>-5</v>
      </c>
      <c r="L86" s="1">
        <v>1.2</v>
      </c>
      <c r="M86" s="1">
        <v>0.3</v>
      </c>
    </row>
    <row r="87" spans="1:13" x14ac:dyDescent="0.25">
      <c r="A87" s="1">
        <v>175</v>
      </c>
      <c r="B87" s="1">
        <v>700</v>
      </c>
      <c r="C87" s="1">
        <v>2856</v>
      </c>
      <c r="D87" s="1">
        <v>-9.4</v>
      </c>
      <c r="E87" s="1">
        <v>1.8</v>
      </c>
      <c r="F87" s="1">
        <v>0.5</v>
      </c>
      <c r="H87" s="1">
        <v>175</v>
      </c>
      <c r="I87" s="1">
        <v>708</v>
      </c>
      <c r="J87" s="1">
        <v>2927</v>
      </c>
      <c r="K87" s="1">
        <v>-9.1</v>
      </c>
      <c r="L87" s="1">
        <v>1.8</v>
      </c>
      <c r="M87" s="1">
        <v>0.5</v>
      </c>
    </row>
    <row r="88" spans="1:13" x14ac:dyDescent="0.25">
      <c r="A88" s="1">
        <v>200</v>
      </c>
      <c r="B88" s="1">
        <v>685</v>
      </c>
      <c r="C88" s="1">
        <v>2740</v>
      </c>
      <c r="D88" s="1">
        <v>-15</v>
      </c>
      <c r="E88" s="1">
        <v>2.6</v>
      </c>
      <c r="F88" s="1">
        <v>0.7</v>
      </c>
      <c r="H88" s="1">
        <v>200</v>
      </c>
      <c r="I88" s="1">
        <v>695</v>
      </c>
      <c r="J88" s="1">
        <v>2819</v>
      </c>
      <c r="K88" s="1">
        <v>-14.7</v>
      </c>
      <c r="L88" s="1">
        <v>2.5</v>
      </c>
      <c r="M88" s="1">
        <v>0.7</v>
      </c>
    </row>
    <row r="89" spans="1:13" x14ac:dyDescent="0.25">
      <c r="A89" s="1">
        <v>225</v>
      </c>
      <c r="B89" s="1">
        <v>671</v>
      </c>
      <c r="C89" s="1">
        <v>2628</v>
      </c>
      <c r="D89" s="1">
        <v>-21.8</v>
      </c>
      <c r="E89" s="1">
        <v>3.3</v>
      </c>
      <c r="F89" s="1">
        <v>1</v>
      </c>
      <c r="H89" s="1">
        <v>225</v>
      </c>
      <c r="I89" s="1">
        <v>682</v>
      </c>
      <c r="J89" s="1">
        <v>2714</v>
      </c>
      <c r="K89" s="1">
        <v>-21.3</v>
      </c>
      <c r="L89" s="1">
        <v>3.3</v>
      </c>
      <c r="M89" s="1">
        <v>0.9</v>
      </c>
    </row>
    <row r="90" spans="1:13" x14ac:dyDescent="0.25">
      <c r="A90" s="1">
        <v>250</v>
      </c>
      <c r="B90" s="1">
        <v>657</v>
      </c>
      <c r="C90" s="1">
        <v>2519</v>
      </c>
      <c r="D90" s="1">
        <v>-30</v>
      </c>
      <c r="E90" s="1">
        <v>4.0999999999999996</v>
      </c>
      <c r="F90" s="1">
        <v>1.2</v>
      </c>
      <c r="H90" s="1">
        <v>250</v>
      </c>
      <c r="I90" s="1">
        <v>669</v>
      </c>
      <c r="J90" s="1">
        <v>2612</v>
      </c>
      <c r="K90" s="1">
        <v>-29.3</v>
      </c>
      <c r="L90" s="1">
        <v>4</v>
      </c>
      <c r="M90" s="1">
        <v>1.2</v>
      </c>
    </row>
    <row r="91" spans="1:13" x14ac:dyDescent="0.25">
      <c r="A91" s="1">
        <v>275</v>
      </c>
      <c r="B91" s="1">
        <v>643</v>
      </c>
      <c r="C91" s="1">
        <v>2415</v>
      </c>
      <c r="D91" s="1">
        <v>-40</v>
      </c>
      <c r="E91" s="1">
        <v>5</v>
      </c>
      <c r="F91" s="1">
        <v>1.5</v>
      </c>
      <c r="H91" s="1">
        <v>275</v>
      </c>
      <c r="I91" s="1">
        <v>656</v>
      </c>
      <c r="J91" s="1">
        <v>2513</v>
      </c>
      <c r="K91" s="1">
        <v>-39</v>
      </c>
      <c r="L91" s="1">
        <v>4.9000000000000004</v>
      </c>
      <c r="M91" s="1">
        <v>1.4</v>
      </c>
    </row>
    <row r="92" spans="1:13" x14ac:dyDescent="0.25">
      <c r="A92" s="1">
        <v>300</v>
      </c>
      <c r="B92" s="1">
        <v>630</v>
      </c>
      <c r="C92" s="1">
        <v>2313</v>
      </c>
      <c r="D92" s="1">
        <v>-51.2</v>
      </c>
      <c r="E92" s="1">
        <v>5.9</v>
      </c>
      <c r="F92" s="1">
        <v>1.7</v>
      </c>
      <c r="H92" s="1">
        <v>300</v>
      </c>
      <c r="I92" s="1">
        <v>644</v>
      </c>
      <c r="J92" s="1">
        <v>2418</v>
      </c>
      <c r="K92" s="1">
        <v>-49.8</v>
      </c>
      <c r="L92" s="1">
        <v>5.7</v>
      </c>
      <c r="M92" s="1">
        <v>1.7</v>
      </c>
    </row>
    <row r="93" spans="1:13" x14ac:dyDescent="0.25">
      <c r="A93" s="1">
        <v>325</v>
      </c>
      <c r="B93" s="1">
        <v>616</v>
      </c>
      <c r="C93" s="1">
        <v>2215</v>
      </c>
      <c r="D93" s="1">
        <v>-63.9</v>
      </c>
      <c r="E93" s="1">
        <v>6.8</v>
      </c>
      <c r="F93" s="1">
        <v>2</v>
      </c>
      <c r="H93" s="1">
        <v>325</v>
      </c>
      <c r="I93" s="1">
        <v>631</v>
      </c>
      <c r="J93" s="1">
        <v>2325</v>
      </c>
      <c r="K93" s="1">
        <v>-62.2</v>
      </c>
      <c r="L93" s="1">
        <v>6.6</v>
      </c>
      <c r="M93" s="1">
        <v>1.9</v>
      </c>
    </row>
    <row r="94" spans="1:13" x14ac:dyDescent="0.25">
      <c r="A94" s="1">
        <v>350</v>
      </c>
      <c r="B94" s="1">
        <v>603</v>
      </c>
      <c r="C94" s="1">
        <v>2120</v>
      </c>
      <c r="D94" s="1">
        <v>-78.900000000000006</v>
      </c>
      <c r="E94" s="1">
        <v>7.7</v>
      </c>
      <c r="F94" s="1">
        <v>2.2999999999999998</v>
      </c>
      <c r="H94" s="1">
        <v>350</v>
      </c>
      <c r="I94" s="1">
        <v>619</v>
      </c>
      <c r="J94" s="1">
        <v>2234</v>
      </c>
      <c r="K94" s="1">
        <v>-76.599999999999994</v>
      </c>
      <c r="L94" s="1">
        <v>7.5</v>
      </c>
      <c r="M94" s="1">
        <v>2.2000000000000002</v>
      </c>
    </row>
    <row r="95" spans="1:13" x14ac:dyDescent="0.25">
      <c r="A95" s="1">
        <v>375</v>
      </c>
      <c r="B95" s="1">
        <v>590</v>
      </c>
      <c r="C95" s="1">
        <v>2029</v>
      </c>
      <c r="D95" s="1">
        <v>-95.1</v>
      </c>
      <c r="E95" s="1">
        <v>8.6999999999999993</v>
      </c>
      <c r="F95" s="1">
        <v>2.5</v>
      </c>
      <c r="H95" s="1">
        <v>375</v>
      </c>
      <c r="I95" s="1">
        <v>607</v>
      </c>
      <c r="J95" s="1">
        <v>2147</v>
      </c>
      <c r="K95" s="1">
        <v>-92.3</v>
      </c>
      <c r="L95" s="1">
        <v>8.5</v>
      </c>
      <c r="M95" s="1">
        <v>2.5</v>
      </c>
    </row>
    <row r="96" spans="1:13" x14ac:dyDescent="0.25">
      <c r="A96" s="1">
        <v>400</v>
      </c>
      <c r="B96" s="1">
        <v>577</v>
      </c>
      <c r="C96" s="1">
        <v>1941</v>
      </c>
      <c r="D96" s="1">
        <v>-113.2</v>
      </c>
      <c r="E96" s="1">
        <v>9.6999999999999993</v>
      </c>
      <c r="F96" s="1">
        <v>2.8</v>
      </c>
      <c r="H96" s="1">
        <v>400</v>
      </c>
      <c r="I96" s="1">
        <v>595</v>
      </c>
      <c r="J96" s="1">
        <v>2062</v>
      </c>
      <c r="K96" s="1">
        <v>-109.6</v>
      </c>
      <c r="L96" s="1">
        <v>9.4</v>
      </c>
      <c r="M96" s="1">
        <v>2.7</v>
      </c>
    </row>
    <row r="97" spans="1:13" x14ac:dyDescent="0.25">
      <c r="A97" s="1">
        <v>425</v>
      </c>
      <c r="B97" s="1">
        <v>564</v>
      </c>
      <c r="C97" s="1">
        <v>1856</v>
      </c>
      <c r="D97" s="1">
        <v>-134</v>
      </c>
      <c r="E97" s="1">
        <v>10.8</v>
      </c>
      <c r="F97" s="1">
        <v>3.1</v>
      </c>
      <c r="H97" s="1">
        <v>425</v>
      </c>
      <c r="I97" s="1">
        <v>583</v>
      </c>
      <c r="J97" s="1">
        <v>1981</v>
      </c>
      <c r="K97" s="1">
        <v>-129.5</v>
      </c>
      <c r="L97" s="1">
        <v>10.5</v>
      </c>
      <c r="M97" s="1">
        <v>3</v>
      </c>
    </row>
    <row r="98" spans="1:13" x14ac:dyDescent="0.25">
      <c r="A98" s="1">
        <v>450</v>
      </c>
      <c r="B98" s="1">
        <v>551</v>
      </c>
      <c r="C98" s="1">
        <v>1774</v>
      </c>
      <c r="D98" s="1">
        <v>-156</v>
      </c>
      <c r="E98" s="1">
        <v>11.9</v>
      </c>
      <c r="F98" s="1">
        <v>3.5</v>
      </c>
      <c r="H98" s="1">
        <v>450</v>
      </c>
      <c r="I98" s="1">
        <v>571</v>
      </c>
      <c r="J98" s="1">
        <v>1901</v>
      </c>
      <c r="K98" s="1">
        <v>-150.6</v>
      </c>
      <c r="L98" s="1">
        <v>11.5</v>
      </c>
      <c r="M98" s="1">
        <v>3.3</v>
      </c>
    </row>
    <row r="99" spans="1:13" x14ac:dyDescent="0.25">
      <c r="A99" s="1">
        <v>475</v>
      </c>
      <c r="B99" s="1">
        <v>539</v>
      </c>
      <c r="C99" s="1">
        <v>1695</v>
      </c>
      <c r="D99" s="1">
        <v>-180.2</v>
      </c>
      <c r="E99" s="1">
        <v>13.1</v>
      </c>
      <c r="F99" s="1">
        <v>3.8</v>
      </c>
      <c r="H99" s="1">
        <v>475</v>
      </c>
      <c r="I99" s="1">
        <v>559</v>
      </c>
      <c r="J99" s="1">
        <v>1825</v>
      </c>
      <c r="K99" s="1">
        <v>-173.6</v>
      </c>
      <c r="L99" s="1">
        <v>12.6</v>
      </c>
      <c r="M99" s="1">
        <v>3.7</v>
      </c>
    </row>
    <row r="100" spans="1:13" x14ac:dyDescent="0.25">
      <c r="A100" s="1">
        <v>500</v>
      </c>
      <c r="B100" s="1">
        <v>527</v>
      </c>
      <c r="C100" s="1">
        <v>1622</v>
      </c>
      <c r="D100" s="1">
        <v>-206.7</v>
      </c>
      <c r="E100" s="1">
        <v>14.2</v>
      </c>
      <c r="F100" s="1">
        <v>4.0999999999999996</v>
      </c>
      <c r="H100" s="1">
        <v>500</v>
      </c>
      <c r="I100" s="1">
        <v>548</v>
      </c>
      <c r="J100" s="1">
        <v>1754</v>
      </c>
      <c r="K100" s="1">
        <v>-198.8</v>
      </c>
      <c r="L100" s="1">
        <v>13.7</v>
      </c>
      <c r="M100" s="1">
        <v>4</v>
      </c>
    </row>
    <row r="102" spans="1:13" x14ac:dyDescent="0.25">
      <c r="A102" t="s">
        <v>86</v>
      </c>
      <c r="H102" t="s">
        <v>81</v>
      </c>
    </row>
    <row r="103" spans="1:1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t="s">
        <v>17</v>
      </c>
    </row>
    <row r="104" spans="1:13" x14ac:dyDescent="0.25">
      <c r="A104" s="1">
        <v>0</v>
      </c>
      <c r="B104" s="1">
        <v>805</v>
      </c>
      <c r="C104" s="1">
        <v>3777</v>
      </c>
      <c r="D104" s="1">
        <v>-3.8</v>
      </c>
      <c r="E104" s="1">
        <v>0</v>
      </c>
      <c r="F104" s="1">
        <v>0</v>
      </c>
      <c r="H104" s="1">
        <v>0</v>
      </c>
      <c r="I104" s="1">
        <v>805</v>
      </c>
      <c r="J104" s="1">
        <v>3777</v>
      </c>
      <c r="K104" s="1">
        <v>-3.8</v>
      </c>
      <c r="L104" s="1">
        <v>0</v>
      </c>
      <c r="M104" s="1">
        <v>0</v>
      </c>
    </row>
    <row r="105" spans="1:13" x14ac:dyDescent="0.25">
      <c r="A105" s="1">
        <v>25</v>
      </c>
      <c r="B105" s="1">
        <v>789</v>
      </c>
      <c r="C105" s="1">
        <v>3632</v>
      </c>
      <c r="D105" s="1">
        <v>-1.3</v>
      </c>
      <c r="E105" s="1">
        <v>1.9</v>
      </c>
      <c r="F105" s="1">
        <v>0.5</v>
      </c>
      <c r="H105" s="1">
        <v>25</v>
      </c>
      <c r="I105" s="1">
        <v>790</v>
      </c>
      <c r="J105" s="1">
        <v>3644</v>
      </c>
      <c r="K105" s="1">
        <v>-1.4</v>
      </c>
      <c r="L105" s="1">
        <v>1.9</v>
      </c>
      <c r="M105" s="1">
        <v>0.5</v>
      </c>
    </row>
    <row r="106" spans="1:13" x14ac:dyDescent="0.25">
      <c r="A106" s="1">
        <v>50</v>
      </c>
      <c r="B106" s="1">
        <v>774</v>
      </c>
      <c r="C106" s="1">
        <v>3492</v>
      </c>
      <c r="D106" s="1">
        <v>0.2</v>
      </c>
      <c r="E106" s="1">
        <v>-0.1</v>
      </c>
      <c r="F106" s="1">
        <v>0</v>
      </c>
      <c r="H106" s="1">
        <v>50</v>
      </c>
      <c r="I106" s="1">
        <v>776</v>
      </c>
      <c r="J106" s="1">
        <v>3516</v>
      </c>
      <c r="K106" s="1">
        <v>0.2</v>
      </c>
      <c r="L106" s="1">
        <v>-0.1</v>
      </c>
      <c r="M106" s="1">
        <v>0</v>
      </c>
    </row>
    <row r="107" spans="1:13" x14ac:dyDescent="0.25">
      <c r="A107" s="1">
        <v>75</v>
      </c>
      <c r="B107" s="1">
        <v>759</v>
      </c>
      <c r="C107" s="1">
        <v>3357</v>
      </c>
      <c r="D107" s="1">
        <v>0.6</v>
      </c>
      <c r="E107" s="1">
        <v>-0.3</v>
      </c>
      <c r="F107" s="1">
        <v>-0.1</v>
      </c>
      <c r="H107" s="1">
        <v>75</v>
      </c>
      <c r="I107" s="1">
        <v>763</v>
      </c>
      <c r="J107" s="1">
        <v>3391</v>
      </c>
      <c r="K107" s="1">
        <v>0.6</v>
      </c>
      <c r="L107" s="1">
        <v>-0.3</v>
      </c>
      <c r="M107" s="1">
        <v>-0.1</v>
      </c>
    </row>
    <row r="108" spans="1:13" x14ac:dyDescent="0.25">
      <c r="A108" s="10">
        <v>100</v>
      </c>
      <c r="B108" s="10">
        <v>744</v>
      </c>
      <c r="C108" s="10">
        <v>3226</v>
      </c>
      <c r="D108" s="10">
        <v>0</v>
      </c>
      <c r="E108" s="10">
        <v>0</v>
      </c>
      <c r="F108" s="10">
        <v>0</v>
      </c>
      <c r="H108" s="1">
        <v>100</v>
      </c>
      <c r="I108" s="1">
        <v>749</v>
      </c>
      <c r="J108" s="1">
        <v>3270</v>
      </c>
      <c r="K108" s="1">
        <v>0</v>
      </c>
      <c r="L108" s="1">
        <v>0</v>
      </c>
      <c r="M108" s="1">
        <v>0</v>
      </c>
    </row>
    <row r="109" spans="1:13" x14ac:dyDescent="0.25">
      <c r="A109" s="1">
        <v>125</v>
      </c>
      <c r="B109" s="1">
        <v>729</v>
      </c>
      <c r="C109" s="1">
        <v>3099</v>
      </c>
      <c r="D109" s="1">
        <v>-1.8</v>
      </c>
      <c r="E109" s="1">
        <v>0.5</v>
      </c>
      <c r="F109" s="1">
        <v>0.1</v>
      </c>
      <c r="H109" s="1">
        <v>125</v>
      </c>
      <c r="I109" s="1">
        <v>735</v>
      </c>
      <c r="J109" s="1">
        <v>3153</v>
      </c>
      <c r="K109" s="1">
        <v>-1.7</v>
      </c>
      <c r="L109" s="1">
        <v>0.5</v>
      </c>
      <c r="M109" s="1">
        <v>0.1</v>
      </c>
    </row>
    <row r="110" spans="1:13" x14ac:dyDescent="0.25">
      <c r="A110" s="1">
        <v>150</v>
      </c>
      <c r="B110" s="1">
        <v>714</v>
      </c>
      <c r="C110" s="1">
        <v>2975</v>
      </c>
      <c r="D110" s="1">
        <v>-4.7</v>
      </c>
      <c r="E110" s="1">
        <v>1.1000000000000001</v>
      </c>
      <c r="F110" s="1">
        <v>0.3</v>
      </c>
      <c r="H110" s="1">
        <v>150</v>
      </c>
      <c r="I110" s="1">
        <v>722</v>
      </c>
      <c r="J110" s="1">
        <v>3038</v>
      </c>
      <c r="K110" s="1">
        <v>-4.5999999999999996</v>
      </c>
      <c r="L110" s="1">
        <v>1.1000000000000001</v>
      </c>
      <c r="M110" s="1">
        <v>0.3</v>
      </c>
    </row>
    <row r="111" spans="1:13" x14ac:dyDescent="0.25">
      <c r="A111" s="1">
        <v>175</v>
      </c>
      <c r="B111" s="1">
        <v>700</v>
      </c>
      <c r="C111" s="1">
        <v>2856</v>
      </c>
      <c r="D111" s="1">
        <v>-8.8000000000000007</v>
      </c>
      <c r="E111" s="1">
        <v>1.7</v>
      </c>
      <c r="F111" s="1">
        <v>0.5</v>
      </c>
      <c r="H111" s="1">
        <v>175</v>
      </c>
      <c r="I111" s="1">
        <v>708</v>
      </c>
      <c r="J111" s="1">
        <v>2927</v>
      </c>
      <c r="K111" s="1">
        <v>-8.6</v>
      </c>
      <c r="L111" s="1">
        <v>1.7</v>
      </c>
      <c r="M111" s="1">
        <v>0.5</v>
      </c>
    </row>
    <row r="112" spans="1:13" x14ac:dyDescent="0.25">
      <c r="A112" s="1">
        <v>200</v>
      </c>
      <c r="B112" s="1">
        <v>685</v>
      </c>
      <c r="C112" s="1">
        <v>2740</v>
      </c>
      <c r="D112" s="1">
        <v>-14.4</v>
      </c>
      <c r="E112" s="1">
        <v>2.5</v>
      </c>
      <c r="F112" s="1">
        <v>0.7</v>
      </c>
      <c r="H112" s="1">
        <v>200</v>
      </c>
      <c r="I112" s="1">
        <v>695</v>
      </c>
      <c r="J112" s="1">
        <v>2819</v>
      </c>
      <c r="K112" s="1">
        <v>-14.1</v>
      </c>
      <c r="L112" s="1">
        <v>2.4</v>
      </c>
      <c r="M112" s="1">
        <v>0.7</v>
      </c>
    </row>
    <row r="113" spans="1:13" x14ac:dyDescent="0.25">
      <c r="A113" s="1">
        <v>225</v>
      </c>
      <c r="B113" s="1">
        <v>671</v>
      </c>
      <c r="C113" s="1">
        <v>2628</v>
      </c>
      <c r="D113" s="1">
        <v>-21.1</v>
      </c>
      <c r="E113" s="1">
        <v>3.2</v>
      </c>
      <c r="F113" s="1">
        <v>0.9</v>
      </c>
      <c r="H113" s="1">
        <v>225</v>
      </c>
      <c r="I113" s="1">
        <v>682</v>
      </c>
      <c r="J113" s="1">
        <v>2714</v>
      </c>
      <c r="K113" s="1">
        <v>-20.6</v>
      </c>
      <c r="L113" s="1">
        <v>3.1</v>
      </c>
      <c r="M113" s="1">
        <v>0.9</v>
      </c>
    </row>
    <row r="114" spans="1:13" x14ac:dyDescent="0.25">
      <c r="A114" s="1">
        <v>250</v>
      </c>
      <c r="B114" s="1">
        <v>657</v>
      </c>
      <c r="C114" s="1">
        <v>2519</v>
      </c>
      <c r="D114" s="1">
        <v>-29.2</v>
      </c>
      <c r="E114" s="1">
        <v>4</v>
      </c>
      <c r="F114" s="1">
        <v>1.2</v>
      </c>
      <c r="H114" s="1">
        <v>250</v>
      </c>
      <c r="I114" s="1">
        <v>669</v>
      </c>
      <c r="J114" s="1">
        <v>2612</v>
      </c>
      <c r="K114" s="1">
        <v>-28.5</v>
      </c>
      <c r="L114" s="1">
        <v>3.9</v>
      </c>
      <c r="M114" s="1">
        <v>1.1000000000000001</v>
      </c>
    </row>
    <row r="115" spans="1:13" x14ac:dyDescent="0.25">
      <c r="A115" s="1">
        <v>275</v>
      </c>
      <c r="B115" s="1">
        <v>643</v>
      </c>
      <c r="C115" s="1">
        <v>2415</v>
      </c>
      <c r="D115" s="1">
        <v>-39.1</v>
      </c>
      <c r="E115" s="1">
        <v>4.9000000000000004</v>
      </c>
      <c r="F115" s="1">
        <v>1.4</v>
      </c>
      <c r="H115" s="1">
        <v>275</v>
      </c>
      <c r="I115" s="1">
        <v>656</v>
      </c>
      <c r="J115" s="1">
        <v>2513</v>
      </c>
      <c r="K115" s="1">
        <v>-38.1</v>
      </c>
      <c r="L115" s="1">
        <v>4.8</v>
      </c>
      <c r="M115" s="1">
        <v>1.4</v>
      </c>
    </row>
    <row r="116" spans="1:13" x14ac:dyDescent="0.25">
      <c r="A116" s="1">
        <v>300</v>
      </c>
      <c r="B116" s="1">
        <v>630</v>
      </c>
      <c r="C116" s="1">
        <v>2313</v>
      </c>
      <c r="D116" s="1">
        <v>-50.2</v>
      </c>
      <c r="E116" s="1">
        <v>5.7</v>
      </c>
      <c r="F116" s="1">
        <v>1.7</v>
      </c>
      <c r="H116" s="1">
        <v>300</v>
      </c>
      <c r="I116" s="1">
        <v>644</v>
      </c>
      <c r="J116" s="1">
        <v>2418</v>
      </c>
      <c r="K116" s="1">
        <v>-48.9</v>
      </c>
      <c r="L116" s="1">
        <v>5.6</v>
      </c>
      <c r="M116" s="1">
        <v>1.6</v>
      </c>
    </row>
    <row r="117" spans="1:13" x14ac:dyDescent="0.25">
      <c r="A117" s="1">
        <v>325</v>
      </c>
      <c r="B117" s="1">
        <v>616</v>
      </c>
      <c r="C117" s="1">
        <v>2215</v>
      </c>
      <c r="D117" s="1">
        <v>-62.8</v>
      </c>
      <c r="E117" s="1">
        <v>6.7</v>
      </c>
      <c r="F117" s="1">
        <v>1.9</v>
      </c>
      <c r="H117" s="1">
        <v>325</v>
      </c>
      <c r="I117" s="1">
        <v>631</v>
      </c>
      <c r="J117" s="1">
        <v>2325</v>
      </c>
      <c r="K117" s="1">
        <v>-61.2</v>
      </c>
      <c r="L117" s="1">
        <v>6.5</v>
      </c>
      <c r="M117" s="1">
        <v>1.9</v>
      </c>
    </row>
    <row r="118" spans="1:13" x14ac:dyDescent="0.25">
      <c r="A118" s="1">
        <v>350</v>
      </c>
      <c r="B118" s="1">
        <v>603</v>
      </c>
      <c r="C118" s="1">
        <v>2120</v>
      </c>
      <c r="D118" s="1">
        <v>-77.7</v>
      </c>
      <c r="E118" s="1">
        <v>7.6</v>
      </c>
      <c r="F118" s="1">
        <v>2.2000000000000002</v>
      </c>
      <c r="H118" s="1">
        <v>350</v>
      </c>
      <c r="I118" s="1">
        <v>619</v>
      </c>
      <c r="J118" s="1">
        <v>2234</v>
      </c>
      <c r="K118" s="1">
        <v>-75.599999999999994</v>
      </c>
      <c r="L118" s="1">
        <v>7.4</v>
      </c>
      <c r="M118" s="1">
        <v>2.2000000000000002</v>
      </c>
    </row>
    <row r="119" spans="1:13" x14ac:dyDescent="0.25">
      <c r="A119" s="1">
        <v>375</v>
      </c>
      <c r="B119" s="1">
        <v>590</v>
      </c>
      <c r="C119" s="1">
        <v>2029</v>
      </c>
      <c r="D119" s="1">
        <v>-93.9</v>
      </c>
      <c r="E119" s="1">
        <v>8.6</v>
      </c>
      <c r="F119" s="1">
        <v>2.5</v>
      </c>
      <c r="H119" s="1">
        <v>375</v>
      </c>
      <c r="I119" s="1">
        <v>607</v>
      </c>
      <c r="J119" s="1">
        <v>2147</v>
      </c>
      <c r="K119" s="1">
        <v>-91.1</v>
      </c>
      <c r="L119" s="1">
        <v>8.4</v>
      </c>
      <c r="M119" s="1">
        <v>2.4</v>
      </c>
    </row>
    <row r="120" spans="1:13" x14ac:dyDescent="0.25">
      <c r="A120" s="1">
        <v>400</v>
      </c>
      <c r="B120" s="1">
        <v>577</v>
      </c>
      <c r="C120" s="1">
        <v>1941</v>
      </c>
      <c r="D120" s="1">
        <v>-111.9</v>
      </c>
      <c r="E120" s="1">
        <v>9.6</v>
      </c>
      <c r="F120" s="1">
        <v>2.8</v>
      </c>
      <c r="H120" s="1">
        <v>400</v>
      </c>
      <c r="I120" s="1">
        <v>595</v>
      </c>
      <c r="J120" s="1">
        <v>2062</v>
      </c>
      <c r="K120" s="1">
        <v>-108.4</v>
      </c>
      <c r="L120" s="1">
        <v>9.3000000000000007</v>
      </c>
      <c r="M120" s="1">
        <v>2.7</v>
      </c>
    </row>
    <row r="121" spans="1:13" x14ac:dyDescent="0.25">
      <c r="A121" s="1">
        <v>425</v>
      </c>
      <c r="B121" s="1">
        <v>564</v>
      </c>
      <c r="C121" s="1">
        <v>1856</v>
      </c>
      <c r="D121" s="1">
        <v>-132.5</v>
      </c>
      <c r="E121" s="1">
        <v>10.7</v>
      </c>
      <c r="F121" s="1">
        <v>3.1</v>
      </c>
      <c r="H121" s="1">
        <v>425</v>
      </c>
      <c r="I121" s="1">
        <v>583</v>
      </c>
      <c r="J121" s="1">
        <v>1981</v>
      </c>
      <c r="K121" s="1">
        <v>-128.19999999999999</v>
      </c>
      <c r="L121" s="1">
        <v>10.4</v>
      </c>
      <c r="M121" s="1">
        <v>3</v>
      </c>
    </row>
    <row r="122" spans="1:13" x14ac:dyDescent="0.25">
      <c r="A122" s="1">
        <v>450</v>
      </c>
      <c r="B122" s="1">
        <v>551</v>
      </c>
      <c r="C122" s="1">
        <v>1774</v>
      </c>
      <c r="D122" s="1">
        <v>-154.5</v>
      </c>
      <c r="E122" s="1">
        <v>11.8</v>
      </c>
      <c r="F122" s="1">
        <v>3.4</v>
      </c>
      <c r="H122" s="1">
        <v>450</v>
      </c>
      <c r="I122" s="1">
        <v>571</v>
      </c>
      <c r="J122" s="1">
        <v>1901</v>
      </c>
      <c r="K122" s="1">
        <v>-149.19999999999999</v>
      </c>
      <c r="L122" s="1">
        <v>11.4</v>
      </c>
      <c r="M122" s="1">
        <v>3.3</v>
      </c>
    </row>
    <row r="123" spans="1:13" x14ac:dyDescent="0.25">
      <c r="A123" s="1">
        <v>475</v>
      </c>
      <c r="B123" s="1">
        <v>539</v>
      </c>
      <c r="C123" s="1">
        <v>1695</v>
      </c>
      <c r="D123" s="1">
        <v>-178.6</v>
      </c>
      <c r="E123" s="1">
        <v>12.9</v>
      </c>
      <c r="F123" s="1">
        <v>3.8</v>
      </c>
      <c r="H123" s="1">
        <v>475</v>
      </c>
      <c r="I123" s="1">
        <v>559</v>
      </c>
      <c r="J123" s="1">
        <v>1825</v>
      </c>
      <c r="K123" s="1">
        <v>-172.2</v>
      </c>
      <c r="L123" s="1">
        <v>12.5</v>
      </c>
      <c r="M123" s="1">
        <v>3.6</v>
      </c>
    </row>
    <row r="124" spans="1:13" x14ac:dyDescent="0.25">
      <c r="A124" s="1">
        <v>500</v>
      </c>
      <c r="B124" s="1">
        <v>527</v>
      </c>
      <c r="C124" s="1">
        <v>1622</v>
      </c>
      <c r="D124" s="1">
        <v>-205</v>
      </c>
      <c r="E124" s="1">
        <v>14.1</v>
      </c>
      <c r="F124" s="1">
        <v>4.0999999999999996</v>
      </c>
      <c r="H124" s="1">
        <v>500</v>
      </c>
      <c r="I124" s="1">
        <v>548</v>
      </c>
      <c r="J124" s="1">
        <v>1754</v>
      </c>
      <c r="K124" s="1">
        <v>-197.3</v>
      </c>
      <c r="L124" s="1">
        <v>13.6</v>
      </c>
      <c r="M124" s="1">
        <v>4</v>
      </c>
    </row>
    <row r="126" spans="1:13" x14ac:dyDescent="0.25">
      <c r="A126" t="s">
        <v>87</v>
      </c>
      <c r="H126" t="s">
        <v>82</v>
      </c>
    </row>
    <row r="127" spans="1:1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t="s">
        <v>17</v>
      </c>
    </row>
    <row r="128" spans="1:13" x14ac:dyDescent="0.25">
      <c r="A128" s="1">
        <v>0</v>
      </c>
      <c r="B128" s="1">
        <v>805</v>
      </c>
      <c r="C128" s="1">
        <v>3777</v>
      </c>
      <c r="D128" s="1">
        <v>-3.8</v>
      </c>
      <c r="E128" s="1">
        <v>0</v>
      </c>
      <c r="F128" s="1">
        <v>0</v>
      </c>
      <c r="H128" s="1">
        <v>0</v>
      </c>
      <c r="I128" s="1">
        <v>805</v>
      </c>
      <c r="J128" s="1">
        <v>3777</v>
      </c>
      <c r="K128" s="1">
        <v>-3.8</v>
      </c>
      <c r="L128" s="1">
        <v>0</v>
      </c>
      <c r="M128" s="1">
        <v>0</v>
      </c>
    </row>
    <row r="129" spans="1:13" x14ac:dyDescent="0.25">
      <c r="A129" s="1">
        <v>25</v>
      </c>
      <c r="B129" s="1">
        <v>789</v>
      </c>
      <c r="C129" s="1">
        <v>3632</v>
      </c>
      <c r="D129" s="1">
        <v>-0.6</v>
      </c>
      <c r="E129" s="1">
        <v>0.8</v>
      </c>
      <c r="F129" s="1">
        <v>0.2</v>
      </c>
      <c r="H129" s="1">
        <v>25</v>
      </c>
      <c r="I129" s="1">
        <v>790</v>
      </c>
      <c r="J129" s="1">
        <v>3644</v>
      </c>
      <c r="K129" s="1">
        <v>-0.6</v>
      </c>
      <c r="L129" s="1">
        <v>0.8</v>
      </c>
      <c r="M129" s="1">
        <v>0.2</v>
      </c>
    </row>
    <row r="130" spans="1:13" x14ac:dyDescent="0.25">
      <c r="A130" s="1">
        <v>50</v>
      </c>
      <c r="B130" s="1">
        <v>774</v>
      </c>
      <c r="C130" s="1">
        <v>3492</v>
      </c>
      <c r="D130" s="1">
        <v>1.8</v>
      </c>
      <c r="E130" s="1">
        <v>-1.2</v>
      </c>
      <c r="F130" s="1">
        <v>-0.3</v>
      </c>
      <c r="H130" s="1">
        <v>50</v>
      </c>
      <c r="I130" s="1">
        <v>776</v>
      </c>
      <c r="J130" s="1">
        <v>3516</v>
      </c>
      <c r="K130" s="1">
        <v>1.7</v>
      </c>
      <c r="L130" s="1">
        <v>-1.2</v>
      </c>
      <c r="M130" s="1">
        <v>-0.3</v>
      </c>
    </row>
    <row r="131" spans="1:13" x14ac:dyDescent="0.25">
      <c r="A131" s="1">
        <v>75</v>
      </c>
      <c r="B131" s="1">
        <v>759</v>
      </c>
      <c r="C131" s="1">
        <v>3357</v>
      </c>
      <c r="D131" s="1">
        <v>3</v>
      </c>
      <c r="E131" s="1">
        <v>-1.4</v>
      </c>
      <c r="F131" s="1">
        <v>-0.4</v>
      </c>
      <c r="H131" s="1">
        <v>75</v>
      </c>
      <c r="I131" s="1">
        <v>763</v>
      </c>
      <c r="J131" s="1">
        <v>3391</v>
      </c>
      <c r="K131" s="1">
        <v>2.9</v>
      </c>
      <c r="L131" s="1">
        <v>-1.3</v>
      </c>
      <c r="M131" s="1">
        <v>-0.4</v>
      </c>
    </row>
    <row r="132" spans="1:13" x14ac:dyDescent="0.25">
      <c r="A132" s="1">
        <v>100</v>
      </c>
      <c r="B132" s="1">
        <v>744</v>
      </c>
      <c r="C132" s="1">
        <v>3226</v>
      </c>
      <c r="D132" s="1">
        <v>3.1</v>
      </c>
      <c r="E132" s="1">
        <v>-1.1000000000000001</v>
      </c>
      <c r="F132" s="1">
        <v>-0.3</v>
      </c>
      <c r="H132" s="1">
        <v>100</v>
      </c>
      <c r="I132" s="1">
        <v>749</v>
      </c>
      <c r="J132" s="1">
        <v>3270</v>
      </c>
      <c r="K132" s="1">
        <v>3.1</v>
      </c>
      <c r="L132" s="1">
        <v>-1.1000000000000001</v>
      </c>
      <c r="M132" s="1">
        <v>-0.3</v>
      </c>
    </row>
    <row r="133" spans="1:13" x14ac:dyDescent="0.25">
      <c r="A133" s="1">
        <v>125</v>
      </c>
      <c r="B133" s="1">
        <v>729</v>
      </c>
      <c r="C133" s="1">
        <v>3098</v>
      </c>
      <c r="D133" s="1">
        <v>2.1</v>
      </c>
      <c r="E133" s="1">
        <v>-0.6</v>
      </c>
      <c r="F133" s="1">
        <v>-0.2</v>
      </c>
      <c r="H133" s="1">
        <v>125</v>
      </c>
      <c r="I133" s="1">
        <v>735</v>
      </c>
      <c r="J133" s="1">
        <v>3153</v>
      </c>
      <c r="K133" s="1">
        <v>2.1</v>
      </c>
      <c r="L133" s="1">
        <v>-0.6</v>
      </c>
      <c r="M133" s="1">
        <v>-0.2</v>
      </c>
    </row>
    <row r="134" spans="1:13" x14ac:dyDescent="0.25">
      <c r="A134" s="10">
        <v>150</v>
      </c>
      <c r="B134" s="10">
        <v>714</v>
      </c>
      <c r="C134" s="10">
        <v>2975</v>
      </c>
      <c r="D134" s="10">
        <v>0</v>
      </c>
      <c r="E134" s="10">
        <v>0</v>
      </c>
      <c r="F134" s="10">
        <v>0</v>
      </c>
      <c r="H134" s="1">
        <v>150</v>
      </c>
      <c r="I134" s="1">
        <v>722</v>
      </c>
      <c r="J134" s="1">
        <v>3038</v>
      </c>
      <c r="K134" s="1">
        <v>0</v>
      </c>
      <c r="L134" s="1">
        <v>0</v>
      </c>
      <c r="M134" s="1">
        <v>0</v>
      </c>
    </row>
    <row r="135" spans="1:13" x14ac:dyDescent="0.25">
      <c r="A135" s="1">
        <v>175</v>
      </c>
      <c r="B135" s="1">
        <v>700</v>
      </c>
      <c r="C135" s="1">
        <v>2856</v>
      </c>
      <c r="D135" s="1">
        <v>-3.3</v>
      </c>
      <c r="E135" s="1">
        <v>0.6</v>
      </c>
      <c r="F135" s="1">
        <v>0.2</v>
      </c>
      <c r="H135" s="1">
        <v>175</v>
      </c>
      <c r="I135" s="1">
        <v>708</v>
      </c>
      <c r="J135" s="1">
        <v>2927</v>
      </c>
      <c r="K135" s="1">
        <v>-3.3</v>
      </c>
      <c r="L135" s="1">
        <v>0.6</v>
      </c>
      <c r="M135" s="1">
        <v>0.2</v>
      </c>
    </row>
    <row r="136" spans="1:13" x14ac:dyDescent="0.25">
      <c r="A136" s="1">
        <v>200</v>
      </c>
      <c r="B136" s="1">
        <v>685</v>
      </c>
      <c r="C136" s="1">
        <v>2740</v>
      </c>
      <c r="D136" s="1">
        <v>-8.1</v>
      </c>
      <c r="E136" s="1">
        <v>1.4</v>
      </c>
      <c r="F136" s="1">
        <v>0.4</v>
      </c>
      <c r="H136" s="1">
        <v>200</v>
      </c>
      <c r="I136" s="1">
        <v>695</v>
      </c>
      <c r="J136" s="1">
        <v>2819</v>
      </c>
      <c r="K136" s="1">
        <v>-7.9</v>
      </c>
      <c r="L136" s="1">
        <v>1.4</v>
      </c>
      <c r="M136" s="1">
        <v>0.4</v>
      </c>
    </row>
    <row r="137" spans="1:13" x14ac:dyDescent="0.25">
      <c r="A137" s="1">
        <v>225</v>
      </c>
      <c r="B137" s="1">
        <v>671</v>
      </c>
      <c r="C137" s="1">
        <v>2628</v>
      </c>
      <c r="D137" s="1">
        <v>-14</v>
      </c>
      <c r="E137" s="1">
        <v>2.1</v>
      </c>
      <c r="F137" s="1">
        <v>0.6</v>
      </c>
      <c r="H137" s="1">
        <v>225</v>
      </c>
      <c r="I137" s="1">
        <v>682</v>
      </c>
      <c r="J137" s="1">
        <v>2714</v>
      </c>
      <c r="K137" s="1">
        <v>-13.7</v>
      </c>
      <c r="L137" s="1">
        <v>2.1</v>
      </c>
      <c r="M137" s="1">
        <v>0.6</v>
      </c>
    </row>
    <row r="138" spans="1:13" x14ac:dyDescent="0.25">
      <c r="A138" s="1">
        <v>250</v>
      </c>
      <c r="B138" s="1">
        <v>657</v>
      </c>
      <c r="C138" s="1">
        <v>2519</v>
      </c>
      <c r="D138" s="1">
        <v>-21.3</v>
      </c>
      <c r="E138" s="1">
        <v>2.9</v>
      </c>
      <c r="F138" s="1">
        <v>0.9</v>
      </c>
      <c r="H138" s="1">
        <v>250</v>
      </c>
      <c r="I138" s="1">
        <v>669</v>
      </c>
      <c r="J138" s="1">
        <v>2612</v>
      </c>
      <c r="K138" s="1">
        <v>-20.9</v>
      </c>
      <c r="L138" s="1">
        <v>2.9</v>
      </c>
      <c r="M138" s="1">
        <v>0.8</v>
      </c>
    </row>
    <row r="139" spans="1:13" x14ac:dyDescent="0.25">
      <c r="A139" s="1">
        <v>275</v>
      </c>
      <c r="B139" s="1">
        <v>643</v>
      </c>
      <c r="C139" s="1">
        <v>2415</v>
      </c>
      <c r="D139" s="1">
        <v>-30.4</v>
      </c>
      <c r="E139" s="1">
        <v>3.8</v>
      </c>
      <c r="F139" s="1">
        <v>1.1000000000000001</v>
      </c>
      <c r="H139" s="1">
        <v>275</v>
      </c>
      <c r="I139" s="1">
        <v>656</v>
      </c>
      <c r="J139" s="1">
        <v>2513</v>
      </c>
      <c r="K139" s="1">
        <v>-29.7</v>
      </c>
      <c r="L139" s="1">
        <v>3.7</v>
      </c>
      <c r="M139" s="1">
        <v>1.1000000000000001</v>
      </c>
    </row>
    <row r="140" spans="1:13" x14ac:dyDescent="0.25">
      <c r="A140" s="1">
        <v>300</v>
      </c>
      <c r="B140" s="1">
        <v>630</v>
      </c>
      <c r="C140" s="1">
        <v>2313</v>
      </c>
      <c r="D140" s="1">
        <v>-40.799999999999997</v>
      </c>
      <c r="E140" s="1">
        <v>4.7</v>
      </c>
      <c r="F140" s="1">
        <v>1.4</v>
      </c>
      <c r="H140" s="1">
        <v>300</v>
      </c>
      <c r="I140" s="1">
        <v>644</v>
      </c>
      <c r="J140" s="1">
        <v>2418</v>
      </c>
      <c r="K140" s="1">
        <v>-39.700000000000003</v>
      </c>
      <c r="L140" s="1">
        <v>4.5999999999999996</v>
      </c>
      <c r="M140" s="1">
        <v>1.3</v>
      </c>
    </row>
    <row r="141" spans="1:13" x14ac:dyDescent="0.25">
      <c r="A141" s="1">
        <v>325</v>
      </c>
      <c r="B141" s="1">
        <v>616</v>
      </c>
      <c r="C141" s="1">
        <v>2215</v>
      </c>
      <c r="D141" s="1">
        <v>-52.7</v>
      </c>
      <c r="E141" s="1">
        <v>5.6</v>
      </c>
      <c r="F141" s="1">
        <v>1.6</v>
      </c>
      <c r="H141" s="1">
        <v>325</v>
      </c>
      <c r="I141" s="1">
        <v>631</v>
      </c>
      <c r="J141" s="1">
        <v>2325</v>
      </c>
      <c r="K141" s="1">
        <v>-51.3</v>
      </c>
      <c r="L141" s="1">
        <v>5.4</v>
      </c>
      <c r="M141" s="1">
        <v>1.6</v>
      </c>
    </row>
    <row r="142" spans="1:13" x14ac:dyDescent="0.25">
      <c r="A142" s="1">
        <v>350</v>
      </c>
      <c r="B142" s="1">
        <v>603</v>
      </c>
      <c r="C142" s="1">
        <v>2120</v>
      </c>
      <c r="D142" s="1">
        <v>-66.8</v>
      </c>
      <c r="E142" s="1">
        <v>6.6</v>
      </c>
      <c r="F142" s="1">
        <v>1.9</v>
      </c>
      <c r="H142" s="1">
        <v>350</v>
      </c>
      <c r="I142" s="1">
        <v>619</v>
      </c>
      <c r="J142" s="1">
        <v>2234</v>
      </c>
      <c r="K142" s="1">
        <v>-64.900000000000006</v>
      </c>
      <c r="L142" s="1">
        <v>6.4</v>
      </c>
      <c r="M142" s="1">
        <v>1.9</v>
      </c>
    </row>
    <row r="143" spans="1:13" x14ac:dyDescent="0.25">
      <c r="A143" s="1">
        <v>375</v>
      </c>
      <c r="B143" s="1">
        <v>590</v>
      </c>
      <c r="C143" s="1">
        <v>2029</v>
      </c>
      <c r="D143" s="1">
        <v>-82.1</v>
      </c>
      <c r="E143" s="1">
        <v>7.5</v>
      </c>
      <c r="F143" s="1">
        <v>2.2000000000000002</v>
      </c>
      <c r="H143" s="1">
        <v>375</v>
      </c>
      <c r="I143" s="1">
        <v>607</v>
      </c>
      <c r="J143" s="1">
        <v>2147</v>
      </c>
      <c r="K143" s="1">
        <v>-79.7</v>
      </c>
      <c r="L143" s="1">
        <v>7.3</v>
      </c>
      <c r="M143" s="1">
        <v>2.1</v>
      </c>
    </row>
    <row r="144" spans="1:13" x14ac:dyDescent="0.25">
      <c r="A144" s="1">
        <v>400</v>
      </c>
      <c r="B144" s="1">
        <v>577</v>
      </c>
      <c r="C144" s="1">
        <v>1941</v>
      </c>
      <c r="D144" s="1">
        <v>-99.3</v>
      </c>
      <c r="E144" s="1">
        <v>8.5</v>
      </c>
      <c r="F144" s="1">
        <v>2.5</v>
      </c>
      <c r="H144" s="1">
        <v>400</v>
      </c>
      <c r="I144" s="1">
        <v>595</v>
      </c>
      <c r="J144" s="1">
        <v>2062</v>
      </c>
      <c r="K144" s="1">
        <v>-96.2</v>
      </c>
      <c r="L144" s="1">
        <v>8.3000000000000007</v>
      </c>
      <c r="M144" s="1">
        <v>2.4</v>
      </c>
    </row>
    <row r="145" spans="1:13" x14ac:dyDescent="0.25">
      <c r="A145" s="1">
        <v>425</v>
      </c>
      <c r="B145" s="1">
        <v>564</v>
      </c>
      <c r="C145" s="1">
        <v>1856</v>
      </c>
      <c r="D145" s="1">
        <v>-119.2</v>
      </c>
      <c r="E145" s="1">
        <v>9.6</v>
      </c>
      <c r="F145" s="1">
        <v>2.8</v>
      </c>
      <c r="H145" s="1">
        <v>425</v>
      </c>
      <c r="I145" s="1">
        <v>583</v>
      </c>
      <c r="J145" s="1">
        <v>1981</v>
      </c>
      <c r="K145" s="1">
        <v>-115.2</v>
      </c>
      <c r="L145" s="1">
        <v>9.3000000000000007</v>
      </c>
      <c r="M145" s="1">
        <v>2.7</v>
      </c>
    </row>
    <row r="146" spans="1:13" x14ac:dyDescent="0.25">
      <c r="A146" s="1">
        <v>450</v>
      </c>
      <c r="B146" s="1">
        <v>551</v>
      </c>
      <c r="C146" s="1">
        <v>1774</v>
      </c>
      <c r="D146" s="1">
        <v>-140.4</v>
      </c>
      <c r="E146" s="1">
        <v>10.7</v>
      </c>
      <c r="F146" s="1">
        <v>3.1</v>
      </c>
      <c r="H146" s="1">
        <v>450</v>
      </c>
      <c r="I146" s="1">
        <v>571</v>
      </c>
      <c r="J146" s="1">
        <v>1901</v>
      </c>
      <c r="K146" s="1">
        <v>-135.5</v>
      </c>
      <c r="L146" s="1">
        <v>10.3</v>
      </c>
      <c r="M146" s="1">
        <v>3</v>
      </c>
    </row>
    <row r="147" spans="1:13" x14ac:dyDescent="0.25">
      <c r="A147" s="1">
        <v>475</v>
      </c>
      <c r="B147" s="1">
        <v>539</v>
      </c>
      <c r="C147" s="1">
        <v>1695</v>
      </c>
      <c r="D147" s="1">
        <v>-163.80000000000001</v>
      </c>
      <c r="E147" s="1">
        <v>11.9</v>
      </c>
      <c r="F147" s="1">
        <v>3.5</v>
      </c>
      <c r="H147" s="1">
        <v>475</v>
      </c>
      <c r="I147" s="1">
        <v>559</v>
      </c>
      <c r="J147" s="1">
        <v>1825</v>
      </c>
      <c r="K147" s="1">
        <v>-157.69999999999999</v>
      </c>
      <c r="L147" s="1">
        <v>11.4</v>
      </c>
      <c r="M147" s="1">
        <v>3.3</v>
      </c>
    </row>
    <row r="148" spans="1:13" x14ac:dyDescent="0.25">
      <c r="A148" s="1">
        <v>500</v>
      </c>
      <c r="B148" s="1">
        <v>527</v>
      </c>
      <c r="C148" s="1">
        <v>1622</v>
      </c>
      <c r="D148" s="1">
        <v>-189.3</v>
      </c>
      <c r="E148" s="1">
        <v>13</v>
      </c>
      <c r="F148" s="1">
        <v>3.8</v>
      </c>
      <c r="H148" s="1">
        <v>500</v>
      </c>
      <c r="I148" s="1">
        <v>548</v>
      </c>
      <c r="J148" s="1">
        <v>1754</v>
      </c>
      <c r="K148" s="1">
        <v>-182</v>
      </c>
      <c r="L148" s="1">
        <v>12.5</v>
      </c>
      <c r="M148" s="1">
        <v>3.6</v>
      </c>
    </row>
    <row r="150" spans="1:13" x14ac:dyDescent="0.25">
      <c r="A150" t="s">
        <v>88</v>
      </c>
      <c r="H150" t="s">
        <v>83</v>
      </c>
    </row>
    <row r="151" spans="1:1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t="s">
        <v>17</v>
      </c>
    </row>
    <row r="152" spans="1:13" x14ac:dyDescent="0.25">
      <c r="A152" s="1">
        <v>0</v>
      </c>
      <c r="B152" s="1">
        <v>805</v>
      </c>
      <c r="C152" s="1">
        <v>3777</v>
      </c>
      <c r="D152" s="1">
        <v>-3.8</v>
      </c>
      <c r="E152" s="1">
        <v>0</v>
      </c>
      <c r="F152" s="1">
        <v>0</v>
      </c>
      <c r="H152" s="1">
        <v>0</v>
      </c>
      <c r="I152" s="1">
        <v>805</v>
      </c>
      <c r="J152" s="1">
        <v>3777</v>
      </c>
      <c r="K152" s="1">
        <v>-3.8</v>
      </c>
      <c r="L152" s="1">
        <v>0</v>
      </c>
      <c r="M152" s="1">
        <v>0</v>
      </c>
    </row>
    <row r="153" spans="1:13" x14ac:dyDescent="0.25">
      <c r="A153" s="1">
        <v>25</v>
      </c>
      <c r="B153" s="1">
        <v>789</v>
      </c>
      <c r="C153" s="1">
        <v>3632</v>
      </c>
      <c r="D153" s="1">
        <v>0.4</v>
      </c>
      <c r="E153" s="1">
        <v>-0.6</v>
      </c>
      <c r="F153" s="1">
        <v>-0.2</v>
      </c>
      <c r="H153" s="1">
        <v>25</v>
      </c>
      <c r="I153" s="1">
        <v>790</v>
      </c>
      <c r="J153" s="1">
        <v>3644</v>
      </c>
      <c r="K153" s="1">
        <v>0.4</v>
      </c>
      <c r="L153" s="1">
        <v>-0.5</v>
      </c>
      <c r="M153" s="1">
        <v>-0.2</v>
      </c>
    </row>
    <row r="154" spans="1:13" x14ac:dyDescent="0.25">
      <c r="A154" s="1">
        <v>50</v>
      </c>
      <c r="B154" s="1">
        <v>774</v>
      </c>
      <c r="C154" s="1">
        <v>3492</v>
      </c>
      <c r="D154" s="1">
        <v>3.8</v>
      </c>
      <c r="E154" s="1">
        <v>-2.6</v>
      </c>
      <c r="F154" s="1">
        <v>-0.8</v>
      </c>
      <c r="H154" s="1">
        <v>50</v>
      </c>
      <c r="I154" s="1">
        <v>776</v>
      </c>
      <c r="J154" s="1">
        <v>3516</v>
      </c>
      <c r="K154" s="1">
        <v>3.7</v>
      </c>
      <c r="L154" s="1">
        <v>-2.5</v>
      </c>
      <c r="M154" s="1">
        <v>-0.7</v>
      </c>
    </row>
    <row r="155" spans="1:13" x14ac:dyDescent="0.25">
      <c r="A155" s="1">
        <v>75</v>
      </c>
      <c r="B155" s="1">
        <v>759</v>
      </c>
      <c r="C155" s="1">
        <v>3357</v>
      </c>
      <c r="D155" s="1">
        <v>6</v>
      </c>
      <c r="E155" s="1">
        <v>-2.7</v>
      </c>
      <c r="F155" s="1">
        <v>-0.8</v>
      </c>
      <c r="H155" s="1">
        <v>75</v>
      </c>
      <c r="I155" s="1">
        <v>763</v>
      </c>
      <c r="J155" s="1">
        <v>3391</v>
      </c>
      <c r="K155" s="1">
        <v>5.9</v>
      </c>
      <c r="L155" s="1">
        <v>-2.7</v>
      </c>
      <c r="M155" s="1">
        <v>-0.8</v>
      </c>
    </row>
    <row r="156" spans="1:13" x14ac:dyDescent="0.25">
      <c r="A156" s="1">
        <v>100</v>
      </c>
      <c r="B156" s="1">
        <v>744</v>
      </c>
      <c r="C156" s="1">
        <v>3226</v>
      </c>
      <c r="D156" s="1">
        <v>7.2</v>
      </c>
      <c r="E156" s="1">
        <v>-2.5</v>
      </c>
      <c r="F156" s="1">
        <v>-0.7</v>
      </c>
      <c r="H156" s="1">
        <v>100</v>
      </c>
      <c r="I156" s="1">
        <v>749</v>
      </c>
      <c r="J156" s="1">
        <v>3270</v>
      </c>
      <c r="K156" s="1">
        <v>7</v>
      </c>
      <c r="L156" s="1">
        <v>-2.4</v>
      </c>
      <c r="M156" s="1">
        <v>-0.7</v>
      </c>
    </row>
    <row r="157" spans="1:13" x14ac:dyDescent="0.25">
      <c r="A157" s="1">
        <v>125</v>
      </c>
      <c r="B157" s="1">
        <v>729</v>
      </c>
      <c r="C157" s="1">
        <v>3098</v>
      </c>
      <c r="D157" s="1">
        <v>7.2</v>
      </c>
      <c r="E157" s="1">
        <v>-2</v>
      </c>
      <c r="F157" s="1">
        <v>-0.6</v>
      </c>
      <c r="H157" s="1">
        <v>125</v>
      </c>
      <c r="I157" s="1">
        <v>735</v>
      </c>
      <c r="J157" s="1">
        <v>3153</v>
      </c>
      <c r="K157" s="1">
        <v>7</v>
      </c>
      <c r="L157" s="1">
        <v>-1.9</v>
      </c>
      <c r="M157" s="1">
        <v>-0.6</v>
      </c>
    </row>
    <row r="158" spans="1:13" x14ac:dyDescent="0.25">
      <c r="A158" s="1">
        <v>150</v>
      </c>
      <c r="B158" s="1">
        <v>714</v>
      </c>
      <c r="C158" s="1">
        <v>2975</v>
      </c>
      <c r="D158" s="1">
        <v>6.1</v>
      </c>
      <c r="E158" s="1">
        <v>-1.4</v>
      </c>
      <c r="F158" s="1">
        <v>-0.4</v>
      </c>
      <c r="H158" s="1">
        <v>150</v>
      </c>
      <c r="I158" s="1">
        <v>722</v>
      </c>
      <c r="J158" s="1">
        <v>3038</v>
      </c>
      <c r="K158" s="1">
        <v>5.9</v>
      </c>
      <c r="L158" s="1">
        <v>-1.4</v>
      </c>
      <c r="M158" s="1">
        <v>-0.4</v>
      </c>
    </row>
    <row r="159" spans="1:13" x14ac:dyDescent="0.25">
      <c r="A159" s="1">
        <v>175</v>
      </c>
      <c r="B159" s="1">
        <v>700</v>
      </c>
      <c r="C159" s="1">
        <v>2856</v>
      </c>
      <c r="D159" s="1">
        <v>3.7</v>
      </c>
      <c r="E159" s="1">
        <v>-0.7</v>
      </c>
      <c r="F159" s="1">
        <v>-0.2</v>
      </c>
      <c r="H159" s="1">
        <v>175</v>
      </c>
      <c r="I159" s="1">
        <v>708</v>
      </c>
      <c r="J159" s="1">
        <v>2927</v>
      </c>
      <c r="K159" s="1">
        <v>3.6</v>
      </c>
      <c r="L159" s="1">
        <v>-0.7</v>
      </c>
      <c r="M159" s="1">
        <v>-0.2</v>
      </c>
    </row>
    <row r="160" spans="1:13" x14ac:dyDescent="0.25">
      <c r="A160" s="10">
        <v>200</v>
      </c>
      <c r="B160" s="10">
        <v>685</v>
      </c>
      <c r="C160" s="10">
        <v>2740</v>
      </c>
      <c r="D160" s="10">
        <v>0</v>
      </c>
      <c r="E160" s="10">
        <v>0</v>
      </c>
      <c r="F160" s="10">
        <v>0</v>
      </c>
      <c r="H160" s="1">
        <v>200</v>
      </c>
      <c r="I160" s="1">
        <v>695</v>
      </c>
      <c r="J160" s="1">
        <v>2819</v>
      </c>
      <c r="K160" s="1">
        <v>0</v>
      </c>
      <c r="L160" s="1">
        <v>0</v>
      </c>
      <c r="M160" s="1">
        <v>0</v>
      </c>
    </row>
    <row r="161" spans="1:13" x14ac:dyDescent="0.25">
      <c r="A161" s="1">
        <v>225</v>
      </c>
      <c r="B161" s="1">
        <v>671</v>
      </c>
      <c r="C161" s="1">
        <v>2628</v>
      </c>
      <c r="D161" s="1">
        <v>-5</v>
      </c>
      <c r="E161" s="1">
        <v>0.8</v>
      </c>
      <c r="F161" s="1">
        <v>0.2</v>
      </c>
      <c r="H161" s="1">
        <v>225</v>
      </c>
      <c r="I161" s="1">
        <v>682</v>
      </c>
      <c r="J161" s="1">
        <v>2714</v>
      </c>
      <c r="K161" s="1">
        <v>-4.8</v>
      </c>
      <c r="L161" s="1">
        <v>0.7</v>
      </c>
      <c r="M161" s="1">
        <v>0.2</v>
      </c>
    </row>
    <row r="162" spans="1:13" x14ac:dyDescent="0.25">
      <c r="A162" s="1">
        <v>250</v>
      </c>
      <c r="B162" s="1">
        <v>657</v>
      </c>
      <c r="C162" s="1">
        <v>2519</v>
      </c>
      <c r="D162" s="1">
        <v>-11.3</v>
      </c>
      <c r="E162" s="1">
        <v>1.6</v>
      </c>
      <c r="F162" s="1">
        <v>0.5</v>
      </c>
      <c r="H162" s="1">
        <v>250</v>
      </c>
      <c r="I162" s="1">
        <v>669</v>
      </c>
      <c r="J162" s="1">
        <v>2612</v>
      </c>
      <c r="K162" s="1">
        <v>-11</v>
      </c>
      <c r="L162" s="1">
        <v>1.5</v>
      </c>
      <c r="M162" s="1">
        <v>0.4</v>
      </c>
    </row>
    <row r="163" spans="1:13" x14ac:dyDescent="0.25">
      <c r="A163" s="1">
        <v>275</v>
      </c>
      <c r="B163" s="1">
        <v>643</v>
      </c>
      <c r="C163" s="1">
        <v>2414</v>
      </c>
      <c r="D163" s="1">
        <v>-19.399999999999999</v>
      </c>
      <c r="E163" s="1">
        <v>2.4</v>
      </c>
      <c r="F163" s="1">
        <v>0.7</v>
      </c>
      <c r="H163" s="1">
        <v>275</v>
      </c>
      <c r="I163" s="1">
        <v>656</v>
      </c>
      <c r="J163" s="1">
        <v>2513</v>
      </c>
      <c r="K163" s="1">
        <v>-18.8</v>
      </c>
      <c r="L163" s="1">
        <v>2.4</v>
      </c>
      <c r="M163" s="1">
        <v>0.7</v>
      </c>
    </row>
    <row r="164" spans="1:13" x14ac:dyDescent="0.25">
      <c r="A164" s="1">
        <v>300</v>
      </c>
      <c r="B164" s="1">
        <v>630</v>
      </c>
      <c r="C164" s="1">
        <v>2313</v>
      </c>
      <c r="D164" s="1">
        <v>-28.7</v>
      </c>
      <c r="E164" s="1">
        <v>3.3</v>
      </c>
      <c r="F164" s="1">
        <v>1</v>
      </c>
      <c r="H164" s="1">
        <v>300</v>
      </c>
      <c r="I164" s="1">
        <v>644</v>
      </c>
      <c r="J164" s="1">
        <v>2417</v>
      </c>
      <c r="K164" s="1">
        <v>-27.9</v>
      </c>
      <c r="L164" s="1">
        <v>3.2</v>
      </c>
      <c r="M164" s="1">
        <v>0.9</v>
      </c>
    </row>
    <row r="165" spans="1:13" x14ac:dyDescent="0.25">
      <c r="A165" s="1">
        <v>325</v>
      </c>
      <c r="B165" s="1">
        <v>616</v>
      </c>
      <c r="C165" s="1">
        <v>2215</v>
      </c>
      <c r="D165" s="1">
        <v>-39.6</v>
      </c>
      <c r="E165" s="1">
        <v>4.2</v>
      </c>
      <c r="F165" s="1">
        <v>1.2</v>
      </c>
      <c r="H165" s="1">
        <v>325</v>
      </c>
      <c r="I165" s="1">
        <v>631</v>
      </c>
      <c r="J165" s="1">
        <v>2325</v>
      </c>
      <c r="K165" s="1">
        <v>-38.4</v>
      </c>
      <c r="L165" s="1">
        <v>4.0999999999999996</v>
      </c>
      <c r="M165" s="1">
        <v>1.2</v>
      </c>
    </row>
    <row r="166" spans="1:13" x14ac:dyDescent="0.25">
      <c r="A166" s="1">
        <v>350</v>
      </c>
      <c r="B166" s="1">
        <v>603</v>
      </c>
      <c r="C166" s="1">
        <v>2120</v>
      </c>
      <c r="D166" s="1">
        <v>-52.7</v>
      </c>
      <c r="E166" s="1">
        <v>5.2</v>
      </c>
      <c r="F166" s="1">
        <v>1.5</v>
      </c>
      <c r="H166" s="1">
        <v>350</v>
      </c>
      <c r="I166" s="1">
        <v>619</v>
      </c>
      <c r="J166" s="1">
        <v>2234</v>
      </c>
      <c r="K166" s="1">
        <v>-51</v>
      </c>
      <c r="L166" s="1">
        <v>5</v>
      </c>
      <c r="M166" s="1">
        <v>1.5</v>
      </c>
    </row>
    <row r="167" spans="1:13" x14ac:dyDescent="0.25">
      <c r="A167" s="1">
        <v>375</v>
      </c>
      <c r="B167" s="1">
        <v>590</v>
      </c>
      <c r="C167" s="1">
        <v>2029</v>
      </c>
      <c r="D167" s="1">
        <v>-67</v>
      </c>
      <c r="E167" s="1">
        <v>6.1</v>
      </c>
      <c r="F167" s="1">
        <v>1.8</v>
      </c>
      <c r="H167" s="1">
        <v>375</v>
      </c>
      <c r="I167" s="1">
        <v>607</v>
      </c>
      <c r="J167" s="1">
        <v>2147</v>
      </c>
      <c r="K167" s="1">
        <v>-64.8</v>
      </c>
      <c r="L167" s="1">
        <v>5.9</v>
      </c>
      <c r="M167" s="1">
        <v>1.7</v>
      </c>
    </row>
    <row r="168" spans="1:13" x14ac:dyDescent="0.25">
      <c r="A168" s="1">
        <v>400</v>
      </c>
      <c r="B168" s="1">
        <v>577</v>
      </c>
      <c r="C168" s="1">
        <v>1941</v>
      </c>
      <c r="D168" s="1">
        <v>-83.2</v>
      </c>
      <c r="E168" s="1">
        <v>7.2</v>
      </c>
      <c r="F168" s="1">
        <v>2.1</v>
      </c>
      <c r="H168" s="1">
        <v>400</v>
      </c>
      <c r="I168" s="1">
        <v>595</v>
      </c>
      <c r="J168" s="1">
        <v>2062</v>
      </c>
      <c r="K168" s="1">
        <v>-80.400000000000006</v>
      </c>
      <c r="L168" s="1">
        <v>6.9</v>
      </c>
      <c r="M168" s="1">
        <v>2</v>
      </c>
    </row>
    <row r="169" spans="1:13" x14ac:dyDescent="0.25">
      <c r="A169" s="1">
        <v>425</v>
      </c>
      <c r="B169" s="1">
        <v>564</v>
      </c>
      <c r="C169" s="1">
        <v>1856</v>
      </c>
      <c r="D169" s="1">
        <v>-102.1</v>
      </c>
      <c r="E169" s="1">
        <v>8.3000000000000007</v>
      </c>
      <c r="F169" s="1">
        <v>2.4</v>
      </c>
      <c r="H169" s="1">
        <v>425</v>
      </c>
      <c r="I169" s="1">
        <v>583</v>
      </c>
      <c r="J169" s="1">
        <v>1981</v>
      </c>
      <c r="K169" s="1">
        <v>-98.4</v>
      </c>
      <c r="L169" s="1">
        <v>8</v>
      </c>
      <c r="M169" s="1">
        <v>2.2999999999999998</v>
      </c>
    </row>
    <row r="170" spans="1:13" x14ac:dyDescent="0.25">
      <c r="A170" s="1">
        <v>450</v>
      </c>
      <c r="B170" s="1">
        <v>551</v>
      </c>
      <c r="C170" s="1">
        <v>1774</v>
      </c>
      <c r="D170" s="1">
        <v>-122.3</v>
      </c>
      <c r="E170" s="1">
        <v>9.3000000000000007</v>
      </c>
      <c r="F170" s="1">
        <v>2.7</v>
      </c>
      <c r="H170" s="1">
        <v>450</v>
      </c>
      <c r="I170" s="1">
        <v>571</v>
      </c>
      <c r="J170" s="1">
        <v>1901</v>
      </c>
      <c r="K170" s="1">
        <v>-117.7</v>
      </c>
      <c r="L170" s="1">
        <v>9</v>
      </c>
      <c r="M170" s="1">
        <v>2.6</v>
      </c>
    </row>
    <row r="171" spans="1:13" x14ac:dyDescent="0.25">
      <c r="A171" s="1">
        <v>475</v>
      </c>
      <c r="B171" s="1">
        <v>539</v>
      </c>
      <c r="C171" s="1">
        <v>1695</v>
      </c>
      <c r="D171" s="1">
        <v>-144.69999999999999</v>
      </c>
      <c r="E171" s="1">
        <v>10.5</v>
      </c>
      <c r="F171" s="1">
        <v>3</v>
      </c>
      <c r="H171" s="1">
        <v>475</v>
      </c>
      <c r="I171" s="1">
        <v>559</v>
      </c>
      <c r="J171" s="1">
        <v>1825</v>
      </c>
      <c r="K171" s="1">
        <v>-138.9</v>
      </c>
      <c r="L171" s="1">
        <v>10.1</v>
      </c>
      <c r="M171" s="1">
        <v>2.9</v>
      </c>
    </row>
    <row r="172" spans="1:13" x14ac:dyDescent="0.25">
      <c r="A172" s="1">
        <v>500</v>
      </c>
      <c r="B172" s="1">
        <v>527</v>
      </c>
      <c r="C172" s="1">
        <v>1622</v>
      </c>
      <c r="D172" s="1">
        <v>-169.2</v>
      </c>
      <c r="E172" s="1">
        <v>11.7</v>
      </c>
      <c r="F172" s="1">
        <v>3.4</v>
      </c>
      <c r="H172" s="1">
        <v>500</v>
      </c>
      <c r="I172" s="1">
        <v>548</v>
      </c>
      <c r="J172" s="1">
        <v>1754</v>
      </c>
      <c r="K172" s="1">
        <v>-162.30000000000001</v>
      </c>
      <c r="L172" s="1">
        <v>11.2</v>
      </c>
      <c r="M172" s="1">
        <v>3.2</v>
      </c>
    </row>
    <row r="174" spans="1:13" x14ac:dyDescent="0.25">
      <c r="A174" t="s">
        <v>89</v>
      </c>
      <c r="H174" t="s">
        <v>84</v>
      </c>
    </row>
    <row r="175" spans="1:1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t="s">
        <v>17</v>
      </c>
    </row>
    <row r="176" spans="1:13" x14ac:dyDescent="0.25">
      <c r="A176" s="1">
        <v>0</v>
      </c>
      <c r="B176" s="1">
        <v>805</v>
      </c>
      <c r="C176" s="1">
        <v>3777</v>
      </c>
      <c r="D176" s="1">
        <v>-3.8</v>
      </c>
      <c r="E176" s="1">
        <v>0</v>
      </c>
      <c r="F176" s="1">
        <v>0</v>
      </c>
      <c r="H176" s="1">
        <v>0</v>
      </c>
      <c r="I176" s="1">
        <v>805</v>
      </c>
      <c r="J176" s="1">
        <v>3777</v>
      </c>
      <c r="K176" s="1">
        <v>-3.8</v>
      </c>
      <c r="L176" s="1">
        <v>0</v>
      </c>
      <c r="M176" s="1">
        <v>0</v>
      </c>
    </row>
    <row r="177" spans="1:13" x14ac:dyDescent="0.25">
      <c r="A177" s="1">
        <v>25</v>
      </c>
      <c r="B177" s="1">
        <v>789</v>
      </c>
      <c r="C177" s="1">
        <v>3632</v>
      </c>
      <c r="D177" s="1">
        <v>2.8</v>
      </c>
      <c r="E177" s="1">
        <v>-3.9</v>
      </c>
      <c r="F177" s="1">
        <v>-1.1000000000000001</v>
      </c>
      <c r="H177" s="1">
        <v>25</v>
      </c>
      <c r="I177" s="1">
        <v>790</v>
      </c>
      <c r="J177" s="1">
        <v>3644</v>
      </c>
      <c r="K177" s="1">
        <v>2.7</v>
      </c>
      <c r="L177" s="1">
        <v>-3.7</v>
      </c>
      <c r="M177" s="1">
        <v>-1.1000000000000001</v>
      </c>
    </row>
    <row r="178" spans="1:13" x14ac:dyDescent="0.25">
      <c r="A178" s="1">
        <v>50</v>
      </c>
      <c r="B178" s="1">
        <v>774</v>
      </c>
      <c r="C178" s="1">
        <v>3492</v>
      </c>
      <c r="D178" s="1">
        <v>8.6</v>
      </c>
      <c r="E178" s="1">
        <v>-5.9</v>
      </c>
      <c r="F178" s="1">
        <v>-1.7</v>
      </c>
      <c r="H178" s="1">
        <v>50</v>
      </c>
      <c r="I178" s="1">
        <v>776</v>
      </c>
      <c r="J178" s="1">
        <v>3516</v>
      </c>
      <c r="K178" s="1">
        <v>8.4</v>
      </c>
      <c r="L178" s="1">
        <v>-5.7</v>
      </c>
      <c r="M178" s="1">
        <v>-1.7</v>
      </c>
    </row>
    <row r="179" spans="1:13" x14ac:dyDescent="0.25">
      <c r="A179" s="1">
        <v>75</v>
      </c>
      <c r="B179" s="1">
        <v>759</v>
      </c>
      <c r="C179" s="1">
        <v>3357</v>
      </c>
      <c r="D179" s="1">
        <v>13.2</v>
      </c>
      <c r="E179" s="1">
        <v>-6</v>
      </c>
      <c r="F179" s="1">
        <v>-1.8</v>
      </c>
      <c r="H179" s="1">
        <v>75</v>
      </c>
      <c r="I179" s="1">
        <v>763</v>
      </c>
      <c r="J179" s="1">
        <v>3391</v>
      </c>
      <c r="K179" s="1">
        <v>12.9</v>
      </c>
      <c r="L179" s="1">
        <v>-5.9</v>
      </c>
      <c r="M179" s="1">
        <v>-1.7</v>
      </c>
    </row>
    <row r="180" spans="1:13" x14ac:dyDescent="0.25">
      <c r="A180" s="1">
        <v>100</v>
      </c>
      <c r="B180" s="1">
        <v>744</v>
      </c>
      <c r="C180" s="1">
        <v>3226</v>
      </c>
      <c r="D180" s="1">
        <v>16.7</v>
      </c>
      <c r="E180" s="1">
        <v>-5.8</v>
      </c>
      <c r="F180" s="1">
        <v>-1.7</v>
      </c>
      <c r="H180" s="1">
        <v>100</v>
      </c>
      <c r="I180" s="1">
        <v>749</v>
      </c>
      <c r="J180" s="1">
        <v>3270</v>
      </c>
      <c r="K180" s="1">
        <v>16.3</v>
      </c>
      <c r="L180" s="1">
        <v>-5.6</v>
      </c>
      <c r="M180" s="1">
        <v>-1.6</v>
      </c>
    </row>
    <row r="181" spans="1:13" x14ac:dyDescent="0.25">
      <c r="A181" s="1">
        <v>125</v>
      </c>
      <c r="B181" s="1">
        <v>729</v>
      </c>
      <c r="C181" s="1">
        <v>3098</v>
      </c>
      <c r="D181" s="1">
        <v>19.2</v>
      </c>
      <c r="E181" s="1">
        <v>-5.3</v>
      </c>
      <c r="F181" s="1">
        <v>-1.5</v>
      </c>
      <c r="H181" s="1">
        <v>125</v>
      </c>
      <c r="I181" s="1">
        <v>735</v>
      </c>
      <c r="J181" s="1">
        <v>3153</v>
      </c>
      <c r="K181" s="1">
        <v>18.7</v>
      </c>
      <c r="L181" s="1">
        <v>-5.0999999999999996</v>
      </c>
      <c r="M181" s="1">
        <v>-1.5</v>
      </c>
    </row>
    <row r="182" spans="1:13" x14ac:dyDescent="0.25">
      <c r="A182" s="1">
        <v>150</v>
      </c>
      <c r="B182" s="1">
        <v>714</v>
      </c>
      <c r="C182" s="1">
        <v>2975</v>
      </c>
      <c r="D182" s="1">
        <v>20.399999999999999</v>
      </c>
      <c r="E182" s="1">
        <v>-4.7</v>
      </c>
      <c r="F182" s="1">
        <v>-1.4</v>
      </c>
      <c r="H182" s="1">
        <v>150</v>
      </c>
      <c r="I182" s="1">
        <v>722</v>
      </c>
      <c r="J182" s="1">
        <v>3038</v>
      </c>
      <c r="K182" s="1">
        <v>19.899999999999999</v>
      </c>
      <c r="L182" s="1">
        <v>-4.5999999999999996</v>
      </c>
      <c r="M182" s="1">
        <v>-1.3</v>
      </c>
    </row>
    <row r="183" spans="1:13" x14ac:dyDescent="0.25">
      <c r="A183" s="1">
        <v>175</v>
      </c>
      <c r="B183" s="1">
        <v>700</v>
      </c>
      <c r="C183" s="1">
        <v>2856</v>
      </c>
      <c r="D183" s="1">
        <v>20.5</v>
      </c>
      <c r="E183" s="1">
        <v>-4</v>
      </c>
      <c r="F183" s="1">
        <v>-1.2</v>
      </c>
      <c r="H183" s="1">
        <v>175</v>
      </c>
      <c r="I183" s="1">
        <v>708</v>
      </c>
      <c r="J183" s="1">
        <v>2927</v>
      </c>
      <c r="K183" s="1">
        <v>19.899999999999999</v>
      </c>
      <c r="L183" s="1">
        <v>-3.9</v>
      </c>
      <c r="M183" s="1">
        <v>-1.1000000000000001</v>
      </c>
    </row>
    <row r="184" spans="1:13" x14ac:dyDescent="0.25">
      <c r="A184" s="1">
        <v>200</v>
      </c>
      <c r="B184" s="1">
        <v>685</v>
      </c>
      <c r="C184" s="1">
        <v>2740</v>
      </c>
      <c r="D184" s="1">
        <v>19.2</v>
      </c>
      <c r="E184" s="1">
        <v>-3.3</v>
      </c>
      <c r="F184" s="1">
        <v>-1</v>
      </c>
      <c r="H184" s="1">
        <v>200</v>
      </c>
      <c r="I184" s="1">
        <v>695</v>
      </c>
      <c r="J184" s="1">
        <v>2819</v>
      </c>
      <c r="K184" s="1">
        <v>18.7</v>
      </c>
      <c r="L184" s="1">
        <v>-3.2</v>
      </c>
      <c r="M184" s="1">
        <v>-0.9</v>
      </c>
    </row>
    <row r="185" spans="1:13" x14ac:dyDescent="0.25">
      <c r="A185" s="1">
        <v>225</v>
      </c>
      <c r="B185" s="1">
        <v>671</v>
      </c>
      <c r="C185" s="1">
        <v>2628</v>
      </c>
      <c r="D185" s="1">
        <v>16.600000000000001</v>
      </c>
      <c r="E185" s="1">
        <v>-2.5</v>
      </c>
      <c r="F185" s="1">
        <v>-0.7</v>
      </c>
      <c r="H185" s="1">
        <v>225</v>
      </c>
      <c r="I185" s="1">
        <v>682</v>
      </c>
      <c r="J185" s="1">
        <v>2714</v>
      </c>
      <c r="K185" s="1">
        <v>16.100000000000001</v>
      </c>
      <c r="L185" s="1">
        <v>-2.5</v>
      </c>
      <c r="M185" s="1">
        <v>-0.7</v>
      </c>
    </row>
    <row r="186" spans="1:13" x14ac:dyDescent="0.25">
      <c r="A186" s="1">
        <v>250</v>
      </c>
      <c r="B186" s="1">
        <v>657</v>
      </c>
      <c r="C186" s="1">
        <v>2519</v>
      </c>
      <c r="D186" s="1">
        <v>12.7</v>
      </c>
      <c r="E186" s="1">
        <v>-1.7</v>
      </c>
      <c r="F186" s="1">
        <v>-0.5</v>
      </c>
      <c r="H186" s="1">
        <v>250</v>
      </c>
      <c r="I186" s="1">
        <v>669</v>
      </c>
      <c r="J186" s="1">
        <v>2612</v>
      </c>
      <c r="K186" s="1">
        <v>12.3</v>
      </c>
      <c r="L186" s="1">
        <v>-1.7</v>
      </c>
      <c r="M186" s="1">
        <v>-0.5</v>
      </c>
    </row>
    <row r="187" spans="1:13" x14ac:dyDescent="0.25">
      <c r="A187" s="1">
        <v>275</v>
      </c>
      <c r="B187" s="1">
        <v>643</v>
      </c>
      <c r="C187" s="1">
        <v>2414</v>
      </c>
      <c r="D187" s="1">
        <v>7</v>
      </c>
      <c r="E187" s="1">
        <v>-0.9</v>
      </c>
      <c r="F187" s="1">
        <v>-0.3</v>
      </c>
      <c r="H187" s="1">
        <v>275</v>
      </c>
      <c r="I187" s="1">
        <v>656</v>
      </c>
      <c r="J187" s="1">
        <v>2513</v>
      </c>
      <c r="K187" s="1">
        <v>6.8</v>
      </c>
      <c r="L187" s="1">
        <v>-0.9</v>
      </c>
      <c r="M187" s="1">
        <v>-0.2</v>
      </c>
    </row>
    <row r="188" spans="1:13" x14ac:dyDescent="0.25">
      <c r="A188" s="10">
        <v>300</v>
      </c>
      <c r="B188" s="10">
        <v>630</v>
      </c>
      <c r="C188" s="10">
        <v>2313</v>
      </c>
      <c r="D188" s="10">
        <v>0.1</v>
      </c>
      <c r="E188" s="10">
        <v>0</v>
      </c>
      <c r="F188" s="10">
        <v>0</v>
      </c>
      <c r="H188" s="1">
        <v>300</v>
      </c>
      <c r="I188" s="1">
        <v>644</v>
      </c>
      <c r="J188" s="1">
        <v>2417</v>
      </c>
      <c r="K188" s="1">
        <v>0.1</v>
      </c>
      <c r="L188" s="1">
        <v>0</v>
      </c>
      <c r="M188" s="1">
        <v>0</v>
      </c>
    </row>
    <row r="189" spans="1:13" x14ac:dyDescent="0.25">
      <c r="A189" s="1">
        <v>325</v>
      </c>
      <c r="B189" s="1">
        <v>616</v>
      </c>
      <c r="C189" s="1">
        <v>2215</v>
      </c>
      <c r="D189" s="1">
        <v>-8.5</v>
      </c>
      <c r="E189" s="1">
        <v>0.9</v>
      </c>
      <c r="F189" s="1">
        <v>0.3</v>
      </c>
      <c r="H189" s="1">
        <v>325</v>
      </c>
      <c r="I189" s="1">
        <v>631</v>
      </c>
      <c r="J189" s="1">
        <v>2324</v>
      </c>
      <c r="K189" s="1">
        <v>-8.1999999999999993</v>
      </c>
      <c r="L189" s="1">
        <v>0.9</v>
      </c>
      <c r="M189" s="1">
        <v>0.3</v>
      </c>
    </row>
    <row r="190" spans="1:13" x14ac:dyDescent="0.25">
      <c r="A190" s="1">
        <v>350</v>
      </c>
      <c r="B190" s="1">
        <v>603</v>
      </c>
      <c r="C190" s="1">
        <v>2120</v>
      </c>
      <c r="D190" s="1">
        <v>-19.100000000000001</v>
      </c>
      <c r="E190" s="1">
        <v>1.9</v>
      </c>
      <c r="F190" s="1">
        <v>0.5</v>
      </c>
      <c r="H190" s="1">
        <v>350</v>
      </c>
      <c r="I190" s="1">
        <v>619</v>
      </c>
      <c r="J190" s="1">
        <v>2234</v>
      </c>
      <c r="K190" s="1">
        <v>-18.399999999999999</v>
      </c>
      <c r="L190" s="1">
        <v>1.8</v>
      </c>
      <c r="M190" s="1">
        <v>0.5</v>
      </c>
    </row>
    <row r="191" spans="1:13" x14ac:dyDescent="0.25">
      <c r="A191" s="1">
        <v>375</v>
      </c>
      <c r="B191" s="1">
        <v>590</v>
      </c>
      <c r="C191" s="1">
        <v>2029</v>
      </c>
      <c r="D191" s="1">
        <v>-31.1</v>
      </c>
      <c r="E191" s="1">
        <v>2.9</v>
      </c>
      <c r="F191" s="1">
        <v>0.8</v>
      </c>
      <c r="H191" s="1">
        <v>375</v>
      </c>
      <c r="I191" s="1">
        <v>607</v>
      </c>
      <c r="J191" s="1">
        <v>2147</v>
      </c>
      <c r="K191" s="1">
        <v>-29.9</v>
      </c>
      <c r="L191" s="1">
        <v>2.7</v>
      </c>
      <c r="M191" s="1">
        <v>0.8</v>
      </c>
    </row>
    <row r="192" spans="1:13" x14ac:dyDescent="0.25">
      <c r="A192" s="1">
        <v>400</v>
      </c>
      <c r="B192" s="1">
        <v>577</v>
      </c>
      <c r="C192" s="1">
        <v>1941</v>
      </c>
      <c r="D192" s="1">
        <v>-44.9</v>
      </c>
      <c r="E192" s="1">
        <v>3.9</v>
      </c>
      <c r="F192" s="1">
        <v>1.1000000000000001</v>
      </c>
      <c r="H192" s="1">
        <v>400</v>
      </c>
      <c r="I192" s="1">
        <v>595</v>
      </c>
      <c r="J192" s="1">
        <v>2062</v>
      </c>
      <c r="K192" s="1">
        <v>-43.1</v>
      </c>
      <c r="L192" s="1">
        <v>3.7</v>
      </c>
      <c r="M192" s="1">
        <v>1.1000000000000001</v>
      </c>
    </row>
    <row r="193" spans="1:13" x14ac:dyDescent="0.25">
      <c r="A193" s="1">
        <v>425</v>
      </c>
      <c r="B193" s="1">
        <v>564</v>
      </c>
      <c r="C193" s="1">
        <v>1856</v>
      </c>
      <c r="D193" s="1">
        <v>-61.3</v>
      </c>
      <c r="E193" s="1">
        <v>5</v>
      </c>
      <c r="F193" s="1">
        <v>1.4</v>
      </c>
      <c r="H193" s="1">
        <v>425</v>
      </c>
      <c r="I193" s="1">
        <v>583</v>
      </c>
      <c r="J193" s="1">
        <v>1981</v>
      </c>
      <c r="K193" s="1">
        <v>-58.8</v>
      </c>
      <c r="L193" s="1">
        <v>4.7</v>
      </c>
      <c r="M193" s="1">
        <v>1.4</v>
      </c>
    </row>
    <row r="194" spans="1:13" x14ac:dyDescent="0.25">
      <c r="A194" s="1">
        <v>450</v>
      </c>
      <c r="B194" s="1">
        <v>551</v>
      </c>
      <c r="C194" s="1">
        <v>1774</v>
      </c>
      <c r="D194" s="1">
        <v>-79.2</v>
      </c>
      <c r="E194" s="1">
        <v>6.1</v>
      </c>
      <c r="F194" s="1">
        <v>1.8</v>
      </c>
      <c r="H194" s="1">
        <v>450</v>
      </c>
      <c r="I194" s="1">
        <v>571</v>
      </c>
      <c r="J194" s="1">
        <v>1901</v>
      </c>
      <c r="K194" s="1">
        <v>-75.8</v>
      </c>
      <c r="L194" s="1">
        <v>5.8</v>
      </c>
      <c r="M194" s="1">
        <v>1.7</v>
      </c>
    </row>
    <row r="195" spans="1:13" x14ac:dyDescent="0.25">
      <c r="A195" s="1">
        <v>475</v>
      </c>
      <c r="B195" s="1">
        <v>539</v>
      </c>
      <c r="C195" s="1">
        <v>1695</v>
      </c>
      <c r="D195" s="1">
        <v>-99.2</v>
      </c>
      <c r="E195" s="1">
        <v>7.2</v>
      </c>
      <c r="F195" s="1">
        <v>2.1</v>
      </c>
      <c r="H195" s="1">
        <v>475</v>
      </c>
      <c r="I195" s="1">
        <v>559</v>
      </c>
      <c r="J195" s="1">
        <v>1825</v>
      </c>
      <c r="K195" s="1">
        <v>-94.7</v>
      </c>
      <c r="L195" s="1">
        <v>6.9</v>
      </c>
      <c r="M195" s="1">
        <v>2</v>
      </c>
    </row>
    <row r="196" spans="1:13" x14ac:dyDescent="0.25">
      <c r="A196" s="1">
        <v>500</v>
      </c>
      <c r="B196" s="1">
        <v>527</v>
      </c>
      <c r="C196" s="1">
        <v>1622</v>
      </c>
      <c r="D196" s="1">
        <v>-121.4</v>
      </c>
      <c r="E196" s="1">
        <v>8.4</v>
      </c>
      <c r="F196" s="1">
        <v>2.4</v>
      </c>
      <c r="H196" s="1">
        <v>500</v>
      </c>
      <c r="I196" s="1">
        <v>548</v>
      </c>
      <c r="J196" s="1">
        <v>1754</v>
      </c>
      <c r="K196" s="1">
        <v>-115.7</v>
      </c>
      <c r="L196" s="1">
        <v>8</v>
      </c>
      <c r="M196" s="1">
        <v>2.2999999999999998</v>
      </c>
    </row>
    <row r="205" spans="1:13" ht="45" x14ac:dyDescent="0.25">
      <c r="A205" t="s">
        <v>39</v>
      </c>
      <c r="B205" s="11" t="s">
        <v>6</v>
      </c>
      <c r="C205" s="11" t="s">
        <v>7</v>
      </c>
      <c r="D205" s="11" t="s">
        <v>8</v>
      </c>
      <c r="E205" s="11" t="s">
        <v>9</v>
      </c>
      <c r="F205" s="11" t="s">
        <v>10</v>
      </c>
      <c r="G205" s="12" t="s">
        <v>40</v>
      </c>
    </row>
    <row r="206" spans="1:13" x14ac:dyDescent="0.25">
      <c r="A206" t="s">
        <v>41</v>
      </c>
      <c r="B206" s="13" cm="1">
        <f t="array" ref="B206">INDEX(LINEST(H$22:H$35,$A$22:$A$35^{1,2,3}), 1,4)</f>
        <v>-4.92994651075837</v>
      </c>
      <c r="C206" s="13" cm="1">
        <f t="array" ref="C206">INDEX(LINEST(I$22:I$35,$A$22:$A$35^{1,2,3}), 1,4)</f>
        <v>-4.6611730833312954</v>
      </c>
      <c r="D206" s="14" cm="1">
        <f t="array" ref="D206">INDEX(LINEST(J$22:J$35,$A$22:$A$35^{1,2,3}), 1,4)</f>
        <v>-3.949561354642352</v>
      </c>
      <c r="E206" s="14" cm="1">
        <f t="array" ref="E206">INDEX(LINEST(K$22:K$35,$A$22:$A$35^{1,2,3}), 1,4)</f>
        <v>-4.0937925037090857</v>
      </c>
      <c r="F206" s="14" cm="1">
        <f t="array" ref="F206">INDEX(LINEST(L$22:L$35,$A$22:$A$35^{1,2,3}), 1,4)</f>
        <v>-3.5496767526991384</v>
      </c>
      <c r="G206" s="14" cm="1">
        <f t="array" ref="G206">INDEX(LINEST(B$22:B$35,$A$22:$A$35^{1,2,3}), 1,4)</f>
        <v>3783.8968059160607</v>
      </c>
    </row>
    <row r="207" spans="1:13" x14ac:dyDescent="0.25">
      <c r="A207" t="s">
        <v>42</v>
      </c>
      <c r="B207" s="14" cm="1">
        <f t="array" ref="B207">INDEX(LINEST(H$22:H$35,$A$22:$A$35^{1,2,3}), 1,3)</f>
        <v>0.15964071529328591</v>
      </c>
      <c r="C207" s="13" cm="1">
        <f t="array" ref="C207">INDEX(LINEST(I$22:I$35,$A$22:$A$35^{1,2,3}), 1,3)</f>
        <v>0.12252883248049395</v>
      </c>
      <c r="D207" s="14" cm="1">
        <f t="array" ref="D207">INDEX(LINEST(J$22:J$35,$A$22:$A$35^{1,2,3}), 1,3)</f>
        <v>0.1475581878812576</v>
      </c>
      <c r="E207" s="14" cm="1">
        <f t="array" ref="E207">INDEX(LINEST(K$22:K$35,$A$22:$A$35^{1,2,3}), 1,3)</f>
        <v>0.18093799831993895</v>
      </c>
      <c r="F207" s="14" cm="1">
        <f t="array" ref="F207">INDEX(LINEST(L$22:L$35,$A$22:$A$35^{1,2,3}), 1,3)</f>
        <v>0.23409976183836043</v>
      </c>
      <c r="G207" s="14" cm="1">
        <f t="array" ref="G207">INDEX(LINEST(B$22:B$35,$A$22:$A$35^{1,2,3}), 1,3)</f>
        <v>-5.2001272388932964</v>
      </c>
    </row>
    <row r="208" spans="1:13" x14ac:dyDescent="0.25">
      <c r="A208" t="s">
        <v>43</v>
      </c>
      <c r="B208" s="14" cm="1">
        <f t="array" ref="B208">INDEX(LINEST(H$22:H$35,$A$22:$A$35^{1,2,3}), 1,2)</f>
        <v>-7.7446953796353316E-4</v>
      </c>
      <c r="C208" s="14" cm="1">
        <f t="array" ref="C208">INDEX(LINEST(I$22:I$35,$A$22:$A$35^{1,2,3}), 1,2)</f>
        <v>-7.1579711716043338E-4</v>
      </c>
      <c r="D208" s="14" cm="1">
        <f t="array" ref="D208">INDEX(LINEST(J$22:J$35,$A$22:$A$35^{1,2,3}), 1,2)</f>
        <v>-6.7932520534209949E-4</v>
      </c>
      <c r="E208" s="14" cm="1">
        <f t="array" ref="E208">INDEX(LINEST(K$22:K$35,$A$22:$A$35^{1,2,3}), 1,2)</f>
        <v>-6.8052814775227397E-4</v>
      </c>
      <c r="F208" s="14" cm="1">
        <f t="array" ref="F208">INDEX(LINEST(L$22:L$35,$A$22:$A$35^{1,2,3}), 1,2)</f>
        <v>-4.086312834654614E-4</v>
      </c>
      <c r="G208" s="14" cm="1">
        <f t="array" ref="G208">INDEX(LINEST(B$22:B$35,$A$22:$A$35^{1,2,3}), 1,2)</f>
        <v>2.2457326475175642E-3</v>
      </c>
    </row>
    <row r="209" spans="1:7" x14ac:dyDescent="0.25">
      <c r="A209" t="s">
        <v>44</v>
      </c>
      <c r="B209" s="13" cm="1">
        <f t="array" ref="B209">INDEX(LINEST(H$22:H$35,$A$22:$A$35^{1,2,3}), 1)</f>
        <v>-6.2923429953131524E-7</v>
      </c>
      <c r="C209" s="13" cm="1">
        <f t="array" ref="C209">INDEX(LINEST(I$22:I$35,$A$22:$A$35^{1,2,3}), 1)</f>
        <v>-5.7984742732107941E-7</v>
      </c>
      <c r="D209" s="14" cm="1">
        <f t="array" ref="D209">INDEX(LINEST(J$22:J$35,$A$22:$A$35^{1,2,3}), 1)</f>
        <v>-6.8766581635454595E-7</v>
      </c>
      <c r="E209" s="14" cm="1">
        <f t="array" ref="E209">INDEX(LINEST(K$22:K$35,$A$22:$A$35^{1,2,3}), 1)</f>
        <v>-6.195370480208874E-7</v>
      </c>
      <c r="F209" s="14" cm="1">
        <f t="array" ref="F209">INDEX(LINEST(L$22:L$35,$A$22:$A$35^{1,2,3}), 1)</f>
        <v>-1.0208339234753174E-6</v>
      </c>
      <c r="G209" s="14" cm="1">
        <f t="array" ref="G209">INDEX(LINEST(B$22:B$35,$A$22:$A$35^{1,2,3}), 1)</f>
        <v>2.107145481413673E-7</v>
      </c>
    </row>
    <row r="210" spans="1:7" x14ac:dyDescent="0.25">
      <c r="A210" t="s">
        <v>45</v>
      </c>
      <c r="B210" s="13"/>
      <c r="C210" s="13"/>
      <c r="D210" s="14"/>
      <c r="E210" s="14"/>
      <c r="F210" s="14"/>
      <c r="G210" s="14"/>
    </row>
    <row r="211" spans="1:7" x14ac:dyDescent="0.25">
      <c r="A211" t="s">
        <v>46</v>
      </c>
      <c r="B211" s="13"/>
      <c r="C211" s="13"/>
      <c r="D211" s="14"/>
      <c r="E211" s="14"/>
      <c r="F211" s="14"/>
      <c r="G211" s="14"/>
    </row>
    <row r="212" spans="1:7" x14ac:dyDescent="0.25">
      <c r="A212" t="s">
        <v>47</v>
      </c>
      <c r="B212" s="13"/>
      <c r="C212" s="13"/>
      <c r="D212" s="14"/>
      <c r="E212" s="14"/>
      <c r="F212" s="14"/>
      <c r="G212" s="14"/>
    </row>
    <row r="213" spans="1:7" x14ac:dyDescent="0.25">
      <c r="B213" s="13"/>
      <c r="C213" s="13"/>
      <c r="D213" s="13"/>
      <c r="E213" s="13"/>
      <c r="F213" s="13"/>
      <c r="G213" s="13"/>
    </row>
    <row r="214" spans="1:7" x14ac:dyDescent="0.25">
      <c r="A214" t="s">
        <v>48</v>
      </c>
    </row>
    <row r="215" spans="1:7" x14ac:dyDescent="0.25">
      <c r="A215" s="15" t="s">
        <v>4</v>
      </c>
      <c r="B215" s="16"/>
      <c r="C215" s="16"/>
    </row>
    <row r="216" spans="1:7" x14ac:dyDescent="0.25">
      <c r="A216" s="1">
        <v>0</v>
      </c>
      <c r="B216" s="2" cm="1">
        <f t="array" ref="B216">TrajectoryToComeUp(B$206:B$209,$A216)</f>
        <v>0</v>
      </c>
      <c r="C216" s="2" cm="1">
        <f t="array" ref="C216">TrajectoryToComeUp(C$206:C$209,$A216)</f>
        <v>0</v>
      </c>
      <c r="D216" s="2" cm="1">
        <f t="array" ref="D216">TrajectoryToComeUp(D$206:D$209,$A216)</f>
        <v>0</v>
      </c>
      <c r="E216" s="2" cm="1">
        <f t="array" ref="E216">TrajectoryToComeUp(E$206:E$209,$A216)</f>
        <v>0</v>
      </c>
      <c r="F216" s="2" cm="1">
        <f t="array" ref="F216">TrajectoryToComeUp(F$206:F$209,$A216)</f>
        <v>0</v>
      </c>
      <c r="G216" s="2" cm="1">
        <f t="array" ref="G216">EvaluatePolynomial(G$206:G$209,$A216)</f>
        <v>3783.8968059160607</v>
      </c>
    </row>
    <row r="217" spans="1:7" x14ac:dyDescent="0.25">
      <c r="A217" s="1">
        <v>25</v>
      </c>
      <c r="B217" s="2" cm="1">
        <f t="array" ref="B217">TrajectoryToComeUp(B$206:B$209,$A217)</f>
        <v>0.5731215502334428</v>
      </c>
      <c r="C217" s="2" cm="1">
        <f t="array" ref="C217">TrajectoryToComeUp(C$206:C$209,$A217)</f>
        <v>0.82175423423844374</v>
      </c>
      <c r="D217" s="2" cm="1">
        <f t="array" ref="D217">TrajectoryToComeUp(D$206:D$209,$A217)</f>
        <v>0.27837187573210564</v>
      </c>
      <c r="E217" s="2" cm="1">
        <f t="array" ref="E217">TrajectoryToComeUp(E$206:E$209,$A217)</f>
        <v>2.1411617724436558E-3</v>
      </c>
      <c r="F217" s="2" cm="1">
        <f t="array" ref="F217">TrajectoryToComeUp(F$206:F$209,$A217)</f>
        <v>-0.81258888441586263</v>
      </c>
      <c r="G217" s="2" cm="1">
        <f t="array" ref="G217">EvaluatePolynomial(G$206:G$209,$A217)</f>
        <v>3655.3005002632412</v>
      </c>
    </row>
    <row r="218" spans="1:7" x14ac:dyDescent="0.25">
      <c r="A218" s="1">
        <v>50</v>
      </c>
      <c r="B218" s="2" cm="1">
        <f t="array" ref="B218">TrajectoryToComeUp(B$206:B$209,$A218)</f>
        <v>-0.20745222431113569</v>
      </c>
      <c r="C218" s="2" cm="1">
        <f t="array" ref="C218">TrajectoryToComeUp(C$206:C$209,$A218)</f>
        <v>7.9341036124563127E-2</v>
      </c>
      <c r="D218" s="2" cm="1">
        <f t="array" ref="D218">TrajectoryToComeUp(D$206:D$209,$A218)</f>
        <v>-0.32881535980419213</v>
      </c>
      <c r="E218" s="2" cm="1">
        <f t="array" ref="E218">TrajectoryToComeUp(E$206:E$209,$A218)</f>
        <v>-0.63486898238091305</v>
      </c>
      <c r="F218" s="2" cm="1">
        <f t="array" ref="F218">TrajectoryToComeUp(F$206:F$209,$A218)</f>
        <v>-1.401225778024163</v>
      </c>
      <c r="G218" s="2" cm="1">
        <f t="array" ref="G218">EvaluatePolynomial(G$206:G$209,$A218)</f>
        <v>3529.5311149087074</v>
      </c>
    </row>
    <row r="219" spans="1:7" x14ac:dyDescent="0.25">
      <c r="A219" s="1">
        <v>75</v>
      </c>
      <c r="B219" s="2" cm="1">
        <f t="array" ref="B219">TrajectoryToComeUp(B$206:B$209,$A219)</f>
        <v>-0.32283436867712345</v>
      </c>
      <c r="C219" s="2" cm="1">
        <f t="array" ref="C219">TrajectoryToComeUp(C$206:C$209,$A219)</f>
        <v>-3.4334324703631007E-2</v>
      </c>
      <c r="D219" s="2" cm="1">
        <f t="array" ref="D219">TrajectoryToComeUp(D$206:D$209,$A219)</f>
        <v>-0.40079859201707796</v>
      </c>
      <c r="E219" s="2" cm="1">
        <f t="array" ref="E219">TrajectoryToComeUp(E$206:E$209,$A219)</f>
        <v>-0.71829591293946427</v>
      </c>
      <c r="F219" s="2" cm="1">
        <f t="array" ref="F219">TrajectoryToComeUp(F$206:F$209,$A219)</f>
        <v>-1.5038120138958031</v>
      </c>
      <c r="G219" s="2" cm="1">
        <f t="array" ref="G219">EvaluatePolynomial(G$206:G$209,$A219)</f>
        <v>3406.6084043413466</v>
      </c>
    </row>
    <row r="220" spans="1:7" x14ac:dyDescent="0.25">
      <c r="A220" s="1">
        <v>100</v>
      </c>
      <c r="B220" s="2" cm="1">
        <f t="array" ref="B220">TrajectoryToComeUp(B$206:B$209,$A220)</f>
        <v>-0.26601953394035738</v>
      </c>
      <c r="C220" s="2" cm="1">
        <f t="array" ref="C220">TrajectoryToComeUp(C$206:C$209,$A220)</f>
        <v>1.4610843420731389E-2</v>
      </c>
      <c r="D220" s="2" cm="1">
        <f t="array" ref="D220">TrajectoryToComeUp(D$206:D$209,$A220)</f>
        <v>-0.33253395637078664</v>
      </c>
      <c r="E220" s="2" cm="1">
        <f t="array" ref="E220">TrajectoryToComeUp(E$206:E$209,$A220)</f>
        <v>-0.6575188802741182</v>
      </c>
      <c r="F220" s="2" cm="1">
        <f t="array" ref="F220">TrajectoryToComeUp(F$206:F$209,$A220)</f>
        <v>-1.4753152673006973</v>
      </c>
      <c r="G220" s="2" cm="1">
        <f t="array" ref="G220">EvaluatePolynomial(G$206:G$209,$A220)</f>
        <v>3286.5521230500481</v>
      </c>
    </row>
    <row r="221" spans="1:7" x14ac:dyDescent="0.25">
      <c r="A221" s="1">
        <v>125</v>
      </c>
      <c r="B221" s="2" cm="1">
        <f t="array" ref="B221">TrajectoryToComeUp(B$206:B$209,$A221)</f>
        <v>-0.13560665031600513</v>
      </c>
      <c r="C221" s="2" cm="1">
        <f t="array" ref="C221">TrajectoryToComeUp(C$206:C$209,$A221)</f>
        <v>0.13295307883102442</v>
      </c>
      <c r="D221" s="2" cm="1">
        <f t="array" ref="D221">TrajectoryToComeUp(D$206:D$209,$A221)</f>
        <v>-0.20301267995816563</v>
      </c>
      <c r="E221" s="2" cm="1">
        <f t="array" ref="E221">TrajectoryToComeUp(E$206:E$209,$A221)</f>
        <v>-0.5344137344590566</v>
      </c>
      <c r="F221" s="2" cm="1">
        <f t="array" ref="F221">TrajectoryToComeUp(F$206:F$209,$A221)</f>
        <v>-1.3867290732928279</v>
      </c>
      <c r="G221" s="2" cm="1">
        <f t="array" ref="G221">EvaluatePolynomial(G$206:G$209,$A221)</f>
        <v>3169.3820255236992</v>
      </c>
    </row>
    <row r="222" spans="1:7" x14ac:dyDescent="0.25">
      <c r="A222" s="1">
        <v>150</v>
      </c>
      <c r="B222" s="2" cm="1">
        <f t="array" ref="B222">TrajectoryToComeUp(B$206:B$209,$A222)</f>
        <v>3.5537972124211184E-2</v>
      </c>
      <c r="C222" s="2" cm="1">
        <f t="array" ref="C222">TrajectoryToComeUp(C$206:C$209,$A222)</f>
        <v>0.28961789430503976</v>
      </c>
      <c r="D222" s="2" cm="1">
        <f t="array" ref="D222">TrajectoryToComeUp(D$206:D$209,$A222)</f>
        <v>-3.8565171810163751E-2</v>
      </c>
      <c r="E222" s="2" cm="1">
        <f t="array" ref="E222">TrajectoryToComeUp(E$206:E$209,$A222)</f>
        <v>-0.37627242551900658</v>
      </c>
      <c r="F222" s="2" cm="1">
        <f t="array" ref="F222">TrajectoryToComeUp(F$206:F$209,$A222)</f>
        <v>-1.2617179435568564</v>
      </c>
      <c r="G222" s="2" cm="1">
        <f t="array" ref="G222">EvaluatePolynomial(G$206:G$209,$A222)</f>
        <v>3055.1178662511884</v>
      </c>
    </row>
    <row r="223" spans="1:7" x14ac:dyDescent="0.25">
      <c r="A223" s="1">
        <v>175</v>
      </c>
      <c r="B223" s="2" cm="1">
        <f t="array" ref="B223">TrajectoryToComeUp(B$206:B$209,$A223)</f>
        <v>0.23332877192098173</v>
      </c>
      <c r="C223" s="2" cm="1">
        <f t="array" ref="C223">TrajectoryToComeUp(C$206:C$209,$A223)</f>
        <v>0.47128765246183074</v>
      </c>
      <c r="D223" s="2" cm="1">
        <f t="array" ref="D223">TrajectoryToComeUp(D$206:D$209,$A223)</f>
        <v>0.14952410705995495</v>
      </c>
      <c r="E223" s="2" cm="1">
        <f t="array" ref="E223">TrajectoryToComeUp(E$206:E$209,$A223)</f>
        <v>-0.19479150346456559</v>
      </c>
      <c r="F223" s="2" cm="1">
        <f t="array" ref="F223">TrajectoryToComeUp(F$206:F$209,$A223)</f>
        <v>-1.1104238116719232</v>
      </c>
      <c r="G223" s="2" cm="1">
        <f t="array" ref="G223">EvaluatePolynomial(G$206:G$209,$A223)</f>
        <v>2943.7793997214044</v>
      </c>
    </row>
    <row r="224" spans="1:7" x14ac:dyDescent="0.25">
      <c r="A224" s="1">
        <v>200</v>
      </c>
      <c r="B224" s="2" cm="1">
        <f t="array" ref="B224">TrajectoryToComeUp(B$206:B$209,$A224)</f>
        <v>0.45072296834465175</v>
      </c>
      <c r="C224" s="2" cm="1">
        <f t="array" ref="C224">TrajectoryToComeUp(C$206:C$209,$A224)</f>
        <v>0.67130353461092362</v>
      </c>
      <c r="D224" s="2" cm="1">
        <f t="array" ref="D224">TrajectoryToComeUp(D$206:D$209,$A224)</f>
        <v>0.35561292614555895</v>
      </c>
      <c r="E224" s="2" cm="1">
        <f t="array" ref="E224">TrajectoryToComeUp(E$206:E$209,$A224)</f>
        <v>4.1807566989675573E-3</v>
      </c>
      <c r="F224" s="2" cm="1">
        <f t="array" ref="F224">TrajectoryToComeUp(F$206:F$209,$A224)</f>
        <v>-0.93791764442759762</v>
      </c>
      <c r="G224" s="2" cm="1">
        <f t="array" ref="G224">EvaluatePolynomial(G$206:G$209,$A224)</f>
        <v>2835.3863804232351</v>
      </c>
    </row>
    <row r="225" spans="1:7" x14ac:dyDescent="0.25">
      <c r="A225" s="1">
        <v>225</v>
      </c>
      <c r="B225" s="2" cm="1">
        <f t="array" ref="B225">TrajectoryToComeUp(B$206:B$209,$A225)</f>
        <v>0.68380790543430203</v>
      </c>
      <c r="C225" s="2" cm="1">
        <f t="array" ref="C225">TrajectoryToComeUp(C$206:C$209,$A225)</f>
        <v>0.88596619703538959</v>
      </c>
      <c r="D225" s="2" cm="1">
        <f t="array" ref="D225">TrajectoryToComeUp(D$206:D$209,$A225)</f>
        <v>0.57656671294296347</v>
      </c>
      <c r="E225" s="2" cm="1">
        <f t="array" ref="E225">TrajectoryToComeUp(E$206:E$209,$A225)</f>
        <v>0.21739531330198283</v>
      </c>
      <c r="F225" s="2" cm="1">
        <f t="array" ref="F225">TrajectoryToComeUp(F$206:F$209,$A225)</f>
        <v>-0.74701664559586378</v>
      </c>
      <c r="G225" s="2" cm="1">
        <f t="array" ref="G225">EvaluatePolynomial(G$206:G$209,$A225)</f>
        <v>2729.9585628455684</v>
      </c>
    </row>
    <row r="226" spans="1:7" x14ac:dyDescent="0.25">
      <c r="A226" s="1">
        <v>250</v>
      </c>
      <c r="B226" s="2" cm="1">
        <f t="array" ref="B226">TrajectoryToComeUp(B$206:B$209,$A226)</f>
        <v>0.93023598961338072</v>
      </c>
      <c r="C226" s="2" cm="1">
        <f t="array" ref="C226">TrajectoryToComeUp(C$206:C$209,$A226)</f>
        <v>1.1130560335050701</v>
      </c>
      <c r="D226" s="2" cm="1">
        <f t="array" ref="D226">TrajectoryToComeUp(D$206:D$209,$A226)</f>
        <v>0.81050472394995809</v>
      </c>
      <c r="E226" s="2" cm="1">
        <f t="array" ref="E226">TrajectoryToComeUp(E$206:E$209,$A226)</f>
        <v>0.44290274134271351</v>
      </c>
      <c r="F226" s="2" cm="1">
        <f t="array" ref="F226">TrajectoryToComeUp(F$206:F$209,$A226)</f>
        <v>-0.53941113743991165</v>
      </c>
      <c r="G226" s="2" cm="1">
        <f t="array" ref="G226">EvaluatePolynomial(G$206:G$209,$A226)</f>
        <v>2627.5157014772931</v>
      </c>
    </row>
    <row r="227" spans="1:7" x14ac:dyDescent="0.25">
      <c r="A227" s="1">
        <v>275</v>
      </c>
      <c r="B227" s="2" cm="1">
        <f t="array" ref="B227">TrajectoryToComeUp(B$206:B$209,$A227)</f>
        <v>1.1885132976968098</v>
      </c>
      <c r="C227" s="2" cm="1">
        <f t="array" ref="C227">TrajectoryToComeUp(C$206:C$209,$A227)</f>
        <v>1.3511605673280476</v>
      </c>
      <c r="D227" s="2" cm="1">
        <f t="array" ref="D227">TrajectoryToComeUp(D$206:D$209,$A227)</f>
        <v>1.0562301223924084</v>
      </c>
      <c r="E227" s="2" cm="1">
        <f t="array" ref="E227">TrajectoryToComeUp(E$206:E$209,$A227)</f>
        <v>0.67946249763821753</v>
      </c>
      <c r="F227" s="2" cm="1">
        <f t="array" ref="F227">TrajectoryToComeUp(F$206:F$209,$A227)</f>
        <v>-0.31617677958177171</v>
      </c>
      <c r="G227" s="2" cm="1">
        <f t="array" ref="G227">EvaluatePolynomial(G$206:G$209,$A227)</f>
        <v>2528.0775508072975</v>
      </c>
    </row>
    <row r="228" spans="1:7" x14ac:dyDescent="0.25">
      <c r="A228" s="1">
        <v>300</v>
      </c>
      <c r="B228" s="2" cm="1">
        <f t="array" ref="B228">TrajectoryToComeUp(B$206:B$209,$A228)</f>
        <v>1.4576438808945367</v>
      </c>
      <c r="C228" s="2" cm="1">
        <f t="array" ref="C228">TrajectoryToComeUp(C$206:C$209,$A228)</f>
        <v>1.5993381473763753</v>
      </c>
      <c r="D228" s="2" cm="1">
        <f t="array" ref="D228">TrajectoryToComeUp(D$206:D$209,$A228)</f>
        <v>1.3129450170875587</v>
      </c>
      <c r="E228" s="2" cm="1">
        <f t="array" ref="E228">TrajectoryToComeUp(E$206:E$209,$A228)</f>
        <v>0.92624755339986709</v>
      </c>
      <c r="F228" s="2" cm="1">
        <f t="array" ref="F228">TrajectoryToComeUp(F$206:F$209,$A228)</f>
        <v>-7.8030678436129819E-2</v>
      </c>
      <c r="G228" s="2" cm="1">
        <f t="array" ref="G228">EvaluatePolynomial(G$206:G$209,$A228)</f>
        <v>2431.6638653244695</v>
      </c>
    </row>
    <row r="229" spans="1:7" x14ac:dyDescent="0.25">
      <c r="A229" s="1">
        <v>325</v>
      </c>
      <c r="B229" s="2" cm="1">
        <f t="array" ref="B229">TrajectoryToComeUp(B$206:B$209,$A229)</f>
        <v>1.7369382361980636</v>
      </c>
      <c r="C229" s="2" cm="1">
        <f t="array" ref="C229">TrajectoryToComeUp(C$206:C$209,$A229)</f>
        <v>1.8569368613307067</v>
      </c>
      <c r="D229" s="2" cm="1">
        <f t="array" ref="D229">TrajectoryToComeUp(D$206:D$209,$A229)</f>
        <v>1.5800970218319628</v>
      </c>
      <c r="E229" s="2" cm="1">
        <f t="array" ref="E229">TrajectoryToComeUp(E$206:E$209,$A229)</f>
        <v>1.182685350235535</v>
      </c>
      <c r="F229" s="2" cm="1">
        <f t="array" ref="F229">TrajectoryToComeUp(F$206:F$209,$A229)</f>
        <v>0.17453070770992279</v>
      </c>
      <c r="G229" s="2" cm="1">
        <f t="array" ref="G229">EvaluatePolynomial(G$206:G$209,$A229)</f>
        <v>2338.2943995176975</v>
      </c>
    </row>
    <row r="230" spans="1:7" x14ac:dyDescent="0.25">
      <c r="A230" s="1">
        <v>350</v>
      </c>
      <c r="B230" s="2" cm="1">
        <f t="array" ref="B230">TrajectoryToComeUp(B$206:B$209,$A230)</f>
        <v>2.0259038614584641</v>
      </c>
      <c r="C230" s="2" cm="1">
        <f t="array" ref="C230">TrajectoryToComeUp(C$206:C$209,$A230)</f>
        <v>2.1234910575343653</v>
      </c>
      <c r="D230" s="2" cm="1">
        <f t="array" ref="D230">TrajectoryToComeUp(D$206:D$209,$A230)</f>
        <v>1.8572915750517296</v>
      </c>
      <c r="E230" s="2" cm="1">
        <f t="array" ref="E230">TrajectoryToComeUp(E$206:E$209,$A230)</f>
        <v>1.4483669178651302</v>
      </c>
      <c r="F230" s="2" cm="1">
        <f t="array" ref="F230">TrajectoryToComeUp(F$206:F$209,$A230)</f>
        <v>0.4411527657941785</v>
      </c>
      <c r="G230" s="2" cm="1">
        <f t="array" ref="G230">EvaluatePolynomial(G$206:G$209,$A230)</f>
        <v>2247.9889078758697</v>
      </c>
    </row>
    <row r="231" spans="1:7" x14ac:dyDescent="0.25">
      <c r="A231" s="1">
        <v>375</v>
      </c>
      <c r="B231" s="2" cm="1">
        <f t="array" ref="B231">TrajectoryToComeUp(B$206:B$209,$A231)</f>
        <v>2.3241795884331919</v>
      </c>
      <c r="C231" s="2" cm="1">
        <f t="array" ref="C231">TrajectoryToComeUp(C$206:C$209,$A231)</f>
        <v>2.3986592581057882</v>
      </c>
      <c r="D231" s="2" cm="1">
        <f t="array" ref="D231">TrajectoryToComeUp(D$206:D$209,$A231)</f>
        <v>2.1442393315926731</v>
      </c>
      <c r="E231" s="2" cm="1">
        <f t="array" ref="E231">TrajectoryToComeUp(E$206:E$209,$A231)</f>
        <v>1.7229923447499198</v>
      </c>
      <c r="F231" s="2" cm="1">
        <f t="array" ref="F231">TrajectoryToComeUp(F$206:F$209,$A231)</f>
        <v>0.72157544623768466</v>
      </c>
      <c r="G231" s="2" cm="1">
        <f t="array" ref="G231">EvaluatePolynomial(G$206:G$209,$A231)</f>
        <v>2160.7671448878741</v>
      </c>
    </row>
    <row r="232" spans="1:7" x14ac:dyDescent="0.25">
      <c r="A232" s="1">
        <v>400</v>
      </c>
      <c r="B232" s="2" cm="1">
        <f t="array" ref="B232">TrajectoryToComeUp(B$206:B$209,$A232)</f>
        <v>2.6314945409403374</v>
      </c>
      <c r="C232" s="2" cm="1">
        <f t="array" ref="C232">TrajectoryToComeUp(C$206:C$209,$A232)</f>
        <v>2.6821853546338033</v>
      </c>
      <c r="D232" s="2" cm="1">
        <f t="array" ref="D232">TrajectoryToComeUp(D$206:D$209,$A232)</f>
        <v>2.4407232825891545</v>
      </c>
      <c r="E232" s="2" cm="1">
        <f t="array" ref="E232">TrajectoryToComeUp(E$206:E$209,$A232)</f>
        <v>2.0063366972358536</v>
      </c>
      <c r="F232" s="2" cm="1">
        <f t="array" ref="F232">TrajectoryToComeUp(F$206:F$209,$A232)</f>
        <v>1.0156037118562273</v>
      </c>
      <c r="G232" s="2" cm="1">
        <f t="array" ref="G232">EvaluatePolynomial(G$206:G$209,$A232)</f>
        <v>2076.6488650425999</v>
      </c>
    </row>
    <row r="233" spans="1:7" x14ac:dyDescent="0.25">
      <c r="A233" s="1">
        <v>425</v>
      </c>
      <c r="B233" s="2" cm="1">
        <f t="array" ref="B233">TrajectoryToComeUp(B$206:B$209,$A233)</f>
        <v>2.9476415783702037</v>
      </c>
      <c r="C233" s="2" cm="1">
        <f t="array" ref="C233">TrajectoryToComeUp(C$206:C$209,$A233)</f>
        <v>2.9738734995098675</v>
      </c>
      <c r="D233" s="2" cm="1">
        <f t="array" ref="D233">TrajectoryToComeUp(D$206:D$209,$A233)</f>
        <v>2.7465774800850946</v>
      </c>
      <c r="E233" s="2" cm="1">
        <f t="array" ref="E233">TrajectoryToComeUp(E$206:E$209,$A233)</f>
        <v>2.2982279672345398</v>
      </c>
      <c r="F233" s="2" cm="1">
        <f t="array" ref="F233">TrajectoryToComeUp(F$206:F$209,$A233)</f>
        <v>1.3230884165677608</v>
      </c>
      <c r="G233" s="2" cm="1">
        <f t="array" ref="G233">EvaluatePolynomial(G$206:G$209,$A233)</f>
        <v>1995.6538228289346</v>
      </c>
    </row>
    <row r="234" spans="1:7" x14ac:dyDescent="0.25">
      <c r="A234" s="1">
        <v>450</v>
      </c>
      <c r="B234" s="2" cm="1">
        <f t="array" ref="B234">TrajectoryToComeUp(B$206:B$209,$A234)</f>
        <v>3.2724595913596946</v>
      </c>
      <c r="C234" s="2" cm="1">
        <f t="array" ref="C234">TrajectoryToComeUp(C$206:C$209,$A234)</f>
        <v>3.2735713668162254</v>
      </c>
      <c r="D234" s="2" cm="1">
        <f t="array" ref="D234">TrajectoryToComeUp(D$206:D$209,$A234)</f>
        <v>3.0616728534479902</v>
      </c>
      <c r="E234" s="2" cm="1">
        <f t="array" ref="E234">TrajectoryToComeUp(E$206:E$209,$A234)</f>
        <v>2.5985323706772308</v>
      </c>
      <c r="F234" s="2" cm="1">
        <f t="array" ref="F234">TrajectoryToComeUp(F$206:F$209,$A234)</f>
        <v>1.6439135578640265</v>
      </c>
      <c r="G234" s="2" cm="1">
        <f t="array" ref="G234">EvaluatePolynomial(G$206:G$209,$A234)</f>
        <v>1917.801772735766</v>
      </c>
    </row>
    <row r="235" spans="1:7" x14ac:dyDescent="0.25">
      <c r="A235" s="1">
        <v>475</v>
      </c>
      <c r="B235" s="2" cm="1">
        <f t="array" ref="B235">TrajectoryToComeUp(B$206:B$209,$A235)</f>
        <v>3.6058213883063668</v>
      </c>
      <c r="C235" s="2" cm="1">
        <f t="array" ref="C235">TrajectoryToComeUp(C$206:C$209,$A235)</f>
        <v>3.5811586992493845</v>
      </c>
      <c r="D235" s="2" cm="1">
        <f t="array" ref="D235">TrajectoryToComeUp(D$206:D$209,$A235)</f>
        <v>3.3859075048100742</v>
      </c>
      <c r="E235" s="2" cm="1">
        <f t="array" ref="E235">TrajectoryToComeUp(E$206:E$209,$A235)</f>
        <v>2.9071442885622827</v>
      </c>
      <c r="F235" s="2" cm="1">
        <f t="array" ref="F235">TrajectoryToComeUp(F$206:F$209,$A235)</f>
        <v>1.9779875548174515</v>
      </c>
      <c r="G235" s="2" cm="1">
        <f t="array" ref="G235">EvaluatePolynomial(G$206:G$209,$A235)</f>
        <v>1843.1124692519832</v>
      </c>
    </row>
    <row r="236" spans="1:7" x14ac:dyDescent="0.25">
      <c r="A236" s="10">
        <v>500</v>
      </c>
      <c r="B236" s="2" cm="1">
        <f t="array" ref="B236">TrajectoryToComeUp(B$206:B$209,$A236)</f>
        <v>3.9476252159282628</v>
      </c>
      <c r="C236" s="2" cm="1">
        <f t="array" ref="C236">TrajectoryToComeUp(C$206:C$209,$A236)</f>
        <v>3.8965392909665519</v>
      </c>
      <c r="D236" s="2" cm="1">
        <f t="array" ref="D236">TrajectoryToComeUp(D$206:D$209,$A236)</f>
        <v>3.7191999158771329</v>
      </c>
      <c r="E236" s="2" cm="1">
        <f t="array" ref="E236">TrajectoryToComeUp(E$206:E$209,$A236)</f>
        <v>3.2239792256883804</v>
      </c>
      <c r="F236" s="2" cm="1">
        <f t="array" ref="F236">TrajectoryToComeUp(F$206:F$209,$A236)</f>
        <v>2.3252371426859786</v>
      </c>
      <c r="G236" s="2" cm="1">
        <f t="array" ref="G236">EvaluatePolynomial(G$206:G$209,$A236)</f>
        <v>1771.6056668664744</v>
      </c>
    </row>
  </sheetData>
  <mergeCells count="3">
    <mergeCell ref="C20:G20"/>
    <mergeCell ref="H20:L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50504-F664-4843-8C7D-163A5817D695}">
  <sheetPr codeName="Sheet5"/>
  <dimension ref="A1:P236"/>
  <sheetViews>
    <sheetView topLeftCell="A37" workbookViewId="0">
      <selection activeCell="E19" sqref="E19"/>
    </sheetView>
  </sheetViews>
  <sheetFormatPr defaultRowHeight="15" x14ac:dyDescent="0.25"/>
  <cols>
    <col min="1" max="1" width="39" customWidth="1"/>
    <col min="2" max="2" width="26.28515625" customWidth="1"/>
    <col min="3" max="3" width="24.7109375" customWidth="1"/>
    <col min="4" max="4" width="27.5703125" customWidth="1"/>
    <col min="5" max="5" width="20.7109375" customWidth="1"/>
    <col min="6" max="6" width="21.85546875" customWidth="1"/>
    <col min="7" max="7" width="27" customWidth="1"/>
    <col min="8" max="8" width="18.85546875" customWidth="1"/>
    <col min="9" max="9" width="21.5703125" customWidth="1"/>
    <col min="10" max="10" width="19.140625" customWidth="1"/>
    <col min="11" max="11" width="18.85546875" customWidth="1"/>
    <col min="12" max="12" width="17.5703125" customWidth="1"/>
    <col min="13" max="13" width="19.5703125" customWidth="1"/>
    <col min="14" max="14" width="14.28515625" customWidth="1"/>
    <col min="15" max="15" width="15.140625" customWidth="1"/>
    <col min="16" max="16" width="17" customWidth="1"/>
  </cols>
  <sheetData>
    <row r="1" spans="1:9" x14ac:dyDescent="0.25">
      <c r="A1" t="s">
        <v>18</v>
      </c>
      <c r="B1" t="s">
        <v>22</v>
      </c>
      <c r="C1" t="s">
        <v>30</v>
      </c>
      <c r="D1" t="s">
        <v>32</v>
      </c>
      <c r="F1" s="27" t="s">
        <v>62</v>
      </c>
      <c r="G1" s="27"/>
      <c r="H1" s="27"/>
      <c r="I1" s="27"/>
    </row>
    <row r="2" spans="1:9" x14ac:dyDescent="0.25">
      <c r="A2" t="s">
        <v>20</v>
      </c>
      <c r="B2" s="2">
        <v>180</v>
      </c>
      <c r="C2" s="2">
        <f>CONVERT($B$2,"grain","g")</f>
        <v>11.6638038</v>
      </c>
      <c r="F2" t="s">
        <v>63</v>
      </c>
      <c r="G2" s="2">
        <v>180</v>
      </c>
      <c r="H2" s="2">
        <f>CONVERT($G$2,"grain","g")</f>
        <v>11.6638038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t="s">
        <v>11</v>
      </c>
      <c r="B4" s="2"/>
      <c r="C4" s="2"/>
      <c r="F4" t="s">
        <v>11</v>
      </c>
      <c r="G4" s="2" t="s">
        <v>65</v>
      </c>
      <c r="H4" s="2"/>
    </row>
    <row r="5" spans="1:9" x14ac:dyDescent="0.25">
      <c r="A5" t="s">
        <v>21</v>
      </c>
      <c r="B5" s="2">
        <v>0.48</v>
      </c>
      <c r="C5" s="2">
        <v>0.52500000000000002</v>
      </c>
      <c r="F5" t="s">
        <v>21</v>
      </c>
      <c r="G5" s="2"/>
      <c r="H5" s="2"/>
    </row>
    <row r="6" spans="1:9" x14ac:dyDescent="0.25">
      <c r="A6" t="s">
        <v>23</v>
      </c>
      <c r="B6" s="2">
        <v>3776.2</v>
      </c>
      <c r="C6" s="2">
        <f>CONVERT($B$6,"J","flb")</f>
        <v>2785.1821881008095</v>
      </c>
      <c r="F6" t="s">
        <v>66</v>
      </c>
      <c r="G6" s="2">
        <f>CONVERT($H$6,"J","flb")</f>
        <v>2913.173058223611</v>
      </c>
      <c r="H6" s="2">
        <f>($C$2/1000)*$H$7*$H$7/2</f>
        <v>3949.7323189350473</v>
      </c>
    </row>
    <row r="7" spans="1:9" x14ac:dyDescent="0.25">
      <c r="A7" t="s">
        <v>19</v>
      </c>
      <c r="B7" s="2">
        <f xml:space="preserve"> SQRT(2*$B$6/(CONVERT($B$2,"grain","g")/1000))</f>
        <v>804.6784838429254</v>
      </c>
      <c r="C7" s="2">
        <f>CONVERT($B$7,"m","ft")</f>
        <v>2640.0212724505427</v>
      </c>
      <c r="F7" t="s">
        <v>67</v>
      </c>
      <c r="G7" s="2">
        <v>2700</v>
      </c>
      <c r="H7" s="2">
        <f>CONVERT($G$7,"ft","m")</f>
        <v>822.96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0</v>
      </c>
      <c r="C9" s="2"/>
    </row>
    <row r="10" spans="1:9" x14ac:dyDescent="0.25">
      <c r="A10" t="s">
        <v>3</v>
      </c>
      <c r="B10" s="2"/>
      <c r="C10" s="2"/>
    </row>
    <row r="11" spans="1:9" x14ac:dyDescent="0.25">
      <c r="A11" s="15" t="s">
        <v>49</v>
      </c>
      <c r="B11" s="2">
        <v>0.5</v>
      </c>
      <c r="C11" s="19"/>
    </row>
    <row r="12" spans="1:9" x14ac:dyDescent="0.25">
      <c r="A12" s="15" t="s">
        <v>50</v>
      </c>
      <c r="B12" s="2" cm="1">
        <f t="array" ref="B12">MOAToMRAD($B$11)</f>
        <v>0.14544410433286079</v>
      </c>
      <c r="C12" s="19">
        <f>$B$12/2</f>
        <v>7.2722052166430393E-2</v>
      </c>
    </row>
    <row r="13" spans="1:9" x14ac:dyDescent="0.25">
      <c r="A13" s="15" t="s">
        <v>28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15" t="s">
        <v>5</v>
      </c>
      <c r="B14" t="s">
        <v>61</v>
      </c>
    </row>
    <row r="15" spans="1:9" x14ac:dyDescent="0.25">
      <c r="A15" t="s">
        <v>52</v>
      </c>
      <c r="B15" s="16" t="s">
        <v>53</v>
      </c>
      <c r="C15" s="16" t="s">
        <v>54</v>
      </c>
      <c r="D15" s="16" t="s">
        <v>55</v>
      </c>
      <c r="E15" s="16" t="s">
        <v>56</v>
      </c>
    </row>
    <row r="16" spans="1:9" x14ac:dyDescent="0.25">
      <c r="A16" s="15" t="s">
        <v>57</v>
      </c>
      <c r="B16" s="2">
        <v>0.625</v>
      </c>
      <c r="C16">
        <f>$B16/2</f>
        <v>0.3125</v>
      </c>
      <c r="D16" s="2">
        <f>$B$16 * $B$18</f>
        <v>0.36361026083215198</v>
      </c>
      <c r="E16" s="17">
        <f>$D16/2</f>
        <v>0.18180513041607599</v>
      </c>
    </row>
    <row r="17" spans="1:16" x14ac:dyDescent="0.25">
      <c r="A17" s="15" t="s">
        <v>58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17">
        <f>$D17/2</f>
        <v>7.2722052166430393E-2</v>
      </c>
    </row>
    <row r="18" spans="1:16" s="23" customFormat="1" x14ac:dyDescent="0.25">
      <c r="A18" s="20" t="s">
        <v>59</v>
      </c>
      <c r="B18" s="21">
        <f>$B$12/$B$17</f>
        <v>0.58177641733144314</v>
      </c>
      <c r="C18" s="22"/>
      <c r="H18" s="22">
        <v>2.75</v>
      </c>
      <c r="I18" s="22">
        <v>2.75</v>
      </c>
      <c r="J18" s="22">
        <v>2.75</v>
      </c>
      <c r="K18" s="22">
        <v>2.5</v>
      </c>
      <c r="L18" s="22">
        <v>2.5</v>
      </c>
      <c r="M18" s="22"/>
      <c r="P18" s="22"/>
    </row>
    <row r="19" spans="1:16" s="22" customFormat="1" x14ac:dyDescent="0.25">
      <c r="A19" s="20" t="s">
        <v>60</v>
      </c>
      <c r="B19" s="21"/>
      <c r="C19" s="21">
        <f>$C$17*0.61+$C16*0.39</f>
        <v>0.198125</v>
      </c>
      <c r="D19" s="21"/>
      <c r="E19" s="21" cm="1">
        <f t="array" ref="E19">ProbableAngularPOIError(D17,D16,B12,0.68)</f>
        <v>0.15024454823627703</v>
      </c>
      <c r="F19" s="23"/>
      <c r="G19" s="23"/>
      <c r="H19" s="23"/>
      <c r="I19" s="23"/>
    </row>
    <row r="20" spans="1:16" x14ac:dyDescent="0.25">
      <c r="C20" s="26" t="s">
        <v>26</v>
      </c>
      <c r="D20" s="26"/>
      <c r="E20" s="26"/>
      <c r="F20" s="26"/>
      <c r="G20" s="26"/>
      <c r="H20" s="26" t="s">
        <v>27</v>
      </c>
      <c r="I20" s="26"/>
      <c r="J20" s="26"/>
      <c r="K20" s="26"/>
      <c r="L20" s="26"/>
      <c r="M20" s="24" t="s">
        <v>36</v>
      </c>
    </row>
    <row r="21" spans="1:16" x14ac:dyDescent="0.25">
      <c r="A21" t="s">
        <v>4</v>
      </c>
      <c r="B21" t="s">
        <v>25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6</v>
      </c>
      <c r="I21" t="s">
        <v>7</v>
      </c>
      <c r="J21" t="s">
        <v>8</v>
      </c>
      <c r="K21" t="s">
        <v>9</v>
      </c>
      <c r="L21" t="s">
        <v>10</v>
      </c>
      <c r="M21" s="24" t="s">
        <v>37</v>
      </c>
    </row>
    <row r="22" spans="1:16" x14ac:dyDescent="0.25">
      <c r="A22" s="1">
        <v>0</v>
      </c>
      <c r="B22" s="1">
        <v>3776.2</v>
      </c>
      <c r="C22" s="3"/>
      <c r="D22" s="4"/>
      <c r="E22" s="4"/>
      <c r="F22" s="4"/>
      <c r="G22" s="5"/>
      <c r="H22" s="8">
        <f>$B$13*(-1)</f>
        <v>-3.81</v>
      </c>
      <c r="I22" s="8">
        <f>$B$13*(-1)</f>
        <v>-3.81</v>
      </c>
      <c r="J22" s="8">
        <f>$B$13*(-1)</f>
        <v>-3.81</v>
      </c>
      <c r="K22" s="8">
        <f>$B$13*(-1)</f>
        <v>-3.81</v>
      </c>
      <c r="L22" s="8">
        <f>$B$13*(-1)</f>
        <v>-3.81</v>
      </c>
      <c r="M22" s="25">
        <v>0</v>
      </c>
    </row>
    <row r="23" spans="1:16" x14ac:dyDescent="0.25">
      <c r="A23" s="1">
        <v>25</v>
      </c>
      <c r="B23" s="1">
        <v>3659.5</v>
      </c>
      <c r="C23" s="6">
        <v>-0.3</v>
      </c>
      <c r="D23" s="6">
        <v>-0.35</v>
      </c>
      <c r="E23" s="6">
        <v>-0.25</v>
      </c>
      <c r="F23" s="6">
        <v>-0.1</v>
      </c>
      <c r="G23" s="6">
        <v>0.25</v>
      </c>
      <c r="H23" s="9" cm="1">
        <f t="array" ref="H23">TrajectoryDropInCM(C23,$A23,H$18)</f>
        <v>-2.0625004679298149</v>
      </c>
      <c r="I23" s="9" cm="1">
        <f t="array" ref="I23">TrajectoryDropInCM(D23,$A23,I$18)</f>
        <v>-2.4062507430552884</v>
      </c>
      <c r="J23" s="9" cm="1">
        <f t="array" ref="J23">TrajectoryDropInCM(E23,$A23,J$18)</f>
        <v>-1.7187502707926943</v>
      </c>
      <c r="K23" s="9" cm="1">
        <f t="array" ref="K23">TrajectoryDropInCM(F23,$A23,K$18)</f>
        <v>-0.62500001302083352</v>
      </c>
      <c r="L23" s="9" cm="1">
        <f t="array" ref="L23">TrajectoryDropInCM(G23,$A23,L$18)</f>
        <v>1.5625002034505526</v>
      </c>
      <c r="M23" s="25" cm="1">
        <f t="array" ref="M23">TrajectoryErrorCM($E$19,1,$A23)</f>
        <v>0.37561137059069255</v>
      </c>
    </row>
    <row r="24" spans="1:16" x14ac:dyDescent="0.25">
      <c r="A24" s="1">
        <v>50</v>
      </c>
      <c r="B24" s="1">
        <v>3537.8</v>
      </c>
      <c r="C24" s="7">
        <v>0</v>
      </c>
      <c r="D24" s="6">
        <v>0</v>
      </c>
      <c r="E24" s="6">
        <v>0.1</v>
      </c>
      <c r="F24" s="6">
        <v>0.2</v>
      </c>
      <c r="G24" s="6">
        <v>0.6</v>
      </c>
      <c r="H24" s="9" cm="1">
        <f t="array" ref="H24">TrajectoryDropInCM(C24,$A24,H$18)</f>
        <v>0</v>
      </c>
      <c r="I24" s="9" cm="1">
        <f t="array" ref="I24">TrajectoryDropInCM(D24,$A24,I$18)</f>
        <v>0</v>
      </c>
      <c r="J24" s="9" cm="1">
        <f t="array" ref="J24">TrajectoryDropInCM(E24,$A24,J$18)</f>
        <v>1.3750000346614595</v>
      </c>
      <c r="K24" s="9" cm="1">
        <f t="array" ref="K24">TrajectoryDropInCM(F24,$A24,K$18)</f>
        <v>2.5000002083333537</v>
      </c>
      <c r="L24" s="9" cm="1">
        <f t="array" ref="L24">TrajectoryDropInCM(G24,$A24,L$18)</f>
        <v>7.5000056250050626</v>
      </c>
      <c r="M24" s="25" cm="1">
        <f t="array" ref="M24">TrajectoryErrorCM($E$19,1,$A24)</f>
        <v>0.7512227411813851</v>
      </c>
    </row>
    <row r="25" spans="1:16" x14ac:dyDescent="0.25">
      <c r="A25" s="1">
        <v>75</v>
      </c>
      <c r="B25" s="1">
        <v>3402.4</v>
      </c>
      <c r="C25" s="6">
        <v>0.1</v>
      </c>
      <c r="D25" s="6">
        <v>0.05</v>
      </c>
      <c r="E25" s="6">
        <v>0.15</v>
      </c>
      <c r="F25" s="6">
        <v>0.25</v>
      </c>
      <c r="G25" s="6">
        <v>0.65</v>
      </c>
      <c r="H25" s="9" cm="1">
        <f t="array" ref="H25">TrajectoryDropInCM(C25,$A25,H$18)</f>
        <v>2.0625000519921892</v>
      </c>
      <c r="I25" s="9" cm="1">
        <f t="array" ref="I25">TrajectoryDropInCM(D25,$A25,I$18)</f>
        <v>1.0312500064990235</v>
      </c>
      <c r="J25" s="9" cm="1">
        <f t="array" ref="J25">TrajectoryDropInCM(E25,$A25,J$18)</f>
        <v>3.0937501754736449</v>
      </c>
      <c r="K25" s="9" cm="1">
        <f t="array" ref="K25">TrajectoryDropInCM(F25,$A25,K$18)</f>
        <v>4.6875006103516581</v>
      </c>
      <c r="L25" s="9" cm="1">
        <f t="array" ref="L25">TrajectoryDropInCM(G25,$A25,L$18)</f>
        <v>12.187510727550393</v>
      </c>
      <c r="M25" s="25" cm="1">
        <f t="array" ref="M25">TrajectoryErrorCM($E$19,1,$A25)</f>
        <v>1.1268341117720777</v>
      </c>
    </row>
    <row r="26" spans="1:16" x14ac:dyDescent="0.25">
      <c r="A26" s="1">
        <v>100</v>
      </c>
      <c r="B26" s="1">
        <v>3291.7</v>
      </c>
      <c r="C26" s="6">
        <v>0.1</v>
      </c>
      <c r="D26" s="7">
        <v>0</v>
      </c>
      <c r="E26" s="6">
        <v>0.1</v>
      </c>
      <c r="F26" s="6">
        <v>0.25</v>
      </c>
      <c r="G26" s="6">
        <v>0.65</v>
      </c>
      <c r="H26" s="9" cm="1">
        <f t="array" ref="H26">TrajectoryDropInCM(C26,$A26,H$18)</f>
        <v>2.750000069322919</v>
      </c>
      <c r="I26" s="9" cm="1">
        <f t="array" ref="I26">TrajectoryDropInCM(D26,$A26,I$18)</f>
        <v>0</v>
      </c>
      <c r="J26" s="9" cm="1">
        <f t="array" ref="J26">TrajectoryDropInCM(E26,$A26,J$18)</f>
        <v>2.750000069322919</v>
      </c>
      <c r="K26" s="9" cm="1">
        <f t="array" ref="K26">TrajectoryDropInCM(F26,$A26,K$18)</f>
        <v>6.2500008138022105</v>
      </c>
      <c r="L26" s="9" cm="1">
        <f t="array" ref="L26">TrajectoryDropInCM(G26,$A26,L$18)</f>
        <v>16.250014303400523</v>
      </c>
      <c r="M26" s="25" cm="1">
        <f t="array" ref="M26">TrajectoryErrorCM($E$19,1,$A26)</f>
        <v>1.5024454823627702</v>
      </c>
    </row>
    <row r="27" spans="1:16" x14ac:dyDescent="0.25">
      <c r="A27" s="1">
        <v>125</v>
      </c>
      <c r="B27" s="1">
        <v>3168.9</v>
      </c>
      <c r="C27" s="6">
        <v>0</v>
      </c>
      <c r="D27" s="6">
        <v>0</v>
      </c>
      <c r="E27" s="6">
        <v>0.1</v>
      </c>
      <c r="F27" s="6">
        <v>0.25</v>
      </c>
      <c r="G27" s="6">
        <v>0.6</v>
      </c>
      <c r="H27" s="9" cm="1">
        <f t="array" ref="H27">TrajectoryDropInCM(C27,$A27,H$18)</f>
        <v>0</v>
      </c>
      <c r="I27" s="9" cm="1">
        <f t="array" ref="I27">TrajectoryDropInCM(D27,$A27,I$18)</f>
        <v>0</v>
      </c>
      <c r="J27" s="9" cm="1">
        <f t="array" ref="J27">TrajectoryDropInCM(E27,$A27,J$18)</f>
        <v>3.4375000866536483</v>
      </c>
      <c r="K27" s="9" cm="1">
        <f t="array" ref="K27">TrajectoryDropInCM(F27,$A27,K$18)</f>
        <v>7.8125010172527629</v>
      </c>
      <c r="L27" s="9" cm="1">
        <f t="array" ref="L27">TrajectoryDropInCM(G27,$A27,L$18)</f>
        <v>18.750014062512658</v>
      </c>
      <c r="M27" s="25" cm="1">
        <f t="array" ref="M27">TrajectoryErrorCM($E$19,1,$A27)</f>
        <v>1.8780568529534629</v>
      </c>
    </row>
    <row r="28" spans="1:16" x14ac:dyDescent="0.25">
      <c r="A28" s="1">
        <v>150</v>
      </c>
      <c r="B28" s="1">
        <v>3051.9</v>
      </c>
      <c r="C28" s="6">
        <v>-0.05</v>
      </c>
      <c r="D28" s="6">
        <v>-0.1</v>
      </c>
      <c r="E28" s="7">
        <v>0</v>
      </c>
      <c r="F28" s="6">
        <v>0.15</v>
      </c>
      <c r="G28" s="6">
        <v>0.55000000000000004</v>
      </c>
      <c r="H28" s="9" cm="1">
        <f t="array" ref="H28">TrajectoryDropInCM(C28,$A28,H$18)</f>
        <v>-2.0625000129980471</v>
      </c>
      <c r="I28" s="9" cm="1">
        <f t="array" ref="I28">TrajectoryDropInCM(D28,$A28,I$18)</f>
        <v>-4.1250001039843784</v>
      </c>
      <c r="J28" s="9" cm="1">
        <f t="array" ref="J28">TrajectoryDropInCM(E28,$A28,J$18)</f>
        <v>0</v>
      </c>
      <c r="K28" s="9" cm="1">
        <f t="array" ref="K28">TrajectoryDropInCM(F28,$A28,K$18)</f>
        <v>5.6250002636718905</v>
      </c>
      <c r="L28" s="9" cm="1">
        <f t="array" ref="L28">TrajectoryDropInCM(G28,$A28,L$18)</f>
        <v>20.625012998056704</v>
      </c>
      <c r="M28" s="25" cm="1">
        <f t="array" ref="M28">TrajectoryErrorCM($E$19,1,$A28)</f>
        <v>2.2536682235441554</v>
      </c>
    </row>
    <row r="29" spans="1:16" x14ac:dyDescent="0.25">
      <c r="A29" s="1">
        <v>200</v>
      </c>
      <c r="B29" s="1">
        <v>2834.5</v>
      </c>
      <c r="C29" s="6">
        <v>-0.2</v>
      </c>
      <c r="D29" s="6">
        <v>-0.25</v>
      </c>
      <c r="E29" s="6">
        <v>-0.15</v>
      </c>
      <c r="F29" s="7">
        <v>0</v>
      </c>
      <c r="G29" s="6">
        <v>0.4</v>
      </c>
      <c r="H29" s="9" cm="1">
        <f t="array" ref="H29">TrajectoryDropInCM(C29,$A29,H$18)</f>
        <v>-11.000001109166799</v>
      </c>
      <c r="I29" s="9" cm="1">
        <f t="array" ref="I29">TrajectoryDropInCM(D29,$A29,I$18)</f>
        <v>-13.750002166341554</v>
      </c>
      <c r="J29" s="9" cm="1">
        <f t="array" ref="J29">TrajectoryDropInCM(E29,$A29,J$18)</f>
        <v>-8.2500004679297199</v>
      </c>
      <c r="K29" s="9" cm="1">
        <f t="array" ref="K29">TrajectoryDropInCM(F29,$A29,K$18)</f>
        <v>0</v>
      </c>
      <c r="L29" s="9" cm="1">
        <f t="array" ref="L29">TrajectoryDropInCM(G29,$A29,L$18)</f>
        <v>20.000006666669336</v>
      </c>
      <c r="M29" s="25" cm="1">
        <f t="array" ref="M29">TrajectoryErrorCM($E$19,1,$A29)</f>
        <v>3.0048909647255404</v>
      </c>
    </row>
    <row r="30" spans="1:16" x14ac:dyDescent="0.25">
      <c r="A30" s="1">
        <v>250</v>
      </c>
      <c r="B30" s="1">
        <v>2623.4</v>
      </c>
      <c r="C30" s="6">
        <v>-0.35</v>
      </c>
      <c r="D30" s="6">
        <v>-0.4</v>
      </c>
      <c r="E30" s="6">
        <v>-0.35</v>
      </c>
      <c r="F30" s="6">
        <v>-0.15</v>
      </c>
      <c r="G30" s="6">
        <v>0.2</v>
      </c>
      <c r="H30" s="9" cm="1">
        <f t="array" ref="H30">TrajectoryDropInCM(C30,$A30,H$18)</f>
        <v>-24.062507430552884</v>
      </c>
      <c r="I30" s="9" cm="1">
        <f t="array" ref="I30">TrajectoryDropInCM(D30,$A30,I$18)</f>
        <v>-27.500011091672039</v>
      </c>
      <c r="J30" s="9" cm="1">
        <f t="array" ref="J30">TrajectoryDropInCM(E30,$A30,J$18)</f>
        <v>-24.062507430552884</v>
      </c>
      <c r="K30" s="9" cm="1">
        <f t="array" ref="K30">TrajectoryDropInCM(F30,$A30,K$18)</f>
        <v>-9.3750004394531494</v>
      </c>
      <c r="L30" s="9" cm="1">
        <f t="array" ref="L30">TrajectoryDropInCM(G30,$A30,L$18)</f>
        <v>12.500001041666769</v>
      </c>
      <c r="M30" s="25" cm="1">
        <f t="array" ref="M30">TrajectoryErrorCM($E$19,1,$A30)</f>
        <v>3.7561137059069258</v>
      </c>
    </row>
    <row r="31" spans="1:16" x14ac:dyDescent="0.25">
      <c r="A31" s="1">
        <v>300</v>
      </c>
      <c r="B31" s="1">
        <v>2432</v>
      </c>
      <c r="C31" s="6">
        <v>-0.55000000000000004</v>
      </c>
      <c r="D31" s="6">
        <v>-0.6</v>
      </c>
      <c r="E31" s="6">
        <v>-0.5</v>
      </c>
      <c r="F31" s="6">
        <v>-0.35</v>
      </c>
      <c r="G31" s="7">
        <v>0</v>
      </c>
      <c r="H31" s="9" cm="1">
        <f t="array" ref="H31">TrajectoryDropInCM(C31,$A31,H$18)</f>
        <v>-45.37503460083245</v>
      </c>
      <c r="I31" s="9" cm="1">
        <f t="array" ref="I31">TrajectoryDropInCM(D31,$A31,I$18)</f>
        <v>-49.500044921298922</v>
      </c>
      <c r="J31" s="9" cm="1">
        <f t="array" ref="J31">TrajectoryDropInCM(E31,$A31,J$18)</f>
        <v>-41.250025996113408</v>
      </c>
      <c r="K31" s="9" cm="1">
        <f t="array" ref="K31">TrajectoryDropInCM(F31,$A31,K$18)</f>
        <v>-26.250006699220808</v>
      </c>
      <c r="L31" s="9" cm="1">
        <f t="array" ref="L31">TrajectoryDropInCM(G31,$A31,L$18)</f>
        <v>0</v>
      </c>
      <c r="M31" s="25" cm="1">
        <f t="array" ref="M31">TrajectoryErrorCM($E$19,1,$A31)</f>
        <v>4.5073364470883108</v>
      </c>
    </row>
    <row r="32" spans="1:16" x14ac:dyDescent="0.25">
      <c r="A32" s="1">
        <v>350</v>
      </c>
      <c r="B32" s="1">
        <v>2247.1999999999998</v>
      </c>
      <c r="C32" s="6">
        <v>-0.75</v>
      </c>
      <c r="D32" s="6">
        <v>-0.8</v>
      </c>
      <c r="E32" s="6">
        <v>-0.7</v>
      </c>
      <c r="F32" s="6">
        <v>-0.55000000000000004</v>
      </c>
      <c r="G32" s="6">
        <v>-0.2</v>
      </c>
      <c r="H32" s="9" cm="1">
        <f t="array" ref="H32">TrajectoryDropInCM(C32,$A32,H$18)</f>
        <v>-72.187602359793317</v>
      </c>
      <c r="I32" s="9" cm="1">
        <f t="array" ref="I32">TrajectoryDropInCM(D32,$A32,I$18)</f>
        <v>-77.000124226907175</v>
      </c>
      <c r="J32" s="9" cm="1">
        <f t="array" ref="J32">TrajectoryDropInCM(E32,$A32,J$18)</f>
        <v>-67.375083222284815</v>
      </c>
      <c r="K32" s="9" cm="1">
        <f t="array" ref="K32">TrajectoryDropInCM(F32,$A32,K$18)</f>
        <v>-48.125030328798971</v>
      </c>
      <c r="L32" s="9" cm="1">
        <f t="array" ref="L32">TrajectoryDropInCM(G32,$A32,L$18)</f>
        <v>-17.500001458333479</v>
      </c>
      <c r="M32" s="25" cm="1">
        <f t="array" ref="M32">TrajectoryErrorCM($E$19,1,$A32)</f>
        <v>5.2585591882696958</v>
      </c>
    </row>
    <row r="33" spans="1:13" x14ac:dyDescent="0.25">
      <c r="A33" s="1">
        <v>400</v>
      </c>
      <c r="B33" s="1">
        <v>2079.9</v>
      </c>
      <c r="C33" s="6">
        <v>-1</v>
      </c>
      <c r="D33" s="6">
        <v>-1.05</v>
      </c>
      <c r="E33" s="6">
        <v>-0.95</v>
      </c>
      <c r="F33" s="6">
        <v>-0.8</v>
      </c>
      <c r="G33" s="6">
        <v>-0.4</v>
      </c>
      <c r="H33" s="9" cm="1">
        <f t="array" ref="H33">TrajectoryDropInCM(C33,$A33,H$18)</f>
        <v>-110.00027729250546</v>
      </c>
      <c r="I33" s="9" cm="1">
        <f t="array" ref="I33">TrajectoryDropInCM(D33,$A33,I$18)</f>
        <v>-115.50032100083621</v>
      </c>
      <c r="J33" s="9" cm="1">
        <f t="array" ref="J33">TrajectoryDropInCM(E33,$A33,J$18)</f>
        <v>-104.50023774359174</v>
      </c>
      <c r="K33" s="9" cm="1">
        <f t="array" ref="K33">TrajectoryDropInCM(F33,$A33,K$18)</f>
        <v>-80.000106666837326</v>
      </c>
      <c r="L33" s="9" cm="1">
        <f t="array" ref="L33">TrajectoryDropInCM(G33,$A33,L$18)</f>
        <v>-40.000013333338671</v>
      </c>
      <c r="M33" s="25" cm="1">
        <f t="array" ref="M33">TrajectoryErrorCM($E$19,1,$A33)</f>
        <v>6.0097819294510808</v>
      </c>
    </row>
    <row r="34" spans="1:13" x14ac:dyDescent="0.25">
      <c r="A34" s="1">
        <v>450</v>
      </c>
      <c r="B34" s="1">
        <v>1921.6</v>
      </c>
      <c r="C34" s="6">
        <v>-1.25</v>
      </c>
      <c r="D34" s="6">
        <v>-1.3</v>
      </c>
      <c r="E34" s="6">
        <v>-1.1499999999999999</v>
      </c>
      <c r="F34" s="6">
        <v>-1</v>
      </c>
      <c r="G34" s="6">
        <v>-0.65</v>
      </c>
      <c r="H34" s="9" cm="1">
        <f t="array" ref="H34">TrajectoryDropInCM(C34,$A34,H$18)</f>
        <v>-154.68810928632709</v>
      </c>
      <c r="I34" s="9" cm="1">
        <f t="array" ref="I34">TrajectoryDropInCM(D34,$A34,I$18)</f>
        <v>-160.87568536451937</v>
      </c>
      <c r="J34" s="9" cm="1">
        <f t="array" ref="J34">TrajectoryDropInCM(E34,$A34,J$18)</f>
        <v>-142.312974443607</v>
      </c>
      <c r="K34" s="9" cm="1">
        <f t="array" ref="K34">TrajectoryDropInCM(F34,$A34,K$18)</f>
        <v>-112.50023437558593</v>
      </c>
      <c r="L34" s="9" cm="1">
        <f t="array" ref="L34">TrajectoryDropInCM(G34,$A34,L$18)</f>
        <v>-73.12506436530235</v>
      </c>
      <c r="M34" s="25" cm="1">
        <f t="array" ref="M34">TrajectoryErrorCM($E$19,1,$A34)</f>
        <v>6.7610046706324667</v>
      </c>
    </row>
    <row r="35" spans="1:13" x14ac:dyDescent="0.25">
      <c r="A35" s="1">
        <v>500</v>
      </c>
      <c r="B35" s="1">
        <v>1768</v>
      </c>
      <c r="C35" s="6">
        <v>-1.5</v>
      </c>
      <c r="D35" s="6">
        <v>-1.45</v>
      </c>
      <c r="E35" s="6">
        <v>-1.4</v>
      </c>
      <c r="F35" s="6">
        <v>-1.3</v>
      </c>
      <c r="G35" s="6">
        <v>-0.9</v>
      </c>
      <c r="H35" s="9" cm="1">
        <f t="array" ref="H35">TrajectoryDropInCM(C35,$A35,H$18)</f>
        <v>-206.25116983218095</v>
      </c>
      <c r="I35" s="9" cm="1">
        <f t="array" ref="I35">TrajectoryDropInCM(D35,$A35,I$18)</f>
        <v>-199.37605670460479</v>
      </c>
      <c r="J35" s="9" cm="1">
        <f t="array" ref="J35">TrajectoryDropInCM(E35,$A35,J$18)</f>
        <v>-192.50095111605583</v>
      </c>
      <c r="K35" s="9" cm="1">
        <f t="array" ref="K35">TrajectoryDropInCM(F35,$A35,K$18)</f>
        <v>-162.50057213783393</v>
      </c>
      <c r="L35" s="9" cm="1">
        <f t="array" ref="L35">TrajectoryDropInCM(G35,$A35,L$18)</f>
        <v>-112.50018984413441</v>
      </c>
      <c r="M35" s="25" cm="1">
        <f t="array" ref="M35">TrajectoryErrorCM($E$19,1,$A35)</f>
        <v>7.5122274118138517</v>
      </c>
    </row>
    <row r="77" spans="1:13" x14ac:dyDescent="0.25">
      <c r="A77" t="s">
        <v>29</v>
      </c>
    </row>
    <row r="78" spans="1:13" x14ac:dyDescent="0.25">
      <c r="A78" t="s">
        <v>85</v>
      </c>
      <c r="H78" t="s">
        <v>80</v>
      </c>
    </row>
    <row r="79" spans="1:1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t="s">
        <v>17</v>
      </c>
    </row>
    <row r="80" spans="1:13" x14ac:dyDescent="0.25">
      <c r="A80" s="1">
        <v>0</v>
      </c>
      <c r="B80" s="1">
        <v>805</v>
      </c>
      <c r="C80" s="1">
        <v>3777</v>
      </c>
      <c r="D80" s="1">
        <v>-3.8</v>
      </c>
      <c r="E80" s="1">
        <v>0</v>
      </c>
      <c r="F80" s="1">
        <v>0</v>
      </c>
      <c r="H80" s="1">
        <v>0</v>
      </c>
      <c r="I80" s="1">
        <v>805</v>
      </c>
      <c r="J80" s="1">
        <v>3777</v>
      </c>
      <c r="K80" s="1">
        <v>-3.8</v>
      </c>
      <c r="L80" s="1">
        <v>0</v>
      </c>
      <c r="M80" s="1">
        <v>0</v>
      </c>
    </row>
    <row r="81" spans="1:13" x14ac:dyDescent="0.25">
      <c r="A81" s="1">
        <v>25</v>
      </c>
      <c r="B81" s="1">
        <v>789</v>
      </c>
      <c r="C81" s="1">
        <v>3632</v>
      </c>
      <c r="D81" s="1">
        <v>-1.4</v>
      </c>
      <c r="E81" s="1">
        <v>2</v>
      </c>
      <c r="F81" s="1">
        <v>0.6</v>
      </c>
      <c r="H81" s="1">
        <v>25</v>
      </c>
      <c r="I81" s="1">
        <v>790</v>
      </c>
      <c r="J81" s="1">
        <v>3644</v>
      </c>
      <c r="K81" s="1">
        <v>-1.4</v>
      </c>
      <c r="L81" s="1">
        <v>2</v>
      </c>
      <c r="M81" s="1">
        <v>0.6</v>
      </c>
    </row>
    <row r="82" spans="1:13" x14ac:dyDescent="0.25">
      <c r="A82" s="10">
        <v>50</v>
      </c>
      <c r="B82" s="10">
        <v>774</v>
      </c>
      <c r="C82" s="10">
        <v>3492</v>
      </c>
      <c r="D82" s="10">
        <v>0</v>
      </c>
      <c r="E82" s="10">
        <v>0</v>
      </c>
      <c r="F82" s="10">
        <v>0</v>
      </c>
      <c r="H82" s="1">
        <v>50</v>
      </c>
      <c r="I82" s="1">
        <v>776</v>
      </c>
      <c r="J82" s="1">
        <v>3516</v>
      </c>
      <c r="K82" s="1">
        <v>0</v>
      </c>
      <c r="L82" s="1">
        <v>0</v>
      </c>
      <c r="M82" s="1">
        <v>0</v>
      </c>
    </row>
    <row r="83" spans="1:13" x14ac:dyDescent="0.25">
      <c r="A83" s="1">
        <v>75</v>
      </c>
      <c r="B83" s="1">
        <v>759</v>
      </c>
      <c r="C83" s="1">
        <v>3357</v>
      </c>
      <c r="D83" s="1">
        <v>0.4</v>
      </c>
      <c r="E83" s="1">
        <v>-0.2</v>
      </c>
      <c r="F83" s="1">
        <v>0</v>
      </c>
      <c r="H83" s="1">
        <v>75</v>
      </c>
      <c r="I83" s="1">
        <v>763</v>
      </c>
      <c r="J83" s="1">
        <v>3391</v>
      </c>
      <c r="K83" s="1">
        <v>0.4</v>
      </c>
      <c r="L83" s="1">
        <v>-0.2</v>
      </c>
      <c r="M83" s="1">
        <v>-0.1</v>
      </c>
    </row>
    <row r="84" spans="1:13" x14ac:dyDescent="0.25">
      <c r="A84" s="1">
        <v>100</v>
      </c>
      <c r="B84" s="1">
        <v>744</v>
      </c>
      <c r="C84" s="1">
        <v>3226</v>
      </c>
      <c r="D84" s="1">
        <v>-0.3</v>
      </c>
      <c r="E84" s="1">
        <v>0.1</v>
      </c>
      <c r="F84" s="1">
        <v>0</v>
      </c>
      <c r="H84" s="1">
        <v>100</v>
      </c>
      <c r="I84" s="1">
        <v>749</v>
      </c>
      <c r="J84" s="1">
        <v>3270</v>
      </c>
      <c r="K84" s="1">
        <v>-0.3</v>
      </c>
      <c r="L84" s="1">
        <v>0.1</v>
      </c>
      <c r="M84" s="1">
        <v>0</v>
      </c>
    </row>
    <row r="85" spans="1:13" x14ac:dyDescent="0.25">
      <c r="A85" s="1">
        <v>125</v>
      </c>
      <c r="B85" s="1">
        <v>729</v>
      </c>
      <c r="C85" s="1">
        <v>3099</v>
      </c>
      <c r="D85" s="1">
        <v>-2.2000000000000002</v>
      </c>
      <c r="E85" s="1">
        <v>0.6</v>
      </c>
      <c r="F85" s="1">
        <v>0.2</v>
      </c>
      <c r="H85" s="1">
        <v>125</v>
      </c>
      <c r="I85" s="1">
        <v>735</v>
      </c>
      <c r="J85" s="1">
        <v>3153</v>
      </c>
      <c r="K85" s="1">
        <v>-2.1</v>
      </c>
      <c r="L85" s="1">
        <v>0.6</v>
      </c>
      <c r="M85" s="1">
        <v>0.2</v>
      </c>
    </row>
    <row r="86" spans="1:13" x14ac:dyDescent="0.25">
      <c r="A86" s="1">
        <v>150</v>
      </c>
      <c r="B86" s="1">
        <v>714</v>
      </c>
      <c r="C86" s="1">
        <v>2975</v>
      </c>
      <c r="D86" s="1">
        <v>-5.2</v>
      </c>
      <c r="E86" s="1">
        <v>1.2</v>
      </c>
      <c r="F86" s="1">
        <v>0.3</v>
      </c>
      <c r="H86" s="1">
        <v>150</v>
      </c>
      <c r="I86" s="1">
        <v>722</v>
      </c>
      <c r="J86" s="1">
        <v>3038</v>
      </c>
      <c r="K86" s="1">
        <v>-5</v>
      </c>
      <c r="L86" s="1">
        <v>1.2</v>
      </c>
      <c r="M86" s="1">
        <v>0.3</v>
      </c>
    </row>
    <row r="87" spans="1:13" x14ac:dyDescent="0.25">
      <c r="A87" s="1">
        <v>175</v>
      </c>
      <c r="B87" s="1">
        <v>700</v>
      </c>
      <c r="C87" s="1">
        <v>2856</v>
      </c>
      <c r="D87" s="1">
        <v>-9.4</v>
      </c>
      <c r="E87" s="1">
        <v>1.8</v>
      </c>
      <c r="F87" s="1">
        <v>0.5</v>
      </c>
      <c r="H87" s="1">
        <v>175</v>
      </c>
      <c r="I87" s="1">
        <v>708</v>
      </c>
      <c r="J87" s="1">
        <v>2927</v>
      </c>
      <c r="K87" s="1">
        <v>-9.1</v>
      </c>
      <c r="L87" s="1">
        <v>1.8</v>
      </c>
      <c r="M87" s="1">
        <v>0.5</v>
      </c>
    </row>
    <row r="88" spans="1:13" x14ac:dyDescent="0.25">
      <c r="A88" s="1">
        <v>200</v>
      </c>
      <c r="B88" s="1">
        <v>685</v>
      </c>
      <c r="C88" s="1">
        <v>2740</v>
      </c>
      <c r="D88" s="1">
        <v>-15</v>
      </c>
      <c r="E88" s="1">
        <v>2.6</v>
      </c>
      <c r="F88" s="1">
        <v>0.7</v>
      </c>
      <c r="H88" s="1">
        <v>200</v>
      </c>
      <c r="I88" s="1">
        <v>695</v>
      </c>
      <c r="J88" s="1">
        <v>2819</v>
      </c>
      <c r="K88" s="1">
        <v>-14.7</v>
      </c>
      <c r="L88" s="1">
        <v>2.5</v>
      </c>
      <c r="M88" s="1">
        <v>0.7</v>
      </c>
    </row>
    <row r="89" spans="1:13" x14ac:dyDescent="0.25">
      <c r="A89" s="1">
        <v>225</v>
      </c>
      <c r="B89" s="1">
        <v>671</v>
      </c>
      <c r="C89" s="1">
        <v>2628</v>
      </c>
      <c r="D89" s="1">
        <v>-21.8</v>
      </c>
      <c r="E89" s="1">
        <v>3.3</v>
      </c>
      <c r="F89" s="1">
        <v>1</v>
      </c>
      <c r="H89" s="1">
        <v>225</v>
      </c>
      <c r="I89" s="1">
        <v>682</v>
      </c>
      <c r="J89" s="1">
        <v>2714</v>
      </c>
      <c r="K89" s="1">
        <v>-21.3</v>
      </c>
      <c r="L89" s="1">
        <v>3.3</v>
      </c>
      <c r="M89" s="1">
        <v>0.9</v>
      </c>
    </row>
    <row r="90" spans="1:13" x14ac:dyDescent="0.25">
      <c r="A90" s="1">
        <v>250</v>
      </c>
      <c r="B90" s="1">
        <v>657</v>
      </c>
      <c r="C90" s="1">
        <v>2519</v>
      </c>
      <c r="D90" s="1">
        <v>-30</v>
      </c>
      <c r="E90" s="1">
        <v>4.0999999999999996</v>
      </c>
      <c r="F90" s="1">
        <v>1.2</v>
      </c>
      <c r="H90" s="1">
        <v>250</v>
      </c>
      <c r="I90" s="1">
        <v>669</v>
      </c>
      <c r="J90" s="1">
        <v>2612</v>
      </c>
      <c r="K90" s="1">
        <v>-29.3</v>
      </c>
      <c r="L90" s="1">
        <v>4</v>
      </c>
      <c r="M90" s="1">
        <v>1.2</v>
      </c>
    </row>
    <row r="91" spans="1:13" x14ac:dyDescent="0.25">
      <c r="A91" s="1">
        <v>275</v>
      </c>
      <c r="B91" s="1">
        <v>643</v>
      </c>
      <c r="C91" s="1">
        <v>2415</v>
      </c>
      <c r="D91" s="1">
        <v>-40</v>
      </c>
      <c r="E91" s="1">
        <v>5</v>
      </c>
      <c r="F91" s="1">
        <v>1.5</v>
      </c>
      <c r="H91" s="1">
        <v>275</v>
      </c>
      <c r="I91" s="1">
        <v>656</v>
      </c>
      <c r="J91" s="1">
        <v>2513</v>
      </c>
      <c r="K91" s="1">
        <v>-39</v>
      </c>
      <c r="L91" s="1">
        <v>4.9000000000000004</v>
      </c>
      <c r="M91" s="1">
        <v>1.4</v>
      </c>
    </row>
    <row r="92" spans="1:13" x14ac:dyDescent="0.25">
      <c r="A92" s="1">
        <v>300</v>
      </c>
      <c r="B92" s="1">
        <v>630</v>
      </c>
      <c r="C92" s="1">
        <v>2313</v>
      </c>
      <c r="D92" s="1">
        <v>-51.2</v>
      </c>
      <c r="E92" s="1">
        <v>5.9</v>
      </c>
      <c r="F92" s="1">
        <v>1.7</v>
      </c>
      <c r="H92" s="1">
        <v>300</v>
      </c>
      <c r="I92" s="1">
        <v>644</v>
      </c>
      <c r="J92" s="1">
        <v>2418</v>
      </c>
      <c r="K92" s="1">
        <v>-49.8</v>
      </c>
      <c r="L92" s="1">
        <v>5.7</v>
      </c>
      <c r="M92" s="1">
        <v>1.7</v>
      </c>
    </row>
    <row r="93" spans="1:13" x14ac:dyDescent="0.25">
      <c r="A93" s="1">
        <v>325</v>
      </c>
      <c r="B93" s="1">
        <v>616</v>
      </c>
      <c r="C93" s="1">
        <v>2215</v>
      </c>
      <c r="D93" s="1">
        <v>-63.9</v>
      </c>
      <c r="E93" s="1">
        <v>6.8</v>
      </c>
      <c r="F93" s="1">
        <v>2</v>
      </c>
      <c r="H93" s="1">
        <v>325</v>
      </c>
      <c r="I93" s="1">
        <v>631</v>
      </c>
      <c r="J93" s="1">
        <v>2325</v>
      </c>
      <c r="K93" s="1">
        <v>-62.2</v>
      </c>
      <c r="L93" s="1">
        <v>6.6</v>
      </c>
      <c r="M93" s="1">
        <v>1.9</v>
      </c>
    </row>
    <row r="94" spans="1:13" x14ac:dyDescent="0.25">
      <c r="A94" s="1">
        <v>350</v>
      </c>
      <c r="B94" s="1">
        <v>603</v>
      </c>
      <c r="C94" s="1">
        <v>2120</v>
      </c>
      <c r="D94" s="1">
        <v>-78.900000000000006</v>
      </c>
      <c r="E94" s="1">
        <v>7.7</v>
      </c>
      <c r="F94" s="1">
        <v>2.2999999999999998</v>
      </c>
      <c r="H94" s="1">
        <v>350</v>
      </c>
      <c r="I94" s="1">
        <v>619</v>
      </c>
      <c r="J94" s="1">
        <v>2234</v>
      </c>
      <c r="K94" s="1">
        <v>-76.599999999999994</v>
      </c>
      <c r="L94" s="1">
        <v>7.5</v>
      </c>
      <c r="M94" s="1">
        <v>2.2000000000000002</v>
      </c>
    </row>
    <row r="95" spans="1:13" x14ac:dyDescent="0.25">
      <c r="A95" s="1">
        <v>375</v>
      </c>
      <c r="B95" s="1">
        <v>590</v>
      </c>
      <c r="C95" s="1">
        <v>2029</v>
      </c>
      <c r="D95" s="1">
        <v>-95.1</v>
      </c>
      <c r="E95" s="1">
        <v>8.6999999999999993</v>
      </c>
      <c r="F95" s="1">
        <v>2.5</v>
      </c>
      <c r="H95" s="1">
        <v>375</v>
      </c>
      <c r="I95" s="1">
        <v>607</v>
      </c>
      <c r="J95" s="1">
        <v>2147</v>
      </c>
      <c r="K95" s="1">
        <v>-92.3</v>
      </c>
      <c r="L95" s="1">
        <v>8.5</v>
      </c>
      <c r="M95" s="1">
        <v>2.5</v>
      </c>
    </row>
    <row r="96" spans="1:13" x14ac:dyDescent="0.25">
      <c r="A96" s="1">
        <v>400</v>
      </c>
      <c r="B96" s="1">
        <v>577</v>
      </c>
      <c r="C96" s="1">
        <v>1941</v>
      </c>
      <c r="D96" s="1">
        <v>-113.2</v>
      </c>
      <c r="E96" s="1">
        <v>9.6999999999999993</v>
      </c>
      <c r="F96" s="1">
        <v>2.8</v>
      </c>
      <c r="H96" s="1">
        <v>400</v>
      </c>
      <c r="I96" s="1">
        <v>595</v>
      </c>
      <c r="J96" s="1">
        <v>2062</v>
      </c>
      <c r="K96" s="1">
        <v>-109.6</v>
      </c>
      <c r="L96" s="1">
        <v>9.4</v>
      </c>
      <c r="M96" s="1">
        <v>2.7</v>
      </c>
    </row>
    <row r="97" spans="1:13" x14ac:dyDescent="0.25">
      <c r="A97" s="1">
        <v>425</v>
      </c>
      <c r="B97" s="1">
        <v>564</v>
      </c>
      <c r="C97" s="1">
        <v>1856</v>
      </c>
      <c r="D97" s="1">
        <v>-134</v>
      </c>
      <c r="E97" s="1">
        <v>10.8</v>
      </c>
      <c r="F97" s="1">
        <v>3.1</v>
      </c>
      <c r="H97" s="1">
        <v>425</v>
      </c>
      <c r="I97" s="1">
        <v>583</v>
      </c>
      <c r="J97" s="1">
        <v>1981</v>
      </c>
      <c r="K97" s="1">
        <v>-129.5</v>
      </c>
      <c r="L97" s="1">
        <v>10.5</v>
      </c>
      <c r="M97" s="1">
        <v>3</v>
      </c>
    </row>
    <row r="98" spans="1:13" x14ac:dyDescent="0.25">
      <c r="A98" s="1">
        <v>450</v>
      </c>
      <c r="B98" s="1">
        <v>551</v>
      </c>
      <c r="C98" s="1">
        <v>1774</v>
      </c>
      <c r="D98" s="1">
        <v>-156</v>
      </c>
      <c r="E98" s="1">
        <v>11.9</v>
      </c>
      <c r="F98" s="1">
        <v>3.5</v>
      </c>
      <c r="H98" s="1">
        <v>450</v>
      </c>
      <c r="I98" s="1">
        <v>571</v>
      </c>
      <c r="J98" s="1">
        <v>1901</v>
      </c>
      <c r="K98" s="1">
        <v>-150.6</v>
      </c>
      <c r="L98" s="1">
        <v>11.5</v>
      </c>
      <c r="M98" s="1">
        <v>3.3</v>
      </c>
    </row>
    <row r="99" spans="1:13" x14ac:dyDescent="0.25">
      <c r="A99" s="1">
        <v>475</v>
      </c>
      <c r="B99" s="1">
        <v>539</v>
      </c>
      <c r="C99" s="1">
        <v>1695</v>
      </c>
      <c r="D99" s="1">
        <v>-180.2</v>
      </c>
      <c r="E99" s="1">
        <v>13.1</v>
      </c>
      <c r="F99" s="1">
        <v>3.8</v>
      </c>
      <c r="H99" s="1">
        <v>475</v>
      </c>
      <c r="I99" s="1">
        <v>559</v>
      </c>
      <c r="J99" s="1">
        <v>1825</v>
      </c>
      <c r="K99" s="1">
        <v>-173.6</v>
      </c>
      <c r="L99" s="1">
        <v>12.6</v>
      </c>
      <c r="M99" s="1">
        <v>3.7</v>
      </c>
    </row>
    <row r="100" spans="1:13" x14ac:dyDescent="0.25">
      <c r="A100" s="1">
        <v>500</v>
      </c>
      <c r="B100" s="1">
        <v>527</v>
      </c>
      <c r="C100" s="1">
        <v>1622</v>
      </c>
      <c r="D100" s="1">
        <v>-206.7</v>
      </c>
      <c r="E100" s="1">
        <v>14.2</v>
      </c>
      <c r="F100" s="1">
        <v>4.0999999999999996</v>
      </c>
      <c r="H100" s="1">
        <v>500</v>
      </c>
      <c r="I100" s="1">
        <v>548</v>
      </c>
      <c r="J100" s="1">
        <v>1754</v>
      </c>
      <c r="K100" s="1">
        <v>-198.8</v>
      </c>
      <c r="L100" s="1">
        <v>13.7</v>
      </c>
      <c r="M100" s="1">
        <v>4</v>
      </c>
    </row>
    <row r="102" spans="1:13" x14ac:dyDescent="0.25">
      <c r="A102" t="s">
        <v>86</v>
      </c>
      <c r="H102" t="s">
        <v>81</v>
      </c>
    </row>
    <row r="103" spans="1:1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t="s">
        <v>17</v>
      </c>
    </row>
    <row r="104" spans="1:13" x14ac:dyDescent="0.25">
      <c r="A104" s="1">
        <v>0</v>
      </c>
      <c r="B104" s="1">
        <v>805</v>
      </c>
      <c r="C104" s="1">
        <v>3777</v>
      </c>
      <c r="D104" s="1">
        <v>-3.8</v>
      </c>
      <c r="E104" s="1">
        <v>0</v>
      </c>
      <c r="F104" s="1">
        <v>0</v>
      </c>
      <c r="H104" s="1">
        <v>0</v>
      </c>
      <c r="I104" s="1">
        <v>805</v>
      </c>
      <c r="J104" s="1">
        <v>3777</v>
      </c>
      <c r="K104" s="1">
        <v>-3.8</v>
      </c>
      <c r="L104" s="1">
        <v>0</v>
      </c>
      <c r="M104" s="1">
        <v>0</v>
      </c>
    </row>
    <row r="105" spans="1:13" x14ac:dyDescent="0.25">
      <c r="A105" s="1">
        <v>25</v>
      </c>
      <c r="B105" s="1">
        <v>789</v>
      </c>
      <c r="C105" s="1">
        <v>3632</v>
      </c>
      <c r="D105" s="1">
        <v>-1.3</v>
      </c>
      <c r="E105" s="1">
        <v>1.9</v>
      </c>
      <c r="F105" s="1">
        <v>0.5</v>
      </c>
      <c r="H105" s="1">
        <v>25</v>
      </c>
      <c r="I105" s="1">
        <v>790</v>
      </c>
      <c r="J105" s="1">
        <v>3644</v>
      </c>
      <c r="K105" s="1">
        <v>-1.4</v>
      </c>
      <c r="L105" s="1">
        <v>1.9</v>
      </c>
      <c r="M105" s="1">
        <v>0.5</v>
      </c>
    </row>
    <row r="106" spans="1:13" x14ac:dyDescent="0.25">
      <c r="A106" s="1">
        <v>50</v>
      </c>
      <c r="B106" s="1">
        <v>774</v>
      </c>
      <c r="C106" s="1">
        <v>3492</v>
      </c>
      <c r="D106" s="1">
        <v>0.2</v>
      </c>
      <c r="E106" s="1">
        <v>-0.1</v>
      </c>
      <c r="F106" s="1">
        <v>0</v>
      </c>
      <c r="H106" s="1">
        <v>50</v>
      </c>
      <c r="I106" s="1">
        <v>776</v>
      </c>
      <c r="J106" s="1">
        <v>3516</v>
      </c>
      <c r="K106" s="1">
        <v>0.2</v>
      </c>
      <c r="L106" s="1">
        <v>-0.1</v>
      </c>
      <c r="M106" s="1">
        <v>0</v>
      </c>
    </row>
    <row r="107" spans="1:13" x14ac:dyDescent="0.25">
      <c r="A107" s="1">
        <v>75</v>
      </c>
      <c r="B107" s="1">
        <v>759</v>
      </c>
      <c r="C107" s="1">
        <v>3357</v>
      </c>
      <c r="D107" s="1">
        <v>0.6</v>
      </c>
      <c r="E107" s="1">
        <v>-0.3</v>
      </c>
      <c r="F107" s="1">
        <v>-0.1</v>
      </c>
      <c r="H107" s="1">
        <v>75</v>
      </c>
      <c r="I107" s="1">
        <v>763</v>
      </c>
      <c r="J107" s="1">
        <v>3391</v>
      </c>
      <c r="K107" s="1">
        <v>0.6</v>
      </c>
      <c r="L107" s="1">
        <v>-0.3</v>
      </c>
      <c r="M107" s="1">
        <v>-0.1</v>
      </c>
    </row>
    <row r="108" spans="1:13" x14ac:dyDescent="0.25">
      <c r="A108" s="10">
        <v>100</v>
      </c>
      <c r="B108" s="10">
        <v>744</v>
      </c>
      <c r="C108" s="10">
        <v>3226</v>
      </c>
      <c r="D108" s="10">
        <v>0</v>
      </c>
      <c r="E108" s="10">
        <v>0</v>
      </c>
      <c r="F108" s="10">
        <v>0</v>
      </c>
      <c r="H108" s="1">
        <v>100</v>
      </c>
      <c r="I108" s="1">
        <v>749</v>
      </c>
      <c r="J108" s="1">
        <v>3270</v>
      </c>
      <c r="K108" s="1">
        <v>0</v>
      </c>
      <c r="L108" s="1">
        <v>0</v>
      </c>
      <c r="M108" s="1">
        <v>0</v>
      </c>
    </row>
    <row r="109" spans="1:13" x14ac:dyDescent="0.25">
      <c r="A109" s="1">
        <v>125</v>
      </c>
      <c r="B109" s="1">
        <v>729</v>
      </c>
      <c r="C109" s="1">
        <v>3099</v>
      </c>
      <c r="D109" s="1">
        <v>-1.8</v>
      </c>
      <c r="E109" s="1">
        <v>0.5</v>
      </c>
      <c r="F109" s="1">
        <v>0.1</v>
      </c>
      <c r="H109" s="1">
        <v>125</v>
      </c>
      <c r="I109" s="1">
        <v>735</v>
      </c>
      <c r="J109" s="1">
        <v>3153</v>
      </c>
      <c r="K109" s="1">
        <v>-1.7</v>
      </c>
      <c r="L109" s="1">
        <v>0.5</v>
      </c>
      <c r="M109" s="1">
        <v>0.1</v>
      </c>
    </row>
    <row r="110" spans="1:13" x14ac:dyDescent="0.25">
      <c r="A110" s="1">
        <v>150</v>
      </c>
      <c r="B110" s="1">
        <v>714</v>
      </c>
      <c r="C110" s="1">
        <v>2975</v>
      </c>
      <c r="D110" s="1">
        <v>-4.7</v>
      </c>
      <c r="E110" s="1">
        <v>1.1000000000000001</v>
      </c>
      <c r="F110" s="1">
        <v>0.3</v>
      </c>
      <c r="H110" s="1">
        <v>150</v>
      </c>
      <c r="I110" s="1">
        <v>722</v>
      </c>
      <c r="J110" s="1">
        <v>3038</v>
      </c>
      <c r="K110" s="1">
        <v>-4.5999999999999996</v>
      </c>
      <c r="L110" s="1">
        <v>1.1000000000000001</v>
      </c>
      <c r="M110" s="1">
        <v>0.3</v>
      </c>
    </row>
    <row r="111" spans="1:13" x14ac:dyDescent="0.25">
      <c r="A111" s="1">
        <v>175</v>
      </c>
      <c r="B111" s="1">
        <v>700</v>
      </c>
      <c r="C111" s="1">
        <v>2856</v>
      </c>
      <c r="D111" s="1">
        <v>-8.8000000000000007</v>
      </c>
      <c r="E111" s="1">
        <v>1.7</v>
      </c>
      <c r="F111" s="1">
        <v>0.5</v>
      </c>
      <c r="H111" s="1">
        <v>175</v>
      </c>
      <c r="I111" s="1">
        <v>708</v>
      </c>
      <c r="J111" s="1">
        <v>2927</v>
      </c>
      <c r="K111" s="1">
        <v>-8.6</v>
      </c>
      <c r="L111" s="1">
        <v>1.7</v>
      </c>
      <c r="M111" s="1">
        <v>0.5</v>
      </c>
    </row>
    <row r="112" spans="1:13" x14ac:dyDescent="0.25">
      <c r="A112" s="1">
        <v>200</v>
      </c>
      <c r="B112" s="1">
        <v>685</v>
      </c>
      <c r="C112" s="1">
        <v>2740</v>
      </c>
      <c r="D112" s="1">
        <v>-14.4</v>
      </c>
      <c r="E112" s="1">
        <v>2.5</v>
      </c>
      <c r="F112" s="1">
        <v>0.7</v>
      </c>
      <c r="H112" s="1">
        <v>200</v>
      </c>
      <c r="I112" s="1">
        <v>695</v>
      </c>
      <c r="J112" s="1">
        <v>2819</v>
      </c>
      <c r="K112" s="1">
        <v>-14.1</v>
      </c>
      <c r="L112" s="1">
        <v>2.4</v>
      </c>
      <c r="M112" s="1">
        <v>0.7</v>
      </c>
    </row>
    <row r="113" spans="1:13" x14ac:dyDescent="0.25">
      <c r="A113" s="1">
        <v>225</v>
      </c>
      <c r="B113" s="1">
        <v>671</v>
      </c>
      <c r="C113" s="1">
        <v>2628</v>
      </c>
      <c r="D113" s="1">
        <v>-21.1</v>
      </c>
      <c r="E113" s="1">
        <v>3.2</v>
      </c>
      <c r="F113" s="1">
        <v>0.9</v>
      </c>
      <c r="H113" s="1">
        <v>225</v>
      </c>
      <c r="I113" s="1">
        <v>682</v>
      </c>
      <c r="J113" s="1">
        <v>2714</v>
      </c>
      <c r="K113" s="1">
        <v>-20.6</v>
      </c>
      <c r="L113" s="1">
        <v>3.1</v>
      </c>
      <c r="M113" s="1">
        <v>0.9</v>
      </c>
    </row>
    <row r="114" spans="1:13" x14ac:dyDescent="0.25">
      <c r="A114" s="1">
        <v>250</v>
      </c>
      <c r="B114" s="1">
        <v>657</v>
      </c>
      <c r="C114" s="1">
        <v>2519</v>
      </c>
      <c r="D114" s="1">
        <v>-29.2</v>
      </c>
      <c r="E114" s="1">
        <v>4</v>
      </c>
      <c r="F114" s="1">
        <v>1.2</v>
      </c>
      <c r="H114" s="1">
        <v>250</v>
      </c>
      <c r="I114" s="1">
        <v>669</v>
      </c>
      <c r="J114" s="1">
        <v>2612</v>
      </c>
      <c r="K114" s="1">
        <v>-28.5</v>
      </c>
      <c r="L114" s="1">
        <v>3.9</v>
      </c>
      <c r="M114" s="1">
        <v>1.1000000000000001</v>
      </c>
    </row>
    <row r="115" spans="1:13" x14ac:dyDescent="0.25">
      <c r="A115" s="1">
        <v>275</v>
      </c>
      <c r="B115" s="1">
        <v>643</v>
      </c>
      <c r="C115" s="1">
        <v>2415</v>
      </c>
      <c r="D115" s="1">
        <v>-39.1</v>
      </c>
      <c r="E115" s="1">
        <v>4.9000000000000004</v>
      </c>
      <c r="F115" s="1">
        <v>1.4</v>
      </c>
      <c r="H115" s="1">
        <v>275</v>
      </c>
      <c r="I115" s="1">
        <v>656</v>
      </c>
      <c r="J115" s="1">
        <v>2513</v>
      </c>
      <c r="K115" s="1">
        <v>-38.1</v>
      </c>
      <c r="L115" s="1">
        <v>4.8</v>
      </c>
      <c r="M115" s="1">
        <v>1.4</v>
      </c>
    </row>
    <row r="116" spans="1:13" x14ac:dyDescent="0.25">
      <c r="A116" s="1">
        <v>300</v>
      </c>
      <c r="B116" s="1">
        <v>630</v>
      </c>
      <c r="C116" s="1">
        <v>2313</v>
      </c>
      <c r="D116" s="1">
        <v>-50.2</v>
      </c>
      <c r="E116" s="1">
        <v>5.7</v>
      </c>
      <c r="F116" s="1">
        <v>1.7</v>
      </c>
      <c r="H116" s="1">
        <v>300</v>
      </c>
      <c r="I116" s="1">
        <v>644</v>
      </c>
      <c r="J116" s="1">
        <v>2418</v>
      </c>
      <c r="K116" s="1">
        <v>-48.9</v>
      </c>
      <c r="L116" s="1">
        <v>5.6</v>
      </c>
      <c r="M116" s="1">
        <v>1.6</v>
      </c>
    </row>
    <row r="117" spans="1:13" x14ac:dyDescent="0.25">
      <c r="A117" s="1">
        <v>325</v>
      </c>
      <c r="B117" s="1">
        <v>616</v>
      </c>
      <c r="C117" s="1">
        <v>2215</v>
      </c>
      <c r="D117" s="1">
        <v>-62.8</v>
      </c>
      <c r="E117" s="1">
        <v>6.7</v>
      </c>
      <c r="F117" s="1">
        <v>1.9</v>
      </c>
      <c r="H117" s="1">
        <v>325</v>
      </c>
      <c r="I117" s="1">
        <v>631</v>
      </c>
      <c r="J117" s="1">
        <v>2325</v>
      </c>
      <c r="K117" s="1">
        <v>-61.2</v>
      </c>
      <c r="L117" s="1">
        <v>6.5</v>
      </c>
      <c r="M117" s="1">
        <v>1.9</v>
      </c>
    </row>
    <row r="118" spans="1:13" x14ac:dyDescent="0.25">
      <c r="A118" s="1">
        <v>350</v>
      </c>
      <c r="B118" s="1">
        <v>603</v>
      </c>
      <c r="C118" s="1">
        <v>2120</v>
      </c>
      <c r="D118" s="1">
        <v>-77.7</v>
      </c>
      <c r="E118" s="1">
        <v>7.6</v>
      </c>
      <c r="F118" s="1">
        <v>2.2000000000000002</v>
      </c>
      <c r="H118" s="1">
        <v>350</v>
      </c>
      <c r="I118" s="1">
        <v>619</v>
      </c>
      <c r="J118" s="1">
        <v>2234</v>
      </c>
      <c r="K118" s="1">
        <v>-75.599999999999994</v>
      </c>
      <c r="L118" s="1">
        <v>7.4</v>
      </c>
      <c r="M118" s="1">
        <v>2.2000000000000002</v>
      </c>
    </row>
    <row r="119" spans="1:13" x14ac:dyDescent="0.25">
      <c r="A119" s="1">
        <v>375</v>
      </c>
      <c r="B119" s="1">
        <v>590</v>
      </c>
      <c r="C119" s="1">
        <v>2029</v>
      </c>
      <c r="D119" s="1">
        <v>-93.9</v>
      </c>
      <c r="E119" s="1">
        <v>8.6</v>
      </c>
      <c r="F119" s="1">
        <v>2.5</v>
      </c>
      <c r="H119" s="1">
        <v>375</v>
      </c>
      <c r="I119" s="1">
        <v>607</v>
      </c>
      <c r="J119" s="1">
        <v>2147</v>
      </c>
      <c r="K119" s="1">
        <v>-91.1</v>
      </c>
      <c r="L119" s="1">
        <v>8.4</v>
      </c>
      <c r="M119" s="1">
        <v>2.4</v>
      </c>
    </row>
    <row r="120" spans="1:13" x14ac:dyDescent="0.25">
      <c r="A120" s="1">
        <v>400</v>
      </c>
      <c r="B120" s="1">
        <v>577</v>
      </c>
      <c r="C120" s="1">
        <v>1941</v>
      </c>
      <c r="D120" s="1">
        <v>-111.9</v>
      </c>
      <c r="E120" s="1">
        <v>9.6</v>
      </c>
      <c r="F120" s="1">
        <v>2.8</v>
      </c>
      <c r="H120" s="1">
        <v>400</v>
      </c>
      <c r="I120" s="1">
        <v>595</v>
      </c>
      <c r="J120" s="1">
        <v>2062</v>
      </c>
      <c r="K120" s="1">
        <v>-108.4</v>
      </c>
      <c r="L120" s="1">
        <v>9.3000000000000007</v>
      </c>
      <c r="M120" s="1">
        <v>2.7</v>
      </c>
    </row>
    <row r="121" spans="1:13" x14ac:dyDescent="0.25">
      <c r="A121" s="1">
        <v>425</v>
      </c>
      <c r="B121" s="1">
        <v>564</v>
      </c>
      <c r="C121" s="1">
        <v>1856</v>
      </c>
      <c r="D121" s="1">
        <v>-132.5</v>
      </c>
      <c r="E121" s="1">
        <v>10.7</v>
      </c>
      <c r="F121" s="1">
        <v>3.1</v>
      </c>
      <c r="H121" s="1">
        <v>425</v>
      </c>
      <c r="I121" s="1">
        <v>583</v>
      </c>
      <c r="J121" s="1">
        <v>1981</v>
      </c>
      <c r="K121" s="1">
        <v>-128.19999999999999</v>
      </c>
      <c r="L121" s="1">
        <v>10.4</v>
      </c>
      <c r="M121" s="1">
        <v>3</v>
      </c>
    </row>
    <row r="122" spans="1:13" x14ac:dyDescent="0.25">
      <c r="A122" s="1">
        <v>450</v>
      </c>
      <c r="B122" s="1">
        <v>551</v>
      </c>
      <c r="C122" s="1">
        <v>1774</v>
      </c>
      <c r="D122" s="1">
        <v>-154.5</v>
      </c>
      <c r="E122" s="1">
        <v>11.8</v>
      </c>
      <c r="F122" s="1">
        <v>3.4</v>
      </c>
      <c r="H122" s="1">
        <v>450</v>
      </c>
      <c r="I122" s="1">
        <v>571</v>
      </c>
      <c r="J122" s="1">
        <v>1901</v>
      </c>
      <c r="K122" s="1">
        <v>-149.19999999999999</v>
      </c>
      <c r="L122" s="1">
        <v>11.4</v>
      </c>
      <c r="M122" s="1">
        <v>3.3</v>
      </c>
    </row>
    <row r="123" spans="1:13" x14ac:dyDescent="0.25">
      <c r="A123" s="1">
        <v>475</v>
      </c>
      <c r="B123" s="1">
        <v>539</v>
      </c>
      <c r="C123" s="1">
        <v>1695</v>
      </c>
      <c r="D123" s="1">
        <v>-178.6</v>
      </c>
      <c r="E123" s="1">
        <v>12.9</v>
      </c>
      <c r="F123" s="1">
        <v>3.8</v>
      </c>
      <c r="H123" s="1">
        <v>475</v>
      </c>
      <c r="I123" s="1">
        <v>559</v>
      </c>
      <c r="J123" s="1">
        <v>1825</v>
      </c>
      <c r="K123" s="1">
        <v>-172.2</v>
      </c>
      <c r="L123" s="1">
        <v>12.5</v>
      </c>
      <c r="M123" s="1">
        <v>3.6</v>
      </c>
    </row>
    <row r="124" spans="1:13" x14ac:dyDescent="0.25">
      <c r="A124" s="1">
        <v>500</v>
      </c>
      <c r="B124" s="1">
        <v>527</v>
      </c>
      <c r="C124" s="1">
        <v>1622</v>
      </c>
      <c r="D124" s="1">
        <v>-205</v>
      </c>
      <c r="E124" s="1">
        <v>14.1</v>
      </c>
      <c r="F124" s="1">
        <v>4.0999999999999996</v>
      </c>
      <c r="H124" s="1">
        <v>500</v>
      </c>
      <c r="I124" s="1">
        <v>548</v>
      </c>
      <c r="J124" s="1">
        <v>1754</v>
      </c>
      <c r="K124" s="1">
        <v>-197.3</v>
      </c>
      <c r="L124" s="1">
        <v>13.6</v>
      </c>
      <c r="M124" s="1">
        <v>4</v>
      </c>
    </row>
    <row r="126" spans="1:13" x14ac:dyDescent="0.25">
      <c r="A126" t="s">
        <v>87</v>
      </c>
      <c r="H126" t="s">
        <v>82</v>
      </c>
    </row>
    <row r="127" spans="1:1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t="s">
        <v>17</v>
      </c>
    </row>
    <row r="128" spans="1:13" x14ac:dyDescent="0.25">
      <c r="A128" s="1">
        <v>0</v>
      </c>
      <c r="B128" s="1">
        <v>805</v>
      </c>
      <c r="C128" s="1">
        <v>3777</v>
      </c>
      <c r="D128" s="1">
        <v>-3.8</v>
      </c>
      <c r="E128" s="1">
        <v>0</v>
      </c>
      <c r="F128" s="1">
        <v>0</v>
      </c>
      <c r="H128" s="1">
        <v>0</v>
      </c>
      <c r="I128" s="1">
        <v>805</v>
      </c>
      <c r="J128" s="1">
        <v>3777</v>
      </c>
      <c r="K128" s="1">
        <v>-3.8</v>
      </c>
      <c r="L128" s="1">
        <v>0</v>
      </c>
      <c r="M128" s="1">
        <v>0</v>
      </c>
    </row>
    <row r="129" spans="1:13" x14ac:dyDescent="0.25">
      <c r="A129" s="1">
        <v>25</v>
      </c>
      <c r="B129" s="1">
        <v>789</v>
      </c>
      <c r="C129" s="1">
        <v>3632</v>
      </c>
      <c r="D129" s="1">
        <v>-0.6</v>
      </c>
      <c r="E129" s="1">
        <v>0.8</v>
      </c>
      <c r="F129" s="1">
        <v>0.2</v>
      </c>
      <c r="H129" s="1">
        <v>25</v>
      </c>
      <c r="I129" s="1">
        <v>790</v>
      </c>
      <c r="J129" s="1">
        <v>3644</v>
      </c>
      <c r="K129" s="1">
        <v>-0.6</v>
      </c>
      <c r="L129" s="1">
        <v>0.8</v>
      </c>
      <c r="M129" s="1">
        <v>0.2</v>
      </c>
    </row>
    <row r="130" spans="1:13" x14ac:dyDescent="0.25">
      <c r="A130" s="1">
        <v>50</v>
      </c>
      <c r="B130" s="1">
        <v>774</v>
      </c>
      <c r="C130" s="1">
        <v>3492</v>
      </c>
      <c r="D130" s="1">
        <v>1.8</v>
      </c>
      <c r="E130" s="1">
        <v>-1.2</v>
      </c>
      <c r="F130" s="1">
        <v>-0.3</v>
      </c>
      <c r="H130" s="1">
        <v>50</v>
      </c>
      <c r="I130" s="1">
        <v>776</v>
      </c>
      <c r="J130" s="1">
        <v>3516</v>
      </c>
      <c r="K130" s="1">
        <v>1.7</v>
      </c>
      <c r="L130" s="1">
        <v>-1.2</v>
      </c>
      <c r="M130" s="1">
        <v>-0.3</v>
      </c>
    </row>
    <row r="131" spans="1:13" x14ac:dyDescent="0.25">
      <c r="A131" s="1">
        <v>75</v>
      </c>
      <c r="B131" s="1">
        <v>759</v>
      </c>
      <c r="C131" s="1">
        <v>3357</v>
      </c>
      <c r="D131" s="1">
        <v>3</v>
      </c>
      <c r="E131" s="1">
        <v>-1.4</v>
      </c>
      <c r="F131" s="1">
        <v>-0.4</v>
      </c>
      <c r="H131" s="1">
        <v>75</v>
      </c>
      <c r="I131" s="1">
        <v>763</v>
      </c>
      <c r="J131" s="1">
        <v>3391</v>
      </c>
      <c r="K131" s="1">
        <v>2.9</v>
      </c>
      <c r="L131" s="1">
        <v>-1.3</v>
      </c>
      <c r="M131" s="1">
        <v>-0.4</v>
      </c>
    </row>
    <row r="132" spans="1:13" x14ac:dyDescent="0.25">
      <c r="A132" s="1">
        <v>100</v>
      </c>
      <c r="B132" s="1">
        <v>744</v>
      </c>
      <c r="C132" s="1">
        <v>3226</v>
      </c>
      <c r="D132" s="1">
        <v>3.1</v>
      </c>
      <c r="E132" s="1">
        <v>-1.1000000000000001</v>
      </c>
      <c r="F132" s="1">
        <v>-0.3</v>
      </c>
      <c r="H132" s="1">
        <v>100</v>
      </c>
      <c r="I132" s="1">
        <v>749</v>
      </c>
      <c r="J132" s="1">
        <v>3270</v>
      </c>
      <c r="K132" s="1">
        <v>3.1</v>
      </c>
      <c r="L132" s="1">
        <v>-1.1000000000000001</v>
      </c>
      <c r="M132" s="1">
        <v>-0.3</v>
      </c>
    </row>
    <row r="133" spans="1:13" x14ac:dyDescent="0.25">
      <c r="A133" s="1">
        <v>125</v>
      </c>
      <c r="B133" s="1">
        <v>729</v>
      </c>
      <c r="C133" s="1">
        <v>3098</v>
      </c>
      <c r="D133" s="1">
        <v>2.1</v>
      </c>
      <c r="E133" s="1">
        <v>-0.6</v>
      </c>
      <c r="F133" s="1">
        <v>-0.2</v>
      </c>
      <c r="H133" s="1">
        <v>125</v>
      </c>
      <c r="I133" s="1">
        <v>735</v>
      </c>
      <c r="J133" s="1">
        <v>3153</v>
      </c>
      <c r="K133" s="1">
        <v>2.1</v>
      </c>
      <c r="L133" s="1">
        <v>-0.6</v>
      </c>
      <c r="M133" s="1">
        <v>-0.2</v>
      </c>
    </row>
    <row r="134" spans="1:13" x14ac:dyDescent="0.25">
      <c r="A134" s="10">
        <v>150</v>
      </c>
      <c r="B134" s="10">
        <v>714</v>
      </c>
      <c r="C134" s="10">
        <v>2975</v>
      </c>
      <c r="D134" s="10">
        <v>0</v>
      </c>
      <c r="E134" s="10">
        <v>0</v>
      </c>
      <c r="F134" s="10">
        <v>0</v>
      </c>
      <c r="H134" s="1">
        <v>150</v>
      </c>
      <c r="I134" s="1">
        <v>722</v>
      </c>
      <c r="J134" s="1">
        <v>3038</v>
      </c>
      <c r="K134" s="1">
        <v>0</v>
      </c>
      <c r="L134" s="1">
        <v>0</v>
      </c>
      <c r="M134" s="1">
        <v>0</v>
      </c>
    </row>
    <row r="135" spans="1:13" x14ac:dyDescent="0.25">
      <c r="A135" s="1">
        <v>175</v>
      </c>
      <c r="B135" s="1">
        <v>700</v>
      </c>
      <c r="C135" s="1">
        <v>2856</v>
      </c>
      <c r="D135" s="1">
        <v>-3.3</v>
      </c>
      <c r="E135" s="1">
        <v>0.6</v>
      </c>
      <c r="F135" s="1">
        <v>0.2</v>
      </c>
      <c r="H135" s="1">
        <v>175</v>
      </c>
      <c r="I135" s="1">
        <v>708</v>
      </c>
      <c r="J135" s="1">
        <v>2927</v>
      </c>
      <c r="K135" s="1">
        <v>-3.3</v>
      </c>
      <c r="L135" s="1">
        <v>0.6</v>
      </c>
      <c r="M135" s="1">
        <v>0.2</v>
      </c>
    </row>
    <row r="136" spans="1:13" x14ac:dyDescent="0.25">
      <c r="A136" s="1">
        <v>200</v>
      </c>
      <c r="B136" s="1">
        <v>685</v>
      </c>
      <c r="C136" s="1">
        <v>2740</v>
      </c>
      <c r="D136" s="1">
        <v>-8.1</v>
      </c>
      <c r="E136" s="1">
        <v>1.4</v>
      </c>
      <c r="F136" s="1">
        <v>0.4</v>
      </c>
      <c r="H136" s="1">
        <v>200</v>
      </c>
      <c r="I136" s="1">
        <v>695</v>
      </c>
      <c r="J136" s="1">
        <v>2819</v>
      </c>
      <c r="K136" s="1">
        <v>-7.9</v>
      </c>
      <c r="L136" s="1">
        <v>1.4</v>
      </c>
      <c r="M136" s="1">
        <v>0.4</v>
      </c>
    </row>
    <row r="137" spans="1:13" x14ac:dyDescent="0.25">
      <c r="A137" s="1">
        <v>225</v>
      </c>
      <c r="B137" s="1">
        <v>671</v>
      </c>
      <c r="C137" s="1">
        <v>2628</v>
      </c>
      <c r="D137" s="1">
        <v>-14</v>
      </c>
      <c r="E137" s="1">
        <v>2.1</v>
      </c>
      <c r="F137" s="1">
        <v>0.6</v>
      </c>
      <c r="H137" s="1">
        <v>225</v>
      </c>
      <c r="I137" s="1">
        <v>682</v>
      </c>
      <c r="J137" s="1">
        <v>2714</v>
      </c>
      <c r="K137" s="1">
        <v>-13.7</v>
      </c>
      <c r="L137" s="1">
        <v>2.1</v>
      </c>
      <c r="M137" s="1">
        <v>0.6</v>
      </c>
    </row>
    <row r="138" spans="1:13" x14ac:dyDescent="0.25">
      <c r="A138" s="1">
        <v>250</v>
      </c>
      <c r="B138" s="1">
        <v>657</v>
      </c>
      <c r="C138" s="1">
        <v>2519</v>
      </c>
      <c r="D138" s="1">
        <v>-21.3</v>
      </c>
      <c r="E138" s="1">
        <v>2.9</v>
      </c>
      <c r="F138" s="1">
        <v>0.9</v>
      </c>
      <c r="H138" s="1">
        <v>250</v>
      </c>
      <c r="I138" s="1">
        <v>669</v>
      </c>
      <c r="J138" s="1">
        <v>2612</v>
      </c>
      <c r="K138" s="1">
        <v>-20.9</v>
      </c>
      <c r="L138" s="1">
        <v>2.9</v>
      </c>
      <c r="M138" s="1">
        <v>0.8</v>
      </c>
    </row>
    <row r="139" spans="1:13" x14ac:dyDescent="0.25">
      <c r="A139" s="1">
        <v>275</v>
      </c>
      <c r="B139" s="1">
        <v>643</v>
      </c>
      <c r="C139" s="1">
        <v>2415</v>
      </c>
      <c r="D139" s="1">
        <v>-30.4</v>
      </c>
      <c r="E139" s="1">
        <v>3.8</v>
      </c>
      <c r="F139" s="1">
        <v>1.1000000000000001</v>
      </c>
      <c r="H139" s="1">
        <v>275</v>
      </c>
      <c r="I139" s="1">
        <v>656</v>
      </c>
      <c r="J139" s="1">
        <v>2513</v>
      </c>
      <c r="K139" s="1">
        <v>-29.7</v>
      </c>
      <c r="L139" s="1">
        <v>3.7</v>
      </c>
      <c r="M139" s="1">
        <v>1.1000000000000001</v>
      </c>
    </row>
    <row r="140" spans="1:13" x14ac:dyDescent="0.25">
      <c r="A140" s="1">
        <v>300</v>
      </c>
      <c r="B140" s="1">
        <v>630</v>
      </c>
      <c r="C140" s="1">
        <v>2313</v>
      </c>
      <c r="D140" s="1">
        <v>-40.799999999999997</v>
      </c>
      <c r="E140" s="1">
        <v>4.7</v>
      </c>
      <c r="F140" s="1">
        <v>1.4</v>
      </c>
      <c r="H140" s="1">
        <v>300</v>
      </c>
      <c r="I140" s="1">
        <v>644</v>
      </c>
      <c r="J140" s="1">
        <v>2418</v>
      </c>
      <c r="K140" s="1">
        <v>-39.700000000000003</v>
      </c>
      <c r="L140" s="1">
        <v>4.5999999999999996</v>
      </c>
      <c r="M140" s="1">
        <v>1.3</v>
      </c>
    </row>
    <row r="141" spans="1:13" x14ac:dyDescent="0.25">
      <c r="A141" s="1">
        <v>325</v>
      </c>
      <c r="B141" s="1">
        <v>616</v>
      </c>
      <c r="C141" s="1">
        <v>2215</v>
      </c>
      <c r="D141" s="1">
        <v>-52.7</v>
      </c>
      <c r="E141" s="1">
        <v>5.6</v>
      </c>
      <c r="F141" s="1">
        <v>1.6</v>
      </c>
      <c r="H141" s="1">
        <v>325</v>
      </c>
      <c r="I141" s="1">
        <v>631</v>
      </c>
      <c r="J141" s="1">
        <v>2325</v>
      </c>
      <c r="K141" s="1">
        <v>-51.3</v>
      </c>
      <c r="L141" s="1">
        <v>5.4</v>
      </c>
      <c r="M141" s="1">
        <v>1.6</v>
      </c>
    </row>
    <row r="142" spans="1:13" x14ac:dyDescent="0.25">
      <c r="A142" s="1">
        <v>350</v>
      </c>
      <c r="B142" s="1">
        <v>603</v>
      </c>
      <c r="C142" s="1">
        <v>2120</v>
      </c>
      <c r="D142" s="1">
        <v>-66.8</v>
      </c>
      <c r="E142" s="1">
        <v>6.6</v>
      </c>
      <c r="F142" s="1">
        <v>1.9</v>
      </c>
      <c r="H142" s="1">
        <v>350</v>
      </c>
      <c r="I142" s="1">
        <v>619</v>
      </c>
      <c r="J142" s="1">
        <v>2234</v>
      </c>
      <c r="K142" s="1">
        <v>-64.900000000000006</v>
      </c>
      <c r="L142" s="1">
        <v>6.4</v>
      </c>
      <c r="M142" s="1">
        <v>1.9</v>
      </c>
    </row>
    <row r="143" spans="1:13" x14ac:dyDescent="0.25">
      <c r="A143" s="1">
        <v>375</v>
      </c>
      <c r="B143" s="1">
        <v>590</v>
      </c>
      <c r="C143" s="1">
        <v>2029</v>
      </c>
      <c r="D143" s="1">
        <v>-82.1</v>
      </c>
      <c r="E143" s="1">
        <v>7.5</v>
      </c>
      <c r="F143" s="1">
        <v>2.2000000000000002</v>
      </c>
      <c r="H143" s="1">
        <v>375</v>
      </c>
      <c r="I143" s="1">
        <v>607</v>
      </c>
      <c r="J143" s="1">
        <v>2147</v>
      </c>
      <c r="K143" s="1">
        <v>-79.7</v>
      </c>
      <c r="L143" s="1">
        <v>7.3</v>
      </c>
      <c r="M143" s="1">
        <v>2.1</v>
      </c>
    </row>
    <row r="144" spans="1:13" x14ac:dyDescent="0.25">
      <c r="A144" s="1">
        <v>400</v>
      </c>
      <c r="B144" s="1">
        <v>577</v>
      </c>
      <c r="C144" s="1">
        <v>1941</v>
      </c>
      <c r="D144" s="1">
        <v>-99.3</v>
      </c>
      <c r="E144" s="1">
        <v>8.5</v>
      </c>
      <c r="F144" s="1">
        <v>2.5</v>
      </c>
      <c r="H144" s="1">
        <v>400</v>
      </c>
      <c r="I144" s="1">
        <v>595</v>
      </c>
      <c r="J144" s="1">
        <v>2062</v>
      </c>
      <c r="K144" s="1">
        <v>-96.2</v>
      </c>
      <c r="L144" s="1">
        <v>8.3000000000000007</v>
      </c>
      <c r="M144" s="1">
        <v>2.4</v>
      </c>
    </row>
    <row r="145" spans="1:13" x14ac:dyDescent="0.25">
      <c r="A145" s="1">
        <v>425</v>
      </c>
      <c r="B145" s="1">
        <v>564</v>
      </c>
      <c r="C145" s="1">
        <v>1856</v>
      </c>
      <c r="D145" s="1">
        <v>-119.2</v>
      </c>
      <c r="E145" s="1">
        <v>9.6</v>
      </c>
      <c r="F145" s="1">
        <v>2.8</v>
      </c>
      <c r="H145" s="1">
        <v>425</v>
      </c>
      <c r="I145" s="1">
        <v>583</v>
      </c>
      <c r="J145" s="1">
        <v>1981</v>
      </c>
      <c r="K145" s="1">
        <v>-115.2</v>
      </c>
      <c r="L145" s="1">
        <v>9.3000000000000007</v>
      </c>
      <c r="M145" s="1">
        <v>2.7</v>
      </c>
    </row>
    <row r="146" spans="1:13" x14ac:dyDescent="0.25">
      <c r="A146" s="1">
        <v>450</v>
      </c>
      <c r="B146" s="1">
        <v>551</v>
      </c>
      <c r="C146" s="1">
        <v>1774</v>
      </c>
      <c r="D146" s="1">
        <v>-140.4</v>
      </c>
      <c r="E146" s="1">
        <v>10.7</v>
      </c>
      <c r="F146" s="1">
        <v>3.1</v>
      </c>
      <c r="H146" s="1">
        <v>450</v>
      </c>
      <c r="I146" s="1">
        <v>571</v>
      </c>
      <c r="J146" s="1">
        <v>1901</v>
      </c>
      <c r="K146" s="1">
        <v>-135.5</v>
      </c>
      <c r="L146" s="1">
        <v>10.3</v>
      </c>
      <c r="M146" s="1">
        <v>3</v>
      </c>
    </row>
    <row r="147" spans="1:13" x14ac:dyDescent="0.25">
      <c r="A147" s="1">
        <v>475</v>
      </c>
      <c r="B147" s="1">
        <v>539</v>
      </c>
      <c r="C147" s="1">
        <v>1695</v>
      </c>
      <c r="D147" s="1">
        <v>-163.80000000000001</v>
      </c>
      <c r="E147" s="1">
        <v>11.9</v>
      </c>
      <c r="F147" s="1">
        <v>3.5</v>
      </c>
      <c r="H147" s="1">
        <v>475</v>
      </c>
      <c r="I147" s="1">
        <v>559</v>
      </c>
      <c r="J147" s="1">
        <v>1825</v>
      </c>
      <c r="K147" s="1">
        <v>-157.69999999999999</v>
      </c>
      <c r="L147" s="1">
        <v>11.4</v>
      </c>
      <c r="M147" s="1">
        <v>3.3</v>
      </c>
    </row>
    <row r="148" spans="1:13" x14ac:dyDescent="0.25">
      <c r="A148" s="1">
        <v>500</v>
      </c>
      <c r="B148" s="1">
        <v>527</v>
      </c>
      <c r="C148" s="1">
        <v>1622</v>
      </c>
      <c r="D148" s="1">
        <v>-189.3</v>
      </c>
      <c r="E148" s="1">
        <v>13</v>
      </c>
      <c r="F148" s="1">
        <v>3.8</v>
      </c>
      <c r="H148" s="1">
        <v>500</v>
      </c>
      <c r="I148" s="1">
        <v>548</v>
      </c>
      <c r="J148" s="1">
        <v>1754</v>
      </c>
      <c r="K148" s="1">
        <v>-182</v>
      </c>
      <c r="L148" s="1">
        <v>12.5</v>
      </c>
      <c r="M148" s="1">
        <v>3.6</v>
      </c>
    </row>
    <row r="150" spans="1:13" x14ac:dyDescent="0.25">
      <c r="A150" t="s">
        <v>88</v>
      </c>
      <c r="H150" t="s">
        <v>83</v>
      </c>
    </row>
    <row r="151" spans="1:1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t="s">
        <v>17</v>
      </c>
    </row>
    <row r="152" spans="1:13" x14ac:dyDescent="0.25">
      <c r="A152" s="1">
        <v>0</v>
      </c>
      <c r="B152" s="1">
        <v>805</v>
      </c>
      <c r="C152" s="1">
        <v>3777</v>
      </c>
      <c r="D152" s="1">
        <v>-3.8</v>
      </c>
      <c r="E152" s="1">
        <v>0</v>
      </c>
      <c r="F152" s="1">
        <v>0</v>
      </c>
      <c r="H152" s="1">
        <v>0</v>
      </c>
      <c r="I152" s="1">
        <v>805</v>
      </c>
      <c r="J152" s="1">
        <v>3777</v>
      </c>
      <c r="K152" s="1">
        <v>-3.8</v>
      </c>
      <c r="L152" s="1">
        <v>0</v>
      </c>
      <c r="M152" s="1">
        <v>0</v>
      </c>
    </row>
    <row r="153" spans="1:13" x14ac:dyDescent="0.25">
      <c r="A153" s="1">
        <v>25</v>
      </c>
      <c r="B153" s="1">
        <v>789</v>
      </c>
      <c r="C153" s="1">
        <v>3632</v>
      </c>
      <c r="D153" s="1">
        <v>0.4</v>
      </c>
      <c r="E153" s="1">
        <v>-0.6</v>
      </c>
      <c r="F153" s="1">
        <v>-0.2</v>
      </c>
      <c r="H153" s="1">
        <v>25</v>
      </c>
      <c r="I153" s="1">
        <v>790</v>
      </c>
      <c r="J153" s="1">
        <v>3644</v>
      </c>
      <c r="K153" s="1">
        <v>0.4</v>
      </c>
      <c r="L153" s="1">
        <v>-0.5</v>
      </c>
      <c r="M153" s="1">
        <v>-0.2</v>
      </c>
    </row>
    <row r="154" spans="1:13" x14ac:dyDescent="0.25">
      <c r="A154" s="1">
        <v>50</v>
      </c>
      <c r="B154" s="1">
        <v>774</v>
      </c>
      <c r="C154" s="1">
        <v>3492</v>
      </c>
      <c r="D154" s="1">
        <v>3.8</v>
      </c>
      <c r="E154" s="1">
        <v>-2.6</v>
      </c>
      <c r="F154" s="1">
        <v>-0.8</v>
      </c>
      <c r="H154" s="1">
        <v>50</v>
      </c>
      <c r="I154" s="1">
        <v>776</v>
      </c>
      <c r="J154" s="1">
        <v>3516</v>
      </c>
      <c r="K154" s="1">
        <v>3.7</v>
      </c>
      <c r="L154" s="1">
        <v>-2.5</v>
      </c>
      <c r="M154" s="1">
        <v>-0.7</v>
      </c>
    </row>
    <row r="155" spans="1:13" x14ac:dyDescent="0.25">
      <c r="A155" s="1">
        <v>75</v>
      </c>
      <c r="B155" s="1">
        <v>759</v>
      </c>
      <c r="C155" s="1">
        <v>3357</v>
      </c>
      <c r="D155" s="1">
        <v>6</v>
      </c>
      <c r="E155" s="1">
        <v>-2.7</v>
      </c>
      <c r="F155" s="1">
        <v>-0.8</v>
      </c>
      <c r="H155" s="1">
        <v>75</v>
      </c>
      <c r="I155" s="1">
        <v>763</v>
      </c>
      <c r="J155" s="1">
        <v>3391</v>
      </c>
      <c r="K155" s="1">
        <v>5.9</v>
      </c>
      <c r="L155" s="1">
        <v>-2.7</v>
      </c>
      <c r="M155" s="1">
        <v>-0.8</v>
      </c>
    </row>
    <row r="156" spans="1:13" x14ac:dyDescent="0.25">
      <c r="A156" s="1">
        <v>100</v>
      </c>
      <c r="B156" s="1">
        <v>744</v>
      </c>
      <c r="C156" s="1">
        <v>3226</v>
      </c>
      <c r="D156" s="1">
        <v>7.2</v>
      </c>
      <c r="E156" s="1">
        <v>-2.5</v>
      </c>
      <c r="F156" s="1">
        <v>-0.7</v>
      </c>
      <c r="H156" s="1">
        <v>100</v>
      </c>
      <c r="I156" s="1">
        <v>749</v>
      </c>
      <c r="J156" s="1">
        <v>3270</v>
      </c>
      <c r="K156" s="1">
        <v>7</v>
      </c>
      <c r="L156" s="1">
        <v>-2.4</v>
      </c>
      <c r="M156" s="1">
        <v>-0.7</v>
      </c>
    </row>
    <row r="157" spans="1:13" x14ac:dyDescent="0.25">
      <c r="A157" s="1">
        <v>125</v>
      </c>
      <c r="B157" s="1">
        <v>729</v>
      </c>
      <c r="C157" s="1">
        <v>3098</v>
      </c>
      <c r="D157" s="1">
        <v>7.2</v>
      </c>
      <c r="E157" s="1">
        <v>-2</v>
      </c>
      <c r="F157" s="1">
        <v>-0.6</v>
      </c>
      <c r="H157" s="1">
        <v>125</v>
      </c>
      <c r="I157" s="1">
        <v>735</v>
      </c>
      <c r="J157" s="1">
        <v>3153</v>
      </c>
      <c r="K157" s="1">
        <v>7</v>
      </c>
      <c r="L157" s="1">
        <v>-1.9</v>
      </c>
      <c r="M157" s="1">
        <v>-0.6</v>
      </c>
    </row>
    <row r="158" spans="1:13" x14ac:dyDescent="0.25">
      <c r="A158" s="1">
        <v>150</v>
      </c>
      <c r="B158" s="1">
        <v>714</v>
      </c>
      <c r="C158" s="1">
        <v>2975</v>
      </c>
      <c r="D158" s="1">
        <v>6.1</v>
      </c>
      <c r="E158" s="1">
        <v>-1.4</v>
      </c>
      <c r="F158" s="1">
        <v>-0.4</v>
      </c>
      <c r="H158" s="1">
        <v>150</v>
      </c>
      <c r="I158" s="1">
        <v>722</v>
      </c>
      <c r="J158" s="1">
        <v>3038</v>
      </c>
      <c r="K158" s="1">
        <v>5.9</v>
      </c>
      <c r="L158" s="1">
        <v>-1.4</v>
      </c>
      <c r="M158" s="1">
        <v>-0.4</v>
      </c>
    </row>
    <row r="159" spans="1:13" x14ac:dyDescent="0.25">
      <c r="A159" s="1">
        <v>175</v>
      </c>
      <c r="B159" s="1">
        <v>700</v>
      </c>
      <c r="C159" s="1">
        <v>2856</v>
      </c>
      <c r="D159" s="1">
        <v>3.7</v>
      </c>
      <c r="E159" s="1">
        <v>-0.7</v>
      </c>
      <c r="F159" s="1">
        <v>-0.2</v>
      </c>
      <c r="H159" s="1">
        <v>175</v>
      </c>
      <c r="I159" s="1">
        <v>708</v>
      </c>
      <c r="J159" s="1">
        <v>2927</v>
      </c>
      <c r="K159" s="1">
        <v>3.6</v>
      </c>
      <c r="L159" s="1">
        <v>-0.7</v>
      </c>
      <c r="M159" s="1">
        <v>-0.2</v>
      </c>
    </row>
    <row r="160" spans="1:13" x14ac:dyDescent="0.25">
      <c r="A160" s="10">
        <v>200</v>
      </c>
      <c r="B160" s="10">
        <v>685</v>
      </c>
      <c r="C160" s="10">
        <v>2740</v>
      </c>
      <c r="D160" s="10">
        <v>0</v>
      </c>
      <c r="E160" s="10">
        <v>0</v>
      </c>
      <c r="F160" s="10">
        <v>0</v>
      </c>
      <c r="H160" s="1">
        <v>200</v>
      </c>
      <c r="I160" s="1">
        <v>695</v>
      </c>
      <c r="J160" s="1">
        <v>2819</v>
      </c>
      <c r="K160" s="1">
        <v>0</v>
      </c>
      <c r="L160" s="1">
        <v>0</v>
      </c>
      <c r="M160" s="1">
        <v>0</v>
      </c>
    </row>
    <row r="161" spans="1:13" x14ac:dyDescent="0.25">
      <c r="A161" s="1">
        <v>225</v>
      </c>
      <c r="B161" s="1">
        <v>671</v>
      </c>
      <c r="C161" s="1">
        <v>2628</v>
      </c>
      <c r="D161" s="1">
        <v>-5</v>
      </c>
      <c r="E161" s="1">
        <v>0.8</v>
      </c>
      <c r="F161" s="1">
        <v>0.2</v>
      </c>
      <c r="H161" s="1">
        <v>225</v>
      </c>
      <c r="I161" s="1">
        <v>682</v>
      </c>
      <c r="J161" s="1">
        <v>2714</v>
      </c>
      <c r="K161" s="1">
        <v>-4.8</v>
      </c>
      <c r="L161" s="1">
        <v>0.7</v>
      </c>
      <c r="M161" s="1">
        <v>0.2</v>
      </c>
    </row>
    <row r="162" spans="1:13" x14ac:dyDescent="0.25">
      <c r="A162" s="1">
        <v>250</v>
      </c>
      <c r="B162" s="1">
        <v>657</v>
      </c>
      <c r="C162" s="1">
        <v>2519</v>
      </c>
      <c r="D162" s="1">
        <v>-11.3</v>
      </c>
      <c r="E162" s="1">
        <v>1.6</v>
      </c>
      <c r="F162" s="1">
        <v>0.5</v>
      </c>
      <c r="H162" s="1">
        <v>250</v>
      </c>
      <c r="I162" s="1">
        <v>669</v>
      </c>
      <c r="J162" s="1">
        <v>2612</v>
      </c>
      <c r="K162" s="1">
        <v>-11</v>
      </c>
      <c r="L162" s="1">
        <v>1.5</v>
      </c>
      <c r="M162" s="1">
        <v>0.4</v>
      </c>
    </row>
    <row r="163" spans="1:13" x14ac:dyDescent="0.25">
      <c r="A163" s="1">
        <v>275</v>
      </c>
      <c r="B163" s="1">
        <v>643</v>
      </c>
      <c r="C163" s="1">
        <v>2414</v>
      </c>
      <c r="D163" s="1">
        <v>-19.399999999999999</v>
      </c>
      <c r="E163" s="1">
        <v>2.4</v>
      </c>
      <c r="F163" s="1">
        <v>0.7</v>
      </c>
      <c r="H163" s="1">
        <v>275</v>
      </c>
      <c r="I163" s="1">
        <v>656</v>
      </c>
      <c r="J163" s="1">
        <v>2513</v>
      </c>
      <c r="K163" s="1">
        <v>-18.8</v>
      </c>
      <c r="L163" s="1">
        <v>2.4</v>
      </c>
      <c r="M163" s="1">
        <v>0.7</v>
      </c>
    </row>
    <row r="164" spans="1:13" x14ac:dyDescent="0.25">
      <c r="A164" s="1">
        <v>300</v>
      </c>
      <c r="B164" s="1">
        <v>630</v>
      </c>
      <c r="C164" s="1">
        <v>2313</v>
      </c>
      <c r="D164" s="1">
        <v>-28.7</v>
      </c>
      <c r="E164" s="1">
        <v>3.3</v>
      </c>
      <c r="F164" s="1">
        <v>1</v>
      </c>
      <c r="H164" s="1">
        <v>300</v>
      </c>
      <c r="I164" s="1">
        <v>644</v>
      </c>
      <c r="J164" s="1">
        <v>2417</v>
      </c>
      <c r="K164" s="1">
        <v>-27.9</v>
      </c>
      <c r="L164" s="1">
        <v>3.2</v>
      </c>
      <c r="M164" s="1">
        <v>0.9</v>
      </c>
    </row>
    <row r="165" spans="1:13" x14ac:dyDescent="0.25">
      <c r="A165" s="1">
        <v>325</v>
      </c>
      <c r="B165" s="1">
        <v>616</v>
      </c>
      <c r="C165" s="1">
        <v>2215</v>
      </c>
      <c r="D165" s="1">
        <v>-39.6</v>
      </c>
      <c r="E165" s="1">
        <v>4.2</v>
      </c>
      <c r="F165" s="1">
        <v>1.2</v>
      </c>
      <c r="H165" s="1">
        <v>325</v>
      </c>
      <c r="I165" s="1">
        <v>631</v>
      </c>
      <c r="J165" s="1">
        <v>2325</v>
      </c>
      <c r="K165" s="1">
        <v>-38.4</v>
      </c>
      <c r="L165" s="1">
        <v>4.0999999999999996</v>
      </c>
      <c r="M165" s="1">
        <v>1.2</v>
      </c>
    </row>
    <row r="166" spans="1:13" x14ac:dyDescent="0.25">
      <c r="A166" s="1">
        <v>350</v>
      </c>
      <c r="B166" s="1">
        <v>603</v>
      </c>
      <c r="C166" s="1">
        <v>2120</v>
      </c>
      <c r="D166" s="1">
        <v>-52.7</v>
      </c>
      <c r="E166" s="1">
        <v>5.2</v>
      </c>
      <c r="F166" s="1">
        <v>1.5</v>
      </c>
      <c r="H166" s="1">
        <v>350</v>
      </c>
      <c r="I166" s="1">
        <v>619</v>
      </c>
      <c r="J166" s="1">
        <v>2234</v>
      </c>
      <c r="K166" s="1">
        <v>-51</v>
      </c>
      <c r="L166" s="1">
        <v>5</v>
      </c>
      <c r="M166" s="1">
        <v>1.5</v>
      </c>
    </row>
    <row r="167" spans="1:13" x14ac:dyDescent="0.25">
      <c r="A167" s="1">
        <v>375</v>
      </c>
      <c r="B167" s="1">
        <v>590</v>
      </c>
      <c r="C167" s="1">
        <v>2029</v>
      </c>
      <c r="D167" s="1">
        <v>-67</v>
      </c>
      <c r="E167" s="1">
        <v>6.1</v>
      </c>
      <c r="F167" s="1">
        <v>1.8</v>
      </c>
      <c r="H167" s="1">
        <v>375</v>
      </c>
      <c r="I167" s="1">
        <v>607</v>
      </c>
      <c r="J167" s="1">
        <v>2147</v>
      </c>
      <c r="K167" s="1">
        <v>-64.8</v>
      </c>
      <c r="L167" s="1">
        <v>5.9</v>
      </c>
      <c r="M167" s="1">
        <v>1.7</v>
      </c>
    </row>
    <row r="168" spans="1:13" x14ac:dyDescent="0.25">
      <c r="A168" s="1">
        <v>400</v>
      </c>
      <c r="B168" s="1">
        <v>577</v>
      </c>
      <c r="C168" s="1">
        <v>1941</v>
      </c>
      <c r="D168" s="1">
        <v>-83.2</v>
      </c>
      <c r="E168" s="1">
        <v>7.2</v>
      </c>
      <c r="F168" s="1">
        <v>2.1</v>
      </c>
      <c r="H168" s="1">
        <v>400</v>
      </c>
      <c r="I168" s="1">
        <v>595</v>
      </c>
      <c r="J168" s="1">
        <v>2062</v>
      </c>
      <c r="K168" s="1">
        <v>-80.400000000000006</v>
      </c>
      <c r="L168" s="1">
        <v>6.9</v>
      </c>
      <c r="M168" s="1">
        <v>2</v>
      </c>
    </row>
    <row r="169" spans="1:13" x14ac:dyDescent="0.25">
      <c r="A169" s="1">
        <v>425</v>
      </c>
      <c r="B169" s="1">
        <v>564</v>
      </c>
      <c r="C169" s="1">
        <v>1856</v>
      </c>
      <c r="D169" s="1">
        <v>-102.1</v>
      </c>
      <c r="E169" s="1">
        <v>8.3000000000000007</v>
      </c>
      <c r="F169" s="1">
        <v>2.4</v>
      </c>
      <c r="H169" s="1">
        <v>425</v>
      </c>
      <c r="I169" s="1">
        <v>583</v>
      </c>
      <c r="J169" s="1">
        <v>1981</v>
      </c>
      <c r="K169" s="1">
        <v>-98.4</v>
      </c>
      <c r="L169" s="1">
        <v>8</v>
      </c>
      <c r="M169" s="1">
        <v>2.2999999999999998</v>
      </c>
    </row>
    <row r="170" spans="1:13" x14ac:dyDescent="0.25">
      <c r="A170" s="1">
        <v>450</v>
      </c>
      <c r="B170" s="1">
        <v>551</v>
      </c>
      <c r="C170" s="1">
        <v>1774</v>
      </c>
      <c r="D170" s="1">
        <v>-122.3</v>
      </c>
      <c r="E170" s="1">
        <v>9.3000000000000007</v>
      </c>
      <c r="F170" s="1">
        <v>2.7</v>
      </c>
      <c r="H170" s="1">
        <v>450</v>
      </c>
      <c r="I170" s="1">
        <v>571</v>
      </c>
      <c r="J170" s="1">
        <v>1901</v>
      </c>
      <c r="K170" s="1">
        <v>-117.7</v>
      </c>
      <c r="L170" s="1">
        <v>9</v>
      </c>
      <c r="M170" s="1">
        <v>2.6</v>
      </c>
    </row>
    <row r="171" spans="1:13" x14ac:dyDescent="0.25">
      <c r="A171" s="1">
        <v>475</v>
      </c>
      <c r="B171" s="1">
        <v>539</v>
      </c>
      <c r="C171" s="1">
        <v>1695</v>
      </c>
      <c r="D171" s="1">
        <v>-144.69999999999999</v>
      </c>
      <c r="E171" s="1">
        <v>10.5</v>
      </c>
      <c r="F171" s="1">
        <v>3</v>
      </c>
      <c r="H171" s="1">
        <v>475</v>
      </c>
      <c r="I171" s="1">
        <v>559</v>
      </c>
      <c r="J171" s="1">
        <v>1825</v>
      </c>
      <c r="K171" s="1">
        <v>-138.9</v>
      </c>
      <c r="L171" s="1">
        <v>10.1</v>
      </c>
      <c r="M171" s="1">
        <v>2.9</v>
      </c>
    </row>
    <row r="172" spans="1:13" x14ac:dyDescent="0.25">
      <c r="A172" s="1">
        <v>500</v>
      </c>
      <c r="B172" s="1">
        <v>527</v>
      </c>
      <c r="C172" s="1">
        <v>1622</v>
      </c>
      <c r="D172" s="1">
        <v>-169.2</v>
      </c>
      <c r="E172" s="1">
        <v>11.7</v>
      </c>
      <c r="F172" s="1">
        <v>3.4</v>
      </c>
      <c r="H172" s="1">
        <v>500</v>
      </c>
      <c r="I172" s="1">
        <v>548</v>
      </c>
      <c r="J172" s="1">
        <v>1754</v>
      </c>
      <c r="K172" s="1">
        <v>-162.30000000000001</v>
      </c>
      <c r="L172" s="1">
        <v>11.2</v>
      </c>
      <c r="M172" s="1">
        <v>3.2</v>
      </c>
    </row>
    <row r="174" spans="1:13" x14ac:dyDescent="0.25">
      <c r="A174" t="s">
        <v>89</v>
      </c>
      <c r="H174" t="s">
        <v>84</v>
      </c>
    </row>
    <row r="175" spans="1:1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t="s">
        <v>17</v>
      </c>
    </row>
    <row r="176" spans="1:13" x14ac:dyDescent="0.25">
      <c r="A176" s="1">
        <v>0</v>
      </c>
      <c r="B176" s="1">
        <v>805</v>
      </c>
      <c r="C176" s="1">
        <v>3777</v>
      </c>
      <c r="D176" s="1">
        <v>-3.8</v>
      </c>
      <c r="E176" s="1">
        <v>0</v>
      </c>
      <c r="F176" s="1">
        <v>0</v>
      </c>
      <c r="H176" s="1">
        <v>0</v>
      </c>
      <c r="I176" s="1">
        <v>805</v>
      </c>
      <c r="J176" s="1">
        <v>3777</v>
      </c>
      <c r="K176" s="1">
        <v>-3.8</v>
      </c>
      <c r="L176" s="1">
        <v>0</v>
      </c>
      <c r="M176" s="1">
        <v>0</v>
      </c>
    </row>
    <row r="177" spans="1:13" x14ac:dyDescent="0.25">
      <c r="A177" s="1">
        <v>25</v>
      </c>
      <c r="B177" s="1">
        <v>789</v>
      </c>
      <c r="C177" s="1">
        <v>3632</v>
      </c>
      <c r="D177" s="1">
        <v>2.8</v>
      </c>
      <c r="E177" s="1">
        <v>-3.9</v>
      </c>
      <c r="F177" s="1">
        <v>-1.1000000000000001</v>
      </c>
      <c r="H177" s="1">
        <v>25</v>
      </c>
      <c r="I177" s="1">
        <v>790</v>
      </c>
      <c r="J177" s="1">
        <v>3644</v>
      </c>
      <c r="K177" s="1">
        <v>2.7</v>
      </c>
      <c r="L177" s="1">
        <v>-3.7</v>
      </c>
      <c r="M177" s="1">
        <v>-1.1000000000000001</v>
      </c>
    </row>
    <row r="178" spans="1:13" x14ac:dyDescent="0.25">
      <c r="A178" s="1">
        <v>50</v>
      </c>
      <c r="B178" s="1">
        <v>774</v>
      </c>
      <c r="C178" s="1">
        <v>3492</v>
      </c>
      <c r="D178" s="1">
        <v>8.6</v>
      </c>
      <c r="E178" s="1">
        <v>-5.9</v>
      </c>
      <c r="F178" s="1">
        <v>-1.7</v>
      </c>
      <c r="H178" s="1">
        <v>50</v>
      </c>
      <c r="I178" s="1">
        <v>776</v>
      </c>
      <c r="J178" s="1">
        <v>3516</v>
      </c>
      <c r="K178" s="1">
        <v>8.4</v>
      </c>
      <c r="L178" s="1">
        <v>-5.7</v>
      </c>
      <c r="M178" s="1">
        <v>-1.7</v>
      </c>
    </row>
    <row r="179" spans="1:13" x14ac:dyDescent="0.25">
      <c r="A179" s="1">
        <v>75</v>
      </c>
      <c r="B179" s="1">
        <v>759</v>
      </c>
      <c r="C179" s="1">
        <v>3357</v>
      </c>
      <c r="D179" s="1">
        <v>13.2</v>
      </c>
      <c r="E179" s="1">
        <v>-6</v>
      </c>
      <c r="F179" s="1">
        <v>-1.8</v>
      </c>
      <c r="H179" s="1">
        <v>75</v>
      </c>
      <c r="I179" s="1">
        <v>763</v>
      </c>
      <c r="J179" s="1">
        <v>3391</v>
      </c>
      <c r="K179" s="1">
        <v>12.9</v>
      </c>
      <c r="L179" s="1">
        <v>-5.9</v>
      </c>
      <c r="M179" s="1">
        <v>-1.7</v>
      </c>
    </row>
    <row r="180" spans="1:13" x14ac:dyDescent="0.25">
      <c r="A180" s="1">
        <v>100</v>
      </c>
      <c r="B180" s="1">
        <v>744</v>
      </c>
      <c r="C180" s="1">
        <v>3226</v>
      </c>
      <c r="D180" s="1">
        <v>16.7</v>
      </c>
      <c r="E180" s="1">
        <v>-5.8</v>
      </c>
      <c r="F180" s="1">
        <v>-1.7</v>
      </c>
      <c r="H180" s="1">
        <v>100</v>
      </c>
      <c r="I180" s="1">
        <v>749</v>
      </c>
      <c r="J180" s="1">
        <v>3270</v>
      </c>
      <c r="K180" s="1">
        <v>16.3</v>
      </c>
      <c r="L180" s="1">
        <v>-5.6</v>
      </c>
      <c r="M180" s="1">
        <v>-1.6</v>
      </c>
    </row>
    <row r="181" spans="1:13" x14ac:dyDescent="0.25">
      <c r="A181" s="1">
        <v>125</v>
      </c>
      <c r="B181" s="1">
        <v>729</v>
      </c>
      <c r="C181" s="1">
        <v>3098</v>
      </c>
      <c r="D181" s="1">
        <v>19.2</v>
      </c>
      <c r="E181" s="1">
        <v>-5.3</v>
      </c>
      <c r="F181" s="1">
        <v>-1.5</v>
      </c>
      <c r="H181" s="1">
        <v>125</v>
      </c>
      <c r="I181" s="1">
        <v>735</v>
      </c>
      <c r="J181" s="1">
        <v>3153</v>
      </c>
      <c r="K181" s="1">
        <v>18.7</v>
      </c>
      <c r="L181" s="1">
        <v>-5.0999999999999996</v>
      </c>
      <c r="M181" s="1">
        <v>-1.5</v>
      </c>
    </row>
    <row r="182" spans="1:13" x14ac:dyDescent="0.25">
      <c r="A182" s="1">
        <v>150</v>
      </c>
      <c r="B182" s="1">
        <v>714</v>
      </c>
      <c r="C182" s="1">
        <v>2975</v>
      </c>
      <c r="D182" s="1">
        <v>20.399999999999999</v>
      </c>
      <c r="E182" s="1">
        <v>-4.7</v>
      </c>
      <c r="F182" s="1">
        <v>-1.4</v>
      </c>
      <c r="H182" s="1">
        <v>150</v>
      </c>
      <c r="I182" s="1">
        <v>722</v>
      </c>
      <c r="J182" s="1">
        <v>3038</v>
      </c>
      <c r="K182" s="1">
        <v>19.899999999999999</v>
      </c>
      <c r="L182" s="1">
        <v>-4.5999999999999996</v>
      </c>
      <c r="M182" s="1">
        <v>-1.3</v>
      </c>
    </row>
    <row r="183" spans="1:13" x14ac:dyDescent="0.25">
      <c r="A183" s="1">
        <v>175</v>
      </c>
      <c r="B183" s="1">
        <v>700</v>
      </c>
      <c r="C183" s="1">
        <v>2856</v>
      </c>
      <c r="D183" s="1">
        <v>20.5</v>
      </c>
      <c r="E183" s="1">
        <v>-4</v>
      </c>
      <c r="F183" s="1">
        <v>-1.2</v>
      </c>
      <c r="H183" s="1">
        <v>175</v>
      </c>
      <c r="I183" s="1">
        <v>708</v>
      </c>
      <c r="J183" s="1">
        <v>2927</v>
      </c>
      <c r="K183" s="1">
        <v>19.899999999999999</v>
      </c>
      <c r="L183" s="1">
        <v>-3.9</v>
      </c>
      <c r="M183" s="1">
        <v>-1.1000000000000001</v>
      </c>
    </row>
    <row r="184" spans="1:13" x14ac:dyDescent="0.25">
      <c r="A184" s="1">
        <v>200</v>
      </c>
      <c r="B184" s="1">
        <v>685</v>
      </c>
      <c r="C184" s="1">
        <v>2740</v>
      </c>
      <c r="D184" s="1">
        <v>19.2</v>
      </c>
      <c r="E184" s="1">
        <v>-3.3</v>
      </c>
      <c r="F184" s="1">
        <v>-1</v>
      </c>
      <c r="H184" s="1">
        <v>200</v>
      </c>
      <c r="I184" s="1">
        <v>695</v>
      </c>
      <c r="J184" s="1">
        <v>2819</v>
      </c>
      <c r="K184" s="1">
        <v>18.7</v>
      </c>
      <c r="L184" s="1">
        <v>-3.2</v>
      </c>
      <c r="M184" s="1">
        <v>-0.9</v>
      </c>
    </row>
    <row r="185" spans="1:13" x14ac:dyDescent="0.25">
      <c r="A185" s="1">
        <v>225</v>
      </c>
      <c r="B185" s="1">
        <v>671</v>
      </c>
      <c r="C185" s="1">
        <v>2628</v>
      </c>
      <c r="D185" s="1">
        <v>16.600000000000001</v>
      </c>
      <c r="E185" s="1">
        <v>-2.5</v>
      </c>
      <c r="F185" s="1">
        <v>-0.7</v>
      </c>
      <c r="H185" s="1">
        <v>225</v>
      </c>
      <c r="I185" s="1">
        <v>682</v>
      </c>
      <c r="J185" s="1">
        <v>2714</v>
      </c>
      <c r="K185" s="1">
        <v>16.100000000000001</v>
      </c>
      <c r="L185" s="1">
        <v>-2.5</v>
      </c>
      <c r="M185" s="1">
        <v>-0.7</v>
      </c>
    </row>
    <row r="186" spans="1:13" x14ac:dyDescent="0.25">
      <c r="A186" s="1">
        <v>250</v>
      </c>
      <c r="B186" s="1">
        <v>657</v>
      </c>
      <c r="C186" s="1">
        <v>2519</v>
      </c>
      <c r="D186" s="1">
        <v>12.7</v>
      </c>
      <c r="E186" s="1">
        <v>-1.7</v>
      </c>
      <c r="F186" s="1">
        <v>-0.5</v>
      </c>
      <c r="H186" s="1">
        <v>250</v>
      </c>
      <c r="I186" s="1">
        <v>669</v>
      </c>
      <c r="J186" s="1">
        <v>2612</v>
      </c>
      <c r="K186" s="1">
        <v>12.3</v>
      </c>
      <c r="L186" s="1">
        <v>-1.7</v>
      </c>
      <c r="M186" s="1">
        <v>-0.5</v>
      </c>
    </row>
    <row r="187" spans="1:13" x14ac:dyDescent="0.25">
      <c r="A187" s="1">
        <v>275</v>
      </c>
      <c r="B187" s="1">
        <v>643</v>
      </c>
      <c r="C187" s="1">
        <v>2414</v>
      </c>
      <c r="D187" s="1">
        <v>7</v>
      </c>
      <c r="E187" s="1">
        <v>-0.9</v>
      </c>
      <c r="F187" s="1">
        <v>-0.3</v>
      </c>
      <c r="H187" s="1">
        <v>275</v>
      </c>
      <c r="I187" s="1">
        <v>656</v>
      </c>
      <c r="J187" s="1">
        <v>2513</v>
      </c>
      <c r="K187" s="1">
        <v>6.8</v>
      </c>
      <c r="L187" s="1">
        <v>-0.9</v>
      </c>
      <c r="M187" s="1">
        <v>-0.2</v>
      </c>
    </row>
    <row r="188" spans="1:13" x14ac:dyDescent="0.25">
      <c r="A188" s="10">
        <v>300</v>
      </c>
      <c r="B188" s="10">
        <v>630</v>
      </c>
      <c r="C188" s="10">
        <v>2313</v>
      </c>
      <c r="D188" s="10">
        <v>0.1</v>
      </c>
      <c r="E188" s="10">
        <v>0</v>
      </c>
      <c r="F188" s="10">
        <v>0</v>
      </c>
      <c r="H188" s="1">
        <v>300</v>
      </c>
      <c r="I188" s="1">
        <v>644</v>
      </c>
      <c r="J188" s="1">
        <v>2417</v>
      </c>
      <c r="K188" s="1">
        <v>0.1</v>
      </c>
      <c r="L188" s="1">
        <v>0</v>
      </c>
      <c r="M188" s="1">
        <v>0</v>
      </c>
    </row>
    <row r="189" spans="1:13" x14ac:dyDescent="0.25">
      <c r="A189" s="1">
        <v>325</v>
      </c>
      <c r="B189" s="1">
        <v>616</v>
      </c>
      <c r="C189" s="1">
        <v>2215</v>
      </c>
      <c r="D189" s="1">
        <v>-8.5</v>
      </c>
      <c r="E189" s="1">
        <v>0.9</v>
      </c>
      <c r="F189" s="1">
        <v>0.3</v>
      </c>
      <c r="H189" s="1">
        <v>325</v>
      </c>
      <c r="I189" s="1">
        <v>631</v>
      </c>
      <c r="J189" s="1">
        <v>2324</v>
      </c>
      <c r="K189" s="1">
        <v>-8.1999999999999993</v>
      </c>
      <c r="L189" s="1">
        <v>0.9</v>
      </c>
      <c r="M189" s="1">
        <v>0.3</v>
      </c>
    </row>
    <row r="190" spans="1:13" x14ac:dyDescent="0.25">
      <c r="A190" s="1">
        <v>350</v>
      </c>
      <c r="B190" s="1">
        <v>603</v>
      </c>
      <c r="C190" s="1">
        <v>2120</v>
      </c>
      <c r="D190" s="1">
        <v>-19.100000000000001</v>
      </c>
      <c r="E190" s="1">
        <v>1.9</v>
      </c>
      <c r="F190" s="1">
        <v>0.5</v>
      </c>
      <c r="H190" s="1">
        <v>350</v>
      </c>
      <c r="I190" s="1">
        <v>619</v>
      </c>
      <c r="J190" s="1">
        <v>2234</v>
      </c>
      <c r="K190" s="1">
        <v>-18.399999999999999</v>
      </c>
      <c r="L190" s="1">
        <v>1.8</v>
      </c>
      <c r="M190" s="1">
        <v>0.5</v>
      </c>
    </row>
    <row r="191" spans="1:13" x14ac:dyDescent="0.25">
      <c r="A191" s="1">
        <v>375</v>
      </c>
      <c r="B191" s="1">
        <v>590</v>
      </c>
      <c r="C191" s="1">
        <v>2029</v>
      </c>
      <c r="D191" s="1">
        <v>-31.1</v>
      </c>
      <c r="E191" s="1">
        <v>2.9</v>
      </c>
      <c r="F191" s="1">
        <v>0.8</v>
      </c>
      <c r="H191" s="1">
        <v>375</v>
      </c>
      <c r="I191" s="1">
        <v>607</v>
      </c>
      <c r="J191" s="1">
        <v>2147</v>
      </c>
      <c r="K191" s="1">
        <v>-29.9</v>
      </c>
      <c r="L191" s="1">
        <v>2.7</v>
      </c>
      <c r="M191" s="1">
        <v>0.8</v>
      </c>
    </row>
    <row r="192" spans="1:13" x14ac:dyDescent="0.25">
      <c r="A192" s="1">
        <v>400</v>
      </c>
      <c r="B192" s="1">
        <v>577</v>
      </c>
      <c r="C192" s="1">
        <v>1941</v>
      </c>
      <c r="D192" s="1">
        <v>-44.9</v>
      </c>
      <c r="E192" s="1">
        <v>3.9</v>
      </c>
      <c r="F192" s="1">
        <v>1.1000000000000001</v>
      </c>
      <c r="H192" s="1">
        <v>400</v>
      </c>
      <c r="I192" s="1">
        <v>595</v>
      </c>
      <c r="J192" s="1">
        <v>2062</v>
      </c>
      <c r="K192" s="1">
        <v>-43.1</v>
      </c>
      <c r="L192" s="1">
        <v>3.7</v>
      </c>
      <c r="M192" s="1">
        <v>1.1000000000000001</v>
      </c>
    </row>
    <row r="193" spans="1:13" x14ac:dyDescent="0.25">
      <c r="A193" s="1">
        <v>425</v>
      </c>
      <c r="B193" s="1">
        <v>564</v>
      </c>
      <c r="C193" s="1">
        <v>1856</v>
      </c>
      <c r="D193" s="1">
        <v>-61.3</v>
      </c>
      <c r="E193" s="1">
        <v>5</v>
      </c>
      <c r="F193" s="1">
        <v>1.4</v>
      </c>
      <c r="H193" s="1">
        <v>425</v>
      </c>
      <c r="I193" s="1">
        <v>583</v>
      </c>
      <c r="J193" s="1">
        <v>1981</v>
      </c>
      <c r="K193" s="1">
        <v>-58.8</v>
      </c>
      <c r="L193" s="1">
        <v>4.7</v>
      </c>
      <c r="M193" s="1">
        <v>1.4</v>
      </c>
    </row>
    <row r="194" spans="1:13" x14ac:dyDescent="0.25">
      <c r="A194" s="1">
        <v>450</v>
      </c>
      <c r="B194" s="1">
        <v>551</v>
      </c>
      <c r="C194" s="1">
        <v>1774</v>
      </c>
      <c r="D194" s="1">
        <v>-79.2</v>
      </c>
      <c r="E194" s="1">
        <v>6.1</v>
      </c>
      <c r="F194" s="1">
        <v>1.8</v>
      </c>
      <c r="H194" s="1">
        <v>450</v>
      </c>
      <c r="I194" s="1">
        <v>571</v>
      </c>
      <c r="J194" s="1">
        <v>1901</v>
      </c>
      <c r="K194" s="1">
        <v>-75.8</v>
      </c>
      <c r="L194" s="1">
        <v>5.8</v>
      </c>
      <c r="M194" s="1">
        <v>1.7</v>
      </c>
    </row>
    <row r="195" spans="1:13" x14ac:dyDescent="0.25">
      <c r="A195" s="1">
        <v>475</v>
      </c>
      <c r="B195" s="1">
        <v>539</v>
      </c>
      <c r="C195" s="1">
        <v>1695</v>
      </c>
      <c r="D195" s="1">
        <v>-99.2</v>
      </c>
      <c r="E195" s="1">
        <v>7.2</v>
      </c>
      <c r="F195" s="1">
        <v>2.1</v>
      </c>
      <c r="H195" s="1">
        <v>475</v>
      </c>
      <c r="I195" s="1">
        <v>559</v>
      </c>
      <c r="J195" s="1">
        <v>1825</v>
      </c>
      <c r="K195" s="1">
        <v>-94.7</v>
      </c>
      <c r="L195" s="1">
        <v>6.9</v>
      </c>
      <c r="M195" s="1">
        <v>2</v>
      </c>
    </row>
    <row r="196" spans="1:13" x14ac:dyDescent="0.25">
      <c r="A196" s="1">
        <v>500</v>
      </c>
      <c r="B196" s="1">
        <v>527</v>
      </c>
      <c r="C196" s="1">
        <v>1622</v>
      </c>
      <c r="D196" s="1">
        <v>-121.4</v>
      </c>
      <c r="E196" s="1">
        <v>8.4</v>
      </c>
      <c r="F196" s="1">
        <v>2.4</v>
      </c>
      <c r="H196" s="1">
        <v>500</v>
      </c>
      <c r="I196" s="1">
        <v>548</v>
      </c>
      <c r="J196" s="1">
        <v>1754</v>
      </c>
      <c r="K196" s="1">
        <v>-115.7</v>
      </c>
      <c r="L196" s="1">
        <v>8</v>
      </c>
      <c r="M196" s="1">
        <v>2.2999999999999998</v>
      </c>
    </row>
    <row r="205" spans="1:13" ht="30" x14ac:dyDescent="0.25">
      <c r="A205" t="s">
        <v>39</v>
      </c>
      <c r="B205" s="11" t="s">
        <v>6</v>
      </c>
      <c r="C205" s="11" t="s">
        <v>7</v>
      </c>
      <c r="D205" s="11" t="s">
        <v>8</v>
      </c>
      <c r="E205" s="11" t="s">
        <v>9</v>
      </c>
      <c r="F205" s="11" t="s">
        <v>10</v>
      </c>
      <c r="G205" s="12" t="s">
        <v>40</v>
      </c>
    </row>
    <row r="206" spans="1:13" x14ac:dyDescent="0.25">
      <c r="A206" t="s">
        <v>41</v>
      </c>
      <c r="B206" s="13" cm="1">
        <f t="array" ref="B206">INDEX(LINEST(H$22:H$35,$A$22:$A$35^{1,2,3}), 1,4)</f>
        <v>-4.3440623227976971</v>
      </c>
      <c r="C206" s="13" cm="1">
        <f t="array" ref="C206">INDEX(LINEST(I$22:I$35,$A$22:$A$35^{1,2,3}), 1,4)</f>
        <v>-5.49408951067731</v>
      </c>
      <c r="D206" s="14" cm="1">
        <f t="array" ref="D206">INDEX(LINEST(J$22:J$35,$A$22:$A$35^{1,2,3}), 1,4)</f>
        <v>-4.343300405700532</v>
      </c>
      <c r="E206" s="14" cm="1">
        <f t="array" ref="E206">INDEX(LINEST(K$22:K$35,$A$22:$A$35^{1,2,3}), 1,4)</f>
        <v>-4.0376748889215186</v>
      </c>
      <c r="F206" s="14" cm="1">
        <f t="array" ref="F206">INDEX(LINEST(L$22:L$35,$A$22:$A$35^{1,2,3}), 1,4)</f>
        <v>-4.3959511559185707</v>
      </c>
      <c r="G206" s="14" cm="1">
        <f t="array" ref="G206">INDEX(LINEST(B$22:B$35,$A$22:$A$35^{1,2,3}), 1,4)</f>
        <v>3783.8968059160607</v>
      </c>
    </row>
    <row r="207" spans="1:13" x14ac:dyDescent="0.25">
      <c r="A207" t="s">
        <v>42</v>
      </c>
      <c r="B207" s="14" cm="1">
        <f t="array" ref="B207">INDEX(LINEST(H$22:H$35,$A$22:$A$35^{1,2,3}), 1,3)</f>
        <v>0.13200780873737761</v>
      </c>
      <c r="C207" s="13" cm="1">
        <f t="array" ref="C207">INDEX(LINEST(I$22:I$35,$A$22:$A$35^{1,2,3}), 1,3)</f>
        <v>0.16973815472330964</v>
      </c>
      <c r="D207" s="14" cm="1">
        <f t="array" ref="D207">INDEX(LINEST(J$22:J$35,$A$22:$A$35^{1,2,3}), 1,3)</f>
        <v>0.1575091636839682</v>
      </c>
      <c r="E207" s="14" cm="1">
        <f t="array" ref="E207">INDEX(LINEST(K$22:K$35,$A$22:$A$35^{1,2,3}), 1,3)</f>
        <v>0.16486589313070804</v>
      </c>
      <c r="F207" s="14" cm="1">
        <f t="array" ref="F207">INDEX(LINEST(L$22:L$35,$A$22:$A$35^{1,2,3}), 1,3)</f>
        <v>0.2808275558790958</v>
      </c>
      <c r="G207" s="14" cm="1">
        <f t="array" ref="G207">INDEX(LINEST(B$22:B$35,$A$22:$A$35^{1,2,3}), 1,3)</f>
        <v>-5.2001272388932964</v>
      </c>
    </row>
    <row r="208" spans="1:13" x14ac:dyDescent="0.25">
      <c r="A208" t="s">
        <v>43</v>
      </c>
      <c r="B208" s="14" cm="1">
        <f t="array" ref="B208">INDEX(LINEST(H$22:H$35,$A$22:$A$35^{1,2,3}), 1,2)</f>
        <v>-6.3037217837867189E-4</v>
      </c>
      <c r="C208" s="14" cm="1">
        <f t="array" ref="C208">INDEX(LINEST(I$22:I$35,$A$22:$A$35^{1,2,3}), 1,2)</f>
        <v>-9.8943794880153855E-4</v>
      </c>
      <c r="D208" s="14" cm="1">
        <f t="array" ref="D208">INDEX(LINEST(J$22:J$35,$A$22:$A$35^{1,2,3}), 1,2)</f>
        <v>-7.6594163416372643E-4</v>
      </c>
      <c r="E208" s="14" cm="1">
        <f t="array" ref="E208">INDEX(LINEST(K$22:K$35,$A$22:$A$35^{1,2,3}), 1,2)</f>
        <v>-5.4030240173175267E-4</v>
      </c>
      <c r="F208" s="14" cm="1">
        <f t="array" ref="F208">INDEX(LINEST(L$22:L$35,$A$22:$A$35^{1,2,3}), 1,2)</f>
        <v>-6.9804104533723065E-4</v>
      </c>
      <c r="G208" s="14" cm="1">
        <f t="array" ref="G208">INDEX(LINEST(B$22:B$35,$A$22:$A$35^{1,2,3}), 1,2)</f>
        <v>2.2457326475175642E-3</v>
      </c>
    </row>
    <row r="209" spans="1:7" x14ac:dyDescent="0.25">
      <c r="A209" t="s">
        <v>44</v>
      </c>
      <c r="B209" s="13" cm="1">
        <f t="array" ref="B209">INDEX(LINEST(H$22:H$35,$A$22:$A$35^{1,2,3}), 1)</f>
        <v>-8.8845483718046356E-7</v>
      </c>
      <c r="C209" s="13" cm="1">
        <f t="array" ref="C209">INDEX(LINEST(I$22:I$35,$A$22:$A$35^{1,2,3}), 1)</f>
        <v>-2.8090311039808154E-7</v>
      </c>
      <c r="D209" s="14" cm="1">
        <f t="array" ref="D209">INDEX(LINEST(J$22:J$35,$A$22:$A$35^{1,2,3}), 1)</f>
        <v>-6.0164162897357015E-7</v>
      </c>
      <c r="E209" s="14" cm="1">
        <f t="array" ref="E209">INDEX(LINEST(K$22:K$35,$A$22:$A$35^{1,2,3}), 1)</f>
        <v>-8.3675763554151063E-7</v>
      </c>
      <c r="F209" s="14" cm="1">
        <f t="array" ref="F209">INDEX(LINEST(L$22:L$35,$A$22:$A$35^{1,2,3}), 1)</f>
        <v>-5.8958081399787565E-7</v>
      </c>
      <c r="G209" s="14" cm="1">
        <f t="array" ref="G209">INDEX(LINEST(B$22:B$35,$A$22:$A$35^{1,2,3}), 1)</f>
        <v>2.107145481413673E-7</v>
      </c>
    </row>
    <row r="210" spans="1:7" x14ac:dyDescent="0.25">
      <c r="A210" t="s">
        <v>45</v>
      </c>
      <c r="B210" s="13"/>
      <c r="C210" s="13"/>
      <c r="D210" s="14"/>
      <c r="E210" s="14"/>
      <c r="F210" s="14"/>
      <c r="G210" s="14"/>
    </row>
    <row r="211" spans="1:7" x14ac:dyDescent="0.25">
      <c r="A211" t="s">
        <v>46</v>
      </c>
      <c r="B211" s="13"/>
      <c r="C211" s="13"/>
      <c r="D211" s="14"/>
      <c r="E211" s="14"/>
      <c r="F211" s="14"/>
      <c r="G211" s="14"/>
    </row>
    <row r="212" spans="1:7" x14ac:dyDescent="0.25">
      <c r="A212" t="s">
        <v>47</v>
      </c>
      <c r="B212" s="13"/>
      <c r="C212" s="13"/>
      <c r="D212" s="14"/>
      <c r="E212" s="14"/>
      <c r="F212" s="14"/>
      <c r="G212" s="14"/>
    </row>
    <row r="213" spans="1:7" x14ac:dyDescent="0.25">
      <c r="B213" s="13"/>
      <c r="C213" s="13"/>
      <c r="D213" s="13"/>
      <c r="E213" s="13"/>
      <c r="F213" s="13"/>
      <c r="G213" s="13"/>
    </row>
    <row r="214" spans="1:7" x14ac:dyDescent="0.25">
      <c r="A214" t="s">
        <v>48</v>
      </c>
    </row>
    <row r="215" spans="1:7" x14ac:dyDescent="0.25">
      <c r="A215" s="15" t="s">
        <v>4</v>
      </c>
      <c r="B215" s="16"/>
      <c r="C215" s="16"/>
    </row>
    <row r="216" spans="1:7" x14ac:dyDescent="0.25">
      <c r="A216" s="1">
        <v>0</v>
      </c>
      <c r="B216" s="2" cm="1">
        <f t="array" ref="B216">TrajectoryToComeUp(B$206:B$209,$A216)</f>
        <v>0</v>
      </c>
      <c r="C216" s="2" cm="1">
        <f t="array" ref="C216">TrajectoryToComeUp(C$206:C$209,$A216)</f>
        <v>0</v>
      </c>
      <c r="D216" s="2" cm="1">
        <f t="array" ref="D216">TrajectoryToComeUp(D$206:D$209,$A216)</f>
        <v>0</v>
      </c>
      <c r="E216" s="2" cm="1">
        <f t="array" ref="E216">TrajectoryToComeUp(E$206:E$209,$A216)</f>
        <v>0</v>
      </c>
      <c r="F216" s="2" cm="1">
        <f t="array" ref="F216">TrajectoryToComeUp(F$206:F$209,$A216)</f>
        <v>0</v>
      </c>
      <c r="G216" s="2" cm="1">
        <f t="array" ref="G216">EvaluatePolynomial(G$206:G$209,$A216)</f>
        <v>3783.8968059160607</v>
      </c>
    </row>
    <row r="217" spans="1:7" x14ac:dyDescent="0.25">
      <c r="A217" s="1">
        <v>25</v>
      </c>
      <c r="B217" s="2" cm="1">
        <f t="array" ref="B217">TrajectoryToComeUp(B$206:B$209,$A217)</f>
        <v>0.58069272907234859</v>
      </c>
      <c r="C217" s="2" cm="1">
        <f t="array" ref="C217">TrajectoryToComeUp(C$206:C$209,$A217)</f>
        <v>0.74936938867820002</v>
      </c>
      <c r="D217" s="17" cm="1">
        <f t="array" ref="D217">TrajectoryToComeUp(D$206:D$209,$A217)</f>
        <v>0.35747419416254722</v>
      </c>
      <c r="E217" s="17" cm="1">
        <f t="array" ref="E217">TrajectoryToComeUp(E$206:E$209,$A217)</f>
        <v>0.10671635991659967</v>
      </c>
      <c r="F217" s="17" cm="1">
        <f t="array" ref="F217">TrajectoryToComeUp(F$206:F$209,$A217)</f>
        <v>-0.87169995500173558</v>
      </c>
      <c r="G217" s="2" cm="1">
        <f t="array" ref="G217">EvaluatePolynomial(G$206:G$209,$A217)</f>
        <v>3655.3005002632412</v>
      </c>
    </row>
    <row r="218" spans="1:7" x14ac:dyDescent="0.25">
      <c r="A218" s="1">
        <v>50</v>
      </c>
      <c r="B218" s="2" cm="1">
        <f t="array" ref="B218">TrajectoryToComeUp(B$206:B$209,$A218)</f>
        <v>-0.11386816269538906</v>
      </c>
      <c r="C218" s="18" cm="1">
        <f t="array" ref="C218">TrajectoryToComeUp(C$206:C$209,$A218)</f>
        <v>-9.682209293691306E-2</v>
      </c>
      <c r="D218" s="17" cm="1">
        <f t="array" ref="D218">TrajectoryToComeUp(D$206:D$209,$A218)</f>
        <v>-0.30841969789337303</v>
      </c>
      <c r="E218" s="17" cm="1">
        <f t="array" ref="E218">TrajectoryToComeUp(E$206:E$209,$A218)</f>
        <v>-0.55005381176836265</v>
      </c>
      <c r="F218" s="17" cm="1">
        <f t="array" ref="F218">TrajectoryToComeUp(F$206:F$209,$A218)</f>
        <v>-1.5653252845886816</v>
      </c>
      <c r="G218" s="2" cm="1">
        <f t="array" ref="G218">EvaluatePolynomial(G$206:G$209,$A218)</f>
        <v>3529.5311149087074</v>
      </c>
    </row>
    <row r="219" spans="1:7" x14ac:dyDescent="0.25">
      <c r="A219" s="1">
        <v>75</v>
      </c>
      <c r="B219" s="2" cm="1">
        <f t="array" ref="B219">TrajectoryToComeUp(B$206:B$209,$A219)</f>
        <v>-0.21811505929201147</v>
      </c>
      <c r="C219" s="2" cm="1">
        <f t="array" ref="C219">TrajectoryToComeUp(C$206:C$209,$A219)</f>
        <v>-0.20695701758174229</v>
      </c>
      <c r="D219" s="17" cm="1">
        <f t="array" ref="D219">TrajectoryToComeUp(D$206:D$209,$A219)</f>
        <v>-0.38768634882705288</v>
      </c>
      <c r="E219" s="17" cm="1">
        <f t="array" ref="E219">TrajectoryToComeUp(E$206:E$209,$A219)</f>
        <v>-0.65800786115285348</v>
      </c>
      <c r="F219" s="17" cm="1">
        <f t="array" ref="F219">TrajectoryToComeUp(F$206:F$209,$A219)</f>
        <v>-1.6654540332115118</v>
      </c>
      <c r="G219" s="2" cm="1">
        <f t="array" ref="G219">EvaluatePolynomial(G$206:G$209,$A219)</f>
        <v>3406.6084043413466</v>
      </c>
    </row>
    <row r="220" spans="1:7" x14ac:dyDescent="0.25">
      <c r="A220" s="1">
        <v>100</v>
      </c>
      <c r="B220" s="2" cm="1">
        <f t="array" ref="B220">TrajectoryToComeUp(B$206:B$209,$A220)</f>
        <v>-0.16645419299728809</v>
      </c>
      <c r="C220" s="2" cm="1">
        <f t="array" ref="C220">TrajectoryToComeUp(C$206:C$209,$A220)</f>
        <v>-0.13044433632401853</v>
      </c>
      <c r="D220" s="17" cm="1">
        <f t="array" ref="D220">TrajectoryToComeUp(D$206:D$209,$A220)</f>
        <v>-0.31465579920854531</v>
      </c>
      <c r="E220" s="17" cm="1">
        <f t="array" ref="E220">TrajectoryToComeUp(E$206:E$209,$A220)</f>
        <v>-0.62091327712902478</v>
      </c>
      <c r="F220" s="17" cm="1">
        <f t="array" ref="F220">TrajectoryToComeUp(F$206:F$209,$A220)</f>
        <v>-1.6116813164620825</v>
      </c>
      <c r="G220" s="2" cm="1">
        <f t="array" ref="G220">EvaluatePolynomial(G$206:G$209,$A220)</f>
        <v>3286.5521230500481</v>
      </c>
    </row>
    <row r="221" spans="1:7" x14ac:dyDescent="0.25">
      <c r="A221" s="1">
        <v>125</v>
      </c>
      <c r="B221" s="2" cm="1">
        <f t="array" ref="B221">TrajectoryToComeUp(B$206:B$209,$A221)</f>
        <v>-4.5766810267173046E-2</v>
      </c>
      <c r="C221" s="2" cm="1">
        <f t="array" ref="C221">TrajectoryToComeUp(C$206:C$209,$A221)</f>
        <v>2.2834160622711909E-2</v>
      </c>
      <c r="D221" s="17" cm="1">
        <f t="array" ref="D221">TrajectoryToComeUp(D$206:D$209,$A221)</f>
        <v>-0.17619405715186101</v>
      </c>
      <c r="E221" s="17" cm="1">
        <f t="array" ref="E221">TrajectoryToComeUp(E$206:E$209,$A221)</f>
        <v>-0.51952355747530699</v>
      </c>
      <c r="F221" s="17" cm="1">
        <f t="array" ref="F221">TrajectoryToComeUp(F$206:F$209,$A221)</f>
        <v>-1.4919261574587659</v>
      </c>
      <c r="G221" s="2" cm="1">
        <f t="array" ref="G221">EvaluatePolynomial(G$206:G$209,$A221)</f>
        <v>3169.3820255236992</v>
      </c>
    </row>
    <row r="222" spans="1:7" x14ac:dyDescent="0.25">
      <c r="A222" s="1">
        <v>150</v>
      </c>
      <c r="B222" s="2" cm="1">
        <f t="array" ref="B222">TrajectoryToComeUp(B$206:B$209,$A222)</f>
        <v>0.11498667341301592</v>
      </c>
      <c r="C222" s="2" cm="1">
        <f t="array" ref="C222">TrajectoryToComeUp(C$206:C$209,$A222)</f>
        <v>0.21625120985393395</v>
      </c>
      <c r="D222" s="17" cm="1">
        <f t="array" ref="D222">TrajectoryToComeUp(D$206:D$209,$A222)</f>
        <v>-1.2564586950036445E-3</v>
      </c>
      <c r="E222" s="17" cm="1">
        <f t="array" ref="E222">TrajectoryToComeUp(E$206:E$209,$A222)</f>
        <v>-0.38075653478451033</v>
      </c>
      <c r="F222" s="17" cm="1">
        <f t="array" ref="F222">TrajectoryToComeUp(F$206:F$209,$A222)</f>
        <v>-1.3354948972410188</v>
      </c>
      <c r="G222" s="2" cm="1">
        <f t="array" ref="G222">EvaluatePolynomial(G$206:G$209,$A222)</f>
        <v>3055.1178662511884</v>
      </c>
    </row>
    <row r="223" spans="1:7" x14ac:dyDescent="0.25">
      <c r="A223" s="1">
        <v>175</v>
      </c>
      <c r="B223" s="2" cm="1">
        <f t="array" ref="B223">TrajectoryToComeUp(B$206:B$209,$A223)</f>
        <v>0.30339465140671373</v>
      </c>
      <c r="C223" s="2" cm="1">
        <f t="array" ref="C223">TrajectoryToComeUp(C$206:C$209,$A223)</f>
        <v>0.43410941276771214</v>
      </c>
      <c r="D223" s="17" cm="1">
        <f t="array" ref="D223">TrajectoryToComeUp(D$206:D$209,$A223)</f>
        <v>0.19774756643145414</v>
      </c>
      <c r="E223" s="17" cm="1">
        <f t="array" ref="E223">TrajectoryToComeUp(E$206:E$209,$A223)</f>
        <v>-0.21614842302498163</v>
      </c>
      <c r="F223" s="17" cm="1">
        <f t="array" ref="F223">TrajectoryToComeUp(F$206:F$209,$A223)</f>
        <v>-1.1549473962543222</v>
      </c>
      <c r="G223" s="2" cm="1">
        <f t="array" ref="G223">EvaluatePolynomial(G$206:G$209,$A223)</f>
        <v>2943.7793997214044</v>
      </c>
    </row>
    <row r="224" spans="1:7" x14ac:dyDescent="0.25">
      <c r="A224" s="1">
        <v>200</v>
      </c>
      <c r="B224" s="2" cm="1">
        <f t="array" ref="B224">TrajectoryToComeUp(B$206:B$209,$A224)</f>
        <v>0.51325132039563803</v>
      </c>
      <c r="C224" s="2" cm="1">
        <f t="array" ref="C224">TrajectoryToComeUp(C$206:C$209,$A224)</f>
        <v>0.66856007006307905</v>
      </c>
      <c r="D224" s="17" cm="1">
        <f t="array" ref="D224">TrajectoryToComeUp(D$206:D$209,$A224)</f>
        <v>0.41461330336222568</v>
      </c>
      <c r="E224" s="17" cm="1">
        <f t="array" ref="E224">TrajectoryToComeUp(E$206:E$209,$A224)</f>
        <v>-3.146732918089485E-2</v>
      </c>
      <c r="F224" s="17" cm="1">
        <f t="array" ref="F224">TrajectoryToComeUp(F$206:F$209,$A224)</f>
        <v>-0.95656358472141778</v>
      </c>
      <c r="G224" s="2" cm="1">
        <f t="array" ref="G224">EvaluatePolynomial(G$206:G$209,$A224)</f>
        <v>2835.3863804232351</v>
      </c>
    </row>
    <row r="225" spans="1:7" x14ac:dyDescent="0.25">
      <c r="A225" s="1">
        <v>225</v>
      </c>
      <c r="B225" s="2" cm="1">
        <f t="array" ref="B225">TrajectoryToComeUp(B$206:B$209,$A225)</f>
        <v>0.74110901186963185</v>
      </c>
      <c r="C225" s="2" cm="1">
        <f t="array" ref="C225">TrajectoryToComeUp(C$206:C$209,$A225)</f>
        <v>0.91524279323949664</v>
      </c>
      <c r="D225" s="17" cm="1">
        <f t="array" ref="D225">TrajectoryToComeUp(D$206:D$209,$A225)</f>
        <v>0.64589368828326266</v>
      </c>
      <c r="E225" s="17" cm="1">
        <f t="array" ref="E225">TrajectoryToComeUp(E$206:E$209,$A225)</f>
        <v>0.17008224286765369</v>
      </c>
      <c r="F225" s="17" cm="1">
        <f t="array" ref="F225">TrajectoryToComeUp(F$206:F$209,$A225)</f>
        <v>-0.74383231276605</v>
      </c>
      <c r="G225" s="2" cm="1">
        <f t="array" ref="G225">EvaluatePolynomial(G$206:G$209,$A225)</f>
        <v>2729.9585628455684</v>
      </c>
    </row>
    <row r="226" spans="1:7" x14ac:dyDescent="0.25">
      <c r="A226" s="1">
        <v>250</v>
      </c>
      <c r="B226" s="2" cm="1">
        <f t="array" ref="B226">TrajectoryToComeUp(B$206:B$209,$A226)</f>
        <v>0.98489912472260133</v>
      </c>
      <c r="C226" s="2" cm="1">
        <f t="array" ref="C226">TrajectoryToComeUp(C$206:C$209,$A226)</f>
        <v>1.1715413491966431</v>
      </c>
      <c r="D226" s="17" cm="1">
        <f t="array" ref="D226">TrajectoryToComeUp(D$206:D$209,$A226)</f>
        <v>0.88952048290613694</v>
      </c>
      <c r="E226" s="17" cm="1">
        <f t="array" ref="E226">TrajectoryToComeUp(E$206:E$209,$A226)</f>
        <v>0.38657759079260606</v>
      </c>
      <c r="F226" s="17" cm="1">
        <f t="array" ref="F226">TrajectoryToComeUp(F$206:F$209,$A226)</f>
        <v>-0.51884689046246624</v>
      </c>
      <c r="G226" s="2" cm="1">
        <f t="array" ref="G226">EvaluatePolynomial(G$206:G$209,$A226)</f>
        <v>2627.5157014772931</v>
      </c>
    </row>
    <row r="227" spans="1:7" x14ac:dyDescent="0.25">
      <c r="A227" s="1">
        <v>275</v>
      </c>
      <c r="B227" s="2" cm="1">
        <f t="array" ref="B227">TrajectoryToComeUp(B$206:B$209,$A227)</f>
        <v>1.2433052764324861</v>
      </c>
      <c r="C227" s="2" cm="1">
        <f t="array" ref="C227">TrajectoryToComeUp(C$206:C$209,$A227)</f>
        <v>1.4357908623252222</v>
      </c>
      <c r="D227" s="17" cm="1">
        <f t="array" ref="D227">TrajectoryToComeUp(D$206:D$209,$A227)</f>
        <v>1.1441775355927566</v>
      </c>
      <c r="E227" s="17" cm="1">
        <f t="array" ref="E227">TrajectoryToComeUp(E$206:E$209,$A227)</f>
        <v>0.61679517674883455</v>
      </c>
      <c r="F227" s="17" cm="1">
        <f t="array" ref="F227">TrajectoryToComeUp(F$206:F$209,$A227)</f>
        <v>-0.28293942422155038</v>
      </c>
      <c r="G227" s="2" cm="1">
        <f t="array" ref="G227">EvaluatePolynomial(G$206:G$209,$A227)</f>
        <v>2528.0775508072975</v>
      </c>
    </row>
    <row r="228" spans="1:7" x14ac:dyDescent="0.25">
      <c r="A228" s="1">
        <v>300</v>
      </c>
      <c r="B228" s="2" cm="1">
        <f t="array" ref="B228">TrajectoryToComeUp(B$206:B$209,$A228)</f>
        <v>1.5154498786512467</v>
      </c>
      <c r="C228" s="2" cm="1">
        <f t="array" ref="C228">TrajectoryToComeUp(C$206:C$209,$A228)</f>
        <v>1.7068814155523693</v>
      </c>
      <c r="D228" s="17" cm="1">
        <f t="array" ref="D228">TrajectoryToComeUp(D$206:D$209,$A228)</f>
        <v>1.4089874119177281</v>
      </c>
      <c r="E228" s="17" cm="1">
        <f t="array" ref="E228">TrajectoryToComeUp(E$206:E$209,$A228)</f>
        <v>0.85991930883958789</v>
      </c>
      <c r="F228" s="17" cm="1">
        <f t="array" ref="F228">TrajectoryToComeUp(F$206:F$209,$A228)</f>
        <v>-3.6997984983892271E-2</v>
      </c>
      <c r="G228" s="2" cm="1">
        <f t="array" ref="G228">EvaluatePolynomial(G$206:G$209,$A228)</f>
        <v>2431.6638653244695</v>
      </c>
    </row>
    <row r="229" spans="1:7" x14ac:dyDescent="0.25">
      <c r="A229" s="1">
        <v>325</v>
      </c>
      <c r="B229" s="2" cm="1">
        <f t="array" ref="B229">TrajectoryToComeUp(B$206:B$209,$A229)</f>
        <v>1.8007253702148551</v>
      </c>
      <c r="C229" s="2" cm="1">
        <f t="array" ref="C229">TrajectoryToComeUp(C$206:C$209,$A229)</f>
        <v>1.9840446047507181</v>
      </c>
      <c r="D229" s="17" cm="1">
        <f t="array" ref="D229">TrajectoryToComeUp(D$206:D$209,$A229)</f>
        <v>1.6833426572788557</v>
      </c>
      <c r="E229" s="17" cm="1">
        <f t="array" ref="E229">TrajectoryToComeUp(E$206:E$209,$A229)</f>
        <v>1.1153852772901909</v>
      </c>
      <c r="F229" s="17" cm="1">
        <f t="array" ref="F229">TrajectoryToComeUp(F$206:F$209,$A229)</f>
        <v>0.218362608907023</v>
      </c>
      <c r="G229" s="2" cm="1">
        <f t="array" ref="G229">EvaluatePolynomial(G$206:G$209,$A229)</f>
        <v>2338.2943995176975</v>
      </c>
    </row>
    <row r="230" spans="1:7" x14ac:dyDescent="0.25">
      <c r="A230" s="1">
        <v>350</v>
      </c>
      <c r="B230" s="2" cm="1">
        <f t="array" ref="B230">TrajectoryToComeUp(B$206:B$209,$A230)</f>
        <v>2.0986977788632921</v>
      </c>
      <c r="C230" s="2" cm="1">
        <f t="array" ref="C230">TrajectoryToComeUp(C$206:C$209,$A230)</f>
        <v>2.26673156982929</v>
      </c>
      <c r="D230" s="17" cm="1">
        <f t="array" ref="D230">TrajectoryToComeUp(D$206:D$209,$A230)</f>
        <v>1.9668093755317135</v>
      </c>
      <c r="E230" s="17" cm="1">
        <f t="array" ref="E230">TrajectoryToComeUp(E$206:E$209,$A230)</f>
        <v>1.3827897179758761</v>
      </c>
      <c r="F230" s="17" cm="1">
        <f t="array" ref="F230">TrajectoryToComeUp(F$206:F$209,$A230)</f>
        <v>0.48270320149156315</v>
      </c>
      <c r="G230" s="2" cm="1">
        <f t="array" ref="G230">EvaluatePolynomial(G$206:G$209,$A230)</f>
        <v>2247.9889078758697</v>
      </c>
    </row>
    <row r="231" spans="1:7" x14ac:dyDescent="0.25">
      <c r="A231" s="1">
        <v>375</v>
      </c>
      <c r="B231" s="2" cm="1">
        <f t="array" ref="B231">TrajectoryToComeUp(B$206:B$209,$A231)</f>
        <v>2.4090488582725422</v>
      </c>
      <c r="C231" s="2" cm="1">
        <f t="array" ref="C231">TrajectoryToComeUp(C$206:C$209,$A231)</f>
        <v>2.5545398133880366</v>
      </c>
      <c r="D231" s="17" cm="1">
        <f t="array" ref="D231">TrajectoryToComeUp(D$206:D$209,$A231)</f>
        <v>2.2590693761703897</v>
      </c>
      <c r="E231" s="17" cm="1">
        <f t="array" ref="E231">TrajectoryToComeUp(E$206:E$209,$A231)</f>
        <v>1.6618368305384819</v>
      </c>
      <c r="F231" s="17" cm="1">
        <f t="array" ref="F231">TrajectoryToComeUp(F$206:F$209,$A231)</f>
        <v>0.75570174506599797</v>
      </c>
      <c r="G231" s="2" cm="1">
        <f t="array" ref="G231">EvaluatePolynomial(G$206:G$209,$A231)</f>
        <v>2160.7671448878741</v>
      </c>
    </row>
    <row r="232" spans="1:7" x14ac:dyDescent="0.25">
      <c r="A232" s="1">
        <v>400</v>
      </c>
      <c r="B232" s="2" cm="1">
        <f t="array" ref="B232">TrajectoryToComeUp(B$206:B$209,$A232)</f>
        <v>2.7315399236995956</v>
      </c>
      <c r="C232" s="2" cm="1">
        <f t="array" ref="C232">TrajectoryToComeUp(C$206:C$209,$A232)</f>
        <v>2.847167462376921</v>
      </c>
      <c r="D232" s="17" cm="1">
        <f t="array" ref="D232">TrajectoryToComeUp(D$206:D$209,$A232)</f>
        <v>2.5598840163154488</v>
      </c>
      <c r="E232" s="17" cm="1">
        <f t="array" ref="E232">TrajectoryToComeUp(E$206:E$209,$A232)</f>
        <v>1.9523047647093854</v>
      </c>
      <c r="F232" s="17" cm="1">
        <f t="array" ref="F232">TrajectoryToComeUp(F$206:F$209,$A232)</f>
        <v>1.03711670385253</v>
      </c>
      <c r="G232" s="2" cm="1">
        <f t="array" ref="G232">EvaluatePolynomial(G$206:G$209,$A232)</f>
        <v>2076.6488650425999</v>
      </c>
    </row>
    <row r="233" spans="1:7" x14ac:dyDescent="0.25">
      <c r="A233" s="1">
        <v>425</v>
      </c>
      <c r="B233" s="2" cm="1">
        <f t="array" ref="B233">TrajectoryToComeUp(B$206:B$209,$A233)</f>
        <v>3.0659884515174434</v>
      </c>
      <c r="C233" s="2" cm="1">
        <f t="array" ref="C233">TrajectoryToComeUp(C$206:C$209,$A233)</f>
        <v>3.1443836726988552</v>
      </c>
      <c r="D233" s="17" cm="1">
        <f t="array" ref="D233">TrajectoryToComeUp(D$206:D$209,$A233)</f>
        <v>2.8690708043532083</v>
      </c>
      <c r="E233" s="17" cm="1">
        <f t="array" ref="E233">TrajectoryToComeUp(E$206:E$209,$A233)</f>
        <v>2.2540238702831696</v>
      </c>
      <c r="F233" s="17" cm="1">
        <f t="array" ref="F233">TrajectoryToComeUp(F$206:F$209,$A233)</f>
        <v>1.3267633740210778</v>
      </c>
      <c r="G233" s="2" cm="1">
        <f t="array" ref="G233">EvaluatePolynomial(G$206:G$209,$A233)</f>
        <v>1995.6538228289346</v>
      </c>
    </row>
    <row r="234" spans="1:7" x14ac:dyDescent="0.25">
      <c r="A234" s="1">
        <v>450</v>
      </c>
      <c r="B234" s="2" cm="1">
        <f t="array" ref="B234">TrajectoryToComeUp(B$206:B$209,$A234)</f>
        <v>3.4122524789050797</v>
      </c>
      <c r="C234" s="2" cm="1">
        <f t="array" ref="C234">TrajectoryToComeUp(C$206:C$209,$A234)</f>
        <v>3.4460088989449935</v>
      </c>
      <c r="D234" s="17" cm="1">
        <f t="array" ref="D234">TrajectoryToComeUp(D$206:D$209,$A234)</f>
        <v>3.1864878023619116</v>
      </c>
      <c r="E234" s="17" cm="1">
        <f t="array" ref="E234">TrajectoryToComeUp(E$206:E$209,$A234)</f>
        <v>2.5668621971000656</v>
      </c>
      <c r="F234" s="17" cm="1">
        <f t="array" ref="F234">TrajectoryToComeUp(F$206:F$209,$A234)</f>
        <v>1.6244980970371352</v>
      </c>
      <c r="G234" s="2" cm="1">
        <f t="array" ref="G234">EvaluatePolynomial(G$206:G$209,$A234)</f>
        <v>1917.801772735766</v>
      </c>
    </row>
    <row r="235" spans="1:7" x14ac:dyDescent="0.25">
      <c r="A235" s="1">
        <v>475</v>
      </c>
      <c r="B235" s="2" cm="1">
        <f t="array" ref="B235">TrajectoryToComeUp(B$206:B$209,$A235)</f>
        <v>3.7702199299511827</v>
      </c>
      <c r="C235" s="2" cm="1">
        <f t="array" ref="C235">TrajectoryToComeUp(C$206:C$209,$A235)</f>
        <v>3.751901394739932</v>
      </c>
      <c r="D235" s="17" cm="1">
        <f t="array" ref="D235">TrajectoryToComeUp(D$206:D$209,$A235)</f>
        <v>3.5120229540875423</v>
      </c>
      <c r="E235" s="17" cm="1">
        <f t="array" ref="E235">TrajectoryToComeUp(E$206:E$209,$A235)</f>
        <v>2.8907155739813093</v>
      </c>
      <c r="F235" s="17" cm="1">
        <f t="array" ref="F235">TrajectoryToComeUp(F$206:F$209,$A235)</f>
        <v>1.9302074582681963</v>
      </c>
      <c r="G235" s="2" cm="1">
        <f t="array" ref="G235">EvaluatePolynomial(G$206:G$209,$A235)</f>
        <v>1843.1124692519832</v>
      </c>
    </row>
    <row r="236" spans="1:7" x14ac:dyDescent="0.25">
      <c r="A236" s="10">
        <v>500</v>
      </c>
      <c r="B236" s="2" cm="1">
        <f t="array" ref="B236">TrajectoryToComeUp(B$206:B$209,$A236)</f>
        <v>4.1398011439266957</v>
      </c>
      <c r="C236" s="2" cm="1">
        <f t="array" ref="C236">TrajectoryToComeUp(C$206:C$209,$A236)</f>
        <v>4.0619477629833467</v>
      </c>
      <c r="D236" s="17" cm="1">
        <f t="array" ref="D236">TrajectoryToComeUp(D$206:D$209,$A236)</f>
        <v>3.8455866145268858</v>
      </c>
      <c r="E236" s="17" cm="1">
        <f t="array" ref="E236">TrajectoryToComeUp(E$206:E$209,$A236)</f>
        <v>3.2255006639838903</v>
      </c>
      <c r="F236" s="17" cm="1">
        <f t="array" ref="F236">TrajectoryToComeUp(F$206:F$209,$A236)</f>
        <v>2.243800726008256</v>
      </c>
      <c r="G236" s="2" cm="1">
        <f t="array" ref="G236">EvaluatePolynomial(G$206:G$209,$A236)</f>
        <v>1771.6056668664744</v>
      </c>
    </row>
  </sheetData>
  <mergeCells count="3">
    <mergeCell ref="C20:G20"/>
    <mergeCell ref="H20:L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C0EA-4B4B-4AE6-924E-36A49E83167E}">
  <sheetPr codeName="Sheet2"/>
  <dimension ref="A1:P236"/>
  <sheetViews>
    <sheetView topLeftCell="A52" workbookViewId="0">
      <selection activeCell="C6" sqref="C6"/>
    </sheetView>
  </sheetViews>
  <sheetFormatPr defaultRowHeight="15" x14ac:dyDescent="0.25"/>
  <cols>
    <col min="1" max="1" width="39" customWidth="1"/>
    <col min="2" max="2" width="26.28515625" customWidth="1"/>
    <col min="3" max="3" width="26.42578125" customWidth="1"/>
    <col min="4" max="4" width="30.28515625" customWidth="1"/>
    <col min="5" max="5" width="20.7109375" customWidth="1"/>
    <col min="6" max="6" width="21.85546875" customWidth="1"/>
    <col min="7" max="7" width="18.28515625" customWidth="1"/>
    <col min="8" max="8" width="18.85546875" customWidth="1"/>
    <col min="9" max="9" width="21.5703125" customWidth="1"/>
    <col min="10" max="10" width="19.140625" customWidth="1"/>
    <col min="11" max="11" width="18.85546875" customWidth="1"/>
    <col min="12" max="12" width="17.5703125" customWidth="1"/>
    <col min="13" max="14" width="14.28515625" customWidth="1"/>
    <col min="15" max="15" width="15.140625" customWidth="1"/>
    <col min="16" max="16" width="17" customWidth="1"/>
  </cols>
  <sheetData>
    <row r="1" spans="1:9" x14ac:dyDescent="0.25">
      <c r="A1" t="s">
        <v>18</v>
      </c>
      <c r="B1" t="s">
        <v>22</v>
      </c>
      <c r="C1" t="s">
        <v>34</v>
      </c>
      <c r="D1" t="s">
        <v>31</v>
      </c>
      <c r="F1" s="27" t="s">
        <v>62</v>
      </c>
      <c r="G1" s="27"/>
      <c r="H1" s="27"/>
      <c r="I1" s="27"/>
    </row>
    <row r="2" spans="1:9" x14ac:dyDescent="0.25">
      <c r="A2" t="s">
        <v>20</v>
      </c>
      <c r="B2" s="2">
        <v>165</v>
      </c>
      <c r="C2" s="2">
        <f>CONVERT($B$2,"grain","g")</f>
        <v>10.69182015</v>
      </c>
      <c r="F2" t="s">
        <v>63</v>
      </c>
      <c r="G2" s="2">
        <v>165</v>
      </c>
      <c r="H2" s="2">
        <f>CONVERT($G$2,"grain","g")</f>
        <v>10.69182015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t="s">
        <v>11</v>
      </c>
      <c r="B4" s="2">
        <v>0.39800000000000002</v>
      </c>
      <c r="C4" s="2"/>
      <c r="F4" t="s">
        <v>11</v>
      </c>
      <c r="G4" s="2" t="s">
        <v>65</v>
      </c>
      <c r="H4" s="2"/>
    </row>
    <row r="5" spans="1:9" x14ac:dyDescent="0.25">
      <c r="A5" t="s">
        <v>21</v>
      </c>
      <c r="B5" s="2">
        <v>0.39800000000000002</v>
      </c>
      <c r="C5" s="2"/>
      <c r="F5" t="s">
        <v>21</v>
      </c>
      <c r="G5" s="2">
        <v>0.39800000000000002</v>
      </c>
      <c r="H5" s="2"/>
    </row>
    <row r="6" spans="1:9" x14ac:dyDescent="0.25">
      <c r="A6" t="s">
        <v>23</v>
      </c>
      <c r="B6" s="2">
        <v>3489</v>
      </c>
      <c r="C6" s="2">
        <f>CONVERT($B$6,"J","flb")</f>
        <v>2573.3543388283788</v>
      </c>
      <c r="F6" t="s">
        <v>66</v>
      </c>
      <c r="G6" s="2">
        <f>CONVERT($H$6,"J","flb")</f>
        <v>2572.4203911194377</v>
      </c>
      <c r="H6" s="2" cm="1">
        <f t="array" ref="H6">MuzzleVelocityToMuzzleEnergyJoules($H$7,$C$2)</f>
        <v>3487.7337369334141</v>
      </c>
    </row>
    <row r="7" spans="1:9" x14ac:dyDescent="0.25">
      <c r="A7" t="s">
        <v>19</v>
      </c>
      <c r="B7" s="2" cm="1">
        <f t="array" ref="B7">MuzzleEnergyToMuzzleVelocityMPS($B$6,$C$2)</f>
        <v>807.8666128529992</v>
      </c>
      <c r="C7" s="2">
        <f>CONVERT($B$7,"m","ft")</f>
        <v>2650.4810132972416</v>
      </c>
      <c r="F7" t="s">
        <v>67</v>
      </c>
      <c r="G7" s="2">
        <v>2650</v>
      </c>
      <c r="H7" s="2">
        <f>CONVERT($G$7,"ft","m")</f>
        <v>807.72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0</v>
      </c>
      <c r="C9" s="2"/>
    </row>
    <row r="10" spans="1:9" x14ac:dyDescent="0.25">
      <c r="A10" t="s">
        <v>3</v>
      </c>
      <c r="B10" s="2"/>
      <c r="C10" s="2"/>
    </row>
    <row r="11" spans="1:9" x14ac:dyDescent="0.25">
      <c r="A11" s="15" t="s">
        <v>49</v>
      </c>
      <c r="B11" s="2">
        <v>0.5</v>
      </c>
      <c r="C11" s="19"/>
    </row>
    <row r="12" spans="1:9" x14ac:dyDescent="0.25">
      <c r="A12" s="15" t="s">
        <v>50</v>
      </c>
      <c r="B12" s="2" cm="1">
        <f t="array" ref="B12">MOAToMRAD($B$11)</f>
        <v>0.14544410433286079</v>
      </c>
      <c r="C12" s="19">
        <f>$B$12/2</f>
        <v>7.2722052166430393E-2</v>
      </c>
    </row>
    <row r="13" spans="1:9" x14ac:dyDescent="0.25">
      <c r="A13" s="15" t="s">
        <v>28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15" t="s">
        <v>5</v>
      </c>
      <c r="B14" t="s">
        <v>51</v>
      </c>
    </row>
    <row r="15" spans="1:9" x14ac:dyDescent="0.25">
      <c r="A15" t="s">
        <v>52</v>
      </c>
      <c r="B15" s="16" t="s">
        <v>53</v>
      </c>
      <c r="C15" s="16" t="s">
        <v>54</v>
      </c>
      <c r="D15" s="16" t="s">
        <v>55</v>
      </c>
      <c r="E15" s="16" t="s">
        <v>56</v>
      </c>
    </row>
    <row r="16" spans="1:9" x14ac:dyDescent="0.25">
      <c r="A16" s="15" t="s">
        <v>57</v>
      </c>
      <c r="B16" s="2">
        <v>0.625</v>
      </c>
      <c r="C16">
        <f>$B16/2</f>
        <v>0.3125</v>
      </c>
      <c r="D16" s="2">
        <f>$B$16 * $B$18</f>
        <v>0.36361026083215198</v>
      </c>
      <c r="E16" s="17">
        <f>$D16/2</f>
        <v>0.18180513041607599</v>
      </c>
    </row>
    <row r="17" spans="1:13" x14ac:dyDescent="0.25">
      <c r="A17" s="15" t="s">
        <v>58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17">
        <f>$D17/2</f>
        <v>7.2722052166430393E-2</v>
      </c>
    </row>
    <row r="18" spans="1:13" x14ac:dyDescent="0.25">
      <c r="A18" s="20" t="s">
        <v>59</v>
      </c>
      <c r="B18" s="21">
        <f>$B$12/$B$17</f>
        <v>0.58177641733144314</v>
      </c>
      <c r="C18" s="22"/>
      <c r="D18" s="23"/>
      <c r="E18" s="23"/>
      <c r="F18" s="23"/>
      <c r="G18" s="23"/>
      <c r="H18" s="22">
        <v>4.75</v>
      </c>
      <c r="I18" s="22">
        <v>4.25</v>
      </c>
      <c r="J18" s="22">
        <v>4</v>
      </c>
      <c r="K18" s="22">
        <v>4</v>
      </c>
      <c r="L18" s="22">
        <v>4</v>
      </c>
    </row>
    <row r="19" spans="1:13" x14ac:dyDescent="0.25">
      <c r="A19" s="20" t="s">
        <v>60</v>
      </c>
      <c r="B19" s="21"/>
      <c r="C19" s="21">
        <f>$C$17*0.61+$C16*0.39</f>
        <v>0.198125</v>
      </c>
      <c r="D19" s="21"/>
      <c r="E19" s="21" cm="1">
        <f t="array" ref="E19">ProbableAngularPOIError(D17,D16,B12,0.68)</f>
        <v>0.15024454823627703</v>
      </c>
      <c r="F19" s="23"/>
      <c r="G19" s="23"/>
      <c r="H19" s="23"/>
      <c r="I19" s="23"/>
      <c r="J19" s="22"/>
      <c r="K19" s="22"/>
      <c r="L19" s="22"/>
    </row>
    <row r="20" spans="1:13" x14ac:dyDescent="0.25">
      <c r="C20" s="26" t="s">
        <v>26</v>
      </c>
      <c r="D20" s="26"/>
      <c r="E20" s="26"/>
      <c r="F20" s="26"/>
      <c r="G20" s="26"/>
      <c r="H20" s="26" t="s">
        <v>27</v>
      </c>
      <c r="I20" s="26"/>
      <c r="J20" s="26"/>
      <c r="K20" s="26"/>
      <c r="L20" s="26"/>
      <c r="M20" s="24" t="s">
        <v>36</v>
      </c>
    </row>
    <row r="21" spans="1:13" x14ac:dyDescent="0.25">
      <c r="A21" t="s">
        <v>4</v>
      </c>
      <c r="B21" t="s">
        <v>25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6</v>
      </c>
      <c r="I21" t="s">
        <v>7</v>
      </c>
      <c r="J21" t="s">
        <v>8</v>
      </c>
      <c r="K21" t="s">
        <v>9</v>
      </c>
      <c r="L21" t="s">
        <v>10</v>
      </c>
      <c r="M21" s="24" t="s">
        <v>37</v>
      </c>
    </row>
    <row r="22" spans="1:13" x14ac:dyDescent="0.25">
      <c r="A22" s="1">
        <v>0</v>
      </c>
      <c r="B22" s="1">
        <v>3487.8</v>
      </c>
      <c r="C22" s="3"/>
      <c r="D22" s="4"/>
      <c r="E22" s="4"/>
      <c r="F22" s="4"/>
      <c r="G22" s="5"/>
      <c r="H22" s="8">
        <f>$B$13*(-1)</f>
        <v>-3.81</v>
      </c>
      <c r="I22" s="8">
        <f>$B$13*(-1)</f>
        <v>-3.81</v>
      </c>
      <c r="J22" s="8">
        <f>$B$13*(-1)</f>
        <v>-3.81</v>
      </c>
      <c r="K22" s="8">
        <f>$B$13*(-1)</f>
        <v>-3.81</v>
      </c>
      <c r="L22" s="8">
        <f>$B$13*(-1)</f>
        <v>-3.81</v>
      </c>
      <c r="M22" s="25">
        <v>0</v>
      </c>
    </row>
    <row r="23" spans="1:13" x14ac:dyDescent="0.25">
      <c r="A23" s="1">
        <v>25</v>
      </c>
      <c r="B23" s="1">
        <v>3417.3</v>
      </c>
      <c r="C23" s="6">
        <v>-0.25</v>
      </c>
      <c r="D23" s="6">
        <v>-0.26500000000000001</v>
      </c>
      <c r="E23" s="6">
        <v>-0.25</v>
      </c>
      <c r="F23" s="6">
        <v>-0.1875</v>
      </c>
      <c r="G23" s="6">
        <v>0.125</v>
      </c>
      <c r="H23" s="9" cm="1">
        <f t="array" ref="H23">TrajectoryDropInCM(C23,$A23,H$18)</f>
        <v>-2.9687513954679097</v>
      </c>
      <c r="I23" s="9" cm="1">
        <f t="array" ref="I23">TrajectoryDropInCM(D23,$A23,I$18)</f>
        <v>-2.815626190483516</v>
      </c>
      <c r="J23" s="9" cm="1">
        <f t="array" ref="J23">TrajectoryDropInCM(E23,$A23,J$18)</f>
        <v>-2.500000833333667</v>
      </c>
      <c r="K23" s="9" cm="1">
        <f t="array" ref="K23">TrajectoryDropInCM(F23,$A23,K$18)</f>
        <v>-1.8750003515625793</v>
      </c>
      <c r="L23" s="9" cm="1">
        <f t="array" ref="L23">TrajectoryDropInCM(G23,$A23,L$18)</f>
        <v>1.2500001041666768</v>
      </c>
      <c r="M23" s="25" cm="1">
        <f t="array" ref="M23">TrajectoryErrorCM($E$19,1,$A23)</f>
        <v>0.37561137059069255</v>
      </c>
    </row>
    <row r="24" spans="1:13" x14ac:dyDescent="0.25">
      <c r="A24" s="1">
        <v>50</v>
      </c>
      <c r="B24" s="1">
        <v>3342.6</v>
      </c>
      <c r="C24" s="7">
        <v>0</v>
      </c>
      <c r="D24" s="6">
        <v>-0.1225</v>
      </c>
      <c r="E24" s="6">
        <v>0</v>
      </c>
      <c r="F24" s="6">
        <v>0.125</v>
      </c>
      <c r="G24" s="6">
        <v>0.3125</v>
      </c>
      <c r="H24" s="9" cm="1">
        <f t="array" ref="H24">TrajectoryDropInCM(C24,$A24,H$18)</f>
        <v>0</v>
      </c>
      <c r="I24" s="9" cm="1">
        <f t="array" ref="I24">TrajectoryDropInCM(D24,$A24,I$18)</f>
        <v>-2.6031252351927088</v>
      </c>
      <c r="J24" s="9" cm="1">
        <f t="array" ref="J24">TrajectoryDropInCM(E24,$A24,J$18)</f>
        <v>0</v>
      </c>
      <c r="K24" s="9" cm="1">
        <f t="array" ref="K24">TrajectoryDropInCM(F24,$A24,K$18)</f>
        <v>2.5000002083333537</v>
      </c>
      <c r="L24" s="9" cm="1">
        <f t="array" ref="L24">TrajectoryDropInCM(G24,$A24,L$18)</f>
        <v>6.2500032552103679</v>
      </c>
      <c r="M24" s="25" cm="1">
        <f t="array" ref="M24">TrajectoryErrorCM($E$19,1,$A24)</f>
        <v>0.7512227411813851</v>
      </c>
    </row>
    <row r="25" spans="1:13" x14ac:dyDescent="0.25">
      <c r="A25" s="1">
        <v>75</v>
      </c>
      <c r="B25" s="1">
        <v>3270.5</v>
      </c>
      <c r="C25" s="6">
        <v>0.125</v>
      </c>
      <c r="D25" s="6">
        <v>0</v>
      </c>
      <c r="E25" s="6">
        <v>6.25E-2</v>
      </c>
      <c r="F25" s="6">
        <v>0.1875</v>
      </c>
      <c r="G25" s="6">
        <v>0.3125</v>
      </c>
      <c r="H25" s="9" cm="1">
        <f t="array" ref="H25">TrajectoryDropInCM(C25,$A25,H$18)</f>
        <v>4.4531255233002449</v>
      </c>
      <c r="I25" s="9" cm="1">
        <f t="array" ref="I25">TrajectoryDropInCM(D25,$A25,I$18)</f>
        <v>0</v>
      </c>
      <c r="J25" s="9" cm="1">
        <f t="array" ref="J25">TrajectoryDropInCM(E25,$A25,J$18)</f>
        <v>1.8750000390625008</v>
      </c>
      <c r="K25" s="9" cm="1">
        <f t="array" ref="K25">TrajectoryDropInCM(F25,$A25,K$18)</f>
        <v>5.625001054687738</v>
      </c>
      <c r="L25" s="9" cm="1">
        <f t="array" ref="L25">TrajectoryDropInCM(G25,$A25,L$18)</f>
        <v>9.3750048828155528</v>
      </c>
      <c r="M25" s="25" cm="1">
        <f t="array" ref="M25">TrajectoryErrorCM($E$19,1,$A25)</f>
        <v>1.1268341117720777</v>
      </c>
    </row>
    <row r="26" spans="1:13" x14ac:dyDescent="0.25">
      <c r="A26" s="1">
        <v>100</v>
      </c>
      <c r="B26" s="1">
        <v>3188.9</v>
      </c>
      <c r="C26" s="6">
        <v>0.125</v>
      </c>
      <c r="D26" s="7">
        <v>0</v>
      </c>
      <c r="E26" s="6">
        <v>0.125</v>
      </c>
      <c r="F26" s="6">
        <v>0.1875</v>
      </c>
      <c r="G26" s="6">
        <v>0.375</v>
      </c>
      <c r="H26" s="9" cm="1">
        <f t="array" ref="H26">TrajectoryDropInCM(C26,$A26,H$18)</f>
        <v>5.9375006977336602</v>
      </c>
      <c r="I26" s="9" cm="1">
        <f t="array" ref="I26">TrajectoryDropInCM(D26,$A26,I$18)</f>
        <v>0</v>
      </c>
      <c r="J26" s="9" cm="1">
        <f t="array" ref="J26">TrajectoryDropInCM(E26,$A26,J$18)</f>
        <v>5.0000004166667074</v>
      </c>
      <c r="K26" s="9" cm="1">
        <f t="array" ref="K26">TrajectoryDropInCM(F26,$A26,K$18)</f>
        <v>7.5000014062503171</v>
      </c>
      <c r="L26" s="9" cm="1">
        <f t="array" ref="L26">TrajectoryDropInCM(G26,$A26,L$18)</f>
        <v>15.000011250010125</v>
      </c>
      <c r="M26" s="25" cm="1">
        <f t="array" ref="M26">TrajectoryErrorCM($E$19,1,$A26)</f>
        <v>1.5024454823627702</v>
      </c>
    </row>
    <row r="27" spans="1:13" x14ac:dyDescent="0.25">
      <c r="A27" s="1">
        <v>125</v>
      </c>
      <c r="B27" s="1">
        <v>3121</v>
      </c>
      <c r="C27" s="6">
        <v>0.17499999999999999</v>
      </c>
      <c r="D27" s="6">
        <v>-1.2500000000000001E-2</v>
      </c>
      <c r="E27" s="6">
        <v>6.25E-2</v>
      </c>
      <c r="F27" s="6">
        <v>0.125</v>
      </c>
      <c r="G27" s="6">
        <v>0.375</v>
      </c>
      <c r="H27" s="9" cm="1">
        <f t="array" ref="H27">TrajectoryDropInCM(C27,$A27,H$18)</f>
        <v>10.390627393226776</v>
      </c>
      <c r="I27" s="9" cm="1">
        <f t="array" ref="I27">TrajectoryDropInCM(D27,$A27,I$18)</f>
        <v>-0.66406250062472028</v>
      </c>
      <c r="J27" s="9" cm="1">
        <f t="array" ref="J27">TrajectoryDropInCM(E27,$A27,J$18)</f>
        <v>3.1250000651041678</v>
      </c>
      <c r="K27" s="9" cm="1">
        <f t="array" ref="K27">TrajectoryDropInCM(F27,$A27,K$18)</f>
        <v>6.2500005208333844</v>
      </c>
      <c r="L27" s="9" cm="1">
        <f t="array" ref="L27">TrajectoryDropInCM(G27,$A27,L$18)</f>
        <v>18.750014062512658</v>
      </c>
      <c r="M27" s="25" cm="1">
        <f t="array" ref="M27">TrajectoryErrorCM($E$19,1,$A27)</f>
        <v>1.8780568529534629</v>
      </c>
    </row>
    <row r="28" spans="1:13" x14ac:dyDescent="0.25">
      <c r="A28" s="1">
        <v>150</v>
      </c>
      <c r="B28" s="1">
        <v>3044.1</v>
      </c>
      <c r="C28" s="6">
        <v>0</v>
      </c>
      <c r="D28" s="6">
        <v>-0.125</v>
      </c>
      <c r="E28" s="7">
        <v>0</v>
      </c>
      <c r="F28" s="6">
        <v>0.125</v>
      </c>
      <c r="G28" s="6">
        <v>0.35</v>
      </c>
      <c r="H28" s="9" cm="1">
        <f t="array" ref="H28">TrajectoryDropInCM(C28,$A28,H$18)</f>
        <v>0</v>
      </c>
      <c r="I28" s="9" cm="1">
        <f t="array" ref="I28">TrajectoryDropInCM(D28,$A28,I$18)</f>
        <v>-7.9687507496643928</v>
      </c>
      <c r="J28" s="9" cm="1">
        <f t="array" ref="J28">TrajectoryDropInCM(E28,$A28,J$18)</f>
        <v>0</v>
      </c>
      <c r="K28" s="9" cm="1">
        <f t="array" ref="K28">TrajectoryDropInCM(F28,$A28,K$18)</f>
        <v>7.5000006250000615</v>
      </c>
      <c r="L28" s="9" cm="1">
        <f t="array" ref="L28">TrajectoryDropInCM(G28,$A28,L$18)</f>
        <v>21.000013720010759</v>
      </c>
      <c r="M28" s="25" cm="1">
        <f t="array" ref="M28">TrajectoryErrorCM($E$19,1,$A28)</f>
        <v>2.2536682235441554</v>
      </c>
    </row>
    <row r="29" spans="1:13" x14ac:dyDescent="0.25">
      <c r="A29" s="1">
        <v>200</v>
      </c>
      <c r="B29" s="1">
        <v>2907.2</v>
      </c>
      <c r="C29" s="6">
        <v>-6.25E-2</v>
      </c>
      <c r="D29" s="6">
        <v>-0.13</v>
      </c>
      <c r="E29" s="6">
        <v>-7.4999999999999997E-2</v>
      </c>
      <c r="F29" s="7">
        <v>0</v>
      </c>
      <c r="G29" s="6">
        <v>0.25</v>
      </c>
      <c r="H29" s="9" cm="1">
        <f t="array" ref="H29">TrajectoryDropInCM(C29,$A29,H$18)</f>
        <v>-5.9375001744333975</v>
      </c>
      <c r="I29" s="9" cm="1">
        <f t="array" ref="I29">TrajectoryDropInCM(D29,$A29,I$18)</f>
        <v>-11.05000112436066</v>
      </c>
      <c r="J29" s="9" cm="1">
        <f t="array" ref="J29">TrajectoryDropInCM(E29,$A29,J$18)</f>
        <v>-6.0000001800000051</v>
      </c>
      <c r="K29" s="9" cm="1">
        <f t="array" ref="K29">TrajectoryDropInCM(F29,$A29,K$18)</f>
        <v>0</v>
      </c>
      <c r="L29" s="9" cm="1">
        <f t="array" ref="L29">TrajectoryDropInCM(G29,$A29,L$18)</f>
        <v>20.000006666669336</v>
      </c>
      <c r="M29" s="25" cm="1">
        <f t="array" ref="M29">TrajectoryErrorCM($E$19,1,$A29)</f>
        <v>3.0048909647255404</v>
      </c>
    </row>
    <row r="30" spans="1:13" x14ac:dyDescent="0.25">
      <c r="A30" s="1">
        <v>250</v>
      </c>
      <c r="B30" s="1">
        <v>2772.2</v>
      </c>
      <c r="C30" s="6">
        <v>-0.1875</v>
      </c>
      <c r="D30" s="6">
        <v>-0.25</v>
      </c>
      <c r="E30" s="6">
        <v>-0.1875</v>
      </c>
      <c r="F30" s="6">
        <v>-0.125</v>
      </c>
      <c r="G30" s="6">
        <v>0.125</v>
      </c>
      <c r="H30" s="9" cm="1">
        <f t="array" ref="H30">TrajectoryDropInCM(C30,$A30,H$18)</f>
        <v>-22.265630887128793</v>
      </c>
      <c r="I30" s="9" cm="1">
        <f t="array" ref="I30">TrajectoryDropInCM(D30,$A30,I$18)</f>
        <v>-26.562509995528604</v>
      </c>
      <c r="J30" s="9" cm="1">
        <f t="array" ref="J30">TrajectoryDropInCM(E30,$A30,J$18)</f>
        <v>-18.750003515625792</v>
      </c>
      <c r="K30" s="9" cm="1">
        <f t="array" ref="K30">TrajectoryDropInCM(F30,$A30,K$18)</f>
        <v>-12.500001041666769</v>
      </c>
      <c r="L30" s="9" cm="1">
        <f t="array" ref="L30">TrajectoryDropInCM(G30,$A30,L$18)</f>
        <v>12.500001041666769</v>
      </c>
      <c r="M30" s="25" cm="1">
        <f t="array" ref="M30">TrajectoryErrorCM($E$19,1,$A30)</f>
        <v>3.7561137059069258</v>
      </c>
    </row>
    <row r="31" spans="1:13" x14ac:dyDescent="0.25">
      <c r="A31" s="1">
        <v>300</v>
      </c>
      <c r="B31" s="1">
        <v>2640.3</v>
      </c>
      <c r="C31" s="6">
        <v>-0.27500000000000002</v>
      </c>
      <c r="D31" s="6">
        <v>-0.375</v>
      </c>
      <c r="E31" s="6">
        <v>-0.26500000000000001</v>
      </c>
      <c r="F31" s="6">
        <v>-0.1875</v>
      </c>
      <c r="G31" s="7">
        <v>0</v>
      </c>
      <c r="H31" s="9" cm="1">
        <f t="array" ref="H31">TrajectoryDropInCM(C31,$A31,H$18)</f>
        <v>-39.187522288416091</v>
      </c>
      <c r="I31" s="9" cm="1">
        <f t="array" ref="I31">TrajectoryDropInCM(D31,$A31,I$18)</f>
        <v>-47.812540481913686</v>
      </c>
      <c r="J31" s="9" cm="1">
        <f t="array" ref="J31">TrajectoryDropInCM(E31,$A31,J$18)</f>
        <v>-31.800011910165356</v>
      </c>
      <c r="K31" s="9" cm="1">
        <f t="array" ref="K31">TrajectoryDropInCM(F31,$A31,K$18)</f>
        <v>-22.500004218750952</v>
      </c>
      <c r="L31" s="9" cm="1">
        <f t="array" ref="L31">TrajectoryDropInCM(G31,$A31,L$18)</f>
        <v>0</v>
      </c>
      <c r="M31" s="25" cm="1">
        <f t="array" ref="M31">TrajectoryErrorCM($E$19,1,$A31)</f>
        <v>4.5073364470883108</v>
      </c>
    </row>
    <row r="32" spans="1:13" x14ac:dyDescent="0.25">
      <c r="A32" s="1">
        <v>350</v>
      </c>
      <c r="B32" s="1">
        <v>2512.1999999999998</v>
      </c>
      <c r="C32" s="6">
        <v>-0.4375</v>
      </c>
      <c r="D32" s="6">
        <v>-0.495</v>
      </c>
      <c r="E32" s="6">
        <v>-0.4375</v>
      </c>
      <c r="F32" s="6">
        <v>-0.3125</v>
      </c>
      <c r="G32" s="6">
        <v>-0.125</v>
      </c>
      <c r="H32" s="9" cm="1">
        <f t="array" ref="H32">TrajectoryDropInCM(C32,$A32,H$18)</f>
        <v>-72.734479703823396</v>
      </c>
      <c r="I32" s="9" cm="1">
        <f t="array" ref="I32">TrajectoryDropInCM(D32,$A32,I$18)</f>
        <v>-73.631358625038999</v>
      </c>
      <c r="J32" s="9" cm="1">
        <f t="array" ref="J32">TrajectoryDropInCM(E32,$A32,J$18)</f>
        <v>-61.250062526118263</v>
      </c>
      <c r="K32" s="9" cm="1">
        <f t="array" ref="K32">TrajectoryDropInCM(F32,$A32,K$18)</f>
        <v>-43.750022786472577</v>
      </c>
      <c r="L32" s="9" cm="1">
        <f t="array" ref="L32">TrajectoryDropInCM(G32,$A32,L$18)</f>
        <v>-17.500001458333479</v>
      </c>
      <c r="M32" s="25" cm="1">
        <f t="array" ref="M32">TrajectoryErrorCM($E$19,1,$A32)</f>
        <v>5.2585591882696958</v>
      </c>
    </row>
    <row r="33" spans="1:13" x14ac:dyDescent="0.25">
      <c r="A33" s="1">
        <v>400</v>
      </c>
      <c r="B33" s="1">
        <v>2396.1</v>
      </c>
      <c r="C33" s="6">
        <v>-0.5</v>
      </c>
      <c r="D33" s="6">
        <v>-0.61250000000000004</v>
      </c>
      <c r="E33" s="6">
        <v>-0.5</v>
      </c>
      <c r="F33" s="6">
        <v>-0.375</v>
      </c>
      <c r="G33" s="6">
        <v>-0.25</v>
      </c>
      <c r="H33" s="9" cm="1">
        <f t="array" ref="H33">TrajectoryDropInCM(C33,$A33,H$18)</f>
        <v>-95.000178620194674</v>
      </c>
      <c r="I33" s="9" cm="1">
        <f t="array" ref="I33">TrajectoryDropInCM(D33,$A33,I$18)</f>
        <v>-104.12523519332022</v>
      </c>
      <c r="J33" s="9" cm="1">
        <f t="array" ref="J33">TrajectoryDropInCM(E33,$A33,J$18)</f>
        <v>-80.000106666837326</v>
      </c>
      <c r="K33" s="9" cm="1">
        <f t="array" ref="K33">TrajectoryDropInCM(F33,$A33,K$18)</f>
        <v>-60.000045000040501</v>
      </c>
      <c r="L33" s="9" cm="1">
        <f t="array" ref="L33">TrajectoryDropInCM(G33,$A33,L$18)</f>
        <v>-40.000013333338671</v>
      </c>
      <c r="M33" s="25" cm="1">
        <f t="array" ref="M33">TrajectoryErrorCM($E$19,1,$A33)</f>
        <v>6.0097819294510808</v>
      </c>
    </row>
    <row r="34" spans="1:13" x14ac:dyDescent="0.25">
      <c r="A34" s="1">
        <v>450</v>
      </c>
      <c r="B34" s="1">
        <v>2281.4</v>
      </c>
      <c r="C34" s="6">
        <v>-0.625</v>
      </c>
      <c r="D34" s="6">
        <v>-0.69499999999999995</v>
      </c>
      <c r="E34" s="6">
        <v>-0.625</v>
      </c>
      <c r="F34" s="6">
        <v>-0.57499999999999996</v>
      </c>
      <c r="G34" s="6">
        <v>-0.375</v>
      </c>
      <c r="H34" s="9" cm="1">
        <f t="array" ref="H34">TrajectoryDropInCM(C34,$A34,H$18)</f>
        <v>-133.59414247651179</v>
      </c>
      <c r="I34" s="9" cm="1">
        <f t="array" ref="I34">TrajectoryDropInCM(D34,$A34,I$18)</f>
        <v>-132.9191365573885</v>
      </c>
      <c r="J34" s="9" cm="1">
        <f t="array" ref="J34">TrajectoryDropInCM(E34,$A34,J$18)</f>
        <v>-112.50023437558593</v>
      </c>
      <c r="K34" s="9" cm="1">
        <f t="array" ref="K34">TrajectoryDropInCM(F34,$A34,K$18)</f>
        <v>-103.50018250538618</v>
      </c>
      <c r="L34" s="9" cm="1">
        <f t="array" ref="L34">TrajectoryDropInCM(G34,$A34,L$18)</f>
        <v>-67.50005062504556</v>
      </c>
      <c r="M34" s="25" cm="1">
        <f t="array" ref="M34">TrajectoryErrorCM($E$19,1,$A34)</f>
        <v>6.7610046706324667</v>
      </c>
    </row>
    <row r="35" spans="1:13" x14ac:dyDescent="0.25">
      <c r="A35" s="1">
        <v>500</v>
      </c>
      <c r="B35" s="1">
        <v>2167.5</v>
      </c>
      <c r="C35" s="6">
        <v>-0.75</v>
      </c>
      <c r="D35" s="6">
        <v>-0.8</v>
      </c>
      <c r="E35" s="6">
        <v>-0.75</v>
      </c>
      <c r="F35" s="6">
        <v>-0.68500000000000005</v>
      </c>
      <c r="G35" s="6">
        <v>-0.5</v>
      </c>
      <c r="H35" s="9" cm="1">
        <f t="array" ref="H35">TrajectoryDropInCM(C35,$A35,H$18)</f>
        <v>-178.12575355607157</v>
      </c>
      <c r="I35" s="9" cm="1">
        <f t="array" ref="I35">TrajectoryDropInCM(D35,$A35,I$18)</f>
        <v>-170.00065506969574</v>
      </c>
      <c r="J35" s="9" cm="1">
        <f t="array" ref="J35">TrajectoryDropInCM(E35,$A35,J$18)</f>
        <v>-150.00045000162001</v>
      </c>
      <c r="K35" s="9" cm="1">
        <f t="array" ref="K35">TrajectoryDropInCM(F35,$A35,K$18)</f>
        <v>-137.00034284809627</v>
      </c>
      <c r="L35" s="9" cm="1">
        <f t="array" ref="L35">TrajectoryDropInCM(G35,$A35,L$18)</f>
        <v>-100.00013333354664</v>
      </c>
      <c r="M35" s="25" cm="1">
        <f t="array" ref="M35">TrajectoryErrorCM($E$19,1,$A35)</f>
        <v>7.5122274118138517</v>
      </c>
    </row>
    <row r="71" spans="1:16" x14ac:dyDescent="0.25">
      <c r="M71" s="1"/>
      <c r="N71" s="1"/>
      <c r="O71" s="1"/>
      <c r="P71" s="1"/>
    </row>
    <row r="72" spans="1:16" x14ac:dyDescent="0.25">
      <c r="M72" s="1"/>
      <c r="N72" s="1"/>
      <c r="O72" s="1"/>
      <c r="P72" s="1"/>
    </row>
    <row r="73" spans="1:16" x14ac:dyDescent="0.25">
      <c r="M73" s="1"/>
      <c r="N73" s="1"/>
      <c r="O73" s="1"/>
      <c r="P73" s="1"/>
    </row>
    <row r="74" spans="1:16" x14ac:dyDescent="0.25">
      <c r="M74" s="1"/>
      <c r="N74" s="1"/>
      <c r="O74" s="1"/>
      <c r="P74" s="1"/>
    </row>
    <row r="75" spans="1:16" x14ac:dyDescent="0.25">
      <c r="M75" s="1"/>
      <c r="N75" s="1"/>
      <c r="O75" s="1"/>
      <c r="P75" s="1"/>
    </row>
    <row r="76" spans="1:16" x14ac:dyDescent="0.25">
      <c r="M76" s="1"/>
      <c r="N76" s="1"/>
      <c r="O76" s="1"/>
      <c r="P76" s="1"/>
    </row>
    <row r="77" spans="1:16" x14ac:dyDescent="0.25">
      <c r="A77" t="s">
        <v>29</v>
      </c>
      <c r="M77" s="1"/>
      <c r="N77" s="1"/>
      <c r="O77" s="1"/>
      <c r="P77" s="1"/>
    </row>
    <row r="78" spans="1:16" x14ac:dyDescent="0.25">
      <c r="A78" t="s">
        <v>68</v>
      </c>
      <c r="H78" t="s">
        <v>75</v>
      </c>
      <c r="M78" s="1"/>
      <c r="N78" s="1"/>
      <c r="O78" s="1"/>
      <c r="P78" s="1"/>
    </row>
    <row r="79" spans="1:16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s="1" t="s">
        <v>17</v>
      </c>
      <c r="N79" s="1" t="s">
        <v>73</v>
      </c>
      <c r="O79" s="1" t="s">
        <v>38</v>
      </c>
      <c r="P79" s="1" t="s">
        <v>74</v>
      </c>
    </row>
    <row r="80" spans="1:16" x14ac:dyDescent="0.25">
      <c r="A80" s="1">
        <v>0</v>
      </c>
      <c r="B80" s="1">
        <v>808</v>
      </c>
      <c r="C80" s="1">
        <v>3490</v>
      </c>
      <c r="D80" s="1">
        <v>-3.8</v>
      </c>
      <c r="E80" s="1">
        <v>0</v>
      </c>
      <c r="F80" s="1">
        <v>0</v>
      </c>
      <c r="G80" s="1"/>
      <c r="H80" s="1">
        <v>0</v>
      </c>
      <c r="I80" s="1">
        <v>808</v>
      </c>
      <c r="J80" s="1">
        <v>3489</v>
      </c>
      <c r="K80" s="1">
        <v>-3.8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25</v>
      </c>
      <c r="B81" s="1">
        <v>789</v>
      </c>
      <c r="C81" s="1">
        <v>3329</v>
      </c>
      <c r="D81" s="1">
        <v>-1.4</v>
      </c>
      <c r="E81" s="1">
        <v>2</v>
      </c>
      <c r="F81" s="1">
        <v>0.6</v>
      </c>
      <c r="G81" s="1"/>
      <c r="H81" s="1">
        <v>25</v>
      </c>
      <c r="I81" s="1">
        <v>798</v>
      </c>
      <c r="J81" s="1">
        <v>3409</v>
      </c>
      <c r="K81" s="1">
        <v>-1.4</v>
      </c>
      <c r="L81" s="1">
        <v>2</v>
      </c>
      <c r="M81" s="1">
        <v>0.6</v>
      </c>
      <c r="N81" s="1">
        <v>0</v>
      </c>
      <c r="O81" s="1">
        <v>0</v>
      </c>
      <c r="P81" s="1">
        <v>0</v>
      </c>
    </row>
    <row r="82" spans="1:16" x14ac:dyDescent="0.25">
      <c r="A82" s="10">
        <v>50</v>
      </c>
      <c r="B82" s="10">
        <v>771</v>
      </c>
      <c r="C82" s="10">
        <v>3175</v>
      </c>
      <c r="D82" s="10">
        <v>0</v>
      </c>
      <c r="E82" s="10">
        <v>0</v>
      </c>
      <c r="F82" s="10">
        <v>0</v>
      </c>
      <c r="G82" s="1"/>
      <c r="H82" s="1">
        <v>50</v>
      </c>
      <c r="I82" s="1">
        <v>789</v>
      </c>
      <c r="J82" s="1">
        <v>3330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75</v>
      </c>
      <c r="B83" s="1">
        <v>752</v>
      </c>
      <c r="C83" s="1">
        <v>3027</v>
      </c>
      <c r="D83" s="1">
        <v>0.4</v>
      </c>
      <c r="E83" s="1">
        <v>-0.2</v>
      </c>
      <c r="F83" s="1">
        <v>0</v>
      </c>
      <c r="G83" s="1"/>
      <c r="H83" s="1">
        <v>75</v>
      </c>
      <c r="I83" s="1">
        <v>780</v>
      </c>
      <c r="J83" s="1">
        <v>3253</v>
      </c>
      <c r="K83" s="1">
        <v>0.4</v>
      </c>
      <c r="L83" s="1">
        <v>-0.2</v>
      </c>
      <c r="M83" s="1">
        <v>-0.1</v>
      </c>
      <c r="N83" s="1">
        <v>0</v>
      </c>
      <c r="O83" s="1">
        <v>0</v>
      </c>
      <c r="P83" s="1">
        <v>0</v>
      </c>
    </row>
    <row r="84" spans="1:16" x14ac:dyDescent="0.25">
      <c r="A84" s="1">
        <v>100</v>
      </c>
      <c r="B84" s="1">
        <v>734</v>
      </c>
      <c r="C84" s="1">
        <v>2884</v>
      </c>
      <c r="D84" s="1">
        <v>-0.4</v>
      </c>
      <c r="E84" s="1">
        <v>0.1</v>
      </c>
      <c r="F84" s="1">
        <v>0</v>
      </c>
      <c r="G84" s="1"/>
      <c r="H84" s="1">
        <v>100</v>
      </c>
      <c r="I84" s="1">
        <v>771</v>
      </c>
      <c r="J84" s="1">
        <v>3176</v>
      </c>
      <c r="K84" s="1">
        <v>-0.2</v>
      </c>
      <c r="L84" s="1">
        <v>0.1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125</v>
      </c>
      <c r="B85" s="1">
        <v>717</v>
      </c>
      <c r="C85" s="1">
        <v>2747</v>
      </c>
      <c r="D85" s="1">
        <v>-2.2999999999999998</v>
      </c>
      <c r="E85" s="1">
        <v>0.6</v>
      </c>
      <c r="F85" s="1">
        <v>0.2</v>
      </c>
      <c r="G85" s="1"/>
      <c r="H85" s="1">
        <v>125</v>
      </c>
      <c r="I85" s="1">
        <v>762</v>
      </c>
      <c r="J85" s="1">
        <v>3102</v>
      </c>
      <c r="K85" s="1">
        <v>-1.8</v>
      </c>
      <c r="L85" s="1">
        <v>0.5</v>
      </c>
      <c r="M85" s="1">
        <v>0.1</v>
      </c>
      <c r="N85" s="1">
        <v>0</v>
      </c>
      <c r="O85" s="1">
        <v>0</v>
      </c>
      <c r="P85" s="1">
        <v>0</v>
      </c>
    </row>
    <row r="86" spans="1:16" x14ac:dyDescent="0.25">
      <c r="A86" s="1">
        <v>150</v>
      </c>
      <c r="B86" s="1">
        <v>699</v>
      </c>
      <c r="C86" s="1">
        <v>2614</v>
      </c>
      <c r="D86" s="1">
        <v>-5.4</v>
      </c>
      <c r="E86" s="1">
        <v>1.2</v>
      </c>
      <c r="F86" s="1">
        <v>0.4</v>
      </c>
      <c r="G86" s="1"/>
      <c r="H86" s="1">
        <v>150</v>
      </c>
      <c r="I86" s="1">
        <v>753</v>
      </c>
      <c r="J86" s="1">
        <v>3029</v>
      </c>
      <c r="K86" s="1">
        <v>-4.5</v>
      </c>
      <c r="L86" s="1">
        <v>1</v>
      </c>
      <c r="M86" s="1">
        <v>0.3</v>
      </c>
      <c r="N86" s="1">
        <v>0</v>
      </c>
      <c r="O86" s="1">
        <v>0</v>
      </c>
      <c r="P86" s="1">
        <v>0</v>
      </c>
    </row>
    <row r="87" spans="1:16" x14ac:dyDescent="0.25">
      <c r="A87" s="1">
        <v>175</v>
      </c>
      <c r="B87" s="1">
        <v>682</v>
      </c>
      <c r="C87" s="1">
        <v>2487</v>
      </c>
      <c r="D87" s="1">
        <v>-9.6999999999999993</v>
      </c>
      <c r="E87" s="1">
        <v>1.9</v>
      </c>
      <c r="F87" s="1">
        <v>0.6</v>
      </c>
      <c r="G87" s="1"/>
      <c r="H87" s="1">
        <v>175</v>
      </c>
      <c r="I87" s="1">
        <v>744</v>
      </c>
      <c r="J87" s="1">
        <v>2957</v>
      </c>
      <c r="K87" s="1">
        <v>-8.1999999999999993</v>
      </c>
      <c r="L87" s="1">
        <v>1.6</v>
      </c>
      <c r="M87" s="1">
        <v>0.5</v>
      </c>
      <c r="N87" s="1">
        <v>0</v>
      </c>
      <c r="O87" s="1">
        <v>0</v>
      </c>
      <c r="P87" s="1">
        <v>0</v>
      </c>
    </row>
    <row r="88" spans="1:16" x14ac:dyDescent="0.25">
      <c r="A88" s="1">
        <v>200</v>
      </c>
      <c r="B88" s="1">
        <v>665</v>
      </c>
      <c r="C88" s="1">
        <v>2364</v>
      </c>
      <c r="D88" s="1">
        <v>-15.6</v>
      </c>
      <c r="E88" s="1">
        <v>2.7</v>
      </c>
      <c r="F88" s="1">
        <v>0.8</v>
      </c>
      <c r="G88" s="1"/>
      <c r="H88" s="1">
        <v>200</v>
      </c>
      <c r="I88" s="1">
        <v>735</v>
      </c>
      <c r="J88" s="1">
        <v>2886</v>
      </c>
      <c r="K88" s="1">
        <v>-13.3</v>
      </c>
      <c r="L88" s="1">
        <v>2.2999999999999998</v>
      </c>
      <c r="M88" s="1">
        <v>0.7</v>
      </c>
      <c r="N88" s="1">
        <v>0</v>
      </c>
      <c r="O88" s="1">
        <v>0</v>
      </c>
      <c r="P88" s="1">
        <v>0</v>
      </c>
    </row>
    <row r="89" spans="1:16" x14ac:dyDescent="0.25">
      <c r="A89" s="1">
        <v>225</v>
      </c>
      <c r="B89" s="1">
        <v>648</v>
      </c>
      <c r="C89" s="1">
        <v>2247</v>
      </c>
      <c r="D89" s="1">
        <v>-22.8</v>
      </c>
      <c r="E89" s="1">
        <v>3.5</v>
      </c>
      <c r="F89" s="1">
        <v>1</v>
      </c>
      <c r="G89" s="1"/>
      <c r="H89" s="1">
        <v>225</v>
      </c>
      <c r="I89" s="1">
        <v>726</v>
      </c>
      <c r="J89" s="1">
        <v>2817</v>
      </c>
      <c r="K89" s="1">
        <v>-19.3</v>
      </c>
      <c r="L89" s="1">
        <v>2.9</v>
      </c>
      <c r="M89" s="1">
        <v>0.9</v>
      </c>
      <c r="N89" s="1">
        <v>0</v>
      </c>
      <c r="O89" s="1">
        <v>0</v>
      </c>
      <c r="P89" s="1">
        <v>0</v>
      </c>
    </row>
    <row r="90" spans="1:16" x14ac:dyDescent="0.25">
      <c r="A90" s="1">
        <v>250</v>
      </c>
      <c r="B90" s="1">
        <v>632</v>
      </c>
      <c r="C90" s="1">
        <v>2134</v>
      </c>
      <c r="D90" s="1">
        <v>-31.4</v>
      </c>
      <c r="E90" s="1">
        <v>4.3</v>
      </c>
      <c r="F90" s="1">
        <v>1.3</v>
      </c>
      <c r="G90" s="1"/>
      <c r="H90" s="1">
        <v>250</v>
      </c>
      <c r="I90" s="1">
        <v>717</v>
      </c>
      <c r="J90" s="1">
        <v>2748</v>
      </c>
      <c r="K90" s="1">
        <v>-26.5</v>
      </c>
      <c r="L90" s="1">
        <v>3.6</v>
      </c>
      <c r="M90" s="1">
        <v>1.1000000000000001</v>
      </c>
      <c r="N90" s="1">
        <v>0</v>
      </c>
      <c r="O90" s="1">
        <v>0</v>
      </c>
      <c r="P90" s="1">
        <v>0</v>
      </c>
    </row>
    <row r="91" spans="1:16" x14ac:dyDescent="0.25">
      <c r="A91" s="1">
        <v>275</v>
      </c>
      <c r="B91" s="1">
        <v>615</v>
      </c>
      <c r="C91" s="1">
        <v>2025</v>
      </c>
      <c r="D91" s="1">
        <v>-42</v>
      </c>
      <c r="E91" s="1">
        <v>5.2</v>
      </c>
      <c r="F91" s="1">
        <v>1.5</v>
      </c>
      <c r="G91" s="1"/>
      <c r="H91" s="1">
        <v>275</v>
      </c>
      <c r="I91" s="1">
        <v>708</v>
      </c>
      <c r="J91" s="1">
        <v>2682</v>
      </c>
      <c r="K91" s="1">
        <v>-35.200000000000003</v>
      </c>
      <c r="L91" s="1">
        <v>4.4000000000000004</v>
      </c>
      <c r="M91" s="1">
        <v>1.3</v>
      </c>
      <c r="N91" s="1">
        <v>0</v>
      </c>
      <c r="O91" s="1">
        <v>0</v>
      </c>
      <c r="P91" s="1">
        <v>0</v>
      </c>
    </row>
    <row r="92" spans="1:16" x14ac:dyDescent="0.25">
      <c r="A92" s="1">
        <v>300</v>
      </c>
      <c r="B92" s="1">
        <v>599</v>
      </c>
      <c r="C92" s="1">
        <v>1921</v>
      </c>
      <c r="D92" s="1">
        <v>-53.9</v>
      </c>
      <c r="E92" s="1">
        <v>6.2</v>
      </c>
      <c r="F92" s="1">
        <v>1.8</v>
      </c>
      <c r="G92" s="1"/>
      <c r="H92" s="1">
        <v>300</v>
      </c>
      <c r="I92" s="1">
        <v>699</v>
      </c>
      <c r="J92" s="1">
        <v>2616</v>
      </c>
      <c r="K92" s="1">
        <v>-44.8</v>
      </c>
      <c r="L92" s="1">
        <v>5.0999999999999996</v>
      </c>
      <c r="M92" s="1">
        <v>1.5</v>
      </c>
      <c r="N92" s="1">
        <v>0</v>
      </c>
      <c r="O92" s="1">
        <v>0</v>
      </c>
      <c r="P92" s="1">
        <v>0</v>
      </c>
    </row>
    <row r="93" spans="1:16" x14ac:dyDescent="0.25">
      <c r="A93" s="1">
        <v>325</v>
      </c>
      <c r="B93" s="1">
        <v>584</v>
      </c>
      <c r="C93" s="1">
        <v>1821</v>
      </c>
      <c r="D93" s="1">
        <v>-67.599999999999994</v>
      </c>
      <c r="E93" s="1">
        <v>7.2</v>
      </c>
      <c r="F93" s="1">
        <v>2.1</v>
      </c>
      <c r="G93" s="1"/>
      <c r="H93" s="1">
        <v>325</v>
      </c>
      <c r="I93" s="1">
        <v>691</v>
      </c>
      <c r="J93" s="1">
        <v>2552</v>
      </c>
      <c r="K93" s="1">
        <v>-55.7</v>
      </c>
      <c r="L93" s="1">
        <v>5.9</v>
      </c>
      <c r="M93" s="1">
        <v>1.7</v>
      </c>
      <c r="N93" s="1">
        <v>0</v>
      </c>
      <c r="O93" s="1">
        <v>0</v>
      </c>
      <c r="P93" s="1">
        <v>0</v>
      </c>
    </row>
    <row r="94" spans="1:16" x14ac:dyDescent="0.25">
      <c r="A94" s="1">
        <v>350</v>
      </c>
      <c r="B94" s="1">
        <v>568</v>
      </c>
      <c r="C94" s="1">
        <v>1726</v>
      </c>
      <c r="D94" s="1">
        <v>-83.8</v>
      </c>
      <c r="E94" s="1">
        <v>8.1999999999999993</v>
      </c>
      <c r="F94" s="1">
        <v>2.4</v>
      </c>
      <c r="G94" s="1"/>
      <c r="H94" s="1">
        <v>350</v>
      </c>
      <c r="I94" s="1">
        <v>682</v>
      </c>
      <c r="J94" s="1">
        <v>2489</v>
      </c>
      <c r="K94" s="1">
        <v>-68.3</v>
      </c>
      <c r="L94" s="1">
        <v>6.7</v>
      </c>
      <c r="M94" s="1">
        <v>2</v>
      </c>
      <c r="N94" s="1">
        <v>0</v>
      </c>
      <c r="O94" s="1">
        <v>0</v>
      </c>
      <c r="P94" s="1">
        <v>0</v>
      </c>
    </row>
    <row r="95" spans="1:16" x14ac:dyDescent="0.25">
      <c r="A95" s="1">
        <v>375</v>
      </c>
      <c r="B95" s="1">
        <v>553</v>
      </c>
      <c r="C95" s="1">
        <v>1634</v>
      </c>
      <c r="D95" s="1">
        <v>-101.4</v>
      </c>
      <c r="E95" s="1">
        <v>9.3000000000000007</v>
      </c>
      <c r="F95" s="1">
        <v>2.7</v>
      </c>
      <c r="G95" s="1"/>
      <c r="H95" s="1">
        <v>375</v>
      </c>
      <c r="I95" s="1">
        <v>674</v>
      </c>
      <c r="J95" s="1">
        <v>2427</v>
      </c>
      <c r="K95" s="1">
        <v>-81.900000000000006</v>
      </c>
      <c r="L95" s="1">
        <v>7.5</v>
      </c>
      <c r="M95" s="1">
        <v>2.2000000000000002</v>
      </c>
      <c r="N95" s="1">
        <v>0</v>
      </c>
      <c r="O95" s="1">
        <v>0</v>
      </c>
      <c r="P95" s="1">
        <v>0</v>
      </c>
    </row>
    <row r="96" spans="1:16" x14ac:dyDescent="0.25">
      <c r="A96" s="1">
        <v>400</v>
      </c>
      <c r="B96" s="1">
        <v>538</v>
      </c>
      <c r="C96" s="1">
        <v>1547</v>
      </c>
      <c r="D96" s="1">
        <v>-121.1</v>
      </c>
      <c r="E96" s="1">
        <v>10.4</v>
      </c>
      <c r="F96" s="1">
        <v>3</v>
      </c>
      <c r="G96" s="1"/>
      <c r="H96" s="1">
        <v>400</v>
      </c>
      <c r="I96" s="1">
        <v>665</v>
      </c>
      <c r="J96" s="1">
        <v>2366</v>
      </c>
      <c r="K96" s="1">
        <v>-96.8</v>
      </c>
      <c r="L96" s="1">
        <v>8.3000000000000007</v>
      </c>
      <c r="M96" s="1">
        <v>2.4</v>
      </c>
      <c r="N96" s="1">
        <v>0</v>
      </c>
      <c r="O96" s="1">
        <v>0</v>
      </c>
      <c r="P96" s="1">
        <v>0</v>
      </c>
    </row>
    <row r="97" spans="1:16" x14ac:dyDescent="0.25">
      <c r="A97" s="1">
        <v>425</v>
      </c>
      <c r="B97" s="1">
        <v>523</v>
      </c>
      <c r="C97" s="1">
        <v>1464</v>
      </c>
      <c r="D97" s="1">
        <v>-143.9</v>
      </c>
      <c r="E97" s="1">
        <v>11.6</v>
      </c>
      <c r="F97" s="1">
        <v>3.4</v>
      </c>
      <c r="G97" s="1"/>
      <c r="H97" s="1">
        <v>425</v>
      </c>
      <c r="I97" s="1">
        <v>657</v>
      </c>
      <c r="J97" s="1">
        <v>2306</v>
      </c>
      <c r="K97" s="1">
        <v>-113.8</v>
      </c>
      <c r="L97" s="1">
        <v>9.1999999999999993</v>
      </c>
      <c r="M97" s="1">
        <v>2.7</v>
      </c>
      <c r="N97" s="1">
        <v>0</v>
      </c>
      <c r="O97" s="1">
        <v>0</v>
      </c>
      <c r="P97" s="1">
        <v>0</v>
      </c>
    </row>
    <row r="98" spans="1:16" x14ac:dyDescent="0.25">
      <c r="A98" s="1">
        <v>450</v>
      </c>
      <c r="B98" s="1">
        <v>509</v>
      </c>
      <c r="C98" s="1">
        <v>1385</v>
      </c>
      <c r="D98" s="1">
        <v>-168.4</v>
      </c>
      <c r="E98" s="1">
        <v>12.9</v>
      </c>
      <c r="F98" s="1">
        <v>3.7</v>
      </c>
      <c r="G98" s="1"/>
      <c r="H98" s="1">
        <v>450</v>
      </c>
      <c r="I98" s="1">
        <v>648</v>
      </c>
      <c r="J98" s="1">
        <v>2248</v>
      </c>
      <c r="K98" s="1">
        <v>-131.6</v>
      </c>
      <c r="L98" s="1">
        <v>10.1</v>
      </c>
      <c r="M98" s="1">
        <v>2.9</v>
      </c>
      <c r="N98" s="1">
        <v>0</v>
      </c>
      <c r="O98" s="1">
        <v>0</v>
      </c>
      <c r="P98" s="1">
        <v>0</v>
      </c>
    </row>
    <row r="99" spans="1:16" x14ac:dyDescent="0.25">
      <c r="A99" s="1">
        <v>475</v>
      </c>
      <c r="B99" s="1">
        <v>495</v>
      </c>
      <c r="C99" s="1">
        <v>1310</v>
      </c>
      <c r="D99" s="1">
        <v>-195.4</v>
      </c>
      <c r="E99" s="1">
        <v>14.1</v>
      </c>
      <c r="F99" s="1">
        <v>4.0999999999999996</v>
      </c>
      <c r="G99" s="1"/>
      <c r="H99" s="1">
        <v>475</v>
      </c>
      <c r="I99" s="1">
        <v>640</v>
      </c>
      <c r="J99" s="1">
        <v>2191</v>
      </c>
      <c r="K99" s="1">
        <v>-150.9</v>
      </c>
      <c r="L99" s="1">
        <v>10.9</v>
      </c>
      <c r="M99" s="1">
        <v>3.2</v>
      </c>
      <c r="N99" s="1">
        <v>0</v>
      </c>
      <c r="O99" s="1">
        <v>0</v>
      </c>
      <c r="P99" s="1">
        <v>0</v>
      </c>
    </row>
    <row r="100" spans="1:16" x14ac:dyDescent="0.25">
      <c r="A100" s="1">
        <v>500</v>
      </c>
      <c r="B100" s="1">
        <v>481</v>
      </c>
      <c r="C100" s="1">
        <v>1239</v>
      </c>
      <c r="D100" s="1">
        <v>-226.2</v>
      </c>
      <c r="E100" s="1">
        <v>15.5</v>
      </c>
      <c r="F100" s="1">
        <v>4.5</v>
      </c>
      <c r="G100" s="1"/>
      <c r="H100" s="1">
        <v>500</v>
      </c>
      <c r="I100" s="1">
        <v>632</v>
      </c>
      <c r="J100" s="1">
        <v>2137</v>
      </c>
      <c r="K100" s="1">
        <v>-171.7</v>
      </c>
      <c r="L100" s="1">
        <v>11.8</v>
      </c>
      <c r="M100" s="1">
        <v>3.4</v>
      </c>
      <c r="N100" s="1">
        <v>0</v>
      </c>
      <c r="O100" s="1">
        <v>0</v>
      </c>
      <c r="P100" s="1">
        <v>0</v>
      </c>
    </row>
    <row r="101" spans="1:16" x14ac:dyDescent="0.25">
      <c r="M101" s="1"/>
      <c r="N101" s="1"/>
      <c r="O101" s="1"/>
      <c r="P101" s="1"/>
    </row>
    <row r="102" spans="1:16" x14ac:dyDescent="0.25">
      <c r="A102" t="s">
        <v>69</v>
      </c>
      <c r="H102" t="s">
        <v>76</v>
      </c>
      <c r="M102" s="1"/>
      <c r="N102" s="1"/>
      <c r="O102" s="1"/>
      <c r="P102" s="1"/>
    </row>
    <row r="103" spans="1:16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s="1" t="s">
        <v>17</v>
      </c>
      <c r="N103" s="1" t="s">
        <v>73</v>
      </c>
      <c r="O103" s="1" t="s">
        <v>38</v>
      </c>
      <c r="P103" s="1" t="s">
        <v>74</v>
      </c>
    </row>
    <row r="104" spans="1:16" x14ac:dyDescent="0.25">
      <c r="A104" s="1">
        <v>0</v>
      </c>
      <c r="B104" s="1">
        <v>808</v>
      </c>
      <c r="C104" s="1">
        <v>3490</v>
      </c>
      <c r="D104" s="1">
        <v>-3.8</v>
      </c>
      <c r="E104" s="1">
        <v>0</v>
      </c>
      <c r="F104" s="1">
        <v>0</v>
      </c>
      <c r="H104" s="1">
        <v>0</v>
      </c>
      <c r="I104" s="1">
        <v>808</v>
      </c>
      <c r="J104" s="1">
        <v>3489</v>
      </c>
      <c r="K104" s="1">
        <v>-3.8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25</v>
      </c>
      <c r="B105" s="1">
        <v>789</v>
      </c>
      <c r="C105" s="1">
        <v>3329</v>
      </c>
      <c r="D105" s="1">
        <v>-1.3</v>
      </c>
      <c r="E105" s="1">
        <v>1.8</v>
      </c>
      <c r="F105" s="1">
        <v>0.5</v>
      </c>
      <c r="H105" s="1">
        <v>25</v>
      </c>
      <c r="I105" s="1">
        <v>798</v>
      </c>
      <c r="J105" s="1">
        <v>3409</v>
      </c>
      <c r="K105" s="1">
        <v>-1.4</v>
      </c>
      <c r="L105" s="1">
        <v>1.9</v>
      </c>
      <c r="M105" s="1">
        <v>0.6</v>
      </c>
      <c r="N105" s="1">
        <v>0</v>
      </c>
      <c r="O105" s="1">
        <v>0</v>
      </c>
      <c r="P105" s="1">
        <v>0</v>
      </c>
    </row>
    <row r="106" spans="1:16" x14ac:dyDescent="0.25">
      <c r="A106" s="1">
        <v>50</v>
      </c>
      <c r="B106" s="1">
        <v>771</v>
      </c>
      <c r="C106" s="1">
        <v>3175</v>
      </c>
      <c r="D106" s="1">
        <v>0.2</v>
      </c>
      <c r="E106" s="1">
        <v>-0.1</v>
      </c>
      <c r="F106" s="1">
        <v>0</v>
      </c>
      <c r="H106" s="1">
        <v>50</v>
      </c>
      <c r="I106" s="1">
        <v>789</v>
      </c>
      <c r="J106" s="1">
        <v>3330</v>
      </c>
      <c r="K106" s="1">
        <v>0.1</v>
      </c>
      <c r="L106" s="1">
        <v>-0.1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75</v>
      </c>
      <c r="B107" s="1">
        <v>752</v>
      </c>
      <c r="C107" s="1">
        <v>3027</v>
      </c>
      <c r="D107" s="1">
        <v>0.6</v>
      </c>
      <c r="E107" s="1">
        <v>-0.3</v>
      </c>
      <c r="F107" s="1">
        <v>-0.1</v>
      </c>
      <c r="H107" s="1">
        <v>75</v>
      </c>
      <c r="I107" s="1">
        <v>780</v>
      </c>
      <c r="J107" s="1">
        <v>3253</v>
      </c>
      <c r="K107" s="1">
        <v>0.6</v>
      </c>
      <c r="L107" s="1">
        <v>-0.3</v>
      </c>
      <c r="M107" s="1">
        <v>-0.1</v>
      </c>
      <c r="N107" s="1">
        <v>0</v>
      </c>
      <c r="O107" s="1">
        <v>0</v>
      </c>
      <c r="P107" s="1">
        <v>0</v>
      </c>
    </row>
    <row r="108" spans="1:16" x14ac:dyDescent="0.25">
      <c r="A108" s="10">
        <v>100</v>
      </c>
      <c r="B108" s="10">
        <v>734</v>
      </c>
      <c r="C108" s="10">
        <v>2884</v>
      </c>
      <c r="D108" s="10">
        <v>0</v>
      </c>
      <c r="E108" s="10">
        <v>0</v>
      </c>
      <c r="F108" s="10">
        <v>0</v>
      </c>
      <c r="H108" s="1">
        <v>100</v>
      </c>
      <c r="I108" s="1">
        <v>771</v>
      </c>
      <c r="J108" s="1">
        <v>3176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125</v>
      </c>
      <c r="B109" s="1">
        <v>717</v>
      </c>
      <c r="C109" s="1">
        <v>2747</v>
      </c>
      <c r="D109" s="1">
        <v>-1.8</v>
      </c>
      <c r="E109" s="1">
        <v>0.5</v>
      </c>
      <c r="F109" s="1">
        <v>0.1</v>
      </c>
      <c r="H109" s="1">
        <v>125</v>
      </c>
      <c r="I109" s="1">
        <v>762</v>
      </c>
      <c r="J109" s="1">
        <v>3102</v>
      </c>
      <c r="K109" s="1">
        <v>-1.6</v>
      </c>
      <c r="L109" s="1">
        <v>0.4</v>
      </c>
      <c r="M109" s="1">
        <v>0.1</v>
      </c>
      <c r="N109" s="1">
        <v>0</v>
      </c>
      <c r="O109" s="1">
        <v>0</v>
      </c>
      <c r="P109" s="1">
        <v>0</v>
      </c>
    </row>
    <row r="110" spans="1:16" x14ac:dyDescent="0.25">
      <c r="A110" s="1">
        <v>150</v>
      </c>
      <c r="B110" s="1">
        <v>699</v>
      </c>
      <c r="C110" s="1">
        <v>2614</v>
      </c>
      <c r="D110" s="1">
        <v>-4.8</v>
      </c>
      <c r="E110" s="1">
        <v>1.1000000000000001</v>
      </c>
      <c r="F110" s="1">
        <v>0.3</v>
      </c>
      <c r="H110" s="1">
        <v>150</v>
      </c>
      <c r="I110" s="1">
        <v>753</v>
      </c>
      <c r="J110" s="1">
        <v>3029</v>
      </c>
      <c r="K110" s="1">
        <v>-4.2</v>
      </c>
      <c r="L110" s="1">
        <v>1</v>
      </c>
      <c r="M110" s="1">
        <v>0.3</v>
      </c>
      <c r="N110" s="1">
        <v>0</v>
      </c>
      <c r="O110" s="1">
        <v>0</v>
      </c>
      <c r="P110" s="1">
        <v>0</v>
      </c>
    </row>
    <row r="111" spans="1:16" x14ac:dyDescent="0.25">
      <c r="A111" s="1">
        <v>175</v>
      </c>
      <c r="B111" s="1">
        <v>682</v>
      </c>
      <c r="C111" s="1">
        <v>2487</v>
      </c>
      <c r="D111" s="1">
        <v>-9.1</v>
      </c>
      <c r="E111" s="1">
        <v>1.8</v>
      </c>
      <c r="F111" s="1">
        <v>0.5</v>
      </c>
      <c r="H111" s="1">
        <v>175</v>
      </c>
      <c r="I111" s="1">
        <v>744</v>
      </c>
      <c r="J111" s="1">
        <v>2957</v>
      </c>
      <c r="K111" s="1">
        <v>-7.9</v>
      </c>
      <c r="L111" s="1">
        <v>1.6</v>
      </c>
      <c r="M111" s="1">
        <v>0.5</v>
      </c>
      <c r="N111" s="1">
        <v>0</v>
      </c>
      <c r="O111" s="1">
        <v>0</v>
      </c>
      <c r="P111" s="1">
        <v>0</v>
      </c>
    </row>
    <row r="112" spans="1:16" x14ac:dyDescent="0.25">
      <c r="A112" s="1">
        <v>200</v>
      </c>
      <c r="B112" s="1">
        <v>665</v>
      </c>
      <c r="C112" s="1">
        <v>2364</v>
      </c>
      <c r="D112" s="1">
        <v>-14.9</v>
      </c>
      <c r="E112" s="1">
        <v>2.6</v>
      </c>
      <c r="F112" s="1">
        <v>0.7</v>
      </c>
      <c r="H112" s="1">
        <v>200</v>
      </c>
      <c r="I112" s="1">
        <v>735</v>
      </c>
      <c r="J112" s="1">
        <v>2886</v>
      </c>
      <c r="K112" s="1">
        <v>-12.9</v>
      </c>
      <c r="L112" s="1">
        <v>2.2000000000000002</v>
      </c>
      <c r="M112" s="1">
        <v>0.6</v>
      </c>
      <c r="N112" s="1">
        <v>0</v>
      </c>
      <c r="O112" s="1">
        <v>0</v>
      </c>
      <c r="P112" s="1">
        <v>0</v>
      </c>
    </row>
    <row r="113" spans="1:16" x14ac:dyDescent="0.25">
      <c r="A113" s="1">
        <v>225</v>
      </c>
      <c r="B113" s="1">
        <v>648</v>
      </c>
      <c r="C113" s="1">
        <v>2247</v>
      </c>
      <c r="D113" s="1">
        <v>-21.9</v>
      </c>
      <c r="E113" s="1">
        <v>3.3</v>
      </c>
      <c r="F113" s="1">
        <v>1</v>
      </c>
      <c r="H113" s="1">
        <v>225</v>
      </c>
      <c r="I113" s="1">
        <v>726</v>
      </c>
      <c r="J113" s="1">
        <v>2817</v>
      </c>
      <c r="K113" s="1">
        <v>-18.899999999999999</v>
      </c>
      <c r="L113" s="1">
        <v>2.9</v>
      </c>
      <c r="M113" s="1">
        <v>0.8</v>
      </c>
      <c r="N113" s="1">
        <v>0</v>
      </c>
      <c r="O113" s="1">
        <v>0</v>
      </c>
      <c r="P113" s="1">
        <v>0</v>
      </c>
    </row>
    <row r="114" spans="1:16" x14ac:dyDescent="0.25">
      <c r="A114" s="1">
        <v>250</v>
      </c>
      <c r="B114" s="1">
        <v>632</v>
      </c>
      <c r="C114" s="1">
        <v>2134</v>
      </c>
      <c r="D114" s="1">
        <v>-30.4</v>
      </c>
      <c r="E114" s="1">
        <v>4.2</v>
      </c>
      <c r="F114" s="1">
        <v>1.2</v>
      </c>
      <c r="H114" s="1">
        <v>250</v>
      </c>
      <c r="I114" s="1">
        <v>717</v>
      </c>
      <c r="J114" s="1">
        <v>2748</v>
      </c>
      <c r="K114" s="1">
        <v>-26</v>
      </c>
      <c r="L114" s="1">
        <v>3.6</v>
      </c>
      <c r="M114" s="1">
        <v>1</v>
      </c>
      <c r="N114" s="1">
        <v>0</v>
      </c>
      <c r="O114" s="1">
        <v>0</v>
      </c>
      <c r="P114" s="1">
        <v>0</v>
      </c>
    </row>
    <row r="115" spans="1:16" x14ac:dyDescent="0.25">
      <c r="A115" s="1">
        <v>275</v>
      </c>
      <c r="B115" s="1">
        <v>615</v>
      </c>
      <c r="C115" s="1">
        <v>2025</v>
      </c>
      <c r="D115" s="1">
        <v>-41</v>
      </c>
      <c r="E115" s="1">
        <v>5.0999999999999996</v>
      </c>
      <c r="F115" s="1">
        <v>1.5</v>
      </c>
      <c r="H115" s="1">
        <v>275</v>
      </c>
      <c r="I115" s="1">
        <v>708</v>
      </c>
      <c r="J115" s="1">
        <v>2682</v>
      </c>
      <c r="K115" s="1">
        <v>-34.6</v>
      </c>
      <c r="L115" s="1">
        <v>4.3</v>
      </c>
      <c r="M115" s="1">
        <v>1.3</v>
      </c>
      <c r="N115" s="1">
        <v>0</v>
      </c>
      <c r="O115" s="1">
        <v>0</v>
      </c>
      <c r="P115" s="1">
        <v>0</v>
      </c>
    </row>
    <row r="116" spans="1:16" x14ac:dyDescent="0.25">
      <c r="A116" s="1">
        <v>300</v>
      </c>
      <c r="B116" s="1">
        <v>599</v>
      </c>
      <c r="C116" s="1">
        <v>1921</v>
      </c>
      <c r="D116" s="1">
        <v>-52.8</v>
      </c>
      <c r="E116" s="1">
        <v>6</v>
      </c>
      <c r="F116" s="1">
        <v>1.8</v>
      </c>
      <c r="H116" s="1">
        <v>300</v>
      </c>
      <c r="I116" s="1">
        <v>699</v>
      </c>
      <c r="J116" s="1">
        <v>2616</v>
      </c>
      <c r="K116" s="1">
        <v>-44.2</v>
      </c>
      <c r="L116" s="1">
        <v>5.0999999999999996</v>
      </c>
      <c r="M116" s="1">
        <v>1.5</v>
      </c>
      <c r="N116" s="1">
        <v>0</v>
      </c>
      <c r="O116" s="1">
        <v>0</v>
      </c>
      <c r="P116" s="1">
        <v>0</v>
      </c>
    </row>
    <row r="117" spans="1:16" x14ac:dyDescent="0.25">
      <c r="A117" s="1">
        <v>325</v>
      </c>
      <c r="B117" s="1">
        <v>584</v>
      </c>
      <c r="C117" s="1">
        <v>1821</v>
      </c>
      <c r="D117" s="1">
        <v>-66.400000000000006</v>
      </c>
      <c r="E117" s="1">
        <v>7</v>
      </c>
      <c r="F117" s="1">
        <v>2</v>
      </c>
      <c r="H117" s="1">
        <v>325</v>
      </c>
      <c r="I117" s="1">
        <v>691</v>
      </c>
      <c r="J117" s="1">
        <v>2552</v>
      </c>
      <c r="K117" s="1">
        <v>-55.1</v>
      </c>
      <c r="L117" s="1">
        <v>5.8</v>
      </c>
      <c r="M117" s="1">
        <v>1.7</v>
      </c>
      <c r="N117" s="1">
        <v>0</v>
      </c>
      <c r="O117" s="1">
        <v>0</v>
      </c>
      <c r="P117" s="1">
        <v>0</v>
      </c>
    </row>
    <row r="118" spans="1:16" x14ac:dyDescent="0.25">
      <c r="A118" s="1">
        <v>350</v>
      </c>
      <c r="B118" s="1">
        <v>568</v>
      </c>
      <c r="C118" s="1">
        <v>1726</v>
      </c>
      <c r="D118" s="1">
        <v>-82.4</v>
      </c>
      <c r="E118" s="1">
        <v>8.1</v>
      </c>
      <c r="F118" s="1">
        <v>2.4</v>
      </c>
      <c r="H118" s="1">
        <v>350</v>
      </c>
      <c r="I118" s="1">
        <v>682</v>
      </c>
      <c r="J118" s="1">
        <v>2489</v>
      </c>
      <c r="K118" s="1">
        <v>-67.7</v>
      </c>
      <c r="L118" s="1">
        <v>6.6</v>
      </c>
      <c r="M118" s="1">
        <v>1.9</v>
      </c>
      <c r="N118" s="1">
        <v>0</v>
      </c>
      <c r="O118" s="1">
        <v>0</v>
      </c>
      <c r="P118" s="1">
        <v>0</v>
      </c>
    </row>
    <row r="119" spans="1:16" x14ac:dyDescent="0.25">
      <c r="A119" s="1">
        <v>375</v>
      </c>
      <c r="B119" s="1">
        <v>553</v>
      </c>
      <c r="C119" s="1">
        <v>1634</v>
      </c>
      <c r="D119" s="1">
        <v>-100</v>
      </c>
      <c r="E119" s="1">
        <v>9.1999999999999993</v>
      </c>
      <c r="F119" s="1">
        <v>2.7</v>
      </c>
      <c r="H119" s="1">
        <v>375</v>
      </c>
      <c r="I119" s="1">
        <v>674</v>
      </c>
      <c r="J119" s="1">
        <v>2427</v>
      </c>
      <c r="K119" s="1">
        <v>-81.2</v>
      </c>
      <c r="L119" s="1">
        <v>7.4</v>
      </c>
      <c r="M119" s="1">
        <v>2.2000000000000002</v>
      </c>
      <c r="N119" s="1">
        <v>0</v>
      </c>
      <c r="O119" s="1">
        <v>0</v>
      </c>
      <c r="P119" s="1">
        <v>0</v>
      </c>
    </row>
    <row r="120" spans="1:16" x14ac:dyDescent="0.25">
      <c r="A120" s="1">
        <v>400</v>
      </c>
      <c r="B120" s="1">
        <v>538</v>
      </c>
      <c r="C120" s="1">
        <v>1547</v>
      </c>
      <c r="D120" s="1">
        <v>-119.6</v>
      </c>
      <c r="E120" s="1">
        <v>10.3</v>
      </c>
      <c r="F120" s="1">
        <v>3</v>
      </c>
      <c r="H120" s="1">
        <v>400</v>
      </c>
      <c r="I120" s="1">
        <v>665</v>
      </c>
      <c r="J120" s="1">
        <v>2366</v>
      </c>
      <c r="K120" s="1">
        <v>-96.1</v>
      </c>
      <c r="L120" s="1">
        <v>8.3000000000000007</v>
      </c>
      <c r="M120" s="1">
        <v>2.4</v>
      </c>
      <c r="N120" s="1">
        <v>0</v>
      </c>
      <c r="O120" s="1">
        <v>0</v>
      </c>
      <c r="P120" s="1">
        <v>0</v>
      </c>
    </row>
    <row r="121" spans="1:16" x14ac:dyDescent="0.25">
      <c r="A121" s="1">
        <v>425</v>
      </c>
      <c r="B121" s="1">
        <v>523</v>
      </c>
      <c r="C121" s="1">
        <v>1464</v>
      </c>
      <c r="D121" s="1">
        <v>-142.4</v>
      </c>
      <c r="E121" s="1">
        <v>11.5</v>
      </c>
      <c r="F121" s="1">
        <v>3.3</v>
      </c>
      <c r="H121" s="1">
        <v>425</v>
      </c>
      <c r="I121" s="1">
        <v>657</v>
      </c>
      <c r="J121" s="1">
        <v>2306</v>
      </c>
      <c r="K121" s="1">
        <v>-113</v>
      </c>
      <c r="L121" s="1">
        <v>9.1</v>
      </c>
      <c r="M121" s="1">
        <v>2.7</v>
      </c>
      <c r="N121" s="1">
        <v>0</v>
      </c>
      <c r="O121" s="1">
        <v>0</v>
      </c>
      <c r="P121" s="1">
        <v>0</v>
      </c>
    </row>
    <row r="122" spans="1:16" x14ac:dyDescent="0.25">
      <c r="A122" s="1">
        <v>450</v>
      </c>
      <c r="B122" s="1">
        <v>509</v>
      </c>
      <c r="C122" s="1">
        <v>1385</v>
      </c>
      <c r="D122" s="1">
        <v>-166.7</v>
      </c>
      <c r="E122" s="1">
        <v>12.7</v>
      </c>
      <c r="F122" s="1">
        <v>3.7</v>
      </c>
      <c r="H122" s="1">
        <v>450</v>
      </c>
      <c r="I122" s="1">
        <v>648</v>
      </c>
      <c r="J122" s="1">
        <v>2248</v>
      </c>
      <c r="K122" s="1">
        <v>-130.69999999999999</v>
      </c>
      <c r="L122" s="1">
        <v>10</v>
      </c>
      <c r="M122" s="1">
        <v>2.9</v>
      </c>
      <c r="N122" s="1">
        <v>0</v>
      </c>
      <c r="O122" s="1">
        <v>0</v>
      </c>
      <c r="P122" s="1">
        <v>0</v>
      </c>
    </row>
    <row r="123" spans="1:16" x14ac:dyDescent="0.25">
      <c r="A123" s="1">
        <v>475</v>
      </c>
      <c r="B123" s="1">
        <v>495</v>
      </c>
      <c r="C123" s="1">
        <v>1310</v>
      </c>
      <c r="D123" s="1">
        <v>-193.6</v>
      </c>
      <c r="E123" s="1">
        <v>14</v>
      </c>
      <c r="F123" s="1">
        <v>4.0999999999999996</v>
      </c>
      <c r="H123" s="1">
        <v>475</v>
      </c>
      <c r="I123" s="1">
        <v>640</v>
      </c>
      <c r="J123" s="1">
        <v>2191</v>
      </c>
      <c r="K123" s="1">
        <v>-150</v>
      </c>
      <c r="L123" s="1">
        <v>10.9</v>
      </c>
      <c r="M123" s="1">
        <v>3.2</v>
      </c>
      <c r="N123" s="1">
        <v>0</v>
      </c>
      <c r="O123" s="1">
        <v>0</v>
      </c>
      <c r="P123" s="1">
        <v>0</v>
      </c>
    </row>
    <row r="124" spans="1:16" x14ac:dyDescent="0.25">
      <c r="A124" s="1">
        <v>500</v>
      </c>
      <c r="B124" s="1">
        <v>481</v>
      </c>
      <c r="C124" s="1">
        <v>1239</v>
      </c>
      <c r="D124" s="1">
        <v>-224.3</v>
      </c>
      <c r="E124" s="1">
        <v>15.4</v>
      </c>
      <c r="F124" s="1">
        <v>4.5</v>
      </c>
      <c r="H124" s="1">
        <v>500</v>
      </c>
      <c r="I124" s="1">
        <v>632</v>
      </c>
      <c r="J124" s="1">
        <v>2137</v>
      </c>
      <c r="K124" s="1">
        <v>-170.8</v>
      </c>
      <c r="L124" s="1">
        <v>11.8</v>
      </c>
      <c r="M124" s="1">
        <v>3.4</v>
      </c>
      <c r="N124" s="1">
        <v>0</v>
      </c>
      <c r="O124" s="1">
        <v>0</v>
      </c>
      <c r="P124" s="1">
        <v>0</v>
      </c>
    </row>
    <row r="125" spans="1:16" x14ac:dyDescent="0.25">
      <c r="M125" s="1"/>
      <c r="N125" s="1"/>
      <c r="O125" s="1"/>
      <c r="P125" s="1"/>
    </row>
    <row r="126" spans="1:16" x14ac:dyDescent="0.25">
      <c r="A126" t="s">
        <v>70</v>
      </c>
      <c r="H126" t="s">
        <v>77</v>
      </c>
      <c r="M126" s="1"/>
      <c r="N126" s="1"/>
      <c r="O126" s="1"/>
      <c r="P126" s="1"/>
    </row>
    <row r="127" spans="1:16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s="1" t="s">
        <v>17</v>
      </c>
      <c r="N127" s="1" t="s">
        <v>73</v>
      </c>
      <c r="O127" s="1" t="s">
        <v>38</v>
      </c>
      <c r="P127" s="1" t="s">
        <v>74</v>
      </c>
    </row>
    <row r="128" spans="1:16" x14ac:dyDescent="0.25">
      <c r="A128" s="1">
        <v>0</v>
      </c>
      <c r="B128" s="1">
        <v>808</v>
      </c>
      <c r="C128" s="1">
        <v>3490</v>
      </c>
      <c r="D128" s="1">
        <v>-3.8</v>
      </c>
      <c r="E128" s="1">
        <v>0</v>
      </c>
      <c r="F128" s="1">
        <v>0</v>
      </c>
      <c r="H128" s="1">
        <v>0</v>
      </c>
      <c r="I128" s="1">
        <v>808</v>
      </c>
      <c r="J128" s="1">
        <v>3489</v>
      </c>
      <c r="K128" s="1">
        <v>-3.8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25</v>
      </c>
      <c r="B129" s="1">
        <v>789</v>
      </c>
      <c r="C129" s="1">
        <v>3329</v>
      </c>
      <c r="D129" s="1">
        <v>-0.5</v>
      </c>
      <c r="E129" s="1">
        <v>0.7</v>
      </c>
      <c r="F129" s="1">
        <v>0.2</v>
      </c>
      <c r="H129" s="1">
        <v>25</v>
      </c>
      <c r="I129" s="1">
        <v>798</v>
      </c>
      <c r="J129" s="1">
        <v>3409</v>
      </c>
      <c r="K129" s="1">
        <v>-0.7</v>
      </c>
      <c r="L129" s="1">
        <v>1</v>
      </c>
      <c r="M129" s="1">
        <v>0.3</v>
      </c>
      <c r="N129" s="1">
        <v>0</v>
      </c>
      <c r="O129" s="1">
        <v>0</v>
      </c>
      <c r="P129" s="1">
        <v>0</v>
      </c>
    </row>
    <row r="130" spans="1:16" x14ac:dyDescent="0.25">
      <c r="A130" s="1">
        <v>50</v>
      </c>
      <c r="B130" s="1">
        <v>771</v>
      </c>
      <c r="C130" s="1">
        <v>3175</v>
      </c>
      <c r="D130" s="1">
        <v>1.8</v>
      </c>
      <c r="E130" s="1">
        <v>-1.3</v>
      </c>
      <c r="F130" s="1">
        <v>-0.4</v>
      </c>
      <c r="H130" s="1">
        <v>50</v>
      </c>
      <c r="I130" s="1">
        <v>789</v>
      </c>
      <c r="J130" s="1">
        <v>3330</v>
      </c>
      <c r="K130" s="1">
        <v>1.5</v>
      </c>
      <c r="L130" s="1">
        <v>-1</v>
      </c>
      <c r="M130" s="1">
        <v>-0.3</v>
      </c>
      <c r="N130" s="1">
        <v>0</v>
      </c>
      <c r="O130" s="1">
        <v>0</v>
      </c>
      <c r="P130" s="1">
        <v>0</v>
      </c>
    </row>
    <row r="131" spans="1:16" x14ac:dyDescent="0.25">
      <c r="A131" s="1">
        <v>75</v>
      </c>
      <c r="B131" s="1">
        <v>752</v>
      </c>
      <c r="C131" s="1">
        <v>3027</v>
      </c>
      <c r="D131" s="1">
        <v>3.1</v>
      </c>
      <c r="E131" s="1">
        <v>-1.4</v>
      </c>
      <c r="F131" s="1">
        <v>-0.4</v>
      </c>
      <c r="H131" s="1">
        <v>75</v>
      </c>
      <c r="I131" s="1">
        <v>780</v>
      </c>
      <c r="J131" s="1">
        <v>3253</v>
      </c>
      <c r="K131" s="1">
        <v>2.7</v>
      </c>
      <c r="L131" s="1">
        <v>-1.2</v>
      </c>
      <c r="M131" s="1">
        <v>-0.4</v>
      </c>
      <c r="N131" s="1">
        <v>0</v>
      </c>
      <c r="O131" s="1">
        <v>0</v>
      </c>
      <c r="P131" s="1">
        <v>0</v>
      </c>
    </row>
    <row r="132" spans="1:16" x14ac:dyDescent="0.25">
      <c r="A132" s="1">
        <v>100</v>
      </c>
      <c r="B132" s="1">
        <v>734</v>
      </c>
      <c r="C132" s="1">
        <v>2884</v>
      </c>
      <c r="D132" s="1">
        <v>3.2</v>
      </c>
      <c r="E132" s="1">
        <v>-1.1000000000000001</v>
      </c>
      <c r="F132" s="1">
        <v>-0.3</v>
      </c>
      <c r="H132" s="1">
        <v>100</v>
      </c>
      <c r="I132" s="1">
        <v>771</v>
      </c>
      <c r="J132" s="1">
        <v>3176</v>
      </c>
      <c r="K132" s="1">
        <v>2.9</v>
      </c>
      <c r="L132" s="1">
        <v>-1</v>
      </c>
      <c r="M132" s="1">
        <v>-0.3</v>
      </c>
      <c r="N132" s="1">
        <v>0</v>
      </c>
      <c r="O132" s="1">
        <v>0</v>
      </c>
      <c r="P132" s="1">
        <v>0</v>
      </c>
    </row>
    <row r="133" spans="1:16" x14ac:dyDescent="0.25">
      <c r="A133" s="1">
        <v>125</v>
      </c>
      <c r="B133" s="1">
        <v>717</v>
      </c>
      <c r="C133" s="1">
        <v>2747</v>
      </c>
      <c r="D133" s="1">
        <v>2.2000000000000002</v>
      </c>
      <c r="E133" s="1">
        <v>-0.6</v>
      </c>
      <c r="F133" s="1">
        <v>-0.2</v>
      </c>
      <c r="H133" s="1">
        <v>125</v>
      </c>
      <c r="I133" s="1">
        <v>762</v>
      </c>
      <c r="J133" s="1">
        <v>3102</v>
      </c>
      <c r="K133" s="1">
        <v>2</v>
      </c>
      <c r="L133" s="1">
        <v>-0.5</v>
      </c>
      <c r="M133" s="1">
        <v>-0.2</v>
      </c>
      <c r="N133" s="1">
        <v>0</v>
      </c>
      <c r="O133" s="1">
        <v>0</v>
      </c>
      <c r="P133" s="1">
        <v>0</v>
      </c>
    </row>
    <row r="134" spans="1:16" x14ac:dyDescent="0.25">
      <c r="A134" s="10">
        <v>150</v>
      </c>
      <c r="B134" s="10">
        <v>699</v>
      </c>
      <c r="C134" s="10">
        <v>2614</v>
      </c>
      <c r="D134" s="10">
        <v>0</v>
      </c>
      <c r="E134" s="10">
        <v>0</v>
      </c>
      <c r="F134" s="10">
        <v>0</v>
      </c>
      <c r="H134" s="1">
        <v>150</v>
      </c>
      <c r="I134" s="1">
        <v>753</v>
      </c>
      <c r="J134" s="1">
        <v>3029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175</v>
      </c>
      <c r="B135" s="1">
        <v>682</v>
      </c>
      <c r="C135" s="1">
        <v>2487</v>
      </c>
      <c r="D135" s="1">
        <v>-3.4</v>
      </c>
      <c r="E135" s="1">
        <v>0.7</v>
      </c>
      <c r="F135" s="1">
        <v>0.2</v>
      </c>
      <c r="H135" s="1">
        <v>175</v>
      </c>
      <c r="I135" s="1">
        <v>744</v>
      </c>
      <c r="J135" s="1">
        <v>2957</v>
      </c>
      <c r="K135" s="1">
        <v>-3</v>
      </c>
      <c r="L135" s="1">
        <v>0.6</v>
      </c>
      <c r="M135" s="1">
        <v>0.2</v>
      </c>
      <c r="N135" s="1">
        <v>0</v>
      </c>
      <c r="O135" s="1">
        <v>0</v>
      </c>
      <c r="P135" s="1">
        <v>0</v>
      </c>
    </row>
    <row r="136" spans="1:16" x14ac:dyDescent="0.25">
      <c r="A136" s="1">
        <v>200</v>
      </c>
      <c r="B136" s="1">
        <v>665</v>
      </c>
      <c r="C136" s="1">
        <v>2364</v>
      </c>
      <c r="D136" s="1">
        <v>-8.4</v>
      </c>
      <c r="E136" s="1">
        <v>1.4</v>
      </c>
      <c r="F136" s="1">
        <v>0.4</v>
      </c>
      <c r="H136" s="1">
        <v>200</v>
      </c>
      <c r="I136" s="1">
        <v>735</v>
      </c>
      <c r="J136" s="1">
        <v>2886</v>
      </c>
      <c r="K136" s="1">
        <v>-7.2</v>
      </c>
      <c r="L136" s="1">
        <v>1.2</v>
      </c>
      <c r="M136" s="1">
        <v>0.4</v>
      </c>
      <c r="N136" s="1">
        <v>0</v>
      </c>
      <c r="O136" s="1">
        <v>0</v>
      </c>
      <c r="P136" s="1">
        <v>0</v>
      </c>
    </row>
    <row r="137" spans="1:16" x14ac:dyDescent="0.25">
      <c r="A137" s="1">
        <v>225</v>
      </c>
      <c r="B137" s="1">
        <v>648</v>
      </c>
      <c r="C137" s="1">
        <v>2247</v>
      </c>
      <c r="D137" s="1">
        <v>-14.6</v>
      </c>
      <c r="E137" s="1">
        <v>2.2000000000000002</v>
      </c>
      <c r="F137" s="1">
        <v>0.6</v>
      </c>
      <c r="H137" s="1">
        <v>225</v>
      </c>
      <c r="I137" s="1">
        <v>726</v>
      </c>
      <c r="J137" s="1">
        <v>2817</v>
      </c>
      <c r="K137" s="1">
        <v>-12.5</v>
      </c>
      <c r="L137" s="1">
        <v>1.9</v>
      </c>
      <c r="M137" s="1">
        <v>0.6</v>
      </c>
      <c r="N137" s="1">
        <v>0</v>
      </c>
      <c r="O137" s="1">
        <v>0</v>
      </c>
      <c r="P137" s="1">
        <v>0</v>
      </c>
    </row>
    <row r="138" spans="1:16" x14ac:dyDescent="0.25">
      <c r="A138" s="1">
        <v>250</v>
      </c>
      <c r="B138" s="1">
        <v>632</v>
      </c>
      <c r="C138" s="1">
        <v>2134</v>
      </c>
      <c r="D138" s="1">
        <v>-22.3</v>
      </c>
      <c r="E138" s="1">
        <v>3.1</v>
      </c>
      <c r="F138" s="1">
        <v>0.9</v>
      </c>
      <c r="H138" s="1">
        <v>250</v>
      </c>
      <c r="I138" s="1">
        <v>717</v>
      </c>
      <c r="J138" s="1">
        <v>2748</v>
      </c>
      <c r="K138" s="1">
        <v>-18.899999999999999</v>
      </c>
      <c r="L138" s="1">
        <v>2.6</v>
      </c>
      <c r="M138" s="1">
        <v>0.8</v>
      </c>
      <c r="N138" s="1">
        <v>0</v>
      </c>
      <c r="O138" s="1">
        <v>0</v>
      </c>
      <c r="P138" s="1">
        <v>0</v>
      </c>
    </row>
    <row r="139" spans="1:16" x14ac:dyDescent="0.25">
      <c r="A139" s="1">
        <v>275</v>
      </c>
      <c r="B139" s="1">
        <v>615</v>
      </c>
      <c r="C139" s="1">
        <v>2025</v>
      </c>
      <c r="D139" s="1">
        <v>-32</v>
      </c>
      <c r="E139" s="1">
        <v>4</v>
      </c>
      <c r="F139" s="1">
        <v>1.2</v>
      </c>
      <c r="H139" s="1">
        <v>275</v>
      </c>
      <c r="I139" s="1">
        <v>708</v>
      </c>
      <c r="J139" s="1">
        <v>2682</v>
      </c>
      <c r="K139" s="1">
        <v>-26.8</v>
      </c>
      <c r="L139" s="1">
        <v>3.4</v>
      </c>
      <c r="M139" s="1">
        <v>1</v>
      </c>
      <c r="N139" s="1">
        <v>0</v>
      </c>
      <c r="O139" s="1">
        <v>0</v>
      </c>
      <c r="P139" s="1">
        <v>0</v>
      </c>
    </row>
    <row r="140" spans="1:16" x14ac:dyDescent="0.25">
      <c r="A140" s="1">
        <v>300</v>
      </c>
      <c r="B140" s="1">
        <v>599</v>
      </c>
      <c r="C140" s="1">
        <v>1921</v>
      </c>
      <c r="D140" s="1">
        <v>-43</v>
      </c>
      <c r="E140" s="1">
        <v>4.9000000000000004</v>
      </c>
      <c r="F140" s="1">
        <v>1.4</v>
      </c>
      <c r="H140" s="1">
        <v>300</v>
      </c>
      <c r="I140" s="1">
        <v>699</v>
      </c>
      <c r="J140" s="1">
        <v>2616</v>
      </c>
      <c r="K140" s="1">
        <v>-35.700000000000003</v>
      </c>
      <c r="L140" s="1">
        <v>4.0999999999999996</v>
      </c>
      <c r="M140" s="1">
        <v>1.2</v>
      </c>
      <c r="N140" s="1">
        <v>0</v>
      </c>
      <c r="O140" s="1">
        <v>0</v>
      </c>
      <c r="P140" s="1">
        <v>0</v>
      </c>
    </row>
    <row r="141" spans="1:16" x14ac:dyDescent="0.25">
      <c r="A141" s="1">
        <v>325</v>
      </c>
      <c r="B141" s="1">
        <v>584</v>
      </c>
      <c r="C141" s="1">
        <v>1821</v>
      </c>
      <c r="D141" s="1">
        <v>-55.8</v>
      </c>
      <c r="E141" s="1">
        <v>5.9</v>
      </c>
      <c r="F141" s="1">
        <v>1.7</v>
      </c>
      <c r="H141" s="1">
        <v>325</v>
      </c>
      <c r="I141" s="1">
        <v>691</v>
      </c>
      <c r="J141" s="1">
        <v>2552</v>
      </c>
      <c r="K141" s="1">
        <v>-45.9</v>
      </c>
      <c r="L141" s="1">
        <v>4.9000000000000004</v>
      </c>
      <c r="M141" s="1">
        <v>1.4</v>
      </c>
      <c r="N141" s="1">
        <v>0</v>
      </c>
      <c r="O141" s="1">
        <v>0</v>
      </c>
      <c r="P141" s="1">
        <v>0</v>
      </c>
    </row>
    <row r="142" spans="1:16" x14ac:dyDescent="0.25">
      <c r="A142" s="1">
        <v>350</v>
      </c>
      <c r="B142" s="1">
        <v>568</v>
      </c>
      <c r="C142" s="1">
        <v>1726</v>
      </c>
      <c r="D142" s="1">
        <v>-71.099999999999994</v>
      </c>
      <c r="E142" s="1">
        <v>7</v>
      </c>
      <c r="F142" s="1">
        <v>2</v>
      </c>
      <c r="H142" s="1">
        <v>350</v>
      </c>
      <c r="I142" s="1">
        <v>682</v>
      </c>
      <c r="J142" s="1">
        <v>2489</v>
      </c>
      <c r="K142" s="1">
        <v>-57.7</v>
      </c>
      <c r="L142" s="1">
        <v>5.7</v>
      </c>
      <c r="M142" s="1">
        <v>1.6</v>
      </c>
      <c r="N142" s="1">
        <v>0</v>
      </c>
      <c r="O142" s="1">
        <v>0</v>
      </c>
      <c r="P142" s="1">
        <v>0</v>
      </c>
    </row>
    <row r="143" spans="1:16" x14ac:dyDescent="0.25">
      <c r="A143" s="1">
        <v>375</v>
      </c>
      <c r="B143" s="1">
        <v>553</v>
      </c>
      <c r="C143" s="1">
        <v>1634</v>
      </c>
      <c r="D143" s="1">
        <v>-87.8</v>
      </c>
      <c r="E143" s="1">
        <v>8</v>
      </c>
      <c r="F143" s="1">
        <v>2.2999999999999998</v>
      </c>
      <c r="H143" s="1">
        <v>375</v>
      </c>
      <c r="I143" s="1">
        <v>674</v>
      </c>
      <c r="J143" s="1">
        <v>2427</v>
      </c>
      <c r="K143" s="1">
        <v>-70.599999999999994</v>
      </c>
      <c r="L143" s="1">
        <v>6.5</v>
      </c>
      <c r="M143" s="1">
        <v>1.9</v>
      </c>
      <c r="N143" s="1">
        <v>0</v>
      </c>
      <c r="O143" s="1">
        <v>0</v>
      </c>
      <c r="P143" s="1">
        <v>0</v>
      </c>
    </row>
    <row r="144" spans="1:16" x14ac:dyDescent="0.25">
      <c r="A144" s="1">
        <v>400</v>
      </c>
      <c r="B144" s="1">
        <v>538</v>
      </c>
      <c r="C144" s="1">
        <v>1547</v>
      </c>
      <c r="D144" s="1">
        <v>-106.7</v>
      </c>
      <c r="E144" s="1">
        <v>9.1999999999999993</v>
      </c>
      <c r="F144" s="1">
        <v>2.7</v>
      </c>
      <c r="H144" s="1">
        <v>400</v>
      </c>
      <c r="I144" s="1">
        <v>665</v>
      </c>
      <c r="J144" s="1">
        <v>2366</v>
      </c>
      <c r="K144" s="1">
        <v>-84.7</v>
      </c>
      <c r="L144" s="1">
        <v>7.3</v>
      </c>
      <c r="M144" s="1">
        <v>2.1</v>
      </c>
      <c r="N144" s="1">
        <v>0</v>
      </c>
      <c r="O144" s="1">
        <v>0</v>
      </c>
      <c r="P144" s="1">
        <v>0</v>
      </c>
    </row>
    <row r="145" spans="1:16" x14ac:dyDescent="0.25">
      <c r="A145" s="1">
        <v>425</v>
      </c>
      <c r="B145" s="1">
        <v>523</v>
      </c>
      <c r="C145" s="1">
        <v>1464</v>
      </c>
      <c r="D145" s="1">
        <v>-128.6</v>
      </c>
      <c r="E145" s="1">
        <v>10.4</v>
      </c>
      <c r="F145" s="1">
        <v>3</v>
      </c>
      <c r="H145" s="1">
        <v>425</v>
      </c>
      <c r="I145" s="1">
        <v>657</v>
      </c>
      <c r="J145" s="1">
        <v>2306</v>
      </c>
      <c r="K145" s="1">
        <v>-100.9</v>
      </c>
      <c r="L145" s="1">
        <v>8.1999999999999993</v>
      </c>
      <c r="M145" s="1">
        <v>2.4</v>
      </c>
      <c r="N145" s="1">
        <v>0</v>
      </c>
      <c r="O145" s="1">
        <v>0</v>
      </c>
      <c r="P145" s="1">
        <v>0</v>
      </c>
    </row>
    <row r="146" spans="1:16" x14ac:dyDescent="0.25">
      <c r="A146" s="1">
        <v>450</v>
      </c>
      <c r="B146" s="1">
        <v>509</v>
      </c>
      <c r="C146" s="1">
        <v>1385</v>
      </c>
      <c r="D146" s="1">
        <v>-152.1</v>
      </c>
      <c r="E146" s="1">
        <v>11.6</v>
      </c>
      <c r="F146" s="1">
        <v>3.4</v>
      </c>
      <c r="H146" s="1">
        <v>450</v>
      </c>
      <c r="I146" s="1">
        <v>648</v>
      </c>
      <c r="J146" s="1">
        <v>2248</v>
      </c>
      <c r="K146" s="1">
        <v>-118</v>
      </c>
      <c r="L146" s="1">
        <v>9</v>
      </c>
      <c r="M146" s="1">
        <v>2.6</v>
      </c>
      <c r="N146" s="1">
        <v>0</v>
      </c>
      <c r="O146" s="1">
        <v>0</v>
      </c>
      <c r="P146" s="1">
        <v>0</v>
      </c>
    </row>
    <row r="147" spans="1:16" x14ac:dyDescent="0.25">
      <c r="A147" s="1">
        <v>475</v>
      </c>
      <c r="B147" s="1">
        <v>495</v>
      </c>
      <c r="C147" s="1">
        <v>1310</v>
      </c>
      <c r="D147" s="1">
        <v>-178.2</v>
      </c>
      <c r="E147" s="1">
        <v>12.9</v>
      </c>
      <c r="F147" s="1">
        <v>3.8</v>
      </c>
      <c r="H147" s="1">
        <v>475</v>
      </c>
      <c r="I147" s="1">
        <v>640</v>
      </c>
      <c r="J147" s="1">
        <v>2191</v>
      </c>
      <c r="K147" s="1">
        <v>-136.6</v>
      </c>
      <c r="L147" s="1">
        <v>9.9</v>
      </c>
      <c r="M147" s="1">
        <v>2.9</v>
      </c>
      <c r="N147" s="1">
        <v>0</v>
      </c>
      <c r="O147" s="1">
        <v>0</v>
      </c>
      <c r="P147" s="1">
        <v>0</v>
      </c>
    </row>
    <row r="148" spans="1:16" x14ac:dyDescent="0.25">
      <c r="A148" s="1">
        <v>500</v>
      </c>
      <c r="B148" s="1">
        <v>481</v>
      </c>
      <c r="C148" s="1">
        <v>1239</v>
      </c>
      <c r="D148" s="1">
        <v>-208.1</v>
      </c>
      <c r="E148" s="1">
        <v>14.3</v>
      </c>
      <c r="F148" s="1">
        <v>4.2</v>
      </c>
      <c r="H148" s="1">
        <v>500</v>
      </c>
      <c r="I148" s="1">
        <v>632</v>
      </c>
      <c r="J148" s="1">
        <v>2137</v>
      </c>
      <c r="K148" s="1">
        <v>-156.6</v>
      </c>
      <c r="L148" s="1">
        <v>10.8</v>
      </c>
      <c r="M148" s="1">
        <v>3.1</v>
      </c>
      <c r="N148" s="1">
        <v>0</v>
      </c>
      <c r="O148" s="1">
        <v>0</v>
      </c>
      <c r="P148" s="1">
        <v>0</v>
      </c>
    </row>
    <row r="149" spans="1:16" x14ac:dyDescent="0.25">
      <c r="M149" s="1"/>
      <c r="N149" s="1"/>
      <c r="O149" s="1"/>
      <c r="P149" s="1"/>
    </row>
    <row r="150" spans="1:16" x14ac:dyDescent="0.25">
      <c r="A150" t="s">
        <v>71</v>
      </c>
      <c r="H150" t="s">
        <v>78</v>
      </c>
      <c r="M150" s="1"/>
      <c r="N150" s="1"/>
      <c r="O150" s="1"/>
      <c r="P150" s="1"/>
    </row>
    <row r="151" spans="1:16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s="1" t="s">
        <v>17</v>
      </c>
      <c r="N151" s="1" t="s">
        <v>73</v>
      </c>
      <c r="O151" s="1" t="s">
        <v>38</v>
      </c>
      <c r="P151" s="1" t="s">
        <v>74</v>
      </c>
    </row>
    <row r="152" spans="1:16" x14ac:dyDescent="0.25">
      <c r="A152" s="1">
        <v>0</v>
      </c>
      <c r="B152" s="1">
        <v>808</v>
      </c>
      <c r="C152" s="1">
        <v>3490</v>
      </c>
      <c r="D152" s="1">
        <v>-3.8</v>
      </c>
      <c r="E152" s="1">
        <v>0</v>
      </c>
      <c r="F152" s="1">
        <v>0</v>
      </c>
      <c r="H152" s="1">
        <v>0</v>
      </c>
      <c r="I152" s="1">
        <v>808</v>
      </c>
      <c r="J152" s="1">
        <v>3489</v>
      </c>
      <c r="K152" s="1">
        <v>-3.8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25</v>
      </c>
      <c r="B153" s="1">
        <v>789</v>
      </c>
      <c r="C153" s="1">
        <v>3329</v>
      </c>
      <c r="D153" s="1">
        <v>0.5</v>
      </c>
      <c r="E153" s="1">
        <v>-0.7</v>
      </c>
      <c r="F153" s="1">
        <v>-0.2</v>
      </c>
      <c r="H153" s="1">
        <v>25</v>
      </c>
      <c r="I153" s="1">
        <v>798</v>
      </c>
      <c r="J153" s="1">
        <v>3409</v>
      </c>
      <c r="K153" s="1">
        <v>0.2</v>
      </c>
      <c r="L153" s="1">
        <v>-0.3</v>
      </c>
      <c r="M153" s="1">
        <v>-0.1</v>
      </c>
      <c r="N153" s="1">
        <v>0</v>
      </c>
      <c r="O153" s="1">
        <v>0</v>
      </c>
      <c r="P153" s="1">
        <v>0</v>
      </c>
    </row>
    <row r="154" spans="1:16" x14ac:dyDescent="0.25">
      <c r="A154" s="1">
        <v>50</v>
      </c>
      <c r="B154" s="1">
        <v>771</v>
      </c>
      <c r="C154" s="1">
        <v>3175</v>
      </c>
      <c r="D154" s="1">
        <v>3.9</v>
      </c>
      <c r="E154" s="1">
        <v>-2.7</v>
      </c>
      <c r="F154" s="1">
        <v>-0.8</v>
      </c>
      <c r="H154" s="1">
        <v>50</v>
      </c>
      <c r="I154" s="1">
        <v>789</v>
      </c>
      <c r="J154" s="1">
        <v>3330</v>
      </c>
      <c r="K154" s="1">
        <v>3.3</v>
      </c>
      <c r="L154" s="1">
        <v>-2.2999999999999998</v>
      </c>
      <c r="M154" s="1">
        <v>-0.7</v>
      </c>
      <c r="N154" s="1">
        <v>0</v>
      </c>
      <c r="O154" s="1">
        <v>0</v>
      </c>
      <c r="P154" s="1">
        <v>0</v>
      </c>
    </row>
    <row r="155" spans="1:16" x14ac:dyDescent="0.25">
      <c r="A155" s="1">
        <v>75</v>
      </c>
      <c r="B155" s="1">
        <v>752</v>
      </c>
      <c r="C155" s="1">
        <v>3027</v>
      </c>
      <c r="D155" s="1">
        <v>6.2</v>
      </c>
      <c r="E155" s="1">
        <v>-2.8</v>
      </c>
      <c r="F155" s="1">
        <v>-0.8</v>
      </c>
      <c r="H155" s="1">
        <v>75</v>
      </c>
      <c r="I155" s="1">
        <v>780</v>
      </c>
      <c r="J155" s="1">
        <v>3253</v>
      </c>
      <c r="K155" s="1">
        <v>5.4</v>
      </c>
      <c r="L155" s="1">
        <v>-2.5</v>
      </c>
      <c r="M155" s="1">
        <v>-0.7</v>
      </c>
      <c r="N155" s="1">
        <v>0</v>
      </c>
      <c r="O155" s="1">
        <v>0</v>
      </c>
      <c r="P155" s="1">
        <v>0</v>
      </c>
    </row>
    <row r="156" spans="1:16" x14ac:dyDescent="0.25">
      <c r="A156" s="1">
        <v>100</v>
      </c>
      <c r="B156" s="1">
        <v>734</v>
      </c>
      <c r="C156" s="1">
        <v>2884</v>
      </c>
      <c r="D156" s="1">
        <v>7.4</v>
      </c>
      <c r="E156" s="1">
        <v>-2.6</v>
      </c>
      <c r="F156" s="1">
        <v>-0.7</v>
      </c>
      <c r="H156" s="1">
        <v>100</v>
      </c>
      <c r="I156" s="1">
        <v>771</v>
      </c>
      <c r="J156" s="1">
        <v>3176</v>
      </c>
      <c r="K156" s="1">
        <v>6.4</v>
      </c>
      <c r="L156" s="1">
        <v>-2.2000000000000002</v>
      </c>
      <c r="M156" s="1">
        <v>-0.6</v>
      </c>
      <c r="N156" s="1">
        <v>0</v>
      </c>
      <c r="O156" s="1">
        <v>0</v>
      </c>
      <c r="P156" s="1">
        <v>0</v>
      </c>
    </row>
    <row r="157" spans="1:16" x14ac:dyDescent="0.25">
      <c r="A157" s="1">
        <v>125</v>
      </c>
      <c r="B157" s="1">
        <v>717</v>
      </c>
      <c r="C157" s="1">
        <v>2747</v>
      </c>
      <c r="D157" s="1">
        <v>7.5</v>
      </c>
      <c r="E157" s="1">
        <v>-2</v>
      </c>
      <c r="F157" s="1">
        <v>-0.6</v>
      </c>
      <c r="H157" s="1">
        <v>125</v>
      </c>
      <c r="I157" s="1">
        <v>762</v>
      </c>
      <c r="J157" s="1">
        <v>3102</v>
      </c>
      <c r="K157" s="1">
        <v>6.5</v>
      </c>
      <c r="L157" s="1">
        <v>-1.8</v>
      </c>
      <c r="M157" s="1">
        <v>-0.5</v>
      </c>
      <c r="N157" s="1">
        <v>0</v>
      </c>
      <c r="O157" s="1">
        <v>0</v>
      </c>
      <c r="P157" s="1">
        <v>0</v>
      </c>
    </row>
    <row r="158" spans="1:16" x14ac:dyDescent="0.25">
      <c r="A158" s="1">
        <v>150</v>
      </c>
      <c r="B158" s="1">
        <v>699</v>
      </c>
      <c r="C158" s="1">
        <v>2614</v>
      </c>
      <c r="D158" s="1">
        <v>6.3</v>
      </c>
      <c r="E158" s="1">
        <v>-1.4</v>
      </c>
      <c r="F158" s="1">
        <v>-0.4</v>
      </c>
      <c r="H158" s="1">
        <v>150</v>
      </c>
      <c r="I158" s="1">
        <v>753</v>
      </c>
      <c r="J158" s="1">
        <v>3029</v>
      </c>
      <c r="K158" s="1">
        <v>5.4</v>
      </c>
      <c r="L158" s="1">
        <v>-1.2</v>
      </c>
      <c r="M158" s="1">
        <v>-0.4</v>
      </c>
      <c r="N158" s="1">
        <v>0</v>
      </c>
      <c r="O158" s="1">
        <v>0</v>
      </c>
      <c r="P158" s="1">
        <v>0</v>
      </c>
    </row>
    <row r="159" spans="1:16" x14ac:dyDescent="0.25">
      <c r="A159" s="1">
        <v>175</v>
      </c>
      <c r="B159" s="1">
        <v>682</v>
      </c>
      <c r="C159" s="1">
        <v>2487</v>
      </c>
      <c r="D159" s="1">
        <v>3.9</v>
      </c>
      <c r="E159" s="1">
        <v>-0.8</v>
      </c>
      <c r="F159" s="1">
        <v>-0.2</v>
      </c>
      <c r="H159" s="1">
        <v>175</v>
      </c>
      <c r="I159" s="1">
        <v>744</v>
      </c>
      <c r="J159" s="1">
        <v>2957</v>
      </c>
      <c r="K159" s="1">
        <v>3.3</v>
      </c>
      <c r="L159" s="1">
        <v>-0.6</v>
      </c>
      <c r="M159" s="1">
        <v>-0.2</v>
      </c>
      <c r="N159" s="1">
        <v>0</v>
      </c>
      <c r="O159" s="1">
        <v>0</v>
      </c>
      <c r="P159" s="1">
        <v>0</v>
      </c>
    </row>
    <row r="160" spans="1:16" x14ac:dyDescent="0.25">
      <c r="A160" s="10">
        <v>200</v>
      </c>
      <c r="B160" s="10">
        <v>665</v>
      </c>
      <c r="C160" s="10">
        <v>2364</v>
      </c>
      <c r="D160" s="10">
        <v>0</v>
      </c>
      <c r="E160" s="10">
        <v>0</v>
      </c>
      <c r="F160" s="10">
        <v>0</v>
      </c>
      <c r="H160" s="1">
        <v>200</v>
      </c>
      <c r="I160" s="1">
        <v>735</v>
      </c>
      <c r="J160" s="1">
        <v>2886</v>
      </c>
      <c r="K160" s="1">
        <v>-0.1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225</v>
      </c>
      <c r="B161" s="1">
        <v>648</v>
      </c>
      <c r="C161" s="1">
        <v>2247</v>
      </c>
      <c r="D161" s="1">
        <v>-5.2</v>
      </c>
      <c r="E161" s="1">
        <v>0.8</v>
      </c>
      <c r="F161" s="1">
        <v>0.2</v>
      </c>
      <c r="H161" s="1">
        <v>225</v>
      </c>
      <c r="I161" s="1">
        <v>726</v>
      </c>
      <c r="J161" s="1">
        <v>2817</v>
      </c>
      <c r="K161" s="1">
        <v>-4.4000000000000004</v>
      </c>
      <c r="L161" s="1">
        <v>0.7</v>
      </c>
      <c r="M161" s="1">
        <v>0.2</v>
      </c>
      <c r="N161" s="1">
        <v>0</v>
      </c>
      <c r="O161" s="1">
        <v>0</v>
      </c>
      <c r="P161" s="1">
        <v>0</v>
      </c>
    </row>
    <row r="162" spans="1:16" x14ac:dyDescent="0.25">
      <c r="A162" s="1">
        <v>250</v>
      </c>
      <c r="B162" s="1">
        <v>632</v>
      </c>
      <c r="C162" s="1">
        <v>2134</v>
      </c>
      <c r="D162" s="1">
        <v>-11.9</v>
      </c>
      <c r="E162" s="1">
        <v>1.6</v>
      </c>
      <c r="F162" s="1">
        <v>0.5</v>
      </c>
      <c r="H162" s="1">
        <v>250</v>
      </c>
      <c r="I162" s="1">
        <v>717</v>
      </c>
      <c r="J162" s="1">
        <v>2748</v>
      </c>
      <c r="K162" s="1">
        <v>-10</v>
      </c>
      <c r="L162" s="1">
        <v>1.4</v>
      </c>
      <c r="M162" s="1">
        <v>0.4</v>
      </c>
      <c r="N162" s="1">
        <v>0</v>
      </c>
      <c r="O162" s="1">
        <v>0</v>
      </c>
      <c r="P162" s="1">
        <v>0</v>
      </c>
    </row>
    <row r="163" spans="1:16" x14ac:dyDescent="0.25">
      <c r="A163" s="1">
        <v>275</v>
      </c>
      <c r="B163" s="1">
        <v>615</v>
      </c>
      <c r="C163" s="1">
        <v>2025</v>
      </c>
      <c r="D163" s="1">
        <v>-20.5</v>
      </c>
      <c r="E163" s="1">
        <v>2.6</v>
      </c>
      <c r="F163" s="1">
        <v>0.7</v>
      </c>
      <c r="H163" s="1">
        <v>275</v>
      </c>
      <c r="I163" s="1">
        <v>708</v>
      </c>
      <c r="J163" s="1">
        <v>2682</v>
      </c>
      <c r="K163" s="1">
        <v>-17</v>
      </c>
      <c r="L163" s="1">
        <v>2.1</v>
      </c>
      <c r="M163" s="1">
        <v>0.6</v>
      </c>
      <c r="N163" s="1">
        <v>0</v>
      </c>
      <c r="O163" s="1">
        <v>0</v>
      </c>
      <c r="P163" s="1">
        <v>0</v>
      </c>
    </row>
    <row r="164" spans="1:16" x14ac:dyDescent="0.25">
      <c r="A164" s="1">
        <v>300</v>
      </c>
      <c r="B164" s="1">
        <v>599</v>
      </c>
      <c r="C164" s="1">
        <v>1921</v>
      </c>
      <c r="D164" s="1">
        <v>-30.5</v>
      </c>
      <c r="E164" s="1">
        <v>3.5</v>
      </c>
      <c r="F164" s="1">
        <v>1</v>
      </c>
      <c r="H164" s="1">
        <v>300</v>
      </c>
      <c r="I164" s="1">
        <v>699</v>
      </c>
      <c r="J164" s="1">
        <v>2616</v>
      </c>
      <c r="K164" s="1">
        <v>-25</v>
      </c>
      <c r="L164" s="1">
        <v>2.9</v>
      </c>
      <c r="M164" s="1">
        <v>0.8</v>
      </c>
      <c r="N164" s="1">
        <v>0</v>
      </c>
      <c r="O164" s="1">
        <v>0</v>
      </c>
      <c r="P164" s="1">
        <v>0</v>
      </c>
    </row>
    <row r="165" spans="1:16" x14ac:dyDescent="0.25">
      <c r="A165" s="1">
        <v>325</v>
      </c>
      <c r="B165" s="1">
        <v>584</v>
      </c>
      <c r="C165" s="1">
        <v>1821</v>
      </c>
      <c r="D165" s="1">
        <v>-42.3</v>
      </c>
      <c r="E165" s="1">
        <v>4.5</v>
      </c>
      <c r="F165" s="1">
        <v>1.3</v>
      </c>
      <c r="H165" s="1">
        <v>325</v>
      </c>
      <c r="I165" s="1">
        <v>691</v>
      </c>
      <c r="J165" s="1">
        <v>2552</v>
      </c>
      <c r="K165" s="1">
        <v>-34.200000000000003</v>
      </c>
      <c r="L165" s="1">
        <v>3.6</v>
      </c>
      <c r="M165" s="1">
        <v>1.1000000000000001</v>
      </c>
      <c r="N165" s="1">
        <v>0</v>
      </c>
      <c r="O165" s="1">
        <v>0</v>
      </c>
      <c r="P165" s="1">
        <v>0</v>
      </c>
    </row>
    <row r="166" spans="1:16" x14ac:dyDescent="0.25">
      <c r="A166" s="1">
        <v>350</v>
      </c>
      <c r="B166" s="1">
        <v>568</v>
      </c>
      <c r="C166" s="1">
        <v>1726</v>
      </c>
      <c r="D166" s="1">
        <v>-56.5</v>
      </c>
      <c r="E166" s="1">
        <v>5.5</v>
      </c>
      <c r="F166" s="1">
        <v>1.6</v>
      </c>
      <c r="H166" s="1">
        <v>350</v>
      </c>
      <c r="I166" s="1">
        <v>682</v>
      </c>
      <c r="J166" s="1">
        <v>2489</v>
      </c>
      <c r="K166" s="1">
        <v>-45.2</v>
      </c>
      <c r="L166" s="1">
        <v>4.4000000000000004</v>
      </c>
      <c r="M166" s="1">
        <v>1.3</v>
      </c>
      <c r="N166" s="1">
        <v>0</v>
      </c>
      <c r="O166" s="1">
        <v>0</v>
      </c>
      <c r="P166" s="1">
        <v>0</v>
      </c>
    </row>
    <row r="167" spans="1:16" x14ac:dyDescent="0.25">
      <c r="A167" s="1">
        <v>375</v>
      </c>
      <c r="B167" s="1">
        <v>553</v>
      </c>
      <c r="C167" s="1">
        <v>1634</v>
      </c>
      <c r="D167" s="1">
        <v>-72.099999999999994</v>
      </c>
      <c r="E167" s="1">
        <v>6.6</v>
      </c>
      <c r="F167" s="1">
        <v>1.9</v>
      </c>
      <c r="H167" s="1">
        <v>375</v>
      </c>
      <c r="I167" s="1">
        <v>674</v>
      </c>
      <c r="J167" s="1">
        <v>2427</v>
      </c>
      <c r="K167" s="1">
        <v>-57.1</v>
      </c>
      <c r="L167" s="1">
        <v>5.2</v>
      </c>
      <c r="M167" s="1">
        <v>1.5</v>
      </c>
      <c r="N167" s="1">
        <v>0</v>
      </c>
      <c r="O167" s="1">
        <v>0</v>
      </c>
      <c r="P167" s="1">
        <v>0</v>
      </c>
    </row>
    <row r="168" spans="1:16" x14ac:dyDescent="0.25">
      <c r="A168" s="1">
        <v>400</v>
      </c>
      <c r="B168" s="1">
        <v>538</v>
      </c>
      <c r="C168" s="1">
        <v>1547</v>
      </c>
      <c r="D168" s="1">
        <v>-90</v>
      </c>
      <c r="E168" s="1">
        <v>7.7</v>
      </c>
      <c r="F168" s="1">
        <v>2.2999999999999998</v>
      </c>
      <c r="H168" s="1">
        <v>400</v>
      </c>
      <c r="I168" s="1">
        <v>665</v>
      </c>
      <c r="J168" s="1">
        <v>2366</v>
      </c>
      <c r="K168" s="1">
        <v>-70.400000000000006</v>
      </c>
      <c r="L168" s="1">
        <v>6.1</v>
      </c>
      <c r="M168" s="1">
        <v>1.8</v>
      </c>
      <c r="N168" s="1">
        <v>0</v>
      </c>
      <c r="O168" s="1">
        <v>0</v>
      </c>
      <c r="P168" s="1">
        <v>0</v>
      </c>
    </row>
    <row r="169" spans="1:16" x14ac:dyDescent="0.25">
      <c r="A169" s="1">
        <v>425</v>
      </c>
      <c r="B169" s="1">
        <v>523</v>
      </c>
      <c r="C169" s="1">
        <v>1464</v>
      </c>
      <c r="D169" s="1">
        <v>-110.8</v>
      </c>
      <c r="E169" s="1">
        <v>9</v>
      </c>
      <c r="F169" s="1">
        <v>2.6</v>
      </c>
      <c r="H169" s="1">
        <v>425</v>
      </c>
      <c r="I169" s="1">
        <v>657</v>
      </c>
      <c r="J169" s="1">
        <v>2306</v>
      </c>
      <c r="K169" s="1">
        <v>-85.7</v>
      </c>
      <c r="L169" s="1">
        <v>6.9</v>
      </c>
      <c r="M169" s="1">
        <v>2</v>
      </c>
      <c r="N169" s="1">
        <v>0</v>
      </c>
      <c r="O169" s="1">
        <v>0</v>
      </c>
      <c r="P169" s="1">
        <v>0</v>
      </c>
    </row>
    <row r="170" spans="1:16" x14ac:dyDescent="0.25">
      <c r="A170" s="1">
        <v>450</v>
      </c>
      <c r="B170" s="1">
        <v>509</v>
      </c>
      <c r="C170" s="1">
        <v>1385</v>
      </c>
      <c r="D170" s="1">
        <v>-133.30000000000001</v>
      </c>
      <c r="E170" s="1">
        <v>10.199999999999999</v>
      </c>
      <c r="F170" s="1">
        <v>3</v>
      </c>
      <c r="H170" s="1">
        <v>450</v>
      </c>
      <c r="I170" s="1">
        <v>648</v>
      </c>
      <c r="J170" s="1">
        <v>2248</v>
      </c>
      <c r="K170" s="1">
        <v>-101.9</v>
      </c>
      <c r="L170" s="1">
        <v>7.8</v>
      </c>
      <c r="M170" s="1">
        <v>2.2999999999999998</v>
      </c>
      <c r="N170" s="1">
        <v>0</v>
      </c>
      <c r="O170" s="1">
        <v>0</v>
      </c>
      <c r="P170" s="1">
        <v>0</v>
      </c>
    </row>
    <row r="171" spans="1:16" x14ac:dyDescent="0.25">
      <c r="A171" s="1">
        <v>475</v>
      </c>
      <c r="B171" s="1">
        <v>495</v>
      </c>
      <c r="C171" s="1">
        <v>1310</v>
      </c>
      <c r="D171" s="1">
        <v>-158.4</v>
      </c>
      <c r="E171" s="1">
        <v>11.5</v>
      </c>
      <c r="F171" s="1">
        <v>3.3</v>
      </c>
      <c r="H171" s="1">
        <v>475</v>
      </c>
      <c r="I171" s="1">
        <v>640</v>
      </c>
      <c r="J171" s="1">
        <v>2191</v>
      </c>
      <c r="K171" s="1">
        <v>-119.6</v>
      </c>
      <c r="L171" s="1">
        <v>8.6999999999999993</v>
      </c>
      <c r="M171" s="1">
        <v>2.5</v>
      </c>
      <c r="N171" s="1">
        <v>0</v>
      </c>
      <c r="O171" s="1">
        <v>0</v>
      </c>
      <c r="P171" s="1">
        <v>0</v>
      </c>
    </row>
    <row r="172" spans="1:16" x14ac:dyDescent="0.25">
      <c r="A172" s="1">
        <v>500</v>
      </c>
      <c r="B172" s="1">
        <v>481</v>
      </c>
      <c r="C172" s="1">
        <v>1239</v>
      </c>
      <c r="D172" s="1">
        <v>-187.2</v>
      </c>
      <c r="E172" s="1">
        <v>12.9</v>
      </c>
      <c r="F172" s="1">
        <v>3.7</v>
      </c>
      <c r="H172" s="1">
        <v>500</v>
      </c>
      <c r="I172" s="1">
        <v>632</v>
      </c>
      <c r="J172" s="1">
        <v>2137</v>
      </c>
      <c r="K172" s="1">
        <v>-138.80000000000001</v>
      </c>
      <c r="L172" s="1">
        <v>9.6</v>
      </c>
      <c r="M172" s="1">
        <v>2.8</v>
      </c>
      <c r="N172" s="1">
        <v>0</v>
      </c>
      <c r="O172" s="1">
        <v>0</v>
      </c>
      <c r="P172" s="1">
        <v>0</v>
      </c>
    </row>
    <row r="173" spans="1:16" x14ac:dyDescent="0.25">
      <c r="M173" s="1"/>
      <c r="N173" s="1"/>
      <c r="O173" s="1"/>
      <c r="P173" s="1"/>
    </row>
    <row r="174" spans="1:16" x14ac:dyDescent="0.25">
      <c r="A174" t="s">
        <v>72</v>
      </c>
      <c r="H174" t="s">
        <v>79</v>
      </c>
      <c r="M174" s="1"/>
      <c r="N174" s="1"/>
      <c r="O174" s="1"/>
      <c r="P174" s="1"/>
    </row>
    <row r="175" spans="1:16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s="1" t="s">
        <v>17</v>
      </c>
      <c r="N175" s="1" t="s">
        <v>73</v>
      </c>
      <c r="O175" s="1" t="s">
        <v>38</v>
      </c>
      <c r="P175" s="1" t="s">
        <v>74</v>
      </c>
    </row>
    <row r="176" spans="1:16" x14ac:dyDescent="0.25">
      <c r="A176" s="1">
        <v>0</v>
      </c>
      <c r="B176" s="1">
        <v>808</v>
      </c>
      <c r="C176" s="1">
        <v>3490</v>
      </c>
      <c r="D176" s="1">
        <v>-3.8</v>
      </c>
      <c r="E176" s="1">
        <v>0</v>
      </c>
      <c r="F176" s="1">
        <v>0</v>
      </c>
      <c r="H176" s="1">
        <v>0</v>
      </c>
      <c r="I176" s="1">
        <v>808</v>
      </c>
      <c r="J176" s="1">
        <v>3489</v>
      </c>
      <c r="K176" s="1">
        <v>-3.8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25</v>
      </c>
      <c r="B177" s="1">
        <v>789</v>
      </c>
      <c r="C177" s="1">
        <v>3329</v>
      </c>
      <c r="D177" s="1">
        <v>3</v>
      </c>
      <c r="E177" s="1">
        <v>-4.2</v>
      </c>
      <c r="F177" s="1">
        <v>-1.2</v>
      </c>
      <c r="H177" s="1">
        <v>25</v>
      </c>
      <c r="I177" s="1">
        <v>798</v>
      </c>
      <c r="J177" s="1">
        <v>3409</v>
      </c>
      <c r="K177" s="1">
        <v>2.2999999999999998</v>
      </c>
      <c r="L177" s="1">
        <v>-3.1</v>
      </c>
      <c r="M177" s="1">
        <v>-0.9</v>
      </c>
      <c r="N177" s="1">
        <v>0</v>
      </c>
      <c r="O177" s="1">
        <v>0</v>
      </c>
      <c r="P177" s="1">
        <v>0</v>
      </c>
    </row>
    <row r="178" spans="1:16" x14ac:dyDescent="0.25">
      <c r="A178" s="1">
        <v>50</v>
      </c>
      <c r="B178" s="1">
        <v>771</v>
      </c>
      <c r="C178" s="1">
        <v>3175</v>
      </c>
      <c r="D178" s="1">
        <v>9.1</v>
      </c>
      <c r="E178" s="1">
        <v>-6.2</v>
      </c>
      <c r="F178" s="1">
        <v>-1.8</v>
      </c>
      <c r="H178" s="1">
        <v>50</v>
      </c>
      <c r="I178" s="1">
        <v>789</v>
      </c>
      <c r="J178" s="1">
        <v>3330</v>
      </c>
      <c r="K178" s="1">
        <v>7.6</v>
      </c>
      <c r="L178" s="1">
        <v>-5.0999999999999996</v>
      </c>
      <c r="M178" s="1">
        <v>-1.5</v>
      </c>
      <c r="N178" s="1">
        <v>0</v>
      </c>
      <c r="O178" s="1">
        <v>0</v>
      </c>
      <c r="P178" s="1">
        <v>0</v>
      </c>
    </row>
    <row r="179" spans="1:16" x14ac:dyDescent="0.25">
      <c r="A179" s="1">
        <v>75</v>
      </c>
      <c r="B179" s="1">
        <v>752</v>
      </c>
      <c r="C179" s="1">
        <v>3027</v>
      </c>
      <c r="D179" s="1">
        <v>13.9</v>
      </c>
      <c r="E179" s="1">
        <v>-6.3</v>
      </c>
      <c r="F179" s="1">
        <v>-1.8</v>
      </c>
      <c r="H179" s="1">
        <v>75</v>
      </c>
      <c r="I179" s="1">
        <v>780</v>
      </c>
      <c r="J179" s="1">
        <v>3252</v>
      </c>
      <c r="K179" s="1">
        <v>11.7</v>
      </c>
      <c r="L179" s="1">
        <v>-5.3</v>
      </c>
      <c r="M179" s="1">
        <v>-1.6</v>
      </c>
      <c r="N179" s="1">
        <v>0</v>
      </c>
      <c r="O179" s="1">
        <v>0</v>
      </c>
      <c r="P179" s="1">
        <v>0</v>
      </c>
    </row>
    <row r="180" spans="1:16" x14ac:dyDescent="0.25">
      <c r="A180" s="1">
        <v>100</v>
      </c>
      <c r="B180" s="1">
        <v>734</v>
      </c>
      <c r="C180" s="1">
        <v>2884</v>
      </c>
      <c r="D180" s="1">
        <v>17.600000000000001</v>
      </c>
      <c r="E180" s="1">
        <v>-6.1</v>
      </c>
      <c r="F180" s="1">
        <v>-1.8</v>
      </c>
      <c r="H180" s="1">
        <v>100</v>
      </c>
      <c r="I180" s="1">
        <v>771</v>
      </c>
      <c r="J180" s="1">
        <v>3176</v>
      </c>
      <c r="K180" s="1">
        <v>14.8</v>
      </c>
      <c r="L180" s="1">
        <v>-5.0999999999999996</v>
      </c>
      <c r="M180" s="1">
        <v>-1.5</v>
      </c>
      <c r="N180" s="1">
        <v>0</v>
      </c>
      <c r="O180" s="1">
        <v>0</v>
      </c>
      <c r="P180" s="1">
        <v>0</v>
      </c>
    </row>
    <row r="181" spans="1:16" x14ac:dyDescent="0.25">
      <c r="A181" s="1">
        <v>125</v>
      </c>
      <c r="B181" s="1">
        <v>717</v>
      </c>
      <c r="C181" s="1">
        <v>2747</v>
      </c>
      <c r="D181" s="1">
        <v>20.2</v>
      </c>
      <c r="E181" s="1">
        <v>-5.5</v>
      </c>
      <c r="F181" s="1">
        <v>-1.6</v>
      </c>
      <c r="H181" s="1">
        <v>125</v>
      </c>
      <c r="I181" s="1">
        <v>762</v>
      </c>
      <c r="J181" s="1">
        <v>3102</v>
      </c>
      <c r="K181" s="1">
        <v>16.899999999999999</v>
      </c>
      <c r="L181" s="1">
        <v>-4.5999999999999996</v>
      </c>
      <c r="M181" s="1">
        <v>-1.3</v>
      </c>
      <c r="N181" s="1">
        <v>0</v>
      </c>
      <c r="O181" s="1">
        <v>0</v>
      </c>
      <c r="P181" s="1">
        <v>0</v>
      </c>
    </row>
    <row r="182" spans="1:16" x14ac:dyDescent="0.25">
      <c r="A182" s="1">
        <v>150</v>
      </c>
      <c r="B182" s="1">
        <v>699</v>
      </c>
      <c r="C182" s="1">
        <v>2614</v>
      </c>
      <c r="D182" s="1">
        <v>21.6</v>
      </c>
      <c r="E182" s="1">
        <v>-4.9000000000000004</v>
      </c>
      <c r="F182" s="1">
        <v>-1.4</v>
      </c>
      <c r="H182" s="1">
        <v>150</v>
      </c>
      <c r="I182" s="1">
        <v>753</v>
      </c>
      <c r="J182" s="1">
        <v>3028</v>
      </c>
      <c r="K182" s="1">
        <v>17.899999999999999</v>
      </c>
      <c r="L182" s="1">
        <v>-4.0999999999999996</v>
      </c>
      <c r="M182" s="1">
        <v>-1.2</v>
      </c>
      <c r="N182" s="1">
        <v>0</v>
      </c>
      <c r="O182" s="1">
        <v>0</v>
      </c>
      <c r="P182" s="1">
        <v>0</v>
      </c>
    </row>
    <row r="183" spans="1:16" x14ac:dyDescent="0.25">
      <c r="A183" s="1">
        <v>175</v>
      </c>
      <c r="B183" s="1">
        <v>682</v>
      </c>
      <c r="C183" s="1">
        <v>2487</v>
      </c>
      <c r="D183" s="1">
        <v>21.7</v>
      </c>
      <c r="E183" s="1">
        <v>-4.3</v>
      </c>
      <c r="F183" s="1">
        <v>-1.2</v>
      </c>
      <c r="H183" s="1">
        <v>175</v>
      </c>
      <c r="I183" s="1">
        <v>744</v>
      </c>
      <c r="J183" s="1">
        <v>2957</v>
      </c>
      <c r="K183" s="1">
        <v>17.899999999999999</v>
      </c>
      <c r="L183" s="1">
        <v>-3.5</v>
      </c>
      <c r="M183" s="1">
        <v>-1</v>
      </c>
      <c r="N183" s="1">
        <v>0</v>
      </c>
      <c r="O183" s="1">
        <v>0</v>
      </c>
      <c r="P183" s="1">
        <v>0</v>
      </c>
    </row>
    <row r="184" spans="1:16" x14ac:dyDescent="0.25">
      <c r="A184" s="1">
        <v>200</v>
      </c>
      <c r="B184" s="1">
        <v>665</v>
      </c>
      <c r="C184" s="1">
        <v>2364</v>
      </c>
      <c r="D184" s="1">
        <v>20.399999999999999</v>
      </c>
      <c r="E184" s="1">
        <v>-3.5</v>
      </c>
      <c r="F184" s="1">
        <v>-1</v>
      </c>
      <c r="H184" s="1">
        <v>200</v>
      </c>
      <c r="I184" s="1">
        <v>735</v>
      </c>
      <c r="J184" s="1">
        <v>2886</v>
      </c>
      <c r="K184" s="1">
        <v>16.7</v>
      </c>
      <c r="L184" s="1">
        <v>-2.9</v>
      </c>
      <c r="M184" s="1">
        <v>-0.8</v>
      </c>
      <c r="N184" s="1">
        <v>0</v>
      </c>
      <c r="O184" s="1">
        <v>0</v>
      </c>
      <c r="P184" s="1">
        <v>0</v>
      </c>
    </row>
    <row r="185" spans="1:16" x14ac:dyDescent="0.25">
      <c r="A185" s="1">
        <v>225</v>
      </c>
      <c r="B185" s="1">
        <v>648</v>
      </c>
      <c r="C185" s="1">
        <v>2247</v>
      </c>
      <c r="D185" s="1">
        <v>17.7</v>
      </c>
      <c r="E185" s="1">
        <v>-2.7</v>
      </c>
      <c r="F185" s="1">
        <v>-0.8</v>
      </c>
      <c r="H185" s="1">
        <v>225</v>
      </c>
      <c r="I185" s="1">
        <v>726</v>
      </c>
      <c r="J185" s="1">
        <v>2816</v>
      </c>
      <c r="K185" s="1">
        <v>14.4</v>
      </c>
      <c r="L185" s="1">
        <v>-2.2000000000000002</v>
      </c>
      <c r="M185" s="1">
        <v>-0.6</v>
      </c>
      <c r="N185" s="1">
        <v>0</v>
      </c>
      <c r="O185" s="1">
        <v>0</v>
      </c>
      <c r="P185" s="1">
        <v>0</v>
      </c>
    </row>
    <row r="186" spans="1:16" x14ac:dyDescent="0.25">
      <c r="A186" s="1">
        <v>250</v>
      </c>
      <c r="B186" s="1">
        <v>632</v>
      </c>
      <c r="C186" s="1">
        <v>2133</v>
      </c>
      <c r="D186" s="1">
        <v>13.5</v>
      </c>
      <c r="E186" s="1">
        <v>-1.9</v>
      </c>
      <c r="F186" s="1">
        <v>-0.5</v>
      </c>
      <c r="H186" s="1">
        <v>250</v>
      </c>
      <c r="I186" s="1">
        <v>717</v>
      </c>
      <c r="J186" s="1">
        <v>2748</v>
      </c>
      <c r="K186" s="1">
        <v>10.9</v>
      </c>
      <c r="L186" s="1">
        <v>-1.5</v>
      </c>
      <c r="M186" s="1">
        <v>-0.4</v>
      </c>
      <c r="N186" s="1">
        <v>0</v>
      </c>
      <c r="O186" s="1">
        <v>0</v>
      </c>
      <c r="P186" s="1">
        <v>0</v>
      </c>
    </row>
    <row r="187" spans="1:16" x14ac:dyDescent="0.25">
      <c r="A187" s="1">
        <v>275</v>
      </c>
      <c r="B187" s="1">
        <v>615</v>
      </c>
      <c r="C187" s="1">
        <v>2025</v>
      </c>
      <c r="D187" s="1">
        <v>7.5</v>
      </c>
      <c r="E187" s="1">
        <v>-0.9</v>
      </c>
      <c r="F187" s="1">
        <v>-0.3</v>
      </c>
      <c r="H187" s="1">
        <v>275</v>
      </c>
      <c r="I187" s="1">
        <v>708</v>
      </c>
      <c r="J187" s="1">
        <v>2682</v>
      </c>
      <c r="K187" s="1">
        <v>6</v>
      </c>
      <c r="L187" s="1">
        <v>-0.8</v>
      </c>
      <c r="M187" s="1">
        <v>-0.2</v>
      </c>
      <c r="N187" s="1">
        <v>0</v>
      </c>
      <c r="O187" s="1">
        <v>0</v>
      </c>
      <c r="P187" s="1">
        <v>0</v>
      </c>
    </row>
    <row r="188" spans="1:16" x14ac:dyDescent="0.25">
      <c r="A188" s="10">
        <v>300</v>
      </c>
      <c r="B188" s="10">
        <v>599</v>
      </c>
      <c r="C188" s="10">
        <v>1921</v>
      </c>
      <c r="D188" s="10">
        <v>0</v>
      </c>
      <c r="E188" s="10">
        <v>0</v>
      </c>
      <c r="F188" s="10">
        <v>0</v>
      </c>
      <c r="H188" s="1">
        <v>300</v>
      </c>
      <c r="I188" s="1">
        <v>699</v>
      </c>
      <c r="J188" s="1">
        <v>2616</v>
      </c>
      <c r="K188" s="1">
        <v>0.1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325</v>
      </c>
      <c r="B189" s="1">
        <v>584</v>
      </c>
      <c r="C189" s="1">
        <v>1821</v>
      </c>
      <c r="D189" s="1">
        <v>-9.1999999999999993</v>
      </c>
      <c r="E189" s="1">
        <v>1</v>
      </c>
      <c r="F189" s="1">
        <v>0.3</v>
      </c>
      <c r="H189" s="1">
        <v>325</v>
      </c>
      <c r="I189" s="1">
        <v>691</v>
      </c>
      <c r="J189" s="1">
        <v>2552</v>
      </c>
      <c r="K189" s="1">
        <v>-7.1</v>
      </c>
      <c r="L189" s="1">
        <v>0.8</v>
      </c>
      <c r="M189" s="1">
        <v>0.2</v>
      </c>
      <c r="N189" s="1">
        <v>0</v>
      </c>
      <c r="O189" s="1">
        <v>0</v>
      </c>
      <c r="P189" s="1">
        <v>0</v>
      </c>
    </row>
    <row r="190" spans="1:16" x14ac:dyDescent="0.25">
      <c r="A190" s="1">
        <v>350</v>
      </c>
      <c r="B190" s="1">
        <v>568</v>
      </c>
      <c r="C190" s="1">
        <v>1726</v>
      </c>
      <c r="D190" s="1">
        <v>-20.8</v>
      </c>
      <c r="E190" s="1">
        <v>2</v>
      </c>
      <c r="F190" s="1">
        <v>0.6</v>
      </c>
      <c r="H190" s="1">
        <v>350</v>
      </c>
      <c r="I190" s="1">
        <v>682</v>
      </c>
      <c r="J190" s="1">
        <v>2489</v>
      </c>
      <c r="K190" s="1">
        <v>-15.9</v>
      </c>
      <c r="L190" s="1">
        <v>1.6</v>
      </c>
      <c r="M190" s="1">
        <v>0.5</v>
      </c>
      <c r="N190" s="1">
        <v>0</v>
      </c>
      <c r="O190" s="1">
        <v>0</v>
      </c>
      <c r="P190" s="1">
        <v>0</v>
      </c>
    </row>
    <row r="191" spans="1:16" x14ac:dyDescent="0.25">
      <c r="A191" s="1">
        <v>375</v>
      </c>
      <c r="B191" s="1">
        <v>553</v>
      </c>
      <c r="C191" s="1">
        <v>1634</v>
      </c>
      <c r="D191" s="1">
        <v>-34</v>
      </c>
      <c r="E191" s="1">
        <v>3.1</v>
      </c>
      <c r="F191" s="1">
        <v>0.9</v>
      </c>
      <c r="H191" s="1">
        <v>375</v>
      </c>
      <c r="I191" s="1">
        <v>674</v>
      </c>
      <c r="J191" s="1">
        <v>2427</v>
      </c>
      <c r="K191" s="1">
        <v>-25.8</v>
      </c>
      <c r="L191" s="1">
        <v>2.4</v>
      </c>
      <c r="M191" s="1">
        <v>0.7</v>
      </c>
      <c r="N191" s="1">
        <v>0</v>
      </c>
      <c r="O191" s="1">
        <v>0</v>
      </c>
      <c r="P191" s="1">
        <v>0</v>
      </c>
    </row>
    <row r="192" spans="1:16" x14ac:dyDescent="0.25">
      <c r="A192" s="1">
        <v>400</v>
      </c>
      <c r="B192" s="1">
        <v>538</v>
      </c>
      <c r="C192" s="1">
        <v>1547</v>
      </c>
      <c r="D192" s="1">
        <v>-49.3</v>
      </c>
      <c r="E192" s="1">
        <v>4.2</v>
      </c>
      <c r="F192" s="1">
        <v>1.2</v>
      </c>
      <c r="H192" s="1">
        <v>400</v>
      </c>
      <c r="I192" s="1">
        <v>665</v>
      </c>
      <c r="J192" s="1">
        <v>2366</v>
      </c>
      <c r="K192" s="1">
        <v>-37</v>
      </c>
      <c r="L192" s="1">
        <v>3.2</v>
      </c>
      <c r="M192" s="1">
        <v>0.9</v>
      </c>
      <c r="N192" s="1">
        <v>0</v>
      </c>
      <c r="O192" s="1">
        <v>0</v>
      </c>
      <c r="P192" s="1">
        <v>0</v>
      </c>
    </row>
    <row r="193" spans="1:16" x14ac:dyDescent="0.25">
      <c r="A193" s="1">
        <v>425</v>
      </c>
      <c r="B193" s="1">
        <v>523</v>
      </c>
      <c r="C193" s="1">
        <v>1464</v>
      </c>
      <c r="D193" s="1">
        <v>-67.5</v>
      </c>
      <c r="E193" s="1">
        <v>5.5</v>
      </c>
      <c r="F193" s="1">
        <v>1.6</v>
      </c>
      <c r="H193" s="1">
        <v>425</v>
      </c>
      <c r="I193" s="1">
        <v>657</v>
      </c>
      <c r="J193" s="1">
        <v>2306</v>
      </c>
      <c r="K193" s="1">
        <v>-50.2</v>
      </c>
      <c r="L193" s="1">
        <v>4.0999999999999996</v>
      </c>
      <c r="M193" s="1">
        <v>1.2</v>
      </c>
      <c r="N193" s="1">
        <v>0</v>
      </c>
      <c r="O193" s="1">
        <v>0</v>
      </c>
      <c r="P193" s="1">
        <v>0</v>
      </c>
    </row>
    <row r="194" spans="1:16" x14ac:dyDescent="0.25">
      <c r="A194" s="1">
        <v>450</v>
      </c>
      <c r="B194" s="1">
        <v>509</v>
      </c>
      <c r="C194" s="1">
        <v>1385</v>
      </c>
      <c r="D194" s="1">
        <v>-87.5</v>
      </c>
      <c r="E194" s="1">
        <v>6.7</v>
      </c>
      <c r="F194" s="1">
        <v>1.9</v>
      </c>
      <c r="H194" s="1">
        <v>450</v>
      </c>
      <c r="I194" s="1">
        <v>648</v>
      </c>
      <c r="J194" s="1">
        <v>2248</v>
      </c>
      <c r="K194" s="1">
        <v>-64.3</v>
      </c>
      <c r="L194" s="1">
        <v>4.9000000000000004</v>
      </c>
      <c r="M194" s="1">
        <v>1.4</v>
      </c>
      <c r="N194" s="1">
        <v>0</v>
      </c>
      <c r="O194" s="1">
        <v>0</v>
      </c>
      <c r="P194" s="1">
        <v>0</v>
      </c>
    </row>
    <row r="195" spans="1:16" x14ac:dyDescent="0.25">
      <c r="A195" s="1">
        <v>475</v>
      </c>
      <c r="B195" s="1">
        <v>495</v>
      </c>
      <c r="C195" s="1">
        <v>1310</v>
      </c>
      <c r="D195" s="1">
        <v>-110.1</v>
      </c>
      <c r="E195" s="1">
        <v>8</v>
      </c>
      <c r="F195" s="1">
        <v>2.2999999999999998</v>
      </c>
      <c r="H195" s="1">
        <v>475</v>
      </c>
      <c r="I195" s="1">
        <v>640</v>
      </c>
      <c r="J195" s="1">
        <v>2191</v>
      </c>
      <c r="K195" s="1">
        <v>-79.900000000000006</v>
      </c>
      <c r="L195" s="1">
        <v>5.8</v>
      </c>
      <c r="M195" s="1">
        <v>1.7</v>
      </c>
      <c r="N195" s="1">
        <v>0</v>
      </c>
      <c r="O195" s="1">
        <v>0</v>
      </c>
      <c r="P195" s="1">
        <v>0</v>
      </c>
    </row>
    <row r="196" spans="1:16" x14ac:dyDescent="0.25">
      <c r="A196" s="1">
        <v>500</v>
      </c>
      <c r="B196" s="1">
        <v>481</v>
      </c>
      <c r="C196" s="1">
        <v>1239</v>
      </c>
      <c r="D196" s="1">
        <v>-136.30000000000001</v>
      </c>
      <c r="E196" s="1">
        <v>9.4</v>
      </c>
      <c r="F196" s="1">
        <v>2.7</v>
      </c>
      <c r="H196" s="1">
        <v>500</v>
      </c>
      <c r="I196" s="1">
        <v>632</v>
      </c>
      <c r="J196" s="1">
        <v>2137</v>
      </c>
      <c r="K196" s="1">
        <v>-97.1</v>
      </c>
      <c r="L196" s="1">
        <v>6.7</v>
      </c>
      <c r="M196" s="1">
        <v>1.9</v>
      </c>
      <c r="N196" s="1">
        <v>0</v>
      </c>
      <c r="O196" s="1">
        <v>0</v>
      </c>
      <c r="P196" s="1">
        <v>0</v>
      </c>
    </row>
    <row r="205" spans="1:16" ht="30" x14ac:dyDescent="0.25">
      <c r="A205" t="s">
        <v>39</v>
      </c>
      <c r="B205" s="11" t="s">
        <v>6</v>
      </c>
      <c r="C205" s="11" t="s">
        <v>7</v>
      </c>
      <c r="D205" s="11" t="s">
        <v>8</v>
      </c>
      <c r="E205" s="11" t="s">
        <v>9</v>
      </c>
      <c r="F205" s="11" t="s">
        <v>10</v>
      </c>
      <c r="G205" s="12" t="s">
        <v>40</v>
      </c>
    </row>
    <row r="206" spans="1:16" x14ac:dyDescent="0.25">
      <c r="A206" t="s">
        <v>41</v>
      </c>
      <c r="B206" s="13" cm="1">
        <f t="array" ref="B206">INDEX(LINEST(H$22:H$35,$A$22:$A$35^{1,2,3}), 1,4)</f>
        <v>-6.1206785507480461</v>
      </c>
      <c r="C206" s="13" cm="1">
        <f t="array" ref="C206">INDEX(LINEST(I$22:I$35,$A$22:$A$35^{1,2,3}), 1,4)</f>
        <v>-6.0683617942062531</v>
      </c>
      <c r="D206" s="14" cm="1">
        <f t="array" ref="D206">INDEX(LINEST(J$22:J$35,$A$22:$A$35^{1,2,3}), 1,4)</f>
        <v>-5.1701717649904726</v>
      </c>
      <c r="E206" s="14" cm="1">
        <f t="array" ref="E206">INDEX(LINEST(K$22:K$35,$A$22:$A$35^{1,2,3}), 1,4)</f>
        <v>-3.9410364100680404</v>
      </c>
      <c r="F206" s="14" cm="1">
        <f t="array" ref="F206">INDEX(LINEST(L$22:L$35,$A$22:$A$35^{1,2,3}), 1,4)</f>
        <v>-5.8383193833020046</v>
      </c>
      <c r="G206" s="14" cm="1">
        <f t="array" ref="G206">INDEX(LINEST(B$22:B$35,$A$22:$A$35^{1,2,3}), 1,4)</f>
        <v>3491.7300000851619</v>
      </c>
    </row>
    <row r="207" spans="1:16" x14ac:dyDescent="0.25">
      <c r="A207" t="s">
        <v>42</v>
      </c>
      <c r="B207" s="14" cm="1">
        <f t="array" ref="B207">INDEX(LINEST(H$22:H$35,$A$22:$A$35^{1,2,3}), 1,3)</f>
        <v>0.23750499899447802</v>
      </c>
      <c r="C207" s="13" cm="1">
        <f t="array" ref="C207">INDEX(LINEST(I$22:I$35,$A$22:$A$35^{1,2,3}), 1,3)</f>
        <v>0.1703476342103013</v>
      </c>
      <c r="D207" s="14" cm="1">
        <f t="array" ref="D207">INDEX(LINEST(J$22:J$35,$A$22:$A$35^{1,2,3}), 1,3)</f>
        <v>0.172229142952873</v>
      </c>
      <c r="E207" s="14" cm="1">
        <f t="array" ref="E207">INDEX(LINEST(K$22:K$35,$A$22:$A$35^{1,2,3}), 1,3)</f>
        <v>0.1629833447844761</v>
      </c>
      <c r="F207" s="14" cm="1">
        <f t="array" ref="F207">INDEX(LINEST(L$22:L$35,$A$22:$A$35^{1,2,3}), 1,3)</f>
        <v>0.31107083412711761</v>
      </c>
      <c r="G207" s="14" cm="1">
        <f t="array" ref="G207">INDEX(LINEST(B$22:B$35,$A$22:$A$35^{1,2,3}), 1,3)</f>
        <v>-3.0635836143720891</v>
      </c>
    </row>
    <row r="208" spans="1:16" x14ac:dyDescent="0.25">
      <c r="A208" t="s">
        <v>43</v>
      </c>
      <c r="B208" s="14" cm="1">
        <f t="array" ref="B208">INDEX(LINEST(H$22:H$35,$A$22:$A$35^{1,2,3}), 1,2)</f>
        <v>-1.2190600888163387E-3</v>
      </c>
      <c r="C208" s="14" cm="1">
        <f t="array" ref="C208">INDEX(LINEST(I$22:I$35,$A$22:$A$35^{1,2,3}), 1,2)</f>
        <v>-1.0973721803130099E-3</v>
      </c>
      <c r="D208" s="14" cm="1">
        <f t="array" ref="D208">INDEX(LINEST(J$22:J$35,$A$22:$A$35^{1,2,3}), 1,2)</f>
        <v>-8.7429730912847912E-4</v>
      </c>
      <c r="E208" s="14" cm="1">
        <f t="array" ref="E208">INDEX(LINEST(K$22:K$35,$A$22:$A$35^{1,2,3}), 1,2)</f>
        <v>-5.8723088482651024E-4</v>
      </c>
      <c r="F208" s="14" cm="1">
        <f t="array" ref="F208">INDEX(LINEST(L$22:L$35,$A$22:$A$35^{1,2,3}), 1,2)</f>
        <v>-9.2194948123402261E-4</v>
      </c>
      <c r="G208" s="14" cm="1">
        <f t="array" ref="G208">INDEX(LINEST(B$22:B$35,$A$22:$A$35^{1,2,3}), 1,2)</f>
        <v>6.2943932673102014E-4</v>
      </c>
    </row>
    <row r="209" spans="1:7" x14ac:dyDescent="0.25">
      <c r="A209" t="s">
        <v>44</v>
      </c>
      <c r="B209" s="13" cm="1">
        <f t="array" ref="B209">INDEX(LINEST(H$22:H$35,$A$22:$A$35^{1,2,3}), 1)</f>
        <v>1.2162890063370462E-7</v>
      </c>
      <c r="C209" s="13" cm="1">
        <f t="array" ref="C209">INDEX(LINEST(I$22:I$35,$A$22:$A$35^{1,2,3}), 1)</f>
        <v>1.9561770062832107E-7</v>
      </c>
      <c r="D209" s="14" cm="1">
        <f t="array" ref="D209">INDEX(LINEST(J$22:J$35,$A$22:$A$35^{1,2,3}), 1)</f>
        <v>-9.4539485441726249E-8</v>
      </c>
      <c r="E209" s="14" cm="1">
        <f t="array" ref="E209">INDEX(LINEST(K$22:K$35,$A$22:$A$35^{1,2,3}), 1)</f>
        <v>-5.4454040797572729E-7</v>
      </c>
      <c r="F209" s="14" cm="1">
        <f t="array" ref="F209">INDEX(LINEST(L$22:L$35,$A$22:$A$35^{1,2,3}), 1)</f>
        <v>-1.5988931686946626E-7</v>
      </c>
      <c r="G209" s="14" cm="1">
        <f t="array" ref="G209">INDEX(LINEST(B$22:B$35,$A$22:$A$35^{1,2,3}), 1)</f>
        <v>4.190022796405407E-7</v>
      </c>
    </row>
    <row r="210" spans="1:7" x14ac:dyDescent="0.25">
      <c r="A210" t="s">
        <v>45</v>
      </c>
      <c r="B210" s="13"/>
      <c r="C210" s="13"/>
      <c r="D210" s="14"/>
      <c r="E210" s="14"/>
      <c r="F210" s="14"/>
      <c r="G210" s="14"/>
    </row>
    <row r="211" spans="1:7" x14ac:dyDescent="0.25">
      <c r="A211" t="s">
        <v>46</v>
      </c>
      <c r="B211" s="13"/>
      <c r="C211" s="13"/>
      <c r="D211" s="14"/>
      <c r="E211" s="14"/>
      <c r="F211" s="14"/>
      <c r="G211" s="14"/>
    </row>
    <row r="212" spans="1:7" x14ac:dyDescent="0.25">
      <c r="A212" t="s">
        <v>47</v>
      </c>
      <c r="B212" s="13"/>
      <c r="C212" s="13"/>
      <c r="D212" s="14"/>
      <c r="E212" s="14"/>
      <c r="F212" s="14"/>
      <c r="G212" s="14"/>
    </row>
    <row r="213" spans="1:7" x14ac:dyDescent="0.25">
      <c r="B213" s="13"/>
      <c r="C213" s="13"/>
      <c r="D213" s="13"/>
      <c r="E213" s="13"/>
      <c r="F213" s="13"/>
      <c r="G213" s="13"/>
    </row>
    <row r="214" spans="1:7" x14ac:dyDescent="0.25">
      <c r="A214" t="s">
        <v>48</v>
      </c>
    </row>
    <row r="215" spans="1:7" x14ac:dyDescent="0.25">
      <c r="A215" s="15" t="s">
        <v>4</v>
      </c>
      <c r="B215" s="16"/>
      <c r="C215" s="16"/>
    </row>
    <row r="216" spans="1:7" x14ac:dyDescent="0.25">
      <c r="A216" s="1">
        <v>0</v>
      </c>
      <c r="B216" s="2" cm="1">
        <f t="array" ref="B216">TrajectoryToComeUp(B$206:B$209,$A216)</f>
        <v>0</v>
      </c>
      <c r="C216" s="2" cm="1">
        <f t="array" ref="C216">TrajectoryToComeUp(C$206:C$209,$A216)</f>
        <v>0</v>
      </c>
      <c r="D216" s="2" cm="1">
        <f t="array" ref="D216">TrajectoryToComeUp(D$206:D$209,$A216)</f>
        <v>0</v>
      </c>
      <c r="E216" s="2" cm="1">
        <f t="array" ref="E216">TrajectoryToComeUp(E$206:E$209,$A216)</f>
        <v>0</v>
      </c>
      <c r="F216" s="2" cm="1">
        <f t="array" ref="F216">TrajectoryToComeUp(F$206:F$209,$A216)</f>
        <v>0</v>
      </c>
      <c r="G216" s="2" cm="1">
        <f t="array" ref="G216">EvaluatePolynomial(G$206:G$209,$A216)</f>
        <v>3491.7300000851619</v>
      </c>
    </row>
    <row r="217" spans="1:7" x14ac:dyDescent="0.25">
      <c r="A217" s="1">
        <v>25</v>
      </c>
      <c r="B217" s="2" cm="1">
        <f t="array" ref="B217">TrajectoryToComeUp(B$206:B$209,$A217)</f>
        <v>0.37722627192956215</v>
      </c>
      <c r="C217" s="2" cm="1">
        <f t="array" ref="C217">TrajectoryToComeUp(C$206:C$209,$A217)</f>
        <v>0.99698881002881368</v>
      </c>
      <c r="D217" s="2" cm="1">
        <f t="array" ref="D217">TrajectoryToComeUp(D$206:D$209,$A217)</f>
        <v>0.56494247553358956</v>
      </c>
      <c r="E217" s="2" cm="1">
        <f t="array" ref="E217">TrajectoryToComeUp(E$206:E$209,$A217)</f>
        <v>9.6792214938931059E-2</v>
      </c>
      <c r="F217" s="2" cm="1">
        <f t="array" ref="F217">TrajectoryToComeUp(F$206:F$209,$A217)</f>
        <v>-0.54389390941143456</v>
      </c>
      <c r="G217" s="2" cm="1">
        <f t="array" ref="G217">EvaluatePolynomial(G$206:G$209,$A217)</f>
        <v>3415.5403562156862</v>
      </c>
    </row>
    <row r="218" spans="1:7" x14ac:dyDescent="0.25">
      <c r="A218" s="1">
        <v>50</v>
      </c>
      <c r="B218" s="2" cm="1">
        <f t="array" ref="B218">TrajectoryToComeUp(B$206:B$209,$A218)</f>
        <v>-0.54442495790284418</v>
      </c>
      <c r="C218" s="2" cm="1">
        <f t="array" ref="C218">TrajectoryToComeUp(C$206:C$209,$A218)</f>
        <v>5.3991664379034535E-2</v>
      </c>
      <c r="D218" s="2" cm="1">
        <f t="array" ref="D218">TrajectoryToComeUp(D$206:D$209,$A218)</f>
        <v>-0.24874493483035265</v>
      </c>
      <c r="E218" s="2" cm="1">
        <f t="array" ref="E218">TrajectoryToComeUp(E$206:E$209,$A218)</f>
        <v>-0.53439721321850442</v>
      </c>
      <c r="F218" s="2" cm="1">
        <f t="array" ref="F218">TrajectoryToComeUp(F$206:F$209,$A218)</f>
        <v>-1.4780724910720271</v>
      </c>
      <c r="G218" s="2" cm="1">
        <f t="array" ref="G218">EvaluatePolynomial(G$206:G$209,$A218)</f>
        <v>3340.1767929683401</v>
      </c>
    </row>
    <row r="219" spans="1:7" x14ac:dyDescent="0.25">
      <c r="A219" s="1">
        <v>75</v>
      </c>
      <c r="B219" s="2" cm="1">
        <f t="array" ref="B219">TrajectoryToComeUp(B$206:B$209,$A219)</f>
        <v>-0.6515060755600991</v>
      </c>
      <c r="C219" s="2" cm="1">
        <f t="array" ref="C219">TrajectoryToComeUp(C$206:C$209,$A219)</f>
        <v>-8.2335796634431704E-2</v>
      </c>
      <c r="D219" s="2" cm="1">
        <f t="array" ref="D219">TrajectoryToComeUp(D$206:D$209,$A219)</f>
        <v>-0.37189436629421058</v>
      </c>
      <c r="E219" s="2" cm="1">
        <f t="array" ref="E219">TrajectoryToComeUp(E$206:E$209,$A219)</f>
        <v>-0.63330836493383824</v>
      </c>
      <c r="F219" s="2" cm="1">
        <f t="array" ref="F219">TrajectoryToComeUp(F$206:F$209,$A219)</f>
        <v>-1.6318098718314846</v>
      </c>
      <c r="G219" s="2" cm="1">
        <f t="array" ref="G219">EvaluatePolynomial(G$206:G$209,$A219)</f>
        <v>3265.6785918068404</v>
      </c>
    </row>
    <row r="220" spans="1:7" x14ac:dyDescent="0.25">
      <c r="A220" s="1">
        <v>100</v>
      </c>
      <c r="B220" s="2" cm="1">
        <f t="array" ref="B220">TrajectoryToComeUp(B$206:B$209,$A220)</f>
        <v>-0.55608493611700738</v>
      </c>
      <c r="C220" s="2" cm="1">
        <f t="array" ref="C220">TrajectoryToComeUp(C$206:C$209,$A220)</f>
        <v>-1.8829752432209832E-2</v>
      </c>
      <c r="D220" s="2" cm="1">
        <f t="array" ref="D220">TrajectoryToComeUp(D$206:D$209,$A220)</f>
        <v>-0.32152299535703094</v>
      </c>
      <c r="E220" s="2" cm="1">
        <f t="array" ref="E220">TrajectoryToComeUp(E$206:E$209,$A220)</f>
        <v>-0.59404488121387411</v>
      </c>
      <c r="F220" s="2" cm="1">
        <f t="array" ref="F220">TrajectoryToComeUp(F$206:F$209,$A220)</f>
        <v>-1.5889379900200065</v>
      </c>
      <c r="G220" s="2" cm="1">
        <f t="array" ref="G220">EvaluatePolynomial(G$206:G$209,$A220)</f>
        <v>3192.085034194904</v>
      </c>
    </row>
    <row r="221" spans="1:7" x14ac:dyDescent="0.25">
      <c r="A221" s="1">
        <v>125</v>
      </c>
      <c r="B221" s="2" cm="1">
        <f t="array" ref="B221">TrajectoryToComeUp(B$206:B$209,$A221)</f>
        <v>-0.38057511058852961</v>
      </c>
      <c r="C221" s="2" cm="1">
        <f t="array" ref="C221">TrajectoryToComeUp(C$206:C$209,$A221)</f>
        <v>0.12314256110157434</v>
      </c>
      <c r="D221" s="2" cm="1">
        <f t="array" ref="D221">TrajectoryToComeUp(D$206:D$209,$A221)</f>
        <v>-0.20103425731862362</v>
      </c>
      <c r="E221" s="2" cm="1">
        <f t="array" ref="E221">TrajectoryToComeUp(E$206:E$209,$A221)</f>
        <v>-0.49542749025997262</v>
      </c>
      <c r="F221" s="2" cm="1">
        <f t="array" ref="F221">TrajectoryToComeUp(F$206:F$209,$A221)</f>
        <v>-1.4662232333036334</v>
      </c>
      <c r="G221" s="2" cm="1">
        <f t="array" ref="G221">EvaluatePolynomial(G$206:G$209,$A221)</f>
        <v>3119.4354015962458</v>
      </c>
    </row>
    <row r="222" spans="1:7" x14ac:dyDescent="0.25">
      <c r="A222" s="1">
        <v>150</v>
      </c>
      <c r="B222" s="2" cm="1">
        <f t="array" ref="B222">TrajectoryToComeUp(B$206:B$209,$A222)</f>
        <v>-0.16578112264631911</v>
      </c>
      <c r="C222" s="2" cm="1">
        <f t="array" ref="C222">TrajectoryToComeUp(C$206:C$209,$A222)</f>
        <v>0.30312539867221322</v>
      </c>
      <c r="D222" s="2" cm="1">
        <f t="array" ref="D222">TrajectoryToComeUp(D$206:D$209,$A222)</f>
        <v>-4.4895963945591401E-2</v>
      </c>
      <c r="E222" s="2" cm="1">
        <f t="array" ref="E222">TrajectoryToComeUp(E$206:E$209,$A222)</f>
        <v>-0.36372976813925434</v>
      </c>
      <c r="F222" s="2" cm="1">
        <f t="array" ref="F222">TrajectoryToComeUp(F$206:F$209,$A222)</f>
        <v>-1.3025877309043785</v>
      </c>
      <c r="G222" s="2" cm="1">
        <f t="array" ref="G222">EvaluatePolynomial(G$206:G$209,$A222)</f>
        <v>3047.7689754745834</v>
      </c>
    </row>
    <row r="223" spans="1:7" x14ac:dyDescent="0.25">
      <c r="A223" s="1">
        <v>175</v>
      </c>
      <c r="B223" s="2" cm="1">
        <f t="array" ref="B223">TrajectoryToComeUp(B$206:B$209,$A223)</f>
        <v>7.0809374707486078E-2</v>
      </c>
      <c r="C223" s="2" cm="1">
        <f t="array" ref="C223">TrajectoryToComeUp(C$206:C$209,$A223)</f>
        <v>0.50378058372483114</v>
      </c>
      <c r="D223" s="2" cm="1">
        <f t="array" ref="D223">TrajectoryToComeUp(D$206:D$209,$A223)</f>
        <v>0.1321199654335212</v>
      </c>
      <c r="E223" s="2" cm="1">
        <f t="array" ref="E223">TrajectoryToComeUp(E$206:E$209,$A223)</f>
        <v>-0.21021181888048487</v>
      </c>
      <c r="F223" s="2" cm="1">
        <f t="array" ref="F223">TrajectoryToComeUp(F$206:F$209,$A223)</f>
        <v>-1.1147123953459623</v>
      </c>
      <c r="G223" s="2" cm="1">
        <f t="array" ref="G223">EvaluatePolynomial(G$206:G$209,$A223)</f>
        <v>2977.1250372936324</v>
      </c>
    </row>
    <row r="224" spans="1:7" x14ac:dyDescent="0.25">
      <c r="A224" s="1">
        <v>200</v>
      </c>
      <c r="B224" s="2" cm="1">
        <f t="array" ref="B224">TrajectoryToComeUp(B$206:B$209,$A224)</f>
        <v>0.32045255497181763</v>
      </c>
      <c r="C224" s="2" cm="1">
        <f t="array" ref="C224">TrajectoryToComeUp(C$206:C$209,$A224)</f>
        <v>0.71643902798199077</v>
      </c>
      <c r="D224" s="2" cm="1">
        <f t="array" ref="D224">TrajectoryToComeUp(D$206:D$209,$A224)</f>
        <v>0.32262757115444218</v>
      </c>
      <c r="E224" s="2" cm="1">
        <f t="array" ref="E224">TrajectoryToComeUp(E$206:E$209,$A224)</f>
        <v>-4.0503694498047541E-2</v>
      </c>
      <c r="F224" s="2" cm="1">
        <f t="array" ref="F224">TrajectoryToComeUp(F$206:F$209,$A224)</f>
        <v>-0.91093768289024402</v>
      </c>
      <c r="G224" s="2" cm="1">
        <f t="array" ref="G224">EvaluatePolynomial(G$206:G$209,$A224)</f>
        <v>2907.5428685171091</v>
      </c>
    </row>
    <row r="225" spans="1:7" x14ac:dyDescent="0.25">
      <c r="A225" s="1">
        <v>225</v>
      </c>
      <c r="B225" s="2" cm="1">
        <f t="array" ref="B225">TrajectoryToComeUp(B$206:B$209,$A225)</f>
        <v>0.57829073675719311</v>
      </c>
      <c r="C225" s="2" cm="1">
        <f t="array" ref="C225">TrajectoryToComeUp(C$206:C$209,$A225)</f>
        <v>0.93628457128956055</v>
      </c>
      <c r="D225" s="2" cm="1">
        <f t="array" ref="D225">TrajectoryToComeUp(D$206:D$209,$A225)</f>
        <v>0.52252354229257625</v>
      </c>
      <c r="E225" s="2" cm="1">
        <f t="array" ref="E225">TrajectoryToComeUp(E$206:E$209,$A225)</f>
        <v>0.14226679833340075</v>
      </c>
      <c r="F225" s="2" cm="1">
        <f t="array" ref="F225">TrajectoryToComeUp(F$206:F$209,$A225)</f>
        <v>-0.69589718034936876</v>
      </c>
      <c r="G225" s="2" cm="1">
        <f t="array" ref="G225">EvaluatePolynomial(G$206:G$209,$A225)</f>
        <v>2839.0617506087301</v>
      </c>
    </row>
    <row r="226" spans="1:7" x14ac:dyDescent="0.25">
      <c r="A226" s="1">
        <v>250</v>
      </c>
      <c r="B226" s="2" cm="1">
        <f t="array" ref="B226">TrajectoryToComeUp(B$206:B$209,$A226)</f>
        <v>0.84140931122992324</v>
      </c>
      <c r="C226" s="2" cm="1">
        <f t="array" ref="C226">TrajectoryToComeUp(C$206:C$209,$A226)</f>
        <v>1.1604275175550609</v>
      </c>
      <c r="D226" s="2" cm="1">
        <f t="array" ref="D226">TrajectoryToComeUp(D$206:D$209,$A226)</f>
        <v>0.72934589229316549</v>
      </c>
      <c r="E226" s="2" cm="1">
        <f t="array" ref="E226">TrajectoryToComeUp(E$206:E$209,$A226)</f>
        <v>0.33622297560906589</v>
      </c>
      <c r="F226" s="2" cm="1">
        <f t="array" ref="F226">TrajectoryToComeUp(F$206:F$209,$A226)</f>
        <v>-0.47237103981062295</v>
      </c>
      <c r="G226" s="2" cm="1">
        <f t="array" ref="G226">EvaluatePolynomial(G$206:G$209,$A226)</f>
        <v>2771.720965032212</v>
      </c>
    </row>
    <row r="227" spans="1:7" x14ac:dyDescent="0.25">
      <c r="A227" s="1">
        <v>275</v>
      </c>
      <c r="B227" s="2" cm="1">
        <f t="array" ref="B227">TrajectoryToComeUp(B$206:B$209,$A227)</f>
        <v>1.1079535273140231</v>
      </c>
      <c r="C227" s="2" cm="1">
        <f t="array" ref="C227">TrajectoryToComeUp(C$206:C$209,$A227)</f>
        <v>1.3870289692650966</v>
      </c>
      <c r="D227" s="2" cm="1">
        <f t="array" ref="D227">TrajectoryToComeUp(D$206:D$209,$A227)</f>
        <v>0.94152790243954676</v>
      </c>
      <c r="E227" s="2" cm="1">
        <f t="array" ref="E227">TrajectoryToComeUp(E$206:E$209,$A227)</f>
        <v>0.54017058387135097</v>
      </c>
      <c r="F227" s="2" cm="1">
        <f t="array" ref="F227">TrajectoryToComeUp(F$206:F$209,$A227)</f>
        <v>-0.24212844896591634</v>
      </c>
      <c r="G227" s="2" cm="1">
        <f t="array" ref="G227">EvaluatePolynomial(G$206:G$209,$A227)</f>
        <v>2705.5597932512701</v>
      </c>
    </row>
    <row r="228" spans="1:7" x14ac:dyDescent="0.25">
      <c r="A228" s="1">
        <v>300</v>
      </c>
      <c r="B228" s="2" cm="1">
        <f t="array" ref="B228">TrajectoryToComeUp(B$206:B$209,$A228)</f>
        <v>1.37668688429217</v>
      </c>
      <c r="C228" s="2" cm="1">
        <f t="array" ref="C228">TrajectoryToComeUp(C$206:C$209,$A228)</f>
        <v>1.6148629947440694</v>
      </c>
      <c r="D228" s="2" cm="1">
        <f t="array" ref="D228">TrajectoryToComeUp(D$206:D$209,$A228)</f>
        <v>1.1580250935872767</v>
      </c>
      <c r="E228" s="2" cm="1">
        <f t="array" ref="E228">TrajectoryToComeUp(E$206:E$209,$A228)</f>
        <v>0.75331345414852557</v>
      </c>
      <c r="F228" s="2" cm="1">
        <f t="array" ref="F228">TrajectoryToComeUp(F$206:F$209,$A228)</f>
        <v>-6.3488662765219615E-3</v>
      </c>
      <c r="G228" s="2" cm="1">
        <f t="array" ref="G228">EvaluatePolynomial(G$206:G$209,$A228)</f>
        <v>2640.6175167296215</v>
      </c>
    </row>
    <row r="229" spans="1:7" x14ac:dyDescent="0.25">
      <c r="A229" s="1">
        <v>325</v>
      </c>
      <c r="B229" s="2" cm="1">
        <f t="array" ref="B229">TrajectoryToComeUp(B$206:B$209,$A229)</f>
        <v>1.6467533432062171</v>
      </c>
      <c r="C229" s="2" cm="1">
        <f t="array" ref="C229">TrajectoryToComeUp(C$206:C$209,$A229)</f>
        <v>1.8430808720627205</v>
      </c>
      <c r="D229" s="2" cm="1">
        <f t="array" ref="D229">TrajectoryToComeUp(D$206:D$209,$A229)</f>
        <v>1.3781143647902037</v>
      </c>
      <c r="E229" s="2" cm="1">
        <f t="array" ref="E229">TrajectoryToComeUp(E$206:E$209,$A229)</f>
        <v>0.97510039253708358</v>
      </c>
      <c r="F229" s="2" cm="1">
        <f t="array" ref="F229">TrajectoryToComeUp(F$206:F$209,$A229)</f>
        <v>0.23415116009206371</v>
      </c>
      <c r="G229" s="2" cm="1">
        <f t="array" ref="G229">EvaluatePolynomial(G$206:G$209,$A229)</f>
        <v>2576.9334169309823</v>
      </c>
    </row>
    <row r="230" spans="1:7" x14ac:dyDescent="0.25">
      <c r="A230" s="1">
        <v>350</v>
      </c>
      <c r="B230" s="2" cm="1">
        <f t="array" ref="B230">TrajectoryToComeUp(B$206:B$209,$A230)</f>
        <v>1.9175414476574906</v>
      </c>
      <c r="C230" s="2" cm="1">
        <f t="array" ref="C230">TrajectoryToComeUp(C$206:C$209,$A230)</f>
        <v>2.0710763712715781</v>
      </c>
      <c r="D230" s="2" cm="1">
        <f t="array" ref="D230">TrajectoryToComeUp(D$206:D$209,$A230)</f>
        <v>1.6012792153725035</v>
      </c>
      <c r="E230" s="2" cm="1">
        <f t="array" ref="E230">TrajectoryToComeUp(E$206:E$209,$A230)</f>
        <v>1.2051376891059491</v>
      </c>
      <c r="F230" s="2" cm="1">
        <f t="array" ref="F230">TrajectoryToComeUp(F$206:F$209,$A230)</f>
        <v>0.47878838145019942</v>
      </c>
      <c r="G230" s="2" cm="1">
        <f t="array" ref="G230">EvaluatePolynomial(G$206:G$209,$A230)</f>
        <v>2514.5467753190687</v>
      </c>
    </row>
    <row r="231" spans="1:7" x14ac:dyDescent="0.25">
      <c r="A231" s="1">
        <v>375</v>
      </c>
      <c r="B231" s="2" cm="1">
        <f t="array" ref="B231">TrajectoryToComeUp(B$206:B$209,$A231)</f>
        <v>2.1886027962869572</v>
      </c>
      <c r="C231" s="2" cm="1">
        <f t="array" ref="C231">TrajectoryToComeUp(C$206:C$209,$A231)</f>
        <v>2.2984049237410304</v>
      </c>
      <c r="D231" s="2" cm="1">
        <f t="array" ref="D231">TrajectoryToComeUp(D$206:D$209,$A231)</f>
        <v>1.8271408781719065</v>
      </c>
      <c r="E231" s="2" cm="1">
        <f t="array" ref="E231">TrajectoryToComeUp(E$206:E$209,$A231)</f>
        <v>1.4431366232389999</v>
      </c>
      <c r="F231" s="2" cm="1">
        <f t="array" ref="F231">TrajectoryToComeUp(F$206:F$209,$A231)</f>
        <v>0.72713508209214872</v>
      </c>
      <c r="G231" s="2" cm="1">
        <f t="array" ref="G231">EvaluatePolynomial(G$206:G$209,$A231)</f>
        <v>2453.4968733575975</v>
      </c>
    </row>
    <row r="232" spans="1:7" x14ac:dyDescent="0.25">
      <c r="A232" s="1">
        <v>400</v>
      </c>
      <c r="B232" s="2" cm="1">
        <f t="array" ref="B232">TrajectoryToComeUp(B$206:B$209,$A232)</f>
        <v>2.4596010880753481</v>
      </c>
      <c r="C232" s="2" cm="1">
        <f t="array" ref="C232">TrajectoryToComeUp(C$206:C$209,$A232)</f>
        <v>2.5247331029988693</v>
      </c>
      <c r="D232" s="2" cm="1">
        <f t="array" ref="D232">TrajectoryToComeUp(D$206:D$209,$A232)</f>
        <v>2.0554152778167105</v>
      </c>
      <c r="E232" s="2" cm="1">
        <f t="array" ref="E232">TrajectoryToComeUp(E$206:E$209,$A232)</f>
        <v>1.6888806544741444</v>
      </c>
      <c r="F232" s="2" cm="1">
        <f t="array" ref="F232">TrajectoryToComeUp(F$206:F$209,$A232)</f>
        <v>0.97887047523861037</v>
      </c>
      <c r="G232" s="2" cm="1">
        <f t="array" ref="G232">EvaluatePolynomial(G$206:G$209,$A232)</f>
        <v>2393.8229925102842</v>
      </c>
    </row>
    <row r="233" spans="1:7" x14ac:dyDescent="0.25">
      <c r="A233" s="1">
        <v>425</v>
      </c>
      <c r="B233" s="2" cm="1">
        <f t="array" ref="B233">TrajectoryToComeUp(B$206:B$209,$A233)</f>
        <v>2.7302791516549836</v>
      </c>
      <c r="C233" s="2" cm="1">
        <f t="array" ref="C233">TrajectoryToComeUp(C$206:C$209,$A233)</f>
        <v>2.7498059358604623</v>
      </c>
      <c r="D233" s="2" cm="1">
        <f t="array" ref="D233">TrajectoryToComeUp(D$206:D$209,$A233)</f>
        <v>2.2858851801991409</v>
      </c>
      <c r="E233" s="2" cm="1">
        <f t="array" ref="E233">TrajectoryToComeUp(E$206:E$209,$A233)</f>
        <v>1.9422041930462539</v>
      </c>
      <c r="F233" s="2" cm="1">
        <f t="array" ref="F233">TrajectoryToComeUp(F$206:F$209,$A233)</f>
        <v>1.2337492533524703</v>
      </c>
      <c r="G233" s="2" cm="1">
        <f t="array" ref="G233">EvaluatePolynomial(G$206:G$209,$A233)</f>
        <v>2335.5644142408455</v>
      </c>
    </row>
    <row r="234" spans="1:7" x14ac:dyDescent="0.25">
      <c r="A234" s="1">
        <v>450</v>
      </c>
      <c r="B234" s="2" cm="1">
        <f t="array" ref="B234">TrajectoryToComeUp(B$206:B$209,$A234)</f>
        <v>3.0004369648510045</v>
      </c>
      <c r="C234" s="2" cm="1">
        <f t="array" ref="C234">TrajectoryToComeUp(C$206:C$209,$A234)</f>
        <v>2.9734251098488755</v>
      </c>
      <c r="D234" s="2" cm="1">
        <f t="array" ref="D234">TrajectoryToComeUp(D$206:D$209,$A234)</f>
        <v>2.5183816254575988</v>
      </c>
      <c r="E234" s="2" cm="1">
        <f t="array" ref="E234">TrajectoryToComeUp(E$206:E$209,$A234)</f>
        <v>2.2029784469157838</v>
      </c>
      <c r="F234" s="2" cm="1">
        <f t="array" ref="F234">TrajectoryToComeUp(F$206:F$209,$A234)</f>
        <v>1.4915806216826393</v>
      </c>
      <c r="G234" s="2" cm="1">
        <f t="array" ref="G234">EvaluatePolynomial(G$206:G$209,$A234)</f>
        <v>2278.7604200129977</v>
      </c>
    </row>
    <row r="235" spans="1:7" x14ac:dyDescent="0.25">
      <c r="A235" s="1">
        <v>475</v>
      </c>
      <c r="B235" s="2" cm="1">
        <f t="array" ref="B235">TrajectoryToComeUp(B$206:B$209,$A235)</f>
        <v>3.2699166154200974</v>
      </c>
      <c r="C235" s="2" cm="1">
        <f t="array" ref="C235">TrajectoryToComeUp(C$206:C$209,$A235)</f>
        <v>3.1954340624823185</v>
      </c>
      <c r="D235" s="2" cm="1">
        <f t="array" ref="D235">TrajectoryToComeUp(D$206:D$209,$A235)</f>
        <v>2.7527712242276605</v>
      </c>
      <c r="E235" s="2" cm="1">
        <f t="array" ref="E235">TrajectoryToComeUp(E$206:E$209,$A235)</f>
        <v>2.4711017381567775</v>
      </c>
      <c r="F235" s="2" cm="1">
        <f t="array" ref="F235">TrajectoryToComeUp(F$206:F$209,$A235)</f>
        <v>1.7522139527940488</v>
      </c>
      <c r="G235" s="2" cm="1">
        <f t="array" ref="G235">EvaluatePolynomial(G$206:G$209,$A235)</f>
        <v>2223.4502912904572</v>
      </c>
    </row>
    <row r="236" spans="1:7" x14ac:dyDescent="0.25">
      <c r="A236" s="10">
        <v>500</v>
      </c>
      <c r="B236" s="2" cm="1">
        <f t="array" ref="B236">TrajectoryToComeUp(B$206:B$209,$A236)</f>
        <v>3.5385917735676129</v>
      </c>
      <c r="C236" s="2" cm="1">
        <f t="array" ref="C236">TrajectoryToComeUp(C$206:C$209,$A236)</f>
        <v>3.4157075437753592</v>
      </c>
      <c r="D236" s="2" cm="1">
        <f t="array" ref="D236">TrajectoryToComeUp(D$206:D$209,$A236)</f>
        <v>2.9889472650177908</v>
      </c>
      <c r="E236" s="2" cm="1">
        <f t="array" ref="E236">TrajectoryToComeUp(E$206:E$209,$A236)</f>
        <v>2.7464927244284691</v>
      </c>
      <c r="F236" s="2" cm="1">
        <f t="array" ref="F236">TrajectoryToComeUp(F$206:F$209,$A236)</f>
        <v>2.0155287447386421</v>
      </c>
      <c r="G236" s="2" cm="1">
        <f t="array" ref="G236">EvaluatePolynomial(G$206:G$209,$A236)</f>
        <v>2169.67330953694</v>
      </c>
    </row>
  </sheetData>
  <mergeCells count="3">
    <mergeCell ref="C20:G20"/>
    <mergeCell ref="H20:L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0E00C-B996-426F-B77D-F0888785B829}">
  <sheetPr codeName="Sheet3"/>
  <dimension ref="A1:P237"/>
  <sheetViews>
    <sheetView topLeftCell="A56" workbookViewId="0">
      <selection activeCell="L20" sqref="L20"/>
    </sheetView>
  </sheetViews>
  <sheetFormatPr defaultRowHeight="15" x14ac:dyDescent="0.25"/>
  <cols>
    <col min="1" max="1" width="39" customWidth="1"/>
    <col min="2" max="2" width="26.28515625" customWidth="1"/>
    <col min="3" max="3" width="20.28515625" customWidth="1"/>
    <col min="4" max="4" width="18.5703125" customWidth="1"/>
    <col min="5" max="5" width="20.7109375" customWidth="1"/>
    <col min="6" max="6" width="21.85546875" customWidth="1"/>
    <col min="7" max="7" width="27" customWidth="1"/>
    <col min="8" max="8" width="18.85546875" customWidth="1"/>
    <col min="9" max="9" width="21.5703125" customWidth="1"/>
    <col min="10" max="10" width="19.140625" customWidth="1"/>
    <col min="11" max="11" width="18.85546875" customWidth="1"/>
    <col min="12" max="12" width="17.5703125" customWidth="1"/>
    <col min="13" max="14" width="14.28515625" customWidth="1"/>
    <col min="15" max="15" width="15.140625" customWidth="1"/>
    <col min="16" max="16" width="17" customWidth="1"/>
  </cols>
  <sheetData>
    <row r="1" spans="1:9" x14ac:dyDescent="0.25">
      <c r="A1" t="s">
        <v>18</v>
      </c>
      <c r="B1" t="s">
        <v>22</v>
      </c>
      <c r="C1" t="s">
        <v>33</v>
      </c>
      <c r="D1" t="s">
        <v>35</v>
      </c>
      <c r="F1" s="27" t="s">
        <v>62</v>
      </c>
      <c r="G1" s="27"/>
      <c r="H1" s="27"/>
      <c r="I1" s="27"/>
    </row>
    <row r="2" spans="1:9" x14ac:dyDescent="0.25">
      <c r="A2" t="s">
        <v>20</v>
      </c>
      <c r="B2" s="2">
        <v>180</v>
      </c>
      <c r="C2" s="2">
        <f>CONVERT($B$2,"grain","g")</f>
        <v>11.6638038</v>
      </c>
      <c r="F2" t="s">
        <v>63</v>
      </c>
      <c r="G2" s="2">
        <v>180</v>
      </c>
      <c r="H2" s="2">
        <f>CONVERT($G$2,"grain","g")</f>
        <v>11.6638038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t="s">
        <v>11</v>
      </c>
      <c r="B4" s="2">
        <v>0.39800000000000002</v>
      </c>
      <c r="C4" s="2"/>
      <c r="F4" t="s">
        <v>11</v>
      </c>
      <c r="G4" s="2" t="s">
        <v>65</v>
      </c>
      <c r="H4" s="2"/>
    </row>
    <row r="5" spans="1:9" x14ac:dyDescent="0.25">
      <c r="A5" t="s">
        <v>21</v>
      </c>
      <c r="B5" s="2">
        <v>0.248</v>
      </c>
      <c r="C5" s="2"/>
      <c r="F5" t="s">
        <v>21</v>
      </c>
      <c r="G5" s="2">
        <v>0.248</v>
      </c>
      <c r="H5" s="2"/>
    </row>
    <row r="6" spans="1:9" x14ac:dyDescent="0.25">
      <c r="A6" t="s">
        <v>23</v>
      </c>
      <c r="B6" s="2">
        <v>3719.2</v>
      </c>
      <c r="C6" s="2">
        <f>CONVERT($B$6,"J","flb")</f>
        <v>2743.1411455920052</v>
      </c>
      <c r="F6" t="s">
        <v>66</v>
      </c>
      <c r="G6" s="2" cm="1">
        <f t="array" ref="G6">MuzzleVelocityToMuzzleEnergyFtLb($G$7,$B$2)</f>
        <v>2743.098098884795</v>
      </c>
      <c r="H6" s="2" cm="1">
        <f t="array" ref="H6">MuzzleVelocityToMuzzleEnergyJoules($H$7,$C$2)</f>
        <v>3719.1416365017476</v>
      </c>
    </row>
    <row r="7" spans="1:9" x14ac:dyDescent="0.25">
      <c r="A7" t="s">
        <v>19</v>
      </c>
      <c r="B7" s="2" cm="1">
        <f t="array" ref="B7">MuzzleEnergyToMuzzleVelocityMPS($B$6,$C$2)</f>
        <v>798.58226589555954</v>
      </c>
      <c r="C7" s="2">
        <f>CONVERT($B$7,"m","ft")</f>
        <v>2620.0205574001297</v>
      </c>
      <c r="F7" t="s">
        <v>67</v>
      </c>
      <c r="G7" s="2">
        <v>2620</v>
      </c>
      <c r="H7" s="2">
        <f>CONVERT($G$7,"ft","m")</f>
        <v>798.57600000000002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0</v>
      </c>
      <c r="C9" s="2"/>
    </row>
    <row r="10" spans="1:9" x14ac:dyDescent="0.25">
      <c r="A10" t="s">
        <v>3</v>
      </c>
      <c r="B10" s="2"/>
      <c r="C10" s="2"/>
    </row>
    <row r="11" spans="1:9" x14ac:dyDescent="0.25">
      <c r="A11" t="s">
        <v>5</v>
      </c>
      <c r="B11" t="s">
        <v>24</v>
      </c>
    </row>
    <row r="12" spans="1:9" x14ac:dyDescent="0.25">
      <c r="A12" s="15" t="s">
        <v>49</v>
      </c>
      <c r="B12" s="2">
        <v>0.5</v>
      </c>
      <c r="C12" s="19"/>
    </row>
    <row r="13" spans="1:9" x14ac:dyDescent="0.25">
      <c r="A13" s="15" t="s">
        <v>50</v>
      </c>
      <c r="B13" s="2" cm="1">
        <f t="array" ref="B13">MOAToMRAD($B$12)</f>
        <v>0.14544410433286079</v>
      </c>
      <c r="C13" s="19">
        <f>$B$13/2</f>
        <v>7.2722052166430393E-2</v>
      </c>
    </row>
    <row r="14" spans="1:9" x14ac:dyDescent="0.25">
      <c r="A14" s="15" t="s">
        <v>28</v>
      </c>
      <c r="B14" s="2">
        <f>CONVERT(1.5,"in","cm")</f>
        <v>3.81</v>
      </c>
      <c r="D14" s="2">
        <f>CONVERT($B$14,"cm","in")</f>
        <v>1.5</v>
      </c>
    </row>
    <row r="15" spans="1:9" x14ac:dyDescent="0.25">
      <c r="A15" s="15" t="s">
        <v>5</v>
      </c>
      <c r="B15" t="s">
        <v>51</v>
      </c>
    </row>
    <row r="16" spans="1:9" x14ac:dyDescent="0.25">
      <c r="A16" t="s">
        <v>52</v>
      </c>
      <c r="B16" s="16" t="s">
        <v>53</v>
      </c>
      <c r="C16" s="16" t="s">
        <v>54</v>
      </c>
      <c r="D16" s="16" t="s">
        <v>55</v>
      </c>
      <c r="E16" s="16" t="s">
        <v>56</v>
      </c>
    </row>
    <row r="17" spans="1:13" x14ac:dyDescent="0.25">
      <c r="A17" s="15" t="s">
        <v>57</v>
      </c>
      <c r="B17" s="2">
        <v>0.625</v>
      </c>
      <c r="C17">
        <f>$B17/2</f>
        <v>0.3125</v>
      </c>
      <c r="D17" s="2">
        <f>$B$17 * $B$19</f>
        <v>0.36361026083215198</v>
      </c>
      <c r="E17" s="17">
        <f>$D17/2</f>
        <v>0.18180513041607599</v>
      </c>
    </row>
    <row r="18" spans="1:13" x14ac:dyDescent="0.25">
      <c r="A18" s="15" t="s">
        <v>58</v>
      </c>
      <c r="B18" s="2">
        <v>0.25</v>
      </c>
      <c r="C18">
        <f>$B18/2</f>
        <v>0.125</v>
      </c>
      <c r="D18" s="2">
        <f>$B$18 * $B$19</f>
        <v>0.14544410433286079</v>
      </c>
      <c r="E18" s="17">
        <f>$D18/2</f>
        <v>7.2722052166430393E-2</v>
      </c>
    </row>
    <row r="19" spans="1:13" x14ac:dyDescent="0.25">
      <c r="A19" s="20" t="s">
        <v>59</v>
      </c>
      <c r="B19" s="21">
        <f>$B$13/$B$18</f>
        <v>0.58177641733144314</v>
      </c>
      <c r="C19" s="22"/>
      <c r="D19" s="23"/>
      <c r="E19" s="23"/>
      <c r="F19" s="23"/>
      <c r="G19" s="23"/>
      <c r="H19" s="22">
        <v>4.25</v>
      </c>
      <c r="I19" s="22">
        <v>4</v>
      </c>
      <c r="J19" s="22">
        <v>4</v>
      </c>
      <c r="K19" s="22">
        <v>4</v>
      </c>
      <c r="L19" s="22">
        <v>4</v>
      </c>
    </row>
    <row r="20" spans="1:13" x14ac:dyDescent="0.25">
      <c r="A20" s="20" t="s">
        <v>60</v>
      </c>
      <c r="B20" s="21"/>
      <c r="C20" s="21">
        <f>$C$17*0.61+$C17*0.39</f>
        <v>0.3125</v>
      </c>
      <c r="D20" s="21"/>
      <c r="E20" s="21" cm="1">
        <f t="array" ref="E20">ProbableAngularPOIError(D18,D17,B13,0.68)</f>
        <v>0.15024454823627703</v>
      </c>
      <c r="F20" s="23"/>
      <c r="G20" s="23"/>
      <c r="H20" s="23"/>
      <c r="I20" s="23"/>
      <c r="J20" s="22"/>
      <c r="K20" s="22"/>
      <c r="L20" s="22"/>
    </row>
    <row r="21" spans="1:13" x14ac:dyDescent="0.25">
      <c r="C21" s="26" t="s">
        <v>26</v>
      </c>
      <c r="D21" s="26"/>
      <c r="E21" s="26"/>
      <c r="F21" s="26"/>
      <c r="G21" s="26"/>
      <c r="H21" s="26" t="s">
        <v>27</v>
      </c>
      <c r="I21" s="26"/>
      <c r="J21" s="26"/>
      <c r="K21" s="26"/>
      <c r="L21" s="26"/>
      <c r="M21" s="24" t="s">
        <v>36</v>
      </c>
    </row>
    <row r="22" spans="1:13" x14ac:dyDescent="0.25">
      <c r="A22" t="s">
        <v>4</v>
      </c>
      <c r="B22" t="s">
        <v>25</v>
      </c>
      <c r="C22" t="s">
        <v>6</v>
      </c>
      <c r="D22" t="s">
        <v>7</v>
      </c>
      <c r="E22" t="s">
        <v>8</v>
      </c>
      <c r="F22" t="s">
        <v>9</v>
      </c>
      <c r="G22" t="s">
        <v>10</v>
      </c>
      <c r="H22" t="s">
        <v>6</v>
      </c>
      <c r="I22" t="s">
        <v>7</v>
      </c>
      <c r="J22" t="s">
        <v>8</v>
      </c>
      <c r="K22" t="s">
        <v>9</v>
      </c>
      <c r="L22" t="s">
        <v>10</v>
      </c>
      <c r="M22" s="24" t="s">
        <v>37</v>
      </c>
    </row>
    <row r="23" spans="1:13" x14ac:dyDescent="0.25">
      <c r="A23" s="1">
        <v>0</v>
      </c>
      <c r="B23" s="1">
        <v>3719.2</v>
      </c>
      <c r="C23" s="3"/>
      <c r="D23" s="4"/>
      <c r="E23" s="4"/>
      <c r="F23" s="4"/>
      <c r="G23" s="5"/>
      <c r="H23" s="8">
        <f>$B$14*(-1)</f>
        <v>-3.81</v>
      </c>
      <c r="I23" s="8">
        <f>$B$14*(-1)</f>
        <v>-3.81</v>
      </c>
      <c r="J23" s="8">
        <f t="shared" ref="J23:L23" si="0">$B$14*(-1)</f>
        <v>-3.81</v>
      </c>
      <c r="K23" s="8">
        <f t="shared" si="0"/>
        <v>-3.81</v>
      </c>
      <c r="L23" s="8">
        <f t="shared" si="0"/>
        <v>-3.81</v>
      </c>
      <c r="M23" s="25" cm="1">
        <f t="array" ref="M23">TrajectoryErrorCM($E$20,1,$A23)</f>
        <v>0</v>
      </c>
    </row>
    <row r="24" spans="1:13" x14ac:dyDescent="0.25">
      <c r="A24" s="1">
        <v>25</v>
      </c>
      <c r="B24" s="1">
        <v>3639.3</v>
      </c>
      <c r="C24" s="6">
        <v>-0.25</v>
      </c>
      <c r="D24" s="6">
        <v>-0.27500000000000002</v>
      </c>
      <c r="E24" s="6">
        <v>-0.245</v>
      </c>
      <c r="F24" s="6">
        <v>-0.13500000000000001</v>
      </c>
      <c r="G24" s="6">
        <v>6.25E-2</v>
      </c>
      <c r="H24" s="9" cm="1">
        <f t="array" ref="H24">TrajectoryDropInCM(C24,$A24,H$19)</f>
        <v>-2.65625099955286</v>
      </c>
      <c r="I24" s="9" cm="1">
        <f t="array" ref="I24">TrajectoryDropInCM(D24,$A24,I$19)</f>
        <v>-2.7500011091672039</v>
      </c>
      <c r="J24" s="9" cm="1">
        <f t="array" ref="J24">TrajectoryDropInCM(E24,$A24,J$19)</f>
        <v>-2.450000784326968</v>
      </c>
      <c r="K24" s="9" cm="1">
        <f t="array" ref="K24">TrajectoryDropInCM(F24,$A24,K$19)</f>
        <v>-1.3500001312200154</v>
      </c>
      <c r="L24" s="9" cm="1">
        <f t="array" ref="L24">TrajectoryDropInCM(G24,$A24,L$19)</f>
        <v>0.62500001302083352</v>
      </c>
      <c r="M24" s="25" cm="1">
        <f t="array" ref="M24">TrajectoryErrorCM($E$20,1,$A24)</f>
        <v>0.37561137059069255</v>
      </c>
    </row>
    <row r="25" spans="1:13" x14ac:dyDescent="0.25">
      <c r="A25" s="1">
        <v>50</v>
      </c>
      <c r="B25" s="1">
        <v>3554.7</v>
      </c>
      <c r="C25" s="7">
        <v>0</v>
      </c>
      <c r="D25" s="6">
        <v>-6.25E-2</v>
      </c>
      <c r="E25" s="6">
        <v>0</v>
      </c>
      <c r="F25" s="6">
        <v>0.125</v>
      </c>
      <c r="G25" s="6">
        <v>0.375</v>
      </c>
      <c r="H25" s="9" cm="1">
        <f t="array" ref="H25">TrajectoryDropInCM(C25,$A25,H$19)</f>
        <v>0</v>
      </c>
      <c r="I25" s="9" cm="1">
        <f t="array" ref="I25">TrajectoryDropInCM(D25,$A25,I$19)</f>
        <v>-1.250000026041667</v>
      </c>
      <c r="J25" s="9" cm="1">
        <f t="array" ref="J25">TrajectoryDropInCM(E25,$A25,J$19)</f>
        <v>0</v>
      </c>
      <c r="K25" s="9" cm="1">
        <f t="array" ref="K25">TrajectoryDropInCM(F25,$A25,K$19)</f>
        <v>2.5000002083333537</v>
      </c>
      <c r="L25" s="9" cm="1">
        <f t="array" ref="L25">TrajectoryDropInCM(G25,$A25,L$19)</f>
        <v>7.5000056250050626</v>
      </c>
      <c r="M25" s="25" cm="1">
        <f t="array" ref="M25">TrajectoryErrorCM($E$20,1,$A25)</f>
        <v>0.7512227411813851</v>
      </c>
    </row>
    <row r="26" spans="1:13" x14ac:dyDescent="0.25">
      <c r="A26" s="1">
        <v>75</v>
      </c>
      <c r="B26" s="1">
        <v>3459.3</v>
      </c>
      <c r="C26" s="6">
        <v>0.125</v>
      </c>
      <c r="D26" s="6">
        <v>0</v>
      </c>
      <c r="E26" s="6">
        <v>0.125</v>
      </c>
      <c r="F26" s="6">
        <v>0.1875</v>
      </c>
      <c r="G26" s="6">
        <v>0.375</v>
      </c>
      <c r="H26" s="9" cm="1">
        <f t="array" ref="H26">TrajectoryDropInCM(C26,$A26,H$19)</f>
        <v>3.9843753748321964</v>
      </c>
      <c r="I26" s="9" cm="1">
        <f t="array" ref="I26">TrajectoryDropInCM(D26,$A26,I$19)</f>
        <v>0</v>
      </c>
      <c r="J26" s="9" cm="1">
        <f t="array" ref="J26">TrajectoryDropInCM(E26,$A26,J$19)</f>
        <v>3.7500003125000307</v>
      </c>
      <c r="K26" s="9" cm="1">
        <f t="array" ref="K26">TrajectoryDropInCM(F26,$A26,K$19)</f>
        <v>5.625001054687738</v>
      </c>
      <c r="L26" s="9" cm="1">
        <f t="array" ref="L26">TrajectoryDropInCM(G26,$A26,L$19)</f>
        <v>11.250008437507594</v>
      </c>
      <c r="M26" s="25" cm="1">
        <f t="array" ref="M26">TrajectoryErrorCM($E$20,1,$A26)</f>
        <v>1.1268341117720777</v>
      </c>
    </row>
    <row r="27" spans="1:13" x14ac:dyDescent="0.25">
      <c r="A27" s="1">
        <v>100</v>
      </c>
      <c r="B27" s="1">
        <v>3380</v>
      </c>
      <c r="C27" s="6">
        <v>0.125</v>
      </c>
      <c r="D27" s="7">
        <v>0</v>
      </c>
      <c r="E27" s="6">
        <v>0.125</v>
      </c>
      <c r="F27" s="6">
        <v>0.1875</v>
      </c>
      <c r="G27" s="6">
        <v>0.375</v>
      </c>
      <c r="H27" s="9" cm="1">
        <f t="array" ref="H27">TrajectoryDropInCM(C27,$A27,H$19)</f>
        <v>5.3125004997762613</v>
      </c>
      <c r="I27" s="9" cm="1">
        <f t="array" ref="I27">TrajectoryDropInCM(D27,$A27,I$19)</f>
        <v>0</v>
      </c>
      <c r="J27" s="9" cm="1">
        <f t="array" ref="J27">TrajectoryDropInCM(E27,$A27,J$19)</f>
        <v>5.0000004166667074</v>
      </c>
      <c r="K27" s="9" cm="1">
        <f t="array" ref="K27">TrajectoryDropInCM(F27,$A27,K$19)</f>
        <v>7.5000014062503171</v>
      </c>
      <c r="L27" s="9" cm="1">
        <f t="array" ref="L27">TrajectoryDropInCM(G27,$A27,L$19)</f>
        <v>15.000011250010125</v>
      </c>
      <c r="M27" s="25" cm="1">
        <f t="array" ref="M27">TrajectoryErrorCM($E$20,1,$A27)</f>
        <v>1.5024454823627702</v>
      </c>
    </row>
    <row r="28" spans="1:13" x14ac:dyDescent="0.25">
      <c r="A28" s="1">
        <v>125</v>
      </c>
      <c r="B28" s="1">
        <v>3290.7</v>
      </c>
      <c r="C28" s="6">
        <v>0.1</v>
      </c>
      <c r="D28" s="6">
        <v>0</v>
      </c>
      <c r="E28" s="6">
        <v>0.125</v>
      </c>
      <c r="F28" s="6">
        <v>0.17499999999999999</v>
      </c>
      <c r="G28" s="6">
        <v>0.3125</v>
      </c>
      <c r="H28" s="9" cm="1">
        <f t="array" ref="H28">TrajectoryDropInCM(C28,$A28,H$19)</f>
        <v>5.3125003198567935</v>
      </c>
      <c r="I28" s="9" cm="1">
        <f t="array" ref="I28">TrajectoryDropInCM(D28,$A28,I$19)</f>
        <v>0</v>
      </c>
      <c r="J28" s="9" cm="1">
        <f t="array" ref="J28">TrajectoryDropInCM(E28,$A28,J$19)</f>
        <v>6.2500005208333844</v>
      </c>
      <c r="K28" s="9" cm="1">
        <f t="array" ref="K28">TrajectoryDropInCM(F28,$A28,K$19)</f>
        <v>8.7500014291669466</v>
      </c>
      <c r="L28" s="9" cm="1">
        <f t="array" ref="L28">TrajectoryDropInCM(G28,$A28,L$19)</f>
        <v>15.625008138025919</v>
      </c>
      <c r="M28" s="25" cm="1">
        <f t="array" ref="M28">TrajectoryErrorCM($E$20,1,$A28)</f>
        <v>1.8780568529534629</v>
      </c>
    </row>
    <row r="29" spans="1:13" x14ac:dyDescent="0.25">
      <c r="A29" s="1">
        <v>150</v>
      </c>
      <c r="B29" s="1">
        <v>3216.5</v>
      </c>
      <c r="C29" s="6">
        <v>0</v>
      </c>
      <c r="D29" s="6">
        <v>-0.125</v>
      </c>
      <c r="E29" s="7">
        <v>0</v>
      </c>
      <c r="F29" s="6">
        <v>0.125</v>
      </c>
      <c r="G29" s="6">
        <v>0.32</v>
      </c>
      <c r="H29" s="9" cm="1">
        <f t="array" ref="H29">TrajectoryDropInCM(C29,$A29,H$19)</f>
        <v>0</v>
      </c>
      <c r="I29" s="9" cm="1">
        <f t="array" ref="I29">TrajectoryDropInCM(D29,$A29,I$19)</f>
        <v>-7.5000006250000615</v>
      </c>
      <c r="J29" s="9" cm="1">
        <f t="array" ref="J29">TrajectoryDropInCM(E29,$A29,J$19)</f>
        <v>0</v>
      </c>
      <c r="K29" s="9" cm="1">
        <f t="array" ref="K29">TrajectoryDropInCM(F29,$A29,K$19)</f>
        <v>7.5000006250000615</v>
      </c>
      <c r="L29" s="9" cm="1">
        <f t="array" ref="L29">TrajectoryDropInCM(G29,$A29,L$19)</f>
        <v>19.200010485766871</v>
      </c>
      <c r="M29" s="25" cm="1">
        <f t="array" ref="M29">TrajectoryErrorCM($E$20,1,$A29)</f>
        <v>2.2536682235441554</v>
      </c>
    </row>
    <row r="30" spans="1:13" x14ac:dyDescent="0.25">
      <c r="A30" s="1">
        <v>200</v>
      </c>
      <c r="B30" s="1">
        <v>3051.5</v>
      </c>
      <c r="C30" s="6">
        <v>-0.125</v>
      </c>
      <c r="D30" s="6">
        <v>-0.18</v>
      </c>
      <c r="E30" s="6">
        <v>-0.125</v>
      </c>
      <c r="F30" s="7">
        <v>0</v>
      </c>
      <c r="G30" s="6">
        <v>0.25</v>
      </c>
      <c r="H30" s="9" cm="1">
        <f t="array" ref="H30">TrajectoryDropInCM(C30,$A30,H$19)</f>
        <v>-10.625000999552523</v>
      </c>
      <c r="I30" s="9" cm="1">
        <f t="array" ref="I30">TrajectoryDropInCM(D30,$A30,I$19)</f>
        <v>-14.400002488320515</v>
      </c>
      <c r="J30" s="9" cm="1">
        <f t="array" ref="J30">TrajectoryDropInCM(E30,$A30,J$19)</f>
        <v>-10.000000833333415</v>
      </c>
      <c r="K30" s="9" cm="1">
        <f t="array" ref="K30">TrajectoryDropInCM(F30,$A30,K$19)</f>
        <v>0</v>
      </c>
      <c r="L30" s="9" cm="1">
        <f t="array" ref="L30">TrajectoryDropInCM(G30,$A30,L$19)</f>
        <v>20.000006666669336</v>
      </c>
      <c r="M30" s="25" cm="1">
        <f t="array" ref="M30">TrajectoryErrorCM($E$20,1,$A30)</f>
        <v>3.0048909647255404</v>
      </c>
    </row>
    <row r="31" spans="1:13" x14ac:dyDescent="0.25">
      <c r="A31" s="1">
        <v>250</v>
      </c>
      <c r="B31" s="1">
        <v>2897</v>
      </c>
      <c r="C31" s="6">
        <v>-0.2</v>
      </c>
      <c r="D31" s="6">
        <v>-0.25</v>
      </c>
      <c r="E31" s="6">
        <v>-0.1875</v>
      </c>
      <c r="F31" s="6">
        <v>-0.125</v>
      </c>
      <c r="G31" s="6">
        <v>0.125</v>
      </c>
      <c r="H31" s="9" cm="1">
        <f t="array" ref="H31">TrajectoryDropInCM(C31,$A31,H$19)</f>
        <v>-21.250005117709815</v>
      </c>
      <c r="I31" s="9" cm="1">
        <f t="array" ref="I31">TrajectoryDropInCM(D31,$A31,I$19)</f>
        <v>-25.00000833333667</v>
      </c>
      <c r="J31" s="9" cm="1">
        <f t="array" ref="J31">TrajectoryDropInCM(E31,$A31,J$19)</f>
        <v>-18.750003515625792</v>
      </c>
      <c r="K31" s="9" cm="1">
        <f t="array" ref="K31">TrajectoryDropInCM(F31,$A31,K$19)</f>
        <v>-12.500001041666769</v>
      </c>
      <c r="L31" s="9" cm="1">
        <f t="array" ref="L31">TrajectoryDropInCM(G31,$A31,L$19)</f>
        <v>12.500001041666769</v>
      </c>
      <c r="M31" s="25" cm="1">
        <f t="array" ref="M31">TrajectoryErrorCM($E$20,1,$A31)</f>
        <v>3.7561137059069258</v>
      </c>
    </row>
    <row r="32" spans="1:13" x14ac:dyDescent="0.25">
      <c r="A32" s="1">
        <v>300</v>
      </c>
      <c r="B32" s="1">
        <v>2742.5</v>
      </c>
      <c r="C32" s="6">
        <v>-0.3125</v>
      </c>
      <c r="D32" s="6">
        <v>-0.375</v>
      </c>
      <c r="E32" s="6">
        <v>-0.27500000000000002</v>
      </c>
      <c r="F32" s="6">
        <v>-0.1875</v>
      </c>
      <c r="G32" s="7">
        <v>0</v>
      </c>
      <c r="H32" s="9" cm="1">
        <f t="array" ref="H32">TrajectoryDropInCM(C32,$A32,H$19)</f>
        <v>-39.843773427026107</v>
      </c>
      <c r="I32" s="9" cm="1">
        <f t="array" ref="I32">TrajectoryDropInCM(D32,$A32,I$19)</f>
        <v>-45.000033750030376</v>
      </c>
      <c r="J32" s="9" cm="1">
        <f t="array" ref="J32">TrajectoryDropInCM(E32,$A32,J$19)</f>
        <v>-33.000013310006445</v>
      </c>
      <c r="K32" s="9" cm="1">
        <f t="array" ref="K32">TrajectoryDropInCM(F32,$A32,K$19)</f>
        <v>-22.500004218750952</v>
      </c>
      <c r="L32" s="9" cm="1">
        <f t="array" ref="L32">TrajectoryDropInCM(G32,$A32,L$19)</f>
        <v>0</v>
      </c>
      <c r="M32" s="25" cm="1">
        <f t="array" ref="M32">TrajectoryErrorCM($E$20,1,$A32)</f>
        <v>4.5073364470883108</v>
      </c>
    </row>
    <row r="33" spans="1:13" x14ac:dyDescent="0.25">
      <c r="A33" s="1">
        <v>350</v>
      </c>
      <c r="B33" s="1">
        <v>2607.8000000000002</v>
      </c>
      <c r="C33" s="6">
        <v>-0.375</v>
      </c>
      <c r="D33" s="6">
        <v>-0.5</v>
      </c>
      <c r="E33" s="6">
        <v>-0.375</v>
      </c>
      <c r="F33" s="6">
        <v>-0.3125</v>
      </c>
      <c r="G33" s="6">
        <v>-0.125</v>
      </c>
      <c r="H33" s="9" cm="1">
        <f t="array" ref="H33">TrajectoryDropInCM(C33,$A33,H$19)</f>
        <v>-55.781297228899298</v>
      </c>
      <c r="I33" s="9" cm="1">
        <f t="array" ref="I33">TrajectoryDropInCM(D33,$A33,I$19)</f>
        <v>-70.000093333482667</v>
      </c>
      <c r="J33" s="9" cm="1">
        <f t="array" ref="J33">TrajectoryDropInCM(E33,$A33,J$19)</f>
        <v>-52.500039375035435</v>
      </c>
      <c r="K33" s="9" cm="1">
        <f t="array" ref="K33">TrajectoryDropInCM(F33,$A33,K$19)</f>
        <v>-43.750022786472577</v>
      </c>
      <c r="L33" s="9" cm="1">
        <f t="array" ref="L33">TrajectoryDropInCM(G33,$A33,L$19)</f>
        <v>-17.500001458333479</v>
      </c>
      <c r="M33" s="25" cm="1">
        <f t="array" ref="M33">TrajectoryErrorCM($E$20,1,$A33)</f>
        <v>5.2585591882696958</v>
      </c>
    </row>
    <row r="34" spans="1:13" x14ac:dyDescent="0.25">
      <c r="A34" s="1">
        <v>400</v>
      </c>
      <c r="B34" s="1">
        <v>2477</v>
      </c>
      <c r="C34" s="6">
        <v>-0.55000000000000004</v>
      </c>
      <c r="D34" s="6">
        <v>-0.5625</v>
      </c>
      <c r="E34" s="6">
        <v>-0.55000000000000004</v>
      </c>
      <c r="F34" s="6">
        <v>-0.45</v>
      </c>
      <c r="G34" s="6">
        <v>-0.25</v>
      </c>
      <c r="H34" s="9" cm="1">
        <f t="array" ref="H34">TrajectoryDropInCM(C34,$A34,H$19)</f>
        <v>-93.500170292116977</v>
      </c>
      <c r="I34" s="9" cm="1">
        <f t="array" ref="I34">TrajectoryDropInCM(D34,$A34,I$19)</f>
        <v>-90.000151875307537</v>
      </c>
      <c r="J34" s="9" cm="1">
        <f t="array" ref="J34">TrajectoryDropInCM(E34,$A34,J$19)</f>
        <v>-88.000141973608208</v>
      </c>
      <c r="K34" s="9" cm="1">
        <f t="array" ref="K34">TrajectoryDropInCM(F34,$A34,K$19)</f>
        <v>-72.000077760100766</v>
      </c>
      <c r="L34" s="9" cm="1">
        <f t="array" ref="L34">TrajectoryDropInCM(G34,$A34,L$19)</f>
        <v>-40.000013333338671</v>
      </c>
      <c r="M34" s="25" cm="1">
        <f t="array" ref="M34">TrajectoryErrorCM($E$20,1,$A34)</f>
        <v>6.0097819294510808</v>
      </c>
    </row>
    <row r="35" spans="1:13" x14ac:dyDescent="0.25">
      <c r="A35" s="1">
        <v>450</v>
      </c>
      <c r="B35" s="1">
        <v>2350.6999999999998</v>
      </c>
      <c r="C35" s="6">
        <v>-0.6875</v>
      </c>
      <c r="D35" s="6">
        <v>-0.75</v>
      </c>
      <c r="E35" s="6">
        <v>-0.6875</v>
      </c>
      <c r="F35" s="6">
        <v>-0.625</v>
      </c>
      <c r="G35" s="6">
        <v>-0.375</v>
      </c>
      <c r="H35" s="9" cm="1">
        <f t="array" ref="H35">TrajectoryDropInCM(C35,$A35,H$19)</f>
        <v>-131.48474917747484</v>
      </c>
      <c r="I35" s="9" cm="1">
        <f t="array" ref="I35">TrajectoryDropInCM(D35,$A35,I$19)</f>
        <v>-135.00040500145803</v>
      </c>
      <c r="J35" s="9" cm="1">
        <f t="array" ref="J35">TrajectoryDropInCM(E35,$A35,J$19)</f>
        <v>-123.75031195406865</v>
      </c>
      <c r="K35" s="9" cm="1">
        <f t="array" ref="K35">TrajectoryDropInCM(F35,$A35,K$19)</f>
        <v>-112.50023437558593</v>
      </c>
      <c r="L35" s="9" cm="1">
        <f t="array" ref="L35">TrajectoryDropInCM(G35,$A35,L$19)</f>
        <v>-67.50005062504556</v>
      </c>
      <c r="M35" s="25" cm="1">
        <f t="array" ref="M35">TrajectoryErrorCM($E$20,1,$A35)</f>
        <v>6.7610046706324667</v>
      </c>
    </row>
    <row r="36" spans="1:13" x14ac:dyDescent="0.25">
      <c r="A36" s="1">
        <v>500</v>
      </c>
      <c r="B36" s="1">
        <v>2231.8000000000002</v>
      </c>
      <c r="C36" s="6">
        <v>-0.8</v>
      </c>
      <c r="D36" s="6">
        <v>-0.875</v>
      </c>
      <c r="E36" s="6">
        <v>-0.8</v>
      </c>
      <c r="F36" s="6">
        <v>-0.75</v>
      </c>
      <c r="G36" s="6">
        <v>-0.5</v>
      </c>
      <c r="H36" s="9" cm="1">
        <f t="array" ref="H36">TrajectoryDropInCM(C36,$A36,H$19)</f>
        <v>-170.00065506969574</v>
      </c>
      <c r="I36" s="9" cm="1">
        <f t="array" ref="I36">TrajectoryDropInCM(D36,$A36,I$19)</f>
        <v>-175.00071458683482</v>
      </c>
      <c r="J36" s="9" cm="1">
        <f t="array" ref="J36">TrajectoryDropInCM(E36,$A36,J$19)</f>
        <v>-160.00054613557032</v>
      </c>
      <c r="K36" s="9" cm="1">
        <f t="array" ref="K36">TrajectoryDropInCM(F36,$A36,K$19)</f>
        <v>-150.00045000162001</v>
      </c>
      <c r="L36" s="9" cm="1">
        <f t="array" ref="L36">TrajectoryDropInCM(G36,$A36,L$19)</f>
        <v>-100.00013333354664</v>
      </c>
      <c r="M36" s="25" cm="1">
        <f t="array" ref="M36">TrajectoryErrorCM($E$20,1,$A36)</f>
        <v>7.5122274118138517</v>
      </c>
    </row>
    <row r="78" spans="1:13" x14ac:dyDescent="0.25">
      <c r="A78" t="s">
        <v>29</v>
      </c>
    </row>
    <row r="79" spans="1:13" x14ac:dyDescent="0.25">
      <c r="A79" t="s">
        <v>68</v>
      </c>
      <c r="H79" t="s">
        <v>75</v>
      </c>
    </row>
    <row r="80" spans="1:13" x14ac:dyDescent="0.25">
      <c r="A80" t="s">
        <v>12</v>
      </c>
      <c r="B80" t="s">
        <v>13</v>
      </c>
      <c r="C80" t="s">
        <v>14</v>
      </c>
      <c r="D80" t="s">
        <v>15</v>
      </c>
      <c r="E80" t="s">
        <v>16</v>
      </c>
      <c r="F80" t="s">
        <v>17</v>
      </c>
      <c r="H80" t="s">
        <v>12</v>
      </c>
      <c r="I80" t="s">
        <v>13</v>
      </c>
      <c r="J80" t="s">
        <v>14</v>
      </c>
      <c r="K80" t="s">
        <v>15</v>
      </c>
      <c r="L80" t="s">
        <v>16</v>
      </c>
      <c r="M80" t="s">
        <v>17</v>
      </c>
    </row>
    <row r="81" spans="1:13" x14ac:dyDescent="0.25">
      <c r="A81" s="1">
        <v>0</v>
      </c>
      <c r="B81" s="1">
        <v>799</v>
      </c>
      <c r="C81" s="1">
        <v>3719</v>
      </c>
      <c r="D81" s="1">
        <v>-3.8</v>
      </c>
      <c r="E81" s="1">
        <v>0</v>
      </c>
      <c r="F81" s="1">
        <v>0</v>
      </c>
      <c r="H81" s="1">
        <v>0</v>
      </c>
      <c r="I81" s="1">
        <v>799</v>
      </c>
      <c r="J81" s="1">
        <v>3719</v>
      </c>
      <c r="K81" s="1">
        <v>-3.8</v>
      </c>
      <c r="L81" s="1">
        <v>0</v>
      </c>
      <c r="M81" s="1">
        <v>0</v>
      </c>
    </row>
    <row r="82" spans="1:13" x14ac:dyDescent="0.25">
      <c r="A82" s="1">
        <v>25</v>
      </c>
      <c r="B82" s="1">
        <v>769</v>
      </c>
      <c r="C82" s="1">
        <v>3446</v>
      </c>
      <c r="D82" s="1">
        <v>-1.4</v>
      </c>
      <c r="E82" s="1">
        <v>1.9</v>
      </c>
      <c r="F82" s="1">
        <v>0.6</v>
      </c>
      <c r="H82" s="1">
        <v>25</v>
      </c>
      <c r="I82" s="1">
        <v>789</v>
      </c>
      <c r="J82" s="1">
        <v>3633</v>
      </c>
      <c r="K82" s="1">
        <v>-1.4</v>
      </c>
      <c r="L82" s="1">
        <v>2</v>
      </c>
      <c r="M82" s="1">
        <v>0.6</v>
      </c>
    </row>
    <row r="83" spans="1:13" x14ac:dyDescent="0.25">
      <c r="A83" s="10">
        <v>50</v>
      </c>
      <c r="B83" s="10">
        <v>740</v>
      </c>
      <c r="C83" s="10">
        <v>3191</v>
      </c>
      <c r="D83" s="10">
        <v>0</v>
      </c>
      <c r="E83" s="10">
        <v>0</v>
      </c>
      <c r="F83" s="10">
        <v>0</v>
      </c>
      <c r="H83" s="1">
        <v>50</v>
      </c>
      <c r="I83" s="1">
        <v>780</v>
      </c>
      <c r="J83" s="1">
        <v>3548</v>
      </c>
      <c r="K83" s="1">
        <v>0</v>
      </c>
      <c r="L83" s="1">
        <v>0</v>
      </c>
      <c r="M83" s="1">
        <v>0</v>
      </c>
    </row>
    <row r="84" spans="1:13" x14ac:dyDescent="0.25">
      <c r="A84" s="1">
        <v>75</v>
      </c>
      <c r="B84" s="1">
        <v>711</v>
      </c>
      <c r="C84" s="1">
        <v>2950</v>
      </c>
      <c r="D84" s="1">
        <v>0.2</v>
      </c>
      <c r="E84" s="1">
        <v>-0.1</v>
      </c>
      <c r="F84" s="1">
        <v>0</v>
      </c>
      <c r="H84" s="1">
        <v>75</v>
      </c>
      <c r="I84" s="1">
        <v>771</v>
      </c>
      <c r="J84" s="1">
        <v>3466</v>
      </c>
      <c r="K84" s="1">
        <v>0.4</v>
      </c>
      <c r="L84" s="1">
        <v>-0.2</v>
      </c>
      <c r="M84" s="1">
        <v>0</v>
      </c>
    </row>
    <row r="85" spans="1:13" x14ac:dyDescent="0.25">
      <c r="A85" s="1">
        <v>100</v>
      </c>
      <c r="B85" s="1">
        <v>683</v>
      </c>
      <c r="C85" s="1">
        <v>2724</v>
      </c>
      <c r="D85" s="1">
        <v>-0.7</v>
      </c>
      <c r="E85" s="1">
        <v>0.3</v>
      </c>
      <c r="F85" s="1">
        <v>0.1</v>
      </c>
      <c r="H85" s="1">
        <v>100</v>
      </c>
      <c r="I85" s="1">
        <v>762</v>
      </c>
      <c r="J85" s="1">
        <v>3384</v>
      </c>
      <c r="K85" s="1">
        <v>-0.3</v>
      </c>
      <c r="L85" s="1">
        <v>0.1</v>
      </c>
      <c r="M85" s="1">
        <v>0</v>
      </c>
    </row>
    <row r="86" spans="1:13" x14ac:dyDescent="0.25">
      <c r="A86" s="1">
        <v>125</v>
      </c>
      <c r="B86" s="1">
        <v>656</v>
      </c>
      <c r="C86" s="1">
        <v>2511</v>
      </c>
      <c r="D86" s="1">
        <v>-3.2</v>
      </c>
      <c r="E86" s="1">
        <v>0.9</v>
      </c>
      <c r="F86" s="1">
        <v>0.3</v>
      </c>
      <c r="H86" s="1">
        <v>125</v>
      </c>
      <c r="I86" s="1">
        <v>753</v>
      </c>
      <c r="J86" s="1">
        <v>3304</v>
      </c>
      <c r="K86" s="1">
        <v>-2</v>
      </c>
      <c r="L86" s="1">
        <v>0.6</v>
      </c>
      <c r="M86" s="1">
        <v>0.2</v>
      </c>
    </row>
    <row r="87" spans="1:13" x14ac:dyDescent="0.25">
      <c r="A87" s="1">
        <v>150</v>
      </c>
      <c r="B87" s="1">
        <v>630</v>
      </c>
      <c r="C87" s="1">
        <v>2312</v>
      </c>
      <c r="D87" s="1">
        <v>-7</v>
      </c>
      <c r="E87" s="1">
        <v>1.6</v>
      </c>
      <c r="F87" s="1">
        <v>0.5</v>
      </c>
      <c r="H87" s="1">
        <v>150</v>
      </c>
      <c r="I87" s="1">
        <v>744</v>
      </c>
      <c r="J87" s="1">
        <v>3226</v>
      </c>
      <c r="K87" s="1">
        <v>-4.8</v>
      </c>
      <c r="L87" s="1">
        <v>1.1000000000000001</v>
      </c>
      <c r="M87" s="1">
        <v>0.3</v>
      </c>
    </row>
    <row r="88" spans="1:13" x14ac:dyDescent="0.25">
      <c r="A88" s="1">
        <v>175</v>
      </c>
      <c r="B88" s="1">
        <v>604</v>
      </c>
      <c r="C88" s="1">
        <v>2125</v>
      </c>
      <c r="D88" s="1">
        <v>-12.3</v>
      </c>
      <c r="E88" s="1">
        <v>2.4</v>
      </c>
      <c r="F88" s="1">
        <v>0.7</v>
      </c>
      <c r="H88" s="1">
        <v>175</v>
      </c>
      <c r="I88" s="1">
        <v>735</v>
      </c>
      <c r="J88" s="1">
        <v>3148</v>
      </c>
      <c r="K88" s="1">
        <v>-8.6999999999999993</v>
      </c>
      <c r="L88" s="1">
        <v>1.7</v>
      </c>
      <c r="M88" s="1">
        <v>0.5</v>
      </c>
    </row>
    <row r="89" spans="1:13" x14ac:dyDescent="0.25">
      <c r="A89" s="1">
        <v>200</v>
      </c>
      <c r="B89" s="1">
        <v>578</v>
      </c>
      <c r="C89" s="1">
        <v>1951</v>
      </c>
      <c r="D89" s="1">
        <v>-19.7</v>
      </c>
      <c r="E89" s="1">
        <v>3.4</v>
      </c>
      <c r="F89" s="1">
        <v>1</v>
      </c>
      <c r="H89" s="1">
        <v>200</v>
      </c>
      <c r="I89" s="1">
        <v>726</v>
      </c>
      <c r="J89" s="1">
        <v>3073</v>
      </c>
      <c r="K89" s="1">
        <v>-13.9</v>
      </c>
      <c r="L89" s="1">
        <v>2.4</v>
      </c>
      <c r="M89" s="1">
        <v>0.7</v>
      </c>
    </row>
    <row r="90" spans="1:13" x14ac:dyDescent="0.25">
      <c r="A90" s="1">
        <v>225</v>
      </c>
      <c r="B90" s="1">
        <v>554</v>
      </c>
      <c r="C90" s="1">
        <v>1788</v>
      </c>
      <c r="D90" s="1">
        <v>-28.8</v>
      </c>
      <c r="E90" s="1">
        <v>4.4000000000000004</v>
      </c>
      <c r="F90" s="1">
        <v>1.3</v>
      </c>
      <c r="H90" s="1">
        <v>225</v>
      </c>
      <c r="I90" s="1">
        <v>717</v>
      </c>
      <c r="J90" s="1">
        <v>2999</v>
      </c>
      <c r="K90" s="1">
        <v>-20.100000000000001</v>
      </c>
      <c r="L90" s="1">
        <v>3.1</v>
      </c>
      <c r="M90" s="1">
        <v>0.9</v>
      </c>
    </row>
    <row r="91" spans="1:13" x14ac:dyDescent="0.25">
      <c r="A91" s="1">
        <v>250</v>
      </c>
      <c r="B91" s="1">
        <v>530</v>
      </c>
      <c r="C91" s="1">
        <v>1637</v>
      </c>
      <c r="D91" s="1">
        <v>-40</v>
      </c>
      <c r="E91" s="1">
        <v>5.5</v>
      </c>
      <c r="F91" s="1">
        <v>1.6</v>
      </c>
      <c r="H91" s="1">
        <v>250</v>
      </c>
      <c r="I91" s="1">
        <v>708</v>
      </c>
      <c r="J91" s="1">
        <v>2926</v>
      </c>
      <c r="K91" s="1">
        <v>-27.5</v>
      </c>
      <c r="L91" s="1">
        <v>3.8</v>
      </c>
      <c r="M91" s="1">
        <v>1.1000000000000001</v>
      </c>
    </row>
    <row r="92" spans="1:13" x14ac:dyDescent="0.25">
      <c r="A92" s="1">
        <v>275</v>
      </c>
      <c r="B92" s="1">
        <v>507</v>
      </c>
      <c r="C92" s="1">
        <v>1498</v>
      </c>
      <c r="D92" s="1">
        <v>-54.1</v>
      </c>
      <c r="E92" s="1">
        <v>6.8</v>
      </c>
      <c r="F92" s="1">
        <v>2</v>
      </c>
      <c r="H92" s="1">
        <v>275</v>
      </c>
      <c r="I92" s="1">
        <v>700</v>
      </c>
      <c r="J92" s="1">
        <v>2854</v>
      </c>
      <c r="K92" s="1">
        <v>-36.5</v>
      </c>
      <c r="L92" s="1">
        <v>4.5999999999999996</v>
      </c>
      <c r="M92" s="1">
        <v>1.3</v>
      </c>
    </row>
    <row r="93" spans="1:13" x14ac:dyDescent="0.25">
      <c r="A93" s="1">
        <v>300</v>
      </c>
      <c r="B93" s="1">
        <v>485</v>
      </c>
      <c r="C93" s="1">
        <v>1370</v>
      </c>
      <c r="D93" s="1">
        <v>-70.3</v>
      </c>
      <c r="E93" s="1">
        <v>8.1</v>
      </c>
      <c r="F93" s="1">
        <v>2.2999999999999998</v>
      </c>
      <c r="H93" s="1">
        <v>300</v>
      </c>
      <c r="I93" s="1">
        <v>691</v>
      </c>
      <c r="J93" s="1">
        <v>2784</v>
      </c>
      <c r="K93" s="1">
        <v>-46.4</v>
      </c>
      <c r="L93" s="1">
        <v>5.3</v>
      </c>
      <c r="M93" s="1">
        <v>1.5</v>
      </c>
    </row>
    <row r="94" spans="1:13" x14ac:dyDescent="0.25">
      <c r="A94" s="1">
        <v>325</v>
      </c>
      <c r="B94" s="1">
        <v>463</v>
      </c>
      <c r="C94" s="1">
        <v>1252</v>
      </c>
      <c r="D94" s="1">
        <v>-89.2</v>
      </c>
      <c r="E94" s="1">
        <v>9.4</v>
      </c>
      <c r="F94" s="1">
        <v>2.7</v>
      </c>
      <c r="H94" s="1">
        <v>325</v>
      </c>
      <c r="I94" s="1">
        <v>682</v>
      </c>
      <c r="J94" s="1">
        <v>2715</v>
      </c>
      <c r="K94" s="1">
        <v>-57.6</v>
      </c>
      <c r="L94" s="1">
        <v>6.1</v>
      </c>
      <c r="M94" s="1">
        <v>1.8</v>
      </c>
    </row>
    <row r="95" spans="1:13" x14ac:dyDescent="0.25">
      <c r="A95" s="1">
        <v>350</v>
      </c>
      <c r="B95" s="1">
        <v>443</v>
      </c>
      <c r="C95" s="1">
        <v>1144</v>
      </c>
      <c r="D95" s="1">
        <v>-112.2</v>
      </c>
      <c r="E95" s="1">
        <v>11</v>
      </c>
      <c r="F95" s="1">
        <v>3.2</v>
      </c>
      <c r="H95" s="1">
        <v>350</v>
      </c>
      <c r="I95" s="1">
        <v>674</v>
      </c>
      <c r="J95" s="1">
        <v>2648</v>
      </c>
      <c r="K95" s="1">
        <v>-70.599999999999994</v>
      </c>
      <c r="L95" s="1">
        <v>6.9</v>
      </c>
      <c r="M95" s="1">
        <v>2</v>
      </c>
    </row>
    <row r="96" spans="1:13" x14ac:dyDescent="0.25">
      <c r="A96" s="1">
        <v>375</v>
      </c>
      <c r="B96" s="1">
        <v>424</v>
      </c>
      <c r="C96" s="1">
        <v>1047</v>
      </c>
      <c r="D96" s="1">
        <v>-137.80000000000001</v>
      </c>
      <c r="E96" s="1">
        <v>12.6</v>
      </c>
      <c r="F96" s="1">
        <v>3.7</v>
      </c>
      <c r="H96" s="1">
        <v>375</v>
      </c>
      <c r="I96" s="1">
        <v>665</v>
      </c>
      <c r="J96" s="1">
        <v>2581</v>
      </c>
      <c r="K96" s="1">
        <v>-84.5</v>
      </c>
      <c r="L96" s="1">
        <v>7.7</v>
      </c>
      <c r="M96" s="1">
        <v>2.2999999999999998</v>
      </c>
    </row>
    <row r="97" spans="1:13" x14ac:dyDescent="0.25">
      <c r="A97" s="1">
        <v>400</v>
      </c>
      <c r="B97" s="1">
        <v>405</v>
      </c>
      <c r="C97" s="1">
        <v>959</v>
      </c>
      <c r="D97" s="1">
        <v>-167.2</v>
      </c>
      <c r="E97" s="1">
        <v>14.4</v>
      </c>
      <c r="F97" s="1">
        <v>4.2</v>
      </c>
      <c r="H97" s="1">
        <v>400</v>
      </c>
      <c r="I97" s="1">
        <v>657</v>
      </c>
      <c r="J97" s="1">
        <v>2516</v>
      </c>
      <c r="K97" s="1">
        <v>-99.9</v>
      </c>
      <c r="L97" s="1">
        <v>8.6</v>
      </c>
      <c r="M97" s="1">
        <v>2.5</v>
      </c>
    </row>
    <row r="98" spans="1:13" x14ac:dyDescent="0.25">
      <c r="A98" s="1">
        <v>425</v>
      </c>
      <c r="B98" s="1">
        <v>389</v>
      </c>
      <c r="C98" s="1">
        <v>880</v>
      </c>
      <c r="D98" s="1">
        <v>-202.1</v>
      </c>
      <c r="E98" s="1">
        <v>16.3</v>
      </c>
      <c r="F98" s="1">
        <v>4.8</v>
      </c>
      <c r="H98" s="1">
        <v>425</v>
      </c>
      <c r="I98" s="1">
        <v>648</v>
      </c>
      <c r="J98" s="1">
        <v>2453</v>
      </c>
      <c r="K98" s="1">
        <v>-117.3</v>
      </c>
      <c r="L98" s="1">
        <v>9.5</v>
      </c>
      <c r="M98" s="1">
        <v>2.8</v>
      </c>
    </row>
    <row r="99" spans="1:13" x14ac:dyDescent="0.25">
      <c r="A99" s="1">
        <v>450</v>
      </c>
      <c r="B99" s="1">
        <v>373</v>
      </c>
      <c r="C99" s="1">
        <v>811</v>
      </c>
      <c r="D99" s="1">
        <v>-240.3</v>
      </c>
      <c r="E99" s="1">
        <v>18.399999999999999</v>
      </c>
      <c r="F99" s="1">
        <v>5.3</v>
      </c>
      <c r="H99" s="1">
        <v>450</v>
      </c>
      <c r="I99" s="1">
        <v>640</v>
      </c>
      <c r="J99" s="1">
        <v>2390</v>
      </c>
      <c r="K99" s="1">
        <v>-135.6</v>
      </c>
      <c r="L99" s="1">
        <v>10.4</v>
      </c>
      <c r="M99" s="1">
        <v>3</v>
      </c>
    </row>
    <row r="100" spans="1:13" x14ac:dyDescent="0.25">
      <c r="A100" s="1">
        <v>475</v>
      </c>
      <c r="B100" s="1">
        <v>359</v>
      </c>
      <c r="C100" s="1">
        <v>751</v>
      </c>
      <c r="D100" s="1">
        <v>-283.3</v>
      </c>
      <c r="E100" s="1">
        <v>20.5</v>
      </c>
      <c r="F100" s="1">
        <v>6</v>
      </c>
      <c r="H100" s="1">
        <v>475</v>
      </c>
      <c r="I100" s="1">
        <v>632</v>
      </c>
      <c r="J100" s="1">
        <v>2329</v>
      </c>
      <c r="K100" s="1">
        <v>-155.5</v>
      </c>
      <c r="L100" s="1">
        <v>11.3</v>
      </c>
      <c r="M100" s="1">
        <v>3.3</v>
      </c>
    </row>
    <row r="101" spans="1:13" x14ac:dyDescent="0.25">
      <c r="A101" s="1">
        <v>500</v>
      </c>
      <c r="B101" s="1">
        <v>347</v>
      </c>
      <c r="C101" s="1">
        <v>701</v>
      </c>
      <c r="D101" s="1">
        <v>-331.6</v>
      </c>
      <c r="E101" s="1">
        <v>22.8</v>
      </c>
      <c r="F101" s="1">
        <v>6.6</v>
      </c>
      <c r="H101" s="1">
        <v>500</v>
      </c>
      <c r="I101" s="1">
        <v>624</v>
      </c>
      <c r="J101" s="1">
        <v>2271</v>
      </c>
      <c r="K101" s="1">
        <v>-176.9</v>
      </c>
      <c r="L101" s="1">
        <v>12.2</v>
      </c>
      <c r="M101" s="1">
        <v>3.5</v>
      </c>
    </row>
    <row r="103" spans="1:13" x14ac:dyDescent="0.25">
      <c r="A103" t="s">
        <v>69</v>
      </c>
      <c r="H103" t="s">
        <v>76</v>
      </c>
    </row>
    <row r="104" spans="1:13" x14ac:dyDescent="0.25">
      <c r="A104" t="s">
        <v>12</v>
      </c>
      <c r="B104" t="s">
        <v>13</v>
      </c>
      <c r="C104" t="s">
        <v>14</v>
      </c>
      <c r="D104" t="s">
        <v>15</v>
      </c>
      <c r="E104" t="s">
        <v>16</v>
      </c>
      <c r="F104" t="s">
        <v>17</v>
      </c>
      <c r="H104" t="s">
        <v>12</v>
      </c>
      <c r="I104" t="s">
        <v>13</v>
      </c>
      <c r="J104" t="s">
        <v>14</v>
      </c>
      <c r="K104" t="s">
        <v>15</v>
      </c>
      <c r="L104" t="s">
        <v>16</v>
      </c>
      <c r="M104" t="s">
        <v>17</v>
      </c>
    </row>
    <row r="105" spans="1:13" x14ac:dyDescent="0.25">
      <c r="A105" s="1">
        <v>0</v>
      </c>
      <c r="B105" s="1">
        <v>799</v>
      </c>
      <c r="C105" s="1">
        <v>3719</v>
      </c>
      <c r="D105" s="1">
        <v>-3.8</v>
      </c>
      <c r="E105" s="1">
        <v>0</v>
      </c>
      <c r="F105" s="1">
        <v>0</v>
      </c>
      <c r="H105" s="1">
        <v>0</v>
      </c>
      <c r="I105" s="1">
        <v>799</v>
      </c>
      <c r="J105" s="1">
        <v>3719</v>
      </c>
      <c r="K105" s="1">
        <v>-3.8</v>
      </c>
      <c r="L105" s="1">
        <v>0</v>
      </c>
      <c r="M105" s="1">
        <v>0</v>
      </c>
    </row>
    <row r="106" spans="1:13" x14ac:dyDescent="0.25">
      <c r="A106" s="1">
        <v>25</v>
      </c>
      <c r="B106" s="1">
        <v>769</v>
      </c>
      <c r="C106" s="1">
        <v>3446</v>
      </c>
      <c r="D106" s="1">
        <v>-1.2</v>
      </c>
      <c r="E106" s="1">
        <v>1.7</v>
      </c>
      <c r="F106" s="1">
        <v>0.5</v>
      </c>
      <c r="H106" s="1">
        <v>25</v>
      </c>
      <c r="I106" s="1">
        <v>789</v>
      </c>
      <c r="J106" s="1">
        <v>3633</v>
      </c>
      <c r="K106" s="1">
        <v>-1.4</v>
      </c>
      <c r="L106" s="1">
        <v>1.9</v>
      </c>
      <c r="M106" s="1">
        <v>0.5</v>
      </c>
    </row>
    <row r="107" spans="1:13" x14ac:dyDescent="0.25">
      <c r="A107" s="1">
        <v>50</v>
      </c>
      <c r="B107" s="1">
        <v>740</v>
      </c>
      <c r="C107" s="1">
        <v>3191</v>
      </c>
      <c r="D107" s="1">
        <v>0.4</v>
      </c>
      <c r="E107" s="1">
        <v>-0.3</v>
      </c>
      <c r="F107" s="1">
        <v>-0.1</v>
      </c>
      <c r="H107" s="1">
        <v>50</v>
      </c>
      <c r="I107" s="1">
        <v>780</v>
      </c>
      <c r="J107" s="1">
        <v>3548</v>
      </c>
      <c r="K107" s="1">
        <v>0.2</v>
      </c>
      <c r="L107" s="1">
        <v>-0.1</v>
      </c>
      <c r="M107" s="1">
        <v>0</v>
      </c>
    </row>
    <row r="108" spans="1:13" x14ac:dyDescent="0.25">
      <c r="A108" s="1">
        <v>75</v>
      </c>
      <c r="B108" s="1">
        <v>711</v>
      </c>
      <c r="C108" s="1">
        <v>2950</v>
      </c>
      <c r="D108" s="1">
        <v>0.8</v>
      </c>
      <c r="E108" s="1">
        <v>-0.4</v>
      </c>
      <c r="F108" s="1">
        <v>-0.1</v>
      </c>
      <c r="H108" s="1">
        <v>75</v>
      </c>
      <c r="I108" s="1">
        <v>771</v>
      </c>
      <c r="J108" s="1">
        <v>3466</v>
      </c>
      <c r="K108" s="1">
        <v>0.6</v>
      </c>
      <c r="L108" s="1">
        <v>-0.3</v>
      </c>
      <c r="M108" s="1">
        <v>-0.1</v>
      </c>
    </row>
    <row r="109" spans="1:13" x14ac:dyDescent="0.25">
      <c r="A109" s="10">
        <v>100</v>
      </c>
      <c r="B109" s="10">
        <v>683</v>
      </c>
      <c r="C109" s="10">
        <v>2724</v>
      </c>
      <c r="D109" s="10">
        <v>0</v>
      </c>
      <c r="E109" s="10">
        <v>0</v>
      </c>
      <c r="F109" s="10">
        <v>0</v>
      </c>
      <c r="H109" s="1">
        <v>100</v>
      </c>
      <c r="I109" s="1">
        <v>762</v>
      </c>
      <c r="J109" s="1">
        <v>3384</v>
      </c>
      <c r="K109" s="1">
        <v>0</v>
      </c>
      <c r="L109" s="1">
        <v>0</v>
      </c>
      <c r="M109" s="1">
        <v>0</v>
      </c>
    </row>
    <row r="110" spans="1:13" x14ac:dyDescent="0.25">
      <c r="A110" s="1">
        <v>125</v>
      </c>
      <c r="B110" s="1">
        <v>656</v>
      </c>
      <c r="C110" s="1">
        <v>2511</v>
      </c>
      <c r="D110" s="1">
        <v>-2.2000000000000002</v>
      </c>
      <c r="E110" s="1">
        <v>0.6</v>
      </c>
      <c r="F110" s="1">
        <v>0.2</v>
      </c>
      <c r="H110" s="1">
        <v>125</v>
      </c>
      <c r="I110" s="1">
        <v>753</v>
      </c>
      <c r="J110" s="1">
        <v>3304</v>
      </c>
      <c r="K110" s="1">
        <v>-1.7</v>
      </c>
      <c r="L110" s="1">
        <v>0.5</v>
      </c>
      <c r="M110" s="1">
        <v>0.1</v>
      </c>
    </row>
    <row r="111" spans="1:13" x14ac:dyDescent="0.25">
      <c r="A111" s="1">
        <v>150</v>
      </c>
      <c r="B111" s="1">
        <v>630</v>
      </c>
      <c r="C111" s="1">
        <v>2312</v>
      </c>
      <c r="D111" s="1">
        <v>-5.8</v>
      </c>
      <c r="E111" s="1">
        <v>1.3</v>
      </c>
      <c r="F111" s="1">
        <v>0.4</v>
      </c>
      <c r="H111" s="1">
        <v>150</v>
      </c>
      <c r="I111" s="1">
        <v>744</v>
      </c>
      <c r="J111" s="1">
        <v>3226</v>
      </c>
      <c r="K111" s="1">
        <v>-4.4000000000000004</v>
      </c>
      <c r="L111" s="1">
        <v>1</v>
      </c>
      <c r="M111" s="1">
        <v>0.3</v>
      </c>
    </row>
    <row r="112" spans="1:13" x14ac:dyDescent="0.25">
      <c r="A112" s="1">
        <v>175</v>
      </c>
      <c r="B112" s="1">
        <v>604</v>
      </c>
      <c r="C112" s="1">
        <v>2125</v>
      </c>
      <c r="D112" s="1">
        <v>-11</v>
      </c>
      <c r="E112" s="1">
        <v>2.2000000000000002</v>
      </c>
      <c r="F112" s="1">
        <v>0.6</v>
      </c>
      <c r="H112" s="1">
        <v>175</v>
      </c>
      <c r="I112" s="1">
        <v>735</v>
      </c>
      <c r="J112" s="1">
        <v>3148</v>
      </c>
      <c r="K112" s="1">
        <v>-8.1999999999999993</v>
      </c>
      <c r="L112" s="1">
        <v>1.6</v>
      </c>
      <c r="M112" s="1">
        <v>0.5</v>
      </c>
    </row>
    <row r="113" spans="1:13" x14ac:dyDescent="0.25">
      <c r="A113" s="1">
        <v>200</v>
      </c>
      <c r="B113" s="1">
        <v>578</v>
      </c>
      <c r="C113" s="1">
        <v>1951</v>
      </c>
      <c r="D113" s="1">
        <v>-18.2</v>
      </c>
      <c r="E113" s="1">
        <v>3.1</v>
      </c>
      <c r="F113" s="1">
        <v>0.9</v>
      </c>
      <c r="H113" s="1">
        <v>200</v>
      </c>
      <c r="I113" s="1">
        <v>726</v>
      </c>
      <c r="J113" s="1">
        <v>3073</v>
      </c>
      <c r="K113" s="1">
        <v>-13.3</v>
      </c>
      <c r="L113" s="1">
        <v>2.2999999999999998</v>
      </c>
      <c r="M113" s="1">
        <v>0.7</v>
      </c>
    </row>
    <row r="114" spans="1:13" x14ac:dyDescent="0.25">
      <c r="A114" s="1">
        <v>225</v>
      </c>
      <c r="B114" s="1">
        <v>554</v>
      </c>
      <c r="C114" s="1">
        <v>1788</v>
      </c>
      <c r="D114" s="1">
        <v>-27.1</v>
      </c>
      <c r="E114" s="1">
        <v>4.0999999999999996</v>
      </c>
      <c r="F114" s="1">
        <v>1.2</v>
      </c>
      <c r="H114" s="1">
        <v>225</v>
      </c>
      <c r="I114" s="1">
        <v>717</v>
      </c>
      <c r="J114" s="1">
        <v>2999</v>
      </c>
      <c r="K114" s="1">
        <v>-19.399999999999999</v>
      </c>
      <c r="L114" s="1">
        <v>3</v>
      </c>
      <c r="M114" s="1">
        <v>0.9</v>
      </c>
    </row>
    <row r="115" spans="1:13" x14ac:dyDescent="0.25">
      <c r="A115" s="1">
        <v>250</v>
      </c>
      <c r="B115" s="1">
        <v>530</v>
      </c>
      <c r="C115" s="1">
        <v>1637</v>
      </c>
      <c r="D115" s="1">
        <v>-38.1</v>
      </c>
      <c r="E115" s="1">
        <v>5.2</v>
      </c>
      <c r="F115" s="1">
        <v>1.5</v>
      </c>
      <c r="H115" s="1">
        <v>250</v>
      </c>
      <c r="I115" s="1">
        <v>708</v>
      </c>
      <c r="J115" s="1">
        <v>2926</v>
      </c>
      <c r="K115" s="1">
        <v>-26.8</v>
      </c>
      <c r="L115" s="1">
        <v>3.7</v>
      </c>
      <c r="M115" s="1">
        <v>1.1000000000000001</v>
      </c>
    </row>
    <row r="116" spans="1:13" x14ac:dyDescent="0.25">
      <c r="A116" s="1">
        <v>275</v>
      </c>
      <c r="B116" s="1">
        <v>507</v>
      </c>
      <c r="C116" s="1">
        <v>1498</v>
      </c>
      <c r="D116" s="1">
        <v>-51.9</v>
      </c>
      <c r="E116" s="1">
        <v>6.5</v>
      </c>
      <c r="F116" s="1">
        <v>1.9</v>
      </c>
      <c r="H116" s="1">
        <v>275</v>
      </c>
      <c r="I116" s="1">
        <v>700</v>
      </c>
      <c r="J116" s="1">
        <v>2854</v>
      </c>
      <c r="K116" s="1">
        <v>-35.6</v>
      </c>
      <c r="L116" s="1">
        <v>4.4000000000000004</v>
      </c>
      <c r="M116" s="1">
        <v>1.3</v>
      </c>
    </row>
    <row r="117" spans="1:13" x14ac:dyDescent="0.25">
      <c r="A117" s="1">
        <v>300</v>
      </c>
      <c r="B117" s="1">
        <v>485</v>
      </c>
      <c r="C117" s="1">
        <v>1370</v>
      </c>
      <c r="D117" s="1">
        <v>-67.900000000000006</v>
      </c>
      <c r="E117" s="1">
        <v>7.8</v>
      </c>
      <c r="F117" s="1">
        <v>2.2999999999999998</v>
      </c>
      <c r="H117" s="1">
        <v>300</v>
      </c>
      <c r="I117" s="1">
        <v>691</v>
      </c>
      <c r="J117" s="1">
        <v>2784</v>
      </c>
      <c r="K117" s="1">
        <v>-45.5</v>
      </c>
      <c r="L117" s="1">
        <v>5.2</v>
      </c>
      <c r="M117" s="1">
        <v>1.5</v>
      </c>
    </row>
    <row r="118" spans="1:13" x14ac:dyDescent="0.25">
      <c r="A118" s="1">
        <v>325</v>
      </c>
      <c r="B118" s="1">
        <v>463</v>
      </c>
      <c r="C118" s="1">
        <v>1252</v>
      </c>
      <c r="D118" s="1">
        <v>-86.7</v>
      </c>
      <c r="E118" s="1">
        <v>9.1999999999999993</v>
      </c>
      <c r="F118" s="1">
        <v>2.7</v>
      </c>
      <c r="H118" s="1">
        <v>325</v>
      </c>
      <c r="I118" s="1">
        <v>682</v>
      </c>
      <c r="J118" s="1">
        <v>2715</v>
      </c>
      <c r="K118" s="1">
        <v>-56.6</v>
      </c>
      <c r="L118" s="1">
        <v>6</v>
      </c>
      <c r="M118" s="1">
        <v>1.7</v>
      </c>
    </row>
    <row r="119" spans="1:13" x14ac:dyDescent="0.25">
      <c r="A119" s="1">
        <v>350</v>
      </c>
      <c r="B119" s="1">
        <v>443</v>
      </c>
      <c r="C119" s="1">
        <v>1144</v>
      </c>
      <c r="D119" s="1">
        <v>-109.5</v>
      </c>
      <c r="E119" s="1">
        <v>10.7</v>
      </c>
      <c r="F119" s="1">
        <v>3.1</v>
      </c>
      <c r="H119" s="1">
        <v>350</v>
      </c>
      <c r="I119" s="1">
        <v>674</v>
      </c>
      <c r="J119" s="1">
        <v>2648</v>
      </c>
      <c r="K119" s="1">
        <v>-69.599999999999994</v>
      </c>
      <c r="L119" s="1">
        <v>6.8</v>
      </c>
      <c r="M119" s="1">
        <v>2</v>
      </c>
    </row>
    <row r="120" spans="1:13" x14ac:dyDescent="0.25">
      <c r="A120" s="1">
        <v>375</v>
      </c>
      <c r="B120" s="1">
        <v>424</v>
      </c>
      <c r="C120" s="1">
        <v>1047</v>
      </c>
      <c r="D120" s="1">
        <v>-134.9</v>
      </c>
      <c r="E120" s="1">
        <v>12.4</v>
      </c>
      <c r="F120" s="1">
        <v>3.6</v>
      </c>
      <c r="H120" s="1">
        <v>375</v>
      </c>
      <c r="I120" s="1">
        <v>665</v>
      </c>
      <c r="J120" s="1">
        <v>2581</v>
      </c>
      <c r="K120" s="1">
        <v>-83.4</v>
      </c>
      <c r="L120" s="1">
        <v>7.6</v>
      </c>
      <c r="M120" s="1">
        <v>2.2000000000000002</v>
      </c>
    </row>
    <row r="121" spans="1:13" x14ac:dyDescent="0.25">
      <c r="A121" s="1">
        <v>400</v>
      </c>
      <c r="B121" s="1">
        <v>405</v>
      </c>
      <c r="C121" s="1">
        <v>959</v>
      </c>
      <c r="D121" s="1">
        <v>-164.1</v>
      </c>
      <c r="E121" s="1">
        <v>14.1</v>
      </c>
      <c r="F121" s="1">
        <v>4.0999999999999996</v>
      </c>
      <c r="H121" s="1">
        <v>400</v>
      </c>
      <c r="I121" s="1">
        <v>657</v>
      </c>
      <c r="J121" s="1">
        <v>2516</v>
      </c>
      <c r="K121" s="1">
        <v>-98.7</v>
      </c>
      <c r="L121" s="1">
        <v>8.5</v>
      </c>
      <c r="M121" s="1">
        <v>2.5</v>
      </c>
    </row>
    <row r="122" spans="1:13" x14ac:dyDescent="0.25">
      <c r="A122" s="1">
        <v>425</v>
      </c>
      <c r="B122" s="1">
        <v>389</v>
      </c>
      <c r="C122" s="1">
        <v>880</v>
      </c>
      <c r="D122" s="1">
        <v>-198.8</v>
      </c>
      <c r="E122" s="1">
        <v>16.100000000000001</v>
      </c>
      <c r="F122" s="1">
        <v>4.7</v>
      </c>
      <c r="H122" s="1">
        <v>425</v>
      </c>
      <c r="I122" s="1">
        <v>648</v>
      </c>
      <c r="J122" s="1">
        <v>2453</v>
      </c>
      <c r="K122" s="1">
        <v>-116</v>
      </c>
      <c r="L122" s="1">
        <v>9.4</v>
      </c>
      <c r="M122" s="1">
        <v>2.7</v>
      </c>
    </row>
    <row r="123" spans="1:13" x14ac:dyDescent="0.25">
      <c r="A123" s="1">
        <v>450</v>
      </c>
      <c r="B123" s="1">
        <v>373</v>
      </c>
      <c r="C123" s="1">
        <v>811</v>
      </c>
      <c r="D123" s="1">
        <v>-236.7</v>
      </c>
      <c r="E123" s="1">
        <v>18.100000000000001</v>
      </c>
      <c r="F123" s="1">
        <v>5.3</v>
      </c>
      <c r="H123" s="1">
        <v>450</v>
      </c>
      <c r="I123" s="1">
        <v>640</v>
      </c>
      <c r="J123" s="1">
        <v>2390</v>
      </c>
      <c r="K123" s="1">
        <v>-134.30000000000001</v>
      </c>
      <c r="L123" s="1">
        <v>10.3</v>
      </c>
      <c r="M123" s="1">
        <v>3</v>
      </c>
    </row>
    <row r="124" spans="1:13" x14ac:dyDescent="0.25">
      <c r="A124" s="1">
        <v>475</v>
      </c>
      <c r="B124" s="1">
        <v>359</v>
      </c>
      <c r="C124" s="1">
        <v>751</v>
      </c>
      <c r="D124" s="1">
        <v>-279.60000000000002</v>
      </c>
      <c r="E124" s="1">
        <v>20.3</v>
      </c>
      <c r="F124" s="1">
        <v>5.9</v>
      </c>
      <c r="H124" s="1">
        <v>475</v>
      </c>
      <c r="I124" s="1">
        <v>632</v>
      </c>
      <c r="J124" s="1">
        <v>2329</v>
      </c>
      <c r="K124" s="1">
        <v>-154.1</v>
      </c>
      <c r="L124" s="1">
        <v>11.2</v>
      </c>
      <c r="M124" s="1">
        <v>3.2</v>
      </c>
    </row>
    <row r="125" spans="1:13" x14ac:dyDescent="0.25">
      <c r="A125" s="1">
        <v>500</v>
      </c>
      <c r="B125" s="1">
        <v>347</v>
      </c>
      <c r="C125" s="1">
        <v>701</v>
      </c>
      <c r="D125" s="1">
        <v>-327.7</v>
      </c>
      <c r="E125" s="1">
        <v>22.6</v>
      </c>
      <c r="F125" s="1">
        <v>6.6</v>
      </c>
      <c r="H125" s="1">
        <v>500</v>
      </c>
      <c r="I125" s="1">
        <v>624</v>
      </c>
      <c r="J125" s="1">
        <v>2271</v>
      </c>
      <c r="K125" s="1">
        <v>-175.4</v>
      </c>
      <c r="L125" s="1">
        <v>12.1</v>
      </c>
      <c r="M125" s="1">
        <v>3.5</v>
      </c>
    </row>
    <row r="127" spans="1:13" x14ac:dyDescent="0.25">
      <c r="A127" t="s">
        <v>70</v>
      </c>
      <c r="H127" t="s">
        <v>77</v>
      </c>
    </row>
    <row r="128" spans="1:13" x14ac:dyDescent="0.25">
      <c r="A128" t="s">
        <v>12</v>
      </c>
      <c r="B128" t="s">
        <v>13</v>
      </c>
      <c r="C128" t="s">
        <v>14</v>
      </c>
      <c r="D128" t="s">
        <v>15</v>
      </c>
      <c r="E128" t="s">
        <v>16</v>
      </c>
      <c r="F128" t="s">
        <v>17</v>
      </c>
      <c r="H128" t="s">
        <v>12</v>
      </c>
      <c r="I128" t="s">
        <v>13</v>
      </c>
      <c r="J128" t="s">
        <v>14</v>
      </c>
      <c r="K128" t="s">
        <v>15</v>
      </c>
      <c r="L128" t="s">
        <v>16</v>
      </c>
      <c r="M128" t="s">
        <v>17</v>
      </c>
    </row>
    <row r="129" spans="1:13" x14ac:dyDescent="0.25">
      <c r="A129" s="1">
        <v>0</v>
      </c>
      <c r="B129" s="1">
        <v>799</v>
      </c>
      <c r="C129" s="1">
        <v>3719</v>
      </c>
      <c r="D129" s="1">
        <v>-3.8</v>
      </c>
      <c r="E129" s="1">
        <v>0</v>
      </c>
      <c r="F129" s="1">
        <v>0</v>
      </c>
      <c r="H129" s="1">
        <v>0</v>
      </c>
      <c r="I129" s="1">
        <v>799</v>
      </c>
      <c r="J129" s="1">
        <v>3719</v>
      </c>
      <c r="K129" s="1">
        <v>-3.8</v>
      </c>
      <c r="L129" s="1">
        <v>0</v>
      </c>
      <c r="M129" s="1">
        <v>0</v>
      </c>
    </row>
    <row r="130" spans="1:13" x14ac:dyDescent="0.25">
      <c r="A130" s="1">
        <v>25</v>
      </c>
      <c r="B130" s="1">
        <v>769</v>
      </c>
      <c r="C130" s="1">
        <v>3446</v>
      </c>
      <c r="D130" s="1">
        <v>-0.2</v>
      </c>
      <c r="E130" s="1">
        <v>0.3</v>
      </c>
      <c r="F130" s="1">
        <v>0.1</v>
      </c>
      <c r="H130" s="1">
        <v>25</v>
      </c>
      <c r="I130" s="1">
        <v>789</v>
      </c>
      <c r="J130" s="1">
        <v>3633</v>
      </c>
      <c r="K130" s="1">
        <v>-0.6</v>
      </c>
      <c r="L130" s="1">
        <v>0.9</v>
      </c>
      <c r="M130" s="1">
        <v>0.3</v>
      </c>
    </row>
    <row r="131" spans="1:13" x14ac:dyDescent="0.25">
      <c r="A131" s="1">
        <v>50</v>
      </c>
      <c r="B131" s="1">
        <v>740</v>
      </c>
      <c r="C131" s="1">
        <v>3191</v>
      </c>
      <c r="D131" s="1">
        <v>2.4</v>
      </c>
      <c r="E131" s="1">
        <v>-1.6</v>
      </c>
      <c r="F131" s="1">
        <v>-0.5</v>
      </c>
      <c r="H131" s="1">
        <v>50</v>
      </c>
      <c r="I131" s="1">
        <v>780</v>
      </c>
      <c r="J131" s="1">
        <v>3548</v>
      </c>
      <c r="K131" s="1">
        <v>1.6</v>
      </c>
      <c r="L131" s="1">
        <v>-1.1000000000000001</v>
      </c>
      <c r="M131" s="1">
        <v>-0.3</v>
      </c>
    </row>
    <row r="132" spans="1:13" x14ac:dyDescent="0.25">
      <c r="A132" s="1">
        <v>75</v>
      </c>
      <c r="B132" s="1">
        <v>711</v>
      </c>
      <c r="C132" s="1">
        <v>2950</v>
      </c>
      <c r="D132" s="1">
        <v>3.7</v>
      </c>
      <c r="E132" s="1">
        <v>-1.7</v>
      </c>
      <c r="F132" s="1">
        <v>-0.5</v>
      </c>
      <c r="H132" s="1">
        <v>75</v>
      </c>
      <c r="I132" s="1">
        <v>771</v>
      </c>
      <c r="J132" s="1">
        <v>3466</v>
      </c>
      <c r="K132" s="1">
        <v>2.8</v>
      </c>
      <c r="L132" s="1">
        <v>-1.3</v>
      </c>
      <c r="M132" s="1">
        <v>-0.4</v>
      </c>
    </row>
    <row r="133" spans="1:13" x14ac:dyDescent="0.25">
      <c r="A133" s="1">
        <v>100</v>
      </c>
      <c r="B133" s="1">
        <v>683</v>
      </c>
      <c r="C133" s="1">
        <v>2724</v>
      </c>
      <c r="D133" s="1">
        <v>3.9</v>
      </c>
      <c r="E133" s="1">
        <v>-1.3</v>
      </c>
      <c r="F133" s="1">
        <v>-0.4</v>
      </c>
      <c r="H133" s="1">
        <v>100</v>
      </c>
      <c r="I133" s="1">
        <v>762</v>
      </c>
      <c r="J133" s="1">
        <v>3384</v>
      </c>
      <c r="K133" s="1">
        <v>2.9</v>
      </c>
      <c r="L133" s="1">
        <v>-1</v>
      </c>
      <c r="M133" s="1">
        <v>-0.3</v>
      </c>
    </row>
    <row r="134" spans="1:13" x14ac:dyDescent="0.25">
      <c r="A134" s="1">
        <v>125</v>
      </c>
      <c r="B134" s="1">
        <v>656</v>
      </c>
      <c r="C134" s="1">
        <v>2511</v>
      </c>
      <c r="D134" s="1">
        <v>2.7</v>
      </c>
      <c r="E134" s="1">
        <v>-0.7</v>
      </c>
      <c r="F134" s="1">
        <v>-0.2</v>
      </c>
      <c r="H134" s="1">
        <v>125</v>
      </c>
      <c r="I134" s="1">
        <v>753</v>
      </c>
      <c r="J134" s="1">
        <v>3304</v>
      </c>
      <c r="K134" s="1">
        <v>2</v>
      </c>
      <c r="L134" s="1">
        <v>-0.5</v>
      </c>
      <c r="M134" s="1">
        <v>-0.2</v>
      </c>
    </row>
    <row r="135" spans="1:13" x14ac:dyDescent="0.25">
      <c r="A135" s="10">
        <v>150</v>
      </c>
      <c r="B135" s="10">
        <v>630</v>
      </c>
      <c r="C135" s="10">
        <v>2312</v>
      </c>
      <c r="D135" s="10">
        <v>0</v>
      </c>
      <c r="E135" s="10">
        <v>0</v>
      </c>
      <c r="F135" s="10">
        <v>0</v>
      </c>
      <c r="H135" s="1">
        <v>150</v>
      </c>
      <c r="I135" s="1">
        <v>744</v>
      </c>
      <c r="J135" s="1">
        <v>3226</v>
      </c>
      <c r="K135" s="1">
        <v>0</v>
      </c>
      <c r="L135" s="1">
        <v>0</v>
      </c>
      <c r="M135" s="1">
        <v>0</v>
      </c>
    </row>
    <row r="136" spans="1:13" x14ac:dyDescent="0.25">
      <c r="A136" s="1">
        <v>175</v>
      </c>
      <c r="B136" s="1">
        <v>604</v>
      </c>
      <c r="C136" s="1">
        <v>2125</v>
      </c>
      <c r="D136" s="1">
        <v>-4.2</v>
      </c>
      <c r="E136" s="1">
        <v>0.8</v>
      </c>
      <c r="F136" s="1">
        <v>0.2</v>
      </c>
      <c r="H136" s="1">
        <v>175</v>
      </c>
      <c r="I136" s="1">
        <v>735</v>
      </c>
      <c r="J136" s="1">
        <v>3148</v>
      </c>
      <c r="K136" s="1">
        <v>-3.1</v>
      </c>
      <c r="L136" s="1">
        <v>0.6</v>
      </c>
      <c r="M136" s="1">
        <v>0.2</v>
      </c>
    </row>
    <row r="137" spans="1:13" x14ac:dyDescent="0.25">
      <c r="A137" s="1">
        <v>200</v>
      </c>
      <c r="B137" s="1">
        <v>578</v>
      </c>
      <c r="C137" s="1">
        <v>1951</v>
      </c>
      <c r="D137" s="1">
        <v>-10.4</v>
      </c>
      <c r="E137" s="1">
        <v>1.8</v>
      </c>
      <c r="F137" s="1">
        <v>0.5</v>
      </c>
      <c r="H137" s="1">
        <v>200</v>
      </c>
      <c r="I137" s="1">
        <v>726</v>
      </c>
      <c r="J137" s="1">
        <v>3073</v>
      </c>
      <c r="K137" s="1">
        <v>-7.5</v>
      </c>
      <c r="L137" s="1">
        <v>1.3</v>
      </c>
      <c r="M137" s="1">
        <v>0.4</v>
      </c>
    </row>
    <row r="138" spans="1:13" x14ac:dyDescent="0.25">
      <c r="A138" s="1">
        <v>225</v>
      </c>
      <c r="B138" s="1">
        <v>554</v>
      </c>
      <c r="C138" s="1">
        <v>1788</v>
      </c>
      <c r="D138" s="1">
        <v>-18.399999999999999</v>
      </c>
      <c r="E138" s="1">
        <v>2.8</v>
      </c>
      <c r="F138" s="1">
        <v>0.8</v>
      </c>
      <c r="H138" s="1">
        <v>225</v>
      </c>
      <c r="I138" s="1">
        <v>717</v>
      </c>
      <c r="J138" s="1">
        <v>2999</v>
      </c>
      <c r="K138" s="1">
        <v>-12.9</v>
      </c>
      <c r="L138" s="1">
        <v>2</v>
      </c>
      <c r="M138" s="1">
        <v>0.6</v>
      </c>
    </row>
    <row r="139" spans="1:13" x14ac:dyDescent="0.25">
      <c r="A139" s="1">
        <v>250</v>
      </c>
      <c r="B139" s="1">
        <v>530</v>
      </c>
      <c r="C139" s="1">
        <v>1637</v>
      </c>
      <c r="D139" s="1">
        <v>-28.4</v>
      </c>
      <c r="E139" s="1">
        <v>3.9</v>
      </c>
      <c r="F139" s="1">
        <v>1.1000000000000001</v>
      </c>
      <c r="H139" s="1">
        <v>250</v>
      </c>
      <c r="I139" s="1">
        <v>708</v>
      </c>
      <c r="J139" s="1">
        <v>2926</v>
      </c>
      <c r="K139" s="1">
        <v>-19.5</v>
      </c>
      <c r="L139" s="1">
        <v>2.7</v>
      </c>
      <c r="M139" s="1">
        <v>0.8</v>
      </c>
    </row>
    <row r="140" spans="1:13" x14ac:dyDescent="0.25">
      <c r="A140" s="1">
        <v>275</v>
      </c>
      <c r="B140" s="1">
        <v>507</v>
      </c>
      <c r="C140" s="1">
        <v>1498</v>
      </c>
      <c r="D140" s="1">
        <v>-41.3</v>
      </c>
      <c r="E140" s="1">
        <v>5.2</v>
      </c>
      <c r="F140" s="1">
        <v>1.5</v>
      </c>
      <c r="H140" s="1">
        <v>275</v>
      </c>
      <c r="I140" s="1">
        <v>700</v>
      </c>
      <c r="J140" s="1">
        <v>2854</v>
      </c>
      <c r="K140" s="1">
        <v>-27.6</v>
      </c>
      <c r="L140" s="1">
        <v>3.4</v>
      </c>
      <c r="M140" s="1">
        <v>1</v>
      </c>
    </row>
    <row r="141" spans="1:13" x14ac:dyDescent="0.25">
      <c r="A141" s="1">
        <v>300</v>
      </c>
      <c r="B141" s="1">
        <v>485</v>
      </c>
      <c r="C141" s="1">
        <v>1370</v>
      </c>
      <c r="D141" s="1">
        <v>-56.3</v>
      </c>
      <c r="E141" s="1">
        <v>6.4</v>
      </c>
      <c r="F141" s="1">
        <v>1.9</v>
      </c>
      <c r="H141" s="1">
        <v>300</v>
      </c>
      <c r="I141" s="1">
        <v>691</v>
      </c>
      <c r="J141" s="1">
        <v>2784</v>
      </c>
      <c r="K141" s="1">
        <v>-36.799999999999997</v>
      </c>
      <c r="L141" s="1">
        <v>4.2</v>
      </c>
      <c r="M141" s="1">
        <v>1.2</v>
      </c>
    </row>
    <row r="142" spans="1:13" x14ac:dyDescent="0.25">
      <c r="A142" s="1">
        <v>325</v>
      </c>
      <c r="B142" s="1">
        <v>463</v>
      </c>
      <c r="C142" s="1">
        <v>1252</v>
      </c>
      <c r="D142" s="1">
        <v>-74.099999999999994</v>
      </c>
      <c r="E142" s="1">
        <v>7.8</v>
      </c>
      <c r="F142" s="1">
        <v>2.2999999999999998</v>
      </c>
      <c r="H142" s="1">
        <v>325</v>
      </c>
      <c r="I142" s="1">
        <v>682</v>
      </c>
      <c r="J142" s="1">
        <v>2715</v>
      </c>
      <c r="K142" s="1">
        <v>-47.2</v>
      </c>
      <c r="L142" s="1">
        <v>5</v>
      </c>
      <c r="M142" s="1">
        <v>1.5</v>
      </c>
    </row>
    <row r="143" spans="1:13" x14ac:dyDescent="0.25">
      <c r="A143" s="1">
        <v>350</v>
      </c>
      <c r="B143" s="1">
        <v>443</v>
      </c>
      <c r="C143" s="1">
        <v>1144</v>
      </c>
      <c r="D143" s="1">
        <v>-95.9</v>
      </c>
      <c r="E143" s="1">
        <v>9.4</v>
      </c>
      <c r="F143" s="1">
        <v>2.7</v>
      </c>
      <c r="H143" s="1">
        <v>350</v>
      </c>
      <c r="I143" s="1">
        <v>674</v>
      </c>
      <c r="J143" s="1">
        <v>2647</v>
      </c>
      <c r="K143" s="1">
        <v>-59.4</v>
      </c>
      <c r="L143" s="1">
        <v>5.8</v>
      </c>
      <c r="M143" s="1">
        <v>1.7</v>
      </c>
    </row>
    <row r="144" spans="1:13" x14ac:dyDescent="0.25">
      <c r="A144" s="1">
        <v>375</v>
      </c>
      <c r="B144" s="1">
        <v>424</v>
      </c>
      <c r="C144" s="1">
        <v>1047</v>
      </c>
      <c r="D144" s="1">
        <v>-120.4</v>
      </c>
      <c r="E144" s="1">
        <v>11</v>
      </c>
      <c r="F144" s="1">
        <v>3.2</v>
      </c>
      <c r="H144" s="1">
        <v>375</v>
      </c>
      <c r="I144" s="1">
        <v>665</v>
      </c>
      <c r="J144" s="1">
        <v>2581</v>
      </c>
      <c r="K144" s="1">
        <v>-72.5</v>
      </c>
      <c r="L144" s="1">
        <v>6.6</v>
      </c>
      <c r="M144" s="1">
        <v>1.9</v>
      </c>
    </row>
    <row r="145" spans="1:13" x14ac:dyDescent="0.25">
      <c r="A145" s="1">
        <v>400</v>
      </c>
      <c r="B145" s="1">
        <v>405</v>
      </c>
      <c r="C145" s="1">
        <v>959</v>
      </c>
      <c r="D145" s="1">
        <v>-148.6</v>
      </c>
      <c r="E145" s="1">
        <v>12.8</v>
      </c>
      <c r="F145" s="1">
        <v>3.7</v>
      </c>
      <c r="H145" s="1">
        <v>400</v>
      </c>
      <c r="I145" s="1">
        <v>657</v>
      </c>
      <c r="J145" s="1">
        <v>2516</v>
      </c>
      <c r="K145" s="1">
        <v>-87.1</v>
      </c>
      <c r="L145" s="1">
        <v>7.5</v>
      </c>
      <c r="M145" s="1">
        <v>2.2000000000000002</v>
      </c>
    </row>
    <row r="146" spans="1:13" x14ac:dyDescent="0.25">
      <c r="A146" s="1">
        <v>425</v>
      </c>
      <c r="B146" s="1">
        <v>388</v>
      </c>
      <c r="C146" s="1">
        <v>880</v>
      </c>
      <c r="D146" s="1">
        <v>-182.3</v>
      </c>
      <c r="E146" s="1">
        <v>14.7</v>
      </c>
      <c r="F146" s="1">
        <v>4.3</v>
      </c>
      <c r="H146" s="1">
        <v>425</v>
      </c>
      <c r="I146" s="1">
        <v>648</v>
      </c>
      <c r="J146" s="1">
        <v>2453</v>
      </c>
      <c r="K146" s="1">
        <v>-103.7</v>
      </c>
      <c r="L146" s="1">
        <v>8.4</v>
      </c>
      <c r="M146" s="1">
        <v>2.4</v>
      </c>
    </row>
    <row r="147" spans="1:13" x14ac:dyDescent="0.25">
      <c r="A147" s="1">
        <v>450</v>
      </c>
      <c r="B147" s="1">
        <v>373</v>
      </c>
      <c r="C147" s="1">
        <v>811</v>
      </c>
      <c r="D147" s="1">
        <v>-219.3</v>
      </c>
      <c r="E147" s="1">
        <v>16.8</v>
      </c>
      <c r="F147" s="1">
        <v>4.9000000000000004</v>
      </c>
      <c r="H147" s="1">
        <v>450</v>
      </c>
      <c r="I147" s="1">
        <v>640</v>
      </c>
      <c r="J147" s="1">
        <v>2390</v>
      </c>
      <c r="K147" s="1">
        <v>-121.2</v>
      </c>
      <c r="L147" s="1">
        <v>9.3000000000000007</v>
      </c>
      <c r="M147" s="1">
        <v>2.7</v>
      </c>
    </row>
    <row r="148" spans="1:13" x14ac:dyDescent="0.25">
      <c r="A148" s="1">
        <v>475</v>
      </c>
      <c r="B148" s="1">
        <v>359</v>
      </c>
      <c r="C148" s="1">
        <v>751</v>
      </c>
      <c r="D148" s="1">
        <v>-261.2</v>
      </c>
      <c r="E148" s="1">
        <v>18.899999999999999</v>
      </c>
      <c r="F148" s="1">
        <v>5.5</v>
      </c>
      <c r="H148" s="1">
        <v>475</v>
      </c>
      <c r="I148" s="1">
        <v>632</v>
      </c>
      <c r="J148" s="1">
        <v>2329</v>
      </c>
      <c r="K148" s="1">
        <v>-140.19999999999999</v>
      </c>
      <c r="L148" s="1">
        <v>10.199999999999999</v>
      </c>
      <c r="M148" s="1">
        <v>3</v>
      </c>
    </row>
    <row r="149" spans="1:13" x14ac:dyDescent="0.25">
      <c r="A149" s="1">
        <v>500</v>
      </c>
      <c r="B149" s="1">
        <v>347</v>
      </c>
      <c r="C149" s="1">
        <v>701</v>
      </c>
      <c r="D149" s="1">
        <v>-308.39999999999998</v>
      </c>
      <c r="E149" s="1">
        <v>21.2</v>
      </c>
      <c r="F149" s="1">
        <v>6.2</v>
      </c>
      <c r="H149" s="1">
        <v>500</v>
      </c>
      <c r="I149" s="1">
        <v>624</v>
      </c>
      <c r="J149" s="1">
        <v>2271</v>
      </c>
      <c r="K149" s="1">
        <v>-160.9</v>
      </c>
      <c r="L149" s="1">
        <v>11.1</v>
      </c>
      <c r="M149" s="1">
        <v>3.2</v>
      </c>
    </row>
    <row r="151" spans="1:13" x14ac:dyDescent="0.25">
      <c r="A151" t="s">
        <v>71</v>
      </c>
      <c r="H151" t="s">
        <v>78</v>
      </c>
    </row>
    <row r="152" spans="1:13" x14ac:dyDescent="0.25">
      <c r="A152" t="s">
        <v>12</v>
      </c>
      <c r="B152" t="s">
        <v>13</v>
      </c>
      <c r="C152" t="s">
        <v>14</v>
      </c>
      <c r="D152" t="s">
        <v>15</v>
      </c>
      <c r="E152" t="s">
        <v>16</v>
      </c>
      <c r="F152" t="s">
        <v>17</v>
      </c>
      <c r="H152" t="s">
        <v>12</v>
      </c>
      <c r="I152" t="s">
        <v>13</v>
      </c>
      <c r="J152" t="s">
        <v>14</v>
      </c>
      <c r="K152" t="s">
        <v>15</v>
      </c>
      <c r="L152" t="s">
        <v>16</v>
      </c>
      <c r="M152" t="s">
        <v>17</v>
      </c>
    </row>
    <row r="153" spans="1:13" x14ac:dyDescent="0.25">
      <c r="A153" s="1">
        <v>0</v>
      </c>
      <c r="B153" s="1">
        <v>799</v>
      </c>
      <c r="C153" s="1">
        <v>3719</v>
      </c>
      <c r="D153" s="1">
        <v>-3.8</v>
      </c>
      <c r="E153" s="1">
        <v>0</v>
      </c>
      <c r="F153" s="1">
        <v>0</v>
      </c>
      <c r="H153" s="1">
        <v>0</v>
      </c>
      <c r="I153" s="1">
        <v>799</v>
      </c>
      <c r="J153" s="1">
        <v>3719</v>
      </c>
      <c r="K153" s="1">
        <v>-3.8</v>
      </c>
      <c r="L153" s="1">
        <v>0</v>
      </c>
      <c r="M153" s="1">
        <v>0</v>
      </c>
    </row>
    <row r="154" spans="1:13" x14ac:dyDescent="0.25">
      <c r="A154" s="1">
        <v>25</v>
      </c>
      <c r="B154" s="1">
        <v>769</v>
      </c>
      <c r="C154" s="1">
        <v>3446</v>
      </c>
      <c r="D154" s="1">
        <v>1.1000000000000001</v>
      </c>
      <c r="E154" s="1">
        <v>-1.5</v>
      </c>
      <c r="F154" s="1">
        <v>-0.4</v>
      </c>
      <c r="H154" s="1">
        <v>25</v>
      </c>
      <c r="I154" s="1">
        <v>789</v>
      </c>
      <c r="J154" s="1">
        <v>3633</v>
      </c>
      <c r="K154" s="1">
        <v>0.3</v>
      </c>
      <c r="L154" s="1">
        <v>-0.4</v>
      </c>
      <c r="M154" s="1">
        <v>-0.1</v>
      </c>
    </row>
    <row r="155" spans="1:13" x14ac:dyDescent="0.25">
      <c r="A155" s="1">
        <v>50</v>
      </c>
      <c r="B155" s="1">
        <v>740</v>
      </c>
      <c r="C155" s="1">
        <v>3191</v>
      </c>
      <c r="D155" s="1">
        <v>5</v>
      </c>
      <c r="E155" s="1">
        <v>-3.4</v>
      </c>
      <c r="F155" s="1">
        <v>-1</v>
      </c>
      <c r="H155" s="1">
        <v>50</v>
      </c>
      <c r="I155" s="1">
        <v>780</v>
      </c>
      <c r="J155" s="1">
        <v>3548</v>
      </c>
      <c r="K155" s="1">
        <v>3.5</v>
      </c>
      <c r="L155" s="1">
        <v>-2.4</v>
      </c>
      <c r="M155" s="1">
        <v>-0.7</v>
      </c>
    </row>
    <row r="156" spans="1:13" x14ac:dyDescent="0.25">
      <c r="A156" s="1">
        <v>75</v>
      </c>
      <c r="B156" s="1">
        <v>711</v>
      </c>
      <c r="C156" s="1">
        <v>2950</v>
      </c>
      <c r="D156" s="1">
        <v>7.6</v>
      </c>
      <c r="E156" s="1">
        <v>-3.5</v>
      </c>
      <c r="F156" s="1">
        <v>-1</v>
      </c>
      <c r="H156" s="1">
        <v>75</v>
      </c>
      <c r="I156" s="1">
        <v>771</v>
      </c>
      <c r="J156" s="1">
        <v>3466</v>
      </c>
      <c r="K156" s="1">
        <v>5.6</v>
      </c>
      <c r="L156" s="1">
        <v>-2.6</v>
      </c>
      <c r="M156" s="1">
        <v>-0.7</v>
      </c>
    </row>
    <row r="157" spans="1:13" x14ac:dyDescent="0.25">
      <c r="A157" s="1">
        <v>100</v>
      </c>
      <c r="B157" s="1">
        <v>683</v>
      </c>
      <c r="C157" s="1">
        <v>2724</v>
      </c>
      <c r="D157" s="1">
        <v>9.1</v>
      </c>
      <c r="E157" s="1">
        <v>-3.1</v>
      </c>
      <c r="F157" s="1">
        <v>-0.9</v>
      </c>
      <c r="H157" s="1">
        <v>100</v>
      </c>
      <c r="I157" s="1">
        <v>762</v>
      </c>
      <c r="J157" s="1">
        <v>3384</v>
      </c>
      <c r="K157" s="1">
        <v>6.7</v>
      </c>
      <c r="L157" s="1">
        <v>-2.2999999999999998</v>
      </c>
      <c r="M157" s="1">
        <v>-0.7</v>
      </c>
    </row>
    <row r="158" spans="1:13" x14ac:dyDescent="0.25">
      <c r="A158" s="1">
        <v>125</v>
      </c>
      <c r="B158" s="1">
        <v>656</v>
      </c>
      <c r="C158" s="1">
        <v>2511</v>
      </c>
      <c r="D158" s="1">
        <v>9.1999999999999993</v>
      </c>
      <c r="E158" s="1">
        <v>-2.5</v>
      </c>
      <c r="F158" s="1">
        <v>-0.7</v>
      </c>
      <c r="H158" s="1">
        <v>125</v>
      </c>
      <c r="I158" s="1">
        <v>753</v>
      </c>
      <c r="J158" s="1">
        <v>3304</v>
      </c>
      <c r="K158" s="1">
        <v>6.7</v>
      </c>
      <c r="L158" s="1">
        <v>-1.8</v>
      </c>
      <c r="M158" s="1">
        <v>-0.5</v>
      </c>
    </row>
    <row r="159" spans="1:13" x14ac:dyDescent="0.25">
      <c r="A159" s="1">
        <v>150</v>
      </c>
      <c r="B159" s="1">
        <v>630</v>
      </c>
      <c r="C159" s="1">
        <v>2312</v>
      </c>
      <c r="D159" s="1">
        <v>7.8</v>
      </c>
      <c r="E159" s="1">
        <v>-1.8</v>
      </c>
      <c r="F159" s="1">
        <v>-0.5</v>
      </c>
      <c r="H159" s="1">
        <v>150</v>
      </c>
      <c r="I159" s="1">
        <v>744</v>
      </c>
      <c r="J159" s="1">
        <v>3226</v>
      </c>
      <c r="K159" s="1">
        <v>5.6</v>
      </c>
      <c r="L159" s="1">
        <v>-1.3</v>
      </c>
      <c r="M159" s="1">
        <v>-0.4</v>
      </c>
    </row>
    <row r="160" spans="1:13" x14ac:dyDescent="0.25">
      <c r="A160" s="1">
        <v>175</v>
      </c>
      <c r="B160" s="1">
        <v>604</v>
      </c>
      <c r="C160" s="1">
        <v>2125</v>
      </c>
      <c r="D160" s="1">
        <v>4.9000000000000004</v>
      </c>
      <c r="E160" s="1">
        <v>-1</v>
      </c>
      <c r="F160" s="1">
        <v>-0.3</v>
      </c>
      <c r="H160" s="1">
        <v>175</v>
      </c>
      <c r="I160" s="1">
        <v>735</v>
      </c>
      <c r="J160" s="1">
        <v>3148</v>
      </c>
      <c r="K160" s="1">
        <v>3.4</v>
      </c>
      <c r="L160" s="1">
        <v>-0.7</v>
      </c>
      <c r="M160" s="1">
        <v>-0.2</v>
      </c>
    </row>
    <row r="161" spans="1:13" x14ac:dyDescent="0.25">
      <c r="A161" s="10">
        <v>200</v>
      </c>
      <c r="B161" s="10">
        <v>578</v>
      </c>
      <c r="C161" s="10">
        <v>1951</v>
      </c>
      <c r="D161" s="10">
        <v>0</v>
      </c>
      <c r="E161" s="10">
        <v>0</v>
      </c>
      <c r="F161" s="10">
        <v>0</v>
      </c>
      <c r="H161" s="1">
        <v>200</v>
      </c>
      <c r="I161" s="1">
        <v>726</v>
      </c>
      <c r="J161" s="1">
        <v>3073</v>
      </c>
      <c r="K161" s="1">
        <v>0</v>
      </c>
      <c r="L161" s="1">
        <v>0</v>
      </c>
      <c r="M161" s="1">
        <v>0</v>
      </c>
    </row>
    <row r="162" spans="1:13" x14ac:dyDescent="0.25">
      <c r="A162" s="1">
        <v>225</v>
      </c>
      <c r="B162" s="1">
        <v>554</v>
      </c>
      <c r="C162" s="1">
        <v>1788</v>
      </c>
      <c r="D162" s="1">
        <v>-6.7</v>
      </c>
      <c r="E162" s="1">
        <v>1</v>
      </c>
      <c r="F162" s="1">
        <v>0.3</v>
      </c>
      <c r="H162" s="1">
        <v>225</v>
      </c>
      <c r="I162" s="1">
        <v>717</v>
      </c>
      <c r="J162" s="1">
        <v>2999</v>
      </c>
      <c r="K162" s="1">
        <v>-4.5</v>
      </c>
      <c r="L162" s="1">
        <v>0.7</v>
      </c>
      <c r="M162" s="1">
        <v>0.2</v>
      </c>
    </row>
    <row r="163" spans="1:13" x14ac:dyDescent="0.25">
      <c r="A163" s="1">
        <v>250</v>
      </c>
      <c r="B163" s="1">
        <v>530</v>
      </c>
      <c r="C163" s="1">
        <v>1637</v>
      </c>
      <c r="D163" s="1">
        <v>-15.5</v>
      </c>
      <c r="E163" s="1">
        <v>2.1</v>
      </c>
      <c r="F163" s="1">
        <v>0.6</v>
      </c>
      <c r="H163" s="1">
        <v>250</v>
      </c>
      <c r="I163" s="1">
        <v>708</v>
      </c>
      <c r="J163" s="1">
        <v>2926</v>
      </c>
      <c r="K163" s="1">
        <v>-10.199999999999999</v>
      </c>
      <c r="L163" s="1">
        <v>1.4</v>
      </c>
      <c r="M163" s="1">
        <v>0.4</v>
      </c>
    </row>
    <row r="164" spans="1:13" x14ac:dyDescent="0.25">
      <c r="A164" s="1">
        <v>275</v>
      </c>
      <c r="B164" s="1">
        <v>507</v>
      </c>
      <c r="C164" s="1">
        <v>1498</v>
      </c>
      <c r="D164" s="1">
        <v>-27</v>
      </c>
      <c r="E164" s="1">
        <v>3.4</v>
      </c>
      <c r="F164" s="1">
        <v>1</v>
      </c>
      <c r="H164" s="1">
        <v>275</v>
      </c>
      <c r="I164" s="1">
        <v>700</v>
      </c>
      <c r="J164" s="1">
        <v>2854</v>
      </c>
      <c r="K164" s="1">
        <v>-17.399999999999999</v>
      </c>
      <c r="L164" s="1">
        <v>2.2000000000000002</v>
      </c>
      <c r="M164" s="1">
        <v>0.6</v>
      </c>
    </row>
    <row r="165" spans="1:13" x14ac:dyDescent="0.25">
      <c r="A165" s="1">
        <v>300</v>
      </c>
      <c r="B165" s="1">
        <v>485</v>
      </c>
      <c r="C165" s="1">
        <v>1370</v>
      </c>
      <c r="D165" s="1">
        <v>-40.700000000000003</v>
      </c>
      <c r="E165" s="1">
        <v>4.7</v>
      </c>
      <c r="F165" s="1">
        <v>1.4</v>
      </c>
      <c r="H165" s="1">
        <v>300</v>
      </c>
      <c r="I165" s="1">
        <v>691</v>
      </c>
      <c r="J165" s="1">
        <v>2784</v>
      </c>
      <c r="K165" s="1">
        <v>-25.6</v>
      </c>
      <c r="L165" s="1">
        <v>2.9</v>
      </c>
      <c r="M165" s="1">
        <v>0.9</v>
      </c>
    </row>
    <row r="166" spans="1:13" x14ac:dyDescent="0.25">
      <c r="A166" s="1">
        <v>325</v>
      </c>
      <c r="B166" s="1">
        <v>463</v>
      </c>
      <c r="C166" s="1">
        <v>1252</v>
      </c>
      <c r="D166" s="1">
        <v>-57.3</v>
      </c>
      <c r="E166" s="1">
        <v>6.1</v>
      </c>
      <c r="F166" s="1">
        <v>1.8</v>
      </c>
      <c r="H166" s="1">
        <v>325</v>
      </c>
      <c r="I166" s="1">
        <v>682</v>
      </c>
      <c r="J166" s="1">
        <v>2715</v>
      </c>
      <c r="K166" s="1">
        <v>-35.1</v>
      </c>
      <c r="L166" s="1">
        <v>3.7</v>
      </c>
      <c r="M166" s="1">
        <v>1.1000000000000001</v>
      </c>
    </row>
    <row r="167" spans="1:13" x14ac:dyDescent="0.25">
      <c r="A167" s="1">
        <v>350</v>
      </c>
      <c r="B167" s="1">
        <v>443</v>
      </c>
      <c r="C167" s="1">
        <v>1144</v>
      </c>
      <c r="D167" s="1">
        <v>-77.7</v>
      </c>
      <c r="E167" s="1">
        <v>7.6</v>
      </c>
      <c r="F167" s="1">
        <v>2.2000000000000002</v>
      </c>
      <c r="H167" s="1">
        <v>350</v>
      </c>
      <c r="I167" s="1">
        <v>674</v>
      </c>
      <c r="J167" s="1">
        <v>2647</v>
      </c>
      <c r="K167" s="1">
        <v>-46.3</v>
      </c>
      <c r="L167" s="1">
        <v>4.5</v>
      </c>
      <c r="M167" s="1">
        <v>1.3</v>
      </c>
    </row>
    <row r="168" spans="1:13" x14ac:dyDescent="0.25">
      <c r="A168" s="1">
        <v>375</v>
      </c>
      <c r="B168" s="1">
        <v>424</v>
      </c>
      <c r="C168" s="1">
        <v>1047</v>
      </c>
      <c r="D168" s="1">
        <v>-100.9</v>
      </c>
      <c r="E168" s="1">
        <v>9.3000000000000007</v>
      </c>
      <c r="F168" s="1">
        <v>2.7</v>
      </c>
      <c r="H168" s="1">
        <v>375</v>
      </c>
      <c r="I168" s="1">
        <v>665</v>
      </c>
      <c r="J168" s="1">
        <v>2581</v>
      </c>
      <c r="K168" s="1">
        <v>-58.5</v>
      </c>
      <c r="L168" s="1">
        <v>5.4</v>
      </c>
      <c r="M168" s="1">
        <v>1.6</v>
      </c>
    </row>
    <row r="169" spans="1:13" x14ac:dyDescent="0.25">
      <c r="A169" s="1">
        <v>400</v>
      </c>
      <c r="B169" s="1">
        <v>405</v>
      </c>
      <c r="C169" s="1">
        <v>959</v>
      </c>
      <c r="D169" s="1">
        <v>-127.9</v>
      </c>
      <c r="E169" s="1">
        <v>11</v>
      </c>
      <c r="F169" s="1">
        <v>3.2</v>
      </c>
      <c r="H169" s="1">
        <v>400</v>
      </c>
      <c r="I169" s="1">
        <v>657</v>
      </c>
      <c r="J169" s="1">
        <v>2516</v>
      </c>
      <c r="K169" s="1">
        <v>-72.2</v>
      </c>
      <c r="L169" s="1">
        <v>6.2</v>
      </c>
      <c r="M169" s="1">
        <v>1.8</v>
      </c>
    </row>
    <row r="170" spans="1:13" x14ac:dyDescent="0.25">
      <c r="A170" s="1">
        <v>425</v>
      </c>
      <c r="B170" s="1">
        <v>388</v>
      </c>
      <c r="C170" s="1">
        <v>880</v>
      </c>
      <c r="D170" s="1">
        <v>-160.19999999999999</v>
      </c>
      <c r="E170" s="1">
        <v>13</v>
      </c>
      <c r="F170" s="1">
        <v>3.8</v>
      </c>
      <c r="H170" s="1">
        <v>425</v>
      </c>
      <c r="I170" s="1">
        <v>648</v>
      </c>
      <c r="J170" s="1">
        <v>2452</v>
      </c>
      <c r="K170" s="1">
        <v>-87.8</v>
      </c>
      <c r="L170" s="1">
        <v>7.1</v>
      </c>
      <c r="M170" s="1">
        <v>2.1</v>
      </c>
    </row>
    <row r="171" spans="1:13" x14ac:dyDescent="0.25">
      <c r="A171" s="1">
        <v>450</v>
      </c>
      <c r="B171" s="1">
        <v>373</v>
      </c>
      <c r="C171" s="1">
        <v>811</v>
      </c>
      <c r="D171" s="1">
        <v>-196</v>
      </c>
      <c r="E171" s="1">
        <v>15</v>
      </c>
      <c r="F171" s="1">
        <v>4.4000000000000004</v>
      </c>
      <c r="H171" s="1">
        <v>450</v>
      </c>
      <c r="I171" s="1">
        <v>640</v>
      </c>
      <c r="J171" s="1">
        <v>2390</v>
      </c>
      <c r="K171" s="1">
        <v>-104.4</v>
      </c>
      <c r="L171" s="1">
        <v>8</v>
      </c>
      <c r="M171" s="1">
        <v>2.2999999999999998</v>
      </c>
    </row>
    <row r="172" spans="1:13" x14ac:dyDescent="0.25">
      <c r="A172" s="1">
        <v>475</v>
      </c>
      <c r="B172" s="1">
        <v>359</v>
      </c>
      <c r="C172" s="1">
        <v>751</v>
      </c>
      <c r="D172" s="1">
        <v>-236.6</v>
      </c>
      <c r="E172" s="1">
        <v>17.100000000000001</v>
      </c>
      <c r="F172" s="1">
        <v>5</v>
      </c>
      <c r="H172" s="1">
        <v>475</v>
      </c>
      <c r="I172" s="1">
        <v>632</v>
      </c>
      <c r="J172" s="1">
        <v>2329</v>
      </c>
      <c r="K172" s="1">
        <v>-122.5</v>
      </c>
      <c r="L172" s="1">
        <v>8.9</v>
      </c>
      <c r="M172" s="1">
        <v>2.6</v>
      </c>
    </row>
    <row r="173" spans="1:13" x14ac:dyDescent="0.25">
      <c r="A173" s="1">
        <v>500</v>
      </c>
      <c r="B173" s="1">
        <v>347</v>
      </c>
      <c r="C173" s="1">
        <v>701</v>
      </c>
      <c r="D173" s="1">
        <v>-282.5</v>
      </c>
      <c r="E173" s="1">
        <v>19.399999999999999</v>
      </c>
      <c r="F173" s="1">
        <v>5.7</v>
      </c>
      <c r="H173" s="1">
        <v>500</v>
      </c>
      <c r="I173" s="1">
        <v>624</v>
      </c>
      <c r="J173" s="1">
        <v>2271</v>
      </c>
      <c r="K173" s="1">
        <v>-142.19999999999999</v>
      </c>
      <c r="L173" s="1">
        <v>9.8000000000000007</v>
      </c>
      <c r="M173" s="1">
        <v>2.8</v>
      </c>
    </row>
    <row r="175" spans="1:13" x14ac:dyDescent="0.25">
      <c r="A175" t="s">
        <v>72</v>
      </c>
      <c r="H175" t="s">
        <v>79</v>
      </c>
    </row>
    <row r="176" spans="1:13" x14ac:dyDescent="0.25">
      <c r="A176" t="s">
        <v>12</v>
      </c>
      <c r="B176" t="s">
        <v>13</v>
      </c>
      <c r="C176" t="s">
        <v>14</v>
      </c>
      <c r="D176" t="s">
        <v>15</v>
      </c>
      <c r="E176" t="s">
        <v>16</v>
      </c>
      <c r="F176" t="s">
        <v>17</v>
      </c>
      <c r="H176" t="s">
        <v>12</v>
      </c>
      <c r="I176" t="s">
        <v>13</v>
      </c>
      <c r="J176" t="s">
        <v>14</v>
      </c>
      <c r="K176" t="s">
        <v>15</v>
      </c>
      <c r="L176" t="s">
        <v>16</v>
      </c>
      <c r="M176" t="s">
        <v>17</v>
      </c>
    </row>
    <row r="177" spans="1:16" x14ac:dyDescent="0.25">
      <c r="A177" s="1">
        <v>0</v>
      </c>
      <c r="B177" s="1">
        <v>799</v>
      </c>
      <c r="C177" s="1">
        <v>3719</v>
      </c>
      <c r="D177" s="1">
        <v>-3.8</v>
      </c>
      <c r="E177" s="1">
        <v>0</v>
      </c>
      <c r="F177" s="1">
        <v>0</v>
      </c>
      <c r="H177" s="1">
        <v>0</v>
      </c>
      <c r="I177" s="1">
        <v>799</v>
      </c>
      <c r="J177" s="1">
        <v>3719</v>
      </c>
      <c r="K177" s="1">
        <v>-3.8</v>
      </c>
      <c r="L177" s="1">
        <v>0</v>
      </c>
      <c r="M177" s="1">
        <v>0</v>
      </c>
      <c r="N177" s="1"/>
      <c r="O177" s="1"/>
      <c r="P177" s="1"/>
    </row>
    <row r="178" spans="1:16" x14ac:dyDescent="0.25">
      <c r="A178" s="1">
        <v>25</v>
      </c>
      <c r="B178" s="1">
        <v>769</v>
      </c>
      <c r="C178" s="1">
        <v>3446</v>
      </c>
      <c r="D178" s="1">
        <v>4.4000000000000004</v>
      </c>
      <c r="E178" s="1">
        <v>-6.1</v>
      </c>
      <c r="F178" s="1">
        <v>-1.8</v>
      </c>
      <c r="H178" s="1">
        <v>25</v>
      </c>
      <c r="I178" s="1">
        <v>789</v>
      </c>
      <c r="J178" s="1">
        <v>3633</v>
      </c>
      <c r="K178" s="1">
        <v>2.4</v>
      </c>
      <c r="L178" s="1">
        <v>-3.3</v>
      </c>
      <c r="M178" s="1">
        <v>-1</v>
      </c>
      <c r="N178" s="1"/>
      <c r="O178" s="1"/>
      <c r="P178" s="1"/>
    </row>
    <row r="179" spans="1:16" x14ac:dyDescent="0.25">
      <c r="A179" s="1">
        <v>50</v>
      </c>
      <c r="B179" s="1">
        <v>740</v>
      </c>
      <c r="C179" s="1">
        <v>3191</v>
      </c>
      <c r="D179" s="1">
        <v>11.8</v>
      </c>
      <c r="E179" s="1">
        <v>-8.1</v>
      </c>
      <c r="F179" s="1">
        <v>-2.2999999999999998</v>
      </c>
      <c r="H179" s="1">
        <v>50</v>
      </c>
      <c r="I179" s="1">
        <v>780</v>
      </c>
      <c r="J179" s="1">
        <v>3548</v>
      </c>
      <c r="K179" s="1">
        <v>7.8</v>
      </c>
      <c r="L179" s="1">
        <v>-5.3</v>
      </c>
      <c r="M179" s="1">
        <v>-1.5</v>
      </c>
      <c r="N179" s="1"/>
      <c r="O179" s="1"/>
      <c r="P179" s="1"/>
    </row>
    <row r="180" spans="1:16" x14ac:dyDescent="0.25">
      <c r="A180" s="1">
        <v>75</v>
      </c>
      <c r="B180" s="1">
        <v>711</v>
      </c>
      <c r="C180" s="1">
        <v>2950</v>
      </c>
      <c r="D180" s="1">
        <v>17.899999999999999</v>
      </c>
      <c r="E180" s="1">
        <v>-8.1999999999999993</v>
      </c>
      <c r="F180" s="1">
        <v>-2.4</v>
      </c>
      <c r="H180" s="1">
        <v>75</v>
      </c>
      <c r="I180" s="1">
        <v>771</v>
      </c>
      <c r="J180" s="1">
        <v>3466</v>
      </c>
      <c r="K180" s="1">
        <v>12</v>
      </c>
      <c r="L180" s="1">
        <v>-5.5</v>
      </c>
      <c r="M180" s="1">
        <v>-1.6</v>
      </c>
      <c r="N180" s="1"/>
      <c r="O180" s="1"/>
      <c r="P180" s="1"/>
    </row>
    <row r="181" spans="1:16" x14ac:dyDescent="0.25">
      <c r="A181" s="1">
        <v>100</v>
      </c>
      <c r="B181" s="1">
        <v>683</v>
      </c>
      <c r="C181" s="1">
        <v>2724</v>
      </c>
      <c r="D181" s="1">
        <v>22.7</v>
      </c>
      <c r="E181" s="1">
        <v>-7.8</v>
      </c>
      <c r="F181" s="1">
        <v>-2.2999999999999998</v>
      </c>
      <c r="H181" s="1">
        <v>100</v>
      </c>
      <c r="I181" s="1">
        <v>762</v>
      </c>
      <c r="J181" s="1">
        <v>3384</v>
      </c>
      <c r="K181" s="1">
        <v>15.2</v>
      </c>
      <c r="L181" s="1">
        <v>-5.2</v>
      </c>
      <c r="M181" s="1">
        <v>-1.5</v>
      </c>
      <c r="N181" s="1"/>
      <c r="O181" s="1"/>
      <c r="P181" s="1"/>
    </row>
    <row r="182" spans="1:16" x14ac:dyDescent="0.25">
      <c r="A182" s="1">
        <v>125</v>
      </c>
      <c r="B182" s="1">
        <v>656</v>
      </c>
      <c r="C182" s="1">
        <v>2511</v>
      </c>
      <c r="D182" s="1">
        <v>26.3</v>
      </c>
      <c r="E182" s="1">
        <v>-7.2</v>
      </c>
      <c r="F182" s="1">
        <v>-2.1</v>
      </c>
      <c r="H182" s="1">
        <v>125</v>
      </c>
      <c r="I182" s="1">
        <v>753</v>
      </c>
      <c r="J182" s="1">
        <v>3304</v>
      </c>
      <c r="K182" s="1">
        <v>17.399999999999999</v>
      </c>
      <c r="L182" s="1">
        <v>-4.8</v>
      </c>
      <c r="M182" s="1">
        <v>-1.4</v>
      </c>
      <c r="N182" s="1"/>
      <c r="O182" s="1"/>
      <c r="P182" s="1"/>
    </row>
    <row r="183" spans="1:16" x14ac:dyDescent="0.25">
      <c r="A183" s="1">
        <v>150</v>
      </c>
      <c r="B183" s="1">
        <v>630</v>
      </c>
      <c r="C183" s="1">
        <v>2312</v>
      </c>
      <c r="D183" s="1">
        <v>28.2</v>
      </c>
      <c r="E183" s="1">
        <v>-6.5</v>
      </c>
      <c r="F183" s="1">
        <v>-1.9</v>
      </c>
      <c r="H183" s="1">
        <v>150</v>
      </c>
      <c r="I183" s="1">
        <v>744</v>
      </c>
      <c r="J183" s="1">
        <v>3226</v>
      </c>
      <c r="K183" s="1">
        <v>18.399999999999999</v>
      </c>
      <c r="L183" s="1">
        <v>-4.2</v>
      </c>
      <c r="M183" s="1">
        <v>-1.2</v>
      </c>
      <c r="N183" s="1"/>
      <c r="O183" s="1"/>
      <c r="P183" s="1"/>
    </row>
    <row r="184" spans="1:16" x14ac:dyDescent="0.25">
      <c r="A184" s="1">
        <v>175</v>
      </c>
      <c r="B184" s="1">
        <v>604</v>
      </c>
      <c r="C184" s="1">
        <v>2125</v>
      </c>
      <c r="D184" s="1">
        <v>28.7</v>
      </c>
      <c r="E184" s="1">
        <v>-5.6</v>
      </c>
      <c r="F184" s="1">
        <v>-1.6</v>
      </c>
      <c r="H184" s="1">
        <v>175</v>
      </c>
      <c r="I184" s="1">
        <v>735</v>
      </c>
      <c r="J184" s="1">
        <v>3148</v>
      </c>
      <c r="K184" s="1">
        <v>18.399999999999999</v>
      </c>
      <c r="L184" s="1">
        <v>-3.6</v>
      </c>
      <c r="M184" s="1">
        <v>-1.1000000000000001</v>
      </c>
      <c r="N184" s="1"/>
      <c r="O184" s="1"/>
      <c r="P184" s="1"/>
    </row>
    <row r="185" spans="1:16" x14ac:dyDescent="0.25">
      <c r="A185" s="1">
        <v>200</v>
      </c>
      <c r="B185" s="1">
        <v>578</v>
      </c>
      <c r="C185" s="1">
        <v>1951</v>
      </c>
      <c r="D185" s="1">
        <v>27.2</v>
      </c>
      <c r="E185" s="1">
        <v>-4.7</v>
      </c>
      <c r="F185" s="1">
        <v>-1.4</v>
      </c>
      <c r="H185" s="1">
        <v>200</v>
      </c>
      <c r="I185" s="1">
        <v>726</v>
      </c>
      <c r="J185" s="1">
        <v>3073</v>
      </c>
      <c r="K185" s="1">
        <v>17.100000000000001</v>
      </c>
      <c r="L185" s="1">
        <v>-2.9</v>
      </c>
      <c r="M185" s="1">
        <v>-0.9</v>
      </c>
      <c r="N185" s="1"/>
      <c r="O185" s="1"/>
      <c r="P185" s="1"/>
    </row>
    <row r="186" spans="1:16" x14ac:dyDescent="0.25">
      <c r="A186" s="1">
        <v>225</v>
      </c>
      <c r="B186" s="1">
        <v>554</v>
      </c>
      <c r="C186" s="1">
        <v>1788</v>
      </c>
      <c r="D186" s="1">
        <v>23.9</v>
      </c>
      <c r="E186" s="1">
        <v>-3.7</v>
      </c>
      <c r="F186" s="1">
        <v>-1.1000000000000001</v>
      </c>
      <c r="H186" s="1">
        <v>225</v>
      </c>
      <c r="I186" s="1">
        <v>717</v>
      </c>
      <c r="J186" s="1">
        <v>2998</v>
      </c>
      <c r="K186" s="1">
        <v>14.7</v>
      </c>
      <c r="L186" s="1">
        <v>-2.2000000000000002</v>
      </c>
      <c r="M186" s="1">
        <v>-0.7</v>
      </c>
      <c r="N186" s="1"/>
      <c r="O186" s="1"/>
      <c r="P186" s="1"/>
    </row>
    <row r="187" spans="1:16" x14ac:dyDescent="0.25">
      <c r="A187" s="1">
        <v>250</v>
      </c>
      <c r="B187" s="1">
        <v>530</v>
      </c>
      <c r="C187" s="1">
        <v>1637</v>
      </c>
      <c r="D187" s="1">
        <v>18.5</v>
      </c>
      <c r="E187" s="1">
        <v>-2.6</v>
      </c>
      <c r="F187" s="1">
        <v>-0.7</v>
      </c>
      <c r="H187" s="1">
        <v>250</v>
      </c>
      <c r="I187" s="1">
        <v>708</v>
      </c>
      <c r="J187" s="1">
        <v>2926</v>
      </c>
      <c r="K187" s="1">
        <v>11.1</v>
      </c>
      <c r="L187" s="1">
        <v>-1.5</v>
      </c>
      <c r="M187" s="1">
        <v>-0.4</v>
      </c>
      <c r="N187" s="1"/>
      <c r="O187" s="1"/>
      <c r="P187" s="1"/>
    </row>
    <row r="188" spans="1:16" x14ac:dyDescent="0.25">
      <c r="A188" s="1">
        <v>275</v>
      </c>
      <c r="B188" s="1">
        <v>507</v>
      </c>
      <c r="C188" s="1">
        <v>1498</v>
      </c>
      <c r="D188" s="1">
        <v>10.5</v>
      </c>
      <c r="E188" s="1">
        <v>-1.3</v>
      </c>
      <c r="F188" s="1">
        <v>-0.4</v>
      </c>
      <c r="H188" s="1">
        <v>275</v>
      </c>
      <c r="I188" s="1">
        <v>700</v>
      </c>
      <c r="J188" s="1">
        <v>2854</v>
      </c>
      <c r="K188" s="1">
        <v>6.1</v>
      </c>
      <c r="L188" s="1">
        <v>-0.8</v>
      </c>
      <c r="M188" s="1">
        <v>-0.2</v>
      </c>
      <c r="N188" s="1"/>
      <c r="O188" s="1"/>
      <c r="P188" s="1"/>
    </row>
    <row r="189" spans="1:16" x14ac:dyDescent="0.25">
      <c r="A189" s="10">
        <v>300</v>
      </c>
      <c r="B189" s="10">
        <v>485</v>
      </c>
      <c r="C189" s="10">
        <v>1370</v>
      </c>
      <c r="D189" s="10">
        <v>0.1</v>
      </c>
      <c r="E189" s="10">
        <v>0</v>
      </c>
      <c r="F189" s="10">
        <v>0</v>
      </c>
      <c r="H189" s="1">
        <v>300</v>
      </c>
      <c r="I189" s="1">
        <v>691</v>
      </c>
      <c r="J189" s="1">
        <v>2784</v>
      </c>
      <c r="K189" s="1">
        <v>0.1</v>
      </c>
      <c r="L189" s="1">
        <v>0</v>
      </c>
      <c r="M189" s="1">
        <v>0</v>
      </c>
      <c r="N189" s="1"/>
      <c r="O189" s="1"/>
      <c r="P189" s="1"/>
    </row>
    <row r="190" spans="1:16" x14ac:dyDescent="0.25">
      <c r="A190" s="1">
        <v>325</v>
      </c>
      <c r="B190" s="1">
        <v>463</v>
      </c>
      <c r="C190" s="1">
        <v>1252</v>
      </c>
      <c r="D190" s="1">
        <v>-13.1</v>
      </c>
      <c r="E190" s="1">
        <v>1.4</v>
      </c>
      <c r="F190" s="1">
        <v>0.4</v>
      </c>
      <c r="H190" s="1">
        <v>325</v>
      </c>
      <c r="I190" s="1">
        <v>682</v>
      </c>
      <c r="J190" s="1">
        <v>2715</v>
      </c>
      <c r="K190" s="1">
        <v>-7.3</v>
      </c>
      <c r="L190" s="1">
        <v>0.8</v>
      </c>
      <c r="M190" s="1">
        <v>0.2</v>
      </c>
      <c r="N190" s="1"/>
      <c r="O190" s="1"/>
      <c r="P190" s="1"/>
    </row>
    <row r="191" spans="1:16" x14ac:dyDescent="0.25">
      <c r="A191" s="1">
        <v>350</v>
      </c>
      <c r="B191" s="1">
        <v>443</v>
      </c>
      <c r="C191" s="1">
        <v>1144</v>
      </c>
      <c r="D191" s="1">
        <v>-30.1</v>
      </c>
      <c r="E191" s="1">
        <v>2.9</v>
      </c>
      <c r="F191" s="1">
        <v>0.9</v>
      </c>
      <c r="H191" s="1">
        <v>350</v>
      </c>
      <c r="I191" s="1">
        <v>674</v>
      </c>
      <c r="J191" s="1">
        <v>2647</v>
      </c>
      <c r="K191" s="1">
        <v>-16.399999999999999</v>
      </c>
      <c r="L191" s="1">
        <v>1.6</v>
      </c>
      <c r="M191" s="1">
        <v>0.5</v>
      </c>
      <c r="N191" s="1"/>
      <c r="O191" s="1"/>
      <c r="P191" s="1"/>
    </row>
    <row r="192" spans="1:16" x14ac:dyDescent="0.25">
      <c r="A192" s="1">
        <v>375</v>
      </c>
      <c r="B192" s="1">
        <v>424</v>
      </c>
      <c r="C192" s="1">
        <v>1047</v>
      </c>
      <c r="D192" s="1">
        <v>-49.9</v>
      </c>
      <c r="E192" s="1">
        <v>4.5999999999999996</v>
      </c>
      <c r="F192" s="1">
        <v>1.3</v>
      </c>
      <c r="H192" s="1">
        <v>375</v>
      </c>
      <c r="I192" s="1">
        <v>665</v>
      </c>
      <c r="J192" s="1">
        <v>2581</v>
      </c>
      <c r="K192" s="1">
        <v>-26.5</v>
      </c>
      <c r="L192" s="1">
        <v>2.4</v>
      </c>
      <c r="M192" s="1">
        <v>0.7</v>
      </c>
      <c r="N192" s="1"/>
      <c r="O192" s="1"/>
      <c r="P192" s="1"/>
    </row>
    <row r="193" spans="1:16" x14ac:dyDescent="0.25">
      <c r="A193" s="1">
        <v>400</v>
      </c>
      <c r="B193" s="1">
        <v>405</v>
      </c>
      <c r="C193" s="1">
        <v>959</v>
      </c>
      <c r="D193" s="1">
        <v>-73.5</v>
      </c>
      <c r="E193" s="1">
        <v>6.3</v>
      </c>
      <c r="F193" s="1">
        <v>1.8</v>
      </c>
      <c r="H193" s="1">
        <v>400</v>
      </c>
      <c r="I193" s="1">
        <v>657</v>
      </c>
      <c r="J193" s="1">
        <v>2516</v>
      </c>
      <c r="K193" s="1">
        <v>-38</v>
      </c>
      <c r="L193" s="1">
        <v>3.3</v>
      </c>
      <c r="M193" s="1">
        <v>1</v>
      </c>
      <c r="N193" s="1"/>
      <c r="O193" s="1"/>
      <c r="P193" s="1"/>
    </row>
    <row r="194" spans="1:16" x14ac:dyDescent="0.25">
      <c r="A194" s="1">
        <v>425</v>
      </c>
      <c r="B194" s="1">
        <v>388</v>
      </c>
      <c r="C194" s="1">
        <v>880</v>
      </c>
      <c r="D194" s="1">
        <v>-102.4</v>
      </c>
      <c r="E194" s="1">
        <v>8.3000000000000007</v>
      </c>
      <c r="F194" s="1">
        <v>2.4</v>
      </c>
      <c r="H194" s="1">
        <v>425</v>
      </c>
      <c r="I194" s="1">
        <v>648</v>
      </c>
      <c r="J194" s="1">
        <v>2452</v>
      </c>
      <c r="K194" s="1">
        <v>-51.5</v>
      </c>
      <c r="L194" s="1">
        <v>4.2</v>
      </c>
      <c r="M194" s="1">
        <v>1.2</v>
      </c>
      <c r="N194" s="1"/>
      <c r="O194" s="1"/>
      <c r="P194" s="1"/>
    </row>
    <row r="195" spans="1:16" x14ac:dyDescent="0.25">
      <c r="A195" s="1">
        <v>450</v>
      </c>
      <c r="B195" s="1">
        <v>373</v>
      </c>
      <c r="C195" s="1">
        <v>811</v>
      </c>
      <c r="D195" s="1">
        <v>-134.80000000000001</v>
      </c>
      <c r="E195" s="1">
        <v>10.3</v>
      </c>
      <c r="F195" s="1">
        <v>3</v>
      </c>
      <c r="H195" s="1">
        <v>450</v>
      </c>
      <c r="I195" s="1">
        <v>640</v>
      </c>
      <c r="J195" s="1">
        <v>2390</v>
      </c>
      <c r="K195" s="1">
        <v>-66</v>
      </c>
      <c r="L195" s="1">
        <v>5</v>
      </c>
      <c r="M195" s="1">
        <v>1.5</v>
      </c>
      <c r="N195" s="1"/>
      <c r="O195" s="1"/>
      <c r="P195" s="1"/>
    </row>
    <row r="196" spans="1:16" x14ac:dyDescent="0.25">
      <c r="A196" s="1">
        <v>475</v>
      </c>
      <c r="B196" s="1">
        <v>359</v>
      </c>
      <c r="C196" s="1">
        <v>751</v>
      </c>
      <c r="D196" s="1">
        <v>-172</v>
      </c>
      <c r="E196" s="1">
        <v>12.5</v>
      </c>
      <c r="F196" s="1">
        <v>3.6</v>
      </c>
      <c r="H196" s="1">
        <v>475</v>
      </c>
      <c r="I196" s="1">
        <v>632</v>
      </c>
      <c r="J196" s="1">
        <v>2329</v>
      </c>
      <c r="K196" s="1">
        <v>-82</v>
      </c>
      <c r="L196" s="1">
        <v>5.9</v>
      </c>
      <c r="M196" s="1">
        <v>1.7</v>
      </c>
      <c r="N196" s="1"/>
      <c r="O196" s="1"/>
      <c r="P196" s="1"/>
    </row>
    <row r="197" spans="1:16" x14ac:dyDescent="0.25">
      <c r="A197" s="1">
        <v>500</v>
      </c>
      <c r="B197" s="1">
        <v>347</v>
      </c>
      <c r="C197" s="1">
        <v>701</v>
      </c>
      <c r="D197" s="1">
        <v>-214.6</v>
      </c>
      <c r="E197" s="1">
        <v>14.8</v>
      </c>
      <c r="F197" s="1">
        <v>4.3</v>
      </c>
      <c r="H197" s="1">
        <v>500</v>
      </c>
      <c r="I197" s="1">
        <v>624</v>
      </c>
      <c r="J197" s="1">
        <v>2271</v>
      </c>
      <c r="K197" s="1">
        <v>-99.6</v>
      </c>
      <c r="L197" s="1">
        <v>6.9</v>
      </c>
      <c r="M197" s="1">
        <v>2</v>
      </c>
      <c r="N197" s="1"/>
      <c r="O197" s="1"/>
      <c r="P197" s="1"/>
    </row>
    <row r="206" spans="1:16" ht="30" x14ac:dyDescent="0.25">
      <c r="A206" t="s">
        <v>39</v>
      </c>
      <c r="B206" s="11" t="s">
        <v>6</v>
      </c>
      <c r="C206" s="11" t="s">
        <v>7</v>
      </c>
      <c r="D206" s="11" t="s">
        <v>8</v>
      </c>
      <c r="E206" s="11" t="s">
        <v>9</v>
      </c>
      <c r="F206" s="11" t="s">
        <v>10</v>
      </c>
      <c r="G206" s="12" t="s">
        <v>40</v>
      </c>
    </row>
    <row r="207" spans="1:16" x14ac:dyDescent="0.25">
      <c r="A207" t="s">
        <v>41</v>
      </c>
      <c r="B207" s="13" cm="1">
        <f t="array" ref="B207">INDEX(LINEST(H$23:H$36,$A$23:$A$36^{1,2,3}), 1,4)</f>
        <v>-4.6168294342029998</v>
      </c>
      <c r="C207" s="13" cm="1">
        <f t="array" ref="C207">INDEX(LINEST(I$23:I$36,$A$23:$A$36^{1,2,3}), 1,4)</f>
        <v>-3.7392065219886774</v>
      </c>
      <c r="D207" s="14" cm="1">
        <f t="array" ref="D207">INDEX(LINEST(J$23:J$36,$A$23:$A$36^{1,2,3}), 1,4)</f>
        <v>-4.6275539909742918</v>
      </c>
      <c r="E207" s="14" cm="1">
        <f t="array" ref="E207">INDEX(LINEST(K$23:K$36,$A$23:$A$36^{1,2,3}), 1,4)</f>
        <v>-4.3445122464666355</v>
      </c>
      <c r="F207" s="14" cm="1">
        <f t="array" ref="F207">INDEX(LINEST(L$23:L$36,$A$23:$A$36^{1,2,3}), 1,4)</f>
        <v>-5.2526020387416876</v>
      </c>
      <c r="G207" s="14" cm="1">
        <f t="array" ref="G207">INDEX(LINEST(B$23:B$36,$A$23:$A$36^{1,2,3}), 1,4)</f>
        <v>3723.5843148909403</v>
      </c>
    </row>
    <row r="208" spans="1:16" x14ac:dyDescent="0.25">
      <c r="A208" t="s">
        <v>42</v>
      </c>
      <c r="B208" s="14" cm="1">
        <f t="array" ref="B208">INDEX(LINEST(H$23:H$36,$A$23:$A$36^{1,2,3}), 1,3)</f>
        <v>0.16484809629463912</v>
      </c>
      <c r="C208" s="13" cm="1">
        <f t="array" ref="C208">INDEX(LINEST(I$23:I$36,$A$23:$A$36^{1,2,3}), 1,3)</f>
        <v>8.6105846160616728E-2</v>
      </c>
      <c r="D208" s="14" cm="1">
        <f t="array" ref="D208">INDEX(LINEST(J$23:J$36,$A$23:$A$36^{1,2,3}), 1,3)</f>
        <v>0.1596175923198507</v>
      </c>
      <c r="E208" s="14" cm="1">
        <f t="array" ref="E208">INDEX(LINEST(K$23:K$36,$A$23:$A$36^{1,2,3}), 1,3)</f>
        <v>0.18181773774119211</v>
      </c>
      <c r="F208" s="14" cm="1">
        <f t="array" ref="F208">INDEX(LINEST(L$23:L$36,$A$23:$A$36^{1,2,3}), 1,3)</f>
        <v>0.29402960752404478</v>
      </c>
      <c r="G208" s="14" cm="1">
        <f t="array" ref="G208">INDEX(LINEST(B$23:B$36,$A$23:$A$36^{1,2,3}), 1,3)</f>
        <v>-3.5211302223175478</v>
      </c>
    </row>
    <row r="209" spans="1:7" x14ac:dyDescent="0.25">
      <c r="A209" t="s">
        <v>43</v>
      </c>
      <c r="B209" s="14" cm="1">
        <f t="array" ref="B209">INDEX(LINEST(H$23:H$36,$A$23:$A$36^{1,2,3}), 1,2)</f>
        <v>-8.1476592654849066E-4</v>
      </c>
      <c r="C209" s="14" cm="1">
        <f t="array" ref="C209">INDEX(LINEST(I$23:I$36,$A$23:$A$36^{1,2,3}), 1,2)</f>
        <v>-5.4206838336102287E-4</v>
      </c>
      <c r="D209" s="14" cm="1">
        <f t="array" ref="D209">INDEX(LINEST(J$23:J$36,$A$23:$A$36^{1,2,3}), 1,2)</f>
        <v>-7.4365377491842765E-4</v>
      </c>
      <c r="E209" s="14" cm="1">
        <f t="array" ref="E209">INDEX(LINEST(K$23:K$36,$A$23:$A$36^{1,2,3}), 1,2)</f>
        <v>-6.3918641934491462E-4</v>
      </c>
      <c r="F209" s="14" cm="1">
        <f t="array" ref="F209">INDEX(LINEST(L$23:L$36,$A$23:$A$36^{1,2,3}), 1,2)</f>
        <v>-8.4999396661289547E-4</v>
      </c>
      <c r="G209" s="14" cm="1">
        <f t="array" ref="G209">INDEX(LINEST(B$23:B$36,$A$23:$A$36^{1,2,3}), 1,2)</f>
        <v>6.2106940241561659E-4</v>
      </c>
    </row>
    <row r="210" spans="1:7" x14ac:dyDescent="0.25">
      <c r="A210" t="s">
        <v>44</v>
      </c>
      <c r="B210" s="13" cm="1">
        <f t="array" ref="B210">INDEX(LINEST(H$23:H$36,$A$23:$A$36^{1,2,3}), 1)</f>
        <v>-3.6291490413593885E-7</v>
      </c>
      <c r="C210" s="13" cm="1">
        <f t="array" ref="C210">INDEX(LINEST(I$23:I$36,$A$23:$A$36^{1,2,3}), 1)</f>
        <v>-6.3053612391860659E-7</v>
      </c>
      <c r="D210" s="14" cm="1">
        <f t="array" ref="D210">INDEX(LINEST(J$23:J$36,$A$23:$A$36^{1,2,3}), 1)</f>
        <v>-4.081394902618352E-7</v>
      </c>
      <c r="E210" s="14" cm="1">
        <f t="array" ref="E210">INDEX(LINEST(K$23:K$36,$A$23:$A$36^{1,2,3}), 1)</f>
        <v>-6.2394613198562344E-7</v>
      </c>
      <c r="F210" s="14" cm="1">
        <f t="array" ref="F210">INDEX(LINEST(L$23:L$36,$A$23:$A$36^{1,2,3}), 1)</f>
        <v>-2.4072333442200312E-7</v>
      </c>
      <c r="G210" s="14" cm="1">
        <f t="array" ref="G210">INDEX(LINEST(B$23:B$36,$A$23:$A$36^{1,2,3}), 1)</f>
        <v>9.2457914157577313E-7</v>
      </c>
    </row>
    <row r="211" spans="1:7" x14ac:dyDescent="0.25">
      <c r="A211" t="s">
        <v>45</v>
      </c>
      <c r="B211" s="13"/>
      <c r="C211" s="13"/>
      <c r="D211" s="14"/>
      <c r="E211" s="14"/>
      <c r="F211" s="14"/>
      <c r="G211" s="14"/>
    </row>
    <row r="212" spans="1:7" x14ac:dyDescent="0.25">
      <c r="A212" t="s">
        <v>46</v>
      </c>
      <c r="B212" s="13"/>
      <c r="C212" s="13"/>
      <c r="D212" s="14"/>
      <c r="E212" s="14"/>
      <c r="F212" s="14"/>
      <c r="G212" s="14"/>
    </row>
    <row r="213" spans="1:7" x14ac:dyDescent="0.25">
      <c r="A213" t="s">
        <v>47</v>
      </c>
      <c r="B213" s="13"/>
      <c r="C213" s="13"/>
      <c r="D213" s="14"/>
      <c r="E213" s="14"/>
      <c r="F213" s="14"/>
      <c r="G213" s="14"/>
    </row>
    <row r="214" spans="1:7" x14ac:dyDescent="0.25">
      <c r="B214" s="13"/>
      <c r="C214" s="13"/>
      <c r="D214" s="13"/>
      <c r="E214" s="13"/>
      <c r="F214" s="13"/>
      <c r="G214" s="13"/>
    </row>
    <row r="215" spans="1:7" x14ac:dyDescent="0.25">
      <c r="A215" t="s">
        <v>48</v>
      </c>
    </row>
    <row r="216" spans="1:7" x14ac:dyDescent="0.25">
      <c r="A216" s="15" t="s">
        <v>4</v>
      </c>
      <c r="B216" s="16"/>
      <c r="C216" s="16"/>
    </row>
    <row r="217" spans="1:7" x14ac:dyDescent="0.25">
      <c r="A217" s="1">
        <v>0</v>
      </c>
      <c r="B217" s="2" cm="1">
        <f t="array" ref="B217">TrajectoryToComeUp(B$207:B$210,$A217)</f>
        <v>0</v>
      </c>
      <c r="C217" s="2" cm="1">
        <f t="array" ref="C217">TrajectoryToComeUp(C$207:C$210,$A217)</f>
        <v>0</v>
      </c>
      <c r="D217" s="2" cm="1">
        <f t="array" ref="D217">TrajectoryToComeUp(D$207:D$210,$A217)</f>
        <v>0</v>
      </c>
      <c r="E217" s="2" cm="1">
        <f t="array" ref="E217">TrajectoryToComeUp(E$207:E$210,$A217)</f>
        <v>0</v>
      </c>
      <c r="F217" s="2" cm="1">
        <f t="array" ref="F217">TrajectoryToComeUp(F$207:F$210,$A217)</f>
        <v>0</v>
      </c>
      <c r="G217" s="2" cm="1">
        <f t="array" ref="G217">EvaluatePolynomial(G$207:G$210,$A217)</f>
        <v>3723.5843148909403</v>
      </c>
    </row>
    <row r="218" spans="1:7" x14ac:dyDescent="0.25">
      <c r="A218" s="1">
        <v>25</v>
      </c>
      <c r="B218" s="2" cm="1">
        <f t="array" ref="B218">TrajectoryToComeUp(B$207:B$210,$A218)</f>
        <v>0.40421051052278106</v>
      </c>
      <c r="C218" s="2" cm="1">
        <f t="array" ref="C218">TrajectoryToComeUp(C$207:C$210,$A218)</f>
        <v>0.77408209380405069</v>
      </c>
      <c r="D218" s="2" cm="1">
        <f t="array" ref="D218">TrajectoryToComeUp(D$207:D$210,$A218)</f>
        <v>0.44330998873495314</v>
      </c>
      <c r="E218" s="2" cm="1">
        <f t="array" ref="E218">TrajectoryToComeUp(E$207:E$210,$A218)</f>
        <v>8.3323789335871742E-2</v>
      </c>
      <c r="F218" s="2" cm="1">
        <f t="array" ref="F218">TrajectoryToComeUp(F$207:F$210,$A218)</f>
        <v>-0.62525224725041162</v>
      </c>
      <c r="G218" s="2" cm="1">
        <f t="array" ref="G218">EvaluatePolynomial(G$207:G$210,$A218)</f>
        <v>3635.9586742585984</v>
      </c>
    </row>
    <row r="219" spans="1:7" x14ac:dyDescent="0.25">
      <c r="A219" s="1">
        <v>50</v>
      </c>
      <c r="B219" s="2" cm="1">
        <f t="array" ref="B219">TrajectoryToComeUp(B$207:B$210,$A219)</f>
        <v>-0.30865924022814745</v>
      </c>
      <c r="C219" s="2" cm="1">
        <f t="array" ref="C219">TrajectoryToComeUp(C$207:C$210,$A219)</f>
        <v>0.17358043757004482</v>
      </c>
      <c r="D219" s="2" cm="1">
        <f t="array" ref="D219">TrajectoryToComeUp(D$207:D$210,$A219)</f>
        <v>-0.28863475028788899</v>
      </c>
      <c r="E219" s="2" cm="1">
        <f t="array" ref="E219">TrajectoryToComeUp(E$207:E$210,$A219)</f>
        <v>-0.61408306514649613</v>
      </c>
      <c r="F219" s="2" cm="1">
        <f t="array" ref="F219">TrajectoryToComeUp(F$207:F$210,$A219)</f>
        <v>-1.4587606008251128</v>
      </c>
      <c r="G219" s="2" cm="1">
        <f t="array" ref="G219">EvaluatePolynomial(G$207:G$210,$A219)</f>
        <v>3549.1960496737988</v>
      </c>
    </row>
    <row r="220" spans="1:7" x14ac:dyDescent="0.25">
      <c r="A220" s="1">
        <v>75</v>
      </c>
      <c r="B220" s="2" cm="1">
        <f t="array" ref="B220">TrajectoryToComeUp(B$207:B$210,$A220)</f>
        <v>-0.40141529678364324</v>
      </c>
      <c r="C220" s="2" cm="1">
        <f t="array" ref="C220">TrajectoryToComeUp(C$207:C$210,$A220)</f>
        <v>7.9521352483511845E-2</v>
      </c>
      <c r="D220" s="2" cm="1">
        <f t="array" ref="D220">TrajectoryToComeUp(D$207:D$210,$A220)</f>
        <v>-0.39847054688588579</v>
      </c>
      <c r="E220" s="2" cm="1">
        <f t="array" ref="E220">TrajectoryToComeUp(E$207:E$210,$A220)</f>
        <v>-0.72442229345015907</v>
      </c>
      <c r="F220" s="2" cm="1">
        <f t="array" ref="F220">TrajectoryToComeUp(F$207:F$210,$A220)</f>
        <v>-1.5889129742206469</v>
      </c>
      <c r="G220" s="2" cm="1">
        <f t="array" ref="G220">EvaluatePolynomial(G$207:G$210,$A220)</f>
        <v>3463.3831204310645</v>
      </c>
    </row>
    <row r="221" spans="1:7" x14ac:dyDescent="0.25">
      <c r="A221" s="1">
        <v>100</v>
      </c>
      <c r="B221" s="2" cm="1">
        <f t="array" ref="B221">TrajectoryToComeUp(B$207:B$210,$A221)</f>
        <v>-0.33574060256400667</v>
      </c>
      <c r="C221" s="2" cm="1">
        <f t="array" ref="C221">TrajectoryToComeUp(C$207:C$210,$A221)</f>
        <v>0.11798418634558394</v>
      </c>
      <c r="D221" s="2" cm="1">
        <f t="array" ref="D221">TrajectoryToComeUp(D$207:D$210,$A221)</f>
        <v>-0.34895280015646674</v>
      </c>
      <c r="E221" s="2" cm="1">
        <f t="array" ref="E221">TrajectoryToComeUp(E$207:E$210,$A221)</f>
        <v>-0.68214512022178075</v>
      </c>
      <c r="F221" s="2" cm="1">
        <f t="array" ref="F221">TrajectoryToComeUp(F$207:F$210,$A221)</f>
        <v>-1.5409695713111833</v>
      </c>
      <c r="G221" s="2" cm="1">
        <f t="array" ref="G221">EvaluatePolynomial(G$207:G$210,$A221)</f>
        <v>3378.6065658249172</v>
      </c>
    </row>
    <row r="222" spans="1:7" x14ac:dyDescent="0.25">
      <c r="A222" s="1">
        <v>125</v>
      </c>
      <c r="B222" s="2" cm="1">
        <f t="array" ref="B222">TrajectoryToComeUp(B$207:B$210,$A222)</f>
        <v>-0.20397174625329748</v>
      </c>
      <c r="C222" s="2" cm="1">
        <f t="array" ref="C222">TrajectoryToComeUp(C$207:C$210,$A222)</f>
        <v>0.21418480871648776</v>
      </c>
      <c r="D222" s="2" cm="1">
        <f t="array" ref="D222">TrajectoryToComeUp(D$207:D$210,$A222)</f>
        <v>-0.23263258991911734</v>
      </c>
      <c r="E222" s="2" cm="1">
        <f t="array" ref="E222">TrajectoryToComeUp(E$207:E$210,$A222)</f>
        <v>-0.57414179039069335</v>
      </c>
      <c r="F222" s="2" cm="1">
        <f t="array" ref="F222">TrajectoryToComeUp(F$207:F$210,$A222)</f>
        <v>-1.4199824328715556</v>
      </c>
      <c r="G222" s="2" cm="1">
        <f t="array" ref="G222">EvaluatePolynomial(G$207:G$210,$A222)</f>
        <v>3294.9530651498812</v>
      </c>
    </row>
    <row r="223" spans="1:7" x14ac:dyDescent="0.25">
      <c r="A223" s="1">
        <v>150</v>
      </c>
      <c r="B223" s="2" cm="1">
        <f t="array" ref="B223">TrajectoryToComeUp(B$207:B$210,$A223)</f>
        <v>-3.6887590746202369E-2</v>
      </c>
      <c r="C223" s="2" cm="1">
        <f t="array" ref="C223">TrajectoryToComeUp(C$207:C$210,$A223)</f>
        <v>0.34319517611629868</v>
      </c>
      <c r="D223" s="2" cm="1">
        <f t="array" ref="D223">TrajectoryToComeUp(D$207:D$210,$A223)</f>
        <v>-8.0360276113666529E-2</v>
      </c>
      <c r="E223" s="2" cm="1">
        <f t="array" ref="E223">TrajectoryToComeUp(E$207:E$210,$A223)</f>
        <v>-0.42937571893334153</v>
      </c>
      <c r="F223" s="2" cm="1">
        <f t="array" ref="F223">TrajectoryToComeUp(F$207:F$210,$A223)</f>
        <v>-1.260968905826708</v>
      </c>
      <c r="G223" s="2" cm="1">
        <f t="array" ref="G223">EvaluatePolynomial(G$207:G$210,$A223)</f>
        <v>3212.5092977004779</v>
      </c>
    </row>
    <row r="224" spans="1:7" x14ac:dyDescent="0.25">
      <c r="A224" s="1">
        <v>175</v>
      </c>
      <c r="B224" s="2" cm="1">
        <f t="array" ref="B224">TrajectoryToComeUp(B$207:B$210,$A224)</f>
        <v>0.15232092271669881</v>
      </c>
      <c r="C224" s="2" cm="1">
        <f t="array" ref="C224">TrajectoryToComeUp(C$207:C$210,$A224)</f>
        <v>0.49433184133933472</v>
      </c>
      <c r="D224" s="2" cm="1">
        <f t="array" ref="D224">TrajectoryToComeUp(D$207:D$210,$A224)</f>
        <v>9.4642558428530699E-2</v>
      </c>
      <c r="E224" s="2" cm="1">
        <f t="array" ref="E224">TrajectoryToComeUp(E$207:E$210,$A224)</f>
        <v>-0.26025979798248716</v>
      </c>
      <c r="F224" s="2" cm="1">
        <f t="array" ref="F224">TrajectoryToComeUp(F$207:F$210,$A224)</f>
        <v>-1.0789364245730457</v>
      </c>
      <c r="G224" s="2" cm="1">
        <f t="array" ref="G224">EvaluatePolynomial(G$207:G$210,$A224)</f>
        <v>3131.3619427712301</v>
      </c>
    </row>
    <row r="225" spans="1:7" x14ac:dyDescent="0.25">
      <c r="A225" s="1">
        <v>200</v>
      </c>
      <c r="B225" s="2" cm="1">
        <f t="array" ref="B225">TrajectoryToComeUp(B$207:B$210,$A225)</f>
        <v>0.35705832351511568</v>
      </c>
      <c r="C225" s="2" cm="1">
        <f t="array" ref="C225">TrajectoryToComeUp(C$207:C$210,$A225)</f>
        <v>0.66225308078275513</v>
      </c>
      <c r="D225" s="2" cm="1">
        <f t="array" ref="D225">TrajectoryToComeUp(D$207:D$210,$A225)</f>
        <v>0.28576512229179701</v>
      </c>
      <c r="E225" s="2" cm="1">
        <f t="array" ref="E225">TrajectoryToComeUp(E$207:E$210,$A225)</f>
        <v>-7.3000473604510702E-2</v>
      </c>
      <c r="F225" s="2" cm="1">
        <f t="array" ref="F225">TrajectoryToComeUp(F$207:F$210,$A225)</f>
        <v>-0.88138870630877109</v>
      </c>
      <c r="G225" s="2" cm="1">
        <f t="array" ref="G225">EvaluatePolynomial(G$207:G$210,$A225)</f>
        <v>3051.5976796566615</v>
      </c>
    </row>
    <row r="226" spans="1:7" x14ac:dyDescent="0.25">
      <c r="A226" s="1">
        <v>225</v>
      </c>
      <c r="B226" s="2" cm="1">
        <f t="array" ref="B226">TrajectoryToComeUp(B$207:B$210,$A226)</f>
        <v>0.57366046130444293</v>
      </c>
      <c r="C226" s="2" cm="1">
        <f t="array" ref="C226">TrajectoryToComeUp(C$207:C$210,$A226)</f>
        <v>0.84399127022275899</v>
      </c>
      <c r="D226" s="2" cm="1">
        <f t="array" ref="D226">TrajectoryToComeUp(D$207:D$210,$A226)</f>
        <v>0.4893347535785334</v>
      </c>
      <c r="E226" s="2" cm="1">
        <f t="array" ref="E226">TrajectoryToComeUp(E$207:E$210,$A226)</f>
        <v>0.12895422860815348</v>
      </c>
      <c r="F226" s="2" cm="1">
        <f t="array" ref="F226">TrajectoryToComeUp(F$207:F$210,$A226)</f>
        <v>-0.67249448281066349</v>
      </c>
      <c r="G226" s="2" cm="1">
        <f t="array" ref="G226">EvaluatePolynomial(G$207:G$210,$A226)</f>
        <v>2973.3031876512941</v>
      </c>
    </row>
    <row r="227" spans="1:7" x14ac:dyDescent="0.25">
      <c r="A227" s="1">
        <v>250</v>
      </c>
      <c r="B227" s="2" cm="1">
        <f t="array" ref="B227">TrajectoryToComeUp(B$207:B$210,$A227)</f>
        <v>0.79992884587791735</v>
      </c>
      <c r="C227" s="2" cm="1">
        <f t="array" ref="C227">TrajectoryToComeUp(C$207:C$210,$A227)</f>
        <v>1.037765835125066</v>
      </c>
      <c r="D227" s="2" cm="1">
        <f t="array" ref="D227">TrajectoryToComeUp(D$207:D$210,$A227)</f>
        <v>0.70314785515018075</v>
      </c>
      <c r="E227" s="2" cm="1">
        <f t="array" ref="E227">TrajectoryToComeUp(E$207:E$210,$A227)</f>
        <v>0.34353549330004557</v>
      </c>
      <c r="F227" s="2" cm="1">
        <f t="array" ref="F227">TrajectoryToComeUp(F$207:F$210,$A227)</f>
        <v>-0.45475499314478968</v>
      </c>
      <c r="G227" s="2" cm="1">
        <f t="array" ref="G227">EvaluatePolynomial(G$207:G$210,$A227)</f>
        <v>2896.565146049651</v>
      </c>
    </row>
    <row r="228" spans="1:7" x14ac:dyDescent="0.25">
      <c r="A228" s="1">
        <v>275</v>
      </c>
      <c r="B228" s="2" cm="1">
        <f t="array" ref="B228">TrajectoryToComeUp(B$207:B$210,$A228)</f>
        <v>1.034464438013053</v>
      </c>
      <c r="C228" s="2" cm="1">
        <f t="array" ref="C228">TrajectoryToComeUp(C$207:C$210,$A228)</f>
        <v>1.2424436826042253</v>
      </c>
      <c r="D228" s="2" cm="1">
        <f t="array" ref="D228">TrajectoryToComeUp(D$207:D$210,$A228)</f>
        <v>0.92580213791856525</v>
      </c>
      <c r="E228" s="2" cm="1">
        <f t="array" ref="E228">TrajectoryToComeUp(E$207:E$210,$A228)</f>
        <v>0.56942680160859949</v>
      </c>
      <c r="F228" s="2" cm="1">
        <f t="array" ref="F228">TrajectoryToComeUp(F$207:F$210,$A228)</f>
        <v>-0.22976193489864757</v>
      </c>
      <c r="G228" s="2" cm="1">
        <f t="array" ref="G228">EvaluatePolynomial(G$207:G$210,$A228)</f>
        <v>2821.4702341462544</v>
      </c>
    </row>
    <row r="229" spans="1:7" x14ac:dyDescent="0.25">
      <c r="A229" s="1">
        <v>300</v>
      </c>
      <c r="B229" s="2" cm="1">
        <f t="array" ref="B229">TrajectoryToComeUp(B$207:B$210,$A229)</f>
        <v>1.2763345448948591</v>
      </c>
      <c r="C229" s="2" cm="1">
        <f t="array" ref="C229">TrajectoryToComeUp(C$207:C$210,$A229)</f>
        <v>1.4572694174032699</v>
      </c>
      <c r="D229" s="2" cm="1">
        <f t="array" ref="D229">TrajectoryToComeUp(D$207:D$210,$A229)</f>
        <v>1.1563627424915708</v>
      </c>
      <c r="E229" s="2" cm="1">
        <f t="array" ref="E229">TrajectoryToComeUp(E$207:E$210,$A229)</f>
        <v>0.80575047429210522</v>
      </c>
      <c r="F229" s="2" cm="1">
        <f t="array" ref="F229">TrajectoryToComeUp(F$207:F$210,$A229)</f>
        <v>1.4235602027642619E-3</v>
      </c>
      <c r="G229" s="2" cm="1">
        <f t="array" ref="G229">EvaluatePolynomial(G$207:G$210,$A229)</f>
        <v>2748.1051312356271</v>
      </c>
    </row>
    <row r="230" spans="1:7" x14ac:dyDescent="0.25">
      <c r="A230" s="1">
        <v>325</v>
      </c>
      <c r="B230" s="2" cm="1">
        <f t="array" ref="B230">TrajectoryToComeUp(B$207:B$210,$A230)</f>
        <v>1.5248934561129581</v>
      </c>
      <c r="C230" s="2" cm="1">
        <f t="array" ref="C230">TrajectoryToComeUp(C$207:C$210,$A230)</f>
        <v>1.6817200735750677</v>
      </c>
      <c r="D230" s="2" cm="1">
        <f t="array" ref="D230">TrajectoryToComeUp(D$207:D$210,$A230)</f>
        <v>1.3941824585208091</v>
      </c>
      <c r="E230" s="2" cm="1">
        <f t="array" ref="E230">TrajectoryToComeUp(E$207:E$210,$A230)</f>
        <v>1.0518988872601471</v>
      </c>
      <c r="F230" s="2" cm="1">
        <f t="array" ref="F230">TrajectoryToComeUp(F$207:F$210,$A230)</f>
        <v>0.23806686250367834</v>
      </c>
      <c r="G230" s="2" cm="1">
        <f t="array" ref="G230">EvaluatePolynomial(G$207:G$210,$A230)</f>
        <v>2676.5565166122929</v>
      </c>
    </row>
    <row r="231" spans="1:7" x14ac:dyDescent="0.25">
      <c r="A231" s="1">
        <v>350</v>
      </c>
      <c r="B231" s="2" cm="1">
        <f t="array" ref="B231">TrajectoryToComeUp(B$207:B$210,$A231)</f>
        <v>1.779679949945651</v>
      </c>
      <c r="C231" s="2" cm="1">
        <f t="array" ref="C231">TrajectoryToComeUp(C$207:C$210,$A231)</f>
        <v>1.9154221040145252</v>
      </c>
      <c r="D231" s="2" cm="1">
        <f t="array" ref="D231">TrajectoryToComeUp(D$207:D$210,$A231)</f>
        <v>1.6387989929002886</v>
      </c>
      <c r="E231" s="2" cm="1">
        <f t="array" ref="E231">TrajectoryToComeUp(E$207:E$210,$A231)</f>
        <v>1.3074380233052867</v>
      </c>
      <c r="F231" s="2" cm="1">
        <f t="array" ref="F231">TrajectoryToComeUp(F$207:F$210,$A231)</f>
        <v>0.47964323653568824</v>
      </c>
      <c r="G231" s="2" cm="1">
        <f t="array" ref="G231">EvaluatePolynomial(G$207:G$210,$A231)</f>
        <v>2606.9110695707727</v>
      </c>
    </row>
    <row r="232" spans="1:7" x14ac:dyDescent="0.25">
      <c r="A232" s="1">
        <v>375</v>
      </c>
      <c r="B232" s="2" cm="1">
        <f t="array" ref="B232">TrajectoryToComeUp(B$207:B$210,$A232)</f>
        <v>2.0403557971303594</v>
      </c>
      <c r="C232" s="2" cm="1">
        <f t="array" ref="C232">TrajectoryToComeUp(C$207:C$210,$A232)</f>
        <v>2.1581015741779073</v>
      </c>
      <c r="D232" s="2" cm="1">
        <f t="array" ref="D232">TrajectoryToComeUp(D$207:D$210,$A232)</f>
        <v>1.889873330685617</v>
      </c>
      <c r="E232" s="2" cm="1">
        <f t="array" ref="E232">TrajectoryToComeUp(E$207:E$210,$A232)</f>
        <v>1.5720496031420685</v>
      </c>
      <c r="F232" s="2" cm="1">
        <f t="array" ref="F232">TrajectoryToComeUp(F$207:F$210,$A232)</f>
        <v>0.72576787628863038</v>
      </c>
      <c r="G232" s="2" cm="1">
        <f t="array" ref="G232">EvaluatePolynomial(G$207:G$210,$A232)</f>
        <v>2539.2554694055907</v>
      </c>
    </row>
    <row r="233" spans="1:7" x14ac:dyDescent="0.25">
      <c r="A233" s="1">
        <v>400</v>
      </c>
      <c r="B233" s="2" cm="1">
        <f t="array" ref="B233">TrajectoryToComeUp(B$207:B$210,$A233)</f>
        <v>2.3066673257201487</v>
      </c>
      <c r="C233" s="2" cm="1">
        <f t="array" ref="C233">TrajectoryToComeUp(C$207:C$210,$A233)</f>
        <v>2.4095530331574118</v>
      </c>
      <c r="D233" s="2" cm="1">
        <f t="array" ref="D233">TrajectoryToComeUp(D$207:D$210,$A233)</f>
        <v>2.1471512106684973</v>
      </c>
      <c r="E233" s="2" cm="1">
        <f t="array" ref="E233">TrajectoryToComeUp(E$207:E$210,$A233)</f>
        <v>1.8454949173064006</v>
      </c>
      <c r="F233" s="2" cm="1">
        <f t="array" ref="F233">TrajectoryToComeUp(F$207:F$210,$A233)</f>
        <v>0.97615217725488146</v>
      </c>
      <c r="G233" s="2" cm="1">
        <f t="array" ref="G233">EvaluatePolynomial(G$207:G$210,$A233)</f>
        <v>2473.6763954112694</v>
      </c>
    </row>
    <row r="234" spans="1:7" x14ac:dyDescent="0.25">
      <c r="A234" s="1">
        <v>425</v>
      </c>
      <c r="B234" s="2" cm="1">
        <f t="array" ref="B234">TrajectoryToComeUp(B$207:B$210,$A234)</f>
        <v>2.57842055128501</v>
      </c>
      <c r="C234" s="2" cm="1">
        <f t="array" ref="C234">TrajectoryToComeUp(C$207:C$210,$A234)</f>
        <v>2.6696193714353083</v>
      </c>
      <c r="D234" s="2" cm="1">
        <f t="array" ref="D234">TrajectoryToComeUp(D$207:D$210,$A234)</f>
        <v>2.4104381978072924</v>
      </c>
      <c r="E234" s="2" cm="1">
        <f t="array" ref="E234">TrajectoryToComeUp(E$207:E$210,$A234)</f>
        <v>2.1275914232669191</v>
      </c>
      <c r="F234" s="2" cm="1">
        <f t="array" ref="F234">TrajectoryToComeUp(F$207:F$210,$A234)</f>
        <v>1.2305754418697878</v>
      </c>
      <c r="G234" s="2" cm="1">
        <f t="array" ref="G234">EvaluatePolynomial(G$207:G$210,$A234)</f>
        <v>2410.2605268823309</v>
      </c>
    </row>
    <row r="235" spans="1:7" x14ac:dyDescent="0.25">
      <c r="A235" s="1">
        <v>450</v>
      </c>
      <c r="B235" s="2" cm="1">
        <f t="array" ref="B235">TrajectoryToComeUp(B$207:B$210,$A235)</f>
        <v>2.8554645970460486</v>
      </c>
      <c r="C235" s="2" cm="1">
        <f t="array" ref="C235">TrajectoryToComeUp(C$207:C$210,$A235)</f>
        <v>2.9381783927200287</v>
      </c>
      <c r="D235" s="2" cm="1">
        <f t="array" ref="D235">TrajectoryToComeUp(D$207:D$210,$A235)</f>
        <v>2.6795830648473959</v>
      </c>
      <c r="E235" s="2" cm="1">
        <f t="array" ref="E235">TrajectoryToComeUp(E$207:E$210,$A235)</f>
        <v>2.4181971434992291</v>
      </c>
      <c r="F235" s="2" cm="1">
        <f t="array" ref="F235">TrajectoryToComeUp(F$207:F$210,$A235)</f>
        <v>1.4888660164719534</v>
      </c>
      <c r="G235" s="2" cm="1">
        <f t="array" ref="G235">EvaluatePolynomial(G$207:G$210,$A235)</f>
        <v>2349.0945431132986</v>
      </c>
    </row>
    <row r="236" spans="1:7" x14ac:dyDescent="0.25">
      <c r="A236" s="1">
        <v>475</v>
      </c>
      <c r="B236" s="2" cm="1">
        <f t="array" ref="B236">TrajectoryToComeUp(B$207:B$210,$A236)</f>
        <v>3.1376803497567671</v>
      </c>
      <c r="C236" s="2" cm="1">
        <f t="array" ref="C236">TrajectoryToComeUp(C$207:C$210,$A236)</f>
        <v>3.2151336262550716</v>
      </c>
      <c r="D236" s="2" cm="1">
        <f t="array" ref="D236">TrajectoryToComeUp(D$207:D$210,$A236)</f>
        <v>2.95446642185096</v>
      </c>
      <c r="E236" s="2" cm="1">
        <f t="array" ref="E236">TrajectoryToComeUp(E$207:E$210,$A236)</f>
        <v>2.7171999904840738</v>
      </c>
      <c r="F236" s="2" cm="1">
        <f t="array" ref="F236">TrajectoryToComeUp(F$207:F$210,$A236)</f>
        <v>1.7508883850129071</v>
      </c>
      <c r="G236" s="2" cm="1">
        <f t="array" ref="G236">EvaluatePolynomial(G$207:G$210,$A236)</f>
        <v>2290.2651233986949</v>
      </c>
    </row>
    <row r="237" spans="1:7" x14ac:dyDescent="0.25">
      <c r="A237" s="10">
        <v>500</v>
      </c>
      <c r="B237" s="2" cm="1">
        <f t="array" ref="B237">TrajectoryToComeUp(B$207:B$210,$A237)</f>
        <v>3.4249725188199691</v>
      </c>
      <c r="C237" s="2" cm="1">
        <f t="array" ref="C237">TrajectoryToComeUp(C$207:C$210,$A237)</f>
        <v>3.5004078954352371</v>
      </c>
      <c r="D237" s="2" cm="1">
        <f t="array" ref="D237">TrajectoryToComeUp(D$207:D$210,$A237)</f>
        <v>3.234992756867705</v>
      </c>
      <c r="E237" s="2" cm="1">
        <f t="array" ref="E237">TrajectoryToComeUp(E$207:E$210,$A237)</f>
        <v>3.0245102942060429</v>
      </c>
      <c r="F237" s="2" cm="1">
        <f t="array" ref="F237">TrajectoryToComeUp(F$207:F$210,$A237)</f>
        <v>2.0165341346538712</v>
      </c>
      <c r="G237" s="2" cm="1">
        <f t="array" ref="G237">EvaluatePolynomial(G$207:G$210,$A237)</f>
        <v>2233.8589470330421</v>
      </c>
    </row>
  </sheetData>
  <mergeCells count="3">
    <mergeCell ref="C21:G21"/>
    <mergeCell ref="H21:L21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50B21-E4CA-4DBE-8142-09E4461A5A65}">
  <sheetPr codeName="Sheet4"/>
  <dimension ref="A1"/>
  <sheetViews>
    <sheetView workbookViewId="0">
      <selection activeCell="W12" sqref="W1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Remington Core-Lokt PHP</vt:lpstr>
      <vt:lpstr>Remington Core-Lokt PHP(2)</vt:lpstr>
      <vt:lpstr>Federal Barnes TSX HP</vt:lpstr>
      <vt:lpstr>Remington Core-Lokt SP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2024-09-21T16:44:51Z</dcterms:modified>
</cp:coreProperties>
</file>