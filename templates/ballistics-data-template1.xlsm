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templates\"/>
    </mc:Choice>
  </mc:AlternateContent>
  <xr:revisionPtr revIDLastSave="0" documentId="13_ncr:1_{66B0C0AD-81A8-45F3-8DF3-46944722323B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Ammunition Name" sheetId="13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1" i="13" l="1"/>
  <c r="C155" i="13"/>
  <c r="C9" i="13" a="1"/>
  <c r="C9" i="13" s="1"/>
  <c r="B20" i="13"/>
  <c r="D19" i="13" s="1"/>
  <c r="E19" i="13" s="1"/>
  <c r="C19" i="13"/>
  <c r="C18" i="13"/>
  <c r="C11" i="13"/>
  <c r="C15" i="13"/>
  <c r="C8" i="13"/>
  <c r="C5" i="13"/>
  <c r="C4" i="13"/>
  <c r="H5" i="13"/>
  <c r="H4" i="13"/>
  <c r="H9" i="13"/>
  <c r="AB143" i="13" a="1"/>
  <c r="AB143" i="13" s="1"/>
  <c r="AA143" i="13" a="1"/>
  <c r="AA143" i="13" s="1"/>
  <c r="Z143" i="13" a="1"/>
  <c r="Z143" i="13" s="1"/>
  <c r="Y143" i="13" a="1"/>
  <c r="Y143" i="13" s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 a="1"/>
  <c r="K143" i="13" s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AB142" i="13" a="1"/>
  <c r="AB142" i="13" s="1"/>
  <c r="AA142" i="13" a="1"/>
  <c r="AA142" i="13" s="1"/>
  <c r="Z142" i="13" a="1"/>
  <c r="Z142" i="13" s="1"/>
  <c r="Y142" i="13" a="1"/>
  <c r="Y142" i="13" s="1"/>
  <c r="X142" i="13" a="1"/>
  <c r="X142" i="13" s="1"/>
  <c r="W142" i="13" a="1"/>
  <c r="W142" i="13" s="1"/>
  <c r="V142" i="13" a="1"/>
  <c r="V142" i="13" s="1"/>
  <c r="U142" i="13" a="1"/>
  <c r="U142" i="13" s="1"/>
  <c r="T142" i="13" a="1"/>
  <c r="T142" i="13" s="1"/>
  <c r="S142" i="13" a="1"/>
  <c r="S142" i="13" s="1"/>
  <c r="R142" i="13" a="1"/>
  <c r="R142" i="13" s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 a="1"/>
  <c r="H142" i="13" s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AB141" i="13" a="1"/>
  <c r="AB141" i="13" s="1"/>
  <c r="AA141" i="13" a="1"/>
  <c r="AA141" i="13" s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 a="1"/>
  <c r="U141" i="13" s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 a="1"/>
  <c r="J141" i="13" s="1"/>
  <c r="I141" i="13" a="1"/>
  <c r="I141" i="13" s="1"/>
  <c r="H141" i="13" a="1"/>
  <c r="H141" i="13" s="1"/>
  <c r="G141" i="13" a="1"/>
  <c r="G141" i="13" s="1"/>
  <c r="F141" i="13" a="1"/>
  <c r="F141" i="13" s="1"/>
  <c r="E141" i="13" a="1"/>
  <c r="E141" i="13" s="1"/>
  <c r="D141" i="13" a="1"/>
  <c r="D141" i="13" s="1"/>
  <c r="C141" i="13" a="1"/>
  <c r="C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 a="1"/>
  <c r="U140" i="13" s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 a="1"/>
  <c r="J140" i="13" s="1"/>
  <c r="I140" i="13" a="1"/>
  <c r="I140" i="13" s="1"/>
  <c r="H140" i="13" a="1"/>
  <c r="H140" i="13" s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 a="1"/>
  <c r="P139" i="13" s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 a="1"/>
  <c r="G139" i="13" s="1"/>
  <c r="F139" i="13" a="1"/>
  <c r="F139" i="13" s="1"/>
  <c r="E139" i="13" a="1"/>
  <c r="E139" i="13" s="1"/>
  <c r="D139" i="13" a="1"/>
  <c r="D139" i="13" s="1"/>
  <c r="C139" i="13" a="1"/>
  <c r="C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 a="1"/>
  <c r="W138" i="13" s="1"/>
  <c r="V138" i="13" a="1"/>
  <c r="V138" i="13" s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 a="1"/>
  <c r="K138" i="13" s="1"/>
  <c r="J138" i="13" a="1"/>
  <c r="J138" i="13" s="1"/>
  <c r="I138" i="13" a="1"/>
  <c r="I138" i="13" s="1"/>
  <c r="H138" i="13" a="1"/>
  <c r="H138" i="13" s="1"/>
  <c r="G138" i="13" a="1"/>
  <c r="G138" i="13" s="1"/>
  <c r="F138" i="13" a="1"/>
  <c r="F138" i="13" s="1"/>
  <c r="E138" i="13" a="1"/>
  <c r="E138" i="13" s="1"/>
  <c r="D138" i="13" a="1"/>
  <c r="D138" i="13" s="1"/>
  <c r="C138" i="13" a="1"/>
  <c r="C138" i="13" s="1"/>
  <c r="AB137" i="13" a="1"/>
  <c r="AB137" i="13" s="1"/>
  <c r="AA137" i="13" a="1"/>
  <c r="AA137" i="13" s="1"/>
  <c r="Z137" i="13" a="1"/>
  <c r="Z137" i="13" s="1"/>
  <c r="Y137" i="13" a="1"/>
  <c r="Y137" i="13" s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 a="1"/>
  <c r="F137" i="13" s="1"/>
  <c r="E137" i="13" a="1"/>
  <c r="E137" i="13" s="1"/>
  <c r="D137" i="13" a="1"/>
  <c r="D137" i="13" s="1"/>
  <c r="C137" i="13" a="1"/>
  <c r="C137" i="13" s="1"/>
  <c r="AB136" i="13" a="1"/>
  <c r="AB136" i="13" s="1"/>
  <c r="AA136" i="13" a="1"/>
  <c r="AA136" i="13" s="1"/>
  <c r="Z136" i="13" a="1"/>
  <c r="Z136" i="13" s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 a="1"/>
  <c r="J136" i="13" s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 a="1"/>
  <c r="V135" i="13" s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 a="1"/>
  <c r="C135" i="13" s="1"/>
  <c r="AB134" i="13" a="1"/>
  <c r="AB134" i="13" s="1"/>
  <c r="AA134" i="13" a="1"/>
  <c r="AA134" i="13" s="1"/>
  <c r="Z134" i="13" a="1"/>
  <c r="Z134" i="13" s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 a="1"/>
  <c r="O134" i="13" s="1"/>
  <c r="N134" i="13" a="1"/>
  <c r="N134" i="13" s="1"/>
  <c r="M134" i="13" a="1"/>
  <c r="M134" i="13" s="1"/>
  <c r="L134" i="13" a="1"/>
  <c r="L134" i="13" s="1"/>
  <c r="K134" i="13" a="1"/>
  <c r="K134" i="13" s="1"/>
  <c r="J134" i="13" a="1"/>
  <c r="J134" i="13" s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AB133" i="13" a="1"/>
  <c r="AB133" i="13" s="1"/>
  <c r="AA133" i="13" a="1"/>
  <c r="AA133" i="13" s="1"/>
  <c r="Z133" i="13" a="1"/>
  <c r="Z133" i="13" s="1"/>
  <c r="Y133" i="13" a="1"/>
  <c r="Y133" i="13" s="1"/>
  <c r="X133" i="13" a="1"/>
  <c r="X133" i="13" s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 a="1"/>
  <c r="P133" i="13" s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 a="1"/>
  <c r="C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 a="1"/>
  <c r="C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 a="1"/>
  <c r="W131" i="13" s="1"/>
  <c r="V131" i="13" a="1"/>
  <c r="V131" i="13" s="1"/>
  <c r="U131" i="13" a="1"/>
  <c r="U131" i="13" s="1"/>
  <c r="T131" i="13" a="1"/>
  <c r="T131" i="13" s="1"/>
  <c r="S131" i="13" a="1"/>
  <c r="S131" i="13" s="1"/>
  <c r="R131" i="13" a="1"/>
  <c r="R131" i="13" s="1"/>
  <c r="Q131" i="13" a="1"/>
  <c r="Q131" i="13" s="1"/>
  <c r="P131" i="13" a="1"/>
  <c r="P131" i="13" s="1"/>
  <c r="O131" i="13" a="1"/>
  <c r="O131" i="13" s="1"/>
  <c r="N131" i="13" a="1"/>
  <c r="N131" i="13" s="1"/>
  <c r="M131" i="13" a="1"/>
  <c r="M131" i="13" s="1"/>
  <c r="L131" i="13" a="1"/>
  <c r="L131" i="13" s="1"/>
  <c r="K131" i="13" a="1"/>
  <c r="K131" i="13" s="1"/>
  <c r="J131" i="13" a="1"/>
  <c r="J131" i="13" s="1"/>
  <c r="I131" i="13" a="1"/>
  <c r="I131" i="13" s="1"/>
  <c r="H131" i="13" a="1"/>
  <c r="H131" i="13" s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AB130" i="13" a="1"/>
  <c r="AB130" i="13" s="1"/>
  <c r="AA130" i="13" a="1"/>
  <c r="AA130" i="13" s="1"/>
  <c r="Z130" i="13" a="1"/>
  <c r="Z130" i="13" s="1"/>
  <c r="Y130" i="13" a="1"/>
  <c r="Y130" i="13" s="1"/>
  <c r="X130" i="13" a="1"/>
  <c r="X130" i="13" s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G130" i="13" a="1"/>
  <c r="G130" i="13" s="1"/>
  <c r="F130" i="13" a="1"/>
  <c r="F130" i="13" s="1"/>
  <c r="E130" i="13" a="1"/>
  <c r="E130" i="13" s="1"/>
  <c r="D130" i="13" a="1"/>
  <c r="D130" i="13" s="1"/>
  <c r="C130" i="13" a="1"/>
  <c r="C130" i="13" s="1"/>
  <c r="AB129" i="13" a="1"/>
  <c r="AB129" i="13" s="1"/>
  <c r="AA129" i="13" a="1"/>
  <c r="AA129" i="13" s="1"/>
  <c r="Z129" i="13" a="1"/>
  <c r="Z129" i="13" s="1"/>
  <c r="Y129" i="13" a="1"/>
  <c r="Y129" i="13" s="1"/>
  <c r="X129" i="13" a="1"/>
  <c r="X129" i="13" s="1"/>
  <c r="W129" i="13" a="1"/>
  <c r="W129" i="13" s="1"/>
  <c r="V129" i="13" a="1"/>
  <c r="V129" i="13" s="1"/>
  <c r="U129" i="13" a="1"/>
  <c r="U129" i="13" s="1"/>
  <c r="T129" i="13" a="1"/>
  <c r="T129" i="13" s="1"/>
  <c r="S129" i="13" a="1"/>
  <c r="S129" i="13" s="1"/>
  <c r="R129" i="13" a="1"/>
  <c r="R129" i="13" s="1"/>
  <c r="Q129" i="13" a="1"/>
  <c r="Q129" i="13" s="1"/>
  <c r="P129" i="13" a="1"/>
  <c r="P129" i="13" s="1"/>
  <c r="O129" i="13" a="1"/>
  <c r="O129" i="13" s="1"/>
  <c r="N129" i="13" a="1"/>
  <c r="N129" i="13" s="1"/>
  <c r="M129" i="13" a="1"/>
  <c r="M129" i="13" s="1"/>
  <c r="L129" i="13" a="1"/>
  <c r="L129" i="13" s="1"/>
  <c r="K129" i="13" a="1"/>
  <c r="K129" i="13" s="1"/>
  <c r="J129" i="13" a="1"/>
  <c r="J129" i="13" s="1"/>
  <c r="I129" i="13" a="1"/>
  <c r="I129" i="13" s="1"/>
  <c r="H129" i="13" a="1"/>
  <c r="H129" i="13" s="1"/>
  <c r="G129" i="13" a="1"/>
  <c r="G129" i="13" s="1"/>
  <c r="F129" i="13" a="1"/>
  <c r="F129" i="13" s="1"/>
  <c r="E129" i="13" a="1"/>
  <c r="E129" i="13" s="1"/>
  <c r="D129" i="13" a="1"/>
  <c r="D129" i="13" s="1"/>
  <c r="C129" i="13" a="1"/>
  <c r="C129" i="13" s="1"/>
  <c r="AB128" i="13" a="1"/>
  <c r="AB128" i="13" s="1"/>
  <c r="AA128" i="13" a="1"/>
  <c r="AA128" i="13" s="1"/>
  <c r="Z128" i="13" a="1"/>
  <c r="Z128" i="13" s="1"/>
  <c r="Y128" i="13" a="1"/>
  <c r="Y128" i="13" s="1"/>
  <c r="X128" i="13" a="1"/>
  <c r="X128" i="13" s="1"/>
  <c r="W128" i="13" a="1"/>
  <c r="W128" i="13" s="1"/>
  <c r="V128" i="13" a="1"/>
  <c r="V128" i="13" s="1"/>
  <c r="U128" i="13" a="1"/>
  <c r="U128" i="13" s="1"/>
  <c r="T128" i="13" a="1"/>
  <c r="T128" i="13" s="1"/>
  <c r="S128" i="13" a="1"/>
  <c r="S128" i="13" s="1"/>
  <c r="R128" i="13" a="1"/>
  <c r="R128" i="13" s="1"/>
  <c r="Q128" i="13" a="1"/>
  <c r="Q128" i="13" s="1"/>
  <c r="P128" i="13" a="1"/>
  <c r="P128" i="13" s="1"/>
  <c r="O128" i="13" a="1"/>
  <c r="O128" i="13" s="1"/>
  <c r="N128" i="13" a="1"/>
  <c r="N128" i="13" s="1"/>
  <c r="M128" i="13" a="1"/>
  <c r="M128" i="13" s="1"/>
  <c r="L128" i="13" a="1"/>
  <c r="L128" i="13" s="1"/>
  <c r="K128" i="13" a="1"/>
  <c r="K128" i="13" s="1"/>
  <c r="J128" i="13" a="1"/>
  <c r="J128" i="13" s="1"/>
  <c r="I128" i="13" a="1"/>
  <c r="I128" i="13" s="1"/>
  <c r="H128" i="13" a="1"/>
  <c r="H128" i="13" s="1"/>
  <c r="G128" i="13" a="1"/>
  <c r="G128" i="13" s="1"/>
  <c r="F128" i="13" a="1"/>
  <c r="F128" i="13" s="1"/>
  <c r="E128" i="13" a="1"/>
  <c r="E128" i="13" s="1"/>
  <c r="D128" i="13" a="1"/>
  <c r="D128" i="13" s="1"/>
  <c r="C128" i="13" a="1"/>
  <c r="C128" i="13" s="1"/>
  <c r="AB127" i="13" a="1"/>
  <c r="AB127" i="13" s="1"/>
  <c r="AA127" i="13" a="1"/>
  <c r="AA127" i="13" s="1"/>
  <c r="Z127" i="13" a="1"/>
  <c r="Z127" i="13" s="1"/>
  <c r="Y127" i="13" a="1"/>
  <c r="Y127" i="13" s="1"/>
  <c r="X127" i="13" a="1"/>
  <c r="X127" i="13" s="1"/>
  <c r="W127" i="13" a="1"/>
  <c r="W127" i="13" s="1"/>
  <c r="V127" i="13" a="1"/>
  <c r="V127" i="13" s="1"/>
  <c r="U127" i="13" a="1"/>
  <c r="U127" i="13" s="1"/>
  <c r="T127" i="13" a="1"/>
  <c r="T127" i="13" s="1"/>
  <c r="S127" i="13" a="1"/>
  <c r="S127" i="13" s="1"/>
  <c r="R127" i="13" a="1"/>
  <c r="R127" i="13" s="1"/>
  <c r="Q127" i="13" a="1"/>
  <c r="Q127" i="13" s="1"/>
  <c r="P127" i="13" a="1"/>
  <c r="P127" i="13" s="1"/>
  <c r="O127" i="13" a="1"/>
  <c r="O127" i="13" s="1"/>
  <c r="N127" i="13" a="1"/>
  <c r="N127" i="13" s="1"/>
  <c r="M127" i="13" a="1"/>
  <c r="M127" i="13" s="1"/>
  <c r="L127" i="13" a="1"/>
  <c r="L127" i="13" s="1"/>
  <c r="K127" i="13" a="1"/>
  <c r="K127" i="13" s="1"/>
  <c r="J127" i="13" a="1"/>
  <c r="J127" i="13" s="1"/>
  <c r="I127" i="13" a="1"/>
  <c r="I127" i="13" s="1"/>
  <c r="H127" i="13" a="1"/>
  <c r="H127" i="13" s="1"/>
  <c r="G127" i="13" a="1"/>
  <c r="G127" i="13" s="1"/>
  <c r="F127" i="13" a="1"/>
  <c r="F127" i="13" s="1"/>
  <c r="E127" i="13" a="1"/>
  <c r="E127" i="13" s="1"/>
  <c r="D127" i="13" a="1"/>
  <c r="D127" i="13" s="1"/>
  <c r="C127" i="13" a="1"/>
  <c r="C127" i="13" s="1"/>
  <c r="AB126" i="13" a="1"/>
  <c r="AB126" i="13" s="1"/>
  <c r="AA126" i="13" a="1"/>
  <c r="AA126" i="13" s="1"/>
  <c r="Z126" i="13" a="1"/>
  <c r="Z126" i="13" s="1"/>
  <c r="Y126" i="13" a="1"/>
  <c r="Y126" i="13" s="1"/>
  <c r="X126" i="13" a="1"/>
  <c r="X126" i="13" s="1"/>
  <c r="W126" i="13" a="1"/>
  <c r="W126" i="13" s="1"/>
  <c r="V126" i="13" a="1"/>
  <c r="V126" i="13" s="1"/>
  <c r="U126" i="13" a="1"/>
  <c r="U126" i="13" s="1"/>
  <c r="T126" i="13" a="1"/>
  <c r="T126" i="13" s="1"/>
  <c r="S126" i="13" a="1"/>
  <c r="S126" i="13" s="1"/>
  <c r="R126" i="13" a="1"/>
  <c r="R126" i="13" s="1"/>
  <c r="Q126" i="13" a="1"/>
  <c r="Q126" i="13" s="1"/>
  <c r="P126" i="13" a="1"/>
  <c r="P126" i="13" s="1"/>
  <c r="O126" i="13" a="1"/>
  <c r="O126" i="13" s="1"/>
  <c r="N126" i="13" a="1"/>
  <c r="N126" i="13" s="1"/>
  <c r="M126" i="13" a="1"/>
  <c r="M126" i="13" s="1"/>
  <c r="L126" i="13" a="1"/>
  <c r="L126" i="13" s="1"/>
  <c r="K126" i="13" a="1"/>
  <c r="K126" i="13" s="1"/>
  <c r="J126" i="13" a="1"/>
  <c r="J126" i="13" s="1"/>
  <c r="I126" i="13" a="1"/>
  <c r="I126" i="13" s="1"/>
  <c r="H126" i="13" a="1"/>
  <c r="H126" i="13" s="1"/>
  <c r="G126" i="13" a="1"/>
  <c r="G126" i="13" s="1"/>
  <c r="F126" i="13" a="1"/>
  <c r="F126" i="13" s="1"/>
  <c r="E126" i="13" a="1"/>
  <c r="E126" i="13" s="1"/>
  <c r="D126" i="13" a="1"/>
  <c r="D126" i="13" s="1"/>
  <c r="C126" i="13" a="1"/>
  <c r="C126" i="13" s="1"/>
  <c r="AB125" i="13" a="1"/>
  <c r="AB125" i="13" s="1"/>
  <c r="AA125" i="13" a="1"/>
  <c r="AA125" i="13" s="1"/>
  <c r="Z125" i="13" a="1"/>
  <c r="Z125" i="13" s="1"/>
  <c r="Y125" i="13" a="1"/>
  <c r="Y125" i="13" s="1"/>
  <c r="X125" i="13" a="1"/>
  <c r="X125" i="13" s="1"/>
  <c r="W125" i="13" a="1"/>
  <c r="W125" i="13" s="1"/>
  <c r="V125" i="13" a="1"/>
  <c r="V125" i="13" s="1"/>
  <c r="U125" i="13" a="1"/>
  <c r="U125" i="13" s="1"/>
  <c r="T125" i="13" a="1"/>
  <c r="T125" i="13" s="1"/>
  <c r="S125" i="13" a="1"/>
  <c r="S125" i="13" s="1"/>
  <c r="R125" i="13" a="1"/>
  <c r="R125" i="13" s="1"/>
  <c r="Q125" i="13" a="1"/>
  <c r="Q125" i="13" s="1"/>
  <c r="P125" i="13" a="1"/>
  <c r="P125" i="13" s="1"/>
  <c r="O125" i="13" a="1"/>
  <c r="O125" i="13" s="1"/>
  <c r="N125" i="13" a="1"/>
  <c r="N125" i="13" s="1"/>
  <c r="M125" i="13" a="1"/>
  <c r="M125" i="13" s="1"/>
  <c r="L125" i="13" a="1"/>
  <c r="L125" i="13" s="1"/>
  <c r="K125" i="13" a="1"/>
  <c r="K125" i="13" s="1"/>
  <c r="J125" i="13" a="1"/>
  <c r="J125" i="13" s="1"/>
  <c r="I125" i="13" a="1"/>
  <c r="I125" i="13" s="1"/>
  <c r="H125" i="13" a="1"/>
  <c r="H125" i="13" s="1"/>
  <c r="G125" i="13" a="1"/>
  <c r="G125" i="13" s="1"/>
  <c r="F125" i="13" a="1"/>
  <c r="F125" i="13" s="1"/>
  <c r="E125" i="13" a="1"/>
  <c r="E125" i="13" s="1"/>
  <c r="D125" i="13" a="1"/>
  <c r="D125" i="13" s="1"/>
  <c r="C125" i="13" a="1"/>
  <c r="C125" i="13" s="1"/>
  <c r="AB124" i="13" a="1"/>
  <c r="AB124" i="13" s="1"/>
  <c r="AA124" i="13" a="1"/>
  <c r="AA124" i="13" s="1"/>
  <c r="Z124" i="13" a="1"/>
  <c r="Z124" i="13" s="1"/>
  <c r="Y124" i="13" a="1"/>
  <c r="Y124" i="13" s="1"/>
  <c r="X124" i="13" a="1"/>
  <c r="X124" i="13" s="1"/>
  <c r="W124" i="13" a="1"/>
  <c r="W124" i="13" s="1"/>
  <c r="V124" i="13" a="1"/>
  <c r="V124" i="13" s="1"/>
  <c r="U124" i="13" a="1"/>
  <c r="U124" i="13" s="1"/>
  <c r="T124" i="13" a="1"/>
  <c r="T124" i="13" s="1"/>
  <c r="S124" i="13" a="1"/>
  <c r="S124" i="13" s="1"/>
  <c r="R124" i="13" a="1"/>
  <c r="R124" i="13" s="1"/>
  <c r="Q124" i="13" a="1"/>
  <c r="Q124" i="13" s="1"/>
  <c r="P124" i="13" a="1"/>
  <c r="P124" i="13" s="1"/>
  <c r="O124" i="13" a="1"/>
  <c r="O124" i="13" s="1"/>
  <c r="N124" i="13" a="1"/>
  <c r="N124" i="13" s="1"/>
  <c r="M124" i="13" a="1"/>
  <c r="M124" i="13" s="1"/>
  <c r="L124" i="13" a="1"/>
  <c r="L124" i="13" s="1"/>
  <c r="K124" i="13" a="1"/>
  <c r="K124" i="13" s="1"/>
  <c r="J124" i="13" a="1"/>
  <c r="J124" i="13" s="1"/>
  <c r="I124" i="13" a="1"/>
  <c r="I124" i="13" s="1"/>
  <c r="H124" i="13" a="1"/>
  <c r="H124" i="13" s="1"/>
  <c r="G124" i="13" a="1"/>
  <c r="G124" i="13" s="1"/>
  <c r="F124" i="13" a="1"/>
  <c r="F124" i="13" s="1"/>
  <c r="E124" i="13" a="1"/>
  <c r="E124" i="13" s="1"/>
  <c r="D124" i="13" a="1"/>
  <c r="D124" i="13" s="1"/>
  <c r="C124" i="13" a="1"/>
  <c r="C124" i="13" s="1"/>
  <c r="AB123" i="13" a="1"/>
  <c r="AB123" i="13" s="1"/>
  <c r="AA123" i="13" a="1"/>
  <c r="AA123" i="13" s="1"/>
  <c r="Z123" i="13" a="1"/>
  <c r="Z123" i="13" s="1"/>
  <c r="Y123" i="13" a="1"/>
  <c r="Y123" i="13" s="1"/>
  <c r="X123" i="13" a="1"/>
  <c r="X123" i="13" s="1"/>
  <c r="W123" i="13" a="1"/>
  <c r="W123" i="13" s="1"/>
  <c r="V123" i="13" a="1"/>
  <c r="V123" i="13" s="1"/>
  <c r="U123" i="13" a="1"/>
  <c r="U123" i="13" s="1"/>
  <c r="T123" i="13" a="1"/>
  <c r="T123" i="13" s="1"/>
  <c r="S123" i="13" a="1"/>
  <c r="S123" i="13" s="1"/>
  <c r="R123" i="13" a="1"/>
  <c r="R123" i="13" s="1"/>
  <c r="Q123" i="13" a="1"/>
  <c r="Q123" i="13" s="1"/>
  <c r="P123" i="13" a="1"/>
  <c r="P123" i="13" s="1"/>
  <c r="O123" i="13" a="1"/>
  <c r="O123" i="13" s="1"/>
  <c r="N123" i="13" a="1"/>
  <c r="N123" i="13" s="1"/>
  <c r="M123" i="13" a="1"/>
  <c r="M123" i="13" s="1"/>
  <c r="L123" i="13" a="1"/>
  <c r="L123" i="13" s="1"/>
  <c r="K123" i="13" a="1"/>
  <c r="K123" i="13" s="1"/>
  <c r="J123" i="13" a="1"/>
  <c r="J123" i="13" s="1"/>
  <c r="I123" i="13" a="1"/>
  <c r="I123" i="13" s="1"/>
  <c r="H123" i="13" a="1"/>
  <c r="H123" i="13" s="1"/>
  <c r="G123" i="13" a="1"/>
  <c r="G123" i="13" s="1"/>
  <c r="F123" i="13" a="1"/>
  <c r="F123" i="13" s="1"/>
  <c r="E123" i="13" a="1"/>
  <c r="E123" i="13" s="1"/>
  <c r="D123" i="13" a="1"/>
  <c r="D123" i="13" s="1"/>
  <c r="C123" i="13" a="1"/>
  <c r="C123" i="13" s="1"/>
  <c r="B143" i="13" a="1"/>
  <c r="B143" i="13" s="1"/>
  <c r="B142" i="13" a="1"/>
  <c r="B142" i="13" s="1"/>
  <c r="B141" i="13" a="1"/>
  <c r="B141" i="13" s="1"/>
  <c r="B140" i="13" a="1"/>
  <c r="B140" i="13" s="1"/>
  <c r="B139" i="13" a="1"/>
  <c r="B139" i="13" s="1"/>
  <c r="B138" i="13" a="1"/>
  <c r="B138" i="13" s="1"/>
  <c r="B137" i="13" a="1"/>
  <c r="B137" i="13" s="1"/>
  <c r="B136" i="13" a="1"/>
  <c r="B136" i="13" s="1"/>
  <c r="B135" i="13" a="1"/>
  <c r="B135" i="13" s="1"/>
  <c r="B134" i="13" a="1"/>
  <c r="B134" i="13" s="1"/>
  <c r="B133" i="13" a="1"/>
  <c r="B133" i="13" s="1"/>
  <c r="B132" i="13" a="1"/>
  <c r="B132" i="13" s="1"/>
  <c r="B131" i="13" a="1"/>
  <c r="B131" i="13" s="1"/>
  <c r="B130" i="13" a="1"/>
  <c r="B130" i="13" s="1"/>
  <c r="B129" i="13" a="1"/>
  <c r="B129" i="13" s="1"/>
  <c r="B128" i="13" a="1"/>
  <c r="B128" i="13" s="1"/>
  <c r="B127" i="13" a="1"/>
  <c r="B127" i="13" s="1"/>
  <c r="B126" i="13" a="1"/>
  <c r="B126" i="13" s="1"/>
  <c r="B125" i="13" a="1"/>
  <c r="B125" i="13" s="1"/>
  <c r="B124" i="13" a="1"/>
  <c r="B124" i="13" s="1"/>
  <c r="AB48" i="13" a="1"/>
  <c r="AB48" i="13" s="1"/>
  <c r="AA48" i="13" a="1"/>
  <c r="AA48" i="13" s="1"/>
  <c r="Z48" i="13" a="1"/>
  <c r="Z48" i="13" s="1"/>
  <c r="Y48" i="13" a="1"/>
  <c r="Y48" i="13" s="1"/>
  <c r="X48" i="13" a="1"/>
  <c r="X48" i="13" s="1"/>
  <c r="W48" i="13" a="1"/>
  <c r="W48" i="13" s="1"/>
  <c r="V48" i="13" a="1"/>
  <c r="V48" i="13" s="1"/>
  <c r="U48" i="13" a="1"/>
  <c r="U48" i="13" s="1"/>
  <c r="T48" i="13" a="1"/>
  <c r="T48" i="13" s="1"/>
  <c r="S48" i="13" a="1"/>
  <c r="S48" i="13" s="1"/>
  <c r="R48" i="13" a="1"/>
  <c r="R48" i="13" s="1"/>
  <c r="Q48" i="13" a="1"/>
  <c r="Q48" i="13" s="1"/>
  <c r="P48" i="13" a="1"/>
  <c r="P48" i="13" s="1"/>
  <c r="AB47" i="13" a="1"/>
  <c r="AB47" i="13" s="1"/>
  <c r="AA47" i="13" a="1"/>
  <c r="AA47" i="13" s="1"/>
  <c r="Z47" i="13" a="1"/>
  <c r="Z47" i="13" s="1"/>
  <c r="Y47" i="13" a="1"/>
  <c r="Y47" i="13" s="1"/>
  <c r="X47" i="13" a="1"/>
  <c r="X47" i="13" s="1"/>
  <c r="W47" i="13" a="1"/>
  <c r="W47" i="13" s="1"/>
  <c r="V47" i="13" a="1"/>
  <c r="V47" i="13" s="1"/>
  <c r="U47" i="13" a="1"/>
  <c r="U47" i="13" s="1"/>
  <c r="T47" i="13" a="1"/>
  <c r="T47" i="13" s="1"/>
  <c r="S47" i="13" a="1"/>
  <c r="S47" i="13" s="1"/>
  <c r="R47" i="13" a="1"/>
  <c r="R47" i="13" s="1"/>
  <c r="Q47" i="13" a="1"/>
  <c r="Q47" i="13" s="1"/>
  <c r="P47" i="13" a="1"/>
  <c r="P47" i="13" s="1"/>
  <c r="AB46" i="13" a="1"/>
  <c r="AB46" i="13" s="1"/>
  <c r="AA46" i="13" a="1"/>
  <c r="AA46" i="13" s="1"/>
  <c r="Z46" i="13" a="1"/>
  <c r="Z46" i="13" s="1"/>
  <c r="Y46" i="13" a="1"/>
  <c r="Y46" i="13" s="1"/>
  <c r="X46" i="13" a="1"/>
  <c r="X46" i="13" s="1"/>
  <c r="W46" i="13" a="1"/>
  <c r="W46" i="13" s="1"/>
  <c r="V46" i="13" a="1"/>
  <c r="V46" i="13" s="1"/>
  <c r="U46" i="13" a="1"/>
  <c r="U46" i="13" s="1"/>
  <c r="T46" i="13" a="1"/>
  <c r="T46" i="13" s="1"/>
  <c r="S46" i="13" a="1"/>
  <c r="S46" i="13" s="1"/>
  <c r="R46" i="13" a="1"/>
  <c r="R46" i="13" s="1"/>
  <c r="Q46" i="13" a="1"/>
  <c r="Q46" i="13" s="1"/>
  <c r="P46" i="13" a="1"/>
  <c r="P46" i="13" s="1"/>
  <c r="AB45" i="13" a="1"/>
  <c r="AB45" i="13" s="1"/>
  <c r="AA45" i="13" a="1"/>
  <c r="AA45" i="13" s="1"/>
  <c r="Z45" i="13" a="1"/>
  <c r="Z45" i="13" s="1"/>
  <c r="Y45" i="13" a="1"/>
  <c r="Y45" i="13" s="1"/>
  <c r="X45" i="13" a="1"/>
  <c r="X45" i="13" s="1"/>
  <c r="W45" i="13" a="1"/>
  <c r="W45" i="13" s="1"/>
  <c r="V45" i="13" a="1"/>
  <c r="V45" i="13" s="1"/>
  <c r="U45" i="13" a="1"/>
  <c r="U45" i="13" s="1"/>
  <c r="T45" i="13" a="1"/>
  <c r="T45" i="13" s="1"/>
  <c r="S45" i="13" a="1"/>
  <c r="S45" i="13" s="1"/>
  <c r="R45" i="13" a="1"/>
  <c r="R45" i="13" s="1"/>
  <c r="Q45" i="13" a="1"/>
  <c r="Q45" i="13" s="1"/>
  <c r="P45" i="13" a="1"/>
  <c r="P45" i="13" s="1"/>
  <c r="AB44" i="13" a="1"/>
  <c r="AB44" i="13" s="1"/>
  <c r="AA44" i="13" a="1"/>
  <c r="AA44" i="13" s="1"/>
  <c r="Z44" i="13" a="1"/>
  <c r="Z44" i="13" s="1"/>
  <c r="Y44" i="13" a="1"/>
  <c r="Y44" i="13" s="1"/>
  <c r="X44" i="13" a="1"/>
  <c r="X44" i="13" s="1"/>
  <c r="W44" i="13" a="1"/>
  <c r="W44" i="13" s="1"/>
  <c r="V44" i="13" a="1"/>
  <c r="V44" i="13" s="1"/>
  <c r="U44" i="13" a="1"/>
  <c r="U44" i="13" s="1"/>
  <c r="T44" i="13" a="1"/>
  <c r="T44" i="13" s="1"/>
  <c r="S44" i="13" a="1"/>
  <c r="S44" i="13" s="1"/>
  <c r="R44" i="13" a="1"/>
  <c r="R44" i="13" s="1"/>
  <c r="Q44" i="13" a="1"/>
  <c r="Q44" i="13" s="1"/>
  <c r="P44" i="13" a="1"/>
  <c r="P44" i="13" s="1"/>
  <c r="AB43" i="13" a="1"/>
  <c r="AB43" i="13" s="1"/>
  <c r="AA43" i="13" a="1"/>
  <c r="AA43" i="13" s="1"/>
  <c r="Z43" i="13" a="1"/>
  <c r="Z43" i="13" s="1"/>
  <c r="Y43" i="13" a="1"/>
  <c r="Y43" i="13" s="1"/>
  <c r="X43" i="13" a="1"/>
  <c r="X43" i="13" s="1"/>
  <c r="W43" i="13" a="1"/>
  <c r="W43" i="13" s="1"/>
  <c r="V43" i="13" a="1"/>
  <c r="V43" i="13" s="1"/>
  <c r="U43" i="13" a="1"/>
  <c r="U43" i="13" s="1"/>
  <c r="T43" i="13" a="1"/>
  <c r="T43" i="13" s="1"/>
  <c r="S43" i="13" a="1"/>
  <c r="S43" i="13" s="1"/>
  <c r="R43" i="13" a="1"/>
  <c r="R43" i="13" s="1"/>
  <c r="Q43" i="13" a="1"/>
  <c r="Q43" i="13" s="1"/>
  <c r="P43" i="13" a="1"/>
  <c r="P43" i="13" s="1"/>
  <c r="AB42" i="13" a="1"/>
  <c r="AB42" i="13" s="1"/>
  <c r="AA42" i="13" a="1"/>
  <c r="AA42" i="13" s="1"/>
  <c r="Z42" i="13" a="1"/>
  <c r="Z42" i="13" s="1"/>
  <c r="Y42" i="13" a="1"/>
  <c r="Y42" i="13" s="1"/>
  <c r="X42" i="13" a="1"/>
  <c r="X42" i="13" s="1"/>
  <c r="W42" i="13" a="1"/>
  <c r="W42" i="13" s="1"/>
  <c r="V42" i="13" a="1"/>
  <c r="V42" i="13" s="1"/>
  <c r="U42" i="13" a="1"/>
  <c r="U42" i="13" s="1"/>
  <c r="T42" i="13" a="1"/>
  <c r="T42" i="13" s="1"/>
  <c r="S42" i="13" a="1"/>
  <c r="S42" i="13" s="1"/>
  <c r="R42" i="13" a="1"/>
  <c r="R42" i="13" s="1"/>
  <c r="Q42" i="13" a="1"/>
  <c r="Q42" i="13" s="1"/>
  <c r="P42" i="13" a="1"/>
  <c r="P42" i="13" s="1"/>
  <c r="AB41" i="13" a="1"/>
  <c r="AB41" i="13" s="1"/>
  <c r="AA41" i="13" a="1"/>
  <c r="AA41" i="13" s="1"/>
  <c r="Z41" i="13" a="1"/>
  <c r="Z41" i="13" s="1"/>
  <c r="Y41" i="13" a="1"/>
  <c r="Y41" i="13" s="1"/>
  <c r="X41" i="13" a="1"/>
  <c r="X41" i="13" s="1"/>
  <c r="W41" i="13" a="1"/>
  <c r="W41" i="13" s="1"/>
  <c r="V41" i="13" a="1"/>
  <c r="V41" i="13" s="1"/>
  <c r="U41" i="13" a="1"/>
  <c r="U41" i="13" s="1"/>
  <c r="T41" i="13" a="1"/>
  <c r="T41" i="13" s="1"/>
  <c r="S41" i="13" a="1"/>
  <c r="S41" i="13" s="1"/>
  <c r="R41" i="13" a="1"/>
  <c r="R41" i="13" s="1"/>
  <c r="Q41" i="13" a="1"/>
  <c r="Q41" i="13" s="1"/>
  <c r="P41" i="13" a="1"/>
  <c r="P41" i="13" s="1"/>
  <c r="AB40" i="13" a="1"/>
  <c r="AB40" i="13" s="1"/>
  <c r="AA40" i="13" a="1"/>
  <c r="AA40" i="13" s="1"/>
  <c r="Z40" i="13" a="1"/>
  <c r="Z40" i="13" s="1"/>
  <c r="Y40" i="13" a="1"/>
  <c r="Y40" i="13" s="1"/>
  <c r="X40" i="13" a="1"/>
  <c r="X40" i="13" s="1"/>
  <c r="W40" i="13" a="1"/>
  <c r="W40" i="13" s="1"/>
  <c r="V40" i="13" a="1"/>
  <c r="V40" i="13" s="1"/>
  <c r="U40" i="13" a="1"/>
  <c r="U40" i="13" s="1"/>
  <c r="T40" i="13" a="1"/>
  <c r="T40" i="13" s="1"/>
  <c r="S40" i="13" a="1"/>
  <c r="S40" i="13" s="1"/>
  <c r="R40" i="13" a="1"/>
  <c r="R40" i="13" s="1"/>
  <c r="Q40" i="13" a="1"/>
  <c r="Q40" i="13" s="1"/>
  <c r="P40" i="13" a="1"/>
  <c r="P40" i="13" s="1"/>
  <c r="AB39" i="13" a="1"/>
  <c r="AB39" i="13" s="1"/>
  <c r="AA39" i="13" a="1"/>
  <c r="AA39" i="13" s="1"/>
  <c r="Z39" i="13" a="1"/>
  <c r="Z39" i="13" s="1"/>
  <c r="Y39" i="13" a="1"/>
  <c r="Y39" i="13" s="1"/>
  <c r="X39" i="13" a="1"/>
  <c r="X39" i="13" s="1"/>
  <c r="W39" i="13" a="1"/>
  <c r="W39" i="13" s="1"/>
  <c r="V39" i="13" a="1"/>
  <c r="V39" i="13" s="1"/>
  <c r="U39" i="13" a="1"/>
  <c r="U39" i="13" s="1"/>
  <c r="T39" i="13" a="1"/>
  <c r="T39" i="13" s="1"/>
  <c r="S39" i="13" a="1"/>
  <c r="S39" i="13" s="1"/>
  <c r="R39" i="13" a="1"/>
  <c r="R39" i="13" s="1"/>
  <c r="Q39" i="13" a="1"/>
  <c r="Q39" i="13" s="1"/>
  <c r="P39" i="13" a="1"/>
  <c r="P39" i="13" s="1"/>
  <c r="AB38" i="13" a="1"/>
  <c r="AB38" i="13" s="1"/>
  <c r="AA38" i="13" a="1"/>
  <c r="AA38" i="13" s="1"/>
  <c r="Z38" i="13" a="1"/>
  <c r="Z38" i="13" s="1"/>
  <c r="Y38" i="13" a="1"/>
  <c r="Y38" i="13" s="1"/>
  <c r="X38" i="13" a="1"/>
  <c r="X38" i="13" s="1"/>
  <c r="W38" i="13" a="1"/>
  <c r="W38" i="13" s="1"/>
  <c r="V38" i="13" a="1"/>
  <c r="V38" i="13" s="1"/>
  <c r="U38" i="13" a="1"/>
  <c r="U38" i="13" s="1"/>
  <c r="T38" i="13" a="1"/>
  <c r="T38" i="13" s="1"/>
  <c r="S38" i="13" a="1"/>
  <c r="S38" i="13" s="1"/>
  <c r="R38" i="13" a="1"/>
  <c r="R38" i="13" s="1"/>
  <c r="Q38" i="13" a="1"/>
  <c r="Q38" i="13" s="1"/>
  <c r="AB37" i="13" a="1"/>
  <c r="AB37" i="13" s="1"/>
  <c r="AA37" i="13" a="1"/>
  <c r="AA37" i="13" s="1"/>
  <c r="Z37" i="13" a="1"/>
  <c r="Z37" i="13" s="1"/>
  <c r="Y37" i="13" a="1"/>
  <c r="Y37" i="13" s="1"/>
  <c r="X37" i="13" a="1"/>
  <c r="X37" i="13" s="1"/>
  <c r="W37" i="13" a="1"/>
  <c r="W37" i="13" s="1"/>
  <c r="V37" i="13" a="1"/>
  <c r="V37" i="13" s="1"/>
  <c r="U37" i="13" a="1"/>
  <c r="U37" i="13" s="1"/>
  <c r="T37" i="13" a="1"/>
  <c r="T37" i="13" s="1"/>
  <c r="S37" i="13" a="1"/>
  <c r="S37" i="13" s="1"/>
  <c r="R37" i="13" a="1"/>
  <c r="R37" i="13" s="1"/>
  <c r="Q37" i="13" a="1"/>
  <c r="Q37" i="13" s="1"/>
  <c r="AB36" i="13" a="1"/>
  <c r="AB36" i="13" s="1"/>
  <c r="AA36" i="13" a="1"/>
  <c r="AA36" i="13" s="1"/>
  <c r="Z36" i="13" a="1"/>
  <c r="Z36" i="13" s="1"/>
  <c r="Y36" i="13" a="1"/>
  <c r="Y36" i="13" s="1"/>
  <c r="X36" i="13" a="1"/>
  <c r="X36" i="13" s="1"/>
  <c r="W36" i="13" a="1"/>
  <c r="W36" i="13" s="1"/>
  <c r="V36" i="13" a="1"/>
  <c r="V36" i="13" s="1"/>
  <c r="U36" i="13" a="1"/>
  <c r="U36" i="13" s="1"/>
  <c r="T36" i="13" a="1"/>
  <c r="T36" i="13" s="1"/>
  <c r="S36" i="13" a="1"/>
  <c r="S36" i="13" s="1"/>
  <c r="R36" i="13" a="1"/>
  <c r="R36" i="13" s="1"/>
  <c r="Q36" i="13" a="1"/>
  <c r="Q36" i="13" s="1"/>
  <c r="AB35" i="13" a="1"/>
  <c r="AB35" i="13" s="1"/>
  <c r="AA35" i="13" a="1"/>
  <c r="AA35" i="13" s="1"/>
  <c r="Z35" i="13" a="1"/>
  <c r="Z35" i="13" s="1"/>
  <c r="Y35" i="13" a="1"/>
  <c r="Y35" i="13" s="1"/>
  <c r="X35" i="13" a="1"/>
  <c r="X35" i="13" s="1"/>
  <c r="W35" i="13" a="1"/>
  <c r="W35" i="13" s="1"/>
  <c r="V35" i="13" a="1"/>
  <c r="V35" i="13" s="1"/>
  <c r="U35" i="13" a="1"/>
  <c r="U35" i="13" s="1"/>
  <c r="T35" i="13" a="1"/>
  <c r="T35" i="13" s="1"/>
  <c r="S35" i="13" a="1"/>
  <c r="S35" i="13" s="1"/>
  <c r="R35" i="13" a="1"/>
  <c r="R35" i="13" s="1"/>
  <c r="Q35" i="13" a="1"/>
  <c r="Q35" i="13" s="1"/>
  <c r="AB34" i="13" a="1"/>
  <c r="AB34" i="13" s="1"/>
  <c r="AA34" i="13" a="1"/>
  <c r="AA34" i="13" s="1"/>
  <c r="Z34" i="13" a="1"/>
  <c r="Z34" i="13" s="1"/>
  <c r="Y34" i="13" a="1"/>
  <c r="Y34" i="13" s="1"/>
  <c r="X34" i="13" a="1"/>
  <c r="X34" i="13" s="1"/>
  <c r="W34" i="13" a="1"/>
  <c r="W34" i="13" s="1"/>
  <c r="V34" i="13" a="1"/>
  <c r="V34" i="13" s="1"/>
  <c r="U34" i="13" a="1"/>
  <c r="U34" i="13" s="1"/>
  <c r="T34" i="13" a="1"/>
  <c r="T34" i="13" s="1"/>
  <c r="S34" i="13" a="1"/>
  <c r="S34" i="13" s="1"/>
  <c r="R34" i="13" a="1"/>
  <c r="R34" i="13" s="1"/>
  <c r="Q34" i="13" a="1"/>
  <c r="Q34" i="13" s="1"/>
  <c r="AB33" i="13" a="1"/>
  <c r="AB33" i="13" s="1"/>
  <c r="AA33" i="13" a="1"/>
  <c r="AA33" i="13" s="1"/>
  <c r="Z33" i="13" a="1"/>
  <c r="Z33" i="13" s="1"/>
  <c r="Y33" i="13" a="1"/>
  <c r="Y33" i="13" s="1"/>
  <c r="X33" i="13" a="1"/>
  <c r="X33" i="13" s="1"/>
  <c r="W33" i="13" a="1"/>
  <c r="W33" i="13" s="1"/>
  <c r="V33" i="13" a="1"/>
  <c r="V33" i="13" s="1"/>
  <c r="U33" i="13" a="1"/>
  <c r="U33" i="13" s="1"/>
  <c r="T33" i="13" a="1"/>
  <c r="T33" i="13" s="1"/>
  <c r="S33" i="13" a="1"/>
  <c r="S33" i="13" s="1"/>
  <c r="R33" i="13" a="1"/>
  <c r="R33" i="13" s="1"/>
  <c r="Q33" i="13" a="1"/>
  <c r="Q33" i="13" s="1"/>
  <c r="AB32" i="13" a="1"/>
  <c r="AB32" i="13" s="1"/>
  <c r="AA32" i="13" a="1"/>
  <c r="AA32" i="13" s="1"/>
  <c r="Z32" i="13" a="1"/>
  <c r="Z32" i="13" s="1"/>
  <c r="Y32" i="13" a="1"/>
  <c r="Y32" i="13" s="1"/>
  <c r="X32" i="13" a="1"/>
  <c r="X32" i="13" s="1"/>
  <c r="W32" i="13" a="1"/>
  <c r="W32" i="13" s="1"/>
  <c r="V32" i="13" a="1"/>
  <c r="V32" i="13" s="1"/>
  <c r="U32" i="13" a="1"/>
  <c r="U32" i="13" s="1"/>
  <c r="T32" i="13" a="1"/>
  <c r="T32" i="13" s="1"/>
  <c r="S32" i="13" a="1"/>
  <c r="S32" i="13" s="1"/>
  <c r="R32" i="13" a="1"/>
  <c r="R32" i="13" s="1"/>
  <c r="Q32" i="13" a="1"/>
  <c r="Q32" i="13" s="1"/>
  <c r="AB31" i="13" a="1"/>
  <c r="AB31" i="13" s="1"/>
  <c r="AA31" i="13" a="1"/>
  <c r="AA31" i="13" s="1"/>
  <c r="Z31" i="13" a="1"/>
  <c r="Z31" i="13" s="1"/>
  <c r="Y31" i="13" a="1"/>
  <c r="Y31" i="13" s="1"/>
  <c r="X31" i="13" a="1"/>
  <c r="X31" i="13" s="1"/>
  <c r="W31" i="13" a="1"/>
  <c r="W31" i="13" s="1"/>
  <c r="V31" i="13" a="1"/>
  <c r="V31" i="13" s="1"/>
  <c r="U31" i="13" a="1"/>
  <c r="U31" i="13" s="1"/>
  <c r="T31" i="13" a="1"/>
  <c r="T31" i="13" s="1"/>
  <c r="S31" i="13" a="1"/>
  <c r="S31" i="13" s="1"/>
  <c r="R31" i="13" a="1"/>
  <c r="R31" i="13" s="1"/>
  <c r="Q31" i="13" a="1"/>
  <c r="Q31" i="13" s="1"/>
  <c r="AB30" i="13" a="1"/>
  <c r="AB30" i="13" s="1"/>
  <c r="AA30" i="13" a="1"/>
  <c r="AA30" i="13" s="1"/>
  <c r="Z30" i="13" a="1"/>
  <c r="Z30" i="13" s="1"/>
  <c r="Y30" i="13" a="1"/>
  <c r="Y30" i="13" s="1"/>
  <c r="X30" i="13" a="1"/>
  <c r="X30" i="13" s="1"/>
  <c r="W30" i="13" a="1"/>
  <c r="W30" i="13" s="1"/>
  <c r="V30" i="13" a="1"/>
  <c r="V30" i="13" s="1"/>
  <c r="U30" i="13" a="1"/>
  <c r="U30" i="13" s="1"/>
  <c r="T30" i="13" a="1"/>
  <c r="T30" i="13" s="1"/>
  <c r="S30" i="13" a="1"/>
  <c r="S30" i="13" s="1"/>
  <c r="R30" i="13" a="1"/>
  <c r="R30" i="13" s="1"/>
  <c r="Q30" i="13" a="1"/>
  <c r="Q30" i="13" s="1"/>
  <c r="AB29" i="13" a="1"/>
  <c r="AB29" i="13" s="1"/>
  <c r="AA29" i="13" a="1"/>
  <c r="AA29" i="13" s="1"/>
  <c r="Z29" i="13" a="1"/>
  <c r="Z29" i="13" s="1"/>
  <c r="Y29" i="13" a="1"/>
  <c r="Y29" i="13" s="1"/>
  <c r="X29" i="13" a="1"/>
  <c r="X29" i="13" s="1"/>
  <c r="W29" i="13" a="1"/>
  <c r="W29" i="13" s="1"/>
  <c r="V29" i="13" a="1"/>
  <c r="V29" i="13" s="1"/>
  <c r="U29" i="13" a="1"/>
  <c r="U29" i="13" s="1"/>
  <c r="T29" i="13" a="1"/>
  <c r="T29" i="13" s="1"/>
  <c r="S29" i="13" a="1"/>
  <c r="S29" i="13" s="1"/>
  <c r="R29" i="13" a="1"/>
  <c r="R29" i="13" s="1"/>
  <c r="Q29" i="13" a="1"/>
  <c r="Q29" i="13" s="1"/>
  <c r="AB28" i="13" a="1"/>
  <c r="AB28" i="13" s="1"/>
  <c r="AA28" i="13" a="1"/>
  <c r="AA28" i="13" s="1"/>
  <c r="Z28" i="13" a="1"/>
  <c r="Z28" i="13" s="1"/>
  <c r="Y28" i="13" a="1"/>
  <c r="Y28" i="13" s="1"/>
  <c r="X28" i="13" a="1"/>
  <c r="X28" i="13" s="1"/>
  <c r="W28" i="13" a="1"/>
  <c r="W28" i="13" s="1"/>
  <c r="V28" i="13" a="1"/>
  <c r="V28" i="13" s="1"/>
  <c r="U28" i="13" a="1"/>
  <c r="U28" i="13" s="1"/>
  <c r="T28" i="13" a="1"/>
  <c r="T28" i="13" s="1"/>
  <c r="S28" i="13" a="1"/>
  <c r="S28" i="13" s="1"/>
  <c r="R28" i="13" a="1"/>
  <c r="R28" i="13" s="1"/>
  <c r="Q28" i="13" a="1"/>
  <c r="Q28" i="13" s="1"/>
  <c r="AB27" i="13" a="1"/>
  <c r="AB27" i="13" s="1"/>
  <c r="AA27" i="13" a="1"/>
  <c r="AA27" i="13" s="1"/>
  <c r="Z27" i="13" a="1"/>
  <c r="Z27" i="13" s="1"/>
  <c r="Y27" i="13" a="1"/>
  <c r="Y27" i="13" s="1"/>
  <c r="X27" i="13" a="1"/>
  <c r="X27" i="13" s="1"/>
  <c r="W27" i="13" a="1"/>
  <c r="W27" i="13" s="1"/>
  <c r="V27" i="13" a="1"/>
  <c r="V27" i="13" s="1"/>
  <c r="U27" i="13" a="1"/>
  <c r="U27" i="13" s="1"/>
  <c r="T27" i="13" a="1"/>
  <c r="T27" i="13" s="1"/>
  <c r="S27" i="13" a="1"/>
  <c r="S27" i="13" s="1"/>
  <c r="R27" i="13" a="1"/>
  <c r="R27" i="13" s="1"/>
  <c r="Q27" i="13" a="1"/>
  <c r="Q27" i="13" s="1"/>
  <c r="AB26" i="13" a="1"/>
  <c r="AB26" i="13" s="1"/>
  <c r="AA26" i="13" a="1"/>
  <c r="AA26" i="13" s="1"/>
  <c r="Z26" i="13" a="1"/>
  <c r="Z26" i="13" s="1"/>
  <c r="Y26" i="13" a="1"/>
  <c r="Y26" i="13" s="1"/>
  <c r="X26" i="13" a="1"/>
  <c r="X26" i="13" s="1"/>
  <c r="W26" i="13" a="1"/>
  <c r="W26" i="13" s="1"/>
  <c r="V26" i="13" a="1"/>
  <c r="V26" i="13" s="1"/>
  <c r="U26" i="13" a="1"/>
  <c r="U26" i="13" s="1"/>
  <c r="T26" i="13" a="1"/>
  <c r="T26" i="13" s="1"/>
  <c r="S26" i="13" a="1"/>
  <c r="S26" i="13" s="1"/>
  <c r="R26" i="13" a="1"/>
  <c r="R26" i="13" s="1"/>
  <c r="Q26" i="13" a="1"/>
  <c r="Q26" i="13" s="1"/>
  <c r="P38" i="13" a="1"/>
  <c r="P38" i="13" s="1"/>
  <c r="P37" i="13" a="1"/>
  <c r="P37" i="13" s="1"/>
  <c r="P36" i="13" a="1"/>
  <c r="P36" i="13" s="1"/>
  <c r="P35" i="13" a="1"/>
  <c r="P35" i="13" s="1"/>
  <c r="P34" i="13" a="1"/>
  <c r="P34" i="13" s="1"/>
  <c r="P33" i="13" a="1"/>
  <c r="P33" i="13" s="1"/>
  <c r="P32" i="13" a="1"/>
  <c r="P32" i="13" s="1"/>
  <c r="P31" i="13" a="1"/>
  <c r="P31" i="13" s="1"/>
  <c r="P30" i="13" a="1"/>
  <c r="P30" i="13" s="1"/>
  <c r="P29" i="13" a="1"/>
  <c r="P29" i="13" s="1"/>
  <c r="P28" i="13" a="1"/>
  <c r="P28" i="13" s="1"/>
  <c r="P27" i="13" a="1"/>
  <c r="P27" i="13" s="1"/>
  <c r="AB122" i="13" a="1"/>
  <c r="AB122" i="13" s="1"/>
  <c r="AA122" i="13" a="1"/>
  <c r="AA122" i="13" s="1"/>
  <c r="Z122" i="13" a="1"/>
  <c r="Z122" i="13" s="1"/>
  <c r="Y122" i="13" a="1"/>
  <c r="Y122" i="13" s="1"/>
  <c r="X122" i="13" a="1"/>
  <c r="X122" i="13" s="1"/>
  <c r="W122" i="13" a="1"/>
  <c r="W122" i="13" s="1"/>
  <c r="V122" i="13" a="1"/>
  <c r="V122" i="13" s="1"/>
  <c r="U122" i="13" a="1"/>
  <c r="U122" i="13" s="1"/>
  <c r="T122" i="13" a="1"/>
  <c r="T122" i="13" s="1"/>
  <c r="S122" i="13" a="1"/>
  <c r="S122" i="13" s="1"/>
  <c r="R122" i="13" a="1"/>
  <c r="R122" i="13" s="1"/>
  <c r="P122" i="13" a="1"/>
  <c r="P122" i="13" s="1"/>
  <c r="O122" i="13" a="1"/>
  <c r="O122" i="13" s="1"/>
  <c r="N122" i="13" a="1"/>
  <c r="N122" i="13" s="1"/>
  <c r="M122" i="13" a="1"/>
  <c r="M122" i="13" s="1"/>
  <c r="L122" i="13" a="1"/>
  <c r="L122" i="13" s="1"/>
  <c r="K122" i="13" a="1"/>
  <c r="K122" i="13" s="1"/>
  <c r="J122" i="13" a="1"/>
  <c r="J122" i="13" s="1"/>
  <c r="I122" i="13" a="1"/>
  <c r="I122" i="13" s="1"/>
  <c r="H122" i="13" a="1"/>
  <c r="H122" i="13" s="1"/>
  <c r="G122" i="13" a="1"/>
  <c r="G122" i="13" s="1"/>
  <c r="F122" i="13" a="1"/>
  <c r="F122" i="13" s="1"/>
  <c r="E122" i="13" a="1"/>
  <c r="E122" i="13" s="1"/>
  <c r="D122" i="13" a="1"/>
  <c r="D122" i="13" s="1"/>
  <c r="C122" i="13" a="1"/>
  <c r="C122" i="13" s="1"/>
  <c r="AB121" i="13" a="1"/>
  <c r="AB121" i="13" s="1"/>
  <c r="AA121" i="13" a="1"/>
  <c r="AA121" i="13" s="1"/>
  <c r="Z121" i="13" a="1"/>
  <c r="Z121" i="13" s="1"/>
  <c r="Y121" i="13" a="1"/>
  <c r="Y121" i="13" s="1"/>
  <c r="X121" i="13" a="1"/>
  <c r="X121" i="13" s="1"/>
  <c r="W121" i="13" a="1"/>
  <c r="W121" i="13" s="1"/>
  <c r="V121" i="13" a="1"/>
  <c r="V121" i="13" s="1"/>
  <c r="U121" i="13" a="1"/>
  <c r="U121" i="13" s="1"/>
  <c r="T121" i="13" a="1"/>
  <c r="T121" i="13" s="1"/>
  <c r="S121" i="13" a="1"/>
  <c r="S121" i="13" s="1"/>
  <c r="R121" i="13" a="1"/>
  <c r="R121" i="13" s="1"/>
  <c r="P121" i="13" a="1"/>
  <c r="P121" i="13" s="1"/>
  <c r="O121" i="13" a="1"/>
  <c r="O121" i="13" s="1"/>
  <c r="N121" i="13" a="1"/>
  <c r="N121" i="13" s="1"/>
  <c r="M121" i="13" a="1"/>
  <c r="M121" i="13" s="1"/>
  <c r="L121" i="13" a="1"/>
  <c r="L121" i="13" s="1"/>
  <c r="K121" i="13" a="1"/>
  <c r="K121" i="13" s="1"/>
  <c r="J121" i="13" a="1"/>
  <c r="J121" i="13" s="1"/>
  <c r="I121" i="13" a="1"/>
  <c r="I121" i="13" s="1"/>
  <c r="H121" i="13" a="1"/>
  <c r="H121" i="13" s="1"/>
  <c r="G121" i="13" a="1"/>
  <c r="G121" i="13" s="1"/>
  <c r="F121" i="13" a="1"/>
  <c r="F121" i="13" s="1"/>
  <c r="E121" i="13" a="1"/>
  <c r="E121" i="13" s="1"/>
  <c r="D121" i="13" a="1"/>
  <c r="D121" i="13" s="1"/>
  <c r="C121" i="13" a="1"/>
  <c r="C121" i="13" s="1"/>
  <c r="AB120" i="13" a="1"/>
  <c r="AB120" i="13" s="1"/>
  <c r="AA120" i="13" a="1"/>
  <c r="AA120" i="13" s="1"/>
  <c r="Z120" i="13" a="1"/>
  <c r="Z120" i="13" s="1"/>
  <c r="Y120" i="13" a="1"/>
  <c r="Y120" i="13" s="1"/>
  <c r="X120" i="13" a="1"/>
  <c r="X120" i="13" s="1"/>
  <c r="W120" i="13" a="1"/>
  <c r="W120" i="13" s="1"/>
  <c r="V120" i="13" a="1"/>
  <c r="V120" i="13" s="1"/>
  <c r="U120" i="13" a="1"/>
  <c r="U120" i="13" s="1"/>
  <c r="T120" i="13" a="1"/>
  <c r="T120" i="13" s="1"/>
  <c r="S120" i="13" a="1"/>
  <c r="S120" i="13" s="1"/>
  <c r="R120" i="13" a="1"/>
  <c r="R120" i="13" s="1"/>
  <c r="P120" i="13" a="1"/>
  <c r="P120" i="13" s="1"/>
  <c r="O120" i="13" a="1"/>
  <c r="O120" i="13" s="1"/>
  <c r="N120" i="13" a="1"/>
  <c r="N120" i="13" s="1"/>
  <c r="M120" i="13" a="1"/>
  <c r="M120" i="13" s="1"/>
  <c r="L120" i="13" a="1"/>
  <c r="L120" i="13" s="1"/>
  <c r="K120" i="13" a="1"/>
  <c r="K120" i="13" s="1"/>
  <c r="J120" i="13" a="1"/>
  <c r="J120" i="13" s="1"/>
  <c r="I120" i="13" a="1"/>
  <c r="I120" i="13" s="1"/>
  <c r="H120" i="13" a="1"/>
  <c r="H120" i="13" s="1"/>
  <c r="G120" i="13" a="1"/>
  <c r="G120" i="13" s="1"/>
  <c r="F120" i="13" a="1"/>
  <c r="F120" i="13" s="1"/>
  <c r="E120" i="13" a="1"/>
  <c r="E120" i="13" s="1"/>
  <c r="D120" i="13" a="1"/>
  <c r="D120" i="13" s="1"/>
  <c r="C120" i="13" a="1"/>
  <c r="C12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 a="1"/>
  <c r="R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AB118" i="13" a="1"/>
  <c r="AB118" i="13" s="1"/>
  <c r="AA118" i="13" a="1"/>
  <c r="AA118" i="13" s="1"/>
  <c r="Z118" i="13" a="1"/>
  <c r="Z118" i="13" s="1"/>
  <c r="Y118" i="13" a="1"/>
  <c r="Y118" i="13" s="1"/>
  <c r="X118" i="13" a="1"/>
  <c r="X118" i="13" s="1"/>
  <c r="W118" i="13" a="1"/>
  <c r="W118" i="13" s="1"/>
  <c r="V118" i="13" a="1"/>
  <c r="V118" i="13" s="1"/>
  <c r="U118" i="13" a="1"/>
  <c r="U118" i="13" s="1"/>
  <c r="T118" i="13" a="1"/>
  <c r="T118" i="13" s="1"/>
  <c r="S118" i="13" a="1"/>
  <c r="S118" i="13" s="1"/>
  <c r="R118" i="13" a="1"/>
  <c r="R118" i="13" s="1"/>
  <c r="P118" i="13" a="1"/>
  <c r="P118" i="13" s="1"/>
  <c r="O118" i="13" a="1"/>
  <c r="O118" i="13" s="1"/>
  <c r="N118" i="13" a="1"/>
  <c r="N118" i="13" s="1"/>
  <c r="M118" i="13" a="1"/>
  <c r="M118" i="13" s="1"/>
  <c r="L118" i="13" a="1"/>
  <c r="L118" i="13" s="1"/>
  <c r="K118" i="13" a="1"/>
  <c r="K118" i="13" s="1"/>
  <c r="J118" i="13" a="1"/>
  <c r="J118" i="13" s="1"/>
  <c r="I118" i="13" a="1"/>
  <c r="I118" i="13" s="1"/>
  <c r="H118" i="13" a="1"/>
  <c r="H118" i="13" s="1"/>
  <c r="G118" i="13" a="1"/>
  <c r="G118" i="13" s="1"/>
  <c r="F118" i="13" a="1"/>
  <c r="F118" i="13" s="1"/>
  <c r="E118" i="13" a="1"/>
  <c r="E118" i="13" s="1"/>
  <c r="D118" i="13" a="1"/>
  <c r="D118" i="13" s="1"/>
  <c r="C118" i="13" a="1"/>
  <c r="C118" i="13" s="1"/>
  <c r="AB117" i="13" a="1"/>
  <c r="AB117" i="13" s="1"/>
  <c r="AA117" i="13" a="1"/>
  <c r="AA117" i="13" s="1"/>
  <c r="Z117" i="13" a="1"/>
  <c r="Z117" i="13" s="1"/>
  <c r="Y117" i="13" a="1"/>
  <c r="Y117" i="13" s="1"/>
  <c r="X117" i="13" a="1"/>
  <c r="X117" i="13" s="1"/>
  <c r="W117" i="13" a="1"/>
  <c r="W117" i="13" s="1"/>
  <c r="V117" i="13" a="1"/>
  <c r="V117" i="13" s="1"/>
  <c r="U117" i="13" a="1"/>
  <c r="U117" i="13" s="1"/>
  <c r="T117" i="13" a="1"/>
  <c r="T117" i="13" s="1"/>
  <c r="S117" i="13" a="1"/>
  <c r="S117" i="13" s="1"/>
  <c r="R117" i="13" a="1"/>
  <c r="R117" i="13" s="1"/>
  <c r="P117" i="13" a="1"/>
  <c r="P117" i="13" s="1"/>
  <c r="O117" i="13" a="1"/>
  <c r="O117" i="13" s="1"/>
  <c r="N117" i="13" a="1"/>
  <c r="N117" i="13" s="1"/>
  <c r="M117" i="13" a="1"/>
  <c r="M117" i="13" s="1"/>
  <c r="L117" i="13" a="1"/>
  <c r="L117" i="13" s="1"/>
  <c r="K117" i="13" a="1"/>
  <c r="K117" i="13" s="1"/>
  <c r="J117" i="13" a="1"/>
  <c r="J117" i="13" s="1"/>
  <c r="I117" i="13" a="1"/>
  <c r="I117" i="13" s="1"/>
  <c r="H117" i="13" a="1"/>
  <c r="H117" i="13" s="1"/>
  <c r="G117" i="13" a="1"/>
  <c r="G117" i="13" s="1"/>
  <c r="F117" i="13" a="1"/>
  <c r="F117" i="13" s="1"/>
  <c r="E117" i="13" a="1"/>
  <c r="E117" i="13" s="1"/>
  <c r="D117" i="13" a="1"/>
  <c r="D117" i="13" s="1"/>
  <c r="C117" i="13" a="1"/>
  <c r="C117" i="13" s="1"/>
  <c r="AB116" i="13" a="1"/>
  <c r="AB116" i="13" s="1"/>
  <c r="AA116" i="13" a="1"/>
  <c r="AA116" i="13" s="1"/>
  <c r="Z116" i="13" a="1"/>
  <c r="Z116" i="13" s="1"/>
  <c r="Y116" i="13" a="1"/>
  <c r="Y116" i="13" s="1"/>
  <c r="X116" i="13" a="1"/>
  <c r="X116" i="13" s="1"/>
  <c r="W116" i="13" a="1"/>
  <c r="W116" i="13" s="1"/>
  <c r="V116" i="13" a="1"/>
  <c r="V116" i="13" s="1"/>
  <c r="U116" i="13" a="1"/>
  <c r="U116" i="13" s="1"/>
  <c r="T116" i="13" a="1"/>
  <c r="T116" i="13" s="1"/>
  <c r="S116" i="13" a="1"/>
  <c r="S116" i="13" s="1"/>
  <c r="R116" i="13" a="1"/>
  <c r="R116" i="13" s="1"/>
  <c r="P116" i="13" a="1"/>
  <c r="P116" i="13" s="1"/>
  <c r="O116" i="13" a="1"/>
  <c r="O116" i="13" s="1"/>
  <c r="N116" i="13" a="1"/>
  <c r="N116" i="13" s="1"/>
  <c r="M116" i="13" a="1"/>
  <c r="M116" i="13" s="1"/>
  <c r="L116" i="13" a="1"/>
  <c r="L116" i="13" s="1"/>
  <c r="K116" i="13" a="1"/>
  <c r="K116" i="13" s="1"/>
  <c r="J116" i="13" a="1"/>
  <c r="J116" i="13" s="1"/>
  <c r="I116" i="13" a="1"/>
  <c r="I116" i="13" s="1"/>
  <c r="H116" i="13" a="1"/>
  <c r="H116" i="13" s="1"/>
  <c r="G116" i="13" a="1"/>
  <c r="G116" i="13" s="1"/>
  <c r="F116" i="13" a="1"/>
  <c r="F116" i="13" s="1"/>
  <c r="E116" i="13" a="1"/>
  <c r="E116" i="13" s="1"/>
  <c r="D116" i="13" a="1"/>
  <c r="D116" i="13" s="1"/>
  <c r="C116" i="13" a="1"/>
  <c r="C116" i="13" s="1"/>
  <c r="AB115" i="13" a="1"/>
  <c r="AB115" i="13" s="1"/>
  <c r="AA115" i="13" a="1"/>
  <c r="AA115" i="13" s="1"/>
  <c r="Z115" i="13" a="1"/>
  <c r="Z115" i="13" s="1"/>
  <c r="Y115" i="13" a="1"/>
  <c r="Y115" i="13" s="1"/>
  <c r="X115" i="13" a="1"/>
  <c r="X115" i="13" s="1"/>
  <c r="W115" i="13" a="1"/>
  <c r="W115" i="13" s="1"/>
  <c r="V115" i="13" a="1"/>
  <c r="V115" i="13" s="1"/>
  <c r="U115" i="13" a="1"/>
  <c r="U115" i="13" s="1"/>
  <c r="T115" i="13" a="1"/>
  <c r="T115" i="13" s="1"/>
  <c r="S115" i="13" a="1"/>
  <c r="S115" i="13" s="1"/>
  <c r="R115" i="13" a="1"/>
  <c r="R115" i="13" s="1"/>
  <c r="P115" i="13" a="1"/>
  <c r="P115" i="13" s="1"/>
  <c r="O115" i="13" a="1"/>
  <c r="O115" i="13" s="1"/>
  <c r="N115" i="13" a="1"/>
  <c r="N115" i="13" s="1"/>
  <c r="M115" i="13" a="1"/>
  <c r="M115" i="13" s="1"/>
  <c r="L115" i="13" a="1"/>
  <c r="L115" i="13" s="1"/>
  <c r="K115" i="13" a="1"/>
  <c r="K115" i="13" s="1"/>
  <c r="J115" i="13" a="1"/>
  <c r="J115" i="13" s="1"/>
  <c r="I115" i="13" a="1"/>
  <c r="I115" i="13" s="1"/>
  <c r="H115" i="13" a="1"/>
  <c r="H115" i="13" s="1"/>
  <c r="G115" i="13" a="1"/>
  <c r="G115" i="13" s="1"/>
  <c r="F115" i="13" a="1"/>
  <c r="F115" i="13" s="1"/>
  <c r="E115" i="13" a="1"/>
  <c r="E115" i="13" s="1"/>
  <c r="D115" i="13" a="1"/>
  <c r="D115" i="13" s="1"/>
  <c r="C115" i="13" a="1"/>
  <c r="C115" i="13" s="1"/>
  <c r="AB114" i="13" a="1"/>
  <c r="AB114" i="13" s="1"/>
  <c r="AA114" i="13" a="1"/>
  <c r="AA114" i="13" s="1"/>
  <c r="Z114" i="13" a="1"/>
  <c r="Z114" i="13" s="1"/>
  <c r="Y114" i="13" a="1"/>
  <c r="Y114" i="13" s="1"/>
  <c r="X114" i="13" a="1"/>
  <c r="X114" i="13" s="1"/>
  <c r="W114" i="13" a="1"/>
  <c r="W114" i="13" s="1"/>
  <c r="V114" i="13" a="1"/>
  <c r="V114" i="13" s="1"/>
  <c r="U114" i="13" a="1"/>
  <c r="U114" i="13" s="1"/>
  <c r="T114" i="13" a="1"/>
  <c r="T114" i="13" s="1"/>
  <c r="S114" i="13" a="1"/>
  <c r="S114" i="13" s="1"/>
  <c r="R114" i="13" a="1"/>
  <c r="R114" i="13" s="1"/>
  <c r="P114" i="13" a="1"/>
  <c r="P114" i="13" s="1"/>
  <c r="O114" i="13" a="1"/>
  <c r="O114" i="13" s="1"/>
  <c r="N114" i="13" a="1"/>
  <c r="N114" i="13" s="1"/>
  <c r="M114" i="13" a="1"/>
  <c r="M114" i="13" s="1"/>
  <c r="L114" i="13" a="1"/>
  <c r="L114" i="13" s="1"/>
  <c r="K114" i="13" a="1"/>
  <c r="K114" i="13" s="1"/>
  <c r="J114" i="13" a="1"/>
  <c r="J114" i="13" s="1"/>
  <c r="I114" i="13" a="1"/>
  <c r="I114" i="13" s="1"/>
  <c r="H114" i="13" a="1"/>
  <c r="H114" i="13" s="1"/>
  <c r="G114" i="13" a="1"/>
  <c r="G114" i="13" s="1"/>
  <c r="F114" i="13" a="1"/>
  <c r="F114" i="13" s="1"/>
  <c r="E114" i="13" a="1"/>
  <c r="E114" i="13" s="1"/>
  <c r="D114" i="13" a="1"/>
  <c r="D114" i="13" s="1"/>
  <c r="C114" i="13" a="1"/>
  <c r="C114" i="13" s="1"/>
  <c r="AB113" i="13" a="1"/>
  <c r="AB113" i="13" s="1"/>
  <c r="AA113" i="13" a="1"/>
  <c r="AA113" i="13" s="1"/>
  <c r="Z113" i="13" a="1"/>
  <c r="Z113" i="13" s="1"/>
  <c r="Y113" i="13" a="1"/>
  <c r="Y113" i="13" s="1"/>
  <c r="X113" i="13" a="1"/>
  <c r="X113" i="13" s="1"/>
  <c r="W113" i="13" a="1"/>
  <c r="W113" i="13" s="1"/>
  <c r="V113" i="13" a="1"/>
  <c r="V113" i="13" s="1"/>
  <c r="U113" i="13" a="1"/>
  <c r="U113" i="13" s="1"/>
  <c r="T113" i="13" a="1"/>
  <c r="T113" i="13" s="1"/>
  <c r="S113" i="13" a="1"/>
  <c r="S113" i="13" s="1"/>
  <c r="R113" i="13" a="1"/>
  <c r="R113" i="13" s="1"/>
  <c r="P113" i="13" a="1"/>
  <c r="P113" i="13" s="1"/>
  <c r="O113" i="13" a="1"/>
  <c r="O113" i="13" s="1"/>
  <c r="N113" i="13" a="1"/>
  <c r="N113" i="13" s="1"/>
  <c r="M113" i="13" a="1"/>
  <c r="M113" i="13" s="1"/>
  <c r="L113" i="13" a="1"/>
  <c r="L113" i="13" s="1"/>
  <c r="K113" i="13" a="1"/>
  <c r="K113" i="13" s="1"/>
  <c r="J113" i="13" a="1"/>
  <c r="J113" i="13" s="1"/>
  <c r="I113" i="13" a="1"/>
  <c r="I113" i="13" s="1"/>
  <c r="H113" i="13" a="1"/>
  <c r="H113" i="13" s="1"/>
  <c r="G113" i="13" a="1"/>
  <c r="G113" i="13" s="1"/>
  <c r="F113" i="13" a="1"/>
  <c r="F113" i="13" s="1"/>
  <c r="E113" i="13" a="1"/>
  <c r="E113" i="13" s="1"/>
  <c r="D113" i="13" a="1"/>
  <c r="D113" i="13" s="1"/>
  <c r="C113" i="13" a="1"/>
  <c r="C113" i="13" s="1"/>
  <c r="AB112" i="13" a="1"/>
  <c r="AB112" i="13" s="1"/>
  <c r="AA112" i="13" a="1"/>
  <c r="AA112" i="13" s="1"/>
  <c r="Z112" i="13" a="1"/>
  <c r="Z112" i="13" s="1"/>
  <c r="Y112" i="13" a="1"/>
  <c r="Y112" i="13" s="1"/>
  <c r="X112" i="13" a="1"/>
  <c r="X112" i="13" s="1"/>
  <c r="W112" i="13" a="1"/>
  <c r="W112" i="13" s="1"/>
  <c r="V112" i="13" a="1"/>
  <c r="V112" i="13" s="1"/>
  <c r="U112" i="13" a="1"/>
  <c r="U112" i="13" s="1"/>
  <c r="T112" i="13" a="1"/>
  <c r="T112" i="13" s="1"/>
  <c r="S112" i="13" a="1"/>
  <c r="S112" i="13" s="1"/>
  <c r="R112" i="13" a="1"/>
  <c r="R112" i="13" s="1"/>
  <c r="P112" i="13" a="1"/>
  <c r="P112" i="13" s="1"/>
  <c r="O112" i="13" a="1"/>
  <c r="O112" i="13" s="1"/>
  <c r="N112" i="13" a="1"/>
  <c r="N112" i="13" s="1"/>
  <c r="M112" i="13" a="1"/>
  <c r="M112" i="13" s="1"/>
  <c r="L112" i="13" a="1"/>
  <c r="L112" i="13" s="1"/>
  <c r="K112" i="13" a="1"/>
  <c r="K112" i="13" s="1"/>
  <c r="J112" i="13" a="1"/>
  <c r="J112" i="13" s="1"/>
  <c r="I112" i="13" a="1"/>
  <c r="I112" i="13" s="1"/>
  <c r="H112" i="13" a="1"/>
  <c r="H112" i="13" s="1"/>
  <c r="G112" i="13" a="1"/>
  <c r="G112" i="13" s="1"/>
  <c r="F112" i="13" a="1"/>
  <c r="F112" i="13" s="1"/>
  <c r="E112" i="13" a="1"/>
  <c r="E112" i="13" s="1"/>
  <c r="D112" i="13" a="1"/>
  <c r="D112" i="13" s="1"/>
  <c r="C112" i="13" a="1"/>
  <c r="C112" i="13" s="1"/>
  <c r="AB111" i="13" a="1"/>
  <c r="AB111" i="13" s="1"/>
  <c r="AA111" i="13" a="1"/>
  <c r="AA111" i="13" s="1"/>
  <c r="Z111" i="13" a="1"/>
  <c r="Z111" i="13" s="1"/>
  <c r="Y111" i="13" a="1"/>
  <c r="Y111" i="13" s="1"/>
  <c r="X111" i="13" a="1"/>
  <c r="X111" i="13" s="1"/>
  <c r="W111" i="13" a="1"/>
  <c r="W111" i="13" s="1"/>
  <c r="V111" i="13" a="1"/>
  <c r="V111" i="13" s="1"/>
  <c r="U111" i="13" a="1"/>
  <c r="U111" i="13" s="1"/>
  <c r="T111" i="13" a="1"/>
  <c r="T111" i="13" s="1"/>
  <c r="S111" i="13" a="1"/>
  <c r="S111" i="13" s="1"/>
  <c r="R111" i="13" a="1"/>
  <c r="R111" i="13" s="1"/>
  <c r="P111" i="13" a="1"/>
  <c r="P111" i="13" s="1"/>
  <c r="O111" i="13" a="1"/>
  <c r="O111" i="13" s="1"/>
  <c r="N111" i="13" a="1"/>
  <c r="N111" i="13" s="1"/>
  <c r="M111" i="13" a="1"/>
  <c r="M111" i="13" s="1"/>
  <c r="L111" i="13" a="1"/>
  <c r="L111" i="13" s="1"/>
  <c r="K111" i="13" a="1"/>
  <c r="K111" i="13" s="1"/>
  <c r="J111" i="13" a="1"/>
  <c r="J111" i="13" s="1"/>
  <c r="I111" i="13" a="1"/>
  <c r="I111" i="13" s="1"/>
  <c r="H111" i="13" a="1"/>
  <c r="H111" i="13" s="1"/>
  <c r="G111" i="13" a="1"/>
  <c r="G111" i="13" s="1"/>
  <c r="F111" i="13" a="1"/>
  <c r="F111" i="13" s="1"/>
  <c r="E111" i="13" a="1"/>
  <c r="E111" i="13" s="1"/>
  <c r="D111" i="13" a="1"/>
  <c r="D111" i="13" s="1"/>
  <c r="C111" i="13" a="1"/>
  <c r="C111" i="13" s="1"/>
  <c r="AB110" i="13" a="1"/>
  <c r="AB110" i="13" s="1"/>
  <c r="AA110" i="13" a="1"/>
  <c r="AA110" i="13" s="1"/>
  <c r="Z110" i="13" a="1"/>
  <c r="Z110" i="13" s="1"/>
  <c r="Y110" i="13" a="1"/>
  <c r="Y110" i="13" s="1"/>
  <c r="X110" i="13" a="1"/>
  <c r="X110" i="13" s="1"/>
  <c r="W110" i="13" a="1"/>
  <c r="W110" i="13" s="1"/>
  <c r="V110" i="13" a="1"/>
  <c r="V110" i="13" s="1"/>
  <c r="U110" i="13" a="1"/>
  <c r="U110" i="13" s="1"/>
  <c r="T110" i="13" a="1"/>
  <c r="T110" i="13" s="1"/>
  <c r="S110" i="13" a="1"/>
  <c r="S110" i="13" s="1"/>
  <c r="R110" i="13" a="1"/>
  <c r="R110" i="13" s="1"/>
  <c r="P110" i="13" a="1"/>
  <c r="P110" i="13" s="1"/>
  <c r="O110" i="13" a="1"/>
  <c r="O110" i="13" s="1"/>
  <c r="N110" i="13" a="1"/>
  <c r="N110" i="13" s="1"/>
  <c r="M110" i="13" a="1"/>
  <c r="M110" i="13" s="1"/>
  <c r="L110" i="13" a="1"/>
  <c r="L110" i="13" s="1"/>
  <c r="K110" i="13" a="1"/>
  <c r="K110" i="13" s="1"/>
  <c r="J110" i="13" a="1"/>
  <c r="J110" i="13" s="1"/>
  <c r="I110" i="13" a="1"/>
  <c r="I110" i="13" s="1"/>
  <c r="H110" i="13" a="1"/>
  <c r="H110" i="13" s="1"/>
  <c r="G110" i="13" a="1"/>
  <c r="G110" i="13" s="1"/>
  <c r="F110" i="13" a="1"/>
  <c r="F110" i="13" s="1"/>
  <c r="E110" i="13" a="1"/>
  <c r="E110" i="13" s="1"/>
  <c r="D110" i="13" a="1"/>
  <c r="D110" i="13" s="1"/>
  <c r="C110" i="13" a="1"/>
  <c r="C110" i="13" s="1"/>
  <c r="AB109" i="13" a="1"/>
  <c r="AB109" i="13" s="1"/>
  <c r="AA109" i="13" a="1"/>
  <c r="AA109" i="13" s="1"/>
  <c r="Z109" i="13" a="1"/>
  <c r="Z109" i="13" s="1"/>
  <c r="Y109" i="13" a="1"/>
  <c r="Y109" i="13" s="1"/>
  <c r="X109" i="13" a="1"/>
  <c r="X109" i="13" s="1"/>
  <c r="W109" i="13" a="1"/>
  <c r="W109" i="13" s="1"/>
  <c r="V109" i="13" a="1"/>
  <c r="V109" i="13" s="1"/>
  <c r="U109" i="13" a="1"/>
  <c r="U109" i="13" s="1"/>
  <c r="T109" i="13" a="1"/>
  <c r="T109" i="13" s="1"/>
  <c r="S109" i="13" a="1"/>
  <c r="S109" i="13" s="1"/>
  <c r="R109" i="13" a="1"/>
  <c r="R109" i="13" s="1"/>
  <c r="P109" i="13" a="1"/>
  <c r="P109" i="13" s="1"/>
  <c r="O109" i="13" a="1"/>
  <c r="O109" i="13" s="1"/>
  <c r="N109" i="13" a="1"/>
  <c r="N109" i="13" s="1"/>
  <c r="M109" i="13" a="1"/>
  <c r="M109" i="13" s="1"/>
  <c r="L109" i="13" a="1"/>
  <c r="L109" i="13" s="1"/>
  <c r="K109" i="13" a="1"/>
  <c r="K109" i="13" s="1"/>
  <c r="J109" i="13" a="1"/>
  <c r="J109" i="13" s="1"/>
  <c r="I109" i="13" a="1"/>
  <c r="I109" i="13" s="1"/>
  <c r="H109" i="13" a="1"/>
  <c r="H109" i="13" s="1"/>
  <c r="G109" i="13" a="1"/>
  <c r="G109" i="13" s="1"/>
  <c r="F109" i="13" a="1"/>
  <c r="F109" i="13" s="1"/>
  <c r="E109" i="13" a="1"/>
  <c r="E109" i="13" s="1"/>
  <c r="D109" i="13" a="1"/>
  <c r="D109" i="13" s="1"/>
  <c r="C109" i="13" a="1"/>
  <c r="C109" i="13" s="1"/>
  <c r="AB108" i="13" a="1"/>
  <c r="AB108" i="13" s="1"/>
  <c r="AA108" i="13" a="1"/>
  <c r="AA108" i="13" s="1"/>
  <c r="Z108" i="13" a="1"/>
  <c r="Z108" i="13" s="1"/>
  <c r="Y108" i="13" a="1"/>
  <c r="Y108" i="13" s="1"/>
  <c r="X108" i="13" a="1"/>
  <c r="X108" i="13" s="1"/>
  <c r="W108" i="13" a="1"/>
  <c r="W108" i="13" s="1"/>
  <c r="V108" i="13" a="1"/>
  <c r="V108" i="13" s="1"/>
  <c r="U108" i="13" a="1"/>
  <c r="U108" i="13" s="1"/>
  <c r="T108" i="13" a="1"/>
  <c r="T108" i="13" s="1"/>
  <c r="S108" i="13" a="1"/>
  <c r="S108" i="13" s="1"/>
  <c r="R108" i="13" a="1"/>
  <c r="R108" i="13" s="1"/>
  <c r="P108" i="13" a="1"/>
  <c r="P108" i="13" s="1"/>
  <c r="O108" i="13" a="1"/>
  <c r="O108" i="13" s="1"/>
  <c r="N108" i="13" a="1"/>
  <c r="N108" i="13" s="1"/>
  <c r="M108" i="13" a="1"/>
  <c r="M108" i="13" s="1"/>
  <c r="L108" i="13" a="1"/>
  <c r="L108" i="13" s="1"/>
  <c r="K108" i="13" a="1"/>
  <c r="K108" i="13" s="1"/>
  <c r="J108" i="13" a="1"/>
  <c r="J108" i="13" s="1"/>
  <c r="I108" i="13" a="1"/>
  <c r="I108" i="13" s="1"/>
  <c r="H108" i="13" a="1"/>
  <c r="H108" i="13" s="1"/>
  <c r="G108" i="13" a="1"/>
  <c r="G108" i="13" s="1"/>
  <c r="F108" i="13" a="1"/>
  <c r="F108" i="13" s="1"/>
  <c r="E108" i="13" a="1"/>
  <c r="E108" i="13" s="1"/>
  <c r="D108" i="13" a="1"/>
  <c r="D108" i="13" s="1"/>
  <c r="C108" i="13" a="1"/>
  <c r="C108" i="13" s="1"/>
  <c r="AB107" i="13" a="1"/>
  <c r="AB107" i="13" s="1"/>
  <c r="AA107" i="13" a="1"/>
  <c r="AA107" i="13" s="1"/>
  <c r="Z107" i="13" a="1"/>
  <c r="Z107" i="13" s="1"/>
  <c r="Y107" i="13" a="1"/>
  <c r="Y107" i="13" s="1"/>
  <c r="X107" i="13" a="1"/>
  <c r="X107" i="13" s="1"/>
  <c r="W107" i="13" a="1"/>
  <c r="W107" i="13" s="1"/>
  <c r="V107" i="13" a="1"/>
  <c r="V107" i="13" s="1"/>
  <c r="U107" i="13" a="1"/>
  <c r="U107" i="13" s="1"/>
  <c r="T107" i="13" a="1"/>
  <c r="T107" i="13" s="1"/>
  <c r="S107" i="13" a="1"/>
  <c r="S107" i="13" s="1"/>
  <c r="R107" i="13" a="1"/>
  <c r="R107" i="13" s="1"/>
  <c r="P107" i="13" a="1"/>
  <c r="P107" i="13" s="1"/>
  <c r="O107" i="13" a="1"/>
  <c r="O107" i="13" s="1"/>
  <c r="N107" i="13" a="1"/>
  <c r="N107" i="13" s="1"/>
  <c r="M107" i="13" a="1"/>
  <c r="M107" i="13" s="1"/>
  <c r="L107" i="13" a="1"/>
  <c r="L107" i="13" s="1"/>
  <c r="K107" i="13" a="1"/>
  <c r="K107" i="13" s="1"/>
  <c r="J107" i="13" a="1"/>
  <c r="J107" i="13" s="1"/>
  <c r="I107" i="13" a="1"/>
  <c r="I107" i="13" s="1"/>
  <c r="H107" i="13" a="1"/>
  <c r="H107" i="13" s="1"/>
  <c r="G107" i="13" a="1"/>
  <c r="G107" i="13" s="1"/>
  <c r="F107" i="13" a="1"/>
  <c r="F107" i="13" s="1"/>
  <c r="E107" i="13" a="1"/>
  <c r="E107" i="13" s="1"/>
  <c r="D107" i="13" a="1"/>
  <c r="D107" i="13" s="1"/>
  <c r="C107" i="13" a="1"/>
  <c r="C107" i="13" s="1"/>
  <c r="AB106" i="13" a="1"/>
  <c r="AB106" i="13" s="1"/>
  <c r="AA106" i="13" a="1"/>
  <c r="AA106" i="13" s="1"/>
  <c r="Z106" i="13" a="1"/>
  <c r="Z106" i="13" s="1"/>
  <c r="Y106" i="13" a="1"/>
  <c r="Y106" i="13" s="1"/>
  <c r="X106" i="13" a="1"/>
  <c r="X106" i="13" s="1"/>
  <c r="W106" i="13" a="1"/>
  <c r="W106" i="13" s="1"/>
  <c r="V106" i="13" a="1"/>
  <c r="V106" i="13" s="1"/>
  <c r="U106" i="13" a="1"/>
  <c r="U106" i="13" s="1"/>
  <c r="T106" i="13" a="1"/>
  <c r="T106" i="13" s="1"/>
  <c r="S106" i="13" a="1"/>
  <c r="S106" i="13" s="1"/>
  <c r="R106" i="13" a="1"/>
  <c r="R106" i="13" s="1"/>
  <c r="P106" i="13" a="1"/>
  <c r="P106" i="13" s="1"/>
  <c r="O106" i="13" a="1"/>
  <c r="O106" i="13" s="1"/>
  <c r="N106" i="13" a="1"/>
  <c r="N106" i="13" s="1"/>
  <c r="M106" i="13" a="1"/>
  <c r="M106" i="13" s="1"/>
  <c r="L106" i="13" a="1"/>
  <c r="L106" i="13" s="1"/>
  <c r="K106" i="13" a="1"/>
  <c r="K106" i="13" s="1"/>
  <c r="J106" i="13" a="1"/>
  <c r="J106" i="13" s="1"/>
  <c r="I106" i="13" a="1"/>
  <c r="I106" i="13" s="1"/>
  <c r="H106" i="13" a="1"/>
  <c r="H106" i="13" s="1"/>
  <c r="G106" i="13" a="1"/>
  <c r="G106" i="13" s="1"/>
  <c r="F106" i="13" a="1"/>
  <c r="F106" i="13" s="1"/>
  <c r="E106" i="13" a="1"/>
  <c r="E106" i="13" s="1"/>
  <c r="D106" i="13" a="1"/>
  <c r="D106" i="13" s="1"/>
  <c r="C106" i="13" a="1"/>
  <c r="C106" i="13" s="1"/>
  <c r="AB105" i="13" a="1"/>
  <c r="AB105" i="13" s="1"/>
  <c r="AA105" i="13" a="1"/>
  <c r="AA105" i="13" s="1"/>
  <c r="Z105" i="13" a="1"/>
  <c r="Z105" i="13" s="1"/>
  <c r="Y105" i="13" a="1"/>
  <c r="Y105" i="13" s="1"/>
  <c r="X105" i="13" a="1"/>
  <c r="X105" i="13" s="1"/>
  <c r="W105" i="13" a="1"/>
  <c r="W105" i="13" s="1"/>
  <c r="V105" i="13" a="1"/>
  <c r="V105" i="13" s="1"/>
  <c r="U105" i="13" a="1"/>
  <c r="U105" i="13" s="1"/>
  <c r="T105" i="13" a="1"/>
  <c r="T105" i="13" s="1"/>
  <c r="S105" i="13" a="1"/>
  <c r="S105" i="13" s="1"/>
  <c r="R105" i="13" a="1"/>
  <c r="R105" i="13" s="1"/>
  <c r="P105" i="13" a="1"/>
  <c r="P105" i="13" s="1"/>
  <c r="O105" i="13" a="1"/>
  <c r="O105" i="13" s="1"/>
  <c r="N105" i="13" a="1"/>
  <c r="N105" i="13" s="1"/>
  <c r="M105" i="13" a="1"/>
  <c r="M105" i="13" s="1"/>
  <c r="L105" i="13" a="1"/>
  <c r="L105" i="13" s="1"/>
  <c r="K105" i="13" a="1"/>
  <c r="K105" i="13" s="1"/>
  <c r="J105" i="13" a="1"/>
  <c r="J105" i="13" s="1"/>
  <c r="I105" i="13" a="1"/>
  <c r="I105" i="13" s="1"/>
  <c r="H105" i="13" a="1"/>
  <c r="H105" i="13" s="1"/>
  <c r="G105" i="13" a="1"/>
  <c r="G105" i="13" s="1"/>
  <c r="F105" i="13" a="1"/>
  <c r="F105" i="13" s="1"/>
  <c r="E105" i="13" a="1"/>
  <c r="E105" i="13" s="1"/>
  <c r="D105" i="13" a="1"/>
  <c r="D105" i="13" s="1"/>
  <c r="C105" i="13" a="1"/>
  <c r="C105" i="13" s="1"/>
  <c r="AB104" i="13" a="1"/>
  <c r="AB104" i="13" s="1"/>
  <c r="AA104" i="13" a="1"/>
  <c r="AA104" i="13" s="1"/>
  <c r="Z104" i="13" a="1"/>
  <c r="Z104" i="13" s="1"/>
  <c r="Y104" i="13" a="1"/>
  <c r="Y104" i="13" s="1"/>
  <c r="X104" i="13" a="1"/>
  <c r="X104" i="13" s="1"/>
  <c r="W104" i="13" a="1"/>
  <c r="W104" i="13" s="1"/>
  <c r="V104" i="13" a="1"/>
  <c r="V104" i="13" s="1"/>
  <c r="U104" i="13" a="1"/>
  <c r="U104" i="13" s="1"/>
  <c r="T104" i="13" a="1"/>
  <c r="T104" i="13" s="1"/>
  <c r="S104" i="13" a="1"/>
  <c r="S104" i="13" s="1"/>
  <c r="R104" i="13" a="1"/>
  <c r="R104" i="13" s="1"/>
  <c r="P104" i="13" a="1"/>
  <c r="P104" i="13" s="1"/>
  <c r="O104" i="13" a="1"/>
  <c r="O104" i="13" s="1"/>
  <c r="N104" i="13" a="1"/>
  <c r="N104" i="13" s="1"/>
  <c r="M104" i="13" a="1"/>
  <c r="M104" i="13" s="1"/>
  <c r="L104" i="13" a="1"/>
  <c r="L104" i="13" s="1"/>
  <c r="K104" i="13" a="1"/>
  <c r="K104" i="13" s="1"/>
  <c r="J104" i="13" a="1"/>
  <c r="J104" i="13" s="1"/>
  <c r="I104" i="13" a="1"/>
  <c r="I104" i="13" s="1"/>
  <c r="H104" i="13" a="1"/>
  <c r="H104" i="13" s="1"/>
  <c r="G104" i="13" a="1"/>
  <c r="G104" i="13" s="1"/>
  <c r="F104" i="13" a="1"/>
  <c r="F104" i="13" s="1"/>
  <c r="E104" i="13" a="1"/>
  <c r="E104" i="13" s="1"/>
  <c r="D104" i="13" a="1"/>
  <c r="D104" i="13" s="1"/>
  <c r="C104" i="13" a="1"/>
  <c r="C104" i="13" s="1"/>
  <c r="AB103" i="13" a="1"/>
  <c r="AB103" i="13" s="1"/>
  <c r="AA103" i="13" a="1"/>
  <c r="AA103" i="13" s="1"/>
  <c r="Z103" i="13" a="1"/>
  <c r="Z103" i="13" s="1"/>
  <c r="Y103" i="13" a="1"/>
  <c r="Y103" i="13" s="1"/>
  <c r="X103" i="13" a="1"/>
  <c r="X103" i="13" s="1"/>
  <c r="W103" i="13" a="1"/>
  <c r="W103" i="13" s="1"/>
  <c r="V103" i="13" a="1"/>
  <c r="V103" i="13" s="1"/>
  <c r="U103" i="13" a="1"/>
  <c r="U103" i="13" s="1"/>
  <c r="T103" i="13" a="1"/>
  <c r="T103" i="13" s="1"/>
  <c r="S103" i="13" a="1"/>
  <c r="S103" i="13" s="1"/>
  <c r="R103" i="13" a="1"/>
  <c r="R103" i="13" s="1"/>
  <c r="P103" i="13" a="1"/>
  <c r="P103" i="13" s="1"/>
  <c r="O103" i="13" a="1"/>
  <c r="O103" i="13" s="1"/>
  <c r="N103" i="13" a="1"/>
  <c r="N103" i="13" s="1"/>
  <c r="M103" i="13" a="1"/>
  <c r="M103" i="13" s="1"/>
  <c r="L103" i="13" a="1"/>
  <c r="L103" i="13" s="1"/>
  <c r="K103" i="13" a="1"/>
  <c r="K103" i="13" s="1"/>
  <c r="J103" i="13" a="1"/>
  <c r="J103" i="13" s="1"/>
  <c r="I103" i="13" a="1"/>
  <c r="I103" i="13" s="1"/>
  <c r="H103" i="13" a="1"/>
  <c r="H103" i="13" s="1"/>
  <c r="G103" i="13" a="1"/>
  <c r="G103" i="13" s="1"/>
  <c r="F103" i="13" a="1"/>
  <c r="F103" i="13" s="1"/>
  <c r="E103" i="13" a="1"/>
  <c r="E103" i="13" s="1"/>
  <c r="D103" i="13" a="1"/>
  <c r="D103" i="13" s="1"/>
  <c r="C103" i="13" a="1"/>
  <c r="C103" i="13" s="1"/>
  <c r="AB92" i="13" a="1"/>
  <c r="AB92" i="13" s="1"/>
  <c r="AA92" i="13" a="1"/>
  <c r="AA92" i="13" s="1"/>
  <c r="Z92" i="13" a="1"/>
  <c r="Z92" i="13" s="1"/>
  <c r="Y92" i="13" a="1"/>
  <c r="Y92" i="13" s="1"/>
  <c r="X92" i="13" a="1"/>
  <c r="X92" i="13" s="1"/>
  <c r="W92" i="13" a="1"/>
  <c r="W92" i="13" s="1"/>
  <c r="V92" i="13" a="1"/>
  <c r="V92" i="13" s="1"/>
  <c r="U92" i="13" a="1"/>
  <c r="U92" i="13" s="1"/>
  <c r="T92" i="13" a="1"/>
  <c r="T92" i="13" s="1"/>
  <c r="S92" i="13" a="1"/>
  <c r="S92" i="13" s="1"/>
  <c r="R92" i="13" a="1"/>
  <c r="R92" i="13" s="1"/>
  <c r="P92" i="13" a="1"/>
  <c r="P92" i="13" s="1"/>
  <c r="O92" i="13" a="1"/>
  <c r="O92" i="13" s="1"/>
  <c r="N92" i="13" a="1"/>
  <c r="N92" i="13" s="1"/>
  <c r="M92" i="13" a="1"/>
  <c r="M92" i="13" s="1"/>
  <c r="L92" i="13" a="1"/>
  <c r="L92" i="13" s="1"/>
  <c r="K92" i="13" a="1"/>
  <c r="K92" i="13" s="1"/>
  <c r="J92" i="13" a="1"/>
  <c r="J92" i="13" s="1"/>
  <c r="I92" i="13" a="1"/>
  <c r="I92" i="13" s="1"/>
  <c r="H92" i="13" a="1"/>
  <c r="H92" i="13" s="1"/>
  <c r="G92" i="13" a="1"/>
  <c r="G92" i="13" s="1"/>
  <c r="F92" i="13" a="1"/>
  <c r="F92" i="13" s="1"/>
  <c r="E92" i="13" a="1"/>
  <c r="E92" i="13" s="1"/>
  <c r="D92" i="13" a="1"/>
  <c r="D92" i="13" s="1"/>
  <c r="H8" i="13" a="1"/>
  <c r="B9" i="13" a="1"/>
  <c r="G8" i="13" a="1"/>
  <c r="C21" i="13" a="1"/>
  <c r="B14" i="13" a="1"/>
  <c r="P26" i="13" a="1"/>
  <c r="Q92" i="13" a="1"/>
  <c r="C92" i="13" a="1"/>
  <c r="B92" i="13" a="1"/>
  <c r="P25" i="13" a="1"/>
  <c r="Q121" i="13" a="1"/>
  <c r="Q113" i="13" a="1"/>
  <c r="Q109" i="13" a="1"/>
  <c r="Q104" i="13" a="1"/>
  <c r="Q105" i="13" a="1"/>
  <c r="Q112" i="13" a="1"/>
  <c r="Q120" i="13" a="1"/>
  <c r="Q118" i="13" a="1"/>
  <c r="Q110" i="13" a="1"/>
  <c r="Q117" i="13" a="1"/>
  <c r="Q107" i="13" a="1"/>
  <c r="Q115" i="13" a="1"/>
  <c r="Q122" i="13" a="1"/>
  <c r="Q106" i="13" a="1"/>
  <c r="Q119" i="13" a="1"/>
  <c r="Q108" i="13" a="1"/>
  <c r="Q116" i="13" a="1"/>
  <c r="Q114" i="13" a="1"/>
  <c r="Q103" i="13" a="1"/>
  <c r="Q111" i="13" a="1"/>
  <c r="B118" i="13" a="1"/>
  <c r="B113" i="13" a="1"/>
  <c r="B119" i="13" a="1"/>
  <c r="B111" i="13" a="1"/>
  <c r="B120" i="13" a="1"/>
  <c r="B109" i="13" a="1"/>
  <c r="B110" i="13" a="1"/>
  <c r="B122" i="13" a="1"/>
  <c r="B123" i="13" a="1"/>
  <c r="B103" i="13" a="1"/>
  <c r="B108" i="13" a="1"/>
  <c r="B114" i="13" a="1"/>
  <c r="B117" i="13" a="1"/>
  <c r="B104" i="13" a="1"/>
  <c r="B107" i="13" a="1"/>
  <c r="B112" i="13" a="1"/>
  <c r="B116" i="13" a="1"/>
  <c r="B105" i="13" a="1"/>
  <c r="B115" i="13" a="1"/>
  <c r="B121" i="13" a="1"/>
  <c r="B106" i="13" a="1"/>
  <c r="H8" i="13" l="1"/>
  <c r="B9" i="13"/>
  <c r="G8" i="13"/>
  <c r="C21" i="13"/>
  <c r="D18" i="13"/>
  <c r="B14" i="13"/>
  <c r="Z25" i="13"/>
  <c r="Y25" i="13"/>
  <c r="P26" i="13"/>
  <c r="B118" i="13"/>
  <c r="B113" i="13"/>
  <c r="B119" i="13"/>
  <c r="B111" i="13"/>
  <c r="B120" i="13"/>
  <c r="B109" i="13"/>
  <c r="B110" i="13"/>
  <c r="B122" i="13"/>
  <c r="B123" i="13"/>
  <c r="B103" i="13"/>
  <c r="B108" i="13"/>
  <c r="B114" i="13"/>
  <c r="B117" i="13"/>
  <c r="B104" i="13"/>
  <c r="B107" i="13"/>
  <c r="B112" i="13"/>
  <c r="B116" i="13"/>
  <c r="B105" i="13"/>
  <c r="B115" i="13"/>
  <c r="B121" i="13"/>
  <c r="B106" i="13"/>
  <c r="Q121" i="13"/>
  <c r="Q113" i="13"/>
  <c r="Q109" i="13"/>
  <c r="Q104" i="13"/>
  <c r="Q105" i="13"/>
  <c r="Q112" i="13"/>
  <c r="Q120" i="13"/>
  <c r="Q118" i="13"/>
  <c r="Q110" i="13"/>
  <c r="Q117" i="13"/>
  <c r="Q107" i="13"/>
  <c r="Q115" i="13"/>
  <c r="Q122" i="13"/>
  <c r="Q106" i="13"/>
  <c r="Q119" i="13"/>
  <c r="Q108" i="13"/>
  <c r="Q116" i="13"/>
  <c r="Q114" i="13"/>
  <c r="Q103" i="13"/>
  <c r="Q111" i="13"/>
  <c r="Q92" i="13"/>
  <c r="C92" i="13"/>
  <c r="B92" i="13"/>
  <c r="W25" i="13"/>
  <c r="X25" i="13"/>
  <c r="AA25" i="13"/>
  <c r="AB25" i="13"/>
  <c r="P25" i="13"/>
  <c r="V25" i="13"/>
  <c r="R25" i="13"/>
  <c r="Q25" i="13"/>
  <c r="S25" i="13"/>
  <c r="T25" i="13"/>
  <c r="U25" i="13"/>
  <c r="E21" i="13" a="1"/>
  <c r="E21" i="13" l="1"/>
  <c r="E18" i="13"/>
  <c r="C14" i="13"/>
  <c r="AC30" i="13" a="1"/>
  <c r="AC25" i="13" a="1"/>
  <c r="AC26" i="13" a="1"/>
  <c r="AC27" i="13" a="1"/>
  <c r="AC28" i="13" a="1"/>
  <c r="AC29" i="13" a="1"/>
  <c r="AC31" i="13" a="1"/>
  <c r="AC36" i="13" a="1"/>
  <c r="AC33" i="13" a="1"/>
  <c r="AC34" i="13" a="1"/>
  <c r="AC35" i="13" a="1"/>
  <c r="AC37" i="13" a="1"/>
  <c r="AC32" i="13" a="1"/>
  <c r="AC38" i="13" a="1"/>
  <c r="AC39" i="13" a="1"/>
  <c r="AC40" i="13" a="1"/>
  <c r="AC41" i="13" a="1"/>
  <c r="AC42" i="13" a="1"/>
  <c r="AC43" i="13" a="1"/>
  <c r="AC44" i="13" a="1"/>
  <c r="AC45" i="13" a="1"/>
  <c r="AC46" i="13" a="1"/>
  <c r="AC47" i="13" a="1"/>
  <c r="AC48" i="13" a="1"/>
  <c r="AC48" i="13" l="1"/>
  <c r="AC47" i="13"/>
  <c r="AC46" i="13"/>
  <c r="AC45" i="13"/>
  <c r="AC44" i="13"/>
  <c r="AC43" i="13"/>
  <c r="AC42" i="13"/>
  <c r="AC41" i="13"/>
  <c r="AC40" i="13"/>
  <c r="AC39" i="13"/>
  <c r="AC38" i="13"/>
  <c r="AC32" i="13"/>
  <c r="AC37" i="13"/>
  <c r="AC35" i="13"/>
  <c r="AC34" i="13"/>
  <c r="AC33" i="13"/>
  <c r="AC36" i="13"/>
  <c r="AC31" i="13"/>
  <c r="AC29" i="13"/>
  <c r="AC28" i="13"/>
  <c r="AC27" i="13"/>
  <c r="AC26" i="13"/>
  <c r="AC25" i="13"/>
  <c r="AC30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<sst xmlns="http://schemas.openxmlformats.org/spreadsheetml/2006/main" count="140" uniqueCount="115">
  <si>
    <t>Shooting Angle(deg)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</si>
  <si>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</si>
  <si>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</si>
  <si>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</si>
  <si>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</si>
  <si>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</si>
  <si>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</si>
  <si>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</si>
  <si>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</si>
  <si>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</si>
  <si>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</si>
  <si>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</si>
  <si>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</si>
  <si>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</si>
  <si>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</si>
  <si>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</si>
  <si>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</si>
  <si>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</si>
  <si>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Energy(J)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</si>
  <si>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</si>
  <si>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</si>
  <si>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</si>
  <si>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</si>
  <si>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</si>
  <si>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</si>
  <si>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</si>
  <si>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</si>
  <si>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</si>
  <si>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</si>
  <si>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</si>
  <si>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</si>
  <si>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</si>
  <si>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</si>
  <si>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</si>
  <si>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</si>
  <si>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</si>
  <si>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</si>
  <si>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</si>
  <si>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</si>
  <si>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</si>
  <si>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</si>
  <si>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</si>
  <si>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</si>
  <si>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</si>
  <si>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</si>
  <si>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</si>
  <si>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</si>
  <si>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Bullet Weight(gr),(g)</t>
  </si>
  <si>
    <t>Caliber(in),(mm)</t>
  </si>
  <si>
    <t>Muzzle Energy(flb),(J)</t>
  </si>
  <si>
    <t>Muzzle Velocity(fps),(m/s)</t>
  </si>
  <si>
    <t>Measured Wind Drift</t>
  </si>
  <si>
    <t>(scope units)</t>
  </si>
  <si>
    <t>Calculated Wind Drift</t>
  </si>
  <si>
    <t>In-Game Data</t>
  </si>
  <si>
    <t>Bullet Name</t>
  </si>
  <si>
    <t>Bullet Type</t>
  </si>
  <si>
    <t>Manufacturer</t>
  </si>
  <si>
    <t>Ammunition Information</t>
  </si>
  <si>
    <t>Manufacturer's Data Sheet Specs</t>
  </si>
  <si>
    <t>Measured Muzzle Energy(J),(flb)</t>
  </si>
  <si>
    <t>Computed Muzzle Velocity(m/s),(ft/s)</t>
  </si>
  <si>
    <t>Wind (m/s),(km/hr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</si>
  <si>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</si>
  <si>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</si>
  <si>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</si>
  <si>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</si>
  <si>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</si>
  <si>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</si>
  <si>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</si>
  <si>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</si>
  <si>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</si>
  <si>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</si>
  <si>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</si>
  <si>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</si>
  <si>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</si>
  <si>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</si>
  <si>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</si>
  <si>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Scope Height(in),(cm)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</si>
  <si>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</si>
  <si>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</si>
  <si>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</si>
  <si>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</si>
  <si>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</si>
  <si>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</si>
  <si>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</si>
  <si>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</si>
  <si>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-</t>
  </si>
  <si>
    <t>Federal</t>
  </si>
  <si>
    <t>Load Number</t>
  </si>
  <si>
    <t>P7RTA1</t>
  </si>
  <si>
    <t>Caliber</t>
  </si>
  <si>
    <t>7mm Rem Magnum</t>
  </si>
  <si>
    <t>Bullet Style</t>
  </si>
  <si>
    <t>Terminal Ascent</t>
  </si>
  <si>
    <t>Bullet Weight (grains)</t>
  </si>
  <si>
    <t>155 grs</t>
  </si>
  <si>
    <t>G1 Ballistic Coefficient</t>
  </si>
  <si>
    <t>Muzzle Velocity</t>
  </si>
  <si>
    <t>914 m/s</t>
  </si>
  <si>
    <t>Sight Height</t>
  </si>
  <si>
    <t>3.8 cm</t>
  </si>
  <si>
    <t>Zero Range</t>
  </si>
  <si>
    <t>50 m</t>
  </si>
  <si>
    <t>Temperature</t>
  </si>
  <si>
    <t>15 °C</t>
  </si>
  <si>
    <t>Wind Speed</t>
  </si>
  <si>
    <t>10 m/s</t>
  </si>
  <si>
    <t>Altitude</t>
  </si>
  <si>
    <t>0 m</t>
  </si>
  <si>
    <t>Max Range</t>
  </si>
  <si>
    <t>1,000 m</t>
  </si>
  <si>
    <t>Hornady</t>
  </si>
  <si>
    <t>Federal 50m Zero</t>
  </si>
  <si>
    <t>Hornady 50m 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</si>
</sst>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69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0" fontId="1" fillId="5" borderId="0" xfId="0" applyFont="1" applyFill="1"/>
    <xf numFmtId="164" fontId="1" fillId="5" borderId="0" xfId="0" applyNumberFormat="1" applyFont="1" applyFill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0" fontId="1" fillId="0" borderId="0" xfId="0" applyFont="1" applyAlignment="1">
      <alignment horizontal="right" wrapText="1"/>
    </xf>
    <xf numFmtId="1" fontId="0" fillId="3" borderId="1" xfId="0" applyNumberForma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Fill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Border="1" applyAlignment="1">
      <alignment horizontal="center"/>
    </xf>
    <xf numFmtId="49" fontId="1" fillId="7" borderId="0" xfId="0" applyNumberFormat="1" applyFont="1" applyFill="1" applyBorder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2" fontId="0" fillId="0" borderId="9" xfId="0" applyNumberFormat="1" applyBorder="1"/>
    <xf numFmtId="2" fontId="0" fillId="0" borderId="0" xfId="0" applyNumberFormat="1" applyBorder="1" applyAlignment="1">
      <alignment horizontal="right"/>
    </xf>
    <xf numFmtId="164" fontId="0" fillId="0" borderId="0" xfId="0" applyNumberFormat="1" applyBorder="1"/>
    <xf numFmtId="164" fontId="0" fillId="0" borderId="10" xfId="0" applyNumberFormat="1" applyBorder="1"/>
    <xf numFmtId="0" fontId="0" fillId="0" borderId="0" xfId="0" applyBorder="1"/>
    <xf numFmtId="0" fontId="0" fillId="0" borderId="10" xfId="0" applyBorder="1"/>
    <xf numFmtId="2" fontId="0" fillId="0" borderId="0" xfId="0" applyNumberFormat="1" applyBorder="1"/>
    <xf numFmtId="2" fontId="0" fillId="0" borderId="10" xfId="0" applyNumberFormat="1" applyBorder="1"/>
    <xf numFmtId="2" fontId="0" fillId="0" borderId="0" xfId="0" applyNumberFormat="1" applyFill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9" xfId="0" applyNumberFormat="1" applyFill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0" fontId="0" fillId="0" borderId="0" xfId="0" applyFill="1"/>
    <xf numFmtId="0" fontId="0" fillId="3" borderId="0" xfId="0" applyFill="1"/>
    <xf numFmtId="164" fontId="0" fillId="3" borderId="0" xfId="0" applyNumberFormat="1" applyFill="1"/>
    <xf numFmtId="164" fontId="0" fillId="3" borderId="0" xfId="0" applyNumberFormat="1" applyFill="1" applyAlignment="1">
      <alignment horizontal="right"/>
    </xf>
    <xf numFmtId="2" fontId="0" fillId="3" borderId="0" xfId="0" applyNumberFormat="1" applyFill="1" applyBorder="1"/>
    <xf numFmtId="164" fontId="2" fillId="6" borderId="5" xfId="1" applyNumberFormat="1"/>
    <xf numFmtId="164" fontId="1" fillId="3" borderId="0" xfId="0" applyNumberFormat="1" applyFont="1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'Ammunition Name'!$B$25:$B$38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'Ammunition Name'!$A$155:$C$155</c:f>
              <c:strCache>
                <c:ptCount val="1"/>
                <c:pt idx="0">
                  <c:v>Federal 50m Zero BC: G1 0.586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Name'!$A$157:$A$197</c:f>
              <c:numCache>
                <c:formatCode>0.00</c:formatCode>
                <c:ptCount val="4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</c:numCache>
            </c:numRef>
          </c:xVal>
          <c:yVal>
            <c:numRef>
              <c:f>'Ammunition Name'!$I$157:$I$197</c:f>
              <c:numCache>
                <c:formatCode>0.00</c:formatCode>
                <c:ptCount val="41"/>
                <c:pt idx="0">
                  <c:v>4196</c:v>
                </c:pt>
                <c:pt idx="1">
                  <c:v>4073</c:v>
                </c:pt>
                <c:pt idx="2">
                  <c:v>3947</c:v>
                </c:pt>
                <c:pt idx="3">
                  <c:v>3830</c:v>
                </c:pt>
                <c:pt idx="4">
                  <c:v>3715</c:v>
                </c:pt>
                <c:pt idx="5">
                  <c:v>3600</c:v>
                </c:pt>
                <c:pt idx="6">
                  <c:v>3490</c:v>
                </c:pt>
                <c:pt idx="7">
                  <c:v>3384</c:v>
                </c:pt>
                <c:pt idx="8">
                  <c:v>3277</c:v>
                </c:pt>
                <c:pt idx="9">
                  <c:v>3175</c:v>
                </c:pt>
                <c:pt idx="10">
                  <c:v>3076</c:v>
                </c:pt>
                <c:pt idx="11">
                  <c:v>2977</c:v>
                </c:pt>
                <c:pt idx="12">
                  <c:v>2884</c:v>
                </c:pt>
                <c:pt idx="13">
                  <c:v>2792</c:v>
                </c:pt>
                <c:pt idx="14">
                  <c:v>2699</c:v>
                </c:pt>
                <c:pt idx="15">
                  <c:v>2613</c:v>
                </c:pt>
                <c:pt idx="16">
                  <c:v>2529</c:v>
                </c:pt>
                <c:pt idx="17">
                  <c:v>2443</c:v>
                </c:pt>
                <c:pt idx="18">
                  <c:v>2363</c:v>
                </c:pt>
                <c:pt idx="19">
                  <c:v>2285</c:v>
                </c:pt>
                <c:pt idx="20">
                  <c:v>2206</c:v>
                </c:pt>
                <c:pt idx="21">
                  <c:v>2131</c:v>
                </c:pt>
                <c:pt idx="22">
                  <c:v>2059</c:v>
                </c:pt>
                <c:pt idx="23">
                  <c:v>1986</c:v>
                </c:pt>
                <c:pt idx="24">
                  <c:v>1918</c:v>
                </c:pt>
                <c:pt idx="25">
                  <c:v>1849</c:v>
                </c:pt>
                <c:pt idx="26">
                  <c:v>1784</c:v>
                </c:pt>
                <c:pt idx="27">
                  <c:v>1722</c:v>
                </c:pt>
                <c:pt idx="28">
                  <c:v>1658</c:v>
                </c:pt>
                <c:pt idx="29">
                  <c:v>1599</c:v>
                </c:pt>
                <c:pt idx="30">
                  <c:v>1542</c:v>
                </c:pt>
                <c:pt idx="31">
                  <c:v>1485</c:v>
                </c:pt>
                <c:pt idx="32">
                  <c:v>1432</c:v>
                </c:pt>
                <c:pt idx="33">
                  <c:v>1380</c:v>
                </c:pt>
                <c:pt idx="34">
                  <c:v>1329</c:v>
                </c:pt>
                <c:pt idx="35">
                  <c:v>1280</c:v>
                </c:pt>
                <c:pt idx="36">
                  <c:v>1234</c:v>
                </c:pt>
                <c:pt idx="37">
                  <c:v>1186</c:v>
                </c:pt>
                <c:pt idx="38">
                  <c:v>1143</c:v>
                </c:pt>
                <c:pt idx="39">
                  <c:v>1100</c:v>
                </c:pt>
                <c:pt idx="40">
                  <c:v>1058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'Ammunition Name'!$A$201:$C$201</c:f>
              <c:strCache>
                <c:ptCount val="1"/>
                <c:pt idx="0">
                  <c:v>Hornady 50m Zero BC: G1 0.586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'Ammunition Name'!$A$203:$A$243</c:f>
              <c:numCache>
                <c:formatCode>0.00</c:formatCode>
                <c:ptCount val="4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</c:numCache>
            </c:numRef>
          </c:xVal>
          <c:yVal>
            <c:numRef>
              <c:f>'Ammunition Name'!$C$203:$C$243</c:f>
              <c:numCache>
                <c:formatCode>0.00</c:formatCode>
                <c:ptCount val="41"/>
                <c:pt idx="0">
                  <c:v>4205</c:v>
                </c:pt>
                <c:pt idx="1">
                  <c:v>4078</c:v>
                </c:pt>
                <c:pt idx="2">
                  <c:v>3956</c:v>
                </c:pt>
                <c:pt idx="3">
                  <c:v>3836</c:v>
                </c:pt>
                <c:pt idx="4">
                  <c:v>3720</c:v>
                </c:pt>
                <c:pt idx="5">
                  <c:v>3607</c:v>
                </c:pt>
                <c:pt idx="6">
                  <c:v>3496</c:v>
                </c:pt>
                <c:pt idx="7">
                  <c:v>3388</c:v>
                </c:pt>
                <c:pt idx="8">
                  <c:v>3283</c:v>
                </c:pt>
                <c:pt idx="9">
                  <c:v>3180</c:v>
                </c:pt>
                <c:pt idx="10">
                  <c:v>3080</c:v>
                </c:pt>
                <c:pt idx="11">
                  <c:v>2983</c:v>
                </c:pt>
                <c:pt idx="12">
                  <c:v>2888</c:v>
                </c:pt>
                <c:pt idx="13">
                  <c:v>2795</c:v>
                </c:pt>
                <c:pt idx="14">
                  <c:v>2705</c:v>
                </c:pt>
                <c:pt idx="15">
                  <c:v>2616</c:v>
                </c:pt>
                <c:pt idx="16">
                  <c:v>2531</c:v>
                </c:pt>
                <c:pt idx="17">
                  <c:v>2447</c:v>
                </c:pt>
                <c:pt idx="18">
                  <c:v>2365</c:v>
                </c:pt>
                <c:pt idx="19">
                  <c:v>2286</c:v>
                </c:pt>
                <c:pt idx="20">
                  <c:v>2209</c:v>
                </c:pt>
                <c:pt idx="21">
                  <c:v>2133</c:v>
                </c:pt>
                <c:pt idx="22">
                  <c:v>2060</c:v>
                </c:pt>
                <c:pt idx="23">
                  <c:v>1989</c:v>
                </c:pt>
                <c:pt idx="24">
                  <c:v>1919</c:v>
                </c:pt>
                <c:pt idx="25">
                  <c:v>1852</c:v>
                </c:pt>
                <c:pt idx="26">
                  <c:v>1787</c:v>
                </c:pt>
                <c:pt idx="27">
                  <c:v>1723</c:v>
                </c:pt>
                <c:pt idx="28">
                  <c:v>1661</c:v>
                </c:pt>
                <c:pt idx="29">
                  <c:v>1602</c:v>
                </c:pt>
                <c:pt idx="30">
                  <c:v>1544</c:v>
                </c:pt>
                <c:pt idx="31">
                  <c:v>1487</c:v>
                </c:pt>
                <c:pt idx="32">
                  <c:v>1433</c:v>
                </c:pt>
                <c:pt idx="33">
                  <c:v>1380</c:v>
                </c:pt>
                <c:pt idx="34">
                  <c:v>1329</c:v>
                </c:pt>
                <c:pt idx="35">
                  <c:v>1280</c:v>
                </c:pt>
                <c:pt idx="36">
                  <c:v>1233</c:v>
                </c:pt>
                <c:pt idx="37">
                  <c:v>1187</c:v>
                </c:pt>
                <c:pt idx="38">
                  <c:v>1142</c:v>
                </c:pt>
                <c:pt idx="39">
                  <c:v>1100</c:v>
                </c:pt>
                <c:pt idx="40">
                  <c:v>1060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'Ammunition Name'!$Q$24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'Ammunition Name'!$Q$25:$Q$38</c:f>
              <c:numCache>
                <c:formatCode>0.00</c:formatCode>
                <c:ptCount val="14"/>
                <c:pt idx="0">
                  <c:v>-1.5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'Ammunition Name'!$R$24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'Ammunition Name'!$R$25:$R$38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-1.5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'Ammunition Name'!$S$24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'Ammunition Name'!$S$25:$S$38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-1.5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'Ammunition Name'!$T$24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'Ammunition Name'!$T$25:$T$38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-1.5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'Ammunition Name'!$U$24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'Ammunition Name'!$U$25:$U$38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-1.5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Name'!$V$24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Name'!$V$25:$V$38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-1.5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Name'!$AB$24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Name'!$AB$25:$AB$38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-1.5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'Ammunition Name'!$D$24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Name'!$D$26:$D$35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'Ammunition Name'!$E$24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Name'!$E$26:$E$38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'Ammunition Name'!$F$24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Name'!$F$26:$F$38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'Ammunition Name'!$G$24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Name'!$G$26:$G$38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'Ammunition Name'!$H$24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Name'!$H$26:$H$38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'Ammunition Name'!$I$24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Name'!$I$26:$I$38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'Ammunition Name'!$J$24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Name'!$A$26:$A$38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Name'!$J$26:$J$38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'Ammunition Name'!$Q$24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Name'!$A$25:$A$38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'Ammunition Name'!$Q$25:$Q$38</c:f>
              <c:numCache>
                <c:formatCode>0.00</c:formatCode>
                <c:ptCount val="14"/>
                <c:pt idx="0">
                  <c:v>-1.5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'Ammunition Name'!$A$155:$C$155</c:f>
              <c:strCache>
                <c:ptCount val="1"/>
                <c:pt idx="0">
                  <c:v>Federal 50m Zero BC: G1 0.586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Name'!$A$157:$A$197</c:f>
              <c:numCache>
                <c:formatCode>0.00</c:formatCode>
                <c:ptCount val="4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</c:numCache>
            </c:numRef>
          </c:xVal>
          <c:yVal>
            <c:numRef>
              <c:f>'Ammunition Name'!$B$157:$B$197</c:f>
              <c:numCache>
                <c:formatCode>0.00</c:formatCode>
                <c:ptCount val="4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0.7</c:v>
                </c:pt>
                <c:pt idx="4">
                  <c:v>0.7</c:v>
                </c:pt>
                <c:pt idx="5">
                  <c:v>-0.3</c:v>
                </c:pt>
                <c:pt idx="6">
                  <c:v>-2</c:v>
                </c:pt>
                <c:pt idx="7">
                  <c:v>-4.5999999999999996</c:v>
                </c:pt>
                <c:pt idx="8">
                  <c:v>-8.3000000000000007</c:v>
                </c:pt>
                <c:pt idx="9">
                  <c:v>-12.7</c:v>
                </c:pt>
                <c:pt idx="10">
                  <c:v>-18.100000000000001</c:v>
                </c:pt>
                <c:pt idx="11">
                  <c:v>-24.7</c:v>
                </c:pt>
                <c:pt idx="12">
                  <c:v>-32.1</c:v>
                </c:pt>
                <c:pt idx="13">
                  <c:v>-40.4</c:v>
                </c:pt>
                <c:pt idx="14">
                  <c:v>-50.2</c:v>
                </c:pt>
                <c:pt idx="15">
                  <c:v>-60.9</c:v>
                </c:pt>
                <c:pt idx="16">
                  <c:v>-72.7</c:v>
                </c:pt>
                <c:pt idx="17">
                  <c:v>-86.3</c:v>
                </c:pt>
                <c:pt idx="18">
                  <c:v>-100.6</c:v>
                </c:pt>
                <c:pt idx="19">
                  <c:v>-116.2</c:v>
                </c:pt>
                <c:pt idx="20">
                  <c:v>-133.80000000000001</c:v>
                </c:pt>
                <c:pt idx="21">
                  <c:v>-152.19999999999999</c:v>
                </c:pt>
                <c:pt idx="22">
                  <c:v>-171.9</c:v>
                </c:pt>
                <c:pt idx="23">
                  <c:v>-193.7</c:v>
                </c:pt>
                <c:pt idx="24">
                  <c:v>-216.3</c:v>
                </c:pt>
                <c:pt idx="25">
                  <c:v>-241.9</c:v>
                </c:pt>
                <c:pt idx="26">
                  <c:v>-267.10000000000002</c:v>
                </c:pt>
                <c:pt idx="27">
                  <c:v>-294.2</c:v>
                </c:pt>
                <c:pt idx="28">
                  <c:v>-324.5</c:v>
                </c:pt>
                <c:pt idx="29">
                  <c:v>-355.8</c:v>
                </c:pt>
                <c:pt idx="30">
                  <c:v>-389.2</c:v>
                </c:pt>
                <c:pt idx="31">
                  <c:v>-426</c:v>
                </c:pt>
                <c:pt idx="32">
                  <c:v>-463.7</c:v>
                </c:pt>
                <c:pt idx="33">
                  <c:v>-503.6</c:v>
                </c:pt>
                <c:pt idx="34">
                  <c:v>-547.20000000000005</c:v>
                </c:pt>
                <c:pt idx="35">
                  <c:v>-591.6</c:v>
                </c:pt>
                <c:pt idx="36">
                  <c:v>-638.29999999999995</c:v>
                </c:pt>
                <c:pt idx="37">
                  <c:v>-689</c:v>
                </c:pt>
                <c:pt idx="38">
                  <c:v>-740.3</c:v>
                </c:pt>
                <c:pt idx="39">
                  <c:v>-793.9</c:v>
                </c:pt>
                <c:pt idx="40">
                  <c:v>-852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'Ammunition Name'!$A$201:$C$201</c:f>
              <c:strCache>
                <c:ptCount val="1"/>
                <c:pt idx="0">
                  <c:v>Hornady 50m Zero BC: G1 0.586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'Ammunition Name'!$A$203:$A$243</c:f>
              <c:numCache>
                <c:formatCode>0.00</c:formatCode>
                <c:ptCount val="4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</c:numCache>
            </c:numRef>
          </c:xVal>
          <c:yVal>
            <c:numRef>
              <c:f>'Ammunition Name'!$D$203:$D$243</c:f>
              <c:numCache>
                <c:formatCode>0.00</c:formatCode>
                <c:ptCount val="4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0.7</c:v>
                </c:pt>
                <c:pt idx="5">
                  <c:v>-0.3</c:v>
                </c:pt>
                <c:pt idx="6">
                  <c:v>-2</c:v>
                </c:pt>
                <c:pt idx="7">
                  <c:v>-4.7</c:v>
                </c:pt>
                <c:pt idx="8">
                  <c:v>-8.3000000000000007</c:v>
                </c:pt>
                <c:pt idx="9">
                  <c:v>-12.9</c:v>
                </c:pt>
                <c:pt idx="10">
                  <c:v>-18.3</c:v>
                </c:pt>
                <c:pt idx="11">
                  <c:v>-25.1</c:v>
                </c:pt>
                <c:pt idx="12">
                  <c:v>-32.6</c:v>
                </c:pt>
                <c:pt idx="13">
                  <c:v>-41.3</c:v>
                </c:pt>
                <c:pt idx="14">
                  <c:v>-51.4</c:v>
                </c:pt>
                <c:pt idx="15">
                  <c:v>-62.4</c:v>
                </c:pt>
                <c:pt idx="16">
                  <c:v>-74.599999999999994</c:v>
                </c:pt>
                <c:pt idx="17">
                  <c:v>-88.5</c:v>
                </c:pt>
                <c:pt idx="18">
                  <c:v>-103.3</c:v>
                </c:pt>
                <c:pt idx="19">
                  <c:v>-119.4</c:v>
                </c:pt>
                <c:pt idx="20">
                  <c:v>-137.6</c:v>
                </c:pt>
                <c:pt idx="21">
                  <c:v>-156.6</c:v>
                </c:pt>
                <c:pt idx="22">
                  <c:v>-177.1</c:v>
                </c:pt>
                <c:pt idx="23">
                  <c:v>-200</c:v>
                </c:pt>
                <c:pt idx="24">
                  <c:v>-223.8</c:v>
                </c:pt>
                <c:pt idx="25">
                  <c:v>-250.2</c:v>
                </c:pt>
                <c:pt idx="26">
                  <c:v>-277.5</c:v>
                </c:pt>
                <c:pt idx="27">
                  <c:v>-306.7</c:v>
                </c:pt>
                <c:pt idx="28">
                  <c:v>-338.9</c:v>
                </c:pt>
                <c:pt idx="29">
                  <c:v>-372</c:v>
                </c:pt>
                <c:pt idx="30">
                  <c:v>-407.2</c:v>
                </c:pt>
                <c:pt idx="31">
                  <c:v>-446</c:v>
                </c:pt>
                <c:pt idx="32">
                  <c:v>-485.7</c:v>
                </c:pt>
                <c:pt idx="33">
                  <c:v>-527.70000000000005</c:v>
                </c:pt>
                <c:pt idx="34">
                  <c:v>-573.9</c:v>
                </c:pt>
                <c:pt idx="35">
                  <c:v>-621</c:v>
                </c:pt>
                <c:pt idx="36">
                  <c:v>-670.8</c:v>
                </c:pt>
                <c:pt idx="37">
                  <c:v>-725.3</c:v>
                </c:pt>
                <c:pt idx="38">
                  <c:v>-780.8</c:v>
                </c:pt>
                <c:pt idx="39">
                  <c:v>-839.4</c:v>
                </c:pt>
                <c:pt idx="40">
                  <c:v>-901.1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'Ammunition Name'!$A$155:$C$155</c:f>
              <c:strCache>
                <c:ptCount val="1"/>
                <c:pt idx="0">
                  <c:v>Federal 50m Zero BC: G1 0.586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Name'!$A$157:$A$197</c:f>
              <c:numCache>
                <c:formatCode>0.00</c:formatCode>
                <c:ptCount val="4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</c:numCache>
            </c:numRef>
          </c:xVal>
          <c:yVal>
            <c:numRef>
              <c:f>'Ammunition Name'!$E$157:$E$197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1.5</c:v>
                </c:pt>
                <c:pt idx="4">
                  <c:v>3</c:v>
                </c:pt>
                <c:pt idx="5">
                  <c:v>5.0999999999999996</c:v>
                </c:pt>
                <c:pt idx="6">
                  <c:v>7.5</c:v>
                </c:pt>
                <c:pt idx="7">
                  <c:v>10.4</c:v>
                </c:pt>
                <c:pt idx="8">
                  <c:v>13.8</c:v>
                </c:pt>
                <c:pt idx="9">
                  <c:v>17.600000000000001</c:v>
                </c:pt>
                <c:pt idx="10">
                  <c:v>21.8</c:v>
                </c:pt>
                <c:pt idx="11">
                  <c:v>26.5</c:v>
                </c:pt>
                <c:pt idx="12">
                  <c:v>31.8</c:v>
                </c:pt>
                <c:pt idx="13">
                  <c:v>37.200000000000003</c:v>
                </c:pt>
                <c:pt idx="14">
                  <c:v>43.6</c:v>
                </c:pt>
                <c:pt idx="15">
                  <c:v>50.4</c:v>
                </c:pt>
                <c:pt idx="16">
                  <c:v>57.8</c:v>
                </c:pt>
                <c:pt idx="17">
                  <c:v>66.2</c:v>
                </c:pt>
                <c:pt idx="18">
                  <c:v>74.900000000000006</c:v>
                </c:pt>
                <c:pt idx="19">
                  <c:v>84.2</c:v>
                </c:pt>
                <c:pt idx="20">
                  <c:v>94.5</c:v>
                </c:pt>
                <c:pt idx="21">
                  <c:v>105</c:v>
                </c:pt>
                <c:pt idx="22">
                  <c:v>116</c:v>
                </c:pt>
                <c:pt idx="23">
                  <c:v>128.1</c:v>
                </c:pt>
                <c:pt idx="24">
                  <c:v>140.19999999999999</c:v>
                </c:pt>
                <c:pt idx="25">
                  <c:v>154.30000000000001</c:v>
                </c:pt>
                <c:pt idx="26">
                  <c:v>167.1</c:v>
                </c:pt>
                <c:pt idx="27">
                  <c:v>181.1</c:v>
                </c:pt>
                <c:pt idx="28">
                  <c:v>196.7</c:v>
                </c:pt>
                <c:pt idx="29">
                  <c:v>212.8</c:v>
                </c:pt>
                <c:pt idx="30">
                  <c:v>229.9</c:v>
                </c:pt>
                <c:pt idx="31">
                  <c:v>248.6</c:v>
                </c:pt>
                <c:pt idx="32">
                  <c:v>267.5</c:v>
                </c:pt>
                <c:pt idx="33">
                  <c:v>287.3</c:v>
                </c:pt>
                <c:pt idx="34">
                  <c:v>308.7</c:v>
                </c:pt>
                <c:pt idx="35">
                  <c:v>330.1</c:v>
                </c:pt>
                <c:pt idx="36">
                  <c:v>352.2</c:v>
                </c:pt>
                <c:pt idx="37">
                  <c:v>376</c:v>
                </c:pt>
                <c:pt idx="38">
                  <c:v>399.6</c:v>
                </c:pt>
                <c:pt idx="39">
                  <c:v>423.9</c:v>
                </c:pt>
                <c:pt idx="40">
                  <c:v>449.8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'Ammunition Name'!$P$23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'Ammunition Name'!$A$25:$A$38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'Ammunition Name'!$P$25:$P$38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48</xdr:row>
      <xdr:rowOff>152400</xdr:rowOff>
    </xdr:from>
    <xdr:to>
      <xdr:col>10</xdr:col>
      <xdr:colOff>1085850</xdr:colOff>
      <xdr:row>87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48</xdr:row>
      <xdr:rowOff>190499</xdr:rowOff>
    </xdr:from>
    <xdr:to>
      <xdr:col>36</xdr:col>
      <xdr:colOff>76200</xdr:colOff>
      <xdr:row>87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48</xdr:row>
      <xdr:rowOff>133350</xdr:rowOff>
    </xdr:from>
    <xdr:to>
      <xdr:col>22</xdr:col>
      <xdr:colOff>61913</xdr:colOff>
      <xdr:row>87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80962</xdr:colOff>
      <xdr:row>187</xdr:row>
      <xdr:rowOff>38098</xdr:rowOff>
    </xdr:from>
    <xdr:to>
      <xdr:col>23</xdr:col>
      <xdr:colOff>809625</xdr:colOff>
      <xdr:row>227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48</xdr:row>
      <xdr:rowOff>161924</xdr:rowOff>
    </xdr:from>
    <xdr:to>
      <xdr:col>54</xdr:col>
      <xdr:colOff>204788</xdr:colOff>
      <xdr:row>86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eet3"/>
  <dimension ref="A1:AE315"/>
  <sheetViews>
    <sheetView tabSelected="1" topLeftCell="A188" workbookViewId="0">
      <selection activeCell="BE64" sqref="BE64"/>
    </sheetView>
  </sheetViews>
  <sheetFormatPr defaultRowHeight="15" x14ac:dyDescent="0.25"/>
  <cols>
    <col min="1" max="1" width="41.5703125" customWidth="1"/>
    <col min="2" max="2" width="22.5703125" customWidth="1"/>
    <col min="3" max="3" width="15" customWidth="1"/>
    <col min="4" max="4" width="16.42578125" customWidth="1"/>
    <col min="5" max="5" width="17.140625" customWidth="1"/>
    <col min="6" max="6" width="20.5703125" customWidth="1"/>
    <col min="7" max="7" width="15.28515625" customWidth="1"/>
    <col min="8" max="8" width="17.42578125" customWidth="1"/>
    <col min="9" max="9" width="19.140625" customWidth="1"/>
    <col min="10" max="10" width="16.5703125" customWidth="1"/>
    <col min="11" max="11" width="16.85546875" customWidth="1"/>
    <col min="12" max="12" width="16.28515625" customWidth="1"/>
    <col min="13" max="13" width="15.5703125" customWidth="1"/>
    <col min="14" max="14" width="13.7109375" customWidth="1"/>
    <col min="15" max="15" width="16" customWidth="1"/>
    <col min="16" max="16" width="14.85546875" customWidth="1"/>
    <col min="17" max="17" width="14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4.28515625" customWidth="1"/>
    <col min="31" max="31" width="15.140625" customWidth="1"/>
    <col min="32" max="32" width="17" customWidth="1"/>
  </cols>
  <sheetData>
    <row r="1" spans="1:15" x14ac:dyDescent="0.25">
      <c r="A1" s="23" t="s">
        <v>54</v>
      </c>
      <c r="B1" s="23" t="s">
        <v>16</v>
      </c>
      <c r="C1" s="23" t="s">
        <v>57</v>
      </c>
      <c r="D1" s="23" t="s">
        <v>55</v>
      </c>
      <c r="E1" s="23" t="s">
        <v>56</v>
      </c>
      <c r="F1" s="36" t="s">
        <v>59</v>
      </c>
      <c r="G1" s="36"/>
      <c r="H1" s="36"/>
    </row>
    <row r="2" spans="1:15" x14ac:dyDescent="0.25">
      <c r="A2" t="s">
        <v>58</v>
      </c>
      <c r="B2" s="16"/>
      <c r="C2" s="16"/>
      <c r="D2" s="16"/>
      <c r="E2" s="16"/>
    </row>
    <row r="3" spans="1:15" x14ac:dyDescent="0.25"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24" t="s">
        <v>47</v>
      </c>
      <c r="B4" s="2"/>
      <c r="C4" s="2" t="str">
        <f>IF(ISBLANK($B$4), "", CONVERT($B$4,"grain","g"))</f>
        <v/>
      </c>
      <c r="F4" s="34" t="s">
        <v>47</v>
      </c>
      <c r="G4" s="67"/>
      <c r="H4" s="64" t="str">
        <f>IF(ISBLANK($G$4), "",CONVERT($G$4,"grain","g"))</f>
        <v/>
      </c>
    </row>
    <row r="5" spans="1:15" x14ac:dyDescent="0.25">
      <c r="A5" s="24" t="s">
        <v>48</v>
      </c>
      <c r="B5" s="67"/>
      <c r="C5" s="66" t="str">
        <f>IF(ISBLANK($B$5),"",CONVERT($B$5,"in","mm"))</f>
        <v/>
      </c>
      <c r="F5" s="34" t="s">
        <v>48</v>
      </c>
      <c r="G5" s="67"/>
      <c r="H5" s="64" t="str">
        <f>IF(ISBLANK($G$5),"",CONVERT($G$5,"in","mm"))</f>
        <v/>
      </c>
    </row>
    <row r="6" spans="1:15" x14ac:dyDescent="0.25">
      <c r="A6" s="24" t="s">
        <v>9</v>
      </c>
      <c r="B6" s="67"/>
      <c r="C6" s="66"/>
      <c r="F6" s="34" t="s">
        <v>9</v>
      </c>
      <c r="G6" s="67"/>
      <c r="H6" s="2"/>
    </row>
    <row r="7" spans="1:15" x14ac:dyDescent="0.25">
      <c r="A7" s="24" t="s">
        <v>17</v>
      </c>
      <c r="B7" s="67">
        <v>0.58599999999999997</v>
      </c>
      <c r="C7" s="66"/>
      <c r="F7" s="34" t="s">
        <v>17</v>
      </c>
      <c r="G7" s="67"/>
      <c r="H7" s="2"/>
    </row>
    <row r="8" spans="1:15" x14ac:dyDescent="0.25">
      <c r="A8" s="24" t="s">
        <v>60</v>
      </c>
      <c r="B8" s="67"/>
      <c r="C8" s="66" t="str">
        <f>IF(ISBLANK($B$8), "",CONVERT($B$8,"J","flb"))</f>
        <v/>
      </c>
      <c r="F8" s="34" t="s">
        <v>49</v>
      </c>
      <c r="G8" s="64" t="str" cm="1">
        <f t="array" ref="G8">IF(OR(ISBLANK(G9),ISBLANK(G4)), "", MuzzleVelocityToMuzzleEnergyFtLb(G9,G4))</f>
        <v/>
      </c>
      <c r="H8" s="64" t="str" cm="1">
        <f t="array" ref="H8">IF(OR(ISBLANK(G4),ISBLANK(G9)), "", MuzzleVelocityToMuzzleEnergyJoules(H9,H4))</f>
        <v/>
      </c>
    </row>
    <row r="9" spans="1:15" ht="30" x14ac:dyDescent="0.25">
      <c r="A9" s="24" t="s">
        <v>61</v>
      </c>
      <c r="B9" s="67" t="str" cm="1">
        <f t="array" ref="B9">IF(OR(ISBLANK(B8),ISBLANK(B4)),"",MuzzleEnergyToMuzzleVelocityMPS(B8,C4))</f>
        <v/>
      </c>
      <c r="C9" s="66" t="str" cm="1">
        <f t="array" ref="C9">IF(OR(ISBLANK(B8),ISBLANK(B4)), "", MuzzleEnergyToMuzzleVelocityFPS(C8,B4))</f>
        <v/>
      </c>
      <c r="F9" s="34" t="s">
        <v>50</v>
      </c>
      <c r="G9" s="67"/>
      <c r="H9" s="64" t="str">
        <f>IF(ISBLANK($G$9), "", CONVERT($G$9,"ft","m"))</f>
        <v/>
      </c>
    </row>
    <row r="10" spans="1:15" x14ac:dyDescent="0.25">
      <c r="A10" s="24" t="s">
        <v>0</v>
      </c>
      <c r="B10" s="67"/>
      <c r="C10" s="66"/>
    </row>
    <row r="11" spans="1:15" x14ac:dyDescent="0.25">
      <c r="A11" s="24" t="s">
        <v>62</v>
      </c>
      <c r="B11" s="67"/>
      <c r="C11" s="66" t="str">
        <f>IF(ISBLANK($B$11),"",CONVERT($B$11,"m/sec","km/hr"))</f>
        <v/>
      </c>
    </row>
    <row r="12" spans="1:15" x14ac:dyDescent="0.25">
      <c r="A12" s="24" t="s">
        <v>1</v>
      </c>
      <c r="B12" s="67"/>
      <c r="C12" s="66"/>
    </row>
    <row r="13" spans="1:15" x14ac:dyDescent="0.25">
      <c r="A13" s="26" t="s">
        <v>36</v>
      </c>
      <c r="B13" s="67"/>
      <c r="C13" s="66"/>
    </row>
    <row r="14" spans="1:15" x14ac:dyDescent="0.25">
      <c r="A14" s="26" t="s">
        <v>37</v>
      </c>
      <c r="B14" s="67" t="str" cm="1">
        <f t="array" ref="B14">IF(ISBLANK($B$13),"",MOAToMRAD($B$13))</f>
        <v/>
      </c>
      <c r="C14" s="66" t="str">
        <f>IF(ISBLANK($B$13), "",$B$14/2)</f>
        <v/>
      </c>
    </row>
    <row r="15" spans="1:15" x14ac:dyDescent="0.25">
      <c r="A15" s="26" t="s">
        <v>78</v>
      </c>
      <c r="B15" s="67">
        <v>1.5</v>
      </c>
      <c r="C15" s="66">
        <f>IF(ISBLANK($B$15),"",CONVERT($B$15, "in","cm"))</f>
        <v>3.81</v>
      </c>
      <c r="D15" s="2"/>
    </row>
    <row r="16" spans="1:15" x14ac:dyDescent="0.25">
      <c r="A16" s="26" t="s">
        <v>3</v>
      </c>
    </row>
    <row r="17" spans="1:29" x14ac:dyDescent="0.25">
      <c r="A17" s="25" t="s">
        <v>38</v>
      </c>
      <c r="B17" s="23" t="s">
        <v>39</v>
      </c>
      <c r="C17" s="23" t="s">
        <v>40</v>
      </c>
      <c r="D17" s="23" t="s">
        <v>41</v>
      </c>
      <c r="E17" s="23" t="s">
        <v>42</v>
      </c>
    </row>
    <row r="18" spans="1:29" x14ac:dyDescent="0.25">
      <c r="A18" s="26" t="s">
        <v>43</v>
      </c>
      <c r="B18" s="67"/>
      <c r="C18" s="63" t="str">
        <f>IF(ISBLANK($B$18),"",$B18/2)</f>
        <v/>
      </c>
      <c r="D18" s="64" t="str">
        <f>IF(OR(ISBLANK($B$13),ISBLANK($B$18)),"",$B$18 * $B$20)</f>
        <v/>
      </c>
      <c r="E18" s="65" t="str">
        <f>IF(OR(ISBLANK($B$13),ISBLANK($B$18)), "",$D18/2)</f>
        <v/>
      </c>
    </row>
    <row r="19" spans="1:29" x14ac:dyDescent="0.25">
      <c r="A19" s="26" t="s">
        <v>44</v>
      </c>
      <c r="B19" s="67"/>
      <c r="C19" s="63" t="str">
        <f>IF(ISBLANK($B$19),"",$B19/2)</f>
        <v/>
      </c>
      <c r="D19" s="64" t="str">
        <f>IF(OR(ISBLANK($B$13),ISBLANK($B$19)),"",$B$19 * $B$20)</f>
        <v/>
      </c>
      <c r="E19" s="65" t="str">
        <f>IF(OR(ISBLANK($B$13),ISBLANK($B$18)), "",$D19/2)</f>
        <v/>
      </c>
      <c r="P19" s="36" t="s">
        <v>63</v>
      </c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</row>
    <row r="20" spans="1:29" x14ac:dyDescent="0.25">
      <c r="A20" s="17" t="s">
        <v>45</v>
      </c>
      <c r="B20" s="68" t="str">
        <f>IF(OR(ISBLANK($B$13),ISBLANK($B$19)),"",$B$14/$B$19)</f>
        <v/>
      </c>
      <c r="C20" s="64"/>
      <c r="D20" s="63"/>
      <c r="E20" s="63"/>
      <c r="P20" s="2">
        <v>50</v>
      </c>
      <c r="Q20" s="2">
        <v>4.5</v>
      </c>
      <c r="R20" s="2">
        <v>4</v>
      </c>
      <c r="S20" s="2">
        <v>4</v>
      </c>
      <c r="T20" s="2">
        <v>4</v>
      </c>
      <c r="U20" s="2">
        <v>4</v>
      </c>
      <c r="V20" s="2">
        <v>4</v>
      </c>
      <c r="W20" s="2">
        <v>4</v>
      </c>
      <c r="X20" s="2">
        <v>4</v>
      </c>
      <c r="Y20" s="2">
        <v>4</v>
      </c>
      <c r="Z20" s="2">
        <v>4</v>
      </c>
      <c r="AA20" s="2">
        <v>4</v>
      </c>
      <c r="AB20" s="2">
        <v>4</v>
      </c>
    </row>
    <row r="21" spans="1:29" x14ac:dyDescent="0.25">
      <c r="A21" s="17" t="s">
        <v>46</v>
      </c>
      <c r="B21" s="68"/>
      <c r="C21" s="64" t="str" cm="1">
        <f t="array" ref="C21">IF(OR(ISBLANK($B$18),ISBLANK($B$19)),"",ProbableAngularPOIError(C19,C18,B19,0.2))</f>
        <v/>
      </c>
      <c r="D21" s="64"/>
      <c r="E21" s="64" t="str" cm="1">
        <f t="array" ref="E21">IF(OR(ISBLANK($B$13),ISBLANK($B$18),ISBLANK($B$19)),"",ProbableAngularPOIError(D19,D18,B14,0.68))</f>
        <v/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1:29" x14ac:dyDescent="0.25">
      <c r="A22" s="17"/>
      <c r="B22" s="18"/>
      <c r="C22" s="2"/>
      <c r="D22" s="2"/>
      <c r="E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</row>
    <row r="23" spans="1:29" ht="30" x14ac:dyDescent="0.25">
      <c r="C23" s="61" t="s">
        <v>51</v>
      </c>
      <c r="D23" s="37" t="s">
        <v>19</v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60" t="s">
        <v>53</v>
      </c>
      <c r="Q23" s="37" t="s">
        <v>20</v>
      </c>
      <c r="R23" s="37"/>
      <c r="S23" s="37"/>
      <c r="T23" s="37"/>
      <c r="U23" s="37"/>
      <c r="V23" s="28"/>
      <c r="W23" s="28"/>
      <c r="X23" s="28"/>
      <c r="Y23" s="28"/>
      <c r="Z23" s="28"/>
      <c r="AA23" s="28"/>
      <c r="AB23" s="28"/>
      <c r="AC23" s="29" t="s">
        <v>21</v>
      </c>
    </row>
    <row r="24" spans="1:29" x14ac:dyDescent="0.25">
      <c r="A24" s="23" t="s">
        <v>2</v>
      </c>
      <c r="B24" s="23" t="s">
        <v>18</v>
      </c>
      <c r="C24" s="27" t="s">
        <v>52</v>
      </c>
      <c r="D24" s="27" t="s">
        <v>4</v>
      </c>
      <c r="E24" s="27" t="s">
        <v>5</v>
      </c>
      <c r="F24" s="27" t="s">
        <v>6</v>
      </c>
      <c r="G24" s="27" t="s">
        <v>7</v>
      </c>
      <c r="H24" s="27" t="s">
        <v>8</v>
      </c>
      <c r="I24" s="27" t="s">
        <v>23</v>
      </c>
      <c r="J24" s="27" t="s">
        <v>24</v>
      </c>
      <c r="K24" s="27" t="s">
        <v>66</v>
      </c>
      <c r="L24" s="27" t="s">
        <v>67</v>
      </c>
      <c r="M24" s="27" t="s">
        <v>68</v>
      </c>
      <c r="N24" s="27" t="s">
        <v>69</v>
      </c>
      <c r="O24" s="27" t="s">
        <v>70</v>
      </c>
      <c r="P24" s="31" t="s">
        <v>22</v>
      </c>
      <c r="Q24" s="30" t="s">
        <v>4</v>
      </c>
      <c r="R24" s="30" t="s">
        <v>5</v>
      </c>
      <c r="S24" s="30" t="s">
        <v>6</v>
      </c>
      <c r="T24" s="30" t="s">
        <v>7</v>
      </c>
      <c r="U24" s="30" t="s">
        <v>8</v>
      </c>
      <c r="V24" s="30" t="s">
        <v>23</v>
      </c>
      <c r="W24" s="31" t="s">
        <v>71</v>
      </c>
      <c r="X24" s="31" t="s">
        <v>66</v>
      </c>
      <c r="Y24" s="31" t="s">
        <v>67</v>
      </c>
      <c r="Z24" s="31" t="s">
        <v>68</v>
      </c>
      <c r="AA24" s="31" t="s">
        <v>69</v>
      </c>
      <c r="AB24" s="31" t="s">
        <v>70</v>
      </c>
      <c r="AC24" s="29" t="s">
        <v>22</v>
      </c>
    </row>
    <row r="25" spans="1:29" x14ac:dyDescent="0.25">
      <c r="A25" s="1">
        <v>0</v>
      </c>
      <c r="B25" s="1"/>
      <c r="C25" s="12">
        <v>0</v>
      </c>
      <c r="D25" s="3"/>
      <c r="E25" s="4"/>
      <c r="F25" s="4"/>
      <c r="G25" s="4"/>
      <c r="H25" s="5"/>
      <c r="I25" s="5"/>
      <c r="J25" s="4"/>
      <c r="K25" s="4"/>
      <c r="L25" s="4"/>
      <c r="M25" s="4"/>
      <c r="N25" s="4"/>
      <c r="O25" s="4"/>
      <c r="P25" s="22" cm="1">
        <f t="array" ref="P25">TrajectoryInCM(C25,$A25,P$20)</f>
        <v>0</v>
      </c>
      <c r="Q25" s="8">
        <f t="shared" ref="Q25:AB25" si="0">$B$15*(-1)</f>
        <v>-1.5</v>
      </c>
      <c r="R25" s="8">
        <f t="shared" si="0"/>
        <v>-1.5</v>
      </c>
      <c r="S25" s="8">
        <f t="shared" si="0"/>
        <v>-1.5</v>
      </c>
      <c r="T25" s="8">
        <f t="shared" si="0"/>
        <v>-1.5</v>
      </c>
      <c r="U25" s="8">
        <f t="shared" si="0"/>
        <v>-1.5</v>
      </c>
      <c r="V25" s="8">
        <f t="shared" si="0"/>
        <v>-1.5</v>
      </c>
      <c r="W25" s="19">
        <f t="shared" si="0"/>
        <v>-1.5</v>
      </c>
      <c r="X25" s="19">
        <f t="shared" si="0"/>
        <v>-1.5</v>
      </c>
      <c r="Y25" s="19">
        <f t="shared" si="0"/>
        <v>-1.5</v>
      </c>
      <c r="Z25" s="19">
        <f t="shared" si="0"/>
        <v>-1.5</v>
      </c>
      <c r="AA25" s="19">
        <f t="shared" si="0"/>
        <v>-1.5</v>
      </c>
      <c r="AB25" s="19">
        <f t="shared" si="0"/>
        <v>-1.5</v>
      </c>
      <c r="AC25" s="20" t="str" cm="1">
        <f t="array" ref="AC25">IF(ISBLANK($B$13),"",TrajectoryErrorCM($E$21,1,$A25))</f>
        <v/>
      </c>
    </row>
    <row r="26" spans="1:29" x14ac:dyDescent="0.25">
      <c r="A26" s="1">
        <v>25</v>
      </c>
      <c r="B26" s="1"/>
      <c r="C26" s="10"/>
      <c r="D26" s="6"/>
      <c r="E26" s="6"/>
      <c r="F26" s="6"/>
      <c r="G26" s="6"/>
      <c r="H26" s="6"/>
      <c r="I26" s="6"/>
      <c r="J26" s="10"/>
      <c r="K26" s="10"/>
      <c r="L26" s="10"/>
      <c r="M26" s="10"/>
      <c r="N26" s="10"/>
      <c r="O26" s="10"/>
      <c r="P26" s="21" t="str" cm="1">
        <f t="array" ref="P26">IF(OR(ISBLANK($A26),ISBLANK(C26)), "", TrajectoryInCM(C26,$A26,P$20))</f>
        <v/>
      </c>
      <c r="Q26" s="9" t="str" cm="1">
        <f t="array" ref="Q26">IF(OR(ISBLANK($A26),ISBLANK(D26)), "", TrajectoryInCM(D26,$A26,Q$20))</f>
        <v/>
      </c>
      <c r="R26" s="9" t="str" cm="1">
        <f t="array" ref="R26">IF(OR(ISBLANK($A26),ISBLANK(E26)), "", TrajectoryInCM(E26,$A26,R$20))</f>
        <v/>
      </c>
      <c r="S26" s="9" t="str" cm="1">
        <f t="array" ref="S26">IF(OR(ISBLANK($A26),ISBLANK(F26)), "", TrajectoryInCM(F26,$A26,S$20))</f>
        <v/>
      </c>
      <c r="T26" s="9" t="str" cm="1">
        <f t="array" ref="T26">IF(OR(ISBLANK($A26),ISBLANK(G26)), "", TrajectoryInCM(G26,$A26,T$20))</f>
        <v/>
      </c>
      <c r="U26" s="9" t="str" cm="1">
        <f t="array" ref="U26">IF(OR(ISBLANK($A26),ISBLANK(H26)), "", TrajectoryInCM(H26,$A26,U$20))</f>
        <v/>
      </c>
      <c r="V26" s="9" t="str" cm="1">
        <f t="array" ref="V26">IF(OR(ISBLANK($A26),ISBLANK(I26)), "", TrajectoryInCM(I26,$A26,V$20))</f>
        <v/>
      </c>
      <c r="W26" s="21" t="str" cm="1">
        <f t="array" ref="W26">IF(OR(ISBLANK($A26),ISBLANK(J26)), "", TrajectoryInCM(J26,$A26,W$20))</f>
        <v/>
      </c>
      <c r="X26" s="21" t="str" cm="1">
        <f t="array" ref="X26">IF(OR(ISBLANK($A26),ISBLANK(K26)), "", TrajectoryInCM(K26,$A26,X$20))</f>
        <v/>
      </c>
      <c r="Y26" s="21" t="str" cm="1">
        <f t="array" ref="Y26">IF(OR(ISBLANK($A26),ISBLANK(L26)), "", TrajectoryInCM(L26,$A26,Y$20))</f>
        <v/>
      </c>
      <c r="Z26" s="21" t="str" cm="1">
        <f t="array" ref="Z26">IF(OR(ISBLANK($A26),ISBLANK(M26)), "", TrajectoryInCM(M26,$A26,Z$20))</f>
        <v/>
      </c>
      <c r="AA26" s="21" t="str" cm="1">
        <f t="array" ref="AA26">IF(OR(ISBLANK($A26),ISBLANK(N26)), "", TrajectoryInCM(N26,$A26,AA$20))</f>
        <v/>
      </c>
      <c r="AB26" s="21" t="str" cm="1">
        <f t="array" ref="AB26">IF(OR(ISBLANK($A26),ISBLANK(O26)), "", TrajectoryInCM(O26,$A26,AB$20))</f>
        <v/>
      </c>
      <c r="AC26" s="20" t="str" cm="1">
        <f t="array" ref="AC26">IF(ISBLANK($B$13),"",TrajectoryErrorCM($E$21,1,$A26))</f>
        <v/>
      </c>
    </row>
    <row r="27" spans="1:29" x14ac:dyDescent="0.25">
      <c r="A27" s="1">
        <v>50</v>
      </c>
      <c r="B27" s="1"/>
      <c r="C27" s="10"/>
      <c r="D27" s="7"/>
      <c r="E27" s="6"/>
      <c r="F27" s="6"/>
      <c r="G27" s="6"/>
      <c r="H27" s="6"/>
      <c r="I27" s="6"/>
      <c r="J27" s="10"/>
      <c r="K27" s="10"/>
      <c r="L27" s="10"/>
      <c r="M27" s="10"/>
      <c r="N27" s="10"/>
      <c r="O27" s="10"/>
      <c r="P27" s="21" t="str" cm="1">
        <f t="array" ref="P27">IF(OR(ISBLANK($A27),ISBLANK(C27)), "", TrajectoryInCM(C27,$A27,P$20))</f>
        <v/>
      </c>
      <c r="Q27" s="7" t="str" cm="1">
        <f t="array" ref="Q27">IF(OR(ISBLANK($A27),ISBLANK(D27)), "", TrajectoryInCM(D27,$A27,Q$20))</f>
        <v/>
      </c>
      <c r="R27" s="6" t="str" cm="1">
        <f t="array" ref="R27">IF(OR(ISBLANK($A27),ISBLANK(E27)), "", TrajectoryInCM(E27,$A27,R$20))</f>
        <v/>
      </c>
      <c r="S27" s="6" t="str" cm="1">
        <f t="array" ref="S27">IF(OR(ISBLANK($A27),ISBLANK(F27)), "", TrajectoryInCM(F27,$A27,S$20))</f>
        <v/>
      </c>
      <c r="T27" s="6" t="str" cm="1">
        <f t="array" ref="T27">IF(OR(ISBLANK($A27),ISBLANK(G27)), "", TrajectoryInCM(G27,$A27,T$20))</f>
        <v/>
      </c>
      <c r="U27" s="6" t="str" cm="1">
        <f t="array" ref="U27">IF(OR(ISBLANK($A27),ISBLANK(H27)), "", TrajectoryInCM(H27,$A27,U$20))</f>
        <v/>
      </c>
      <c r="V27" s="6" t="str" cm="1">
        <f t="array" ref="V27">IF(OR(ISBLANK($A27),ISBLANK(I27)), "", TrajectoryInCM(I27,$A27,V$20))</f>
        <v/>
      </c>
      <c r="W27" s="10" t="str" cm="1">
        <f t="array" ref="W27">IF(OR(ISBLANK($A27),ISBLANK(J27)), "", TrajectoryInCM(J27,$A27,W$20))</f>
        <v/>
      </c>
      <c r="X27" s="10" t="str" cm="1">
        <f t="array" ref="X27">IF(OR(ISBLANK($A27),ISBLANK(K27)), "", TrajectoryInCM(K27,$A27,X$20))</f>
        <v/>
      </c>
      <c r="Y27" s="10" t="str" cm="1">
        <f t="array" ref="Y27">IF(OR(ISBLANK($A27),ISBLANK(L27)), "", TrajectoryInCM(L27,$A27,Y$20))</f>
        <v/>
      </c>
      <c r="Z27" s="10" t="str" cm="1">
        <f t="array" ref="Z27">IF(OR(ISBLANK($A27),ISBLANK(M27)), "", TrajectoryInCM(M27,$A27,Z$20))</f>
        <v/>
      </c>
      <c r="AA27" s="10" t="str" cm="1">
        <f t="array" ref="AA27">IF(OR(ISBLANK($A27),ISBLANK(N27)), "", TrajectoryInCM(N27,$A27,AA$20))</f>
        <v/>
      </c>
      <c r="AB27" s="10" t="str" cm="1">
        <f t="array" ref="AB27">IF(OR(ISBLANK($A27),ISBLANK(O27)), "", TrajectoryInCM(O27,$A27,AB$20))</f>
        <v/>
      </c>
      <c r="AC27" s="20" t="str" cm="1">
        <f t="array" ref="AC27">IF(ISBLANK($B$13),"",TrajectoryErrorCM($E$21,1,$A27))</f>
        <v/>
      </c>
    </row>
    <row r="28" spans="1:29" x14ac:dyDescent="0.25">
      <c r="A28" s="1">
        <v>75</v>
      </c>
      <c r="B28" s="1"/>
      <c r="C28" s="10"/>
      <c r="D28" s="6"/>
      <c r="E28" s="6"/>
      <c r="F28" s="6"/>
      <c r="G28" s="6"/>
      <c r="H28" s="6"/>
      <c r="I28" s="6"/>
      <c r="J28" s="10"/>
      <c r="K28" s="10"/>
      <c r="L28" s="10"/>
      <c r="M28" s="10"/>
      <c r="N28" s="10"/>
      <c r="O28" s="10"/>
      <c r="P28" s="21" t="str" cm="1">
        <f t="array" ref="P28">IF(OR(ISBLANK($A28),ISBLANK(C28)), "", TrajectoryInCM(C28,$A28,P$20))</f>
        <v/>
      </c>
      <c r="Q28" s="6" t="str" cm="1">
        <f t="array" ref="Q28">IF(OR(ISBLANK($A28),ISBLANK(D28)), "", TrajectoryInCM(D28,$A28,Q$20))</f>
        <v/>
      </c>
      <c r="R28" s="6" t="str" cm="1">
        <f t="array" ref="R28">IF(OR(ISBLANK($A28),ISBLANK(E28)), "", TrajectoryInCM(E28,$A28,R$20))</f>
        <v/>
      </c>
      <c r="S28" s="6" t="str" cm="1">
        <f t="array" ref="S28">IF(OR(ISBLANK($A28),ISBLANK(F28)), "", TrajectoryInCM(F28,$A28,S$20))</f>
        <v/>
      </c>
      <c r="T28" s="6" t="str" cm="1">
        <f t="array" ref="T28">IF(OR(ISBLANK($A28),ISBLANK(G28)), "", TrajectoryInCM(G28,$A28,T$20))</f>
        <v/>
      </c>
      <c r="U28" s="6" t="str" cm="1">
        <f t="array" ref="U28">IF(OR(ISBLANK($A28),ISBLANK(H28)), "", TrajectoryInCM(H28,$A28,U$20))</f>
        <v/>
      </c>
      <c r="V28" s="6" t="str" cm="1">
        <f t="array" ref="V28">IF(OR(ISBLANK($A28),ISBLANK(I28)), "", TrajectoryInCM(I28,$A28,V$20))</f>
        <v/>
      </c>
      <c r="W28" s="10" t="str" cm="1">
        <f t="array" ref="W28">IF(OR(ISBLANK($A28),ISBLANK(J28)), "", TrajectoryInCM(J28,$A28,W$20))</f>
        <v/>
      </c>
      <c r="X28" s="10" t="str" cm="1">
        <f t="array" ref="X28">IF(OR(ISBLANK($A28),ISBLANK(K28)), "", TrajectoryInCM(K28,$A28,X$20))</f>
        <v/>
      </c>
      <c r="Y28" s="10" t="str" cm="1">
        <f t="array" ref="Y28">IF(OR(ISBLANK($A28),ISBLANK(L28)), "", TrajectoryInCM(L28,$A28,Y$20))</f>
        <v/>
      </c>
      <c r="Z28" s="10" t="str" cm="1">
        <f t="array" ref="Z28">IF(OR(ISBLANK($A28),ISBLANK(M28)), "", TrajectoryInCM(M28,$A28,Z$20))</f>
        <v/>
      </c>
      <c r="AA28" s="10" t="str" cm="1">
        <f t="array" ref="AA28">IF(OR(ISBLANK($A28),ISBLANK(N28)), "", TrajectoryInCM(N28,$A28,AA$20))</f>
        <v/>
      </c>
      <c r="AB28" s="10" t="str" cm="1">
        <f t="array" ref="AB28">IF(OR(ISBLANK($A28),ISBLANK(O28)), "", TrajectoryInCM(O28,$A28,AB$20))</f>
        <v/>
      </c>
      <c r="AC28" s="20" t="str" cm="1">
        <f t="array" ref="AC28">IF(ISBLANK($B$13),"",TrajectoryErrorCM($E$21,1,$A28))</f>
        <v/>
      </c>
    </row>
    <row r="29" spans="1:29" x14ac:dyDescent="0.25">
      <c r="A29" s="1">
        <v>100</v>
      </c>
      <c r="B29" s="1"/>
      <c r="C29" s="10"/>
      <c r="D29" s="6"/>
      <c r="E29" s="7"/>
      <c r="F29" s="6"/>
      <c r="G29" s="6"/>
      <c r="H29" s="6"/>
      <c r="I29" s="6"/>
      <c r="J29" s="10"/>
      <c r="K29" s="10"/>
      <c r="L29" s="10"/>
      <c r="M29" s="10"/>
      <c r="N29" s="10"/>
      <c r="O29" s="10"/>
      <c r="P29" s="21" t="str" cm="1">
        <f t="array" ref="P29">IF(OR(ISBLANK($A29),ISBLANK(C29)), "", TrajectoryInCM(C29,$A29,P$20))</f>
        <v/>
      </c>
      <c r="Q29" s="6" t="str" cm="1">
        <f t="array" ref="Q29">IF(OR(ISBLANK($A29),ISBLANK(D29)), "", TrajectoryInCM(D29,$A29,Q$20))</f>
        <v/>
      </c>
      <c r="R29" s="7" t="str" cm="1">
        <f t="array" ref="R29">IF(OR(ISBLANK($A29),ISBLANK(E29)), "", TrajectoryInCM(E29,$A29,R$20))</f>
        <v/>
      </c>
      <c r="S29" s="6" t="str" cm="1">
        <f t="array" ref="S29">IF(OR(ISBLANK($A29),ISBLANK(F29)), "", TrajectoryInCM(F29,$A29,S$20))</f>
        <v/>
      </c>
      <c r="T29" s="6" t="str" cm="1">
        <f t="array" ref="T29">IF(OR(ISBLANK($A29),ISBLANK(G29)), "", TrajectoryInCM(G29,$A29,T$20))</f>
        <v/>
      </c>
      <c r="U29" s="6" t="str" cm="1">
        <f t="array" ref="U29">IF(OR(ISBLANK($A29),ISBLANK(H29)), "", TrajectoryInCM(H29,$A29,U$20))</f>
        <v/>
      </c>
      <c r="V29" s="6" t="str" cm="1">
        <f t="array" ref="V29">IF(OR(ISBLANK($A29),ISBLANK(I29)), "", TrajectoryInCM(I29,$A29,V$20))</f>
        <v/>
      </c>
      <c r="W29" s="10" t="str" cm="1">
        <f t="array" ref="W29">IF(OR(ISBLANK($A29),ISBLANK(J29)), "", TrajectoryInCM(J29,$A29,W$20))</f>
        <v/>
      </c>
      <c r="X29" s="10" t="str" cm="1">
        <f t="array" ref="X29">IF(OR(ISBLANK($A29),ISBLANK(K29)), "", TrajectoryInCM(K29,$A29,X$20))</f>
        <v/>
      </c>
      <c r="Y29" s="10" t="str" cm="1">
        <f t="array" ref="Y29">IF(OR(ISBLANK($A29),ISBLANK(L29)), "", TrajectoryInCM(L29,$A29,Y$20))</f>
        <v/>
      </c>
      <c r="Z29" s="10" t="str" cm="1">
        <f t="array" ref="Z29">IF(OR(ISBLANK($A29),ISBLANK(M29)), "", TrajectoryInCM(M29,$A29,Z$20))</f>
        <v/>
      </c>
      <c r="AA29" s="10" t="str" cm="1">
        <f t="array" ref="AA29">IF(OR(ISBLANK($A29),ISBLANK(N29)), "", TrajectoryInCM(N29,$A29,AA$20))</f>
        <v/>
      </c>
      <c r="AB29" s="10" t="str" cm="1">
        <f t="array" ref="AB29">IF(OR(ISBLANK($A29),ISBLANK(O29)), "", TrajectoryInCM(O29,$A29,AB$20))</f>
        <v/>
      </c>
      <c r="AC29" s="20" t="str" cm="1">
        <f t="array" ref="AC29">IF(ISBLANK($B$13),"",TrajectoryErrorCM($E$21,1,$A29))</f>
        <v/>
      </c>
    </row>
    <row r="30" spans="1:29" x14ac:dyDescent="0.25">
      <c r="A30" s="1">
        <v>125</v>
      </c>
      <c r="B30" s="1"/>
      <c r="C30" s="10"/>
      <c r="D30" s="6"/>
      <c r="E30" s="6"/>
      <c r="F30" s="6"/>
      <c r="G30" s="6"/>
      <c r="H30" s="6"/>
      <c r="I30" s="6"/>
      <c r="J30" s="10"/>
      <c r="K30" s="10"/>
      <c r="L30" s="10"/>
      <c r="M30" s="10"/>
      <c r="N30" s="10"/>
      <c r="O30" s="10"/>
      <c r="P30" s="21" t="str" cm="1">
        <f t="array" ref="P30">IF(OR(ISBLANK($A30),ISBLANK(C30)), "", TrajectoryInCM(C30,$A30,P$20))</f>
        <v/>
      </c>
      <c r="Q30" s="6" t="str" cm="1">
        <f t="array" ref="Q30">IF(OR(ISBLANK($A30),ISBLANK(D30)), "", TrajectoryInCM(D30,$A30,Q$20))</f>
        <v/>
      </c>
      <c r="R30" s="6" t="str" cm="1">
        <f t="array" ref="R30">IF(OR(ISBLANK($A30),ISBLANK(E30)), "", TrajectoryInCM(E30,$A30,R$20))</f>
        <v/>
      </c>
      <c r="S30" s="6" t="str" cm="1">
        <f t="array" ref="S30">IF(OR(ISBLANK($A30),ISBLANK(F30)), "", TrajectoryInCM(F30,$A30,S$20))</f>
        <v/>
      </c>
      <c r="T30" s="6" t="str" cm="1">
        <f t="array" ref="T30">IF(OR(ISBLANK($A30),ISBLANK(G30)), "", TrajectoryInCM(G30,$A30,T$20))</f>
        <v/>
      </c>
      <c r="U30" s="6" t="str" cm="1">
        <f t="array" ref="U30">IF(OR(ISBLANK($A30),ISBLANK(H30)), "", TrajectoryInCM(H30,$A30,U$20))</f>
        <v/>
      </c>
      <c r="V30" s="6" t="str" cm="1">
        <f t="array" ref="V30">IF(OR(ISBLANK($A30),ISBLANK(I30)), "", TrajectoryInCM(I30,$A30,V$20))</f>
        <v/>
      </c>
      <c r="W30" s="10" t="str" cm="1">
        <f t="array" ref="W30">IF(OR(ISBLANK($A30),ISBLANK(J30)), "", TrajectoryInCM(J30,$A30,W$20))</f>
        <v/>
      </c>
      <c r="X30" s="10" t="str" cm="1">
        <f t="array" ref="X30">IF(OR(ISBLANK($A30),ISBLANK(K30)), "", TrajectoryInCM(K30,$A30,X$20))</f>
        <v/>
      </c>
      <c r="Y30" s="10" t="str" cm="1">
        <f t="array" ref="Y30">IF(OR(ISBLANK($A30),ISBLANK(L30)), "", TrajectoryInCM(L30,$A30,Y$20))</f>
        <v/>
      </c>
      <c r="Z30" s="10" t="str" cm="1">
        <f t="array" ref="Z30">IF(OR(ISBLANK($A30),ISBLANK(M30)), "", TrajectoryInCM(M30,$A30,Z$20))</f>
        <v/>
      </c>
      <c r="AA30" s="10" t="str" cm="1">
        <f t="array" ref="AA30">IF(OR(ISBLANK($A30),ISBLANK(N30)), "", TrajectoryInCM(N30,$A30,AA$20))</f>
        <v/>
      </c>
      <c r="AB30" s="10" t="str" cm="1">
        <f t="array" ref="AB30">IF(OR(ISBLANK($A30),ISBLANK(O30)), "", TrajectoryInCM(O30,$A30,AB$20))</f>
        <v/>
      </c>
      <c r="AC30" s="20" t="str" cm="1">
        <f t="array" ref="AC30">IF(ISBLANK($B$13),"",TrajectoryErrorCM($E$21,1,$A30))</f>
        <v/>
      </c>
    </row>
    <row r="31" spans="1:29" x14ac:dyDescent="0.25">
      <c r="A31" s="1">
        <v>150</v>
      </c>
      <c r="B31" s="1"/>
      <c r="C31" s="10"/>
      <c r="D31" s="6"/>
      <c r="E31" s="6"/>
      <c r="F31" s="7"/>
      <c r="G31" s="6"/>
      <c r="H31" s="6"/>
      <c r="I31" s="6"/>
      <c r="J31" s="10"/>
      <c r="K31" s="10"/>
      <c r="L31" s="10"/>
      <c r="M31" s="10"/>
      <c r="N31" s="10"/>
      <c r="O31" s="10"/>
      <c r="P31" s="21" t="str" cm="1">
        <f t="array" ref="P31">IF(OR(ISBLANK($A31),ISBLANK(C31)), "", TrajectoryInCM(C31,$A31,P$20))</f>
        <v/>
      </c>
      <c r="Q31" s="6" t="str" cm="1">
        <f t="array" ref="Q31">IF(OR(ISBLANK($A31),ISBLANK(D31)), "", TrajectoryInCM(D31,$A31,Q$20))</f>
        <v/>
      </c>
      <c r="R31" s="6" t="str" cm="1">
        <f t="array" ref="R31">IF(OR(ISBLANK($A31),ISBLANK(E31)), "", TrajectoryInCM(E31,$A31,R$20))</f>
        <v/>
      </c>
      <c r="S31" s="7" t="str" cm="1">
        <f t="array" ref="S31">IF(OR(ISBLANK($A31),ISBLANK(F31)), "", TrajectoryInCM(F31,$A31,S$20))</f>
        <v/>
      </c>
      <c r="T31" s="6" t="str" cm="1">
        <f t="array" ref="T31">IF(OR(ISBLANK($A31),ISBLANK(G31)), "", TrajectoryInCM(G31,$A31,T$20))</f>
        <v/>
      </c>
      <c r="U31" s="6" t="str" cm="1">
        <f t="array" ref="U31">IF(OR(ISBLANK($A31),ISBLANK(H31)), "", TrajectoryInCM(H31,$A31,U$20))</f>
        <v/>
      </c>
      <c r="V31" s="6" t="str" cm="1">
        <f t="array" ref="V31">IF(OR(ISBLANK($A31),ISBLANK(I31)), "", TrajectoryInCM(I31,$A31,V$20))</f>
        <v/>
      </c>
      <c r="W31" s="10" t="str" cm="1">
        <f t="array" ref="W31">IF(OR(ISBLANK($A31),ISBLANK(J31)), "", TrajectoryInCM(J31,$A31,W$20))</f>
        <v/>
      </c>
      <c r="X31" s="10" t="str" cm="1">
        <f t="array" ref="X31">IF(OR(ISBLANK($A31),ISBLANK(K31)), "", TrajectoryInCM(K31,$A31,X$20))</f>
        <v/>
      </c>
      <c r="Y31" s="10" t="str" cm="1">
        <f t="array" ref="Y31">IF(OR(ISBLANK($A31),ISBLANK(L31)), "", TrajectoryInCM(L31,$A31,Y$20))</f>
        <v/>
      </c>
      <c r="Z31" s="10" t="str" cm="1">
        <f t="array" ref="Z31">IF(OR(ISBLANK($A31),ISBLANK(M31)), "", TrajectoryInCM(M31,$A31,Z$20))</f>
        <v/>
      </c>
      <c r="AA31" s="10" t="str" cm="1">
        <f t="array" ref="AA31">IF(OR(ISBLANK($A31),ISBLANK(N31)), "", TrajectoryInCM(N31,$A31,AA$20))</f>
        <v/>
      </c>
      <c r="AB31" s="10" t="str" cm="1">
        <f t="array" ref="AB31">IF(OR(ISBLANK($A31),ISBLANK(O31)), "", TrajectoryInCM(O31,$A31,AB$20))</f>
        <v/>
      </c>
      <c r="AC31" s="20" t="str" cm="1">
        <f t="array" ref="AC31">IF(ISBLANK($B$13),"",TrajectoryErrorCM($E$21,1,$A31))</f>
        <v/>
      </c>
    </row>
    <row r="32" spans="1:29" x14ac:dyDescent="0.25">
      <c r="A32" s="1">
        <v>200</v>
      </c>
      <c r="B32" s="1"/>
      <c r="C32" s="10"/>
      <c r="D32" s="6"/>
      <c r="E32" s="6"/>
      <c r="F32" s="6"/>
      <c r="G32" s="7"/>
      <c r="H32" s="6"/>
      <c r="I32" s="6"/>
      <c r="J32" s="10"/>
      <c r="K32" s="10"/>
      <c r="L32" s="10"/>
      <c r="M32" s="10"/>
      <c r="N32" s="10"/>
      <c r="O32" s="10"/>
      <c r="P32" s="21" t="str" cm="1">
        <f t="array" ref="P32">IF(OR(ISBLANK($A32),ISBLANK(C32)), "", TrajectoryInCM(C32,$A32,P$20))</f>
        <v/>
      </c>
      <c r="Q32" s="6" t="str" cm="1">
        <f t="array" ref="Q32">IF(OR(ISBLANK($A32),ISBLANK(D32)), "", TrajectoryInCM(D32,$A32,Q$20))</f>
        <v/>
      </c>
      <c r="R32" s="6" t="str" cm="1">
        <f t="array" ref="R32">IF(OR(ISBLANK($A32),ISBLANK(E32)), "", TrajectoryInCM(E32,$A32,R$20))</f>
        <v/>
      </c>
      <c r="S32" s="6" t="str" cm="1">
        <f t="array" ref="S32">IF(OR(ISBLANK($A32),ISBLANK(F32)), "", TrajectoryInCM(F32,$A32,S$20))</f>
        <v/>
      </c>
      <c r="T32" s="7" t="str" cm="1">
        <f t="array" ref="T32">IF(OR(ISBLANK($A32),ISBLANK(G32)), "", TrajectoryInCM(G32,$A32,T$20))</f>
        <v/>
      </c>
      <c r="U32" s="6" t="str" cm="1">
        <f t="array" ref="U32">IF(OR(ISBLANK($A32),ISBLANK(H32)), "", TrajectoryInCM(H32,$A32,U$20))</f>
        <v/>
      </c>
      <c r="V32" s="6" t="str" cm="1">
        <f t="array" ref="V32">IF(OR(ISBLANK($A32),ISBLANK(I32)), "", TrajectoryInCM(I32,$A32,V$20))</f>
        <v/>
      </c>
      <c r="W32" s="10" t="str" cm="1">
        <f t="array" ref="W32">IF(OR(ISBLANK($A32),ISBLANK(J32)), "", TrajectoryInCM(J32,$A32,W$20))</f>
        <v/>
      </c>
      <c r="X32" s="10" t="str" cm="1">
        <f t="array" ref="X32">IF(OR(ISBLANK($A32),ISBLANK(K32)), "", TrajectoryInCM(K32,$A32,X$20))</f>
        <v/>
      </c>
      <c r="Y32" s="10" t="str" cm="1">
        <f t="array" ref="Y32">IF(OR(ISBLANK($A32),ISBLANK(L32)), "", TrajectoryInCM(L32,$A32,Y$20))</f>
        <v/>
      </c>
      <c r="Z32" s="10" t="str" cm="1">
        <f t="array" ref="Z32">IF(OR(ISBLANK($A32),ISBLANK(M32)), "", TrajectoryInCM(M32,$A32,Z$20))</f>
        <v/>
      </c>
      <c r="AA32" s="10" t="str" cm="1">
        <f t="array" ref="AA32">IF(OR(ISBLANK($A32),ISBLANK(N32)), "", TrajectoryInCM(N32,$A32,AA$20))</f>
        <v/>
      </c>
      <c r="AB32" s="10" t="str" cm="1">
        <f t="array" ref="AB32">IF(OR(ISBLANK($A32),ISBLANK(O32)), "", TrajectoryInCM(O32,$A32,AB$20))</f>
        <v/>
      </c>
      <c r="AC32" s="20" t="str" cm="1">
        <f t="array" ref="AC32">IF(ISBLANK($B$13),"",TrajectoryErrorCM($E$21,1,$A32))</f>
        <v/>
      </c>
    </row>
    <row r="33" spans="1:29" x14ac:dyDescent="0.25">
      <c r="A33" s="1">
        <v>250</v>
      </c>
      <c r="B33" s="1"/>
      <c r="C33" s="10"/>
      <c r="D33" s="6"/>
      <c r="E33" s="6"/>
      <c r="F33" s="6"/>
      <c r="G33" s="6"/>
      <c r="H33" s="6"/>
      <c r="I33" s="6"/>
      <c r="J33" s="10"/>
      <c r="K33" s="10"/>
      <c r="L33" s="10"/>
      <c r="M33" s="10"/>
      <c r="N33" s="10"/>
      <c r="O33" s="10"/>
      <c r="P33" s="21" t="str" cm="1">
        <f t="array" ref="P33">IF(OR(ISBLANK($A33),ISBLANK(C33)), "", TrajectoryInCM(C33,$A33,P$20))</f>
        <v/>
      </c>
      <c r="Q33" s="6" t="str" cm="1">
        <f t="array" ref="Q33">IF(OR(ISBLANK($A33),ISBLANK(D33)), "", TrajectoryInCM(D33,$A33,Q$20))</f>
        <v/>
      </c>
      <c r="R33" s="6" t="str" cm="1">
        <f t="array" ref="R33">IF(OR(ISBLANK($A33),ISBLANK(E33)), "", TrajectoryInCM(E33,$A33,R$20))</f>
        <v/>
      </c>
      <c r="S33" s="6" t="str" cm="1">
        <f t="array" ref="S33">IF(OR(ISBLANK($A33),ISBLANK(F33)), "", TrajectoryInCM(F33,$A33,S$20))</f>
        <v/>
      </c>
      <c r="T33" s="6" t="str" cm="1">
        <f t="array" ref="T33">IF(OR(ISBLANK($A33),ISBLANK(G33)), "", TrajectoryInCM(G33,$A33,T$20))</f>
        <v/>
      </c>
      <c r="U33" s="6" t="str" cm="1">
        <f t="array" ref="U33">IF(OR(ISBLANK($A33),ISBLANK(H33)), "", TrajectoryInCM(H33,$A33,U$20))</f>
        <v/>
      </c>
      <c r="V33" s="6" t="str" cm="1">
        <f t="array" ref="V33">IF(OR(ISBLANK($A33),ISBLANK(I33)), "", TrajectoryInCM(I33,$A33,V$20))</f>
        <v/>
      </c>
      <c r="W33" s="10" t="str" cm="1">
        <f t="array" ref="W33">IF(OR(ISBLANK($A33),ISBLANK(J33)), "", TrajectoryInCM(J33,$A33,W$20))</f>
        <v/>
      </c>
      <c r="X33" s="10" t="str" cm="1">
        <f t="array" ref="X33">IF(OR(ISBLANK($A33),ISBLANK(K33)), "", TrajectoryInCM(K33,$A33,X$20))</f>
        <v/>
      </c>
      <c r="Y33" s="10" t="str" cm="1">
        <f t="array" ref="Y33">IF(OR(ISBLANK($A33),ISBLANK(L33)), "", TrajectoryInCM(L33,$A33,Y$20))</f>
        <v/>
      </c>
      <c r="Z33" s="10" t="str" cm="1">
        <f t="array" ref="Z33">IF(OR(ISBLANK($A33),ISBLANK(M33)), "", TrajectoryInCM(M33,$A33,Z$20))</f>
        <v/>
      </c>
      <c r="AA33" s="10" t="str" cm="1">
        <f t="array" ref="AA33">IF(OR(ISBLANK($A33),ISBLANK(N33)), "", TrajectoryInCM(N33,$A33,AA$20))</f>
        <v/>
      </c>
      <c r="AB33" s="10" t="str" cm="1">
        <f t="array" ref="AB33">IF(OR(ISBLANK($A33),ISBLANK(O33)), "", TrajectoryInCM(O33,$A33,AB$20))</f>
        <v/>
      </c>
      <c r="AC33" s="20" t="str" cm="1">
        <f t="array" ref="AC33">IF(ISBLANK($B$13),"",TrajectoryErrorCM($E$21,1,$A33))</f>
        <v/>
      </c>
    </row>
    <row r="34" spans="1:29" x14ac:dyDescent="0.25">
      <c r="A34" s="1">
        <v>300</v>
      </c>
      <c r="B34" s="1"/>
      <c r="C34" s="13"/>
      <c r="D34" s="6"/>
      <c r="E34" s="6"/>
      <c r="F34" s="6"/>
      <c r="G34" s="6"/>
      <c r="H34" s="7"/>
      <c r="I34" s="12"/>
      <c r="J34" s="13"/>
      <c r="K34" s="13"/>
      <c r="L34" s="13"/>
      <c r="M34" s="13"/>
      <c r="N34" s="13"/>
      <c r="O34" s="13"/>
      <c r="P34" s="21" t="str" cm="1">
        <f t="array" ref="P34">IF(OR(ISBLANK($A34),ISBLANK(C34)), "", TrajectoryInCM(C34,$A34,P$20))</f>
        <v/>
      </c>
      <c r="Q34" s="6" t="str" cm="1">
        <f t="array" ref="Q34">IF(OR(ISBLANK($A34),ISBLANK(D34)), "", TrajectoryInCM(D34,$A34,Q$20))</f>
        <v/>
      </c>
      <c r="R34" s="6" t="str" cm="1">
        <f t="array" ref="R34">IF(OR(ISBLANK($A34),ISBLANK(E34)), "", TrajectoryInCM(E34,$A34,R$20))</f>
        <v/>
      </c>
      <c r="S34" s="6" t="str" cm="1">
        <f t="array" ref="S34">IF(OR(ISBLANK($A34),ISBLANK(F34)), "", TrajectoryInCM(F34,$A34,S$20))</f>
        <v/>
      </c>
      <c r="T34" s="6" t="str" cm="1">
        <f t="array" ref="T34">IF(OR(ISBLANK($A34),ISBLANK(G34)), "", TrajectoryInCM(G34,$A34,T$20))</f>
        <v/>
      </c>
      <c r="U34" s="7" t="str" cm="1">
        <f t="array" ref="U34">IF(OR(ISBLANK($A34),ISBLANK(H34)), "", TrajectoryInCM(H34,$A34,U$20))</f>
        <v/>
      </c>
      <c r="V34" s="12" t="str" cm="1">
        <f t="array" ref="V34">IF(OR(ISBLANK($A34),ISBLANK(I34)), "", TrajectoryInCM(I34,$A34,V$20))</f>
        <v/>
      </c>
      <c r="W34" s="13" t="str" cm="1">
        <f t="array" ref="W34">IF(OR(ISBLANK($A34),ISBLANK(J34)), "", TrajectoryInCM(J34,$A34,W$20))</f>
        <v/>
      </c>
      <c r="X34" s="13" t="str" cm="1">
        <f t="array" ref="X34">IF(OR(ISBLANK($A34),ISBLANK(K34)), "", TrajectoryInCM(K34,$A34,X$20))</f>
        <v/>
      </c>
      <c r="Y34" s="13" t="str" cm="1">
        <f t="array" ref="Y34">IF(OR(ISBLANK($A34),ISBLANK(L34)), "", TrajectoryInCM(L34,$A34,Y$20))</f>
        <v/>
      </c>
      <c r="Z34" s="13" t="str" cm="1">
        <f t="array" ref="Z34">IF(OR(ISBLANK($A34),ISBLANK(M34)), "", TrajectoryInCM(M34,$A34,Z$20))</f>
        <v/>
      </c>
      <c r="AA34" s="13" t="str" cm="1">
        <f t="array" ref="AA34">IF(OR(ISBLANK($A34),ISBLANK(N34)), "", TrajectoryInCM(N34,$A34,AA$20))</f>
        <v/>
      </c>
      <c r="AB34" s="13" t="str" cm="1">
        <f t="array" ref="AB34">IF(OR(ISBLANK($A34),ISBLANK(O34)), "", TrajectoryInCM(O34,$A34,AB$20))</f>
        <v/>
      </c>
      <c r="AC34" s="20" t="str" cm="1">
        <f t="array" ref="AC34">IF(ISBLANK($B$13),"",TrajectoryErrorCM($E$21,1,$A34))</f>
        <v/>
      </c>
    </row>
    <row r="35" spans="1:29" x14ac:dyDescent="0.25">
      <c r="A35" s="1">
        <v>350</v>
      </c>
      <c r="B35" s="1"/>
      <c r="C35" s="13"/>
      <c r="D35" s="12"/>
      <c r="E35" s="12"/>
      <c r="F35" s="12"/>
      <c r="G35" s="12"/>
      <c r="H35" s="12"/>
      <c r="I35" s="12"/>
      <c r="J35" s="13"/>
      <c r="K35" s="13"/>
      <c r="L35" s="13"/>
      <c r="M35" s="13"/>
      <c r="N35" s="13"/>
      <c r="O35" s="13"/>
      <c r="P35" s="22" t="str" cm="1">
        <f t="array" ref="P35">IF(OR(ISBLANK($A35),ISBLANK(C35)), "", TrajectoryInCM(C35,$A35,P$20))</f>
        <v/>
      </c>
      <c r="Q35" s="12" t="str" cm="1">
        <f t="array" ref="Q35">IF(OR(ISBLANK($A35),ISBLANK(D35)), "", TrajectoryInCM(D35,$A35,Q$20))</f>
        <v/>
      </c>
      <c r="R35" s="12" t="str" cm="1">
        <f t="array" ref="R35">IF(OR(ISBLANK($A35),ISBLANK(E35)), "", TrajectoryInCM(E35,$A35,R$20))</f>
        <v/>
      </c>
      <c r="S35" s="12" t="str" cm="1">
        <f t="array" ref="S35">IF(OR(ISBLANK($A35),ISBLANK(F35)), "", TrajectoryInCM(F35,$A35,S$20))</f>
        <v/>
      </c>
      <c r="T35" s="12" t="str" cm="1">
        <f t="array" ref="T35">IF(OR(ISBLANK($A35),ISBLANK(G35)), "", TrajectoryInCM(G35,$A35,T$20))</f>
        <v/>
      </c>
      <c r="U35" s="12" t="str" cm="1">
        <f t="array" ref="U35">IF(OR(ISBLANK($A35),ISBLANK(H35)), "", TrajectoryInCM(H35,$A35,U$20))</f>
        <v/>
      </c>
      <c r="V35" s="12" t="str" cm="1">
        <f t="array" ref="V35">IF(OR(ISBLANK($A35),ISBLANK(I35)), "", TrajectoryInCM(I35,$A35,V$20))</f>
        <v/>
      </c>
      <c r="W35" s="13" t="str" cm="1">
        <f t="array" ref="W35">IF(OR(ISBLANK($A35),ISBLANK(J35)), "", TrajectoryInCM(J35,$A35,W$20))</f>
        <v/>
      </c>
      <c r="X35" s="13" t="str" cm="1">
        <f t="array" ref="X35">IF(OR(ISBLANK($A35),ISBLANK(K35)), "", TrajectoryInCM(K35,$A35,X$20))</f>
        <v/>
      </c>
      <c r="Y35" s="13" t="str" cm="1">
        <f t="array" ref="Y35">IF(OR(ISBLANK($A35),ISBLANK(L35)), "", TrajectoryInCM(L35,$A35,Y$20))</f>
        <v/>
      </c>
      <c r="Z35" s="13" t="str" cm="1">
        <f t="array" ref="Z35">IF(OR(ISBLANK($A35),ISBLANK(M35)), "", TrajectoryInCM(M35,$A35,Z$20))</f>
        <v/>
      </c>
      <c r="AA35" s="13" t="str" cm="1">
        <f t="array" ref="AA35">IF(OR(ISBLANK($A35),ISBLANK(N35)), "", TrajectoryInCM(N35,$A35,AA$20))</f>
        <v/>
      </c>
      <c r="AB35" s="13" t="str" cm="1">
        <f t="array" ref="AB35">IF(OR(ISBLANK($A35),ISBLANK(O35)), "", TrajectoryInCM(O35,$A35,AB$20))</f>
        <v/>
      </c>
      <c r="AC35" s="20" t="str" cm="1">
        <f t="array" ref="AC35">IF(ISBLANK($B$13),"",TrajectoryErrorCM($E$21,1,$A35))</f>
        <v/>
      </c>
    </row>
    <row r="36" spans="1:29" x14ac:dyDescent="0.25">
      <c r="A36" s="1">
        <v>400</v>
      </c>
      <c r="B36" s="1"/>
      <c r="C36" s="13"/>
      <c r="D36" s="12"/>
      <c r="E36" s="12"/>
      <c r="F36" s="12"/>
      <c r="G36" s="12"/>
      <c r="H36" s="12"/>
      <c r="I36" s="7"/>
      <c r="J36" s="13"/>
      <c r="K36" s="13"/>
      <c r="L36" s="13"/>
      <c r="M36" s="13"/>
      <c r="N36" s="13"/>
      <c r="O36" s="13"/>
      <c r="P36" s="22" t="str" cm="1">
        <f t="array" ref="P36">IF(OR(ISBLANK($A36),ISBLANK(C36)), "", TrajectoryInCM(C36,$A36,P$20))</f>
        <v/>
      </c>
      <c r="Q36" s="12" t="str" cm="1">
        <f t="array" ref="Q36">IF(OR(ISBLANK($A36),ISBLANK(D36)), "", TrajectoryInCM(D36,$A36,Q$20))</f>
        <v/>
      </c>
      <c r="R36" s="12" t="str" cm="1">
        <f t="array" ref="R36">IF(OR(ISBLANK($A36),ISBLANK(E36)), "", TrajectoryInCM(E36,$A36,R$20))</f>
        <v/>
      </c>
      <c r="S36" s="12" t="str" cm="1">
        <f t="array" ref="S36">IF(OR(ISBLANK($A36),ISBLANK(F36)), "", TrajectoryInCM(F36,$A36,S$20))</f>
        <v/>
      </c>
      <c r="T36" s="12" t="str" cm="1">
        <f t="array" ref="T36">IF(OR(ISBLANK($A36),ISBLANK(G36)), "", TrajectoryInCM(G36,$A36,T$20))</f>
        <v/>
      </c>
      <c r="U36" s="12" t="str" cm="1">
        <f t="array" ref="U36">IF(OR(ISBLANK($A36),ISBLANK(H36)), "", TrajectoryInCM(H36,$A36,U$20))</f>
        <v/>
      </c>
      <c r="V36" s="7" t="str" cm="1">
        <f t="array" ref="V36">IF(OR(ISBLANK($A36),ISBLANK(I36)), "", TrajectoryInCM(I36,$A36,V$20))</f>
        <v/>
      </c>
      <c r="W36" s="13" t="str" cm="1">
        <f t="array" ref="W36">IF(OR(ISBLANK($A36),ISBLANK(J36)), "", TrajectoryInCM(J36,$A36,W$20))</f>
        <v/>
      </c>
      <c r="X36" s="13" t="str" cm="1">
        <f t="array" ref="X36">IF(OR(ISBLANK($A36),ISBLANK(K36)), "", TrajectoryInCM(K36,$A36,X$20))</f>
        <v/>
      </c>
      <c r="Y36" s="13" t="str" cm="1">
        <f t="array" ref="Y36">IF(OR(ISBLANK($A36),ISBLANK(L36)), "", TrajectoryInCM(L36,$A36,Y$20))</f>
        <v/>
      </c>
      <c r="Z36" s="13" t="str" cm="1">
        <f t="array" ref="Z36">IF(OR(ISBLANK($A36),ISBLANK(M36)), "", TrajectoryInCM(M36,$A36,Z$20))</f>
        <v/>
      </c>
      <c r="AA36" s="13" t="str" cm="1">
        <f t="array" ref="AA36">IF(OR(ISBLANK($A36),ISBLANK(N36)), "", TrajectoryInCM(N36,$A36,AA$20))</f>
        <v/>
      </c>
      <c r="AB36" s="13" t="str" cm="1">
        <f t="array" ref="AB36">IF(OR(ISBLANK($A36),ISBLANK(O36)), "", TrajectoryInCM(O36,$A36,AB$20))</f>
        <v/>
      </c>
      <c r="AC36" s="20" t="str" cm="1">
        <f t="array" ref="AC36">IF(ISBLANK($B$13),"",TrajectoryErrorCM($E$21,1,$A36))</f>
        <v/>
      </c>
    </row>
    <row r="37" spans="1:29" x14ac:dyDescent="0.25">
      <c r="A37" s="1">
        <v>450</v>
      </c>
      <c r="B37" s="1"/>
      <c r="C37" s="13"/>
      <c r="D37" s="12"/>
      <c r="E37" s="12"/>
      <c r="F37" s="12"/>
      <c r="G37" s="12"/>
      <c r="H37" s="12"/>
      <c r="I37" s="12"/>
      <c r="J37" s="13"/>
      <c r="K37" s="13"/>
      <c r="L37" s="13"/>
      <c r="M37" s="13"/>
      <c r="N37" s="13"/>
      <c r="O37" s="13"/>
      <c r="P37" s="22" t="str" cm="1">
        <f t="array" ref="P37">IF(OR(ISBLANK($A37),ISBLANK(C37)), "", TrajectoryInCM(C37,$A37,P$20))</f>
        <v/>
      </c>
      <c r="Q37" s="12" t="str" cm="1">
        <f t="array" ref="Q37">IF(OR(ISBLANK($A37),ISBLANK(D37)), "", TrajectoryInCM(D37,$A37,Q$20))</f>
        <v/>
      </c>
      <c r="R37" s="12" t="str" cm="1">
        <f t="array" ref="R37">IF(OR(ISBLANK($A37),ISBLANK(E37)), "", TrajectoryInCM(E37,$A37,R$20))</f>
        <v/>
      </c>
      <c r="S37" s="12" t="str" cm="1">
        <f t="array" ref="S37">IF(OR(ISBLANK($A37),ISBLANK(F37)), "", TrajectoryInCM(F37,$A37,S$20))</f>
        <v/>
      </c>
      <c r="T37" s="12" t="str" cm="1">
        <f t="array" ref="T37">IF(OR(ISBLANK($A37),ISBLANK(G37)), "", TrajectoryInCM(G37,$A37,T$20))</f>
        <v/>
      </c>
      <c r="U37" s="12" t="str" cm="1">
        <f t="array" ref="U37">IF(OR(ISBLANK($A37),ISBLANK(H37)), "", TrajectoryInCM(H37,$A37,U$20))</f>
        <v/>
      </c>
      <c r="V37" s="12" t="str" cm="1">
        <f t="array" ref="V37">IF(OR(ISBLANK($A37),ISBLANK(I37)), "", TrajectoryInCM(I37,$A37,V$20))</f>
        <v/>
      </c>
      <c r="W37" s="13" t="str" cm="1">
        <f t="array" ref="W37">IF(OR(ISBLANK($A37),ISBLANK(J37)), "", TrajectoryInCM(J37,$A37,W$20))</f>
        <v/>
      </c>
      <c r="X37" s="13" t="str" cm="1">
        <f t="array" ref="X37">IF(OR(ISBLANK($A37),ISBLANK(K37)), "", TrajectoryInCM(K37,$A37,X$20))</f>
        <v/>
      </c>
      <c r="Y37" s="13" t="str" cm="1">
        <f t="array" ref="Y37">IF(OR(ISBLANK($A37),ISBLANK(L37)), "", TrajectoryInCM(L37,$A37,Y$20))</f>
        <v/>
      </c>
      <c r="Z37" s="13" t="str" cm="1">
        <f t="array" ref="Z37">IF(OR(ISBLANK($A37),ISBLANK(M37)), "", TrajectoryInCM(M37,$A37,Z$20))</f>
        <v/>
      </c>
      <c r="AA37" s="13" t="str" cm="1">
        <f t="array" ref="AA37">IF(OR(ISBLANK($A37),ISBLANK(N37)), "", TrajectoryInCM(N37,$A37,AA$20))</f>
        <v/>
      </c>
      <c r="AB37" s="13" t="str" cm="1">
        <f t="array" ref="AB37">IF(OR(ISBLANK($A37),ISBLANK(O37)), "", TrajectoryInCM(O37,$A37,AB$20))</f>
        <v/>
      </c>
      <c r="AC37" s="20" t="str" cm="1">
        <f t="array" ref="AC37">IF(ISBLANK($B$13),"",TrajectoryErrorCM($E$21,1,$A37))</f>
        <v/>
      </c>
    </row>
    <row r="38" spans="1:29" x14ac:dyDescent="0.25">
      <c r="A38" s="1">
        <v>500</v>
      </c>
      <c r="B38" s="1"/>
      <c r="C38" s="13"/>
      <c r="D38" s="12"/>
      <c r="E38" s="12"/>
      <c r="F38" s="12"/>
      <c r="G38" s="12"/>
      <c r="H38" s="12"/>
      <c r="I38" s="12"/>
      <c r="J38" s="11"/>
      <c r="K38" s="13"/>
      <c r="L38" s="13"/>
      <c r="M38" s="13"/>
      <c r="N38" s="13"/>
      <c r="O38" s="13"/>
      <c r="P38" s="22" t="str" cm="1">
        <f t="array" ref="P38">IF(OR(ISBLANK($A38),ISBLANK(C38)), "", TrajectoryInCM(C38,$A38,P$20))</f>
        <v/>
      </c>
      <c r="Q38" s="12" t="str" cm="1">
        <f t="array" ref="Q38">IF(OR(ISBLANK($A38),ISBLANK(D38)), "", TrajectoryInCM(D38,$A38,Q$20))</f>
        <v/>
      </c>
      <c r="R38" s="12" t="str" cm="1">
        <f t="array" ref="R38">IF(OR(ISBLANK($A38),ISBLANK(E38)), "", TrajectoryInCM(E38,$A38,R$20))</f>
        <v/>
      </c>
      <c r="S38" s="12" t="str" cm="1">
        <f t="array" ref="S38">IF(OR(ISBLANK($A38),ISBLANK(F38)), "", TrajectoryInCM(F38,$A38,S$20))</f>
        <v/>
      </c>
      <c r="T38" s="12" t="str" cm="1">
        <f t="array" ref="T38">IF(OR(ISBLANK($A38),ISBLANK(G38)), "", TrajectoryInCM(G38,$A38,T$20))</f>
        <v/>
      </c>
      <c r="U38" s="12" t="str" cm="1">
        <f t="array" ref="U38">IF(OR(ISBLANK($A38),ISBLANK(H38)), "", TrajectoryInCM(H38,$A38,U$20))</f>
        <v/>
      </c>
      <c r="V38" s="12" t="str" cm="1">
        <f t="array" ref="V38">IF(OR(ISBLANK($A38),ISBLANK(I38)), "", TrajectoryInCM(I38,$A38,V$20))</f>
        <v/>
      </c>
      <c r="W38" s="11" t="str" cm="1">
        <f t="array" ref="W38">IF(OR(ISBLANK($A38),ISBLANK(J38)), "", TrajectoryInCM(J38,$A38,W$20))</f>
        <v/>
      </c>
      <c r="X38" s="13" t="str" cm="1">
        <f t="array" ref="X38">IF(OR(ISBLANK($A38),ISBLANK(K38)), "", TrajectoryInCM(K38,$A38,X$20))</f>
        <v/>
      </c>
      <c r="Y38" s="13" t="str" cm="1">
        <f t="array" ref="Y38">IF(OR(ISBLANK($A38),ISBLANK(L38)), "", TrajectoryInCM(L38,$A38,Y$20))</f>
        <v/>
      </c>
      <c r="Z38" s="13" t="str" cm="1">
        <f t="array" ref="Z38">IF(OR(ISBLANK($A38),ISBLANK(M38)), "", TrajectoryInCM(M38,$A38,Z$20))</f>
        <v/>
      </c>
      <c r="AA38" s="13" t="str" cm="1">
        <f t="array" ref="AA38">IF(OR(ISBLANK($A38),ISBLANK(N38)), "", TrajectoryInCM(N38,$A38,AA$20))</f>
        <v/>
      </c>
      <c r="AB38" s="13" t="str" cm="1">
        <f t="array" ref="AB38">IF(OR(ISBLANK($A38),ISBLANK(O38)), "", TrajectoryInCM(O38,$A38,AB$20))</f>
        <v/>
      </c>
      <c r="AC38" s="20" t="str" cm="1">
        <f t="array" ref="AC38">IF(ISBLANK($B$13),"",TrajectoryErrorCM($E$21,1,$A38))</f>
        <v/>
      </c>
    </row>
    <row r="39" spans="1:29" x14ac:dyDescent="0.25">
      <c r="A39" s="1">
        <v>550</v>
      </c>
      <c r="B39" s="1"/>
      <c r="C39" s="13"/>
      <c r="D39" s="12"/>
      <c r="E39" s="12"/>
      <c r="F39" s="12"/>
      <c r="G39" s="12"/>
      <c r="H39" s="12"/>
      <c r="I39" s="12"/>
      <c r="J39" s="13"/>
      <c r="K39" s="13"/>
      <c r="L39" s="13"/>
      <c r="M39" s="13"/>
      <c r="N39" s="13"/>
      <c r="O39" s="13"/>
      <c r="P39" s="22" t="str" cm="1">
        <f t="array" ref="P39">IF(OR(ISBLANK($A39),ISBLANK(C39)), "", TrajectoryInCM(C39,$A39,P$20))</f>
        <v/>
      </c>
      <c r="Q39" s="12" t="str" cm="1">
        <f t="array" ref="Q39">IF(OR(ISBLANK($A39),ISBLANK(D39)), "", TrajectoryInCM(D39,$A39,Q$20))</f>
        <v/>
      </c>
      <c r="R39" s="12" t="str" cm="1">
        <f t="array" ref="R39">IF(OR(ISBLANK($A39),ISBLANK(E39)), "", TrajectoryInCM(E39,$A39,R$20))</f>
        <v/>
      </c>
      <c r="S39" s="12" t="str" cm="1">
        <f t="array" ref="S39">IF(OR(ISBLANK($A39),ISBLANK(F39)), "", TrajectoryInCM(F39,$A39,S$20))</f>
        <v/>
      </c>
      <c r="T39" s="12" t="str" cm="1">
        <f t="array" ref="T39">IF(OR(ISBLANK($A39),ISBLANK(G39)), "", TrajectoryInCM(G39,$A39,T$20))</f>
        <v/>
      </c>
      <c r="U39" s="12" t="str" cm="1">
        <f t="array" ref="U39">IF(OR(ISBLANK($A39),ISBLANK(H39)), "", TrajectoryInCM(H39,$A39,U$20))</f>
        <v/>
      </c>
      <c r="V39" s="12" t="str" cm="1">
        <f t="array" ref="V39">IF(OR(ISBLANK($A39),ISBLANK(I39)), "", TrajectoryInCM(I39,$A39,V$20))</f>
        <v/>
      </c>
      <c r="W39" s="13" t="str" cm="1">
        <f t="array" ref="W39">IF(OR(ISBLANK($A39),ISBLANK(J39)), "", TrajectoryInCM(J39,$A39,W$20))</f>
        <v/>
      </c>
      <c r="X39" s="13" t="str" cm="1">
        <f t="array" ref="X39">IF(OR(ISBLANK($A39),ISBLANK(K39)), "", TrajectoryInCM(K39,$A39,X$20))</f>
        <v/>
      </c>
      <c r="Y39" s="13" t="str" cm="1">
        <f t="array" ref="Y39">IF(OR(ISBLANK($A39),ISBLANK(L39)), "", TrajectoryInCM(L39,$A39,Y$20))</f>
        <v/>
      </c>
      <c r="Z39" s="13" t="str" cm="1">
        <f t="array" ref="Z39">IF(OR(ISBLANK($A39),ISBLANK(M39)), "", TrajectoryInCM(M39,$A39,Z$20))</f>
        <v/>
      </c>
      <c r="AA39" s="13" t="str" cm="1">
        <f t="array" ref="AA39">IF(OR(ISBLANK($A39),ISBLANK(N39)), "", TrajectoryInCM(N39,$A39,AA$20))</f>
        <v/>
      </c>
      <c r="AB39" s="13" t="str" cm="1">
        <f t="array" ref="AB39">IF(OR(ISBLANK($A39),ISBLANK(O39)), "", TrajectoryInCM(O39,$A39,AB$20))</f>
        <v/>
      </c>
      <c r="AC39" s="20" t="str" cm="1">
        <f t="array" ref="AC39">IF(ISBLANK($B$13),"",TrajectoryErrorCM($E$21,1,$A39))</f>
        <v/>
      </c>
    </row>
    <row r="40" spans="1:29" x14ac:dyDescent="0.25">
      <c r="A40" s="1">
        <v>600</v>
      </c>
      <c r="B40" s="1"/>
      <c r="C40" s="13"/>
      <c r="D40" s="12"/>
      <c r="E40" s="12"/>
      <c r="F40" s="12"/>
      <c r="G40" s="12"/>
      <c r="H40" s="12"/>
      <c r="I40" s="12"/>
      <c r="J40" s="13"/>
      <c r="K40" s="11"/>
      <c r="L40" s="13"/>
      <c r="M40" s="13"/>
      <c r="N40" s="13"/>
      <c r="O40" s="13"/>
      <c r="P40" s="22" t="str" cm="1">
        <f t="array" ref="P40">IF(OR(ISBLANK($A40),ISBLANK(C40)), "", TrajectoryInCM(C40,$A40,P$20))</f>
        <v/>
      </c>
      <c r="Q40" s="12" t="str" cm="1">
        <f t="array" ref="Q40">IF(OR(ISBLANK($A40),ISBLANK(D40)), "", TrajectoryInCM(D40,$A40,Q$20))</f>
        <v/>
      </c>
      <c r="R40" s="12" t="str" cm="1">
        <f t="array" ref="R40">IF(OR(ISBLANK($A40),ISBLANK(E40)), "", TrajectoryInCM(E40,$A40,R$20))</f>
        <v/>
      </c>
      <c r="S40" s="12" t="str" cm="1">
        <f t="array" ref="S40">IF(OR(ISBLANK($A40),ISBLANK(F40)), "", TrajectoryInCM(F40,$A40,S$20))</f>
        <v/>
      </c>
      <c r="T40" s="12" t="str" cm="1">
        <f t="array" ref="T40">IF(OR(ISBLANK($A40),ISBLANK(G40)), "", TrajectoryInCM(G40,$A40,T$20))</f>
        <v/>
      </c>
      <c r="U40" s="12" t="str" cm="1">
        <f t="array" ref="U40">IF(OR(ISBLANK($A40),ISBLANK(H40)), "", TrajectoryInCM(H40,$A40,U$20))</f>
        <v/>
      </c>
      <c r="V40" s="12" t="str" cm="1">
        <f t="array" ref="V40">IF(OR(ISBLANK($A40),ISBLANK(I40)), "", TrajectoryInCM(I40,$A40,V$20))</f>
        <v/>
      </c>
      <c r="W40" s="13" t="str" cm="1">
        <f t="array" ref="W40">IF(OR(ISBLANK($A40),ISBLANK(J40)), "", TrajectoryInCM(J40,$A40,W$20))</f>
        <v/>
      </c>
      <c r="X40" s="11" t="str" cm="1">
        <f t="array" ref="X40">IF(OR(ISBLANK($A40),ISBLANK(K40)), "", TrajectoryInCM(K40,$A40,X$20))</f>
        <v/>
      </c>
      <c r="Y40" s="13" t="str" cm="1">
        <f t="array" ref="Y40">IF(OR(ISBLANK($A40),ISBLANK(L40)), "", TrajectoryInCM(L40,$A40,Y$20))</f>
        <v/>
      </c>
      <c r="Z40" s="13" t="str" cm="1">
        <f t="array" ref="Z40">IF(OR(ISBLANK($A40),ISBLANK(M40)), "", TrajectoryInCM(M40,$A40,Z$20))</f>
        <v/>
      </c>
      <c r="AA40" s="13" t="str" cm="1">
        <f t="array" ref="AA40">IF(OR(ISBLANK($A40),ISBLANK(N40)), "", TrajectoryInCM(N40,$A40,AA$20))</f>
        <v/>
      </c>
      <c r="AB40" s="13" t="str" cm="1">
        <f t="array" ref="AB40">IF(OR(ISBLANK($A40),ISBLANK(O40)), "", TrajectoryInCM(O40,$A40,AB$20))</f>
        <v/>
      </c>
      <c r="AC40" s="20" t="str" cm="1">
        <f t="array" ref="AC40">IF(ISBLANK($B$13),"",TrajectoryErrorCM($E$21,1,$A40))</f>
        <v/>
      </c>
    </row>
    <row r="41" spans="1:29" x14ac:dyDescent="0.25">
      <c r="A41" s="1">
        <v>650</v>
      </c>
      <c r="B41" s="1"/>
      <c r="C41" s="13"/>
      <c r="D41" s="12"/>
      <c r="E41" s="12"/>
      <c r="F41" s="12"/>
      <c r="G41" s="12"/>
      <c r="H41" s="12"/>
      <c r="I41" s="12"/>
      <c r="J41" s="13"/>
      <c r="K41" s="13"/>
      <c r="L41" s="13"/>
      <c r="M41" s="13"/>
      <c r="N41" s="13"/>
      <c r="O41" s="13"/>
      <c r="P41" s="22" t="str" cm="1">
        <f t="array" ref="P41">IF(OR(ISBLANK($A41),ISBLANK(C41)), "", TrajectoryInCM(C41,$A41,P$20))</f>
        <v/>
      </c>
      <c r="Q41" s="12" t="str" cm="1">
        <f t="array" ref="Q41">IF(OR(ISBLANK($A41),ISBLANK(D41)), "", TrajectoryInCM(D41,$A41,Q$20))</f>
        <v/>
      </c>
      <c r="R41" s="12" t="str" cm="1">
        <f t="array" ref="R41">IF(OR(ISBLANK($A41),ISBLANK(E41)), "", TrajectoryInCM(E41,$A41,R$20))</f>
        <v/>
      </c>
      <c r="S41" s="12" t="str" cm="1">
        <f t="array" ref="S41">IF(OR(ISBLANK($A41),ISBLANK(F41)), "", TrajectoryInCM(F41,$A41,S$20))</f>
        <v/>
      </c>
      <c r="T41" s="12" t="str" cm="1">
        <f t="array" ref="T41">IF(OR(ISBLANK($A41),ISBLANK(G41)), "", TrajectoryInCM(G41,$A41,T$20))</f>
        <v/>
      </c>
      <c r="U41" s="12" t="str" cm="1">
        <f t="array" ref="U41">IF(OR(ISBLANK($A41),ISBLANK(H41)), "", TrajectoryInCM(H41,$A41,U$20))</f>
        <v/>
      </c>
      <c r="V41" s="12" t="str" cm="1">
        <f t="array" ref="V41">IF(OR(ISBLANK($A41),ISBLANK(I41)), "", TrajectoryInCM(I41,$A41,V$20))</f>
        <v/>
      </c>
      <c r="W41" s="13" t="str" cm="1">
        <f t="array" ref="W41">IF(OR(ISBLANK($A41),ISBLANK(J41)), "", TrajectoryInCM(J41,$A41,W$20))</f>
        <v/>
      </c>
      <c r="X41" s="13" t="str" cm="1">
        <f t="array" ref="X41">IF(OR(ISBLANK($A41),ISBLANK(K41)), "", TrajectoryInCM(K41,$A41,X$20))</f>
        <v/>
      </c>
      <c r="Y41" s="13" t="str" cm="1">
        <f t="array" ref="Y41">IF(OR(ISBLANK($A41),ISBLANK(L41)), "", TrajectoryInCM(L41,$A41,Y$20))</f>
        <v/>
      </c>
      <c r="Z41" s="13" t="str" cm="1">
        <f t="array" ref="Z41">IF(OR(ISBLANK($A41),ISBLANK(M41)), "", TrajectoryInCM(M41,$A41,Z$20))</f>
        <v/>
      </c>
      <c r="AA41" s="13" t="str" cm="1">
        <f t="array" ref="AA41">IF(OR(ISBLANK($A41),ISBLANK(N41)), "", TrajectoryInCM(N41,$A41,AA$20))</f>
        <v/>
      </c>
      <c r="AB41" s="13" t="str" cm="1">
        <f t="array" ref="AB41">IF(OR(ISBLANK($A41),ISBLANK(O41)), "", TrajectoryInCM(O41,$A41,AB$20))</f>
        <v/>
      </c>
      <c r="AC41" s="20" t="str" cm="1">
        <f t="array" ref="AC41">IF(ISBLANK($B$13),"",TrajectoryErrorCM($E$21,1,$A41))</f>
        <v/>
      </c>
    </row>
    <row r="42" spans="1:29" x14ac:dyDescent="0.25">
      <c r="A42" s="1">
        <v>700</v>
      </c>
      <c r="B42" s="1"/>
      <c r="C42" s="13"/>
      <c r="D42" s="12"/>
      <c r="E42" s="12"/>
      <c r="F42" s="12"/>
      <c r="G42" s="12"/>
      <c r="H42" s="12"/>
      <c r="I42" s="12"/>
      <c r="J42" s="13"/>
      <c r="K42" s="13"/>
      <c r="L42" s="11"/>
      <c r="M42" s="13"/>
      <c r="N42" s="13"/>
      <c r="O42" s="13"/>
      <c r="P42" s="22" t="str" cm="1">
        <f t="array" ref="P42">IF(OR(ISBLANK($A42),ISBLANK(C42)), "", TrajectoryInCM(C42,$A42,P$20))</f>
        <v/>
      </c>
      <c r="Q42" s="12" t="str" cm="1">
        <f t="array" ref="Q42">IF(OR(ISBLANK($A42),ISBLANK(D42)), "", TrajectoryInCM(D42,$A42,Q$20))</f>
        <v/>
      </c>
      <c r="R42" s="12" t="str" cm="1">
        <f t="array" ref="R42">IF(OR(ISBLANK($A42),ISBLANK(E42)), "", TrajectoryInCM(E42,$A42,R$20))</f>
        <v/>
      </c>
      <c r="S42" s="12" t="str" cm="1">
        <f t="array" ref="S42">IF(OR(ISBLANK($A42),ISBLANK(F42)), "", TrajectoryInCM(F42,$A42,S$20))</f>
        <v/>
      </c>
      <c r="T42" s="12" t="str" cm="1">
        <f t="array" ref="T42">IF(OR(ISBLANK($A42),ISBLANK(G42)), "", TrajectoryInCM(G42,$A42,T$20))</f>
        <v/>
      </c>
      <c r="U42" s="12" t="str" cm="1">
        <f t="array" ref="U42">IF(OR(ISBLANK($A42),ISBLANK(H42)), "", TrajectoryInCM(H42,$A42,U$20))</f>
        <v/>
      </c>
      <c r="V42" s="12" t="str" cm="1">
        <f t="array" ref="V42">IF(OR(ISBLANK($A42),ISBLANK(I42)), "", TrajectoryInCM(I42,$A42,V$20))</f>
        <v/>
      </c>
      <c r="W42" s="13" t="str" cm="1">
        <f t="array" ref="W42">IF(OR(ISBLANK($A42),ISBLANK(J42)), "", TrajectoryInCM(J42,$A42,W$20))</f>
        <v/>
      </c>
      <c r="X42" s="13" t="str" cm="1">
        <f t="array" ref="X42">IF(OR(ISBLANK($A42),ISBLANK(K42)), "", TrajectoryInCM(K42,$A42,X$20))</f>
        <v/>
      </c>
      <c r="Y42" s="11" t="str" cm="1">
        <f t="array" ref="Y42">IF(OR(ISBLANK($A42),ISBLANK(L42)), "", TrajectoryInCM(L42,$A42,Y$20))</f>
        <v/>
      </c>
      <c r="Z42" s="13" t="str" cm="1">
        <f t="array" ref="Z42">IF(OR(ISBLANK($A42),ISBLANK(M42)), "", TrajectoryInCM(M42,$A42,Z$20))</f>
        <v/>
      </c>
      <c r="AA42" s="13" t="str" cm="1">
        <f t="array" ref="AA42">IF(OR(ISBLANK($A42),ISBLANK(N42)), "", TrajectoryInCM(N42,$A42,AA$20))</f>
        <v/>
      </c>
      <c r="AB42" s="13" t="str" cm="1">
        <f t="array" ref="AB42">IF(OR(ISBLANK($A42),ISBLANK(O42)), "", TrajectoryInCM(O42,$A42,AB$20))</f>
        <v/>
      </c>
      <c r="AC42" s="20" t="str" cm="1">
        <f t="array" ref="AC42">IF(ISBLANK($B$13),"",TrajectoryErrorCM($E$21,1,$A42))</f>
        <v/>
      </c>
    </row>
    <row r="43" spans="1:29" x14ac:dyDescent="0.25">
      <c r="A43" s="1">
        <v>750</v>
      </c>
      <c r="B43" s="1"/>
      <c r="C43" s="13"/>
      <c r="D43" s="12"/>
      <c r="E43" s="12"/>
      <c r="F43" s="12"/>
      <c r="G43" s="12"/>
      <c r="H43" s="12"/>
      <c r="I43" s="12"/>
      <c r="J43" s="13"/>
      <c r="K43" s="13"/>
      <c r="L43" s="13"/>
      <c r="M43" s="13"/>
      <c r="N43" s="13"/>
      <c r="O43" s="13"/>
      <c r="P43" s="22" t="str" cm="1">
        <f t="array" ref="P43">IF(OR(ISBLANK($A43),ISBLANK(C43)), "", TrajectoryInCM(C43,$A43,P$20))</f>
        <v/>
      </c>
      <c r="Q43" s="12" t="str" cm="1">
        <f t="array" ref="Q43">IF(OR(ISBLANK($A43),ISBLANK(D43)), "", TrajectoryInCM(D43,$A43,Q$20))</f>
        <v/>
      </c>
      <c r="R43" s="12" t="str" cm="1">
        <f t="array" ref="R43">IF(OR(ISBLANK($A43),ISBLANK(E43)), "", TrajectoryInCM(E43,$A43,R$20))</f>
        <v/>
      </c>
      <c r="S43" s="12" t="str" cm="1">
        <f t="array" ref="S43">IF(OR(ISBLANK($A43),ISBLANK(F43)), "", TrajectoryInCM(F43,$A43,S$20))</f>
        <v/>
      </c>
      <c r="T43" s="12" t="str" cm="1">
        <f t="array" ref="T43">IF(OR(ISBLANK($A43),ISBLANK(G43)), "", TrajectoryInCM(G43,$A43,T$20))</f>
        <v/>
      </c>
      <c r="U43" s="12" t="str" cm="1">
        <f t="array" ref="U43">IF(OR(ISBLANK($A43),ISBLANK(H43)), "", TrajectoryInCM(H43,$A43,U$20))</f>
        <v/>
      </c>
      <c r="V43" s="12" t="str" cm="1">
        <f t="array" ref="V43">IF(OR(ISBLANK($A43),ISBLANK(I43)), "", TrajectoryInCM(I43,$A43,V$20))</f>
        <v/>
      </c>
      <c r="W43" s="13" t="str" cm="1">
        <f t="array" ref="W43">IF(OR(ISBLANK($A43),ISBLANK(J43)), "", TrajectoryInCM(J43,$A43,W$20))</f>
        <v/>
      </c>
      <c r="X43" s="13" t="str" cm="1">
        <f t="array" ref="X43">IF(OR(ISBLANK($A43),ISBLANK(K43)), "", TrajectoryInCM(K43,$A43,X$20))</f>
        <v/>
      </c>
      <c r="Y43" s="13" t="str" cm="1">
        <f t="array" ref="Y43">IF(OR(ISBLANK($A43),ISBLANK(L43)), "", TrajectoryInCM(L43,$A43,Y$20))</f>
        <v/>
      </c>
      <c r="Z43" s="13" t="str" cm="1">
        <f t="array" ref="Z43">IF(OR(ISBLANK($A43),ISBLANK(M43)), "", TrajectoryInCM(M43,$A43,Z$20))</f>
        <v/>
      </c>
      <c r="AA43" s="13" t="str" cm="1">
        <f t="array" ref="AA43">IF(OR(ISBLANK($A43),ISBLANK(N43)), "", TrajectoryInCM(N43,$A43,AA$20))</f>
        <v/>
      </c>
      <c r="AB43" s="13" t="str" cm="1">
        <f t="array" ref="AB43">IF(OR(ISBLANK($A43),ISBLANK(O43)), "", TrajectoryInCM(O43,$A43,AB$20))</f>
        <v/>
      </c>
      <c r="AC43" s="20" t="str" cm="1">
        <f t="array" ref="AC43">IF(ISBLANK($B$13),"",TrajectoryErrorCM($E$21,1,$A43))</f>
        <v/>
      </c>
    </row>
    <row r="44" spans="1:29" x14ac:dyDescent="0.25">
      <c r="A44" s="1">
        <v>800</v>
      </c>
      <c r="B44" s="1"/>
      <c r="C44" s="13"/>
      <c r="D44" s="12"/>
      <c r="E44" s="12"/>
      <c r="F44" s="12"/>
      <c r="G44" s="12"/>
      <c r="H44" s="12"/>
      <c r="I44" s="12"/>
      <c r="J44" s="13"/>
      <c r="K44" s="13"/>
      <c r="L44" s="13"/>
      <c r="M44" s="11"/>
      <c r="N44" s="13"/>
      <c r="O44" s="13"/>
      <c r="P44" s="22" t="str" cm="1">
        <f t="array" ref="P44">IF(OR(ISBLANK($A44),ISBLANK(C44)), "", TrajectoryInCM(C44,$A44,P$20))</f>
        <v/>
      </c>
      <c r="Q44" s="12" t="str" cm="1">
        <f t="array" ref="Q44">IF(OR(ISBLANK($A44),ISBLANK(D44)), "", TrajectoryInCM(D44,$A44,Q$20))</f>
        <v/>
      </c>
      <c r="R44" s="12" t="str" cm="1">
        <f t="array" ref="R44">IF(OR(ISBLANK($A44),ISBLANK(E44)), "", TrajectoryInCM(E44,$A44,R$20))</f>
        <v/>
      </c>
      <c r="S44" s="12" t="str" cm="1">
        <f t="array" ref="S44">IF(OR(ISBLANK($A44),ISBLANK(F44)), "", TrajectoryInCM(F44,$A44,S$20))</f>
        <v/>
      </c>
      <c r="T44" s="12" t="str" cm="1">
        <f t="array" ref="T44">IF(OR(ISBLANK($A44),ISBLANK(G44)), "", TrajectoryInCM(G44,$A44,T$20))</f>
        <v/>
      </c>
      <c r="U44" s="12" t="str" cm="1">
        <f t="array" ref="U44">IF(OR(ISBLANK($A44),ISBLANK(H44)), "", TrajectoryInCM(H44,$A44,U$20))</f>
        <v/>
      </c>
      <c r="V44" s="12" t="str" cm="1">
        <f t="array" ref="V44">IF(OR(ISBLANK($A44),ISBLANK(I44)), "", TrajectoryInCM(I44,$A44,V$20))</f>
        <v/>
      </c>
      <c r="W44" s="13" t="str" cm="1">
        <f t="array" ref="W44">IF(OR(ISBLANK($A44),ISBLANK(J44)), "", TrajectoryInCM(J44,$A44,W$20))</f>
        <v/>
      </c>
      <c r="X44" s="13" t="str" cm="1">
        <f t="array" ref="X44">IF(OR(ISBLANK($A44),ISBLANK(K44)), "", TrajectoryInCM(K44,$A44,X$20))</f>
        <v/>
      </c>
      <c r="Y44" s="13" t="str" cm="1">
        <f t="array" ref="Y44">IF(OR(ISBLANK($A44),ISBLANK(L44)), "", TrajectoryInCM(L44,$A44,Y$20))</f>
        <v/>
      </c>
      <c r="Z44" s="11" t="str" cm="1">
        <f t="array" ref="Z44">IF(OR(ISBLANK($A44),ISBLANK(M44)), "", TrajectoryInCM(M44,$A44,Z$20))</f>
        <v/>
      </c>
      <c r="AA44" s="13" t="str" cm="1">
        <f t="array" ref="AA44">IF(OR(ISBLANK($A44),ISBLANK(N44)), "", TrajectoryInCM(N44,$A44,AA$20))</f>
        <v/>
      </c>
      <c r="AB44" s="13" t="str" cm="1">
        <f t="array" ref="AB44">IF(OR(ISBLANK($A44),ISBLANK(O44)), "", TrajectoryInCM(O44,$A44,AB$20))</f>
        <v/>
      </c>
      <c r="AC44" s="20" t="str" cm="1">
        <f t="array" ref="AC44">IF(ISBLANK($B$13),"",TrajectoryErrorCM($E$21,1,$A44))</f>
        <v/>
      </c>
    </row>
    <row r="45" spans="1:29" x14ac:dyDescent="0.25">
      <c r="A45" s="1">
        <v>850</v>
      </c>
      <c r="B45" s="1"/>
      <c r="C45" s="13"/>
      <c r="D45" s="12"/>
      <c r="E45" s="12"/>
      <c r="F45" s="12"/>
      <c r="G45" s="12"/>
      <c r="H45" s="12"/>
      <c r="I45" s="12"/>
      <c r="J45" s="13"/>
      <c r="K45" s="13"/>
      <c r="L45" s="13"/>
      <c r="M45" s="13"/>
      <c r="N45" s="13"/>
      <c r="O45" s="13"/>
      <c r="P45" s="22" t="str" cm="1">
        <f t="array" ref="P45">IF(OR(ISBLANK($A45),ISBLANK(C45)), "", TrajectoryInCM(C45,$A45,P$20))</f>
        <v/>
      </c>
      <c r="Q45" s="12" t="str" cm="1">
        <f t="array" ref="Q45">IF(OR(ISBLANK($A45),ISBLANK(D45)), "", TrajectoryInCM(D45,$A45,Q$20))</f>
        <v/>
      </c>
      <c r="R45" s="12" t="str" cm="1">
        <f t="array" ref="R45">IF(OR(ISBLANK($A45),ISBLANK(E45)), "", TrajectoryInCM(E45,$A45,R$20))</f>
        <v/>
      </c>
      <c r="S45" s="12" t="str" cm="1">
        <f t="array" ref="S45">IF(OR(ISBLANK($A45),ISBLANK(F45)), "", TrajectoryInCM(F45,$A45,S$20))</f>
        <v/>
      </c>
      <c r="T45" s="12" t="str" cm="1">
        <f t="array" ref="T45">IF(OR(ISBLANK($A45),ISBLANK(G45)), "", TrajectoryInCM(G45,$A45,T$20))</f>
        <v/>
      </c>
      <c r="U45" s="12" t="str" cm="1">
        <f t="array" ref="U45">IF(OR(ISBLANK($A45),ISBLANK(H45)), "", TrajectoryInCM(H45,$A45,U$20))</f>
        <v/>
      </c>
      <c r="V45" s="12" t="str" cm="1">
        <f t="array" ref="V45">IF(OR(ISBLANK($A45),ISBLANK(I45)), "", TrajectoryInCM(I45,$A45,V$20))</f>
        <v/>
      </c>
      <c r="W45" s="13" t="str" cm="1">
        <f t="array" ref="W45">IF(OR(ISBLANK($A45),ISBLANK(J45)), "", TrajectoryInCM(J45,$A45,W$20))</f>
        <v/>
      </c>
      <c r="X45" s="13" t="str" cm="1">
        <f t="array" ref="X45">IF(OR(ISBLANK($A45),ISBLANK(K45)), "", TrajectoryInCM(K45,$A45,X$20))</f>
        <v/>
      </c>
      <c r="Y45" s="13" t="str" cm="1">
        <f t="array" ref="Y45">IF(OR(ISBLANK($A45),ISBLANK(L45)), "", TrajectoryInCM(L45,$A45,Y$20))</f>
        <v/>
      </c>
      <c r="Z45" s="13" t="str" cm="1">
        <f t="array" ref="Z45">IF(OR(ISBLANK($A45),ISBLANK(M45)), "", TrajectoryInCM(M45,$A45,Z$20))</f>
        <v/>
      </c>
      <c r="AA45" s="13" t="str" cm="1">
        <f t="array" ref="AA45">IF(OR(ISBLANK($A45),ISBLANK(N45)), "", TrajectoryInCM(N45,$A45,AA$20))</f>
        <v/>
      </c>
      <c r="AB45" s="13" t="str" cm="1">
        <f t="array" ref="AB45">IF(OR(ISBLANK($A45),ISBLANK(O45)), "", TrajectoryInCM(O45,$A45,AB$20))</f>
        <v/>
      </c>
      <c r="AC45" s="20" t="str" cm="1">
        <f t="array" ref="AC45">IF(ISBLANK($B$13),"",TrajectoryErrorCM($E$21,1,$A45))</f>
        <v/>
      </c>
    </row>
    <row r="46" spans="1:29" x14ac:dyDescent="0.25">
      <c r="A46" s="1">
        <v>900</v>
      </c>
      <c r="B46" s="1"/>
      <c r="C46" s="13"/>
      <c r="D46" s="12"/>
      <c r="E46" s="12"/>
      <c r="F46" s="12"/>
      <c r="G46" s="12"/>
      <c r="H46" s="12"/>
      <c r="I46" s="12"/>
      <c r="J46" s="13"/>
      <c r="K46" s="13"/>
      <c r="L46" s="13"/>
      <c r="M46" s="13"/>
      <c r="N46" s="11"/>
      <c r="O46" s="13"/>
      <c r="P46" s="22" t="str" cm="1">
        <f t="array" ref="P46">IF(OR(ISBLANK($A46),ISBLANK(C46)), "", TrajectoryInCM(C46,$A46,P$20))</f>
        <v/>
      </c>
      <c r="Q46" s="12" t="str" cm="1">
        <f t="array" ref="Q46">IF(OR(ISBLANK($A46),ISBLANK(D46)), "", TrajectoryInCM(D46,$A46,Q$20))</f>
        <v/>
      </c>
      <c r="R46" s="12" t="str" cm="1">
        <f t="array" ref="R46">IF(OR(ISBLANK($A46),ISBLANK(E46)), "", TrajectoryInCM(E46,$A46,R$20))</f>
        <v/>
      </c>
      <c r="S46" s="12" t="str" cm="1">
        <f t="array" ref="S46">IF(OR(ISBLANK($A46),ISBLANK(F46)), "", TrajectoryInCM(F46,$A46,S$20))</f>
        <v/>
      </c>
      <c r="T46" s="12" t="str" cm="1">
        <f t="array" ref="T46">IF(OR(ISBLANK($A46),ISBLANK(G46)), "", TrajectoryInCM(G46,$A46,T$20))</f>
        <v/>
      </c>
      <c r="U46" s="12" t="str" cm="1">
        <f t="array" ref="U46">IF(OR(ISBLANK($A46),ISBLANK(H46)), "", TrajectoryInCM(H46,$A46,U$20))</f>
        <v/>
      </c>
      <c r="V46" s="12" t="str" cm="1">
        <f t="array" ref="V46">IF(OR(ISBLANK($A46),ISBLANK(I46)), "", TrajectoryInCM(I46,$A46,V$20))</f>
        <v/>
      </c>
      <c r="W46" s="13" t="str" cm="1">
        <f t="array" ref="W46">IF(OR(ISBLANK($A46),ISBLANK(J46)), "", TrajectoryInCM(J46,$A46,W$20))</f>
        <v/>
      </c>
      <c r="X46" s="13" t="str" cm="1">
        <f t="array" ref="X46">IF(OR(ISBLANK($A46),ISBLANK(K46)), "", TrajectoryInCM(K46,$A46,X$20))</f>
        <v/>
      </c>
      <c r="Y46" s="13" t="str" cm="1">
        <f t="array" ref="Y46">IF(OR(ISBLANK($A46),ISBLANK(L46)), "", TrajectoryInCM(L46,$A46,Y$20))</f>
        <v/>
      </c>
      <c r="Z46" s="13" t="str" cm="1">
        <f t="array" ref="Z46">IF(OR(ISBLANK($A46),ISBLANK(M46)), "", TrajectoryInCM(M46,$A46,Z$20))</f>
        <v/>
      </c>
      <c r="AA46" s="11" t="str" cm="1">
        <f t="array" ref="AA46">IF(OR(ISBLANK($A46),ISBLANK(N46)), "", TrajectoryInCM(N46,$A46,AA$20))</f>
        <v/>
      </c>
      <c r="AB46" s="13" t="str" cm="1">
        <f t="array" ref="AB46">IF(OR(ISBLANK($A46),ISBLANK(O46)), "", TrajectoryInCM(O46,$A46,AB$20))</f>
        <v/>
      </c>
      <c r="AC46" s="20" t="str" cm="1">
        <f t="array" ref="AC46">IF(ISBLANK($B$13),"",TrajectoryErrorCM($E$21,1,$A46))</f>
        <v/>
      </c>
    </row>
    <row r="47" spans="1:29" x14ac:dyDescent="0.25">
      <c r="A47" s="1">
        <v>950</v>
      </c>
      <c r="B47" s="1"/>
      <c r="C47" s="13"/>
      <c r="D47" s="12"/>
      <c r="E47" s="12"/>
      <c r="F47" s="12"/>
      <c r="G47" s="12"/>
      <c r="H47" s="12"/>
      <c r="I47" s="12"/>
      <c r="J47" s="13"/>
      <c r="K47" s="13"/>
      <c r="L47" s="13"/>
      <c r="M47" s="13"/>
      <c r="N47" s="13"/>
      <c r="O47" s="13"/>
      <c r="P47" s="22" t="str" cm="1">
        <f t="array" ref="P47">IF(OR(ISBLANK($A47),ISBLANK(C47)), "", TrajectoryInCM(C47,$A47,P$20))</f>
        <v/>
      </c>
      <c r="Q47" s="12" t="str" cm="1">
        <f t="array" ref="Q47">IF(OR(ISBLANK($A47),ISBLANK(D47)), "", TrajectoryInCM(D47,$A47,Q$20))</f>
        <v/>
      </c>
      <c r="R47" s="12" t="str" cm="1">
        <f t="array" ref="R47">IF(OR(ISBLANK($A47),ISBLANK(E47)), "", TrajectoryInCM(E47,$A47,R$20))</f>
        <v/>
      </c>
      <c r="S47" s="12" t="str" cm="1">
        <f t="array" ref="S47">IF(OR(ISBLANK($A47),ISBLANK(F47)), "", TrajectoryInCM(F47,$A47,S$20))</f>
        <v/>
      </c>
      <c r="T47" s="12" t="str" cm="1">
        <f t="array" ref="T47">IF(OR(ISBLANK($A47),ISBLANK(G47)), "", TrajectoryInCM(G47,$A47,T$20))</f>
        <v/>
      </c>
      <c r="U47" s="12" t="str" cm="1">
        <f t="array" ref="U47">IF(OR(ISBLANK($A47),ISBLANK(H47)), "", TrajectoryInCM(H47,$A47,U$20))</f>
        <v/>
      </c>
      <c r="V47" s="12" t="str" cm="1">
        <f t="array" ref="V47">IF(OR(ISBLANK($A47),ISBLANK(I47)), "", TrajectoryInCM(I47,$A47,V$20))</f>
        <v/>
      </c>
      <c r="W47" s="13" t="str" cm="1">
        <f t="array" ref="W47">IF(OR(ISBLANK($A47),ISBLANK(J47)), "", TrajectoryInCM(J47,$A47,W$20))</f>
        <v/>
      </c>
      <c r="X47" s="13" t="str" cm="1">
        <f t="array" ref="X47">IF(OR(ISBLANK($A47),ISBLANK(K47)), "", TrajectoryInCM(K47,$A47,X$20))</f>
        <v/>
      </c>
      <c r="Y47" s="13" t="str" cm="1">
        <f t="array" ref="Y47">IF(OR(ISBLANK($A47),ISBLANK(L47)), "", TrajectoryInCM(L47,$A47,Y$20))</f>
        <v/>
      </c>
      <c r="Z47" s="13" t="str" cm="1">
        <f t="array" ref="Z47">IF(OR(ISBLANK($A47),ISBLANK(M47)), "", TrajectoryInCM(M47,$A47,Z$20))</f>
        <v/>
      </c>
      <c r="AA47" s="13" t="str" cm="1">
        <f t="array" ref="AA47">IF(OR(ISBLANK($A47),ISBLANK(N47)), "", TrajectoryInCM(N47,$A47,AA$20))</f>
        <v/>
      </c>
      <c r="AB47" s="13" t="str" cm="1">
        <f t="array" ref="AB47">IF(OR(ISBLANK($A47),ISBLANK(O47)), "", TrajectoryInCM(O47,$A47,AB$20))</f>
        <v/>
      </c>
      <c r="AC47" s="20" t="str" cm="1">
        <f t="array" ref="AC47">IF(ISBLANK($B$13),"",TrajectoryErrorCM($E$21,1,$A47))</f>
        <v/>
      </c>
    </row>
    <row r="48" spans="1:29" x14ac:dyDescent="0.25">
      <c r="A48" s="1">
        <v>1000</v>
      </c>
      <c r="B48" s="1"/>
      <c r="C48" s="13"/>
      <c r="D48" s="12"/>
      <c r="E48" s="12"/>
      <c r="F48" s="12"/>
      <c r="G48" s="12"/>
      <c r="H48" s="12"/>
      <c r="I48" s="12"/>
      <c r="J48" s="13"/>
      <c r="K48" s="13"/>
      <c r="L48" s="13"/>
      <c r="M48" s="13"/>
      <c r="N48" s="13"/>
      <c r="O48" s="11"/>
      <c r="P48" s="22" t="str" cm="1">
        <f t="array" ref="P48">IF(OR(ISBLANK($A48),ISBLANK(C48)), "", TrajectoryInCM(C48,$A48,P$20))</f>
        <v/>
      </c>
      <c r="Q48" s="12" t="str" cm="1">
        <f t="array" ref="Q48">IF(OR(ISBLANK($A48),ISBLANK(D48)), "", TrajectoryInCM(D48,$A48,Q$20))</f>
        <v/>
      </c>
      <c r="R48" s="12" t="str" cm="1">
        <f t="array" ref="R48">IF(OR(ISBLANK($A48),ISBLANK(E48)), "", TrajectoryInCM(E48,$A48,R$20))</f>
        <v/>
      </c>
      <c r="S48" s="12" t="str" cm="1">
        <f t="array" ref="S48">IF(OR(ISBLANK($A48),ISBLANK(F48)), "", TrajectoryInCM(F48,$A48,S$20))</f>
        <v/>
      </c>
      <c r="T48" s="12" t="str" cm="1">
        <f t="array" ref="T48">IF(OR(ISBLANK($A48),ISBLANK(G48)), "", TrajectoryInCM(G48,$A48,T$20))</f>
        <v/>
      </c>
      <c r="U48" s="12" t="str" cm="1">
        <f t="array" ref="U48">IF(OR(ISBLANK($A48),ISBLANK(H48)), "", TrajectoryInCM(H48,$A48,U$20))</f>
        <v/>
      </c>
      <c r="V48" s="12" t="str" cm="1">
        <f t="array" ref="V48">IF(OR(ISBLANK($A48),ISBLANK(I48)), "", TrajectoryInCM(I48,$A48,V$20))</f>
        <v/>
      </c>
      <c r="W48" s="13" t="str" cm="1">
        <f t="array" ref="W48">IF(OR(ISBLANK($A48),ISBLANK(J48)), "", TrajectoryInCM(J48,$A48,W$20))</f>
        <v/>
      </c>
      <c r="X48" s="13" t="str" cm="1">
        <f t="array" ref="X48">IF(OR(ISBLANK($A48),ISBLANK(K48)), "", TrajectoryInCM(K48,$A48,X$20))</f>
        <v/>
      </c>
      <c r="Y48" s="13" t="str" cm="1">
        <f t="array" ref="Y48">IF(OR(ISBLANK($A48),ISBLANK(L48)), "", TrajectoryInCM(L48,$A48,Y$20))</f>
        <v/>
      </c>
      <c r="Z48" s="13" t="str" cm="1">
        <f t="array" ref="Z48">IF(OR(ISBLANK($A48),ISBLANK(M48)), "", TrajectoryInCM(M48,$A48,Z$20))</f>
        <v/>
      </c>
      <c r="AA48" s="13" t="str" cm="1">
        <f t="array" ref="AA48">IF(OR(ISBLANK($A48),ISBLANK(N48)), "", TrajectoryInCM(N48,$A48,AA$20))</f>
        <v/>
      </c>
      <c r="AB48" s="11" t="str" cm="1">
        <f t="array" ref="AB48">IF(OR(ISBLANK($A48),ISBLANK(O48)), "", TrajectoryInCM(O48,$A48,AB$20))</f>
        <v/>
      </c>
      <c r="AC48" s="20" t="str" cm="1">
        <f t="array" ref="AC48">IF(ISBLANK($B$13),"",TrajectoryErrorCM($E$21,1,$A48))</f>
        <v/>
      </c>
    </row>
    <row r="91" spans="1:29" x14ac:dyDescent="0.25">
      <c r="A91" s="32" t="s">
        <v>75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</row>
    <row r="92" spans="1:29" x14ac:dyDescent="0.25">
      <c r="A92" s="32" t="s">
        <v>76</v>
      </c>
      <c r="B92" s="33" t="str" cm="1">
        <f t="array" ref="B92">IF(OR(ISBLANK(B$91),B$91&lt;=0),"",ComputeLeastSquaresRegression(B$91,A$25:A$38,B$25:B$38))</f>
        <v/>
      </c>
      <c r="C92" s="33" t="str" cm="1">
        <f t="array" ref="C92">IF(OR(ISBLANK(C$91),C$91&lt;=0),"",ComputeLeastSquaresRegression(C$91,B$25:B$38,C$25:C$38))</f>
        <v/>
      </c>
      <c r="D92" s="33" t="str" cm="1">
        <f t="array" ref="D92">IF(OR(ISBLANK(D$91),D$91&lt;=0),"",ComputeLeastSquaresRegression(D$91,C$25:C$38,D$25:D$38))</f>
        <v/>
      </c>
      <c r="E92" s="33" t="str" cm="1">
        <f t="array" ref="E92">IF(OR(ISBLANK(E$91),E$91&lt;=0),"",ComputeLeastSquaresRegression(E$91,D$25:D$38,E$25:E$38))</f>
        <v/>
      </c>
      <c r="F92" s="33" t="str" cm="1">
        <f t="array" ref="F92">IF(OR(ISBLANK(F$91),F$91&lt;=0),"",ComputeLeastSquaresRegression(F$91,E$25:E$38,F$25:F$38))</f>
        <v/>
      </c>
      <c r="G92" s="33" t="str" cm="1">
        <f t="array" ref="G92">IF(OR(ISBLANK(G$91),G$91&lt;=0),"",ComputeLeastSquaresRegression(G$91,F$25:F$38,G$25:G$38))</f>
        <v/>
      </c>
      <c r="H92" s="33" t="str" cm="1">
        <f t="array" ref="H92">IF(OR(ISBLANK(H$91),H$91&lt;=0),"",ComputeLeastSquaresRegression(H$91,G$25:G$38,H$25:H$38))</f>
        <v/>
      </c>
      <c r="I92" s="33" t="str" cm="1">
        <f t="array" ref="I92">IF(OR(ISBLANK(I$91),I$91&lt;=0),"",ComputeLeastSquaresRegression(I$91,H$25:H$38,I$25:I$38))</f>
        <v/>
      </c>
      <c r="J92" s="33" t="str" cm="1">
        <f t="array" ref="J92">IF(OR(ISBLANK(J$91),J$91&lt;=0),"",ComputeLeastSquaresRegression(J$91,I$25:I$38,J$25:J$38))</f>
        <v/>
      </c>
      <c r="K92" s="33" t="str" cm="1">
        <f t="array" ref="K92">IF(OR(ISBLANK(K$91),K$91&lt;=0),"",ComputeLeastSquaresRegression(K$91,J$25:J$38,K$25:K$38))</f>
        <v/>
      </c>
      <c r="L92" s="33" t="str" cm="1">
        <f t="array" ref="L92">IF(OR(ISBLANK(L$91),L$91&lt;=0),"",ComputeLeastSquaresRegression(L$91,K$25:K$38,L$25:L$38))</f>
        <v/>
      </c>
      <c r="M92" s="33" t="str" cm="1">
        <f t="array" ref="M92">IF(OR(ISBLANK(M$91),M$91&lt;=0),"",ComputeLeastSquaresRegression(M$91,L$25:L$38,M$25:M$38))</f>
        <v/>
      </c>
      <c r="N92" s="33" t="str" cm="1">
        <f t="array" ref="N92">IF(OR(ISBLANK(N$91),N$91&lt;=0),"",ComputeLeastSquaresRegression(N$91,M$25:M$38,N$25:N$38))</f>
        <v/>
      </c>
      <c r="O92" s="33" t="str" cm="1">
        <f t="array" ref="O92">IF(OR(ISBLANK(O$91),O$91&lt;=0),"",ComputeLeastSquaresRegression(O$91,N$25:N$38,O$25:O$38))</f>
        <v/>
      </c>
      <c r="P92" s="33" t="str" cm="1">
        <f t="array" ref="P92">IF(OR(ISBLANK(P$91),P$91&lt;=0),"",ComputeLeastSquaresRegression(P$91,O$25:O$38,P$25:P$38))</f>
        <v/>
      </c>
      <c r="Q92" s="33" t="str" cm="1">
        <f t="array" ref="Q92">IF(OR(ISBLANK(Q$91),Q$91&lt;=0),"",ComputeLeastSquaresRegression(Q$91,P$25:P$38,Q$25:Q$38))</f>
        <v/>
      </c>
      <c r="R92" s="33" t="str" cm="1">
        <f t="array" ref="R92">IF(OR(ISBLANK(R$91),R$91&lt;=0),"",ComputeLeastSquaresRegression(R$91,Q$25:Q$38,R$25:R$38))</f>
        <v/>
      </c>
      <c r="S92" s="33" t="str" cm="1">
        <f t="array" ref="S92">IF(OR(ISBLANK(S$91),S$91&lt;=0),"",ComputeLeastSquaresRegression(S$91,R$25:R$38,S$25:S$38))</f>
        <v/>
      </c>
      <c r="T92" s="33" t="str" cm="1">
        <f t="array" ref="T92">IF(OR(ISBLANK(T$91),T$91&lt;=0),"",ComputeLeastSquaresRegression(T$91,S$25:S$38,T$25:T$38))</f>
        <v/>
      </c>
      <c r="U92" s="33" t="str" cm="1">
        <f t="array" ref="U92">IF(OR(ISBLANK(U$91),U$91&lt;=0),"",ComputeLeastSquaresRegression(U$91,T$25:T$38,U$25:U$38))</f>
        <v/>
      </c>
      <c r="V92" s="33" t="str" cm="1">
        <f t="array" ref="V92">IF(OR(ISBLANK(V$91),V$91&lt;=0),"",ComputeLeastSquaresRegression(V$91,U$25:U$38,V$25:V$38))</f>
        <v/>
      </c>
      <c r="W92" s="33" t="str" cm="1">
        <f t="array" ref="W92">IF(OR(ISBLANK(W$91),W$91&lt;=0),"",ComputeLeastSquaresRegression(W$91,V$25:V$38,W$25:W$38))</f>
        <v/>
      </c>
      <c r="X92" s="33" t="str" cm="1">
        <f t="array" ref="X92">IF(OR(ISBLANK(X$91),X$91&lt;=0),"",ComputeLeastSquaresRegression(X$91,W$25:W$38,X$25:X$38))</f>
        <v/>
      </c>
      <c r="Y92" s="33" t="str" cm="1">
        <f t="array" ref="Y92">IF(OR(ISBLANK(Y$91),Y$91&lt;=0),"",ComputeLeastSquaresRegression(Y$91,X$25:X$38,Y$25:Y$38))</f>
        <v/>
      </c>
      <c r="Z92" s="33" t="str" cm="1">
        <f t="array" ref="Z92">IF(OR(ISBLANK(Z$91),Z$91&lt;=0),"",ComputeLeastSquaresRegression(Z$91,Y$25:Y$38,Z$25:Z$38))</f>
        <v/>
      </c>
      <c r="AA92" s="33" t="str" cm="1">
        <f t="array" ref="AA92">IF(OR(ISBLANK(AA$91),AA$91&lt;=0),"",ComputeLeastSquaresRegression(AA$91,Z$25:Z$38,AA$25:AA$38))</f>
        <v/>
      </c>
      <c r="AB92" s="33" t="str" cm="1">
        <f t="array" ref="AB92">IF(OR(ISBLANK(AB$91),AB$91&lt;=0),"",ComputeLeastSquaresRegression(AB$91,AA$25:AA$38,AB$25:AB$38))</f>
        <v/>
      </c>
    </row>
    <row r="93" spans="1:29" x14ac:dyDescent="0.25">
      <c r="A93" s="32" t="s">
        <v>28</v>
      </c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15"/>
    </row>
    <row r="94" spans="1:29" x14ac:dyDescent="0.25">
      <c r="A94" s="32" t="s">
        <v>29</v>
      </c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15"/>
    </row>
    <row r="95" spans="1:29" x14ac:dyDescent="0.25">
      <c r="A95" s="32" t="s">
        <v>30</v>
      </c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15"/>
    </row>
    <row r="96" spans="1:29" x14ac:dyDescent="0.25">
      <c r="A96" s="32" t="s">
        <v>31</v>
      </c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15"/>
    </row>
    <row r="97" spans="1:29" x14ac:dyDescent="0.25">
      <c r="A97" s="32" t="s">
        <v>32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15"/>
    </row>
    <row r="98" spans="1:29" x14ac:dyDescent="0.25">
      <c r="A98" s="32" t="s">
        <v>33</v>
      </c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15"/>
    </row>
    <row r="99" spans="1:29" x14ac:dyDescent="0.25">
      <c r="A99" s="32" t="s">
        <v>34</v>
      </c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15"/>
    </row>
    <row r="100" spans="1:29" ht="15.75" thickBot="1" x14ac:dyDescent="0.3"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x14ac:dyDescent="0.25">
      <c r="A101" s="39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1"/>
    </row>
    <row r="102" spans="1:29" x14ac:dyDescent="0.25">
      <c r="A102" s="42" t="s">
        <v>2</v>
      </c>
      <c r="B102" s="43" t="s">
        <v>77</v>
      </c>
      <c r="C102" s="43" t="s">
        <v>73</v>
      </c>
      <c r="D102" s="44" t="s">
        <v>74</v>
      </c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3" t="s">
        <v>72</v>
      </c>
      <c r="Q102" s="44" t="s">
        <v>35</v>
      </c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5"/>
    </row>
    <row r="103" spans="1:29" x14ac:dyDescent="0.25">
      <c r="A103" s="46">
        <v>0</v>
      </c>
      <c r="B103" s="47" t="str" cm="1">
        <f t="array" ref="B103">IF( ISBLANK(B$93), "",EvaluatePolynomial(B$93:B$99,$A103))</f>
        <v/>
      </c>
      <c r="C103" s="47" t="str" cm="1">
        <f t="array" ref="C103">IF( ISBLANK(C$93), "",EvaluatePolynomial(C$93:C$99,$A103))</f>
        <v/>
      </c>
      <c r="D103" s="48" t="str" cm="1">
        <f t="array" ref="D103">IF( ISBLANK(D$93), "",EvaluatePolynomial(D$93:D$99,$A103))</f>
        <v/>
      </c>
      <c r="E103" s="48" t="str" cm="1">
        <f t="array" ref="E103">IF( ISBLANK(E$93), "",EvaluatePolynomial(E$93:E$99,$A103))</f>
        <v/>
      </c>
      <c r="F103" s="48" t="str" cm="1">
        <f t="array" ref="F103">IF( ISBLANK(F$93), "",EvaluatePolynomial(F$93:F$99,$A103))</f>
        <v/>
      </c>
      <c r="G103" s="48" t="str" cm="1">
        <f t="array" ref="G103">IF( ISBLANK(G$93), "",EvaluatePolynomial(G$93:G$99,$A103))</f>
        <v/>
      </c>
      <c r="H103" s="48" t="str" cm="1">
        <f t="array" ref="H103">IF( ISBLANK(H$93), "",EvaluatePolynomial(H$93:H$99,$A103))</f>
        <v/>
      </c>
      <c r="I103" s="48" t="str" cm="1">
        <f t="array" ref="I103">IF( ISBLANK(I$93), "",EvaluatePolynomial(I$93:I$99,$A103))</f>
        <v/>
      </c>
      <c r="J103" s="48" t="str" cm="1">
        <f t="array" ref="J103">IF( ISBLANK(J$93), "",EvaluatePolynomial(J$93:J$99,$A103))</f>
        <v/>
      </c>
      <c r="K103" s="48" t="str" cm="1">
        <f t="array" ref="K103">IF( ISBLANK(K$93), "",EvaluatePolynomial(K$93:K$99,$A103))</f>
        <v/>
      </c>
      <c r="L103" s="48" t="str" cm="1">
        <f t="array" ref="L103">IF( ISBLANK(L$93), "",EvaluatePolynomial(L$93:L$99,$A103))</f>
        <v/>
      </c>
      <c r="M103" s="48" t="str" cm="1">
        <f t="array" ref="M103">IF( ISBLANK(M$93), "",EvaluatePolynomial(M$93:M$99,$A103))</f>
        <v/>
      </c>
      <c r="N103" s="48" t="str" cm="1">
        <f t="array" ref="N103">IF( ISBLANK(N$93), "",EvaluatePolynomial(N$93:N$99,$A103))</f>
        <v/>
      </c>
      <c r="O103" s="48" t="str" cm="1">
        <f t="array" ref="O103">IF( ISBLANK(O$93), "",EvaluatePolynomial(O$93:O$99,$A103))</f>
        <v/>
      </c>
      <c r="P103" s="48" t="str" cm="1">
        <f t="array" ref="P103">IF( ISBLANK(P$93), "",EvaluatePolynomial(P$93:P$99,$A103))</f>
        <v/>
      </c>
      <c r="Q103" s="48" t="str" cm="1">
        <f t="array" ref="Q103">IF( ISBLANK(Q$93), "",EvaluatePolynomial(Q$93:Q$99,$A103))</f>
        <v/>
      </c>
      <c r="R103" s="48" t="str" cm="1">
        <f t="array" ref="R103">IF( ISBLANK(R$93), "",EvaluatePolynomial(R$93:R$99,$A103))</f>
        <v/>
      </c>
      <c r="S103" s="48" t="str" cm="1">
        <f t="array" ref="S103">IF( ISBLANK(S$93), "",EvaluatePolynomial(S$93:S$99,$A103))</f>
        <v/>
      </c>
      <c r="T103" s="48" t="str" cm="1">
        <f t="array" ref="T103">IF( ISBLANK(T$93), "",EvaluatePolynomial(T$93:T$99,$A103))</f>
        <v/>
      </c>
      <c r="U103" s="48" t="str" cm="1">
        <f t="array" ref="U103">IF( ISBLANK(U$93), "",EvaluatePolynomial(U$93:U$99,$A103))</f>
        <v/>
      </c>
      <c r="V103" s="48" t="str" cm="1">
        <f t="array" ref="V103">IF( ISBLANK(V$93), "",EvaluatePolynomial(V$93:V$99,$A103))</f>
        <v/>
      </c>
      <c r="W103" s="48" t="str" cm="1">
        <f t="array" ref="W103">IF( ISBLANK(W$93), "",EvaluatePolynomial(W$93:W$99,$A103))</f>
        <v/>
      </c>
      <c r="X103" s="48" t="str" cm="1">
        <f t="array" ref="X103">IF( ISBLANK(X$93), "",EvaluatePolynomial(X$93:X$99,$A103))</f>
        <v/>
      </c>
      <c r="Y103" s="48" t="str" cm="1">
        <f t="array" ref="Y103">IF( ISBLANK(Y$93), "",EvaluatePolynomial(Y$93:Y$99,$A103))</f>
        <v/>
      </c>
      <c r="Z103" s="48" t="str" cm="1">
        <f t="array" ref="Z103">IF( ISBLANK(Z$93), "",EvaluatePolynomial(Z$93:Z$99,$A103))</f>
        <v/>
      </c>
      <c r="AA103" s="48" t="str" cm="1">
        <f t="array" ref="AA103">IF( ISBLANK(AA$93), "",EvaluatePolynomial(AA$93:AA$99,$A103))</f>
        <v/>
      </c>
      <c r="AB103" s="49" t="str" cm="1">
        <f t="array" ref="AB103">IF( ISBLANK(AB$93), "",EvaluatePolynomial(AB$93:AB$99,$A103))</f>
        <v/>
      </c>
      <c r="AC103" s="2"/>
    </row>
    <row r="104" spans="1:29" x14ac:dyDescent="0.25">
      <c r="A104" s="46">
        <v>25</v>
      </c>
      <c r="B104" s="47" t="str" cm="1">
        <f t="array" ref="B104">IF( ISBLANK(B$93), "",EvaluatePolynomial(B$93:B$99,$A104))</f>
        <v/>
      </c>
      <c r="C104" s="47" t="str" cm="1">
        <f t="array" ref="C104">IF( ISBLANK(C$93), "",EvaluatePolynomial(C$93:C$99,$A104))</f>
        <v/>
      </c>
      <c r="D104" s="48" t="str" cm="1">
        <f t="array" ref="D104">IF( ISBLANK(D$93), "",EvaluatePolynomial(D$93:D$99,$A104))</f>
        <v/>
      </c>
      <c r="E104" s="48" t="str" cm="1">
        <f t="array" ref="E104">IF( ISBLANK(E$93), "",EvaluatePolynomial(E$93:E$99,$A104))</f>
        <v/>
      </c>
      <c r="F104" s="48" t="str" cm="1">
        <f t="array" ref="F104">IF( ISBLANK(F$93), "",EvaluatePolynomial(F$93:F$99,$A104))</f>
        <v/>
      </c>
      <c r="G104" s="48" t="str" cm="1">
        <f t="array" ref="G104">IF( ISBLANK(G$93), "",EvaluatePolynomial(G$93:G$99,$A104))</f>
        <v/>
      </c>
      <c r="H104" s="48" t="str" cm="1">
        <f t="array" ref="H104">IF( ISBLANK(H$93), "",EvaluatePolynomial(H$93:H$99,$A104))</f>
        <v/>
      </c>
      <c r="I104" s="48" t="str" cm="1">
        <f t="array" ref="I104">IF( ISBLANK(I$93), "",EvaluatePolynomial(I$93:I$99,$A104))</f>
        <v/>
      </c>
      <c r="J104" s="48" t="str" cm="1">
        <f t="array" ref="J104">IF( ISBLANK(J$93), "",EvaluatePolynomial(J$93:J$99,$A104))</f>
        <v/>
      </c>
      <c r="K104" s="48" t="str" cm="1">
        <f t="array" ref="K104">IF( ISBLANK(K$93), "",EvaluatePolynomial(K$93:K$99,$A104))</f>
        <v/>
      </c>
      <c r="L104" s="48" t="str" cm="1">
        <f t="array" ref="L104">IF( ISBLANK(L$93), "",EvaluatePolynomial(L$93:L$99,$A104))</f>
        <v/>
      </c>
      <c r="M104" s="48" t="str" cm="1">
        <f t="array" ref="M104">IF( ISBLANK(M$93), "",EvaluatePolynomial(M$93:M$99,$A104))</f>
        <v/>
      </c>
      <c r="N104" s="48" t="str" cm="1">
        <f t="array" ref="N104">IF( ISBLANK(N$93), "",EvaluatePolynomial(N$93:N$99,$A104))</f>
        <v/>
      </c>
      <c r="O104" s="48" t="str" cm="1">
        <f t="array" ref="O104">IF( ISBLANK(O$93), "",EvaluatePolynomial(O$93:O$99,$A104))</f>
        <v/>
      </c>
      <c r="P104" s="48" t="str" cm="1">
        <f t="array" ref="P104">IF( ISBLANK(P$93), "",EvaluatePolynomial(P$93:P$99,$A104))</f>
        <v/>
      </c>
      <c r="Q104" s="48" t="str" cm="1">
        <f t="array" ref="Q104">IF( ISBLANK(Q$93), "",EvaluatePolynomial(Q$93:Q$99,$A104))</f>
        <v/>
      </c>
      <c r="R104" s="48" t="str" cm="1">
        <f t="array" ref="R104">IF( ISBLANK(R$93), "",EvaluatePolynomial(R$93:R$99,$A104))</f>
        <v/>
      </c>
      <c r="S104" s="48" t="str" cm="1">
        <f t="array" ref="S104">IF( ISBLANK(S$93), "",EvaluatePolynomial(S$93:S$99,$A104))</f>
        <v/>
      </c>
      <c r="T104" s="48" t="str" cm="1">
        <f t="array" ref="T104">IF( ISBLANK(T$93), "",EvaluatePolynomial(T$93:T$99,$A104))</f>
        <v/>
      </c>
      <c r="U104" s="48" t="str" cm="1">
        <f t="array" ref="U104">IF( ISBLANK(U$93), "",EvaluatePolynomial(U$93:U$99,$A104))</f>
        <v/>
      </c>
      <c r="V104" s="48" t="str" cm="1">
        <f t="array" ref="V104">IF( ISBLANK(V$93), "",EvaluatePolynomial(V$93:V$99,$A104))</f>
        <v/>
      </c>
      <c r="W104" s="48" t="str" cm="1">
        <f t="array" ref="W104">IF( ISBLANK(W$93), "",EvaluatePolynomial(W$93:W$99,$A104))</f>
        <v/>
      </c>
      <c r="X104" s="48" t="str" cm="1">
        <f t="array" ref="X104">IF( ISBLANK(X$93), "",EvaluatePolynomial(X$93:X$99,$A104))</f>
        <v/>
      </c>
      <c r="Y104" s="48" t="str" cm="1">
        <f t="array" ref="Y104">IF( ISBLANK(Y$93), "",EvaluatePolynomial(Y$93:Y$99,$A104))</f>
        <v/>
      </c>
      <c r="Z104" s="48" t="str" cm="1">
        <f t="array" ref="Z104">IF( ISBLANK(Z$93), "",EvaluatePolynomial(Z$93:Z$99,$A104))</f>
        <v/>
      </c>
      <c r="AA104" s="48" t="str" cm="1">
        <f t="array" ref="AA104">IF( ISBLANK(AA$93), "",EvaluatePolynomial(AA$93:AA$99,$A104))</f>
        <v/>
      </c>
      <c r="AB104" s="49" t="str" cm="1">
        <f t="array" ref="AB104">IF( ISBLANK(AB$93), "",EvaluatePolynomial(AB$93:AB$99,$A104))</f>
        <v/>
      </c>
      <c r="AC104" s="2"/>
    </row>
    <row r="105" spans="1:29" x14ac:dyDescent="0.25">
      <c r="A105" s="46">
        <v>50</v>
      </c>
      <c r="B105" s="47" t="str" cm="1">
        <f t="array" ref="B105">IF( ISBLANK(B$93), "",EvaluatePolynomial(B$93:B$99,$A105))</f>
        <v/>
      </c>
      <c r="C105" s="47" t="str" cm="1">
        <f t="array" ref="C105">IF( ISBLANK(C$93), "",EvaluatePolynomial(C$93:C$99,$A105))</f>
        <v/>
      </c>
      <c r="D105" s="48" t="str" cm="1">
        <f t="array" ref="D105">IF( ISBLANK(D$93), "",EvaluatePolynomial(D$93:D$99,$A105))</f>
        <v/>
      </c>
      <c r="E105" s="48" t="str" cm="1">
        <f t="array" ref="E105">IF( ISBLANK(E$93), "",EvaluatePolynomial(E$93:E$99,$A105))</f>
        <v/>
      </c>
      <c r="F105" s="48" t="str" cm="1">
        <f t="array" ref="F105">IF( ISBLANK(F$93), "",EvaluatePolynomial(F$93:F$99,$A105))</f>
        <v/>
      </c>
      <c r="G105" s="48" t="str" cm="1">
        <f t="array" ref="G105">IF( ISBLANK(G$93), "",EvaluatePolynomial(G$93:G$99,$A105))</f>
        <v/>
      </c>
      <c r="H105" s="48" t="str" cm="1">
        <f t="array" ref="H105">IF( ISBLANK(H$93), "",EvaluatePolynomial(H$93:H$99,$A105))</f>
        <v/>
      </c>
      <c r="I105" s="48" t="str" cm="1">
        <f t="array" ref="I105">IF( ISBLANK(I$93), "",EvaluatePolynomial(I$93:I$99,$A105))</f>
        <v/>
      </c>
      <c r="J105" s="48" t="str" cm="1">
        <f t="array" ref="J105">IF( ISBLANK(J$93), "",EvaluatePolynomial(J$93:J$99,$A105))</f>
        <v/>
      </c>
      <c r="K105" s="48" t="str" cm="1">
        <f t="array" ref="K105">IF( ISBLANK(K$93), "",EvaluatePolynomial(K$93:K$99,$A105))</f>
        <v/>
      </c>
      <c r="L105" s="48" t="str" cm="1">
        <f t="array" ref="L105">IF( ISBLANK(L$93), "",EvaluatePolynomial(L$93:L$99,$A105))</f>
        <v/>
      </c>
      <c r="M105" s="48" t="str" cm="1">
        <f t="array" ref="M105">IF( ISBLANK(M$93), "",EvaluatePolynomial(M$93:M$99,$A105))</f>
        <v/>
      </c>
      <c r="N105" s="48" t="str" cm="1">
        <f t="array" ref="N105">IF( ISBLANK(N$93), "",EvaluatePolynomial(N$93:N$99,$A105))</f>
        <v/>
      </c>
      <c r="O105" s="48" t="str" cm="1">
        <f t="array" ref="O105">IF( ISBLANK(O$93), "",EvaluatePolynomial(O$93:O$99,$A105))</f>
        <v/>
      </c>
      <c r="P105" s="48" t="str" cm="1">
        <f t="array" ref="P105">IF( ISBLANK(P$93), "",EvaluatePolynomial(P$93:P$99,$A105))</f>
        <v/>
      </c>
      <c r="Q105" s="48" t="str" cm="1">
        <f t="array" ref="Q105">IF( ISBLANK(Q$93), "",EvaluatePolynomial(Q$93:Q$99,$A105))</f>
        <v/>
      </c>
      <c r="R105" s="48" t="str" cm="1">
        <f t="array" ref="R105">IF( ISBLANK(R$93), "",EvaluatePolynomial(R$93:R$99,$A105))</f>
        <v/>
      </c>
      <c r="S105" s="48" t="str" cm="1">
        <f t="array" ref="S105">IF( ISBLANK(S$93), "",EvaluatePolynomial(S$93:S$99,$A105))</f>
        <v/>
      </c>
      <c r="T105" s="48" t="str" cm="1">
        <f t="array" ref="T105">IF( ISBLANK(T$93), "",EvaluatePolynomial(T$93:T$99,$A105))</f>
        <v/>
      </c>
      <c r="U105" s="48" t="str" cm="1">
        <f t="array" ref="U105">IF( ISBLANK(U$93), "",EvaluatePolynomial(U$93:U$99,$A105))</f>
        <v/>
      </c>
      <c r="V105" s="48" t="str" cm="1">
        <f t="array" ref="V105">IF( ISBLANK(V$93), "",EvaluatePolynomial(V$93:V$99,$A105))</f>
        <v/>
      </c>
      <c r="W105" s="48" t="str" cm="1">
        <f t="array" ref="W105">IF( ISBLANK(W$93), "",EvaluatePolynomial(W$93:W$99,$A105))</f>
        <v/>
      </c>
      <c r="X105" s="48" t="str" cm="1">
        <f t="array" ref="X105">IF( ISBLANK(X$93), "",EvaluatePolynomial(X$93:X$99,$A105))</f>
        <v/>
      </c>
      <c r="Y105" s="48" t="str" cm="1">
        <f t="array" ref="Y105">IF( ISBLANK(Y$93), "",EvaluatePolynomial(Y$93:Y$99,$A105))</f>
        <v/>
      </c>
      <c r="Z105" s="48" t="str" cm="1">
        <f t="array" ref="Z105">IF( ISBLANK(Z$93), "",EvaluatePolynomial(Z$93:Z$99,$A105))</f>
        <v/>
      </c>
      <c r="AA105" s="48" t="str" cm="1">
        <f t="array" ref="AA105">IF( ISBLANK(AA$93), "",EvaluatePolynomial(AA$93:AA$99,$A105))</f>
        <v/>
      </c>
      <c r="AB105" s="49" t="str" cm="1">
        <f t="array" ref="AB105">IF( ISBLANK(AB$93), "",EvaluatePolynomial(AB$93:AB$99,$A105))</f>
        <v/>
      </c>
      <c r="AC105" s="2"/>
    </row>
    <row r="106" spans="1:29" x14ac:dyDescent="0.25">
      <c r="A106" s="46">
        <v>75</v>
      </c>
      <c r="B106" s="47" t="str" cm="1">
        <f t="array" ref="B106">IF( ISBLANK(B$93), "",EvaluatePolynomial(B$93:B$99,$A106))</f>
        <v/>
      </c>
      <c r="C106" s="47" t="str" cm="1">
        <f t="array" ref="C106">IF( ISBLANK(C$93), "",EvaluatePolynomial(C$93:C$99,$A106))</f>
        <v/>
      </c>
      <c r="D106" s="48" t="str" cm="1">
        <f t="array" ref="D106">IF( ISBLANK(D$93), "",EvaluatePolynomial(D$93:D$99,$A106))</f>
        <v/>
      </c>
      <c r="E106" s="48" t="str" cm="1">
        <f t="array" ref="E106">IF( ISBLANK(E$93), "",EvaluatePolynomial(E$93:E$99,$A106))</f>
        <v/>
      </c>
      <c r="F106" s="48" t="str" cm="1">
        <f t="array" ref="F106">IF( ISBLANK(F$93), "",EvaluatePolynomial(F$93:F$99,$A106))</f>
        <v/>
      </c>
      <c r="G106" s="48" t="str" cm="1">
        <f t="array" ref="G106">IF( ISBLANK(G$93), "",EvaluatePolynomial(G$93:G$99,$A106))</f>
        <v/>
      </c>
      <c r="H106" s="48" t="str" cm="1">
        <f t="array" ref="H106">IF( ISBLANK(H$93), "",EvaluatePolynomial(H$93:H$99,$A106))</f>
        <v/>
      </c>
      <c r="I106" s="48" t="str" cm="1">
        <f t="array" ref="I106">IF( ISBLANK(I$93), "",EvaluatePolynomial(I$93:I$99,$A106))</f>
        <v/>
      </c>
      <c r="J106" s="48" t="str" cm="1">
        <f t="array" ref="J106">IF( ISBLANK(J$93), "",EvaluatePolynomial(J$93:J$99,$A106))</f>
        <v/>
      </c>
      <c r="K106" s="48" t="str" cm="1">
        <f t="array" ref="K106">IF( ISBLANK(K$93), "",EvaluatePolynomial(K$93:K$99,$A106))</f>
        <v/>
      </c>
      <c r="L106" s="48" t="str" cm="1">
        <f t="array" ref="L106">IF( ISBLANK(L$93), "",EvaluatePolynomial(L$93:L$99,$A106))</f>
        <v/>
      </c>
      <c r="M106" s="48" t="str" cm="1">
        <f t="array" ref="M106">IF( ISBLANK(M$93), "",EvaluatePolynomial(M$93:M$99,$A106))</f>
        <v/>
      </c>
      <c r="N106" s="48" t="str" cm="1">
        <f t="array" ref="N106">IF( ISBLANK(N$93), "",EvaluatePolynomial(N$93:N$99,$A106))</f>
        <v/>
      </c>
      <c r="O106" s="48" t="str" cm="1">
        <f t="array" ref="O106">IF( ISBLANK(O$93), "",EvaluatePolynomial(O$93:O$99,$A106))</f>
        <v/>
      </c>
      <c r="P106" s="48" t="str" cm="1">
        <f t="array" ref="P106">IF( ISBLANK(P$93), "",EvaluatePolynomial(P$93:P$99,$A106))</f>
        <v/>
      </c>
      <c r="Q106" s="48" t="str" cm="1">
        <f t="array" ref="Q106">IF( ISBLANK(Q$93), "",EvaluatePolynomial(Q$93:Q$99,$A106))</f>
        <v/>
      </c>
      <c r="R106" s="48" t="str" cm="1">
        <f t="array" ref="R106">IF( ISBLANK(R$93), "",EvaluatePolynomial(R$93:R$99,$A106))</f>
        <v/>
      </c>
      <c r="S106" s="48" t="str" cm="1">
        <f t="array" ref="S106">IF( ISBLANK(S$93), "",EvaluatePolynomial(S$93:S$99,$A106))</f>
        <v/>
      </c>
      <c r="T106" s="48" t="str" cm="1">
        <f t="array" ref="T106">IF( ISBLANK(T$93), "",EvaluatePolynomial(T$93:T$99,$A106))</f>
        <v/>
      </c>
      <c r="U106" s="48" t="str" cm="1">
        <f t="array" ref="U106">IF( ISBLANK(U$93), "",EvaluatePolynomial(U$93:U$99,$A106))</f>
        <v/>
      </c>
      <c r="V106" s="48" t="str" cm="1">
        <f t="array" ref="V106">IF( ISBLANK(V$93), "",EvaluatePolynomial(V$93:V$99,$A106))</f>
        <v/>
      </c>
      <c r="W106" s="48" t="str" cm="1">
        <f t="array" ref="W106">IF( ISBLANK(W$93), "",EvaluatePolynomial(W$93:W$99,$A106))</f>
        <v/>
      </c>
      <c r="X106" s="48" t="str" cm="1">
        <f t="array" ref="X106">IF( ISBLANK(X$93), "",EvaluatePolynomial(X$93:X$99,$A106))</f>
        <v/>
      </c>
      <c r="Y106" s="48" t="str" cm="1">
        <f t="array" ref="Y106">IF( ISBLANK(Y$93), "",EvaluatePolynomial(Y$93:Y$99,$A106))</f>
        <v/>
      </c>
      <c r="Z106" s="48" t="str" cm="1">
        <f t="array" ref="Z106">IF( ISBLANK(Z$93), "",EvaluatePolynomial(Z$93:Z$99,$A106))</f>
        <v/>
      </c>
      <c r="AA106" s="48" t="str" cm="1">
        <f t="array" ref="AA106">IF( ISBLANK(AA$93), "",EvaluatePolynomial(AA$93:AA$99,$A106))</f>
        <v/>
      </c>
      <c r="AB106" s="49" t="str" cm="1">
        <f t="array" ref="AB106">IF( ISBLANK(AB$93), "",EvaluatePolynomial(AB$93:AB$99,$A106))</f>
        <v/>
      </c>
      <c r="AC106" s="2"/>
    </row>
    <row r="107" spans="1:29" x14ac:dyDescent="0.25">
      <c r="A107" s="46">
        <v>100</v>
      </c>
      <c r="B107" s="47" t="str" cm="1">
        <f t="array" ref="B107">IF( ISBLANK(B$93), "",EvaluatePolynomial(B$93:B$99,$A107))</f>
        <v/>
      </c>
      <c r="C107" s="47" t="str" cm="1">
        <f t="array" ref="C107">IF( ISBLANK(C$93), "",EvaluatePolynomial(C$93:C$99,$A107))</f>
        <v/>
      </c>
      <c r="D107" s="48" t="str" cm="1">
        <f t="array" ref="D107">IF( ISBLANK(D$93), "",EvaluatePolynomial(D$93:D$99,$A107))</f>
        <v/>
      </c>
      <c r="E107" s="48" t="str" cm="1">
        <f t="array" ref="E107">IF( ISBLANK(E$93), "",EvaluatePolynomial(E$93:E$99,$A107))</f>
        <v/>
      </c>
      <c r="F107" s="48" t="str" cm="1">
        <f t="array" ref="F107">IF( ISBLANK(F$93), "",EvaluatePolynomial(F$93:F$99,$A107))</f>
        <v/>
      </c>
      <c r="G107" s="48" t="str" cm="1">
        <f t="array" ref="G107">IF( ISBLANK(G$93), "",EvaluatePolynomial(G$93:G$99,$A107))</f>
        <v/>
      </c>
      <c r="H107" s="48" t="str" cm="1">
        <f t="array" ref="H107">IF( ISBLANK(H$93), "",EvaluatePolynomial(H$93:H$99,$A107))</f>
        <v/>
      </c>
      <c r="I107" s="48" t="str" cm="1">
        <f t="array" ref="I107">IF( ISBLANK(I$93), "",EvaluatePolynomial(I$93:I$99,$A107))</f>
        <v/>
      </c>
      <c r="J107" s="48" t="str" cm="1">
        <f t="array" ref="J107">IF( ISBLANK(J$93), "",EvaluatePolynomial(J$93:J$99,$A107))</f>
        <v/>
      </c>
      <c r="K107" s="48" t="str" cm="1">
        <f t="array" ref="K107">IF( ISBLANK(K$93), "",EvaluatePolynomial(K$93:K$99,$A107))</f>
        <v/>
      </c>
      <c r="L107" s="48" t="str" cm="1">
        <f t="array" ref="L107">IF( ISBLANK(L$93), "",EvaluatePolynomial(L$93:L$99,$A107))</f>
        <v/>
      </c>
      <c r="M107" s="48" t="str" cm="1">
        <f t="array" ref="M107">IF( ISBLANK(M$93), "",EvaluatePolynomial(M$93:M$99,$A107))</f>
        <v/>
      </c>
      <c r="N107" s="48" t="str" cm="1">
        <f t="array" ref="N107">IF( ISBLANK(N$93), "",EvaluatePolynomial(N$93:N$99,$A107))</f>
        <v/>
      </c>
      <c r="O107" s="48" t="str" cm="1">
        <f t="array" ref="O107">IF( ISBLANK(O$93), "",EvaluatePolynomial(O$93:O$99,$A107))</f>
        <v/>
      </c>
      <c r="P107" s="48" t="str" cm="1">
        <f t="array" ref="P107">IF( ISBLANK(P$93), "",EvaluatePolynomial(P$93:P$99,$A107))</f>
        <v/>
      </c>
      <c r="Q107" s="48" t="str" cm="1">
        <f t="array" ref="Q107">IF( ISBLANK(Q$93), "",EvaluatePolynomial(Q$93:Q$99,$A107))</f>
        <v/>
      </c>
      <c r="R107" s="48" t="str" cm="1">
        <f t="array" ref="R107">IF( ISBLANK(R$93), "",EvaluatePolynomial(R$93:R$99,$A107))</f>
        <v/>
      </c>
      <c r="S107" s="48" t="str" cm="1">
        <f t="array" ref="S107">IF( ISBLANK(S$93), "",EvaluatePolynomial(S$93:S$99,$A107))</f>
        <v/>
      </c>
      <c r="T107" s="48" t="str" cm="1">
        <f t="array" ref="T107">IF( ISBLANK(T$93), "",EvaluatePolynomial(T$93:T$99,$A107))</f>
        <v/>
      </c>
      <c r="U107" s="48" t="str" cm="1">
        <f t="array" ref="U107">IF( ISBLANK(U$93), "",EvaluatePolynomial(U$93:U$99,$A107))</f>
        <v/>
      </c>
      <c r="V107" s="48" t="str" cm="1">
        <f t="array" ref="V107">IF( ISBLANK(V$93), "",EvaluatePolynomial(V$93:V$99,$A107))</f>
        <v/>
      </c>
      <c r="W107" s="48" t="str" cm="1">
        <f t="array" ref="W107">IF( ISBLANK(W$93), "",EvaluatePolynomial(W$93:W$99,$A107))</f>
        <v/>
      </c>
      <c r="X107" s="48" t="str" cm="1">
        <f t="array" ref="X107">IF( ISBLANK(X$93), "",EvaluatePolynomial(X$93:X$99,$A107))</f>
        <v/>
      </c>
      <c r="Y107" s="48" t="str" cm="1">
        <f t="array" ref="Y107">IF( ISBLANK(Y$93), "",EvaluatePolynomial(Y$93:Y$99,$A107))</f>
        <v/>
      </c>
      <c r="Z107" s="48" t="str" cm="1">
        <f t="array" ref="Z107">IF( ISBLANK(Z$93), "",EvaluatePolynomial(Z$93:Z$99,$A107))</f>
        <v/>
      </c>
      <c r="AA107" s="48" t="str" cm="1">
        <f t="array" ref="AA107">IF( ISBLANK(AA$93), "",EvaluatePolynomial(AA$93:AA$99,$A107))</f>
        <v/>
      </c>
      <c r="AB107" s="49" t="str" cm="1">
        <f t="array" ref="AB107">IF( ISBLANK(AB$93), "",EvaluatePolynomial(AB$93:AB$99,$A107))</f>
        <v/>
      </c>
      <c r="AC107" s="2"/>
    </row>
    <row r="108" spans="1:29" x14ac:dyDescent="0.25">
      <c r="A108" s="46">
        <v>125</v>
      </c>
      <c r="B108" s="47" t="str" cm="1">
        <f t="array" ref="B108">IF( ISBLANK(B$93), "",EvaluatePolynomial(B$93:B$99,$A108))</f>
        <v/>
      </c>
      <c r="C108" s="47" t="str" cm="1">
        <f t="array" ref="C108">IF( ISBLANK(C$93), "",EvaluatePolynomial(C$93:C$99,$A108))</f>
        <v/>
      </c>
      <c r="D108" s="48" t="str" cm="1">
        <f t="array" ref="D108">IF( ISBLANK(D$93), "",EvaluatePolynomial(D$93:D$99,$A108))</f>
        <v/>
      </c>
      <c r="E108" s="48" t="str" cm="1">
        <f t="array" ref="E108">IF( ISBLANK(E$93), "",EvaluatePolynomial(E$93:E$99,$A108))</f>
        <v/>
      </c>
      <c r="F108" s="48" t="str" cm="1">
        <f t="array" ref="F108">IF( ISBLANK(F$93), "",EvaluatePolynomial(F$93:F$99,$A108))</f>
        <v/>
      </c>
      <c r="G108" s="48" t="str" cm="1">
        <f t="array" ref="G108">IF( ISBLANK(G$93), "",EvaluatePolynomial(G$93:G$99,$A108))</f>
        <v/>
      </c>
      <c r="H108" s="48" t="str" cm="1">
        <f t="array" ref="H108">IF( ISBLANK(H$93), "",EvaluatePolynomial(H$93:H$99,$A108))</f>
        <v/>
      </c>
      <c r="I108" s="48" t="str" cm="1">
        <f t="array" ref="I108">IF( ISBLANK(I$93), "",EvaluatePolynomial(I$93:I$99,$A108))</f>
        <v/>
      </c>
      <c r="J108" s="48" t="str" cm="1">
        <f t="array" ref="J108">IF( ISBLANK(J$93), "",EvaluatePolynomial(J$93:J$99,$A108))</f>
        <v/>
      </c>
      <c r="K108" s="48" t="str" cm="1">
        <f t="array" ref="K108">IF( ISBLANK(K$93), "",EvaluatePolynomial(K$93:K$99,$A108))</f>
        <v/>
      </c>
      <c r="L108" s="48" t="str" cm="1">
        <f t="array" ref="L108">IF( ISBLANK(L$93), "",EvaluatePolynomial(L$93:L$99,$A108))</f>
        <v/>
      </c>
      <c r="M108" s="48" t="str" cm="1">
        <f t="array" ref="M108">IF( ISBLANK(M$93), "",EvaluatePolynomial(M$93:M$99,$A108))</f>
        <v/>
      </c>
      <c r="N108" s="48" t="str" cm="1">
        <f t="array" ref="N108">IF( ISBLANK(N$93), "",EvaluatePolynomial(N$93:N$99,$A108))</f>
        <v/>
      </c>
      <c r="O108" s="48" t="str" cm="1">
        <f t="array" ref="O108">IF( ISBLANK(O$93), "",EvaluatePolynomial(O$93:O$99,$A108))</f>
        <v/>
      </c>
      <c r="P108" s="48" t="str" cm="1">
        <f t="array" ref="P108">IF( ISBLANK(P$93), "",EvaluatePolynomial(P$93:P$99,$A108))</f>
        <v/>
      </c>
      <c r="Q108" s="48" t="str" cm="1">
        <f t="array" ref="Q108">IF( ISBLANK(Q$93), "",EvaluatePolynomial(Q$93:Q$99,$A108))</f>
        <v/>
      </c>
      <c r="R108" s="48" t="str" cm="1">
        <f t="array" ref="R108">IF( ISBLANK(R$93), "",EvaluatePolynomial(R$93:R$99,$A108))</f>
        <v/>
      </c>
      <c r="S108" s="48" t="str" cm="1">
        <f t="array" ref="S108">IF( ISBLANK(S$93), "",EvaluatePolynomial(S$93:S$99,$A108))</f>
        <v/>
      </c>
      <c r="T108" s="48" t="str" cm="1">
        <f t="array" ref="T108">IF( ISBLANK(T$93), "",EvaluatePolynomial(T$93:T$99,$A108))</f>
        <v/>
      </c>
      <c r="U108" s="48" t="str" cm="1">
        <f t="array" ref="U108">IF( ISBLANK(U$93), "",EvaluatePolynomial(U$93:U$99,$A108))</f>
        <v/>
      </c>
      <c r="V108" s="48" t="str" cm="1">
        <f t="array" ref="V108">IF( ISBLANK(V$93), "",EvaluatePolynomial(V$93:V$99,$A108))</f>
        <v/>
      </c>
      <c r="W108" s="48" t="str" cm="1">
        <f t="array" ref="W108">IF( ISBLANK(W$93), "",EvaluatePolynomial(W$93:W$99,$A108))</f>
        <v/>
      </c>
      <c r="X108" s="48" t="str" cm="1">
        <f t="array" ref="X108">IF( ISBLANK(X$93), "",EvaluatePolynomial(X$93:X$99,$A108))</f>
        <v/>
      </c>
      <c r="Y108" s="48" t="str" cm="1">
        <f t="array" ref="Y108">IF( ISBLANK(Y$93), "",EvaluatePolynomial(Y$93:Y$99,$A108))</f>
        <v/>
      </c>
      <c r="Z108" s="48" t="str" cm="1">
        <f t="array" ref="Z108">IF( ISBLANK(Z$93), "",EvaluatePolynomial(Z$93:Z$99,$A108))</f>
        <v/>
      </c>
      <c r="AA108" s="48" t="str" cm="1">
        <f t="array" ref="AA108">IF( ISBLANK(AA$93), "",EvaluatePolynomial(AA$93:AA$99,$A108))</f>
        <v/>
      </c>
      <c r="AB108" s="49" t="str" cm="1">
        <f t="array" ref="AB108">IF( ISBLANK(AB$93), "",EvaluatePolynomial(AB$93:AB$99,$A108))</f>
        <v/>
      </c>
      <c r="AC108" s="2"/>
    </row>
    <row r="109" spans="1:29" x14ac:dyDescent="0.25">
      <c r="A109" s="46">
        <v>150</v>
      </c>
      <c r="B109" s="47" t="str" cm="1">
        <f t="array" ref="B109">IF( ISBLANK(B$93), "",EvaluatePolynomial(B$93:B$99,$A109))</f>
        <v/>
      </c>
      <c r="C109" s="47" t="str" cm="1">
        <f t="array" ref="C109">IF( ISBLANK(C$93), "",EvaluatePolynomial(C$93:C$99,$A109))</f>
        <v/>
      </c>
      <c r="D109" s="48" t="str" cm="1">
        <f t="array" ref="D109">IF( ISBLANK(D$93), "",EvaluatePolynomial(D$93:D$99,$A109))</f>
        <v/>
      </c>
      <c r="E109" s="48" t="str" cm="1">
        <f t="array" ref="E109">IF( ISBLANK(E$93), "",EvaluatePolynomial(E$93:E$99,$A109))</f>
        <v/>
      </c>
      <c r="F109" s="48" t="str" cm="1">
        <f t="array" ref="F109">IF( ISBLANK(F$93), "",EvaluatePolynomial(F$93:F$99,$A109))</f>
        <v/>
      </c>
      <c r="G109" s="48" t="str" cm="1">
        <f t="array" ref="G109">IF( ISBLANK(G$93), "",EvaluatePolynomial(G$93:G$99,$A109))</f>
        <v/>
      </c>
      <c r="H109" s="48" t="str" cm="1">
        <f t="array" ref="H109">IF( ISBLANK(H$93), "",EvaluatePolynomial(H$93:H$99,$A109))</f>
        <v/>
      </c>
      <c r="I109" s="48" t="str" cm="1">
        <f t="array" ref="I109">IF( ISBLANK(I$93), "",EvaluatePolynomial(I$93:I$99,$A109))</f>
        <v/>
      </c>
      <c r="J109" s="48" t="str" cm="1">
        <f t="array" ref="J109">IF( ISBLANK(J$93), "",EvaluatePolynomial(J$93:J$99,$A109))</f>
        <v/>
      </c>
      <c r="K109" s="48" t="str" cm="1">
        <f t="array" ref="K109">IF( ISBLANK(K$93), "",EvaluatePolynomial(K$93:K$99,$A109))</f>
        <v/>
      </c>
      <c r="L109" s="48" t="str" cm="1">
        <f t="array" ref="L109">IF( ISBLANK(L$93), "",EvaluatePolynomial(L$93:L$99,$A109))</f>
        <v/>
      </c>
      <c r="M109" s="48" t="str" cm="1">
        <f t="array" ref="M109">IF( ISBLANK(M$93), "",EvaluatePolynomial(M$93:M$99,$A109))</f>
        <v/>
      </c>
      <c r="N109" s="48" t="str" cm="1">
        <f t="array" ref="N109">IF( ISBLANK(N$93), "",EvaluatePolynomial(N$93:N$99,$A109))</f>
        <v/>
      </c>
      <c r="O109" s="48" t="str" cm="1">
        <f t="array" ref="O109">IF( ISBLANK(O$93), "",EvaluatePolynomial(O$93:O$99,$A109))</f>
        <v/>
      </c>
      <c r="P109" s="48" t="str" cm="1">
        <f t="array" ref="P109">IF( ISBLANK(P$93), "",EvaluatePolynomial(P$93:P$99,$A109))</f>
        <v/>
      </c>
      <c r="Q109" s="48" t="str" cm="1">
        <f t="array" ref="Q109">IF( ISBLANK(Q$93), "",EvaluatePolynomial(Q$93:Q$99,$A109))</f>
        <v/>
      </c>
      <c r="R109" s="48" t="str" cm="1">
        <f t="array" ref="R109">IF( ISBLANK(R$93), "",EvaluatePolynomial(R$93:R$99,$A109))</f>
        <v/>
      </c>
      <c r="S109" s="48" t="str" cm="1">
        <f t="array" ref="S109">IF( ISBLANK(S$93), "",EvaluatePolynomial(S$93:S$99,$A109))</f>
        <v/>
      </c>
      <c r="T109" s="48" t="str" cm="1">
        <f t="array" ref="T109">IF( ISBLANK(T$93), "",EvaluatePolynomial(T$93:T$99,$A109))</f>
        <v/>
      </c>
      <c r="U109" s="48" t="str" cm="1">
        <f t="array" ref="U109">IF( ISBLANK(U$93), "",EvaluatePolynomial(U$93:U$99,$A109))</f>
        <v/>
      </c>
      <c r="V109" s="48" t="str" cm="1">
        <f t="array" ref="V109">IF( ISBLANK(V$93), "",EvaluatePolynomial(V$93:V$99,$A109))</f>
        <v/>
      </c>
      <c r="W109" s="48" t="str" cm="1">
        <f t="array" ref="W109">IF( ISBLANK(W$93), "",EvaluatePolynomial(W$93:W$99,$A109))</f>
        <v/>
      </c>
      <c r="X109" s="48" t="str" cm="1">
        <f t="array" ref="X109">IF( ISBLANK(X$93), "",EvaluatePolynomial(X$93:X$99,$A109))</f>
        <v/>
      </c>
      <c r="Y109" s="48" t="str" cm="1">
        <f t="array" ref="Y109">IF( ISBLANK(Y$93), "",EvaluatePolynomial(Y$93:Y$99,$A109))</f>
        <v/>
      </c>
      <c r="Z109" s="48" t="str" cm="1">
        <f t="array" ref="Z109">IF( ISBLANK(Z$93), "",EvaluatePolynomial(Z$93:Z$99,$A109))</f>
        <v/>
      </c>
      <c r="AA109" s="48" t="str" cm="1">
        <f t="array" ref="AA109">IF( ISBLANK(AA$93), "",EvaluatePolynomial(AA$93:AA$99,$A109))</f>
        <v/>
      </c>
      <c r="AB109" s="49" t="str" cm="1">
        <f t="array" ref="AB109">IF( ISBLANK(AB$93), "",EvaluatePolynomial(AB$93:AB$99,$A109))</f>
        <v/>
      </c>
      <c r="AC109" s="2"/>
    </row>
    <row r="110" spans="1:29" x14ac:dyDescent="0.25">
      <c r="A110" s="46">
        <v>175</v>
      </c>
      <c r="B110" s="47" t="str" cm="1">
        <f t="array" ref="B110">IF( ISBLANK(B$93), "",EvaluatePolynomial(B$93:B$99,$A110))</f>
        <v/>
      </c>
      <c r="C110" s="47" t="str" cm="1">
        <f t="array" ref="C110">IF( ISBLANK(C$93), "",EvaluatePolynomial(C$93:C$99,$A110))</f>
        <v/>
      </c>
      <c r="D110" s="48" t="str" cm="1">
        <f t="array" ref="D110">IF( ISBLANK(D$93), "",EvaluatePolynomial(D$93:D$99,$A110))</f>
        <v/>
      </c>
      <c r="E110" s="48" t="str" cm="1">
        <f t="array" ref="E110">IF( ISBLANK(E$93), "",EvaluatePolynomial(E$93:E$99,$A110))</f>
        <v/>
      </c>
      <c r="F110" s="48" t="str" cm="1">
        <f t="array" ref="F110">IF( ISBLANK(F$93), "",EvaluatePolynomial(F$93:F$99,$A110))</f>
        <v/>
      </c>
      <c r="G110" s="48" t="str" cm="1">
        <f t="array" ref="G110">IF( ISBLANK(G$93), "",EvaluatePolynomial(G$93:G$99,$A110))</f>
        <v/>
      </c>
      <c r="H110" s="48" t="str" cm="1">
        <f t="array" ref="H110">IF( ISBLANK(H$93), "",EvaluatePolynomial(H$93:H$99,$A110))</f>
        <v/>
      </c>
      <c r="I110" s="48" t="str" cm="1">
        <f t="array" ref="I110">IF( ISBLANK(I$93), "",EvaluatePolynomial(I$93:I$99,$A110))</f>
        <v/>
      </c>
      <c r="J110" s="48" t="str" cm="1">
        <f t="array" ref="J110">IF( ISBLANK(J$93), "",EvaluatePolynomial(J$93:J$99,$A110))</f>
        <v/>
      </c>
      <c r="K110" s="48" t="str" cm="1">
        <f t="array" ref="K110">IF( ISBLANK(K$93), "",EvaluatePolynomial(K$93:K$99,$A110))</f>
        <v/>
      </c>
      <c r="L110" s="48" t="str" cm="1">
        <f t="array" ref="L110">IF( ISBLANK(L$93), "",EvaluatePolynomial(L$93:L$99,$A110))</f>
        <v/>
      </c>
      <c r="M110" s="48" t="str" cm="1">
        <f t="array" ref="M110">IF( ISBLANK(M$93), "",EvaluatePolynomial(M$93:M$99,$A110))</f>
        <v/>
      </c>
      <c r="N110" s="48" t="str" cm="1">
        <f t="array" ref="N110">IF( ISBLANK(N$93), "",EvaluatePolynomial(N$93:N$99,$A110))</f>
        <v/>
      </c>
      <c r="O110" s="48" t="str" cm="1">
        <f t="array" ref="O110">IF( ISBLANK(O$93), "",EvaluatePolynomial(O$93:O$99,$A110))</f>
        <v/>
      </c>
      <c r="P110" s="48" t="str" cm="1">
        <f t="array" ref="P110">IF( ISBLANK(P$93), "",EvaluatePolynomial(P$93:P$99,$A110))</f>
        <v/>
      </c>
      <c r="Q110" s="48" t="str" cm="1">
        <f t="array" ref="Q110">IF( ISBLANK(Q$93), "",EvaluatePolynomial(Q$93:Q$99,$A110))</f>
        <v/>
      </c>
      <c r="R110" s="48" t="str" cm="1">
        <f t="array" ref="R110">IF( ISBLANK(R$93), "",EvaluatePolynomial(R$93:R$99,$A110))</f>
        <v/>
      </c>
      <c r="S110" s="48" t="str" cm="1">
        <f t="array" ref="S110">IF( ISBLANK(S$93), "",EvaluatePolynomial(S$93:S$99,$A110))</f>
        <v/>
      </c>
      <c r="T110" s="48" t="str" cm="1">
        <f t="array" ref="T110">IF( ISBLANK(T$93), "",EvaluatePolynomial(T$93:T$99,$A110))</f>
        <v/>
      </c>
      <c r="U110" s="48" t="str" cm="1">
        <f t="array" ref="U110">IF( ISBLANK(U$93), "",EvaluatePolynomial(U$93:U$99,$A110))</f>
        <v/>
      </c>
      <c r="V110" s="48" t="str" cm="1">
        <f t="array" ref="V110">IF( ISBLANK(V$93), "",EvaluatePolynomial(V$93:V$99,$A110))</f>
        <v/>
      </c>
      <c r="W110" s="48" t="str" cm="1">
        <f t="array" ref="W110">IF( ISBLANK(W$93), "",EvaluatePolynomial(W$93:W$99,$A110))</f>
        <v/>
      </c>
      <c r="X110" s="48" t="str" cm="1">
        <f t="array" ref="X110">IF( ISBLANK(X$93), "",EvaluatePolynomial(X$93:X$99,$A110))</f>
        <v/>
      </c>
      <c r="Y110" s="48" t="str" cm="1">
        <f t="array" ref="Y110">IF( ISBLANK(Y$93), "",EvaluatePolynomial(Y$93:Y$99,$A110))</f>
        <v/>
      </c>
      <c r="Z110" s="48" t="str" cm="1">
        <f t="array" ref="Z110">IF( ISBLANK(Z$93), "",EvaluatePolynomial(Z$93:Z$99,$A110))</f>
        <v/>
      </c>
      <c r="AA110" s="48" t="str" cm="1">
        <f t="array" ref="AA110">IF( ISBLANK(AA$93), "",EvaluatePolynomial(AA$93:AA$99,$A110))</f>
        <v/>
      </c>
      <c r="AB110" s="49" t="str" cm="1">
        <f t="array" ref="AB110">IF( ISBLANK(AB$93), "",EvaluatePolynomial(AB$93:AB$99,$A110))</f>
        <v/>
      </c>
      <c r="AC110" s="2"/>
    </row>
    <row r="111" spans="1:29" x14ac:dyDescent="0.25">
      <c r="A111" s="46">
        <v>200</v>
      </c>
      <c r="B111" s="47" t="str" cm="1">
        <f t="array" ref="B111">IF( ISBLANK(B$93), "",EvaluatePolynomial(B$93:B$99,$A111))</f>
        <v/>
      </c>
      <c r="C111" s="47" t="str" cm="1">
        <f t="array" ref="C111">IF( ISBLANK(C$93), "",EvaluatePolynomial(C$93:C$99,$A111))</f>
        <v/>
      </c>
      <c r="D111" s="48" t="str" cm="1">
        <f t="array" ref="D111">IF( ISBLANK(D$93), "",EvaluatePolynomial(D$93:D$99,$A111))</f>
        <v/>
      </c>
      <c r="E111" s="48" t="str" cm="1">
        <f t="array" ref="E111">IF( ISBLANK(E$93), "",EvaluatePolynomial(E$93:E$99,$A111))</f>
        <v/>
      </c>
      <c r="F111" s="48" t="str" cm="1">
        <f t="array" ref="F111">IF( ISBLANK(F$93), "",EvaluatePolynomial(F$93:F$99,$A111))</f>
        <v/>
      </c>
      <c r="G111" s="48" t="str" cm="1">
        <f t="array" ref="G111">IF( ISBLANK(G$93), "",EvaluatePolynomial(G$93:G$99,$A111))</f>
        <v/>
      </c>
      <c r="H111" s="48" t="str" cm="1">
        <f t="array" ref="H111">IF( ISBLANK(H$93), "",EvaluatePolynomial(H$93:H$99,$A111))</f>
        <v/>
      </c>
      <c r="I111" s="48" t="str" cm="1">
        <f t="array" ref="I111">IF( ISBLANK(I$93), "",EvaluatePolynomial(I$93:I$99,$A111))</f>
        <v/>
      </c>
      <c r="J111" s="48" t="str" cm="1">
        <f t="array" ref="J111">IF( ISBLANK(J$93), "",EvaluatePolynomial(J$93:J$99,$A111))</f>
        <v/>
      </c>
      <c r="K111" s="48" t="str" cm="1">
        <f t="array" ref="K111">IF( ISBLANK(K$93), "",EvaluatePolynomial(K$93:K$99,$A111))</f>
        <v/>
      </c>
      <c r="L111" s="48" t="str" cm="1">
        <f t="array" ref="L111">IF( ISBLANK(L$93), "",EvaluatePolynomial(L$93:L$99,$A111))</f>
        <v/>
      </c>
      <c r="M111" s="48" t="str" cm="1">
        <f t="array" ref="M111">IF( ISBLANK(M$93), "",EvaluatePolynomial(M$93:M$99,$A111))</f>
        <v/>
      </c>
      <c r="N111" s="48" t="str" cm="1">
        <f t="array" ref="N111">IF( ISBLANK(N$93), "",EvaluatePolynomial(N$93:N$99,$A111))</f>
        <v/>
      </c>
      <c r="O111" s="48" t="str" cm="1">
        <f t="array" ref="O111">IF( ISBLANK(O$93), "",EvaluatePolynomial(O$93:O$99,$A111))</f>
        <v/>
      </c>
      <c r="P111" s="48" t="str" cm="1">
        <f t="array" ref="P111">IF( ISBLANK(P$93), "",EvaluatePolynomial(P$93:P$99,$A111))</f>
        <v/>
      </c>
      <c r="Q111" s="48" t="str" cm="1">
        <f t="array" ref="Q111">IF( ISBLANK(Q$93), "",EvaluatePolynomial(Q$93:Q$99,$A111))</f>
        <v/>
      </c>
      <c r="R111" s="48" t="str" cm="1">
        <f t="array" ref="R111">IF( ISBLANK(R$93), "",EvaluatePolynomial(R$93:R$99,$A111))</f>
        <v/>
      </c>
      <c r="S111" s="48" t="str" cm="1">
        <f t="array" ref="S111">IF( ISBLANK(S$93), "",EvaluatePolynomial(S$93:S$99,$A111))</f>
        <v/>
      </c>
      <c r="T111" s="48" t="str" cm="1">
        <f t="array" ref="T111">IF( ISBLANK(T$93), "",EvaluatePolynomial(T$93:T$99,$A111))</f>
        <v/>
      </c>
      <c r="U111" s="48" t="str" cm="1">
        <f t="array" ref="U111">IF( ISBLANK(U$93), "",EvaluatePolynomial(U$93:U$99,$A111))</f>
        <v/>
      </c>
      <c r="V111" s="48" t="str" cm="1">
        <f t="array" ref="V111">IF( ISBLANK(V$93), "",EvaluatePolynomial(V$93:V$99,$A111))</f>
        <v/>
      </c>
      <c r="W111" s="48" t="str" cm="1">
        <f t="array" ref="W111">IF( ISBLANK(W$93), "",EvaluatePolynomial(W$93:W$99,$A111))</f>
        <v/>
      </c>
      <c r="X111" s="48" t="str" cm="1">
        <f t="array" ref="X111">IF( ISBLANK(X$93), "",EvaluatePolynomial(X$93:X$99,$A111))</f>
        <v/>
      </c>
      <c r="Y111" s="48" t="str" cm="1">
        <f t="array" ref="Y111">IF( ISBLANK(Y$93), "",EvaluatePolynomial(Y$93:Y$99,$A111))</f>
        <v/>
      </c>
      <c r="Z111" s="48" t="str" cm="1">
        <f t="array" ref="Z111">IF( ISBLANK(Z$93), "",EvaluatePolynomial(Z$93:Z$99,$A111))</f>
        <v/>
      </c>
      <c r="AA111" s="48" t="str" cm="1">
        <f t="array" ref="AA111">IF( ISBLANK(AA$93), "",EvaluatePolynomial(AA$93:AA$99,$A111))</f>
        <v/>
      </c>
      <c r="AB111" s="49" t="str" cm="1">
        <f t="array" ref="AB111">IF( ISBLANK(AB$93), "",EvaluatePolynomial(AB$93:AB$99,$A111))</f>
        <v/>
      </c>
      <c r="AC111" s="2"/>
    </row>
    <row r="112" spans="1:29" x14ac:dyDescent="0.25">
      <c r="A112" s="46">
        <v>225</v>
      </c>
      <c r="B112" s="47" t="str" cm="1">
        <f t="array" ref="B112">IF( ISBLANK(B$93), "",EvaluatePolynomial(B$93:B$99,$A112))</f>
        <v/>
      </c>
      <c r="C112" s="47" t="str" cm="1">
        <f t="array" ref="C112">IF( ISBLANK(C$93), "",EvaluatePolynomial(C$93:C$99,$A112))</f>
        <v/>
      </c>
      <c r="D112" s="48" t="str" cm="1">
        <f t="array" ref="D112">IF( ISBLANK(D$93), "",EvaluatePolynomial(D$93:D$99,$A112))</f>
        <v/>
      </c>
      <c r="E112" s="48" t="str" cm="1">
        <f t="array" ref="E112">IF( ISBLANK(E$93), "",EvaluatePolynomial(E$93:E$99,$A112))</f>
        <v/>
      </c>
      <c r="F112" s="48" t="str" cm="1">
        <f t="array" ref="F112">IF( ISBLANK(F$93), "",EvaluatePolynomial(F$93:F$99,$A112))</f>
        <v/>
      </c>
      <c r="G112" s="48" t="str" cm="1">
        <f t="array" ref="G112">IF( ISBLANK(G$93), "",EvaluatePolynomial(G$93:G$99,$A112))</f>
        <v/>
      </c>
      <c r="H112" s="48" t="str" cm="1">
        <f t="array" ref="H112">IF( ISBLANK(H$93), "",EvaluatePolynomial(H$93:H$99,$A112))</f>
        <v/>
      </c>
      <c r="I112" s="48" t="str" cm="1">
        <f t="array" ref="I112">IF( ISBLANK(I$93), "",EvaluatePolynomial(I$93:I$99,$A112))</f>
        <v/>
      </c>
      <c r="J112" s="48" t="str" cm="1">
        <f t="array" ref="J112">IF( ISBLANK(J$93), "",EvaluatePolynomial(J$93:J$99,$A112))</f>
        <v/>
      </c>
      <c r="K112" s="48" t="str" cm="1">
        <f t="array" ref="K112">IF( ISBLANK(K$93), "",EvaluatePolynomial(K$93:K$99,$A112))</f>
        <v/>
      </c>
      <c r="L112" s="48" t="str" cm="1">
        <f t="array" ref="L112">IF( ISBLANK(L$93), "",EvaluatePolynomial(L$93:L$99,$A112))</f>
        <v/>
      </c>
      <c r="M112" s="48" t="str" cm="1">
        <f t="array" ref="M112">IF( ISBLANK(M$93), "",EvaluatePolynomial(M$93:M$99,$A112))</f>
        <v/>
      </c>
      <c r="N112" s="48" t="str" cm="1">
        <f t="array" ref="N112">IF( ISBLANK(N$93), "",EvaluatePolynomial(N$93:N$99,$A112))</f>
        <v/>
      </c>
      <c r="O112" s="48" t="str" cm="1">
        <f t="array" ref="O112">IF( ISBLANK(O$93), "",EvaluatePolynomial(O$93:O$99,$A112))</f>
        <v/>
      </c>
      <c r="P112" s="48" t="str" cm="1">
        <f t="array" ref="P112">IF( ISBLANK(P$93), "",EvaluatePolynomial(P$93:P$99,$A112))</f>
        <v/>
      </c>
      <c r="Q112" s="48" t="str" cm="1">
        <f t="array" ref="Q112">IF( ISBLANK(Q$93), "",EvaluatePolynomial(Q$93:Q$99,$A112))</f>
        <v/>
      </c>
      <c r="R112" s="48" t="str" cm="1">
        <f t="array" ref="R112">IF( ISBLANK(R$93), "",EvaluatePolynomial(R$93:R$99,$A112))</f>
        <v/>
      </c>
      <c r="S112" s="48" t="str" cm="1">
        <f t="array" ref="S112">IF( ISBLANK(S$93), "",EvaluatePolynomial(S$93:S$99,$A112))</f>
        <v/>
      </c>
      <c r="T112" s="48" t="str" cm="1">
        <f t="array" ref="T112">IF( ISBLANK(T$93), "",EvaluatePolynomial(T$93:T$99,$A112))</f>
        <v/>
      </c>
      <c r="U112" s="48" t="str" cm="1">
        <f t="array" ref="U112">IF( ISBLANK(U$93), "",EvaluatePolynomial(U$93:U$99,$A112))</f>
        <v/>
      </c>
      <c r="V112" s="48" t="str" cm="1">
        <f t="array" ref="V112">IF( ISBLANK(V$93), "",EvaluatePolynomial(V$93:V$99,$A112))</f>
        <v/>
      </c>
      <c r="W112" s="48" t="str" cm="1">
        <f t="array" ref="W112">IF( ISBLANK(W$93), "",EvaluatePolynomial(W$93:W$99,$A112))</f>
        <v/>
      </c>
      <c r="X112" s="48" t="str" cm="1">
        <f t="array" ref="X112">IF( ISBLANK(X$93), "",EvaluatePolynomial(X$93:X$99,$A112))</f>
        <v/>
      </c>
      <c r="Y112" s="48" t="str" cm="1">
        <f t="array" ref="Y112">IF( ISBLANK(Y$93), "",EvaluatePolynomial(Y$93:Y$99,$A112))</f>
        <v/>
      </c>
      <c r="Z112" s="48" t="str" cm="1">
        <f t="array" ref="Z112">IF( ISBLANK(Z$93), "",EvaluatePolynomial(Z$93:Z$99,$A112))</f>
        <v/>
      </c>
      <c r="AA112" s="48" t="str" cm="1">
        <f t="array" ref="AA112">IF( ISBLANK(AA$93), "",EvaluatePolynomial(AA$93:AA$99,$A112))</f>
        <v/>
      </c>
      <c r="AB112" s="49" t="str" cm="1">
        <f t="array" ref="AB112">IF( ISBLANK(AB$93), "",EvaluatePolynomial(AB$93:AB$99,$A112))</f>
        <v/>
      </c>
      <c r="AC112" s="2"/>
    </row>
    <row r="113" spans="1:29" x14ac:dyDescent="0.25">
      <c r="A113" s="46">
        <v>250</v>
      </c>
      <c r="B113" s="47" t="str" cm="1">
        <f t="array" ref="B113">IF( ISBLANK(B$93), "",EvaluatePolynomial(B$93:B$99,$A113))</f>
        <v/>
      </c>
      <c r="C113" s="47" t="str" cm="1">
        <f t="array" ref="C113">IF( ISBLANK(C$93), "",EvaluatePolynomial(C$93:C$99,$A113))</f>
        <v/>
      </c>
      <c r="D113" s="48" t="str" cm="1">
        <f t="array" ref="D113">IF( ISBLANK(D$93), "",EvaluatePolynomial(D$93:D$99,$A113))</f>
        <v/>
      </c>
      <c r="E113" s="48" t="str" cm="1">
        <f t="array" ref="E113">IF( ISBLANK(E$93), "",EvaluatePolynomial(E$93:E$99,$A113))</f>
        <v/>
      </c>
      <c r="F113" s="48" t="str" cm="1">
        <f t="array" ref="F113">IF( ISBLANK(F$93), "",EvaluatePolynomial(F$93:F$99,$A113))</f>
        <v/>
      </c>
      <c r="G113" s="48" t="str" cm="1">
        <f t="array" ref="G113">IF( ISBLANK(G$93), "",EvaluatePolynomial(G$93:G$99,$A113))</f>
        <v/>
      </c>
      <c r="H113" s="48" t="str" cm="1">
        <f t="array" ref="H113">IF( ISBLANK(H$93), "",EvaluatePolynomial(H$93:H$99,$A113))</f>
        <v/>
      </c>
      <c r="I113" s="48" t="str" cm="1">
        <f t="array" ref="I113">IF( ISBLANK(I$93), "",EvaluatePolynomial(I$93:I$99,$A113))</f>
        <v/>
      </c>
      <c r="J113" s="48" t="str" cm="1">
        <f t="array" ref="J113">IF( ISBLANK(J$93), "",EvaluatePolynomial(J$93:J$99,$A113))</f>
        <v/>
      </c>
      <c r="K113" s="48" t="str" cm="1">
        <f t="array" ref="K113">IF( ISBLANK(K$93), "",EvaluatePolynomial(K$93:K$99,$A113))</f>
        <v/>
      </c>
      <c r="L113" s="48" t="str" cm="1">
        <f t="array" ref="L113">IF( ISBLANK(L$93), "",EvaluatePolynomial(L$93:L$99,$A113))</f>
        <v/>
      </c>
      <c r="M113" s="48" t="str" cm="1">
        <f t="array" ref="M113">IF( ISBLANK(M$93), "",EvaluatePolynomial(M$93:M$99,$A113))</f>
        <v/>
      </c>
      <c r="N113" s="48" t="str" cm="1">
        <f t="array" ref="N113">IF( ISBLANK(N$93), "",EvaluatePolynomial(N$93:N$99,$A113))</f>
        <v/>
      </c>
      <c r="O113" s="48" t="str" cm="1">
        <f t="array" ref="O113">IF( ISBLANK(O$93), "",EvaluatePolynomial(O$93:O$99,$A113))</f>
        <v/>
      </c>
      <c r="P113" s="48" t="str" cm="1">
        <f t="array" ref="P113">IF( ISBLANK(P$93), "",EvaluatePolynomial(P$93:P$99,$A113))</f>
        <v/>
      </c>
      <c r="Q113" s="48" t="str" cm="1">
        <f t="array" ref="Q113">IF( ISBLANK(Q$93), "",EvaluatePolynomial(Q$93:Q$99,$A113))</f>
        <v/>
      </c>
      <c r="R113" s="48" t="str" cm="1">
        <f t="array" ref="R113">IF( ISBLANK(R$93), "",EvaluatePolynomial(R$93:R$99,$A113))</f>
        <v/>
      </c>
      <c r="S113" s="48" t="str" cm="1">
        <f t="array" ref="S113">IF( ISBLANK(S$93), "",EvaluatePolynomial(S$93:S$99,$A113))</f>
        <v/>
      </c>
      <c r="T113" s="48" t="str" cm="1">
        <f t="array" ref="T113">IF( ISBLANK(T$93), "",EvaluatePolynomial(T$93:T$99,$A113))</f>
        <v/>
      </c>
      <c r="U113" s="48" t="str" cm="1">
        <f t="array" ref="U113">IF( ISBLANK(U$93), "",EvaluatePolynomial(U$93:U$99,$A113))</f>
        <v/>
      </c>
      <c r="V113" s="48" t="str" cm="1">
        <f t="array" ref="V113">IF( ISBLANK(V$93), "",EvaluatePolynomial(V$93:V$99,$A113))</f>
        <v/>
      </c>
      <c r="W113" s="48" t="str" cm="1">
        <f t="array" ref="W113">IF( ISBLANK(W$93), "",EvaluatePolynomial(W$93:W$99,$A113))</f>
        <v/>
      </c>
      <c r="X113" s="48" t="str" cm="1">
        <f t="array" ref="X113">IF( ISBLANK(X$93), "",EvaluatePolynomial(X$93:X$99,$A113))</f>
        <v/>
      </c>
      <c r="Y113" s="48" t="str" cm="1">
        <f t="array" ref="Y113">IF( ISBLANK(Y$93), "",EvaluatePolynomial(Y$93:Y$99,$A113))</f>
        <v/>
      </c>
      <c r="Z113" s="48" t="str" cm="1">
        <f t="array" ref="Z113">IF( ISBLANK(Z$93), "",EvaluatePolynomial(Z$93:Z$99,$A113))</f>
        <v/>
      </c>
      <c r="AA113" s="48" t="str" cm="1">
        <f t="array" ref="AA113">IF( ISBLANK(AA$93), "",EvaluatePolynomial(AA$93:AA$99,$A113))</f>
        <v/>
      </c>
      <c r="AB113" s="49" t="str" cm="1">
        <f t="array" ref="AB113">IF( ISBLANK(AB$93), "",EvaluatePolynomial(AB$93:AB$99,$A113))</f>
        <v/>
      </c>
      <c r="AC113" s="2"/>
    </row>
    <row r="114" spans="1:29" x14ac:dyDescent="0.25">
      <c r="A114" s="46">
        <v>275</v>
      </c>
      <c r="B114" s="47" t="str" cm="1">
        <f t="array" ref="B114">IF( ISBLANK(B$93), "",EvaluatePolynomial(B$93:B$99,$A114))</f>
        <v/>
      </c>
      <c r="C114" s="47" t="str" cm="1">
        <f t="array" ref="C114">IF( ISBLANK(C$93), "",EvaluatePolynomial(C$93:C$99,$A114))</f>
        <v/>
      </c>
      <c r="D114" s="48" t="str" cm="1">
        <f t="array" ref="D114">IF( ISBLANK(D$93), "",EvaluatePolynomial(D$93:D$99,$A114))</f>
        <v/>
      </c>
      <c r="E114" s="48" t="str" cm="1">
        <f t="array" ref="E114">IF( ISBLANK(E$93), "",EvaluatePolynomial(E$93:E$99,$A114))</f>
        <v/>
      </c>
      <c r="F114" s="48" t="str" cm="1">
        <f t="array" ref="F114">IF( ISBLANK(F$93), "",EvaluatePolynomial(F$93:F$99,$A114))</f>
        <v/>
      </c>
      <c r="G114" s="48" t="str" cm="1">
        <f t="array" ref="G114">IF( ISBLANK(G$93), "",EvaluatePolynomial(G$93:G$99,$A114))</f>
        <v/>
      </c>
      <c r="H114" s="48" t="str" cm="1">
        <f t="array" ref="H114">IF( ISBLANK(H$93), "",EvaluatePolynomial(H$93:H$99,$A114))</f>
        <v/>
      </c>
      <c r="I114" s="48" t="str" cm="1">
        <f t="array" ref="I114">IF( ISBLANK(I$93), "",EvaluatePolynomial(I$93:I$99,$A114))</f>
        <v/>
      </c>
      <c r="J114" s="48" t="str" cm="1">
        <f t="array" ref="J114">IF( ISBLANK(J$93), "",EvaluatePolynomial(J$93:J$99,$A114))</f>
        <v/>
      </c>
      <c r="K114" s="48" t="str" cm="1">
        <f t="array" ref="K114">IF( ISBLANK(K$93), "",EvaluatePolynomial(K$93:K$99,$A114))</f>
        <v/>
      </c>
      <c r="L114" s="48" t="str" cm="1">
        <f t="array" ref="L114">IF( ISBLANK(L$93), "",EvaluatePolynomial(L$93:L$99,$A114))</f>
        <v/>
      </c>
      <c r="M114" s="48" t="str" cm="1">
        <f t="array" ref="M114">IF( ISBLANK(M$93), "",EvaluatePolynomial(M$93:M$99,$A114))</f>
        <v/>
      </c>
      <c r="N114" s="48" t="str" cm="1">
        <f t="array" ref="N114">IF( ISBLANK(N$93), "",EvaluatePolynomial(N$93:N$99,$A114))</f>
        <v/>
      </c>
      <c r="O114" s="48" t="str" cm="1">
        <f t="array" ref="O114">IF( ISBLANK(O$93), "",EvaluatePolynomial(O$93:O$99,$A114))</f>
        <v/>
      </c>
      <c r="P114" s="48" t="str" cm="1">
        <f t="array" ref="P114">IF( ISBLANK(P$93), "",EvaluatePolynomial(P$93:P$99,$A114))</f>
        <v/>
      </c>
      <c r="Q114" s="48" t="str" cm="1">
        <f t="array" ref="Q114">IF( ISBLANK(Q$93), "",EvaluatePolynomial(Q$93:Q$99,$A114))</f>
        <v/>
      </c>
      <c r="R114" s="48" t="str" cm="1">
        <f t="array" ref="R114">IF( ISBLANK(R$93), "",EvaluatePolynomial(R$93:R$99,$A114))</f>
        <v/>
      </c>
      <c r="S114" s="48" t="str" cm="1">
        <f t="array" ref="S114">IF( ISBLANK(S$93), "",EvaluatePolynomial(S$93:S$99,$A114))</f>
        <v/>
      </c>
      <c r="T114" s="48" t="str" cm="1">
        <f t="array" ref="T114">IF( ISBLANK(T$93), "",EvaluatePolynomial(T$93:T$99,$A114))</f>
        <v/>
      </c>
      <c r="U114" s="48" t="str" cm="1">
        <f t="array" ref="U114">IF( ISBLANK(U$93), "",EvaluatePolynomial(U$93:U$99,$A114))</f>
        <v/>
      </c>
      <c r="V114" s="48" t="str" cm="1">
        <f t="array" ref="V114">IF( ISBLANK(V$93), "",EvaluatePolynomial(V$93:V$99,$A114))</f>
        <v/>
      </c>
      <c r="W114" s="48" t="str" cm="1">
        <f t="array" ref="W114">IF( ISBLANK(W$93), "",EvaluatePolynomial(W$93:W$99,$A114))</f>
        <v/>
      </c>
      <c r="X114" s="48" t="str" cm="1">
        <f t="array" ref="X114">IF( ISBLANK(X$93), "",EvaluatePolynomial(X$93:X$99,$A114))</f>
        <v/>
      </c>
      <c r="Y114" s="48" t="str" cm="1">
        <f t="array" ref="Y114">IF( ISBLANK(Y$93), "",EvaluatePolynomial(Y$93:Y$99,$A114))</f>
        <v/>
      </c>
      <c r="Z114" s="48" t="str" cm="1">
        <f t="array" ref="Z114">IF( ISBLANK(Z$93), "",EvaluatePolynomial(Z$93:Z$99,$A114))</f>
        <v/>
      </c>
      <c r="AA114" s="48" t="str" cm="1">
        <f t="array" ref="AA114">IF( ISBLANK(AA$93), "",EvaluatePolynomial(AA$93:AA$99,$A114))</f>
        <v/>
      </c>
      <c r="AB114" s="49" t="str" cm="1">
        <f t="array" ref="AB114">IF( ISBLANK(AB$93), "",EvaluatePolynomial(AB$93:AB$99,$A114))</f>
        <v/>
      </c>
      <c r="AC114" s="2"/>
    </row>
    <row r="115" spans="1:29" x14ac:dyDescent="0.25">
      <c r="A115" s="46">
        <v>300</v>
      </c>
      <c r="B115" s="47" t="str" cm="1">
        <f t="array" ref="B115">IF( ISBLANK(B$93), "",EvaluatePolynomial(B$93:B$99,$A115))</f>
        <v/>
      </c>
      <c r="C115" s="47" t="str" cm="1">
        <f t="array" ref="C115">IF( ISBLANK(C$93), "",EvaluatePolynomial(C$93:C$99,$A115))</f>
        <v/>
      </c>
      <c r="D115" s="48" t="str" cm="1">
        <f t="array" ref="D115">IF( ISBLANK(D$93), "",EvaluatePolynomial(D$93:D$99,$A115))</f>
        <v/>
      </c>
      <c r="E115" s="48" t="str" cm="1">
        <f t="array" ref="E115">IF( ISBLANK(E$93), "",EvaluatePolynomial(E$93:E$99,$A115))</f>
        <v/>
      </c>
      <c r="F115" s="48" t="str" cm="1">
        <f t="array" ref="F115">IF( ISBLANK(F$93), "",EvaluatePolynomial(F$93:F$99,$A115))</f>
        <v/>
      </c>
      <c r="G115" s="48" t="str" cm="1">
        <f t="array" ref="G115">IF( ISBLANK(G$93), "",EvaluatePolynomial(G$93:G$99,$A115))</f>
        <v/>
      </c>
      <c r="H115" s="48" t="str" cm="1">
        <f t="array" ref="H115">IF( ISBLANK(H$93), "",EvaluatePolynomial(H$93:H$99,$A115))</f>
        <v/>
      </c>
      <c r="I115" s="48" t="str" cm="1">
        <f t="array" ref="I115">IF( ISBLANK(I$93), "",EvaluatePolynomial(I$93:I$99,$A115))</f>
        <v/>
      </c>
      <c r="J115" s="48" t="str" cm="1">
        <f t="array" ref="J115">IF( ISBLANK(J$93), "",EvaluatePolynomial(J$93:J$99,$A115))</f>
        <v/>
      </c>
      <c r="K115" s="48" t="str" cm="1">
        <f t="array" ref="K115">IF( ISBLANK(K$93), "",EvaluatePolynomial(K$93:K$99,$A115))</f>
        <v/>
      </c>
      <c r="L115" s="48" t="str" cm="1">
        <f t="array" ref="L115">IF( ISBLANK(L$93), "",EvaluatePolynomial(L$93:L$99,$A115))</f>
        <v/>
      </c>
      <c r="M115" s="48" t="str" cm="1">
        <f t="array" ref="M115">IF( ISBLANK(M$93), "",EvaluatePolynomial(M$93:M$99,$A115))</f>
        <v/>
      </c>
      <c r="N115" s="48" t="str" cm="1">
        <f t="array" ref="N115">IF( ISBLANK(N$93), "",EvaluatePolynomial(N$93:N$99,$A115))</f>
        <v/>
      </c>
      <c r="O115" s="48" t="str" cm="1">
        <f t="array" ref="O115">IF( ISBLANK(O$93), "",EvaluatePolynomial(O$93:O$99,$A115))</f>
        <v/>
      </c>
      <c r="P115" s="48" t="str" cm="1">
        <f t="array" ref="P115">IF( ISBLANK(P$93), "",EvaluatePolynomial(P$93:P$99,$A115))</f>
        <v/>
      </c>
      <c r="Q115" s="48" t="str" cm="1">
        <f t="array" ref="Q115">IF( ISBLANK(Q$93), "",EvaluatePolynomial(Q$93:Q$99,$A115))</f>
        <v/>
      </c>
      <c r="R115" s="48" t="str" cm="1">
        <f t="array" ref="R115">IF( ISBLANK(R$93), "",EvaluatePolynomial(R$93:R$99,$A115))</f>
        <v/>
      </c>
      <c r="S115" s="48" t="str" cm="1">
        <f t="array" ref="S115">IF( ISBLANK(S$93), "",EvaluatePolynomial(S$93:S$99,$A115))</f>
        <v/>
      </c>
      <c r="T115" s="48" t="str" cm="1">
        <f t="array" ref="T115">IF( ISBLANK(T$93), "",EvaluatePolynomial(T$93:T$99,$A115))</f>
        <v/>
      </c>
      <c r="U115" s="48" t="str" cm="1">
        <f t="array" ref="U115">IF( ISBLANK(U$93), "",EvaluatePolynomial(U$93:U$99,$A115))</f>
        <v/>
      </c>
      <c r="V115" s="48" t="str" cm="1">
        <f t="array" ref="V115">IF( ISBLANK(V$93), "",EvaluatePolynomial(V$93:V$99,$A115))</f>
        <v/>
      </c>
      <c r="W115" s="48" t="str" cm="1">
        <f t="array" ref="W115">IF( ISBLANK(W$93), "",EvaluatePolynomial(W$93:W$99,$A115))</f>
        <v/>
      </c>
      <c r="X115" s="48" t="str" cm="1">
        <f t="array" ref="X115">IF( ISBLANK(X$93), "",EvaluatePolynomial(X$93:X$99,$A115))</f>
        <v/>
      </c>
      <c r="Y115" s="48" t="str" cm="1">
        <f t="array" ref="Y115">IF( ISBLANK(Y$93), "",EvaluatePolynomial(Y$93:Y$99,$A115))</f>
        <v/>
      </c>
      <c r="Z115" s="48" t="str" cm="1">
        <f t="array" ref="Z115">IF( ISBLANK(Z$93), "",EvaluatePolynomial(Z$93:Z$99,$A115))</f>
        <v/>
      </c>
      <c r="AA115" s="48" t="str" cm="1">
        <f t="array" ref="AA115">IF( ISBLANK(AA$93), "",EvaluatePolynomial(AA$93:AA$99,$A115))</f>
        <v/>
      </c>
      <c r="AB115" s="49" t="str" cm="1">
        <f t="array" ref="AB115">IF( ISBLANK(AB$93), "",EvaluatePolynomial(AB$93:AB$99,$A115))</f>
        <v/>
      </c>
      <c r="AC115" s="2"/>
    </row>
    <row r="116" spans="1:29" x14ac:dyDescent="0.25">
      <c r="A116" s="46">
        <v>325</v>
      </c>
      <c r="B116" s="47" t="str" cm="1">
        <f t="array" ref="B116">IF( ISBLANK(B$93), "",EvaluatePolynomial(B$93:B$99,$A116))</f>
        <v/>
      </c>
      <c r="C116" s="47" t="str" cm="1">
        <f t="array" ref="C116">IF( ISBLANK(C$93), "",EvaluatePolynomial(C$93:C$99,$A116))</f>
        <v/>
      </c>
      <c r="D116" s="48" t="str" cm="1">
        <f t="array" ref="D116">IF( ISBLANK(D$93), "",EvaluatePolynomial(D$93:D$99,$A116))</f>
        <v/>
      </c>
      <c r="E116" s="48" t="str" cm="1">
        <f t="array" ref="E116">IF( ISBLANK(E$93), "",EvaluatePolynomial(E$93:E$99,$A116))</f>
        <v/>
      </c>
      <c r="F116" s="48" t="str" cm="1">
        <f t="array" ref="F116">IF( ISBLANK(F$93), "",EvaluatePolynomial(F$93:F$99,$A116))</f>
        <v/>
      </c>
      <c r="G116" s="48" t="str" cm="1">
        <f t="array" ref="G116">IF( ISBLANK(G$93), "",EvaluatePolynomial(G$93:G$99,$A116))</f>
        <v/>
      </c>
      <c r="H116" s="48" t="str" cm="1">
        <f t="array" ref="H116">IF( ISBLANK(H$93), "",EvaluatePolynomial(H$93:H$99,$A116))</f>
        <v/>
      </c>
      <c r="I116" s="48" t="str" cm="1">
        <f t="array" ref="I116">IF( ISBLANK(I$93), "",EvaluatePolynomial(I$93:I$99,$A116))</f>
        <v/>
      </c>
      <c r="J116" s="48" t="str" cm="1">
        <f t="array" ref="J116">IF( ISBLANK(J$93), "",EvaluatePolynomial(J$93:J$99,$A116))</f>
        <v/>
      </c>
      <c r="K116" s="48" t="str" cm="1">
        <f t="array" ref="K116">IF( ISBLANK(K$93), "",EvaluatePolynomial(K$93:K$99,$A116))</f>
        <v/>
      </c>
      <c r="L116" s="48" t="str" cm="1">
        <f t="array" ref="L116">IF( ISBLANK(L$93), "",EvaluatePolynomial(L$93:L$99,$A116))</f>
        <v/>
      </c>
      <c r="M116" s="48" t="str" cm="1">
        <f t="array" ref="M116">IF( ISBLANK(M$93), "",EvaluatePolynomial(M$93:M$99,$A116))</f>
        <v/>
      </c>
      <c r="N116" s="48" t="str" cm="1">
        <f t="array" ref="N116">IF( ISBLANK(N$93), "",EvaluatePolynomial(N$93:N$99,$A116))</f>
        <v/>
      </c>
      <c r="O116" s="48" t="str" cm="1">
        <f t="array" ref="O116">IF( ISBLANK(O$93), "",EvaluatePolynomial(O$93:O$99,$A116))</f>
        <v/>
      </c>
      <c r="P116" s="48" t="str" cm="1">
        <f t="array" ref="P116">IF( ISBLANK(P$93), "",EvaluatePolynomial(P$93:P$99,$A116))</f>
        <v/>
      </c>
      <c r="Q116" s="48" t="str" cm="1">
        <f t="array" ref="Q116">IF( ISBLANK(Q$93), "",EvaluatePolynomial(Q$93:Q$99,$A116))</f>
        <v/>
      </c>
      <c r="R116" s="48" t="str" cm="1">
        <f t="array" ref="R116">IF( ISBLANK(R$93), "",EvaluatePolynomial(R$93:R$99,$A116))</f>
        <v/>
      </c>
      <c r="S116" s="48" t="str" cm="1">
        <f t="array" ref="S116">IF( ISBLANK(S$93), "",EvaluatePolynomial(S$93:S$99,$A116))</f>
        <v/>
      </c>
      <c r="T116" s="48" t="str" cm="1">
        <f t="array" ref="T116">IF( ISBLANK(T$93), "",EvaluatePolynomial(T$93:T$99,$A116))</f>
        <v/>
      </c>
      <c r="U116" s="48" t="str" cm="1">
        <f t="array" ref="U116">IF( ISBLANK(U$93), "",EvaluatePolynomial(U$93:U$99,$A116))</f>
        <v/>
      </c>
      <c r="V116" s="48" t="str" cm="1">
        <f t="array" ref="V116">IF( ISBLANK(V$93), "",EvaluatePolynomial(V$93:V$99,$A116))</f>
        <v/>
      </c>
      <c r="W116" s="48" t="str" cm="1">
        <f t="array" ref="W116">IF( ISBLANK(W$93), "",EvaluatePolynomial(W$93:W$99,$A116))</f>
        <v/>
      </c>
      <c r="X116" s="48" t="str" cm="1">
        <f t="array" ref="X116">IF( ISBLANK(X$93), "",EvaluatePolynomial(X$93:X$99,$A116))</f>
        <v/>
      </c>
      <c r="Y116" s="48" t="str" cm="1">
        <f t="array" ref="Y116">IF( ISBLANK(Y$93), "",EvaluatePolynomial(Y$93:Y$99,$A116))</f>
        <v/>
      </c>
      <c r="Z116" s="48" t="str" cm="1">
        <f t="array" ref="Z116">IF( ISBLANK(Z$93), "",EvaluatePolynomial(Z$93:Z$99,$A116))</f>
        <v/>
      </c>
      <c r="AA116" s="48" t="str" cm="1">
        <f t="array" ref="AA116">IF( ISBLANK(AA$93), "",EvaluatePolynomial(AA$93:AA$99,$A116))</f>
        <v/>
      </c>
      <c r="AB116" s="49" t="str" cm="1">
        <f t="array" ref="AB116">IF( ISBLANK(AB$93), "",EvaluatePolynomial(AB$93:AB$99,$A116))</f>
        <v/>
      </c>
      <c r="AC116" s="2"/>
    </row>
    <row r="117" spans="1:29" x14ac:dyDescent="0.25">
      <c r="A117" s="46">
        <v>350</v>
      </c>
      <c r="B117" s="47" t="str" cm="1">
        <f t="array" ref="B117">IF( ISBLANK(B$93), "",EvaluatePolynomial(B$93:B$99,$A117))</f>
        <v/>
      </c>
      <c r="C117" s="47" t="str" cm="1">
        <f t="array" ref="C117">IF( ISBLANK(C$93), "",EvaluatePolynomial(C$93:C$99,$A117))</f>
        <v/>
      </c>
      <c r="D117" s="48" t="str" cm="1">
        <f t="array" ref="D117">IF( ISBLANK(D$93), "",EvaluatePolynomial(D$93:D$99,$A117))</f>
        <v/>
      </c>
      <c r="E117" s="48" t="str" cm="1">
        <f t="array" ref="E117">IF( ISBLANK(E$93), "",EvaluatePolynomial(E$93:E$99,$A117))</f>
        <v/>
      </c>
      <c r="F117" s="48" t="str" cm="1">
        <f t="array" ref="F117">IF( ISBLANK(F$93), "",EvaluatePolynomial(F$93:F$99,$A117))</f>
        <v/>
      </c>
      <c r="G117" s="48" t="str" cm="1">
        <f t="array" ref="G117">IF( ISBLANK(G$93), "",EvaluatePolynomial(G$93:G$99,$A117))</f>
        <v/>
      </c>
      <c r="H117" s="48" t="str" cm="1">
        <f t="array" ref="H117">IF( ISBLANK(H$93), "",EvaluatePolynomial(H$93:H$99,$A117))</f>
        <v/>
      </c>
      <c r="I117" s="48" t="str" cm="1">
        <f t="array" ref="I117">IF( ISBLANK(I$93), "",EvaluatePolynomial(I$93:I$99,$A117))</f>
        <v/>
      </c>
      <c r="J117" s="48" t="str" cm="1">
        <f t="array" ref="J117">IF( ISBLANK(J$93), "",EvaluatePolynomial(J$93:J$99,$A117))</f>
        <v/>
      </c>
      <c r="K117" s="48" t="str" cm="1">
        <f t="array" ref="K117">IF( ISBLANK(K$93), "",EvaluatePolynomial(K$93:K$99,$A117))</f>
        <v/>
      </c>
      <c r="L117" s="48" t="str" cm="1">
        <f t="array" ref="L117">IF( ISBLANK(L$93), "",EvaluatePolynomial(L$93:L$99,$A117))</f>
        <v/>
      </c>
      <c r="M117" s="48" t="str" cm="1">
        <f t="array" ref="M117">IF( ISBLANK(M$93), "",EvaluatePolynomial(M$93:M$99,$A117))</f>
        <v/>
      </c>
      <c r="N117" s="48" t="str" cm="1">
        <f t="array" ref="N117">IF( ISBLANK(N$93), "",EvaluatePolynomial(N$93:N$99,$A117))</f>
        <v/>
      </c>
      <c r="O117" s="48" t="str" cm="1">
        <f t="array" ref="O117">IF( ISBLANK(O$93), "",EvaluatePolynomial(O$93:O$99,$A117))</f>
        <v/>
      </c>
      <c r="P117" s="48" t="str" cm="1">
        <f t="array" ref="P117">IF( ISBLANK(P$93), "",EvaluatePolynomial(P$93:P$99,$A117))</f>
        <v/>
      </c>
      <c r="Q117" s="48" t="str" cm="1">
        <f t="array" ref="Q117">IF( ISBLANK(Q$93), "",EvaluatePolynomial(Q$93:Q$99,$A117))</f>
        <v/>
      </c>
      <c r="R117" s="48" t="str" cm="1">
        <f t="array" ref="R117">IF( ISBLANK(R$93), "",EvaluatePolynomial(R$93:R$99,$A117))</f>
        <v/>
      </c>
      <c r="S117" s="48" t="str" cm="1">
        <f t="array" ref="S117">IF( ISBLANK(S$93), "",EvaluatePolynomial(S$93:S$99,$A117))</f>
        <v/>
      </c>
      <c r="T117" s="48" t="str" cm="1">
        <f t="array" ref="T117">IF( ISBLANK(T$93), "",EvaluatePolynomial(T$93:T$99,$A117))</f>
        <v/>
      </c>
      <c r="U117" s="48" t="str" cm="1">
        <f t="array" ref="U117">IF( ISBLANK(U$93), "",EvaluatePolynomial(U$93:U$99,$A117))</f>
        <v/>
      </c>
      <c r="V117" s="48" t="str" cm="1">
        <f t="array" ref="V117">IF( ISBLANK(V$93), "",EvaluatePolynomial(V$93:V$99,$A117))</f>
        <v/>
      </c>
      <c r="W117" s="48" t="str" cm="1">
        <f t="array" ref="W117">IF( ISBLANK(W$93), "",EvaluatePolynomial(W$93:W$99,$A117))</f>
        <v/>
      </c>
      <c r="X117" s="48" t="str" cm="1">
        <f t="array" ref="X117">IF( ISBLANK(X$93), "",EvaluatePolynomial(X$93:X$99,$A117))</f>
        <v/>
      </c>
      <c r="Y117" s="48" t="str" cm="1">
        <f t="array" ref="Y117">IF( ISBLANK(Y$93), "",EvaluatePolynomial(Y$93:Y$99,$A117))</f>
        <v/>
      </c>
      <c r="Z117" s="48" t="str" cm="1">
        <f t="array" ref="Z117">IF( ISBLANK(Z$93), "",EvaluatePolynomial(Z$93:Z$99,$A117))</f>
        <v/>
      </c>
      <c r="AA117" s="48" t="str" cm="1">
        <f t="array" ref="AA117">IF( ISBLANK(AA$93), "",EvaluatePolynomial(AA$93:AA$99,$A117))</f>
        <v/>
      </c>
      <c r="AB117" s="49" t="str" cm="1">
        <f t="array" ref="AB117">IF( ISBLANK(AB$93), "",EvaluatePolynomial(AB$93:AB$99,$A117))</f>
        <v/>
      </c>
      <c r="AC117" s="2"/>
    </row>
    <row r="118" spans="1:29" x14ac:dyDescent="0.25">
      <c r="A118" s="46">
        <v>375</v>
      </c>
      <c r="B118" s="47" t="str" cm="1">
        <f t="array" ref="B118">IF( ISBLANK(B$93), "",EvaluatePolynomial(B$93:B$99,$A118))</f>
        <v/>
      </c>
      <c r="C118" s="47" t="str" cm="1">
        <f t="array" ref="C118">IF( ISBLANK(C$93), "",EvaluatePolynomial(C$93:C$99,$A118))</f>
        <v/>
      </c>
      <c r="D118" s="48" t="str" cm="1">
        <f t="array" ref="D118">IF( ISBLANK(D$93), "",EvaluatePolynomial(D$93:D$99,$A118))</f>
        <v/>
      </c>
      <c r="E118" s="48" t="str" cm="1">
        <f t="array" ref="E118">IF( ISBLANK(E$93), "",EvaluatePolynomial(E$93:E$99,$A118))</f>
        <v/>
      </c>
      <c r="F118" s="48" t="str" cm="1">
        <f t="array" ref="F118">IF( ISBLANK(F$93), "",EvaluatePolynomial(F$93:F$99,$A118))</f>
        <v/>
      </c>
      <c r="G118" s="48" t="str" cm="1">
        <f t="array" ref="G118">IF( ISBLANK(G$93), "",EvaluatePolynomial(G$93:G$99,$A118))</f>
        <v/>
      </c>
      <c r="H118" s="48" t="str" cm="1">
        <f t="array" ref="H118">IF( ISBLANK(H$93), "",EvaluatePolynomial(H$93:H$99,$A118))</f>
        <v/>
      </c>
      <c r="I118" s="48" t="str" cm="1">
        <f t="array" ref="I118">IF( ISBLANK(I$93), "",EvaluatePolynomial(I$93:I$99,$A118))</f>
        <v/>
      </c>
      <c r="J118" s="48" t="str" cm="1">
        <f t="array" ref="J118">IF( ISBLANK(J$93), "",EvaluatePolynomial(J$93:J$99,$A118))</f>
        <v/>
      </c>
      <c r="K118" s="48" t="str" cm="1">
        <f t="array" ref="K118">IF( ISBLANK(K$93), "",EvaluatePolynomial(K$93:K$99,$A118))</f>
        <v/>
      </c>
      <c r="L118" s="48" t="str" cm="1">
        <f t="array" ref="L118">IF( ISBLANK(L$93), "",EvaluatePolynomial(L$93:L$99,$A118))</f>
        <v/>
      </c>
      <c r="M118" s="48" t="str" cm="1">
        <f t="array" ref="M118">IF( ISBLANK(M$93), "",EvaluatePolynomial(M$93:M$99,$A118))</f>
        <v/>
      </c>
      <c r="N118" s="48" t="str" cm="1">
        <f t="array" ref="N118">IF( ISBLANK(N$93), "",EvaluatePolynomial(N$93:N$99,$A118))</f>
        <v/>
      </c>
      <c r="O118" s="48" t="str" cm="1">
        <f t="array" ref="O118">IF( ISBLANK(O$93), "",EvaluatePolynomial(O$93:O$99,$A118))</f>
        <v/>
      </c>
      <c r="P118" s="48" t="str" cm="1">
        <f t="array" ref="P118">IF( ISBLANK(P$93), "",EvaluatePolynomial(P$93:P$99,$A118))</f>
        <v/>
      </c>
      <c r="Q118" s="48" t="str" cm="1">
        <f t="array" ref="Q118">IF( ISBLANK(Q$93), "",EvaluatePolynomial(Q$93:Q$99,$A118))</f>
        <v/>
      </c>
      <c r="R118" s="48" t="str" cm="1">
        <f t="array" ref="R118">IF( ISBLANK(R$93), "",EvaluatePolynomial(R$93:R$99,$A118))</f>
        <v/>
      </c>
      <c r="S118" s="48" t="str" cm="1">
        <f t="array" ref="S118">IF( ISBLANK(S$93), "",EvaluatePolynomial(S$93:S$99,$A118))</f>
        <v/>
      </c>
      <c r="T118" s="48" t="str" cm="1">
        <f t="array" ref="T118">IF( ISBLANK(T$93), "",EvaluatePolynomial(T$93:T$99,$A118))</f>
        <v/>
      </c>
      <c r="U118" s="48" t="str" cm="1">
        <f t="array" ref="U118">IF( ISBLANK(U$93), "",EvaluatePolynomial(U$93:U$99,$A118))</f>
        <v/>
      </c>
      <c r="V118" s="48" t="str" cm="1">
        <f t="array" ref="V118">IF( ISBLANK(V$93), "",EvaluatePolynomial(V$93:V$99,$A118))</f>
        <v/>
      </c>
      <c r="W118" s="48" t="str" cm="1">
        <f t="array" ref="W118">IF( ISBLANK(W$93), "",EvaluatePolynomial(W$93:W$99,$A118))</f>
        <v/>
      </c>
      <c r="X118" s="48" t="str" cm="1">
        <f t="array" ref="X118">IF( ISBLANK(X$93), "",EvaluatePolynomial(X$93:X$99,$A118))</f>
        <v/>
      </c>
      <c r="Y118" s="48" t="str" cm="1">
        <f t="array" ref="Y118">IF( ISBLANK(Y$93), "",EvaluatePolynomial(Y$93:Y$99,$A118))</f>
        <v/>
      </c>
      <c r="Z118" s="48" t="str" cm="1">
        <f t="array" ref="Z118">IF( ISBLANK(Z$93), "",EvaluatePolynomial(Z$93:Z$99,$A118))</f>
        <v/>
      </c>
      <c r="AA118" s="48" t="str" cm="1">
        <f t="array" ref="AA118">IF( ISBLANK(AA$93), "",EvaluatePolynomial(AA$93:AA$99,$A118))</f>
        <v/>
      </c>
      <c r="AB118" s="49" t="str" cm="1">
        <f t="array" ref="AB118">IF( ISBLANK(AB$93), "",EvaluatePolynomial(AB$93:AB$99,$A118))</f>
        <v/>
      </c>
      <c r="AC118" s="2"/>
    </row>
    <row r="119" spans="1:29" x14ac:dyDescent="0.25">
      <c r="A119" s="46">
        <v>400</v>
      </c>
      <c r="B119" s="47" t="str" cm="1">
        <f t="array" ref="B119">IF( ISBLANK(B$93), "",EvaluatePolynomial(B$93:B$99,$A119))</f>
        <v/>
      </c>
      <c r="C119" s="47" t="str" cm="1">
        <f t="array" ref="C119">IF( ISBLANK(C$93), "",EvaluatePolynomial(C$93:C$99,$A119))</f>
        <v/>
      </c>
      <c r="D119" s="48" t="str" cm="1">
        <f t="array" ref="D119">IF( ISBLANK(D$93), "",EvaluatePolynomial(D$93:D$99,$A119))</f>
        <v/>
      </c>
      <c r="E119" s="48" t="str" cm="1">
        <f t="array" ref="E119">IF( ISBLANK(E$93), "",EvaluatePolynomial(E$93:E$99,$A119))</f>
        <v/>
      </c>
      <c r="F119" s="48" t="str" cm="1">
        <f t="array" ref="F119">IF( ISBLANK(F$93), "",EvaluatePolynomial(F$93:F$99,$A119))</f>
        <v/>
      </c>
      <c r="G119" s="48" t="str" cm="1">
        <f t="array" ref="G119">IF( ISBLANK(G$93), "",EvaluatePolynomial(G$93:G$99,$A119))</f>
        <v/>
      </c>
      <c r="H119" s="48" t="str" cm="1">
        <f t="array" ref="H119">IF( ISBLANK(H$93), "",EvaluatePolynomial(H$93:H$99,$A119))</f>
        <v/>
      </c>
      <c r="I119" s="48" t="str" cm="1">
        <f t="array" ref="I119">IF( ISBLANK(I$93), "",EvaluatePolynomial(I$93:I$99,$A119))</f>
        <v/>
      </c>
      <c r="J119" s="48" t="str" cm="1">
        <f t="array" ref="J119">IF( ISBLANK(J$93), "",EvaluatePolynomial(J$93:J$99,$A119))</f>
        <v/>
      </c>
      <c r="K119" s="48" t="str" cm="1">
        <f t="array" ref="K119">IF( ISBLANK(K$93), "",EvaluatePolynomial(K$93:K$99,$A119))</f>
        <v/>
      </c>
      <c r="L119" s="48" t="str" cm="1">
        <f t="array" ref="L119">IF( ISBLANK(L$93), "",EvaluatePolynomial(L$93:L$99,$A119))</f>
        <v/>
      </c>
      <c r="M119" s="48" t="str" cm="1">
        <f t="array" ref="M119">IF( ISBLANK(M$93), "",EvaluatePolynomial(M$93:M$99,$A119))</f>
        <v/>
      </c>
      <c r="N119" s="48" t="str" cm="1">
        <f t="array" ref="N119">IF( ISBLANK(N$93), "",EvaluatePolynomial(N$93:N$99,$A119))</f>
        <v/>
      </c>
      <c r="O119" s="48" t="str" cm="1">
        <f t="array" ref="O119">IF( ISBLANK(O$93), "",EvaluatePolynomial(O$93:O$99,$A119))</f>
        <v/>
      </c>
      <c r="P119" s="48" t="str" cm="1">
        <f t="array" ref="P119">IF( ISBLANK(P$93), "",EvaluatePolynomial(P$93:P$99,$A119))</f>
        <v/>
      </c>
      <c r="Q119" s="48" t="str" cm="1">
        <f t="array" ref="Q119">IF( ISBLANK(Q$93), "",EvaluatePolynomial(Q$93:Q$99,$A119))</f>
        <v/>
      </c>
      <c r="R119" s="48" t="str" cm="1">
        <f t="array" ref="R119">IF( ISBLANK(R$93), "",EvaluatePolynomial(R$93:R$99,$A119))</f>
        <v/>
      </c>
      <c r="S119" s="48" t="str" cm="1">
        <f t="array" ref="S119">IF( ISBLANK(S$93), "",EvaluatePolynomial(S$93:S$99,$A119))</f>
        <v/>
      </c>
      <c r="T119" s="48" t="str" cm="1">
        <f t="array" ref="T119">IF( ISBLANK(T$93), "",EvaluatePolynomial(T$93:T$99,$A119))</f>
        <v/>
      </c>
      <c r="U119" s="48" t="str" cm="1">
        <f t="array" ref="U119">IF( ISBLANK(U$93), "",EvaluatePolynomial(U$93:U$99,$A119))</f>
        <v/>
      </c>
      <c r="V119" s="48" t="str" cm="1">
        <f t="array" ref="V119">IF( ISBLANK(V$93), "",EvaluatePolynomial(V$93:V$99,$A119))</f>
        <v/>
      </c>
      <c r="W119" s="48" t="str" cm="1">
        <f t="array" ref="W119">IF( ISBLANK(W$93), "",EvaluatePolynomial(W$93:W$99,$A119))</f>
        <v/>
      </c>
      <c r="X119" s="48" t="str" cm="1">
        <f t="array" ref="X119">IF( ISBLANK(X$93), "",EvaluatePolynomial(X$93:X$99,$A119))</f>
        <v/>
      </c>
      <c r="Y119" s="48" t="str" cm="1">
        <f t="array" ref="Y119">IF( ISBLANK(Y$93), "",EvaluatePolynomial(Y$93:Y$99,$A119))</f>
        <v/>
      </c>
      <c r="Z119" s="48" t="str" cm="1">
        <f t="array" ref="Z119">IF( ISBLANK(Z$93), "",EvaluatePolynomial(Z$93:Z$99,$A119))</f>
        <v/>
      </c>
      <c r="AA119" s="48" t="str" cm="1">
        <f t="array" ref="AA119">IF( ISBLANK(AA$93), "",EvaluatePolynomial(AA$93:AA$99,$A119))</f>
        <v/>
      </c>
      <c r="AB119" s="49" t="str" cm="1">
        <f t="array" ref="AB119">IF( ISBLANK(AB$93), "",EvaluatePolynomial(AB$93:AB$99,$A119))</f>
        <v/>
      </c>
      <c r="AC119" s="2"/>
    </row>
    <row r="120" spans="1:29" x14ac:dyDescent="0.25">
      <c r="A120" s="46">
        <v>425</v>
      </c>
      <c r="B120" s="47" t="str" cm="1">
        <f t="array" ref="B120">IF( ISBLANK(B$93), "",EvaluatePolynomial(B$93:B$99,$A120))</f>
        <v/>
      </c>
      <c r="C120" s="47" t="str" cm="1">
        <f t="array" ref="C120">IF( ISBLANK(C$93), "",EvaluatePolynomial(C$93:C$99,$A120))</f>
        <v/>
      </c>
      <c r="D120" s="48" t="str" cm="1">
        <f t="array" ref="D120">IF( ISBLANK(D$93), "",EvaluatePolynomial(D$93:D$99,$A120))</f>
        <v/>
      </c>
      <c r="E120" s="48" t="str" cm="1">
        <f t="array" ref="E120">IF( ISBLANK(E$93), "",EvaluatePolynomial(E$93:E$99,$A120))</f>
        <v/>
      </c>
      <c r="F120" s="48" t="str" cm="1">
        <f t="array" ref="F120">IF( ISBLANK(F$93), "",EvaluatePolynomial(F$93:F$99,$A120))</f>
        <v/>
      </c>
      <c r="G120" s="48" t="str" cm="1">
        <f t="array" ref="G120">IF( ISBLANK(G$93), "",EvaluatePolynomial(G$93:G$99,$A120))</f>
        <v/>
      </c>
      <c r="H120" s="48" t="str" cm="1">
        <f t="array" ref="H120">IF( ISBLANK(H$93), "",EvaluatePolynomial(H$93:H$99,$A120))</f>
        <v/>
      </c>
      <c r="I120" s="48" t="str" cm="1">
        <f t="array" ref="I120">IF( ISBLANK(I$93), "",EvaluatePolynomial(I$93:I$99,$A120))</f>
        <v/>
      </c>
      <c r="J120" s="48" t="str" cm="1">
        <f t="array" ref="J120">IF( ISBLANK(J$93), "",EvaluatePolynomial(J$93:J$99,$A120))</f>
        <v/>
      </c>
      <c r="K120" s="48" t="str" cm="1">
        <f t="array" ref="K120">IF( ISBLANK(K$93), "",EvaluatePolynomial(K$93:K$99,$A120))</f>
        <v/>
      </c>
      <c r="L120" s="48" t="str" cm="1">
        <f t="array" ref="L120">IF( ISBLANK(L$93), "",EvaluatePolynomial(L$93:L$99,$A120))</f>
        <v/>
      </c>
      <c r="M120" s="48" t="str" cm="1">
        <f t="array" ref="M120">IF( ISBLANK(M$93), "",EvaluatePolynomial(M$93:M$99,$A120))</f>
        <v/>
      </c>
      <c r="N120" s="48" t="str" cm="1">
        <f t="array" ref="N120">IF( ISBLANK(N$93), "",EvaluatePolynomial(N$93:N$99,$A120))</f>
        <v/>
      </c>
      <c r="O120" s="48" t="str" cm="1">
        <f t="array" ref="O120">IF( ISBLANK(O$93), "",EvaluatePolynomial(O$93:O$99,$A120))</f>
        <v/>
      </c>
      <c r="P120" s="48" t="str" cm="1">
        <f t="array" ref="P120">IF( ISBLANK(P$93), "",EvaluatePolynomial(P$93:P$99,$A120))</f>
        <v/>
      </c>
      <c r="Q120" s="48" t="str" cm="1">
        <f t="array" ref="Q120">IF( ISBLANK(Q$93), "",EvaluatePolynomial(Q$93:Q$99,$A120))</f>
        <v/>
      </c>
      <c r="R120" s="48" t="str" cm="1">
        <f t="array" ref="R120">IF( ISBLANK(R$93), "",EvaluatePolynomial(R$93:R$99,$A120))</f>
        <v/>
      </c>
      <c r="S120" s="48" t="str" cm="1">
        <f t="array" ref="S120">IF( ISBLANK(S$93), "",EvaluatePolynomial(S$93:S$99,$A120))</f>
        <v/>
      </c>
      <c r="T120" s="48" t="str" cm="1">
        <f t="array" ref="T120">IF( ISBLANK(T$93), "",EvaluatePolynomial(T$93:T$99,$A120))</f>
        <v/>
      </c>
      <c r="U120" s="48" t="str" cm="1">
        <f t="array" ref="U120">IF( ISBLANK(U$93), "",EvaluatePolynomial(U$93:U$99,$A120))</f>
        <v/>
      </c>
      <c r="V120" s="48" t="str" cm="1">
        <f t="array" ref="V120">IF( ISBLANK(V$93), "",EvaluatePolynomial(V$93:V$99,$A120))</f>
        <v/>
      </c>
      <c r="W120" s="48" t="str" cm="1">
        <f t="array" ref="W120">IF( ISBLANK(W$93), "",EvaluatePolynomial(W$93:W$99,$A120))</f>
        <v/>
      </c>
      <c r="X120" s="48" t="str" cm="1">
        <f t="array" ref="X120">IF( ISBLANK(X$93), "",EvaluatePolynomial(X$93:X$99,$A120))</f>
        <v/>
      </c>
      <c r="Y120" s="48" t="str" cm="1">
        <f t="array" ref="Y120">IF( ISBLANK(Y$93), "",EvaluatePolynomial(Y$93:Y$99,$A120))</f>
        <v/>
      </c>
      <c r="Z120" s="48" t="str" cm="1">
        <f t="array" ref="Z120">IF( ISBLANK(Z$93), "",EvaluatePolynomial(Z$93:Z$99,$A120))</f>
        <v/>
      </c>
      <c r="AA120" s="48" t="str" cm="1">
        <f t="array" ref="AA120">IF( ISBLANK(AA$93), "",EvaluatePolynomial(AA$93:AA$99,$A120))</f>
        <v/>
      </c>
      <c r="AB120" s="49" t="str" cm="1">
        <f t="array" ref="AB120">IF( ISBLANK(AB$93), "",EvaluatePolynomial(AB$93:AB$99,$A120))</f>
        <v/>
      </c>
      <c r="AC120" s="2"/>
    </row>
    <row r="121" spans="1:29" x14ac:dyDescent="0.25">
      <c r="A121" s="46">
        <v>450</v>
      </c>
      <c r="B121" s="47" t="str" cm="1">
        <f t="array" ref="B121">IF( ISBLANK(B$93), "",EvaluatePolynomial(B$93:B$99,$A121))</f>
        <v/>
      </c>
      <c r="C121" s="47" t="str" cm="1">
        <f t="array" ref="C121">IF( ISBLANK(C$93), "",EvaluatePolynomial(C$93:C$99,$A121))</f>
        <v/>
      </c>
      <c r="D121" s="48" t="str" cm="1">
        <f t="array" ref="D121">IF( ISBLANK(D$93), "",EvaluatePolynomial(D$93:D$99,$A121))</f>
        <v/>
      </c>
      <c r="E121" s="48" t="str" cm="1">
        <f t="array" ref="E121">IF( ISBLANK(E$93), "",EvaluatePolynomial(E$93:E$99,$A121))</f>
        <v/>
      </c>
      <c r="F121" s="48" t="str" cm="1">
        <f t="array" ref="F121">IF( ISBLANK(F$93), "",EvaluatePolynomial(F$93:F$99,$A121))</f>
        <v/>
      </c>
      <c r="G121" s="48" t="str" cm="1">
        <f t="array" ref="G121">IF( ISBLANK(G$93), "",EvaluatePolynomial(G$93:G$99,$A121))</f>
        <v/>
      </c>
      <c r="H121" s="48" t="str" cm="1">
        <f t="array" ref="H121">IF( ISBLANK(H$93), "",EvaluatePolynomial(H$93:H$99,$A121))</f>
        <v/>
      </c>
      <c r="I121" s="48" t="str" cm="1">
        <f t="array" ref="I121">IF( ISBLANK(I$93), "",EvaluatePolynomial(I$93:I$99,$A121))</f>
        <v/>
      </c>
      <c r="J121" s="48" t="str" cm="1">
        <f t="array" ref="J121">IF( ISBLANK(J$93), "",EvaluatePolynomial(J$93:J$99,$A121))</f>
        <v/>
      </c>
      <c r="K121" s="48" t="str" cm="1">
        <f t="array" ref="K121">IF( ISBLANK(K$93), "",EvaluatePolynomial(K$93:K$99,$A121))</f>
        <v/>
      </c>
      <c r="L121" s="48" t="str" cm="1">
        <f t="array" ref="L121">IF( ISBLANK(L$93), "",EvaluatePolynomial(L$93:L$99,$A121))</f>
        <v/>
      </c>
      <c r="M121" s="48" t="str" cm="1">
        <f t="array" ref="M121">IF( ISBLANK(M$93), "",EvaluatePolynomial(M$93:M$99,$A121))</f>
        <v/>
      </c>
      <c r="N121" s="48" t="str" cm="1">
        <f t="array" ref="N121">IF( ISBLANK(N$93), "",EvaluatePolynomial(N$93:N$99,$A121))</f>
        <v/>
      </c>
      <c r="O121" s="48" t="str" cm="1">
        <f t="array" ref="O121">IF( ISBLANK(O$93), "",EvaluatePolynomial(O$93:O$99,$A121))</f>
        <v/>
      </c>
      <c r="P121" s="48" t="str" cm="1">
        <f t="array" ref="P121">IF( ISBLANK(P$93), "",EvaluatePolynomial(P$93:P$99,$A121))</f>
        <v/>
      </c>
      <c r="Q121" s="48" t="str" cm="1">
        <f t="array" ref="Q121">IF( ISBLANK(Q$93), "",EvaluatePolynomial(Q$93:Q$99,$A121))</f>
        <v/>
      </c>
      <c r="R121" s="48" t="str" cm="1">
        <f t="array" ref="R121">IF( ISBLANK(R$93), "",EvaluatePolynomial(R$93:R$99,$A121))</f>
        <v/>
      </c>
      <c r="S121" s="48" t="str" cm="1">
        <f t="array" ref="S121">IF( ISBLANK(S$93), "",EvaluatePolynomial(S$93:S$99,$A121))</f>
        <v/>
      </c>
      <c r="T121" s="48" t="str" cm="1">
        <f t="array" ref="T121">IF( ISBLANK(T$93), "",EvaluatePolynomial(T$93:T$99,$A121))</f>
        <v/>
      </c>
      <c r="U121" s="48" t="str" cm="1">
        <f t="array" ref="U121">IF( ISBLANK(U$93), "",EvaluatePolynomial(U$93:U$99,$A121))</f>
        <v/>
      </c>
      <c r="V121" s="48" t="str" cm="1">
        <f t="array" ref="V121">IF( ISBLANK(V$93), "",EvaluatePolynomial(V$93:V$99,$A121))</f>
        <v/>
      </c>
      <c r="W121" s="48" t="str" cm="1">
        <f t="array" ref="W121">IF( ISBLANK(W$93), "",EvaluatePolynomial(W$93:W$99,$A121))</f>
        <v/>
      </c>
      <c r="X121" s="48" t="str" cm="1">
        <f t="array" ref="X121">IF( ISBLANK(X$93), "",EvaluatePolynomial(X$93:X$99,$A121))</f>
        <v/>
      </c>
      <c r="Y121" s="48" t="str" cm="1">
        <f t="array" ref="Y121">IF( ISBLANK(Y$93), "",EvaluatePolynomial(Y$93:Y$99,$A121))</f>
        <v/>
      </c>
      <c r="Z121" s="48" t="str" cm="1">
        <f t="array" ref="Z121">IF( ISBLANK(Z$93), "",EvaluatePolynomial(Z$93:Z$99,$A121))</f>
        <v/>
      </c>
      <c r="AA121" s="48" t="str" cm="1">
        <f t="array" ref="AA121">IF( ISBLANK(AA$93), "",EvaluatePolynomial(AA$93:AA$99,$A121))</f>
        <v/>
      </c>
      <c r="AB121" s="49" t="str" cm="1">
        <f t="array" ref="AB121">IF( ISBLANK(AB$93), "",EvaluatePolynomial(AB$93:AB$99,$A121))</f>
        <v/>
      </c>
      <c r="AC121" s="2"/>
    </row>
    <row r="122" spans="1:29" x14ac:dyDescent="0.25">
      <c r="A122" s="46">
        <v>475</v>
      </c>
      <c r="B122" s="47" t="str" cm="1">
        <f t="array" ref="B122">IF( ISBLANK(B$93), "",EvaluatePolynomial(B$93:B$99,$A122))</f>
        <v/>
      </c>
      <c r="C122" s="47" t="str" cm="1">
        <f t="array" ref="C122">IF( ISBLANK(C$93), "",EvaluatePolynomial(C$93:C$99,$A122))</f>
        <v/>
      </c>
      <c r="D122" s="48" t="str" cm="1">
        <f t="array" ref="D122">IF( ISBLANK(D$93), "",EvaluatePolynomial(D$93:D$99,$A122))</f>
        <v/>
      </c>
      <c r="E122" s="48" t="str" cm="1">
        <f t="array" ref="E122">IF( ISBLANK(E$93), "",EvaluatePolynomial(E$93:E$99,$A122))</f>
        <v/>
      </c>
      <c r="F122" s="48" t="str" cm="1">
        <f t="array" ref="F122">IF( ISBLANK(F$93), "",EvaluatePolynomial(F$93:F$99,$A122))</f>
        <v/>
      </c>
      <c r="G122" s="48" t="str" cm="1">
        <f t="array" ref="G122">IF( ISBLANK(G$93), "",EvaluatePolynomial(G$93:G$99,$A122))</f>
        <v/>
      </c>
      <c r="H122" s="48" t="str" cm="1">
        <f t="array" ref="H122">IF( ISBLANK(H$93), "",EvaluatePolynomial(H$93:H$99,$A122))</f>
        <v/>
      </c>
      <c r="I122" s="48" t="str" cm="1">
        <f t="array" ref="I122">IF( ISBLANK(I$93), "",EvaluatePolynomial(I$93:I$99,$A122))</f>
        <v/>
      </c>
      <c r="J122" s="48" t="str" cm="1">
        <f t="array" ref="J122">IF( ISBLANK(J$93), "",EvaluatePolynomial(J$93:J$99,$A122))</f>
        <v/>
      </c>
      <c r="K122" s="48" t="str" cm="1">
        <f t="array" ref="K122">IF( ISBLANK(K$93), "",EvaluatePolynomial(K$93:K$99,$A122))</f>
        <v/>
      </c>
      <c r="L122" s="48" t="str" cm="1">
        <f t="array" ref="L122">IF( ISBLANK(L$93), "",EvaluatePolynomial(L$93:L$99,$A122))</f>
        <v/>
      </c>
      <c r="M122" s="48" t="str" cm="1">
        <f t="array" ref="M122">IF( ISBLANK(M$93), "",EvaluatePolynomial(M$93:M$99,$A122))</f>
        <v/>
      </c>
      <c r="N122" s="48" t="str" cm="1">
        <f t="array" ref="N122">IF( ISBLANK(N$93), "",EvaluatePolynomial(N$93:N$99,$A122))</f>
        <v/>
      </c>
      <c r="O122" s="48" t="str" cm="1">
        <f t="array" ref="O122">IF( ISBLANK(O$93), "",EvaluatePolynomial(O$93:O$99,$A122))</f>
        <v/>
      </c>
      <c r="P122" s="48" t="str" cm="1">
        <f t="array" ref="P122">IF( ISBLANK(P$93), "",EvaluatePolynomial(P$93:P$99,$A122))</f>
        <v/>
      </c>
      <c r="Q122" s="48" t="str" cm="1">
        <f t="array" ref="Q122">IF( ISBLANK(Q$93), "",EvaluatePolynomial(Q$93:Q$99,$A122))</f>
        <v/>
      </c>
      <c r="R122" s="48" t="str" cm="1">
        <f t="array" ref="R122">IF( ISBLANK(R$93), "",EvaluatePolynomial(R$93:R$99,$A122))</f>
        <v/>
      </c>
      <c r="S122" s="48" t="str" cm="1">
        <f t="array" ref="S122">IF( ISBLANK(S$93), "",EvaluatePolynomial(S$93:S$99,$A122))</f>
        <v/>
      </c>
      <c r="T122" s="48" t="str" cm="1">
        <f t="array" ref="T122">IF( ISBLANK(T$93), "",EvaluatePolynomial(T$93:T$99,$A122))</f>
        <v/>
      </c>
      <c r="U122" s="48" t="str" cm="1">
        <f t="array" ref="U122">IF( ISBLANK(U$93), "",EvaluatePolynomial(U$93:U$99,$A122))</f>
        <v/>
      </c>
      <c r="V122" s="48" t="str" cm="1">
        <f t="array" ref="V122">IF( ISBLANK(V$93), "",EvaluatePolynomial(V$93:V$99,$A122))</f>
        <v/>
      </c>
      <c r="W122" s="48" t="str" cm="1">
        <f t="array" ref="W122">IF( ISBLANK(W$93), "",EvaluatePolynomial(W$93:W$99,$A122))</f>
        <v/>
      </c>
      <c r="X122" s="48" t="str" cm="1">
        <f t="array" ref="X122">IF( ISBLANK(X$93), "",EvaluatePolynomial(X$93:X$99,$A122))</f>
        <v/>
      </c>
      <c r="Y122" s="48" t="str" cm="1">
        <f t="array" ref="Y122">IF( ISBLANK(Y$93), "",EvaluatePolynomial(Y$93:Y$99,$A122))</f>
        <v/>
      </c>
      <c r="Z122" s="48" t="str" cm="1">
        <f t="array" ref="Z122">IF( ISBLANK(Z$93), "",EvaluatePolynomial(Z$93:Z$99,$A122))</f>
        <v/>
      </c>
      <c r="AA122" s="48" t="str" cm="1">
        <f t="array" ref="AA122">IF( ISBLANK(AA$93), "",EvaluatePolynomial(AA$93:AA$99,$A122))</f>
        <v/>
      </c>
      <c r="AB122" s="49" t="str" cm="1">
        <f t="array" ref="AB122">IF( ISBLANK(AB$93), "",EvaluatePolynomial(AB$93:AB$99,$A122))</f>
        <v/>
      </c>
      <c r="AC122" s="2"/>
    </row>
    <row r="123" spans="1:29" x14ac:dyDescent="0.25">
      <c r="A123" s="59">
        <v>500</v>
      </c>
      <c r="B123" s="47" t="str" cm="1">
        <f t="array" ref="B123">IF( ISBLANK(B$93), "",EvaluatePolynomial(B$93:B$99,$A123))</f>
        <v/>
      </c>
      <c r="C123" s="47" t="str" cm="1">
        <f t="array" ref="C123">IF( ISBLANK(C$93), "",EvaluatePolynomial(C$93:C$99,$A123))</f>
        <v/>
      </c>
      <c r="D123" s="48" t="str" cm="1">
        <f t="array" ref="D123">IF( ISBLANK(D$93), "",EvaluatePolynomial(D$93:D$99,$A123))</f>
        <v/>
      </c>
      <c r="E123" s="48" t="str" cm="1">
        <f t="array" ref="E123">IF( ISBLANK(E$93), "",EvaluatePolynomial(E$93:E$99,$A123))</f>
        <v/>
      </c>
      <c r="F123" s="48" t="str" cm="1">
        <f t="array" ref="F123">IF( ISBLANK(F$93), "",EvaluatePolynomial(F$93:F$99,$A123))</f>
        <v/>
      </c>
      <c r="G123" s="48" t="str" cm="1">
        <f t="array" ref="G123">IF( ISBLANK(G$93), "",EvaluatePolynomial(G$93:G$99,$A123))</f>
        <v/>
      </c>
      <c r="H123" s="48" t="str" cm="1">
        <f t="array" ref="H123">IF( ISBLANK(H$93), "",EvaluatePolynomial(H$93:H$99,$A123))</f>
        <v/>
      </c>
      <c r="I123" s="48" t="str" cm="1">
        <f t="array" ref="I123">IF( ISBLANK(I$93), "",EvaluatePolynomial(I$93:I$99,$A123))</f>
        <v/>
      </c>
      <c r="J123" s="48" t="str" cm="1">
        <f t="array" ref="J123">IF( ISBLANK(J$93), "",EvaluatePolynomial(J$93:J$99,$A123))</f>
        <v/>
      </c>
      <c r="K123" s="48" t="str" cm="1">
        <f t="array" ref="K123">IF( ISBLANK(K$93), "",EvaluatePolynomial(K$93:K$99,$A123))</f>
        <v/>
      </c>
      <c r="L123" s="48" t="str" cm="1">
        <f t="array" ref="L123">IF( ISBLANK(L$93), "",EvaluatePolynomial(L$93:L$99,$A123))</f>
        <v/>
      </c>
      <c r="M123" s="48" t="str" cm="1">
        <f t="array" ref="M123">IF( ISBLANK(M$93), "",EvaluatePolynomial(M$93:M$99,$A123))</f>
        <v/>
      </c>
      <c r="N123" s="48" t="str" cm="1">
        <f t="array" ref="N123">IF( ISBLANK(N$93), "",EvaluatePolynomial(N$93:N$99,$A123))</f>
        <v/>
      </c>
      <c r="O123" s="48" t="str" cm="1">
        <f t="array" ref="O123">IF( ISBLANK(O$93), "",EvaluatePolynomial(O$93:O$99,$A123))</f>
        <v/>
      </c>
      <c r="P123" s="48" t="str" cm="1">
        <f t="array" ref="P123">IF( ISBLANK(P$93), "",EvaluatePolynomial(P$93:P$99,$A123))</f>
        <v/>
      </c>
      <c r="Q123" s="48" t="str" cm="1">
        <f t="array" ref="Q123">IF( ISBLANK(Q$93), "",EvaluatePolynomial(Q$93:Q$99,$A123))</f>
        <v/>
      </c>
      <c r="R123" s="48" t="str" cm="1">
        <f t="array" ref="R123">IF( ISBLANK(R$93), "",EvaluatePolynomial(R$93:R$99,$A123))</f>
        <v/>
      </c>
      <c r="S123" s="48" t="str" cm="1">
        <f t="array" ref="S123">IF( ISBLANK(S$93), "",EvaluatePolynomial(S$93:S$99,$A123))</f>
        <v/>
      </c>
      <c r="T123" s="48" t="str" cm="1">
        <f t="array" ref="T123">IF( ISBLANK(T$93), "",EvaluatePolynomial(T$93:T$99,$A123))</f>
        <v/>
      </c>
      <c r="U123" s="48" t="str" cm="1">
        <f t="array" ref="U123">IF( ISBLANK(U$93), "",EvaluatePolynomial(U$93:U$99,$A123))</f>
        <v/>
      </c>
      <c r="V123" s="48" t="str" cm="1">
        <f t="array" ref="V123">IF( ISBLANK(V$93), "",EvaluatePolynomial(V$93:V$99,$A123))</f>
        <v/>
      </c>
      <c r="W123" s="48" t="str" cm="1">
        <f t="array" ref="W123">IF( ISBLANK(W$93), "",EvaluatePolynomial(W$93:W$99,$A123))</f>
        <v/>
      </c>
      <c r="X123" s="48" t="str" cm="1">
        <f t="array" ref="X123">IF( ISBLANK(X$93), "",EvaluatePolynomial(X$93:X$99,$A123))</f>
        <v/>
      </c>
      <c r="Y123" s="48" t="str" cm="1">
        <f t="array" ref="Y123">IF( ISBLANK(Y$93), "",EvaluatePolynomial(Y$93:Y$99,$A123))</f>
        <v/>
      </c>
      <c r="Z123" s="48" t="str" cm="1">
        <f t="array" ref="Z123">IF( ISBLANK(Z$93), "",EvaluatePolynomial(Z$93:Z$99,$A123))</f>
        <v/>
      </c>
      <c r="AA123" s="48" t="str" cm="1">
        <f t="array" ref="AA123">IF( ISBLANK(AA$93), "",EvaluatePolynomial(AA$93:AA$99,$A123))</f>
        <v/>
      </c>
      <c r="AB123" s="49" t="str" cm="1">
        <f t="array" ref="AB123">IF( ISBLANK(AB$93), "",EvaluatePolynomial(AB$93:AB$99,$A123))</f>
        <v/>
      </c>
      <c r="AC123" s="2"/>
    </row>
    <row r="124" spans="1:29" x14ac:dyDescent="0.25">
      <c r="A124" s="46">
        <v>525</v>
      </c>
      <c r="B124" s="50" t="str" cm="1">
        <f t="array" ref="B124">IF( ISBLANK(B$93), "",EvaluatePolynomial(B$93:B$99,$A124))</f>
        <v/>
      </c>
      <c r="C124" s="50" t="str" cm="1">
        <f t="array" ref="C124">IF( ISBLANK(C$93), "",EvaluatePolynomial(C$93:C$99,$A124))</f>
        <v/>
      </c>
      <c r="D124" s="50" t="str" cm="1">
        <f t="array" ref="D124">IF( ISBLANK(D$93), "",EvaluatePolynomial(D$93:D$99,$A124))</f>
        <v/>
      </c>
      <c r="E124" s="50" t="str" cm="1">
        <f t="array" ref="E124">IF( ISBLANK(E$93), "",EvaluatePolynomial(E$93:E$99,$A124))</f>
        <v/>
      </c>
      <c r="F124" s="50" t="str" cm="1">
        <f t="array" ref="F124">IF( ISBLANK(F$93), "",EvaluatePolynomial(F$93:F$99,$A124))</f>
        <v/>
      </c>
      <c r="G124" s="50" t="str" cm="1">
        <f t="array" ref="G124">IF( ISBLANK(G$93), "",EvaluatePolynomial(G$93:G$99,$A124))</f>
        <v/>
      </c>
      <c r="H124" s="50" t="str" cm="1">
        <f t="array" ref="H124">IF( ISBLANK(H$93), "",EvaluatePolynomial(H$93:H$99,$A124))</f>
        <v/>
      </c>
      <c r="I124" s="50" t="str" cm="1">
        <f t="array" ref="I124">IF( ISBLANK(I$93), "",EvaluatePolynomial(I$93:I$99,$A124))</f>
        <v/>
      </c>
      <c r="J124" s="50" t="str" cm="1">
        <f t="array" ref="J124">IF( ISBLANK(J$93), "",EvaluatePolynomial(J$93:J$99,$A124))</f>
        <v/>
      </c>
      <c r="K124" s="50" t="str" cm="1">
        <f t="array" ref="K124">IF( ISBLANK(K$93), "",EvaluatePolynomial(K$93:K$99,$A124))</f>
        <v/>
      </c>
      <c r="L124" s="50" t="str" cm="1">
        <f t="array" ref="L124">IF( ISBLANK(L$93), "",EvaluatePolynomial(L$93:L$99,$A124))</f>
        <v/>
      </c>
      <c r="M124" s="50" t="str" cm="1">
        <f t="array" ref="M124">IF( ISBLANK(M$93), "",EvaluatePolynomial(M$93:M$99,$A124))</f>
        <v/>
      </c>
      <c r="N124" s="50" t="str" cm="1">
        <f t="array" ref="N124">IF( ISBLANK(N$93), "",EvaluatePolynomial(N$93:N$99,$A124))</f>
        <v/>
      </c>
      <c r="O124" s="50" t="str" cm="1">
        <f t="array" ref="O124">IF( ISBLANK(O$93), "",EvaluatePolynomial(O$93:O$99,$A124))</f>
        <v/>
      </c>
      <c r="P124" s="50" t="str" cm="1">
        <f t="array" ref="P124">IF( ISBLANK(P$93), "",EvaluatePolynomial(P$93:P$99,$A124))</f>
        <v/>
      </c>
      <c r="Q124" s="50" t="str" cm="1">
        <f t="array" ref="Q124">IF( ISBLANK(Q$93), "",EvaluatePolynomial(Q$93:Q$99,$A124))</f>
        <v/>
      </c>
      <c r="R124" s="50" t="str" cm="1">
        <f t="array" ref="R124">IF( ISBLANK(R$93), "",EvaluatePolynomial(R$93:R$99,$A124))</f>
        <v/>
      </c>
      <c r="S124" s="50" t="str" cm="1">
        <f t="array" ref="S124">IF( ISBLANK(S$93), "",EvaluatePolynomial(S$93:S$99,$A124))</f>
        <v/>
      </c>
      <c r="T124" s="50" t="str" cm="1">
        <f t="array" ref="T124">IF( ISBLANK(T$93), "",EvaluatePolynomial(T$93:T$99,$A124))</f>
        <v/>
      </c>
      <c r="U124" s="50" t="str" cm="1">
        <f t="array" ref="U124">IF( ISBLANK(U$93), "",EvaluatePolynomial(U$93:U$99,$A124))</f>
        <v/>
      </c>
      <c r="V124" s="50" t="str" cm="1">
        <f t="array" ref="V124">IF( ISBLANK(V$93), "",EvaluatePolynomial(V$93:V$99,$A124))</f>
        <v/>
      </c>
      <c r="W124" s="50" t="str" cm="1">
        <f t="array" ref="W124">IF( ISBLANK(W$93), "",EvaluatePolynomial(W$93:W$99,$A124))</f>
        <v/>
      </c>
      <c r="X124" s="50" t="str" cm="1">
        <f t="array" ref="X124">IF( ISBLANK(X$93), "",EvaluatePolynomial(X$93:X$99,$A124))</f>
        <v/>
      </c>
      <c r="Y124" s="50" t="str" cm="1">
        <f t="array" ref="Y124">IF( ISBLANK(Y$93), "",EvaluatePolynomial(Y$93:Y$99,$A124))</f>
        <v/>
      </c>
      <c r="Z124" s="50" t="str" cm="1">
        <f t="array" ref="Z124">IF( ISBLANK(Z$93), "",EvaluatePolynomial(Z$93:Z$99,$A124))</f>
        <v/>
      </c>
      <c r="AA124" s="50" t="str" cm="1">
        <f t="array" ref="AA124">IF( ISBLANK(AA$93), "",EvaluatePolynomial(AA$93:AA$99,$A124))</f>
        <v/>
      </c>
      <c r="AB124" s="51" t="str" cm="1">
        <f t="array" ref="AB124">IF( ISBLANK(AB$93), "",EvaluatePolynomial(AB$93:AB$99,$A124))</f>
        <v/>
      </c>
    </row>
    <row r="125" spans="1:29" x14ac:dyDescent="0.25">
      <c r="A125" s="46">
        <v>550</v>
      </c>
      <c r="B125" s="50" t="str" cm="1">
        <f t="array" ref="B125">IF( ISBLANK(B$93), "",EvaluatePolynomial(B$93:B$99,$A125))</f>
        <v/>
      </c>
      <c r="C125" s="50" t="str" cm="1">
        <f t="array" ref="C125">IF( ISBLANK(C$93), "",EvaluatePolynomial(C$93:C$99,$A125))</f>
        <v/>
      </c>
      <c r="D125" s="50" t="str" cm="1">
        <f t="array" ref="D125">IF( ISBLANK(D$93), "",EvaluatePolynomial(D$93:D$99,$A125))</f>
        <v/>
      </c>
      <c r="E125" s="50" t="str" cm="1">
        <f t="array" ref="E125">IF( ISBLANK(E$93), "",EvaluatePolynomial(E$93:E$99,$A125))</f>
        <v/>
      </c>
      <c r="F125" s="50" t="str" cm="1">
        <f t="array" ref="F125">IF( ISBLANK(F$93), "",EvaluatePolynomial(F$93:F$99,$A125))</f>
        <v/>
      </c>
      <c r="G125" s="50" t="str" cm="1">
        <f t="array" ref="G125">IF( ISBLANK(G$93), "",EvaluatePolynomial(G$93:G$99,$A125))</f>
        <v/>
      </c>
      <c r="H125" s="50" t="str" cm="1">
        <f t="array" ref="H125">IF( ISBLANK(H$93), "",EvaluatePolynomial(H$93:H$99,$A125))</f>
        <v/>
      </c>
      <c r="I125" s="50" t="str" cm="1">
        <f t="array" ref="I125">IF( ISBLANK(I$93), "",EvaluatePolynomial(I$93:I$99,$A125))</f>
        <v/>
      </c>
      <c r="J125" s="50" t="str" cm="1">
        <f t="array" ref="J125">IF( ISBLANK(J$93), "",EvaluatePolynomial(J$93:J$99,$A125))</f>
        <v/>
      </c>
      <c r="K125" s="50" t="str" cm="1">
        <f t="array" ref="K125">IF( ISBLANK(K$93), "",EvaluatePolynomial(K$93:K$99,$A125))</f>
        <v/>
      </c>
      <c r="L125" s="50" t="str" cm="1">
        <f t="array" ref="L125">IF( ISBLANK(L$93), "",EvaluatePolynomial(L$93:L$99,$A125))</f>
        <v/>
      </c>
      <c r="M125" s="50" t="str" cm="1">
        <f t="array" ref="M125">IF( ISBLANK(M$93), "",EvaluatePolynomial(M$93:M$99,$A125))</f>
        <v/>
      </c>
      <c r="N125" s="50" t="str" cm="1">
        <f t="array" ref="N125">IF( ISBLANK(N$93), "",EvaluatePolynomial(N$93:N$99,$A125))</f>
        <v/>
      </c>
      <c r="O125" s="50" t="str" cm="1">
        <f t="array" ref="O125">IF( ISBLANK(O$93), "",EvaluatePolynomial(O$93:O$99,$A125))</f>
        <v/>
      </c>
      <c r="P125" s="50" t="str" cm="1">
        <f t="array" ref="P125">IF( ISBLANK(P$93), "",EvaluatePolynomial(P$93:P$99,$A125))</f>
        <v/>
      </c>
      <c r="Q125" s="50" t="str" cm="1">
        <f t="array" ref="Q125">IF( ISBLANK(Q$93), "",EvaluatePolynomial(Q$93:Q$99,$A125))</f>
        <v/>
      </c>
      <c r="R125" s="50" t="str" cm="1">
        <f t="array" ref="R125">IF( ISBLANK(R$93), "",EvaluatePolynomial(R$93:R$99,$A125))</f>
        <v/>
      </c>
      <c r="S125" s="50" t="str" cm="1">
        <f t="array" ref="S125">IF( ISBLANK(S$93), "",EvaluatePolynomial(S$93:S$99,$A125))</f>
        <v/>
      </c>
      <c r="T125" s="50" t="str" cm="1">
        <f t="array" ref="T125">IF( ISBLANK(T$93), "",EvaluatePolynomial(T$93:T$99,$A125))</f>
        <v/>
      </c>
      <c r="U125" s="50" t="str" cm="1">
        <f t="array" ref="U125">IF( ISBLANK(U$93), "",EvaluatePolynomial(U$93:U$99,$A125))</f>
        <v/>
      </c>
      <c r="V125" s="50" t="str" cm="1">
        <f t="array" ref="V125">IF( ISBLANK(V$93), "",EvaluatePolynomial(V$93:V$99,$A125))</f>
        <v/>
      </c>
      <c r="W125" s="50" t="str" cm="1">
        <f t="array" ref="W125">IF( ISBLANK(W$93), "",EvaluatePolynomial(W$93:W$99,$A125))</f>
        <v/>
      </c>
      <c r="X125" s="50" t="str" cm="1">
        <f t="array" ref="X125">IF( ISBLANK(X$93), "",EvaluatePolynomial(X$93:X$99,$A125))</f>
        <v/>
      </c>
      <c r="Y125" s="50" t="str" cm="1">
        <f t="array" ref="Y125">IF( ISBLANK(Y$93), "",EvaluatePolynomial(Y$93:Y$99,$A125))</f>
        <v/>
      </c>
      <c r="Z125" s="50" t="str" cm="1">
        <f t="array" ref="Z125">IF( ISBLANK(Z$93), "",EvaluatePolynomial(Z$93:Z$99,$A125))</f>
        <v/>
      </c>
      <c r="AA125" s="50" t="str" cm="1">
        <f t="array" ref="AA125">IF( ISBLANK(AA$93), "",EvaluatePolynomial(AA$93:AA$99,$A125))</f>
        <v/>
      </c>
      <c r="AB125" s="51" t="str" cm="1">
        <f t="array" ref="AB125">IF( ISBLANK(AB$93), "",EvaluatePolynomial(AB$93:AB$99,$A125))</f>
        <v/>
      </c>
    </row>
    <row r="126" spans="1:29" x14ac:dyDescent="0.25">
      <c r="A126" s="46">
        <v>575</v>
      </c>
      <c r="B126" s="50" t="str" cm="1">
        <f t="array" ref="B126">IF( ISBLANK(B$93), "",EvaluatePolynomial(B$93:B$99,$A126))</f>
        <v/>
      </c>
      <c r="C126" s="50" t="str" cm="1">
        <f t="array" ref="C126">IF( ISBLANK(C$93), "",EvaluatePolynomial(C$93:C$99,$A126))</f>
        <v/>
      </c>
      <c r="D126" s="50" t="str" cm="1">
        <f t="array" ref="D126">IF( ISBLANK(D$93), "",EvaluatePolynomial(D$93:D$99,$A126))</f>
        <v/>
      </c>
      <c r="E126" s="50" t="str" cm="1">
        <f t="array" ref="E126">IF( ISBLANK(E$93), "",EvaluatePolynomial(E$93:E$99,$A126))</f>
        <v/>
      </c>
      <c r="F126" s="50" t="str" cm="1">
        <f t="array" ref="F126">IF( ISBLANK(F$93), "",EvaluatePolynomial(F$93:F$99,$A126))</f>
        <v/>
      </c>
      <c r="G126" s="50" t="str" cm="1">
        <f t="array" ref="G126">IF( ISBLANK(G$93), "",EvaluatePolynomial(G$93:G$99,$A126))</f>
        <v/>
      </c>
      <c r="H126" s="50" t="str" cm="1">
        <f t="array" ref="H126">IF( ISBLANK(H$93), "",EvaluatePolynomial(H$93:H$99,$A126))</f>
        <v/>
      </c>
      <c r="I126" s="50" t="str" cm="1">
        <f t="array" ref="I126">IF( ISBLANK(I$93), "",EvaluatePolynomial(I$93:I$99,$A126))</f>
        <v/>
      </c>
      <c r="J126" s="50" t="str" cm="1">
        <f t="array" ref="J126">IF( ISBLANK(J$93), "",EvaluatePolynomial(J$93:J$99,$A126))</f>
        <v/>
      </c>
      <c r="K126" s="50" t="str" cm="1">
        <f t="array" ref="K126">IF( ISBLANK(K$93), "",EvaluatePolynomial(K$93:K$99,$A126))</f>
        <v/>
      </c>
      <c r="L126" s="50" t="str" cm="1">
        <f t="array" ref="L126">IF( ISBLANK(L$93), "",EvaluatePolynomial(L$93:L$99,$A126))</f>
        <v/>
      </c>
      <c r="M126" s="50" t="str" cm="1">
        <f t="array" ref="M126">IF( ISBLANK(M$93), "",EvaluatePolynomial(M$93:M$99,$A126))</f>
        <v/>
      </c>
      <c r="N126" s="50" t="str" cm="1">
        <f t="array" ref="N126">IF( ISBLANK(N$93), "",EvaluatePolynomial(N$93:N$99,$A126))</f>
        <v/>
      </c>
      <c r="O126" s="50" t="str" cm="1">
        <f t="array" ref="O126">IF( ISBLANK(O$93), "",EvaluatePolynomial(O$93:O$99,$A126))</f>
        <v/>
      </c>
      <c r="P126" s="50" t="str" cm="1">
        <f t="array" ref="P126">IF( ISBLANK(P$93), "",EvaluatePolynomial(P$93:P$99,$A126))</f>
        <v/>
      </c>
      <c r="Q126" s="50" t="str" cm="1">
        <f t="array" ref="Q126">IF( ISBLANK(Q$93), "",EvaluatePolynomial(Q$93:Q$99,$A126))</f>
        <v/>
      </c>
      <c r="R126" s="50" t="str" cm="1">
        <f t="array" ref="R126">IF( ISBLANK(R$93), "",EvaluatePolynomial(R$93:R$99,$A126))</f>
        <v/>
      </c>
      <c r="S126" s="50" t="str" cm="1">
        <f t="array" ref="S126">IF( ISBLANK(S$93), "",EvaluatePolynomial(S$93:S$99,$A126))</f>
        <v/>
      </c>
      <c r="T126" s="50" t="str" cm="1">
        <f t="array" ref="T126">IF( ISBLANK(T$93), "",EvaluatePolynomial(T$93:T$99,$A126))</f>
        <v/>
      </c>
      <c r="U126" s="50" t="str" cm="1">
        <f t="array" ref="U126">IF( ISBLANK(U$93), "",EvaluatePolynomial(U$93:U$99,$A126))</f>
        <v/>
      </c>
      <c r="V126" s="50" t="str" cm="1">
        <f t="array" ref="V126">IF( ISBLANK(V$93), "",EvaluatePolynomial(V$93:V$99,$A126))</f>
        <v/>
      </c>
      <c r="W126" s="50" t="str" cm="1">
        <f t="array" ref="W126">IF( ISBLANK(W$93), "",EvaluatePolynomial(W$93:W$99,$A126))</f>
        <v/>
      </c>
      <c r="X126" s="50" t="str" cm="1">
        <f t="array" ref="X126">IF( ISBLANK(X$93), "",EvaluatePolynomial(X$93:X$99,$A126))</f>
        <v/>
      </c>
      <c r="Y126" s="50" t="str" cm="1">
        <f t="array" ref="Y126">IF( ISBLANK(Y$93), "",EvaluatePolynomial(Y$93:Y$99,$A126))</f>
        <v/>
      </c>
      <c r="Z126" s="50" t="str" cm="1">
        <f t="array" ref="Z126">IF( ISBLANK(Z$93), "",EvaluatePolynomial(Z$93:Z$99,$A126))</f>
        <v/>
      </c>
      <c r="AA126" s="50" t="str" cm="1">
        <f t="array" ref="AA126">IF( ISBLANK(AA$93), "",EvaluatePolynomial(AA$93:AA$99,$A126))</f>
        <v/>
      </c>
      <c r="AB126" s="51" t="str" cm="1">
        <f t="array" ref="AB126">IF( ISBLANK(AB$93), "",EvaluatePolynomial(AB$93:AB$99,$A126))</f>
        <v/>
      </c>
    </row>
    <row r="127" spans="1:29" x14ac:dyDescent="0.25">
      <c r="A127" s="46">
        <v>600</v>
      </c>
      <c r="B127" s="50" t="str" cm="1">
        <f t="array" ref="B127">IF( ISBLANK(B$93), "",EvaluatePolynomial(B$93:B$99,$A127))</f>
        <v/>
      </c>
      <c r="C127" s="50" t="str" cm="1">
        <f t="array" ref="C127">IF( ISBLANK(C$93), "",EvaluatePolynomial(C$93:C$99,$A127))</f>
        <v/>
      </c>
      <c r="D127" s="50" t="str" cm="1">
        <f t="array" ref="D127">IF( ISBLANK(D$93), "",EvaluatePolynomial(D$93:D$99,$A127))</f>
        <v/>
      </c>
      <c r="E127" s="50" t="str" cm="1">
        <f t="array" ref="E127">IF( ISBLANK(E$93), "",EvaluatePolynomial(E$93:E$99,$A127))</f>
        <v/>
      </c>
      <c r="F127" s="50" t="str" cm="1">
        <f t="array" ref="F127">IF( ISBLANK(F$93), "",EvaluatePolynomial(F$93:F$99,$A127))</f>
        <v/>
      </c>
      <c r="G127" s="50" t="str" cm="1">
        <f t="array" ref="G127">IF( ISBLANK(G$93), "",EvaluatePolynomial(G$93:G$99,$A127))</f>
        <v/>
      </c>
      <c r="H127" s="50" t="str" cm="1">
        <f t="array" ref="H127">IF( ISBLANK(H$93), "",EvaluatePolynomial(H$93:H$99,$A127))</f>
        <v/>
      </c>
      <c r="I127" s="50" t="str" cm="1">
        <f t="array" ref="I127">IF( ISBLANK(I$93), "",EvaluatePolynomial(I$93:I$99,$A127))</f>
        <v/>
      </c>
      <c r="J127" s="50" t="str" cm="1">
        <f t="array" ref="J127">IF( ISBLANK(J$93), "",EvaluatePolynomial(J$93:J$99,$A127))</f>
        <v/>
      </c>
      <c r="K127" s="50" t="str" cm="1">
        <f t="array" ref="K127">IF( ISBLANK(K$93), "",EvaluatePolynomial(K$93:K$99,$A127))</f>
        <v/>
      </c>
      <c r="L127" s="50" t="str" cm="1">
        <f t="array" ref="L127">IF( ISBLANK(L$93), "",EvaluatePolynomial(L$93:L$99,$A127))</f>
        <v/>
      </c>
      <c r="M127" s="50" t="str" cm="1">
        <f t="array" ref="M127">IF( ISBLANK(M$93), "",EvaluatePolynomial(M$93:M$99,$A127))</f>
        <v/>
      </c>
      <c r="N127" s="50" t="str" cm="1">
        <f t="array" ref="N127">IF( ISBLANK(N$93), "",EvaluatePolynomial(N$93:N$99,$A127))</f>
        <v/>
      </c>
      <c r="O127" s="50" t="str" cm="1">
        <f t="array" ref="O127">IF( ISBLANK(O$93), "",EvaluatePolynomial(O$93:O$99,$A127))</f>
        <v/>
      </c>
      <c r="P127" s="50" t="str" cm="1">
        <f t="array" ref="P127">IF( ISBLANK(P$93), "",EvaluatePolynomial(P$93:P$99,$A127))</f>
        <v/>
      </c>
      <c r="Q127" s="50" t="str" cm="1">
        <f t="array" ref="Q127">IF( ISBLANK(Q$93), "",EvaluatePolynomial(Q$93:Q$99,$A127))</f>
        <v/>
      </c>
      <c r="R127" s="50" t="str" cm="1">
        <f t="array" ref="R127">IF( ISBLANK(R$93), "",EvaluatePolynomial(R$93:R$99,$A127))</f>
        <v/>
      </c>
      <c r="S127" s="50" t="str" cm="1">
        <f t="array" ref="S127">IF( ISBLANK(S$93), "",EvaluatePolynomial(S$93:S$99,$A127))</f>
        <v/>
      </c>
      <c r="T127" s="50" t="str" cm="1">
        <f t="array" ref="T127">IF( ISBLANK(T$93), "",EvaluatePolynomial(T$93:T$99,$A127))</f>
        <v/>
      </c>
      <c r="U127" s="50" t="str" cm="1">
        <f t="array" ref="U127">IF( ISBLANK(U$93), "",EvaluatePolynomial(U$93:U$99,$A127))</f>
        <v/>
      </c>
      <c r="V127" s="50" t="str" cm="1">
        <f t="array" ref="V127">IF( ISBLANK(V$93), "",EvaluatePolynomial(V$93:V$99,$A127))</f>
        <v/>
      </c>
      <c r="W127" s="50" t="str" cm="1">
        <f t="array" ref="W127">IF( ISBLANK(W$93), "",EvaluatePolynomial(W$93:W$99,$A127))</f>
        <v/>
      </c>
      <c r="X127" s="50" t="str" cm="1">
        <f t="array" ref="X127">IF( ISBLANK(X$93), "",EvaluatePolynomial(X$93:X$99,$A127))</f>
        <v/>
      </c>
      <c r="Y127" s="50" t="str" cm="1">
        <f t="array" ref="Y127">IF( ISBLANK(Y$93), "",EvaluatePolynomial(Y$93:Y$99,$A127))</f>
        <v/>
      </c>
      <c r="Z127" s="50" t="str" cm="1">
        <f t="array" ref="Z127">IF( ISBLANK(Z$93), "",EvaluatePolynomial(Z$93:Z$99,$A127))</f>
        <v/>
      </c>
      <c r="AA127" s="50" t="str" cm="1">
        <f t="array" ref="AA127">IF( ISBLANK(AA$93), "",EvaluatePolynomial(AA$93:AA$99,$A127))</f>
        <v/>
      </c>
      <c r="AB127" s="51" t="str" cm="1">
        <f t="array" ref="AB127">IF( ISBLANK(AB$93), "",EvaluatePolynomial(AB$93:AB$99,$A127))</f>
        <v/>
      </c>
    </row>
    <row r="128" spans="1:29" x14ac:dyDescent="0.25">
      <c r="A128" s="46">
        <v>625</v>
      </c>
      <c r="B128" s="50" t="str" cm="1">
        <f t="array" ref="B128">IF( ISBLANK(B$93), "",EvaluatePolynomial(B$93:B$99,$A128))</f>
        <v/>
      </c>
      <c r="C128" s="50" t="str" cm="1">
        <f t="array" ref="C128">IF( ISBLANK(C$93), "",EvaluatePolynomial(C$93:C$99,$A128))</f>
        <v/>
      </c>
      <c r="D128" s="50" t="str" cm="1">
        <f t="array" ref="D128">IF( ISBLANK(D$93), "",EvaluatePolynomial(D$93:D$99,$A128))</f>
        <v/>
      </c>
      <c r="E128" s="50" t="str" cm="1">
        <f t="array" ref="E128">IF( ISBLANK(E$93), "",EvaluatePolynomial(E$93:E$99,$A128))</f>
        <v/>
      </c>
      <c r="F128" s="50" t="str" cm="1">
        <f t="array" ref="F128">IF( ISBLANK(F$93), "",EvaluatePolynomial(F$93:F$99,$A128))</f>
        <v/>
      </c>
      <c r="G128" s="50" t="str" cm="1">
        <f t="array" ref="G128">IF( ISBLANK(G$93), "",EvaluatePolynomial(G$93:G$99,$A128))</f>
        <v/>
      </c>
      <c r="H128" s="50" t="str" cm="1">
        <f t="array" ref="H128">IF( ISBLANK(H$93), "",EvaluatePolynomial(H$93:H$99,$A128))</f>
        <v/>
      </c>
      <c r="I128" s="50" t="str" cm="1">
        <f t="array" ref="I128">IF( ISBLANK(I$93), "",EvaluatePolynomial(I$93:I$99,$A128))</f>
        <v/>
      </c>
      <c r="J128" s="50" t="str" cm="1">
        <f t="array" ref="J128">IF( ISBLANK(J$93), "",EvaluatePolynomial(J$93:J$99,$A128))</f>
        <v/>
      </c>
      <c r="K128" s="50" t="str" cm="1">
        <f t="array" ref="K128">IF( ISBLANK(K$93), "",EvaluatePolynomial(K$93:K$99,$A128))</f>
        <v/>
      </c>
      <c r="L128" s="50" t="str" cm="1">
        <f t="array" ref="L128">IF( ISBLANK(L$93), "",EvaluatePolynomial(L$93:L$99,$A128))</f>
        <v/>
      </c>
      <c r="M128" s="50" t="str" cm="1">
        <f t="array" ref="M128">IF( ISBLANK(M$93), "",EvaluatePolynomial(M$93:M$99,$A128))</f>
        <v/>
      </c>
      <c r="N128" s="50" t="str" cm="1">
        <f t="array" ref="N128">IF( ISBLANK(N$93), "",EvaluatePolynomial(N$93:N$99,$A128))</f>
        <v/>
      </c>
      <c r="O128" s="50" t="str" cm="1">
        <f t="array" ref="O128">IF( ISBLANK(O$93), "",EvaluatePolynomial(O$93:O$99,$A128))</f>
        <v/>
      </c>
      <c r="P128" s="50" t="str" cm="1">
        <f t="array" ref="P128">IF( ISBLANK(P$93), "",EvaluatePolynomial(P$93:P$99,$A128))</f>
        <v/>
      </c>
      <c r="Q128" s="50" t="str" cm="1">
        <f t="array" ref="Q128">IF( ISBLANK(Q$93), "",EvaluatePolynomial(Q$93:Q$99,$A128))</f>
        <v/>
      </c>
      <c r="R128" s="50" t="str" cm="1">
        <f t="array" ref="R128">IF( ISBLANK(R$93), "",EvaluatePolynomial(R$93:R$99,$A128))</f>
        <v/>
      </c>
      <c r="S128" s="50" t="str" cm="1">
        <f t="array" ref="S128">IF( ISBLANK(S$93), "",EvaluatePolynomial(S$93:S$99,$A128))</f>
        <v/>
      </c>
      <c r="T128" s="50" t="str" cm="1">
        <f t="array" ref="T128">IF( ISBLANK(T$93), "",EvaluatePolynomial(T$93:T$99,$A128))</f>
        <v/>
      </c>
      <c r="U128" s="50" t="str" cm="1">
        <f t="array" ref="U128">IF( ISBLANK(U$93), "",EvaluatePolynomial(U$93:U$99,$A128))</f>
        <v/>
      </c>
      <c r="V128" s="50" t="str" cm="1">
        <f t="array" ref="V128">IF( ISBLANK(V$93), "",EvaluatePolynomial(V$93:V$99,$A128))</f>
        <v/>
      </c>
      <c r="W128" s="50" t="str" cm="1">
        <f t="array" ref="W128">IF( ISBLANK(W$93), "",EvaluatePolynomial(W$93:W$99,$A128))</f>
        <v/>
      </c>
      <c r="X128" s="50" t="str" cm="1">
        <f t="array" ref="X128">IF( ISBLANK(X$93), "",EvaluatePolynomial(X$93:X$99,$A128))</f>
        <v/>
      </c>
      <c r="Y128" s="50" t="str" cm="1">
        <f t="array" ref="Y128">IF( ISBLANK(Y$93), "",EvaluatePolynomial(Y$93:Y$99,$A128))</f>
        <v/>
      </c>
      <c r="Z128" s="50" t="str" cm="1">
        <f t="array" ref="Z128">IF( ISBLANK(Z$93), "",EvaluatePolynomial(Z$93:Z$99,$A128))</f>
        <v/>
      </c>
      <c r="AA128" s="50" t="str" cm="1">
        <f t="array" ref="AA128">IF( ISBLANK(AA$93), "",EvaluatePolynomial(AA$93:AA$99,$A128))</f>
        <v/>
      </c>
      <c r="AB128" s="51" t="str" cm="1">
        <f t="array" ref="AB128">IF( ISBLANK(AB$93), "",EvaluatePolynomial(AB$93:AB$99,$A128))</f>
        <v/>
      </c>
    </row>
    <row r="129" spans="1:31" x14ac:dyDescent="0.25">
      <c r="A129" s="46">
        <v>650</v>
      </c>
      <c r="B129" s="50" t="str" cm="1">
        <f t="array" ref="B129">IF( ISBLANK(B$93), "",EvaluatePolynomial(B$93:B$99,$A129))</f>
        <v/>
      </c>
      <c r="C129" s="50" t="str" cm="1">
        <f t="array" ref="C129">IF( ISBLANK(C$93), "",EvaluatePolynomial(C$93:C$99,$A129))</f>
        <v/>
      </c>
      <c r="D129" s="50" t="str" cm="1">
        <f t="array" ref="D129">IF( ISBLANK(D$93), "",EvaluatePolynomial(D$93:D$99,$A129))</f>
        <v/>
      </c>
      <c r="E129" s="50" t="str" cm="1">
        <f t="array" ref="E129">IF( ISBLANK(E$93), "",EvaluatePolynomial(E$93:E$99,$A129))</f>
        <v/>
      </c>
      <c r="F129" s="50" t="str" cm="1">
        <f t="array" ref="F129">IF( ISBLANK(F$93), "",EvaluatePolynomial(F$93:F$99,$A129))</f>
        <v/>
      </c>
      <c r="G129" s="50" t="str" cm="1">
        <f t="array" ref="G129">IF( ISBLANK(G$93), "",EvaluatePolynomial(G$93:G$99,$A129))</f>
        <v/>
      </c>
      <c r="H129" s="50" t="str" cm="1">
        <f t="array" ref="H129">IF( ISBLANK(H$93), "",EvaluatePolynomial(H$93:H$99,$A129))</f>
        <v/>
      </c>
      <c r="I129" s="50" t="str" cm="1">
        <f t="array" ref="I129">IF( ISBLANK(I$93), "",EvaluatePolynomial(I$93:I$99,$A129))</f>
        <v/>
      </c>
      <c r="J129" s="50" t="str" cm="1">
        <f t="array" ref="J129">IF( ISBLANK(J$93), "",EvaluatePolynomial(J$93:J$99,$A129))</f>
        <v/>
      </c>
      <c r="K129" s="50" t="str" cm="1">
        <f t="array" ref="K129">IF( ISBLANK(K$93), "",EvaluatePolynomial(K$93:K$99,$A129))</f>
        <v/>
      </c>
      <c r="L129" s="50" t="str" cm="1">
        <f t="array" ref="L129">IF( ISBLANK(L$93), "",EvaluatePolynomial(L$93:L$99,$A129))</f>
        <v/>
      </c>
      <c r="M129" s="50" t="str" cm="1">
        <f t="array" ref="M129">IF( ISBLANK(M$93), "",EvaluatePolynomial(M$93:M$99,$A129))</f>
        <v/>
      </c>
      <c r="N129" s="50" t="str" cm="1">
        <f t="array" ref="N129">IF( ISBLANK(N$93), "",EvaluatePolynomial(N$93:N$99,$A129))</f>
        <v/>
      </c>
      <c r="O129" s="50" t="str" cm="1">
        <f t="array" ref="O129">IF( ISBLANK(O$93), "",EvaluatePolynomial(O$93:O$99,$A129))</f>
        <v/>
      </c>
      <c r="P129" s="50" t="str" cm="1">
        <f t="array" ref="P129">IF( ISBLANK(P$93), "",EvaluatePolynomial(P$93:P$99,$A129))</f>
        <v/>
      </c>
      <c r="Q129" s="50" t="str" cm="1">
        <f t="array" ref="Q129">IF( ISBLANK(Q$93), "",EvaluatePolynomial(Q$93:Q$99,$A129))</f>
        <v/>
      </c>
      <c r="R129" s="50" t="str" cm="1">
        <f t="array" ref="R129">IF( ISBLANK(R$93), "",EvaluatePolynomial(R$93:R$99,$A129))</f>
        <v/>
      </c>
      <c r="S129" s="50" t="str" cm="1">
        <f t="array" ref="S129">IF( ISBLANK(S$93), "",EvaluatePolynomial(S$93:S$99,$A129))</f>
        <v/>
      </c>
      <c r="T129" s="50" t="str" cm="1">
        <f t="array" ref="T129">IF( ISBLANK(T$93), "",EvaluatePolynomial(T$93:T$99,$A129))</f>
        <v/>
      </c>
      <c r="U129" s="50" t="str" cm="1">
        <f t="array" ref="U129">IF( ISBLANK(U$93), "",EvaluatePolynomial(U$93:U$99,$A129))</f>
        <v/>
      </c>
      <c r="V129" s="50" t="str" cm="1">
        <f t="array" ref="V129">IF( ISBLANK(V$93), "",EvaluatePolynomial(V$93:V$99,$A129))</f>
        <v/>
      </c>
      <c r="W129" s="50" t="str" cm="1">
        <f t="array" ref="W129">IF( ISBLANK(W$93), "",EvaluatePolynomial(W$93:W$99,$A129))</f>
        <v/>
      </c>
      <c r="X129" s="50" t="str" cm="1">
        <f t="array" ref="X129">IF( ISBLANK(X$93), "",EvaluatePolynomial(X$93:X$99,$A129))</f>
        <v/>
      </c>
      <c r="Y129" s="50" t="str" cm="1">
        <f t="array" ref="Y129">IF( ISBLANK(Y$93), "",EvaluatePolynomial(Y$93:Y$99,$A129))</f>
        <v/>
      </c>
      <c r="Z129" s="50" t="str" cm="1">
        <f t="array" ref="Z129">IF( ISBLANK(Z$93), "",EvaluatePolynomial(Z$93:Z$99,$A129))</f>
        <v/>
      </c>
      <c r="AA129" s="50" t="str" cm="1">
        <f t="array" ref="AA129">IF( ISBLANK(AA$93), "",EvaluatePolynomial(AA$93:AA$99,$A129))</f>
        <v/>
      </c>
      <c r="AB129" s="51" t="str" cm="1">
        <f t="array" ref="AB129">IF( ISBLANK(AB$93), "",EvaluatePolynomial(AB$93:AB$99,$A129))</f>
        <v/>
      </c>
    </row>
    <row r="130" spans="1:31" x14ac:dyDescent="0.25">
      <c r="A130" s="46">
        <v>675</v>
      </c>
      <c r="B130" s="50" t="str" cm="1">
        <f t="array" ref="B130">IF( ISBLANK(B$93), "",EvaluatePolynomial(B$93:B$99,$A130))</f>
        <v/>
      </c>
      <c r="C130" s="50" t="str" cm="1">
        <f t="array" ref="C130">IF( ISBLANK(C$93), "",EvaluatePolynomial(C$93:C$99,$A130))</f>
        <v/>
      </c>
      <c r="D130" s="50" t="str" cm="1">
        <f t="array" ref="D130">IF( ISBLANK(D$93), "",EvaluatePolynomial(D$93:D$99,$A130))</f>
        <v/>
      </c>
      <c r="E130" s="50" t="str" cm="1">
        <f t="array" ref="E130">IF( ISBLANK(E$93), "",EvaluatePolynomial(E$93:E$99,$A130))</f>
        <v/>
      </c>
      <c r="F130" s="50" t="str" cm="1">
        <f t="array" ref="F130">IF( ISBLANK(F$93), "",EvaluatePolynomial(F$93:F$99,$A130))</f>
        <v/>
      </c>
      <c r="G130" s="50" t="str" cm="1">
        <f t="array" ref="G130">IF( ISBLANK(G$93), "",EvaluatePolynomial(G$93:G$99,$A130))</f>
        <v/>
      </c>
      <c r="H130" s="50" t="str" cm="1">
        <f t="array" ref="H130">IF( ISBLANK(H$93), "",EvaluatePolynomial(H$93:H$99,$A130))</f>
        <v/>
      </c>
      <c r="I130" s="50" t="str" cm="1">
        <f t="array" ref="I130">IF( ISBLANK(I$93), "",EvaluatePolynomial(I$93:I$99,$A130))</f>
        <v/>
      </c>
      <c r="J130" s="52" t="str" cm="1">
        <f t="array" ref="J130">IF( ISBLANK(J$93), "",EvaluatePolynomial(J$93:J$99,$A130))</f>
        <v/>
      </c>
      <c r="K130" s="52" t="str" cm="1">
        <f t="array" ref="K130">IF( ISBLANK(K$93), "",EvaluatePolynomial(K$93:K$99,$A130))</f>
        <v/>
      </c>
      <c r="L130" s="52" t="str" cm="1">
        <f t="array" ref="L130">IF( ISBLANK(L$93), "",EvaluatePolynomial(L$93:L$99,$A130))</f>
        <v/>
      </c>
      <c r="M130" s="52" t="str" cm="1">
        <f t="array" ref="M130">IF( ISBLANK(M$93), "",EvaluatePolynomial(M$93:M$99,$A130))</f>
        <v/>
      </c>
      <c r="N130" s="52" t="str" cm="1">
        <f t="array" ref="N130">IF( ISBLANK(N$93), "",EvaluatePolynomial(N$93:N$99,$A130))</f>
        <v/>
      </c>
      <c r="O130" s="52" t="str" cm="1">
        <f t="array" ref="O130">IF( ISBLANK(O$93), "",EvaluatePolynomial(O$93:O$99,$A130))</f>
        <v/>
      </c>
      <c r="P130" s="52" t="str" cm="1">
        <f t="array" ref="P130">IF( ISBLANK(P$93), "",EvaluatePolynomial(P$93:P$99,$A130))</f>
        <v/>
      </c>
      <c r="Q130" s="52" t="str" cm="1">
        <f t="array" ref="Q130">IF( ISBLANK(Q$93), "",EvaluatePolynomial(Q$93:Q$99,$A130))</f>
        <v/>
      </c>
      <c r="R130" s="52" t="str" cm="1">
        <f t="array" ref="R130">IF( ISBLANK(R$93), "",EvaluatePolynomial(R$93:R$99,$A130))</f>
        <v/>
      </c>
      <c r="S130" s="52" t="str" cm="1">
        <f t="array" ref="S130">IF( ISBLANK(S$93), "",EvaluatePolynomial(S$93:S$99,$A130))</f>
        <v/>
      </c>
      <c r="T130" s="52" t="str" cm="1">
        <f t="array" ref="T130">IF( ISBLANK(T$93), "",EvaluatePolynomial(T$93:T$99,$A130))</f>
        <v/>
      </c>
      <c r="U130" s="52" t="str" cm="1">
        <f t="array" ref="U130">IF( ISBLANK(U$93), "",EvaluatePolynomial(U$93:U$99,$A130))</f>
        <v/>
      </c>
      <c r="V130" s="52" t="str" cm="1">
        <f t="array" ref="V130">IF( ISBLANK(V$93), "",EvaluatePolynomial(V$93:V$99,$A130))</f>
        <v/>
      </c>
      <c r="W130" s="52" t="str" cm="1">
        <f t="array" ref="W130">IF( ISBLANK(W$93), "",EvaluatePolynomial(W$93:W$99,$A130))</f>
        <v/>
      </c>
      <c r="X130" s="52" t="str" cm="1">
        <f t="array" ref="X130">IF( ISBLANK(X$93), "",EvaluatePolynomial(X$93:X$99,$A130))</f>
        <v/>
      </c>
      <c r="Y130" s="52" t="str" cm="1">
        <f t="array" ref="Y130">IF( ISBLANK(Y$93), "",EvaluatePolynomial(Y$93:Y$99,$A130))</f>
        <v/>
      </c>
      <c r="Z130" s="52" t="str" cm="1">
        <f t="array" ref="Z130">IF( ISBLANK(Z$93), "",EvaluatePolynomial(Z$93:Z$99,$A130))</f>
        <v/>
      </c>
      <c r="AA130" s="52" t="str" cm="1">
        <f t="array" ref="AA130">IF( ISBLANK(AA$93), "",EvaluatePolynomial(AA$93:AA$99,$A130))</f>
        <v/>
      </c>
      <c r="AB130" s="53" t="str" cm="1">
        <f t="array" ref="AB130">IF( ISBLANK(AB$93), "",EvaluatePolynomial(AB$93:AB$99,$A130))</f>
        <v/>
      </c>
      <c r="AC130" s="1"/>
      <c r="AD130" s="1"/>
      <c r="AE130" s="1"/>
    </row>
    <row r="131" spans="1:31" x14ac:dyDescent="0.25">
      <c r="A131" s="46">
        <v>700</v>
      </c>
      <c r="B131" s="50" t="str" cm="1">
        <f t="array" ref="B131">IF( ISBLANK(B$93), "",EvaluatePolynomial(B$93:B$99,$A131))</f>
        <v/>
      </c>
      <c r="C131" s="50" t="str" cm="1">
        <f t="array" ref="C131">IF( ISBLANK(C$93), "",EvaluatePolynomial(C$93:C$99,$A131))</f>
        <v/>
      </c>
      <c r="D131" s="50" t="str" cm="1">
        <f t="array" ref="D131">IF( ISBLANK(D$93), "",EvaluatePolynomial(D$93:D$99,$A131))</f>
        <v/>
      </c>
      <c r="E131" s="50" t="str" cm="1">
        <f t="array" ref="E131">IF( ISBLANK(E$93), "",EvaluatePolynomial(E$93:E$99,$A131))</f>
        <v/>
      </c>
      <c r="F131" s="50" t="str" cm="1">
        <f t="array" ref="F131">IF( ISBLANK(F$93), "",EvaluatePolynomial(F$93:F$99,$A131))</f>
        <v/>
      </c>
      <c r="G131" s="50" t="str" cm="1">
        <f t="array" ref="G131">IF( ISBLANK(G$93), "",EvaluatePolynomial(G$93:G$99,$A131))</f>
        <v/>
      </c>
      <c r="H131" s="50" t="str" cm="1">
        <f t="array" ref="H131">IF( ISBLANK(H$93), "",EvaluatePolynomial(H$93:H$99,$A131))</f>
        <v/>
      </c>
      <c r="I131" s="50" t="str" cm="1">
        <f t="array" ref="I131">IF( ISBLANK(I$93), "",EvaluatePolynomial(I$93:I$99,$A131))</f>
        <v/>
      </c>
      <c r="J131" s="52" t="str" cm="1">
        <f t="array" ref="J131">IF( ISBLANK(J$93), "",EvaluatePolynomial(J$93:J$99,$A131))</f>
        <v/>
      </c>
      <c r="K131" s="52" t="str" cm="1">
        <f t="array" ref="K131">IF( ISBLANK(K$93), "",EvaluatePolynomial(K$93:K$99,$A131))</f>
        <v/>
      </c>
      <c r="L131" s="52" t="str" cm="1">
        <f t="array" ref="L131">IF( ISBLANK(L$93), "",EvaluatePolynomial(L$93:L$99,$A131))</f>
        <v/>
      </c>
      <c r="M131" s="52" t="str" cm="1">
        <f t="array" ref="M131">IF( ISBLANK(M$93), "",EvaluatePolynomial(M$93:M$99,$A131))</f>
        <v/>
      </c>
      <c r="N131" s="52" t="str" cm="1">
        <f t="array" ref="N131">IF( ISBLANK(N$93), "",EvaluatePolynomial(N$93:N$99,$A131))</f>
        <v/>
      </c>
      <c r="O131" s="52" t="str" cm="1">
        <f t="array" ref="O131">IF( ISBLANK(O$93), "",EvaluatePolynomial(O$93:O$99,$A131))</f>
        <v/>
      </c>
      <c r="P131" s="52" t="str" cm="1">
        <f t="array" ref="P131">IF( ISBLANK(P$93), "",EvaluatePolynomial(P$93:P$99,$A131))</f>
        <v/>
      </c>
      <c r="Q131" s="52" t="str" cm="1">
        <f t="array" ref="Q131">IF( ISBLANK(Q$93), "",EvaluatePolynomial(Q$93:Q$99,$A131))</f>
        <v/>
      </c>
      <c r="R131" s="52" t="str" cm="1">
        <f t="array" ref="R131">IF( ISBLANK(R$93), "",EvaluatePolynomial(R$93:R$99,$A131))</f>
        <v/>
      </c>
      <c r="S131" s="52" t="str" cm="1">
        <f t="array" ref="S131">IF( ISBLANK(S$93), "",EvaluatePolynomial(S$93:S$99,$A131))</f>
        <v/>
      </c>
      <c r="T131" s="52" t="str" cm="1">
        <f t="array" ref="T131">IF( ISBLANK(T$93), "",EvaluatePolynomial(T$93:T$99,$A131))</f>
        <v/>
      </c>
      <c r="U131" s="52" t="str" cm="1">
        <f t="array" ref="U131">IF( ISBLANK(U$93), "",EvaluatePolynomial(U$93:U$99,$A131))</f>
        <v/>
      </c>
      <c r="V131" s="52" t="str" cm="1">
        <f t="array" ref="V131">IF( ISBLANK(V$93), "",EvaluatePolynomial(V$93:V$99,$A131))</f>
        <v/>
      </c>
      <c r="W131" s="52" t="str" cm="1">
        <f t="array" ref="W131">IF( ISBLANK(W$93), "",EvaluatePolynomial(W$93:W$99,$A131))</f>
        <v/>
      </c>
      <c r="X131" s="52" t="str" cm="1">
        <f t="array" ref="X131">IF( ISBLANK(X$93), "",EvaluatePolynomial(X$93:X$99,$A131))</f>
        <v/>
      </c>
      <c r="Y131" s="52" t="str" cm="1">
        <f t="array" ref="Y131">IF( ISBLANK(Y$93), "",EvaluatePolynomial(Y$93:Y$99,$A131))</f>
        <v/>
      </c>
      <c r="Z131" s="52" t="str" cm="1">
        <f t="array" ref="Z131">IF( ISBLANK(Z$93), "",EvaluatePolynomial(Z$93:Z$99,$A131))</f>
        <v/>
      </c>
      <c r="AA131" s="52" t="str" cm="1">
        <f t="array" ref="AA131">IF( ISBLANK(AA$93), "",EvaluatePolynomial(AA$93:AA$99,$A131))</f>
        <v/>
      </c>
      <c r="AB131" s="53" t="str" cm="1">
        <f t="array" ref="AB131">IF( ISBLANK(AB$93), "",EvaluatePolynomial(AB$93:AB$99,$A131))</f>
        <v/>
      </c>
      <c r="AC131" s="1"/>
      <c r="AD131" s="1"/>
      <c r="AE131" s="1"/>
    </row>
    <row r="132" spans="1:31" x14ac:dyDescent="0.25">
      <c r="A132" s="46">
        <v>725</v>
      </c>
      <c r="B132" s="50" t="str" cm="1">
        <f t="array" ref="B132">IF( ISBLANK(B$93), "",EvaluatePolynomial(B$93:B$99,$A132))</f>
        <v/>
      </c>
      <c r="C132" s="50" t="str" cm="1">
        <f t="array" ref="C132">IF( ISBLANK(C$93), "",EvaluatePolynomial(C$93:C$99,$A132))</f>
        <v/>
      </c>
      <c r="D132" s="50" t="str" cm="1">
        <f t="array" ref="D132">IF( ISBLANK(D$93), "",EvaluatePolynomial(D$93:D$99,$A132))</f>
        <v/>
      </c>
      <c r="E132" s="50" t="str" cm="1">
        <f t="array" ref="E132">IF( ISBLANK(E$93), "",EvaluatePolynomial(E$93:E$99,$A132))</f>
        <v/>
      </c>
      <c r="F132" s="50" t="str" cm="1">
        <f t="array" ref="F132">IF( ISBLANK(F$93), "",EvaluatePolynomial(F$93:F$99,$A132))</f>
        <v/>
      </c>
      <c r="G132" s="50" t="str" cm="1">
        <f t="array" ref="G132">IF( ISBLANK(G$93), "",EvaluatePolynomial(G$93:G$99,$A132))</f>
        <v/>
      </c>
      <c r="H132" s="50" t="str" cm="1">
        <f t="array" ref="H132">IF( ISBLANK(H$93), "",EvaluatePolynomial(H$93:H$99,$A132))</f>
        <v/>
      </c>
      <c r="I132" s="50" t="str" cm="1">
        <f t="array" ref="I132">IF( ISBLANK(I$93), "",EvaluatePolynomial(I$93:I$99,$A132))</f>
        <v/>
      </c>
      <c r="J132" s="54" t="str" cm="1">
        <f t="array" ref="J132">IF( ISBLANK(J$93), "",EvaluatePolynomial(J$93:J$99,$A132))</f>
        <v/>
      </c>
      <c r="K132" s="54" t="str" cm="1">
        <f t="array" ref="K132">IF( ISBLANK(K$93), "",EvaluatePolynomial(K$93:K$99,$A132))</f>
        <v/>
      </c>
      <c r="L132" s="54" t="str" cm="1">
        <f t="array" ref="L132">IF( ISBLANK(L$93), "",EvaluatePolynomial(L$93:L$99,$A132))</f>
        <v/>
      </c>
      <c r="M132" s="54" t="str" cm="1">
        <f t="array" ref="M132">IF( ISBLANK(M$93), "",EvaluatePolynomial(M$93:M$99,$A132))</f>
        <v/>
      </c>
      <c r="N132" s="54" t="str" cm="1">
        <f t="array" ref="N132">IF( ISBLANK(N$93), "",EvaluatePolynomial(N$93:N$99,$A132))</f>
        <v/>
      </c>
      <c r="O132" s="54" t="str" cm="1">
        <f t="array" ref="O132">IF( ISBLANK(O$93), "",EvaluatePolynomial(O$93:O$99,$A132))</f>
        <v/>
      </c>
      <c r="P132" s="54" t="str" cm="1">
        <f t="array" ref="P132">IF( ISBLANK(P$93), "",EvaluatePolynomial(P$93:P$99,$A132))</f>
        <v/>
      </c>
      <c r="Q132" s="54" t="str" cm="1">
        <f t="array" ref="Q132">IF( ISBLANK(Q$93), "",EvaluatePolynomial(Q$93:Q$99,$A132))</f>
        <v/>
      </c>
      <c r="R132" s="54" t="str" cm="1">
        <f t="array" ref="R132">IF( ISBLANK(R$93), "",EvaluatePolynomial(R$93:R$99,$A132))</f>
        <v/>
      </c>
      <c r="S132" s="54" t="str" cm="1">
        <f t="array" ref="S132">IF( ISBLANK(S$93), "",EvaluatePolynomial(S$93:S$99,$A132))</f>
        <v/>
      </c>
      <c r="T132" s="52" t="str" cm="1">
        <f t="array" ref="T132">IF( ISBLANK(T$93), "",EvaluatePolynomial(T$93:T$99,$A132))</f>
        <v/>
      </c>
      <c r="U132" s="52" t="str" cm="1">
        <f t="array" ref="U132">IF( ISBLANK(U$93), "",EvaluatePolynomial(U$93:U$99,$A132))</f>
        <v/>
      </c>
      <c r="V132" s="52" t="str" cm="1">
        <f t="array" ref="V132">IF( ISBLANK(V$93), "",EvaluatePolynomial(V$93:V$99,$A132))</f>
        <v/>
      </c>
      <c r="W132" s="52" t="str" cm="1">
        <f t="array" ref="W132">IF( ISBLANK(W$93), "",EvaluatePolynomial(W$93:W$99,$A132))</f>
        <v/>
      </c>
      <c r="X132" s="52" t="str" cm="1">
        <f t="array" ref="X132">IF( ISBLANK(X$93), "",EvaluatePolynomial(X$93:X$99,$A132))</f>
        <v/>
      </c>
      <c r="Y132" s="52" t="str" cm="1">
        <f t="array" ref="Y132">IF( ISBLANK(Y$93), "",EvaluatePolynomial(Y$93:Y$99,$A132))</f>
        <v/>
      </c>
      <c r="Z132" s="52" t="str" cm="1">
        <f t="array" ref="Z132">IF( ISBLANK(Z$93), "",EvaluatePolynomial(Z$93:Z$99,$A132))</f>
        <v/>
      </c>
      <c r="AA132" s="52" t="str" cm="1">
        <f t="array" ref="AA132">IF( ISBLANK(AA$93), "",EvaluatePolynomial(AA$93:AA$99,$A132))</f>
        <v/>
      </c>
      <c r="AB132" s="53" t="str" cm="1">
        <f t="array" ref="AB132">IF( ISBLANK(AB$93), "",EvaluatePolynomial(AB$93:AB$99,$A132))</f>
        <v/>
      </c>
      <c r="AC132" s="1"/>
      <c r="AD132" s="1"/>
      <c r="AE132" s="1"/>
    </row>
    <row r="133" spans="1:31" x14ac:dyDescent="0.25">
      <c r="A133" s="46">
        <v>750</v>
      </c>
      <c r="B133" s="50" t="str" cm="1">
        <f t="array" ref="B133">IF( ISBLANK(B$93), "",EvaluatePolynomial(B$93:B$99,$A133))</f>
        <v/>
      </c>
      <c r="C133" s="50" t="str" cm="1">
        <f t="array" ref="C133">IF( ISBLANK(C$93), "",EvaluatePolynomial(C$93:C$99,$A133))</f>
        <v/>
      </c>
      <c r="D133" s="50" t="str" cm="1">
        <f t="array" ref="D133">IF( ISBLANK(D$93), "",EvaluatePolynomial(D$93:D$99,$A133))</f>
        <v/>
      </c>
      <c r="E133" s="50" t="str" cm="1">
        <f t="array" ref="E133">IF( ISBLANK(E$93), "",EvaluatePolynomial(E$93:E$99,$A133))</f>
        <v/>
      </c>
      <c r="F133" s="50" t="str" cm="1">
        <f t="array" ref="F133">IF( ISBLANK(F$93), "",EvaluatePolynomial(F$93:F$99,$A133))</f>
        <v/>
      </c>
      <c r="G133" s="50" t="str" cm="1">
        <f t="array" ref="G133">IF( ISBLANK(G$93), "",EvaluatePolynomial(G$93:G$99,$A133))</f>
        <v/>
      </c>
      <c r="H133" s="50" t="str" cm="1">
        <f t="array" ref="H133">IF( ISBLANK(H$93), "",EvaluatePolynomial(H$93:H$99,$A133))</f>
        <v/>
      </c>
      <c r="I133" s="50" t="str" cm="1">
        <f t="array" ref="I133">IF( ISBLANK(I$93), "",EvaluatePolynomial(I$93:I$99,$A133))</f>
        <v/>
      </c>
      <c r="J133" s="52" t="str" cm="1">
        <f t="array" ref="J133">IF( ISBLANK(J$93), "",EvaluatePolynomial(J$93:J$99,$A133))</f>
        <v/>
      </c>
      <c r="K133" s="52" t="str" cm="1">
        <f t="array" ref="K133">IF( ISBLANK(K$93), "",EvaluatePolynomial(K$93:K$99,$A133))</f>
        <v/>
      </c>
      <c r="L133" s="52" t="str" cm="1">
        <f t="array" ref="L133">IF( ISBLANK(L$93), "",EvaluatePolynomial(L$93:L$99,$A133))</f>
        <v/>
      </c>
      <c r="M133" s="52" t="str" cm="1">
        <f t="array" ref="M133">IF( ISBLANK(M$93), "",EvaluatePolynomial(M$93:M$99,$A133))</f>
        <v/>
      </c>
      <c r="N133" s="52" t="str" cm="1">
        <f t="array" ref="N133">IF( ISBLANK(N$93), "",EvaluatePolynomial(N$93:N$99,$A133))</f>
        <v/>
      </c>
      <c r="O133" s="52" t="str" cm="1">
        <f t="array" ref="O133">IF( ISBLANK(O$93), "",EvaluatePolynomial(O$93:O$99,$A133))</f>
        <v/>
      </c>
      <c r="P133" s="52" t="str" cm="1">
        <f t="array" ref="P133">IF( ISBLANK(P$93), "",EvaluatePolynomial(P$93:P$99,$A133))</f>
        <v/>
      </c>
      <c r="Q133" s="52" t="str" cm="1">
        <f t="array" ref="Q133">IF( ISBLANK(Q$93), "",EvaluatePolynomial(Q$93:Q$99,$A133))</f>
        <v/>
      </c>
      <c r="R133" s="52" t="str" cm="1">
        <f t="array" ref="R133">IF( ISBLANK(R$93), "",EvaluatePolynomial(R$93:R$99,$A133))</f>
        <v/>
      </c>
      <c r="S133" s="52" t="str" cm="1">
        <f t="array" ref="S133">IF( ISBLANK(S$93), "",EvaluatePolynomial(S$93:S$99,$A133))</f>
        <v/>
      </c>
      <c r="T133" s="52" t="str" cm="1">
        <f t="array" ref="T133">IF( ISBLANK(T$93), "",EvaluatePolynomial(T$93:T$99,$A133))</f>
        <v/>
      </c>
      <c r="U133" s="52" t="str" cm="1">
        <f t="array" ref="U133">IF( ISBLANK(U$93), "",EvaluatePolynomial(U$93:U$99,$A133))</f>
        <v/>
      </c>
      <c r="V133" s="52" t="str" cm="1">
        <f t="array" ref="V133">IF( ISBLANK(V$93), "",EvaluatePolynomial(V$93:V$99,$A133))</f>
        <v/>
      </c>
      <c r="W133" s="52" t="str" cm="1">
        <f t="array" ref="W133">IF( ISBLANK(W$93), "",EvaluatePolynomial(W$93:W$99,$A133))</f>
        <v/>
      </c>
      <c r="X133" s="52" t="str" cm="1">
        <f t="array" ref="X133">IF( ISBLANK(X$93), "",EvaluatePolynomial(X$93:X$99,$A133))</f>
        <v/>
      </c>
      <c r="Y133" s="52" t="str" cm="1">
        <f t="array" ref="Y133">IF( ISBLANK(Y$93), "",EvaluatePolynomial(Y$93:Y$99,$A133))</f>
        <v/>
      </c>
      <c r="Z133" s="52" t="str" cm="1">
        <f t="array" ref="Z133">IF( ISBLANK(Z$93), "",EvaluatePolynomial(Z$93:Z$99,$A133))</f>
        <v/>
      </c>
      <c r="AA133" s="52" t="str" cm="1">
        <f t="array" ref="AA133">IF( ISBLANK(AA$93), "",EvaluatePolynomial(AA$93:AA$99,$A133))</f>
        <v/>
      </c>
      <c r="AB133" s="53" t="str" cm="1">
        <f t="array" ref="AB133">IF( ISBLANK(AB$93), "",EvaluatePolynomial(AB$93:AB$99,$A133))</f>
        <v/>
      </c>
      <c r="AC133" s="1"/>
      <c r="AD133" s="1"/>
      <c r="AE133" s="1"/>
    </row>
    <row r="134" spans="1:31" x14ac:dyDescent="0.25">
      <c r="A134" s="46">
        <v>775</v>
      </c>
      <c r="B134" s="50" t="str" cm="1">
        <f t="array" ref="B134">IF( ISBLANK(B$93), "",EvaluatePolynomial(B$93:B$99,$A134))</f>
        <v/>
      </c>
      <c r="C134" s="50" t="str" cm="1">
        <f t="array" ref="C134">IF( ISBLANK(C$93), "",EvaluatePolynomial(C$93:C$99,$A134))</f>
        <v/>
      </c>
      <c r="D134" s="50" t="str" cm="1">
        <f t="array" ref="D134">IF( ISBLANK(D$93), "",EvaluatePolynomial(D$93:D$99,$A134))</f>
        <v/>
      </c>
      <c r="E134" s="50" t="str" cm="1">
        <f t="array" ref="E134">IF( ISBLANK(E$93), "",EvaluatePolynomial(E$93:E$99,$A134))</f>
        <v/>
      </c>
      <c r="F134" s="50" t="str" cm="1">
        <f t="array" ref="F134">IF( ISBLANK(F$93), "",EvaluatePolynomial(F$93:F$99,$A134))</f>
        <v/>
      </c>
      <c r="G134" s="50" t="str" cm="1">
        <f t="array" ref="G134">IF( ISBLANK(G$93), "",EvaluatePolynomial(G$93:G$99,$A134))</f>
        <v/>
      </c>
      <c r="H134" s="50" t="str" cm="1">
        <f t="array" ref="H134">IF( ISBLANK(H$93), "",EvaluatePolynomial(H$93:H$99,$A134))</f>
        <v/>
      </c>
      <c r="I134" s="50" t="str" cm="1">
        <f t="array" ref="I134">IF( ISBLANK(I$93), "",EvaluatePolynomial(I$93:I$99,$A134))</f>
        <v/>
      </c>
      <c r="J134" s="52" t="str" cm="1">
        <f t="array" ref="J134">IF( ISBLANK(J$93), "",EvaluatePolynomial(J$93:J$99,$A134))</f>
        <v/>
      </c>
      <c r="K134" s="52" t="str" cm="1">
        <f t="array" ref="K134">IF( ISBLANK(K$93), "",EvaluatePolynomial(K$93:K$99,$A134))</f>
        <v/>
      </c>
      <c r="L134" s="52" t="str" cm="1">
        <f t="array" ref="L134">IF( ISBLANK(L$93), "",EvaluatePolynomial(L$93:L$99,$A134))</f>
        <v/>
      </c>
      <c r="M134" s="52" t="str" cm="1">
        <f t="array" ref="M134">IF( ISBLANK(M$93), "",EvaluatePolynomial(M$93:M$99,$A134))</f>
        <v/>
      </c>
      <c r="N134" s="52" t="str" cm="1">
        <f t="array" ref="N134">IF( ISBLANK(N$93), "",EvaluatePolynomial(N$93:N$99,$A134))</f>
        <v/>
      </c>
      <c r="O134" s="52" t="str" cm="1">
        <f t="array" ref="O134">IF( ISBLANK(O$93), "",EvaluatePolynomial(O$93:O$99,$A134))</f>
        <v/>
      </c>
      <c r="P134" s="52" t="str" cm="1">
        <f t="array" ref="P134">IF( ISBLANK(P$93), "",EvaluatePolynomial(P$93:P$99,$A134))</f>
        <v/>
      </c>
      <c r="Q134" s="52" t="str" cm="1">
        <f t="array" ref="Q134">IF( ISBLANK(Q$93), "",EvaluatePolynomial(Q$93:Q$99,$A134))</f>
        <v/>
      </c>
      <c r="R134" s="52" t="str" cm="1">
        <f t="array" ref="R134">IF( ISBLANK(R$93), "",EvaluatePolynomial(R$93:R$99,$A134))</f>
        <v/>
      </c>
      <c r="S134" s="52" t="str" cm="1">
        <f t="array" ref="S134">IF( ISBLANK(S$93), "",EvaluatePolynomial(S$93:S$99,$A134))</f>
        <v/>
      </c>
      <c r="T134" s="52" t="str" cm="1">
        <f t="array" ref="T134">IF( ISBLANK(T$93), "",EvaluatePolynomial(T$93:T$99,$A134))</f>
        <v/>
      </c>
      <c r="U134" s="52" t="str" cm="1">
        <f t="array" ref="U134">IF( ISBLANK(U$93), "",EvaluatePolynomial(U$93:U$99,$A134))</f>
        <v/>
      </c>
      <c r="V134" s="52" t="str" cm="1">
        <f t="array" ref="V134">IF( ISBLANK(V$93), "",EvaluatePolynomial(V$93:V$99,$A134))</f>
        <v/>
      </c>
      <c r="W134" s="52" t="str" cm="1">
        <f t="array" ref="W134">IF( ISBLANK(W$93), "",EvaluatePolynomial(W$93:W$99,$A134))</f>
        <v/>
      </c>
      <c r="X134" s="52" t="str" cm="1">
        <f t="array" ref="X134">IF( ISBLANK(X$93), "",EvaluatePolynomial(X$93:X$99,$A134))</f>
        <v/>
      </c>
      <c r="Y134" s="52" t="str" cm="1">
        <f t="array" ref="Y134">IF( ISBLANK(Y$93), "",EvaluatePolynomial(Y$93:Y$99,$A134))</f>
        <v/>
      </c>
      <c r="Z134" s="52" t="str" cm="1">
        <f t="array" ref="Z134">IF( ISBLANK(Z$93), "",EvaluatePolynomial(Z$93:Z$99,$A134))</f>
        <v/>
      </c>
      <c r="AA134" s="52" t="str" cm="1">
        <f t="array" ref="AA134">IF( ISBLANK(AA$93), "",EvaluatePolynomial(AA$93:AA$99,$A134))</f>
        <v/>
      </c>
      <c r="AB134" s="53" t="str" cm="1">
        <f t="array" ref="AB134">IF( ISBLANK(AB$93), "",EvaluatePolynomial(AB$93:AB$99,$A134))</f>
        <v/>
      </c>
      <c r="AC134" s="1"/>
      <c r="AD134" s="1"/>
      <c r="AE134" s="1"/>
    </row>
    <row r="135" spans="1:31" x14ac:dyDescent="0.25">
      <c r="A135" s="46">
        <v>800</v>
      </c>
      <c r="B135" s="50" t="str" cm="1">
        <f t="array" ref="B135">IF( ISBLANK(B$93), "",EvaluatePolynomial(B$93:B$99,$A135))</f>
        <v/>
      </c>
      <c r="C135" s="50" t="str" cm="1">
        <f t="array" ref="C135">IF( ISBLANK(C$93), "",EvaluatePolynomial(C$93:C$99,$A135))</f>
        <v/>
      </c>
      <c r="D135" s="50" t="str" cm="1">
        <f t="array" ref="D135">IF( ISBLANK(D$93), "",EvaluatePolynomial(D$93:D$99,$A135))</f>
        <v/>
      </c>
      <c r="E135" s="50" t="str" cm="1">
        <f t="array" ref="E135">IF( ISBLANK(E$93), "",EvaluatePolynomial(E$93:E$99,$A135))</f>
        <v/>
      </c>
      <c r="F135" s="50" t="str" cm="1">
        <f t="array" ref="F135">IF( ISBLANK(F$93), "",EvaluatePolynomial(F$93:F$99,$A135))</f>
        <v/>
      </c>
      <c r="G135" s="50" t="str" cm="1">
        <f t="array" ref="G135">IF( ISBLANK(G$93), "",EvaluatePolynomial(G$93:G$99,$A135))</f>
        <v/>
      </c>
      <c r="H135" s="50" t="str" cm="1">
        <f t="array" ref="H135">IF( ISBLANK(H$93), "",EvaluatePolynomial(H$93:H$99,$A135))</f>
        <v/>
      </c>
      <c r="I135" s="50" t="str" cm="1">
        <f t="array" ref="I135">IF( ISBLANK(I$93), "",EvaluatePolynomial(I$93:I$99,$A135))</f>
        <v/>
      </c>
      <c r="J135" s="52" t="str" cm="1">
        <f t="array" ref="J135">IF( ISBLANK(J$93), "",EvaluatePolynomial(J$93:J$99,$A135))</f>
        <v/>
      </c>
      <c r="K135" s="52" t="str" cm="1">
        <f t="array" ref="K135">IF( ISBLANK(K$93), "",EvaluatePolynomial(K$93:K$99,$A135))</f>
        <v/>
      </c>
      <c r="L135" s="52" t="str" cm="1">
        <f t="array" ref="L135">IF( ISBLANK(L$93), "",EvaluatePolynomial(L$93:L$99,$A135))</f>
        <v/>
      </c>
      <c r="M135" s="52" t="str" cm="1">
        <f t="array" ref="M135">IF( ISBLANK(M$93), "",EvaluatePolynomial(M$93:M$99,$A135))</f>
        <v/>
      </c>
      <c r="N135" s="52" t="str" cm="1">
        <f t="array" ref="N135">IF( ISBLANK(N$93), "",EvaluatePolynomial(N$93:N$99,$A135))</f>
        <v/>
      </c>
      <c r="O135" s="52" t="str" cm="1">
        <f t="array" ref="O135">IF( ISBLANK(O$93), "",EvaluatePolynomial(O$93:O$99,$A135))</f>
        <v/>
      </c>
      <c r="P135" s="52" t="str" cm="1">
        <f t="array" ref="P135">IF( ISBLANK(P$93), "",EvaluatePolynomial(P$93:P$99,$A135))</f>
        <v/>
      </c>
      <c r="Q135" s="52" t="str" cm="1">
        <f t="array" ref="Q135">IF( ISBLANK(Q$93), "",EvaluatePolynomial(Q$93:Q$99,$A135))</f>
        <v/>
      </c>
      <c r="R135" s="52" t="str" cm="1">
        <f t="array" ref="R135">IF( ISBLANK(R$93), "",EvaluatePolynomial(R$93:R$99,$A135))</f>
        <v/>
      </c>
      <c r="S135" s="52" t="str" cm="1">
        <f t="array" ref="S135">IF( ISBLANK(S$93), "",EvaluatePolynomial(S$93:S$99,$A135))</f>
        <v/>
      </c>
      <c r="T135" s="52" t="str" cm="1">
        <f t="array" ref="T135">IF( ISBLANK(T$93), "",EvaluatePolynomial(T$93:T$99,$A135))</f>
        <v/>
      </c>
      <c r="U135" s="52" t="str" cm="1">
        <f t="array" ref="U135">IF( ISBLANK(U$93), "",EvaluatePolynomial(U$93:U$99,$A135))</f>
        <v/>
      </c>
      <c r="V135" s="52" t="str" cm="1">
        <f t="array" ref="V135">IF( ISBLANK(V$93), "",EvaluatePolynomial(V$93:V$99,$A135))</f>
        <v/>
      </c>
      <c r="W135" s="52" t="str" cm="1">
        <f t="array" ref="W135">IF( ISBLANK(W$93), "",EvaluatePolynomial(W$93:W$99,$A135))</f>
        <v/>
      </c>
      <c r="X135" s="52" t="str" cm="1">
        <f t="array" ref="X135">IF( ISBLANK(X$93), "",EvaluatePolynomial(X$93:X$99,$A135))</f>
        <v/>
      </c>
      <c r="Y135" s="52" t="str" cm="1">
        <f t="array" ref="Y135">IF( ISBLANK(Y$93), "",EvaluatePolynomial(Y$93:Y$99,$A135))</f>
        <v/>
      </c>
      <c r="Z135" s="52" t="str" cm="1">
        <f t="array" ref="Z135">IF( ISBLANK(Z$93), "",EvaluatePolynomial(Z$93:Z$99,$A135))</f>
        <v/>
      </c>
      <c r="AA135" s="52" t="str" cm="1">
        <f t="array" ref="AA135">IF( ISBLANK(AA$93), "",EvaluatePolynomial(AA$93:AA$99,$A135))</f>
        <v/>
      </c>
      <c r="AB135" s="53" t="str" cm="1">
        <f t="array" ref="AB135">IF( ISBLANK(AB$93), "",EvaluatePolynomial(AB$93:AB$99,$A135))</f>
        <v/>
      </c>
      <c r="AC135" s="1"/>
      <c r="AD135" s="1"/>
      <c r="AE135" s="1"/>
    </row>
    <row r="136" spans="1:31" x14ac:dyDescent="0.25">
      <c r="A136" s="46">
        <v>825</v>
      </c>
      <c r="B136" s="50" t="str" cm="1">
        <f t="array" ref="B136">IF( ISBLANK(B$93), "",EvaluatePolynomial(B$93:B$99,$A136))</f>
        <v/>
      </c>
      <c r="C136" s="50" t="str" cm="1">
        <f t="array" ref="C136">IF( ISBLANK(C$93), "",EvaluatePolynomial(C$93:C$99,$A136))</f>
        <v/>
      </c>
      <c r="D136" s="50" t="str" cm="1">
        <f t="array" ref="D136">IF( ISBLANK(D$93), "",EvaluatePolynomial(D$93:D$99,$A136))</f>
        <v/>
      </c>
      <c r="E136" s="50" t="str" cm="1">
        <f t="array" ref="E136">IF( ISBLANK(E$93), "",EvaluatePolynomial(E$93:E$99,$A136))</f>
        <v/>
      </c>
      <c r="F136" s="50" t="str" cm="1">
        <f t="array" ref="F136">IF( ISBLANK(F$93), "",EvaluatePolynomial(F$93:F$99,$A136))</f>
        <v/>
      </c>
      <c r="G136" s="50" t="str" cm="1">
        <f t="array" ref="G136">IF( ISBLANK(G$93), "",EvaluatePolynomial(G$93:G$99,$A136))</f>
        <v/>
      </c>
      <c r="H136" s="50" t="str" cm="1">
        <f t="array" ref="H136">IF( ISBLANK(H$93), "",EvaluatePolynomial(H$93:H$99,$A136))</f>
        <v/>
      </c>
      <c r="I136" s="50" t="str" cm="1">
        <f t="array" ref="I136">IF( ISBLANK(I$93), "",EvaluatePolynomial(I$93:I$99,$A136))</f>
        <v/>
      </c>
      <c r="J136" s="52" t="str" cm="1">
        <f t="array" ref="J136">IF( ISBLANK(J$93), "",EvaluatePolynomial(J$93:J$99,$A136))</f>
        <v/>
      </c>
      <c r="K136" s="52" t="str" cm="1">
        <f t="array" ref="K136">IF( ISBLANK(K$93), "",EvaluatePolynomial(K$93:K$99,$A136))</f>
        <v/>
      </c>
      <c r="L136" s="52" t="str" cm="1">
        <f t="array" ref="L136">IF( ISBLANK(L$93), "",EvaluatePolynomial(L$93:L$99,$A136))</f>
        <v/>
      </c>
      <c r="M136" s="52" t="str" cm="1">
        <f t="array" ref="M136">IF( ISBLANK(M$93), "",EvaluatePolynomial(M$93:M$99,$A136))</f>
        <v/>
      </c>
      <c r="N136" s="52" t="str" cm="1">
        <f t="array" ref="N136">IF( ISBLANK(N$93), "",EvaluatePolynomial(N$93:N$99,$A136))</f>
        <v/>
      </c>
      <c r="O136" s="52" t="str" cm="1">
        <f t="array" ref="O136">IF( ISBLANK(O$93), "",EvaluatePolynomial(O$93:O$99,$A136))</f>
        <v/>
      </c>
      <c r="P136" s="52" t="str" cm="1">
        <f t="array" ref="P136">IF( ISBLANK(P$93), "",EvaluatePolynomial(P$93:P$99,$A136))</f>
        <v/>
      </c>
      <c r="Q136" s="52" t="str" cm="1">
        <f t="array" ref="Q136">IF( ISBLANK(Q$93), "",EvaluatePolynomial(Q$93:Q$99,$A136))</f>
        <v/>
      </c>
      <c r="R136" s="52" t="str" cm="1">
        <f t="array" ref="R136">IF( ISBLANK(R$93), "",EvaluatePolynomial(R$93:R$99,$A136))</f>
        <v/>
      </c>
      <c r="S136" s="52" t="str" cm="1">
        <f t="array" ref="S136">IF( ISBLANK(S$93), "",EvaluatePolynomial(S$93:S$99,$A136))</f>
        <v/>
      </c>
      <c r="T136" s="52" t="str" cm="1">
        <f t="array" ref="T136">IF( ISBLANK(T$93), "",EvaluatePolynomial(T$93:T$99,$A136))</f>
        <v/>
      </c>
      <c r="U136" s="52" t="str" cm="1">
        <f t="array" ref="U136">IF( ISBLANK(U$93), "",EvaluatePolynomial(U$93:U$99,$A136))</f>
        <v/>
      </c>
      <c r="V136" s="52" t="str" cm="1">
        <f t="array" ref="V136">IF( ISBLANK(V$93), "",EvaluatePolynomial(V$93:V$99,$A136))</f>
        <v/>
      </c>
      <c r="W136" s="52" t="str" cm="1">
        <f t="array" ref="W136">IF( ISBLANK(W$93), "",EvaluatePolynomial(W$93:W$99,$A136))</f>
        <v/>
      </c>
      <c r="X136" s="52" t="str" cm="1">
        <f t="array" ref="X136">IF( ISBLANK(X$93), "",EvaluatePolynomial(X$93:X$99,$A136))</f>
        <v/>
      </c>
      <c r="Y136" s="52" t="str" cm="1">
        <f t="array" ref="Y136">IF( ISBLANK(Y$93), "",EvaluatePolynomial(Y$93:Y$99,$A136))</f>
        <v/>
      </c>
      <c r="Z136" s="52" t="str" cm="1">
        <f t="array" ref="Z136">IF( ISBLANK(Z$93), "",EvaluatePolynomial(Z$93:Z$99,$A136))</f>
        <v/>
      </c>
      <c r="AA136" s="52" t="str" cm="1">
        <f t="array" ref="AA136">IF( ISBLANK(AA$93), "",EvaluatePolynomial(AA$93:AA$99,$A136))</f>
        <v/>
      </c>
      <c r="AB136" s="53" t="str" cm="1">
        <f t="array" ref="AB136">IF( ISBLANK(AB$93), "",EvaluatePolynomial(AB$93:AB$99,$A136))</f>
        <v/>
      </c>
      <c r="AC136" s="1"/>
      <c r="AD136" s="1"/>
      <c r="AE136" s="1"/>
    </row>
    <row r="137" spans="1:31" x14ac:dyDescent="0.25">
      <c r="A137" s="46">
        <v>850</v>
      </c>
      <c r="B137" s="50" t="str" cm="1">
        <f t="array" ref="B137">IF( ISBLANK(B$93), "",EvaluatePolynomial(B$93:B$99,$A137))</f>
        <v/>
      </c>
      <c r="C137" s="50" t="str" cm="1">
        <f t="array" ref="C137">IF( ISBLANK(C$93), "",EvaluatePolynomial(C$93:C$99,$A137))</f>
        <v/>
      </c>
      <c r="D137" s="50" t="str" cm="1">
        <f t="array" ref="D137">IF( ISBLANK(D$93), "",EvaluatePolynomial(D$93:D$99,$A137))</f>
        <v/>
      </c>
      <c r="E137" s="50" t="str" cm="1">
        <f t="array" ref="E137">IF( ISBLANK(E$93), "",EvaluatePolynomial(E$93:E$99,$A137))</f>
        <v/>
      </c>
      <c r="F137" s="50" t="str" cm="1">
        <f t="array" ref="F137">IF( ISBLANK(F$93), "",EvaluatePolynomial(F$93:F$99,$A137))</f>
        <v/>
      </c>
      <c r="G137" s="50" t="str" cm="1">
        <f t="array" ref="G137">IF( ISBLANK(G$93), "",EvaluatePolynomial(G$93:G$99,$A137))</f>
        <v/>
      </c>
      <c r="H137" s="50" t="str" cm="1">
        <f t="array" ref="H137">IF( ISBLANK(H$93), "",EvaluatePolynomial(H$93:H$99,$A137))</f>
        <v/>
      </c>
      <c r="I137" s="50" t="str" cm="1">
        <f t="array" ref="I137">IF( ISBLANK(I$93), "",EvaluatePolynomial(I$93:I$99,$A137))</f>
        <v/>
      </c>
      <c r="J137" s="52" t="str" cm="1">
        <f t="array" ref="J137">IF( ISBLANK(J$93), "",EvaluatePolynomial(J$93:J$99,$A137))</f>
        <v/>
      </c>
      <c r="K137" s="52" t="str" cm="1">
        <f t="array" ref="K137">IF( ISBLANK(K$93), "",EvaluatePolynomial(K$93:K$99,$A137))</f>
        <v/>
      </c>
      <c r="L137" s="52" t="str" cm="1">
        <f t="array" ref="L137">IF( ISBLANK(L$93), "",EvaluatePolynomial(L$93:L$99,$A137))</f>
        <v/>
      </c>
      <c r="M137" s="52" t="str" cm="1">
        <f t="array" ref="M137">IF( ISBLANK(M$93), "",EvaluatePolynomial(M$93:M$99,$A137))</f>
        <v/>
      </c>
      <c r="N137" s="52" t="str" cm="1">
        <f t="array" ref="N137">IF( ISBLANK(N$93), "",EvaluatePolynomial(N$93:N$99,$A137))</f>
        <v/>
      </c>
      <c r="O137" s="52" t="str" cm="1">
        <f t="array" ref="O137">IF( ISBLANK(O$93), "",EvaluatePolynomial(O$93:O$99,$A137))</f>
        <v/>
      </c>
      <c r="P137" s="52" t="str" cm="1">
        <f t="array" ref="P137">IF( ISBLANK(P$93), "",EvaluatePolynomial(P$93:P$99,$A137))</f>
        <v/>
      </c>
      <c r="Q137" s="52" t="str" cm="1">
        <f t="array" ref="Q137">IF( ISBLANK(Q$93), "",EvaluatePolynomial(Q$93:Q$99,$A137))</f>
        <v/>
      </c>
      <c r="R137" s="52" t="str" cm="1">
        <f t="array" ref="R137">IF( ISBLANK(R$93), "",EvaluatePolynomial(R$93:R$99,$A137))</f>
        <v/>
      </c>
      <c r="S137" s="52" t="str" cm="1">
        <f t="array" ref="S137">IF( ISBLANK(S$93), "",EvaluatePolynomial(S$93:S$99,$A137))</f>
        <v/>
      </c>
      <c r="T137" s="52" t="str" cm="1">
        <f t="array" ref="T137">IF( ISBLANK(T$93), "",EvaluatePolynomial(T$93:T$99,$A137))</f>
        <v/>
      </c>
      <c r="U137" s="52" t="str" cm="1">
        <f t="array" ref="U137">IF( ISBLANK(U$93), "",EvaluatePolynomial(U$93:U$99,$A137))</f>
        <v/>
      </c>
      <c r="V137" s="52" t="str" cm="1">
        <f t="array" ref="V137">IF( ISBLANK(V$93), "",EvaluatePolynomial(V$93:V$99,$A137))</f>
        <v/>
      </c>
      <c r="W137" s="52" t="str" cm="1">
        <f t="array" ref="W137">IF( ISBLANK(W$93), "",EvaluatePolynomial(W$93:W$99,$A137))</f>
        <v/>
      </c>
      <c r="X137" s="52" t="str" cm="1">
        <f t="array" ref="X137">IF( ISBLANK(X$93), "",EvaluatePolynomial(X$93:X$99,$A137))</f>
        <v/>
      </c>
      <c r="Y137" s="52" t="str" cm="1">
        <f t="array" ref="Y137">IF( ISBLANK(Y$93), "",EvaluatePolynomial(Y$93:Y$99,$A137))</f>
        <v/>
      </c>
      <c r="Z137" s="52" t="str" cm="1">
        <f t="array" ref="Z137">IF( ISBLANK(Z$93), "",EvaluatePolynomial(Z$93:Z$99,$A137))</f>
        <v/>
      </c>
      <c r="AA137" s="52" t="str" cm="1">
        <f t="array" ref="AA137">IF( ISBLANK(AA$93), "",EvaluatePolynomial(AA$93:AA$99,$A137))</f>
        <v/>
      </c>
      <c r="AB137" s="53" t="str" cm="1">
        <f t="array" ref="AB137">IF( ISBLANK(AB$93), "",EvaluatePolynomial(AB$93:AB$99,$A137))</f>
        <v/>
      </c>
      <c r="AC137" s="1"/>
      <c r="AD137" s="1"/>
      <c r="AE137" s="1"/>
    </row>
    <row r="138" spans="1:31" x14ac:dyDescent="0.25">
      <c r="A138" s="46">
        <v>875</v>
      </c>
      <c r="B138" s="50" t="str" cm="1">
        <f t="array" ref="B138">IF( ISBLANK(B$93), "",EvaluatePolynomial(B$93:B$99,$A138))</f>
        <v/>
      </c>
      <c r="C138" s="50" t="str" cm="1">
        <f t="array" ref="C138">IF( ISBLANK(C$93), "",EvaluatePolynomial(C$93:C$99,$A138))</f>
        <v/>
      </c>
      <c r="D138" s="50" t="str" cm="1">
        <f t="array" ref="D138">IF( ISBLANK(D$93), "",EvaluatePolynomial(D$93:D$99,$A138))</f>
        <v/>
      </c>
      <c r="E138" s="50" t="str" cm="1">
        <f t="array" ref="E138">IF( ISBLANK(E$93), "",EvaluatePolynomial(E$93:E$99,$A138))</f>
        <v/>
      </c>
      <c r="F138" s="50" t="str" cm="1">
        <f t="array" ref="F138">IF( ISBLANK(F$93), "",EvaluatePolynomial(F$93:F$99,$A138))</f>
        <v/>
      </c>
      <c r="G138" s="50" t="str" cm="1">
        <f t="array" ref="G138">IF( ISBLANK(G$93), "",EvaluatePolynomial(G$93:G$99,$A138))</f>
        <v/>
      </c>
      <c r="H138" s="50" t="str" cm="1">
        <f t="array" ref="H138">IF( ISBLANK(H$93), "",EvaluatePolynomial(H$93:H$99,$A138))</f>
        <v/>
      </c>
      <c r="I138" s="50" t="str" cm="1">
        <f t="array" ref="I138">IF( ISBLANK(I$93), "",EvaluatePolynomial(I$93:I$99,$A138))</f>
        <v/>
      </c>
      <c r="J138" s="52" t="str" cm="1">
        <f t="array" ref="J138">IF( ISBLANK(J$93), "",EvaluatePolynomial(J$93:J$99,$A138))</f>
        <v/>
      </c>
      <c r="K138" s="52" t="str" cm="1">
        <f t="array" ref="K138">IF( ISBLANK(K$93), "",EvaluatePolynomial(K$93:K$99,$A138))</f>
        <v/>
      </c>
      <c r="L138" s="52" t="str" cm="1">
        <f t="array" ref="L138">IF( ISBLANK(L$93), "",EvaluatePolynomial(L$93:L$99,$A138))</f>
        <v/>
      </c>
      <c r="M138" s="52" t="str" cm="1">
        <f t="array" ref="M138">IF( ISBLANK(M$93), "",EvaluatePolynomial(M$93:M$99,$A138))</f>
        <v/>
      </c>
      <c r="N138" s="52" t="str" cm="1">
        <f t="array" ref="N138">IF( ISBLANK(N$93), "",EvaluatePolynomial(N$93:N$99,$A138))</f>
        <v/>
      </c>
      <c r="O138" s="52" t="str" cm="1">
        <f t="array" ref="O138">IF( ISBLANK(O$93), "",EvaluatePolynomial(O$93:O$99,$A138))</f>
        <v/>
      </c>
      <c r="P138" s="52" t="str" cm="1">
        <f t="array" ref="P138">IF( ISBLANK(P$93), "",EvaluatePolynomial(P$93:P$99,$A138))</f>
        <v/>
      </c>
      <c r="Q138" s="52" t="str" cm="1">
        <f t="array" ref="Q138">IF( ISBLANK(Q$93), "",EvaluatePolynomial(Q$93:Q$99,$A138))</f>
        <v/>
      </c>
      <c r="R138" s="52" t="str" cm="1">
        <f t="array" ref="R138">IF( ISBLANK(R$93), "",EvaluatePolynomial(R$93:R$99,$A138))</f>
        <v/>
      </c>
      <c r="S138" s="52" t="str" cm="1">
        <f t="array" ref="S138">IF( ISBLANK(S$93), "",EvaluatePolynomial(S$93:S$99,$A138))</f>
        <v/>
      </c>
      <c r="T138" s="52" t="str" cm="1">
        <f t="array" ref="T138">IF( ISBLANK(T$93), "",EvaluatePolynomial(T$93:T$99,$A138))</f>
        <v/>
      </c>
      <c r="U138" s="52" t="str" cm="1">
        <f t="array" ref="U138">IF( ISBLANK(U$93), "",EvaluatePolynomial(U$93:U$99,$A138))</f>
        <v/>
      </c>
      <c r="V138" s="52" t="str" cm="1">
        <f t="array" ref="V138">IF( ISBLANK(V$93), "",EvaluatePolynomial(V$93:V$99,$A138))</f>
        <v/>
      </c>
      <c r="W138" s="52" t="str" cm="1">
        <f t="array" ref="W138">IF( ISBLANK(W$93), "",EvaluatePolynomial(W$93:W$99,$A138))</f>
        <v/>
      </c>
      <c r="X138" s="52" t="str" cm="1">
        <f t="array" ref="X138">IF( ISBLANK(X$93), "",EvaluatePolynomial(X$93:X$99,$A138))</f>
        <v/>
      </c>
      <c r="Y138" s="52" t="str" cm="1">
        <f t="array" ref="Y138">IF( ISBLANK(Y$93), "",EvaluatePolynomial(Y$93:Y$99,$A138))</f>
        <v/>
      </c>
      <c r="Z138" s="52" t="str" cm="1">
        <f t="array" ref="Z138">IF( ISBLANK(Z$93), "",EvaluatePolynomial(Z$93:Z$99,$A138))</f>
        <v/>
      </c>
      <c r="AA138" s="52" t="str" cm="1">
        <f t="array" ref="AA138">IF( ISBLANK(AA$93), "",EvaluatePolynomial(AA$93:AA$99,$A138))</f>
        <v/>
      </c>
      <c r="AB138" s="53" t="str" cm="1">
        <f t="array" ref="AB138">IF( ISBLANK(AB$93), "",EvaluatePolynomial(AB$93:AB$99,$A138))</f>
        <v/>
      </c>
      <c r="AC138" s="1"/>
      <c r="AD138" s="1"/>
      <c r="AE138" s="1"/>
    </row>
    <row r="139" spans="1:31" x14ac:dyDescent="0.25">
      <c r="A139" s="46">
        <v>900</v>
      </c>
      <c r="B139" s="50" t="str" cm="1">
        <f t="array" ref="B139">IF( ISBLANK(B$93), "",EvaluatePolynomial(B$93:B$99,$A139))</f>
        <v/>
      </c>
      <c r="C139" s="50" t="str" cm="1">
        <f t="array" ref="C139">IF( ISBLANK(C$93), "",EvaluatePolynomial(C$93:C$99,$A139))</f>
        <v/>
      </c>
      <c r="D139" s="50" t="str" cm="1">
        <f t="array" ref="D139">IF( ISBLANK(D$93), "",EvaluatePolynomial(D$93:D$99,$A139))</f>
        <v/>
      </c>
      <c r="E139" s="50" t="str" cm="1">
        <f t="array" ref="E139">IF( ISBLANK(E$93), "",EvaluatePolynomial(E$93:E$99,$A139))</f>
        <v/>
      </c>
      <c r="F139" s="50" t="str" cm="1">
        <f t="array" ref="F139">IF( ISBLANK(F$93), "",EvaluatePolynomial(F$93:F$99,$A139))</f>
        <v/>
      </c>
      <c r="G139" s="50" t="str" cm="1">
        <f t="array" ref="G139">IF( ISBLANK(G$93), "",EvaluatePolynomial(G$93:G$99,$A139))</f>
        <v/>
      </c>
      <c r="H139" s="50" t="str" cm="1">
        <f t="array" ref="H139">IF( ISBLANK(H$93), "",EvaluatePolynomial(H$93:H$99,$A139))</f>
        <v/>
      </c>
      <c r="I139" s="50" t="str" cm="1">
        <f t="array" ref="I139">IF( ISBLANK(I$93), "",EvaluatePolynomial(I$93:I$99,$A139))</f>
        <v/>
      </c>
      <c r="J139" s="52" t="str" cm="1">
        <f t="array" ref="J139">IF( ISBLANK(J$93), "",EvaluatePolynomial(J$93:J$99,$A139))</f>
        <v/>
      </c>
      <c r="K139" s="52" t="str" cm="1">
        <f t="array" ref="K139">IF( ISBLANK(K$93), "",EvaluatePolynomial(K$93:K$99,$A139))</f>
        <v/>
      </c>
      <c r="L139" s="52" t="str" cm="1">
        <f t="array" ref="L139">IF( ISBLANK(L$93), "",EvaluatePolynomial(L$93:L$99,$A139))</f>
        <v/>
      </c>
      <c r="M139" s="52" t="str" cm="1">
        <f t="array" ref="M139">IF( ISBLANK(M$93), "",EvaluatePolynomial(M$93:M$99,$A139))</f>
        <v/>
      </c>
      <c r="N139" s="52" t="str" cm="1">
        <f t="array" ref="N139">IF( ISBLANK(N$93), "",EvaluatePolynomial(N$93:N$99,$A139))</f>
        <v/>
      </c>
      <c r="O139" s="52" t="str" cm="1">
        <f t="array" ref="O139">IF( ISBLANK(O$93), "",EvaluatePolynomial(O$93:O$99,$A139))</f>
        <v/>
      </c>
      <c r="P139" s="52" t="str" cm="1">
        <f t="array" ref="P139">IF( ISBLANK(P$93), "",EvaluatePolynomial(P$93:P$99,$A139))</f>
        <v/>
      </c>
      <c r="Q139" s="52" t="str" cm="1">
        <f t="array" ref="Q139">IF( ISBLANK(Q$93), "",EvaluatePolynomial(Q$93:Q$99,$A139))</f>
        <v/>
      </c>
      <c r="R139" s="52" t="str" cm="1">
        <f t="array" ref="R139">IF( ISBLANK(R$93), "",EvaluatePolynomial(R$93:R$99,$A139))</f>
        <v/>
      </c>
      <c r="S139" s="52" t="str" cm="1">
        <f t="array" ref="S139">IF( ISBLANK(S$93), "",EvaluatePolynomial(S$93:S$99,$A139))</f>
        <v/>
      </c>
      <c r="T139" s="52" t="str" cm="1">
        <f t="array" ref="T139">IF( ISBLANK(T$93), "",EvaluatePolynomial(T$93:T$99,$A139))</f>
        <v/>
      </c>
      <c r="U139" s="52" t="str" cm="1">
        <f t="array" ref="U139">IF( ISBLANK(U$93), "",EvaluatePolynomial(U$93:U$99,$A139))</f>
        <v/>
      </c>
      <c r="V139" s="52" t="str" cm="1">
        <f t="array" ref="V139">IF( ISBLANK(V$93), "",EvaluatePolynomial(V$93:V$99,$A139))</f>
        <v/>
      </c>
      <c r="W139" s="52" t="str" cm="1">
        <f t="array" ref="W139">IF( ISBLANK(W$93), "",EvaluatePolynomial(W$93:W$99,$A139))</f>
        <v/>
      </c>
      <c r="X139" s="52" t="str" cm="1">
        <f t="array" ref="X139">IF( ISBLANK(X$93), "",EvaluatePolynomial(X$93:X$99,$A139))</f>
        <v/>
      </c>
      <c r="Y139" s="52" t="str" cm="1">
        <f t="array" ref="Y139">IF( ISBLANK(Y$93), "",EvaluatePolynomial(Y$93:Y$99,$A139))</f>
        <v/>
      </c>
      <c r="Z139" s="52" t="str" cm="1">
        <f t="array" ref="Z139">IF( ISBLANK(Z$93), "",EvaluatePolynomial(Z$93:Z$99,$A139))</f>
        <v/>
      </c>
      <c r="AA139" s="52" t="str" cm="1">
        <f t="array" ref="AA139">IF( ISBLANK(AA$93), "",EvaluatePolynomial(AA$93:AA$99,$A139))</f>
        <v/>
      </c>
      <c r="AB139" s="53" t="str" cm="1">
        <f t="array" ref="AB139">IF( ISBLANK(AB$93), "",EvaluatePolynomial(AB$93:AB$99,$A139))</f>
        <v/>
      </c>
      <c r="AC139" s="1"/>
      <c r="AD139" s="1"/>
      <c r="AE139" s="1"/>
    </row>
    <row r="140" spans="1:31" x14ac:dyDescent="0.25">
      <c r="A140" s="46">
        <v>925</v>
      </c>
      <c r="B140" s="50" t="str" cm="1">
        <f t="array" ref="B140">IF( ISBLANK(B$93), "",EvaluatePolynomial(B$93:B$99,$A140))</f>
        <v/>
      </c>
      <c r="C140" s="50" t="str" cm="1">
        <f t="array" ref="C140">IF( ISBLANK(C$93), "",EvaluatePolynomial(C$93:C$99,$A140))</f>
        <v/>
      </c>
      <c r="D140" s="50" t="str" cm="1">
        <f t="array" ref="D140">IF( ISBLANK(D$93), "",EvaluatePolynomial(D$93:D$99,$A140))</f>
        <v/>
      </c>
      <c r="E140" s="50" t="str" cm="1">
        <f t="array" ref="E140">IF( ISBLANK(E$93), "",EvaluatePolynomial(E$93:E$99,$A140))</f>
        <v/>
      </c>
      <c r="F140" s="50" t="str" cm="1">
        <f t="array" ref="F140">IF( ISBLANK(F$93), "",EvaluatePolynomial(F$93:F$99,$A140))</f>
        <v/>
      </c>
      <c r="G140" s="50" t="str" cm="1">
        <f t="array" ref="G140">IF( ISBLANK(G$93), "",EvaluatePolynomial(G$93:G$99,$A140))</f>
        <v/>
      </c>
      <c r="H140" s="50" t="str" cm="1">
        <f t="array" ref="H140">IF( ISBLANK(H$93), "",EvaluatePolynomial(H$93:H$99,$A140))</f>
        <v/>
      </c>
      <c r="I140" s="50" t="str" cm="1">
        <f t="array" ref="I140">IF( ISBLANK(I$93), "",EvaluatePolynomial(I$93:I$99,$A140))</f>
        <v/>
      </c>
      <c r="J140" s="52" t="str" cm="1">
        <f t="array" ref="J140">IF( ISBLANK(J$93), "",EvaluatePolynomial(J$93:J$99,$A140))</f>
        <v/>
      </c>
      <c r="K140" s="52" t="str" cm="1">
        <f t="array" ref="K140">IF( ISBLANK(K$93), "",EvaluatePolynomial(K$93:K$99,$A140))</f>
        <v/>
      </c>
      <c r="L140" s="52" t="str" cm="1">
        <f t="array" ref="L140">IF( ISBLANK(L$93), "",EvaluatePolynomial(L$93:L$99,$A140))</f>
        <v/>
      </c>
      <c r="M140" s="52" t="str" cm="1">
        <f t="array" ref="M140">IF( ISBLANK(M$93), "",EvaluatePolynomial(M$93:M$99,$A140))</f>
        <v/>
      </c>
      <c r="N140" s="52" t="str" cm="1">
        <f t="array" ref="N140">IF( ISBLANK(N$93), "",EvaluatePolynomial(N$93:N$99,$A140))</f>
        <v/>
      </c>
      <c r="O140" s="52" t="str" cm="1">
        <f t="array" ref="O140">IF( ISBLANK(O$93), "",EvaluatePolynomial(O$93:O$99,$A140))</f>
        <v/>
      </c>
      <c r="P140" s="52" t="str" cm="1">
        <f t="array" ref="P140">IF( ISBLANK(P$93), "",EvaluatePolynomial(P$93:P$99,$A140))</f>
        <v/>
      </c>
      <c r="Q140" s="52" t="str" cm="1">
        <f t="array" ref="Q140">IF( ISBLANK(Q$93), "",EvaluatePolynomial(Q$93:Q$99,$A140))</f>
        <v/>
      </c>
      <c r="R140" s="52" t="str" cm="1">
        <f t="array" ref="R140">IF( ISBLANK(R$93), "",EvaluatePolynomial(R$93:R$99,$A140))</f>
        <v/>
      </c>
      <c r="S140" s="52" t="str" cm="1">
        <f t="array" ref="S140">IF( ISBLANK(S$93), "",EvaluatePolynomial(S$93:S$99,$A140))</f>
        <v/>
      </c>
      <c r="T140" s="52" t="str" cm="1">
        <f t="array" ref="T140">IF( ISBLANK(T$93), "",EvaluatePolynomial(T$93:T$99,$A140))</f>
        <v/>
      </c>
      <c r="U140" s="52" t="str" cm="1">
        <f t="array" ref="U140">IF( ISBLANK(U$93), "",EvaluatePolynomial(U$93:U$99,$A140))</f>
        <v/>
      </c>
      <c r="V140" s="52" t="str" cm="1">
        <f t="array" ref="V140">IF( ISBLANK(V$93), "",EvaluatePolynomial(V$93:V$99,$A140))</f>
        <v/>
      </c>
      <c r="W140" s="52" t="str" cm="1">
        <f t="array" ref="W140">IF( ISBLANK(W$93), "",EvaluatePolynomial(W$93:W$99,$A140))</f>
        <v/>
      </c>
      <c r="X140" s="52" t="str" cm="1">
        <f t="array" ref="X140">IF( ISBLANK(X$93), "",EvaluatePolynomial(X$93:X$99,$A140))</f>
        <v/>
      </c>
      <c r="Y140" s="52" t="str" cm="1">
        <f t="array" ref="Y140">IF( ISBLANK(Y$93), "",EvaluatePolynomial(Y$93:Y$99,$A140))</f>
        <v/>
      </c>
      <c r="Z140" s="52" t="str" cm="1">
        <f t="array" ref="Z140">IF( ISBLANK(Z$93), "",EvaluatePolynomial(Z$93:Z$99,$A140))</f>
        <v/>
      </c>
      <c r="AA140" s="52" t="str" cm="1">
        <f t="array" ref="AA140">IF( ISBLANK(AA$93), "",EvaluatePolynomial(AA$93:AA$99,$A140))</f>
        <v/>
      </c>
      <c r="AB140" s="53" t="str" cm="1">
        <f t="array" ref="AB140">IF( ISBLANK(AB$93), "",EvaluatePolynomial(AB$93:AB$99,$A140))</f>
        <v/>
      </c>
      <c r="AC140" s="1"/>
      <c r="AD140" s="1"/>
      <c r="AE140" s="1"/>
    </row>
    <row r="141" spans="1:31" x14ac:dyDescent="0.25">
      <c r="A141" s="46">
        <v>950</v>
      </c>
      <c r="B141" s="50" t="str" cm="1">
        <f t="array" ref="B141">IF( ISBLANK(B$93), "",EvaluatePolynomial(B$93:B$99,$A141))</f>
        <v/>
      </c>
      <c r="C141" s="50" t="str" cm="1">
        <f t="array" ref="C141">IF( ISBLANK(C$93), "",EvaluatePolynomial(C$93:C$99,$A141))</f>
        <v/>
      </c>
      <c r="D141" s="50" t="str" cm="1">
        <f t="array" ref="D141">IF( ISBLANK(D$93), "",EvaluatePolynomial(D$93:D$99,$A141))</f>
        <v/>
      </c>
      <c r="E141" s="50" t="str" cm="1">
        <f t="array" ref="E141">IF( ISBLANK(E$93), "",EvaluatePolynomial(E$93:E$99,$A141))</f>
        <v/>
      </c>
      <c r="F141" s="50" t="str" cm="1">
        <f t="array" ref="F141">IF( ISBLANK(F$93), "",EvaluatePolynomial(F$93:F$99,$A141))</f>
        <v/>
      </c>
      <c r="G141" s="50" t="str" cm="1">
        <f t="array" ref="G141">IF( ISBLANK(G$93), "",EvaluatePolynomial(G$93:G$99,$A141))</f>
        <v/>
      </c>
      <c r="H141" s="50" t="str" cm="1">
        <f t="array" ref="H141">IF( ISBLANK(H$93), "",EvaluatePolynomial(H$93:H$99,$A141))</f>
        <v/>
      </c>
      <c r="I141" s="50" t="str" cm="1">
        <f t="array" ref="I141">IF( ISBLANK(I$93), "",EvaluatePolynomial(I$93:I$99,$A141))</f>
        <v/>
      </c>
      <c r="J141" s="52" t="str" cm="1">
        <f t="array" ref="J141">IF( ISBLANK(J$93), "",EvaluatePolynomial(J$93:J$99,$A141))</f>
        <v/>
      </c>
      <c r="K141" s="52" t="str" cm="1">
        <f t="array" ref="K141">IF( ISBLANK(K$93), "",EvaluatePolynomial(K$93:K$99,$A141))</f>
        <v/>
      </c>
      <c r="L141" s="52" t="str" cm="1">
        <f t="array" ref="L141">IF( ISBLANK(L$93), "",EvaluatePolynomial(L$93:L$99,$A141))</f>
        <v/>
      </c>
      <c r="M141" s="52" t="str" cm="1">
        <f t="array" ref="M141">IF( ISBLANK(M$93), "",EvaluatePolynomial(M$93:M$99,$A141))</f>
        <v/>
      </c>
      <c r="N141" s="52" t="str" cm="1">
        <f t="array" ref="N141">IF( ISBLANK(N$93), "",EvaluatePolynomial(N$93:N$99,$A141))</f>
        <v/>
      </c>
      <c r="O141" s="52" t="str" cm="1">
        <f t="array" ref="O141">IF( ISBLANK(O$93), "",EvaluatePolynomial(O$93:O$99,$A141))</f>
        <v/>
      </c>
      <c r="P141" s="52" t="str" cm="1">
        <f t="array" ref="P141">IF( ISBLANK(P$93), "",EvaluatePolynomial(P$93:P$99,$A141))</f>
        <v/>
      </c>
      <c r="Q141" s="52" t="str" cm="1">
        <f t="array" ref="Q141">IF( ISBLANK(Q$93), "",EvaluatePolynomial(Q$93:Q$99,$A141))</f>
        <v/>
      </c>
      <c r="R141" s="52" t="str" cm="1">
        <f t="array" ref="R141">IF( ISBLANK(R$93), "",EvaluatePolynomial(R$93:R$99,$A141))</f>
        <v/>
      </c>
      <c r="S141" s="52" t="str" cm="1">
        <f t="array" ref="S141">IF( ISBLANK(S$93), "",EvaluatePolynomial(S$93:S$99,$A141))</f>
        <v/>
      </c>
      <c r="T141" s="52" t="str" cm="1">
        <f t="array" ref="T141">IF( ISBLANK(T$93), "",EvaluatePolynomial(T$93:T$99,$A141))</f>
        <v/>
      </c>
      <c r="U141" s="52" t="str" cm="1">
        <f t="array" ref="U141">IF( ISBLANK(U$93), "",EvaluatePolynomial(U$93:U$99,$A141))</f>
        <v/>
      </c>
      <c r="V141" s="52" t="str" cm="1">
        <f t="array" ref="V141">IF( ISBLANK(V$93), "",EvaluatePolynomial(V$93:V$99,$A141))</f>
        <v/>
      </c>
      <c r="W141" s="52" t="str" cm="1">
        <f t="array" ref="W141">IF( ISBLANK(W$93), "",EvaluatePolynomial(W$93:W$99,$A141))</f>
        <v/>
      </c>
      <c r="X141" s="52" t="str" cm="1">
        <f t="array" ref="X141">IF( ISBLANK(X$93), "",EvaluatePolynomial(X$93:X$99,$A141))</f>
        <v/>
      </c>
      <c r="Y141" s="52" t="str" cm="1">
        <f t="array" ref="Y141">IF( ISBLANK(Y$93), "",EvaluatePolynomial(Y$93:Y$99,$A141))</f>
        <v/>
      </c>
      <c r="Z141" s="52" t="str" cm="1">
        <f t="array" ref="Z141">IF( ISBLANK(Z$93), "",EvaluatePolynomial(Z$93:Z$99,$A141))</f>
        <v/>
      </c>
      <c r="AA141" s="52" t="str" cm="1">
        <f t="array" ref="AA141">IF( ISBLANK(AA$93), "",EvaluatePolynomial(AA$93:AA$99,$A141))</f>
        <v/>
      </c>
      <c r="AB141" s="53" t="str" cm="1">
        <f t="array" ref="AB141">IF( ISBLANK(AB$93), "",EvaluatePolynomial(AB$93:AB$99,$A141))</f>
        <v/>
      </c>
      <c r="AC141" s="1"/>
      <c r="AD141" s="1"/>
      <c r="AE141" s="1"/>
    </row>
    <row r="142" spans="1:31" x14ac:dyDescent="0.25">
      <c r="A142" s="46">
        <v>975</v>
      </c>
      <c r="B142" s="50" t="str" cm="1">
        <f t="array" ref="B142">IF( ISBLANK(B$93), "",EvaluatePolynomial(B$93:B$99,$A142))</f>
        <v/>
      </c>
      <c r="C142" s="50" t="str" cm="1">
        <f t="array" ref="C142">IF( ISBLANK(C$93), "",EvaluatePolynomial(C$93:C$99,$A142))</f>
        <v/>
      </c>
      <c r="D142" s="50" t="str" cm="1">
        <f t="array" ref="D142">IF( ISBLANK(D$93), "",EvaluatePolynomial(D$93:D$99,$A142))</f>
        <v/>
      </c>
      <c r="E142" s="50" t="str" cm="1">
        <f t="array" ref="E142">IF( ISBLANK(E$93), "",EvaluatePolynomial(E$93:E$99,$A142))</f>
        <v/>
      </c>
      <c r="F142" s="50" t="str" cm="1">
        <f t="array" ref="F142">IF( ISBLANK(F$93), "",EvaluatePolynomial(F$93:F$99,$A142))</f>
        <v/>
      </c>
      <c r="G142" s="50" t="str" cm="1">
        <f t="array" ref="G142">IF( ISBLANK(G$93), "",EvaluatePolynomial(G$93:G$99,$A142))</f>
        <v/>
      </c>
      <c r="H142" s="50" t="str" cm="1">
        <f t="array" ref="H142">IF( ISBLANK(H$93), "",EvaluatePolynomial(H$93:H$99,$A142))</f>
        <v/>
      </c>
      <c r="I142" s="50" t="str" cm="1">
        <f t="array" ref="I142">IF( ISBLANK(I$93), "",EvaluatePolynomial(I$93:I$99,$A142))</f>
        <v/>
      </c>
      <c r="J142" s="52" t="str" cm="1">
        <f t="array" ref="J142">IF( ISBLANK(J$93), "",EvaluatePolynomial(J$93:J$99,$A142))</f>
        <v/>
      </c>
      <c r="K142" s="52" t="str" cm="1">
        <f t="array" ref="K142">IF( ISBLANK(K$93), "",EvaluatePolynomial(K$93:K$99,$A142))</f>
        <v/>
      </c>
      <c r="L142" s="52" t="str" cm="1">
        <f t="array" ref="L142">IF( ISBLANK(L$93), "",EvaluatePolynomial(L$93:L$99,$A142))</f>
        <v/>
      </c>
      <c r="M142" s="52" t="str" cm="1">
        <f t="array" ref="M142">IF( ISBLANK(M$93), "",EvaluatePolynomial(M$93:M$99,$A142))</f>
        <v/>
      </c>
      <c r="N142" s="52" t="str" cm="1">
        <f t="array" ref="N142">IF( ISBLANK(N$93), "",EvaluatePolynomial(N$93:N$99,$A142))</f>
        <v/>
      </c>
      <c r="O142" s="52" t="str" cm="1">
        <f t="array" ref="O142">IF( ISBLANK(O$93), "",EvaluatePolynomial(O$93:O$99,$A142))</f>
        <v/>
      </c>
      <c r="P142" s="52" t="str" cm="1">
        <f t="array" ref="P142">IF( ISBLANK(P$93), "",EvaluatePolynomial(P$93:P$99,$A142))</f>
        <v/>
      </c>
      <c r="Q142" s="52" t="str" cm="1">
        <f t="array" ref="Q142">IF( ISBLANK(Q$93), "",EvaluatePolynomial(Q$93:Q$99,$A142))</f>
        <v/>
      </c>
      <c r="R142" s="52" t="str" cm="1">
        <f t="array" ref="R142">IF( ISBLANK(R$93), "",EvaluatePolynomial(R$93:R$99,$A142))</f>
        <v/>
      </c>
      <c r="S142" s="52" t="str" cm="1">
        <f t="array" ref="S142">IF( ISBLANK(S$93), "",EvaluatePolynomial(S$93:S$99,$A142))</f>
        <v/>
      </c>
      <c r="T142" s="52" t="str" cm="1">
        <f t="array" ref="T142">IF( ISBLANK(T$93), "",EvaluatePolynomial(T$93:T$99,$A142))</f>
        <v/>
      </c>
      <c r="U142" s="52" t="str" cm="1">
        <f t="array" ref="U142">IF( ISBLANK(U$93), "",EvaluatePolynomial(U$93:U$99,$A142))</f>
        <v/>
      </c>
      <c r="V142" s="52" t="str" cm="1">
        <f t="array" ref="V142">IF( ISBLANK(V$93), "",EvaluatePolynomial(V$93:V$99,$A142))</f>
        <v/>
      </c>
      <c r="W142" s="52" t="str" cm="1">
        <f t="array" ref="W142">IF( ISBLANK(W$93), "",EvaluatePolynomial(W$93:W$99,$A142))</f>
        <v/>
      </c>
      <c r="X142" s="52" t="str" cm="1">
        <f t="array" ref="X142">IF( ISBLANK(X$93), "",EvaluatePolynomial(X$93:X$99,$A142))</f>
        <v/>
      </c>
      <c r="Y142" s="52" t="str" cm="1">
        <f t="array" ref="Y142">IF( ISBLANK(Y$93), "",EvaluatePolynomial(Y$93:Y$99,$A142))</f>
        <v/>
      </c>
      <c r="Z142" s="52" t="str" cm="1">
        <f t="array" ref="Z142">IF( ISBLANK(Z$93), "",EvaluatePolynomial(Z$93:Z$99,$A142))</f>
        <v/>
      </c>
      <c r="AA142" s="52" t="str" cm="1">
        <f t="array" ref="AA142">IF( ISBLANK(AA$93), "",EvaluatePolynomial(AA$93:AA$99,$A142))</f>
        <v/>
      </c>
      <c r="AB142" s="53" t="str" cm="1">
        <f t="array" ref="AB142">IF( ISBLANK(AB$93), "",EvaluatePolynomial(AB$93:AB$99,$A142))</f>
        <v/>
      </c>
      <c r="AC142" s="1"/>
      <c r="AD142" s="1"/>
      <c r="AE142" s="1"/>
    </row>
    <row r="143" spans="1:31" ht="15.75" thickBot="1" x14ac:dyDescent="0.3">
      <c r="A143" s="55">
        <v>1000</v>
      </c>
      <c r="B143" s="56" t="str" cm="1">
        <f t="array" ref="B143">IF( ISBLANK(B$93), "",EvaluatePolynomial(B$93:B$99,$A143))</f>
        <v/>
      </c>
      <c r="C143" s="56" t="str" cm="1">
        <f t="array" ref="C143">IF( ISBLANK(C$93), "",EvaluatePolynomial(C$93:C$99,$A143))</f>
        <v/>
      </c>
      <c r="D143" s="56" t="str" cm="1">
        <f t="array" ref="D143">IF( ISBLANK(D$93), "",EvaluatePolynomial(D$93:D$99,$A143))</f>
        <v/>
      </c>
      <c r="E143" s="56" t="str" cm="1">
        <f t="array" ref="E143">IF( ISBLANK(E$93), "",EvaluatePolynomial(E$93:E$99,$A143))</f>
        <v/>
      </c>
      <c r="F143" s="56" t="str" cm="1">
        <f t="array" ref="F143">IF( ISBLANK(F$93), "",EvaluatePolynomial(F$93:F$99,$A143))</f>
        <v/>
      </c>
      <c r="G143" s="56" t="str" cm="1">
        <f t="array" ref="G143">IF( ISBLANK(G$93), "",EvaluatePolynomial(G$93:G$99,$A143))</f>
        <v/>
      </c>
      <c r="H143" s="56" t="str" cm="1">
        <f t="array" ref="H143">IF( ISBLANK(H$93), "",EvaluatePolynomial(H$93:H$99,$A143))</f>
        <v/>
      </c>
      <c r="I143" s="56" t="str" cm="1">
        <f t="array" ref="I143">IF( ISBLANK(I$93), "",EvaluatePolynomial(I$93:I$99,$A143))</f>
        <v/>
      </c>
      <c r="J143" s="57" t="str" cm="1">
        <f t="array" ref="J143">IF( ISBLANK(J$93), "",EvaluatePolynomial(J$93:J$99,$A143))</f>
        <v/>
      </c>
      <c r="K143" s="57" t="str" cm="1">
        <f t="array" ref="K143">IF( ISBLANK(K$93), "",EvaluatePolynomial(K$93:K$99,$A143))</f>
        <v/>
      </c>
      <c r="L143" s="57" t="str" cm="1">
        <f t="array" ref="L143">IF( ISBLANK(L$93), "",EvaluatePolynomial(L$93:L$99,$A143))</f>
        <v/>
      </c>
      <c r="M143" s="57" t="str" cm="1">
        <f t="array" ref="M143">IF( ISBLANK(M$93), "",EvaluatePolynomial(M$93:M$99,$A143))</f>
        <v/>
      </c>
      <c r="N143" s="57" t="str" cm="1">
        <f t="array" ref="N143">IF( ISBLANK(N$93), "",EvaluatePolynomial(N$93:N$99,$A143))</f>
        <v/>
      </c>
      <c r="O143" s="57" t="str" cm="1">
        <f t="array" ref="O143">IF( ISBLANK(O$93), "",EvaluatePolynomial(O$93:O$99,$A143))</f>
        <v/>
      </c>
      <c r="P143" s="57" t="str" cm="1">
        <f t="array" ref="P143">IF( ISBLANK(P$93), "",EvaluatePolynomial(P$93:P$99,$A143))</f>
        <v/>
      </c>
      <c r="Q143" s="57" t="str" cm="1">
        <f t="array" ref="Q143">IF( ISBLANK(Q$93), "",EvaluatePolynomial(Q$93:Q$99,$A143))</f>
        <v/>
      </c>
      <c r="R143" s="57" t="str" cm="1">
        <f t="array" ref="R143">IF( ISBLANK(R$93), "",EvaluatePolynomial(R$93:R$99,$A143))</f>
        <v/>
      </c>
      <c r="S143" s="57" t="str" cm="1">
        <f t="array" ref="S143">IF( ISBLANK(S$93), "",EvaluatePolynomial(S$93:S$99,$A143))</f>
        <v/>
      </c>
      <c r="T143" s="57" t="str" cm="1">
        <f t="array" ref="T143">IF( ISBLANK(T$93), "",EvaluatePolynomial(T$93:T$99,$A143))</f>
        <v/>
      </c>
      <c r="U143" s="57" t="str" cm="1">
        <f t="array" ref="U143">IF( ISBLANK(U$93), "",EvaluatePolynomial(U$93:U$99,$A143))</f>
        <v/>
      </c>
      <c r="V143" s="57" t="str" cm="1">
        <f t="array" ref="V143">IF( ISBLANK(V$93), "",EvaluatePolynomial(V$93:V$99,$A143))</f>
        <v/>
      </c>
      <c r="W143" s="57" t="str" cm="1">
        <f t="array" ref="W143">IF( ISBLANK(W$93), "",EvaluatePolynomial(W$93:W$99,$A143))</f>
        <v/>
      </c>
      <c r="X143" s="57" t="str" cm="1">
        <f t="array" ref="X143">IF( ISBLANK(X$93), "",EvaluatePolynomial(X$93:X$99,$A143))</f>
        <v/>
      </c>
      <c r="Y143" s="57" t="str" cm="1">
        <f t="array" ref="Y143">IF( ISBLANK(Y$93), "",EvaluatePolynomial(Y$93:Y$99,$A143))</f>
        <v/>
      </c>
      <c r="Z143" s="57" t="str" cm="1">
        <f t="array" ref="Z143">IF( ISBLANK(Z$93), "",EvaluatePolynomial(Z$93:Z$99,$A143))</f>
        <v/>
      </c>
      <c r="AA143" s="57" t="str" cm="1">
        <f t="array" ref="AA143">IF( ISBLANK(AA$93), "",EvaluatePolynomial(AA$93:AA$99,$A143))</f>
        <v/>
      </c>
      <c r="AB143" s="58" t="str" cm="1">
        <f t="array" ref="AB143">IF( ISBLANK(AB$93), "",EvaluatePolynomial(AB$93:AB$99,$A143))</f>
        <v/>
      </c>
      <c r="AC143" s="1"/>
      <c r="AD143" s="1"/>
      <c r="AE143" s="1"/>
    </row>
    <row r="144" spans="1:31" x14ac:dyDescent="0.25"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x14ac:dyDescent="0.25"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x14ac:dyDescent="0.25">
      <c r="A146" t="s">
        <v>89</v>
      </c>
      <c r="B146" t="s">
        <v>90</v>
      </c>
      <c r="C146" t="s">
        <v>91</v>
      </c>
      <c r="D146" t="s">
        <v>92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t="s">
        <v>93</v>
      </c>
      <c r="B147" t="s">
        <v>94</v>
      </c>
      <c r="C147" t="s">
        <v>95</v>
      </c>
      <c r="D147" t="s">
        <v>96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t="s">
        <v>97</v>
      </c>
      <c r="B148">
        <v>0.58599999999999997</v>
      </c>
      <c r="C148" t="s">
        <v>98</v>
      </c>
      <c r="D148" t="s">
        <v>99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t="s">
        <v>100</v>
      </c>
      <c r="B149" t="s">
        <v>101</v>
      </c>
      <c r="C149" t="s">
        <v>102</v>
      </c>
      <c r="D149" t="s">
        <v>103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t="s">
        <v>104</v>
      </c>
      <c r="B150" t="s">
        <v>105</v>
      </c>
      <c r="C150" t="s">
        <v>106</v>
      </c>
      <c r="D150" t="s">
        <v>107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t="s">
        <v>108</v>
      </c>
      <c r="B151" t="s">
        <v>109</v>
      </c>
      <c r="C151" t="s">
        <v>110</v>
      </c>
      <c r="D151" t="s">
        <v>111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23" t="s">
        <v>88</v>
      </c>
      <c r="B154" s="23" t="s">
        <v>64</v>
      </c>
      <c r="C154" s="23" t="s">
        <v>65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t="s">
        <v>113</v>
      </c>
      <c r="B155" t="s">
        <v>17</v>
      </c>
      <c r="C155" s="64">
        <f>IF(ISBLANK($B155),"",VLOOKUP($B155,$A$6:$B$7,2,FALSE))</f>
        <v>0.58599999999999997</v>
      </c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t="s">
        <v>79</v>
      </c>
      <c r="B156" t="s">
        <v>80</v>
      </c>
      <c r="C156" t="s">
        <v>81</v>
      </c>
      <c r="D156" t="s">
        <v>82</v>
      </c>
      <c r="E156" t="s">
        <v>83</v>
      </c>
      <c r="F156" t="s">
        <v>26</v>
      </c>
      <c r="G156" t="s">
        <v>84</v>
      </c>
      <c r="H156" t="s">
        <v>85</v>
      </c>
      <c r="I156" t="s">
        <v>86</v>
      </c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1">
        <v>0</v>
      </c>
      <c r="B157" s="1">
        <v>-3.8</v>
      </c>
      <c r="C157" s="1" t="s">
        <v>87</v>
      </c>
      <c r="D157" s="1" t="s">
        <v>87</v>
      </c>
      <c r="E157" s="1">
        <v>0</v>
      </c>
      <c r="F157" s="1" t="s">
        <v>87</v>
      </c>
      <c r="G157" s="1" t="s">
        <v>87</v>
      </c>
      <c r="H157" s="1">
        <v>914</v>
      </c>
      <c r="I157" s="1">
        <v>4196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1">
        <v>25</v>
      </c>
      <c r="B158" s="1">
        <v>-1.6</v>
      </c>
      <c r="C158" s="1">
        <v>-2.2000000000000002</v>
      </c>
      <c r="D158" s="1">
        <v>-0.6</v>
      </c>
      <c r="E158" s="1">
        <v>0</v>
      </c>
      <c r="F158" s="1">
        <v>0</v>
      </c>
      <c r="G158" s="1">
        <v>0</v>
      </c>
      <c r="H158" s="1">
        <v>900</v>
      </c>
      <c r="I158" s="1">
        <v>4073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8">
        <v>50</v>
      </c>
      <c r="B159" s="38">
        <v>0</v>
      </c>
      <c r="C159" s="38">
        <v>0</v>
      </c>
      <c r="D159" s="38">
        <v>0</v>
      </c>
      <c r="E159" s="38">
        <v>0.5</v>
      </c>
      <c r="F159" s="38">
        <v>0.3</v>
      </c>
      <c r="G159" s="38">
        <v>0.1</v>
      </c>
      <c r="H159" s="38">
        <v>887</v>
      </c>
      <c r="I159" s="38">
        <v>3947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1">
        <v>75</v>
      </c>
      <c r="B160" s="1">
        <v>0.7</v>
      </c>
      <c r="C160" s="1">
        <v>0.3</v>
      </c>
      <c r="D160" s="1">
        <v>0.1</v>
      </c>
      <c r="E160" s="1">
        <v>1.5</v>
      </c>
      <c r="F160" s="1">
        <v>0.7</v>
      </c>
      <c r="G160" s="1">
        <v>0.2</v>
      </c>
      <c r="H160" s="1">
        <v>873</v>
      </c>
      <c r="I160" s="1">
        <v>3830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1">
        <v>100</v>
      </c>
      <c r="B161" s="1">
        <v>0.7</v>
      </c>
      <c r="C161" s="1">
        <v>0.2</v>
      </c>
      <c r="D161" s="1">
        <v>0.1</v>
      </c>
      <c r="E161" s="1">
        <v>3</v>
      </c>
      <c r="F161" s="1">
        <v>1</v>
      </c>
      <c r="G161" s="1">
        <v>0.3</v>
      </c>
      <c r="H161" s="1">
        <v>860</v>
      </c>
      <c r="I161" s="1">
        <v>3715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1">
        <v>125</v>
      </c>
      <c r="B162" s="1">
        <v>-0.3</v>
      </c>
      <c r="C162" s="1">
        <v>-0.1</v>
      </c>
      <c r="D162" s="1">
        <v>0</v>
      </c>
      <c r="E162" s="1">
        <v>5.0999999999999996</v>
      </c>
      <c r="F162" s="1">
        <v>1.4</v>
      </c>
      <c r="G162" s="1">
        <v>0.4</v>
      </c>
      <c r="H162" s="1">
        <v>846</v>
      </c>
      <c r="I162" s="1">
        <v>3600</v>
      </c>
    </row>
    <row r="163" spans="1:31" x14ac:dyDescent="0.25">
      <c r="A163" s="1">
        <v>150</v>
      </c>
      <c r="B163" s="1">
        <v>-2</v>
      </c>
      <c r="C163" s="1">
        <v>-0.5</v>
      </c>
      <c r="D163" s="1">
        <v>-0.1</v>
      </c>
      <c r="E163" s="1">
        <v>7.5</v>
      </c>
      <c r="F163" s="1">
        <v>1.7</v>
      </c>
      <c r="G163" s="1">
        <v>0.5</v>
      </c>
      <c r="H163" s="1">
        <v>834</v>
      </c>
      <c r="I163" s="1">
        <v>3490</v>
      </c>
    </row>
    <row r="164" spans="1:31" x14ac:dyDescent="0.25">
      <c r="A164" s="1">
        <v>175</v>
      </c>
      <c r="B164" s="1">
        <v>-4.5999999999999996</v>
      </c>
      <c r="C164" s="1">
        <v>-0.9</v>
      </c>
      <c r="D164" s="1">
        <v>-0.3</v>
      </c>
      <c r="E164" s="1">
        <v>10.4</v>
      </c>
      <c r="F164" s="1">
        <v>2</v>
      </c>
      <c r="G164" s="1">
        <v>0.6</v>
      </c>
      <c r="H164" s="1">
        <v>821</v>
      </c>
      <c r="I164" s="1">
        <v>3384</v>
      </c>
    </row>
    <row r="165" spans="1:31" x14ac:dyDescent="0.25">
      <c r="A165" s="1">
        <v>200</v>
      </c>
      <c r="B165" s="1">
        <v>-8.3000000000000007</v>
      </c>
      <c r="C165" s="1">
        <v>-1.4</v>
      </c>
      <c r="D165" s="1">
        <v>-0.4</v>
      </c>
      <c r="E165" s="1">
        <v>13.8</v>
      </c>
      <c r="F165" s="1">
        <v>2.4</v>
      </c>
      <c r="G165" s="1">
        <v>0.7</v>
      </c>
      <c r="H165" s="1">
        <v>808</v>
      </c>
      <c r="I165" s="1">
        <v>3277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1">
        <v>225</v>
      </c>
      <c r="B166" s="1">
        <v>-12.7</v>
      </c>
      <c r="C166" s="1">
        <v>-1.9</v>
      </c>
      <c r="D166" s="1">
        <v>-0.6</v>
      </c>
      <c r="E166" s="1">
        <v>17.600000000000001</v>
      </c>
      <c r="F166" s="1">
        <v>2.7</v>
      </c>
      <c r="G166" s="1">
        <v>0.8</v>
      </c>
      <c r="H166" s="1">
        <v>795</v>
      </c>
      <c r="I166" s="1">
        <v>3175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1">
        <v>250</v>
      </c>
      <c r="B167" s="1">
        <v>-18.100000000000001</v>
      </c>
      <c r="C167" s="1">
        <v>-2.5</v>
      </c>
      <c r="D167" s="1">
        <v>-0.7</v>
      </c>
      <c r="E167" s="1">
        <v>21.8</v>
      </c>
      <c r="F167" s="1">
        <v>3</v>
      </c>
      <c r="G167" s="1">
        <v>0.9</v>
      </c>
      <c r="H167" s="1">
        <v>783</v>
      </c>
      <c r="I167" s="1">
        <v>3076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1">
        <v>275</v>
      </c>
      <c r="B168" s="1">
        <v>-24.7</v>
      </c>
      <c r="C168" s="1">
        <v>-3.1</v>
      </c>
      <c r="D168" s="1">
        <v>-0.9</v>
      </c>
      <c r="E168" s="1">
        <v>26.5</v>
      </c>
      <c r="F168" s="1">
        <v>3.3</v>
      </c>
      <c r="G168" s="1">
        <v>1</v>
      </c>
      <c r="H168" s="1">
        <v>770</v>
      </c>
      <c r="I168" s="1">
        <v>2977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1">
        <v>300</v>
      </c>
      <c r="B169" s="1">
        <v>-32.1</v>
      </c>
      <c r="C169" s="1">
        <v>-3.7</v>
      </c>
      <c r="D169" s="1">
        <v>-1.1000000000000001</v>
      </c>
      <c r="E169" s="1">
        <v>31.8</v>
      </c>
      <c r="F169" s="1">
        <v>3.7</v>
      </c>
      <c r="G169" s="1">
        <v>1.1000000000000001</v>
      </c>
      <c r="H169" s="1">
        <v>758</v>
      </c>
      <c r="I169" s="1">
        <v>2884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1">
        <v>325</v>
      </c>
      <c r="B170" s="1">
        <v>-40.4</v>
      </c>
      <c r="C170" s="1">
        <v>-4.3</v>
      </c>
      <c r="D170" s="1">
        <v>-1.2</v>
      </c>
      <c r="E170" s="1">
        <v>37.200000000000003</v>
      </c>
      <c r="F170" s="1">
        <v>3.9</v>
      </c>
      <c r="G170" s="1">
        <v>1.1000000000000001</v>
      </c>
      <c r="H170" s="1">
        <v>746</v>
      </c>
      <c r="I170" s="1">
        <v>2792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1">
        <v>350</v>
      </c>
      <c r="B171" s="1">
        <v>-50.2</v>
      </c>
      <c r="C171" s="1">
        <v>-4.9000000000000004</v>
      </c>
      <c r="D171" s="1">
        <v>-1.4</v>
      </c>
      <c r="E171" s="1">
        <v>43.6</v>
      </c>
      <c r="F171" s="1">
        <v>4.3</v>
      </c>
      <c r="G171" s="1">
        <v>1.2</v>
      </c>
      <c r="H171" s="1">
        <v>733</v>
      </c>
      <c r="I171" s="1">
        <v>2699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1">
        <v>375</v>
      </c>
      <c r="B172" s="1">
        <v>-60.9</v>
      </c>
      <c r="C172" s="1">
        <v>-5.6</v>
      </c>
      <c r="D172" s="1">
        <v>-1.6</v>
      </c>
      <c r="E172" s="1">
        <v>50.4</v>
      </c>
      <c r="F172" s="1">
        <v>4.5999999999999996</v>
      </c>
      <c r="G172" s="1">
        <v>1.3</v>
      </c>
      <c r="H172" s="1">
        <v>721</v>
      </c>
      <c r="I172" s="1">
        <v>2613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1">
        <v>400</v>
      </c>
      <c r="B173" s="1">
        <v>-72.7</v>
      </c>
      <c r="C173" s="1">
        <v>-6.3</v>
      </c>
      <c r="D173" s="1">
        <v>-1.8</v>
      </c>
      <c r="E173" s="1">
        <v>57.8</v>
      </c>
      <c r="F173" s="1">
        <v>5</v>
      </c>
      <c r="G173" s="1">
        <v>1.4</v>
      </c>
      <c r="H173" s="1">
        <v>710</v>
      </c>
      <c r="I173" s="1">
        <v>2529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1">
        <v>425</v>
      </c>
      <c r="B174" s="1">
        <v>-86.3</v>
      </c>
      <c r="C174" s="1">
        <v>-7</v>
      </c>
      <c r="D174" s="1">
        <v>-2</v>
      </c>
      <c r="E174" s="1">
        <v>66.2</v>
      </c>
      <c r="F174" s="1">
        <v>5.4</v>
      </c>
      <c r="G174" s="1">
        <v>1.6</v>
      </c>
      <c r="H174" s="1">
        <v>697</v>
      </c>
      <c r="I174" s="1">
        <v>2443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1">
        <v>450</v>
      </c>
      <c r="B175" s="1">
        <v>-100.6</v>
      </c>
      <c r="C175" s="1">
        <v>-7.7</v>
      </c>
      <c r="D175" s="1">
        <v>-2.2000000000000002</v>
      </c>
      <c r="E175" s="1">
        <v>74.900000000000006</v>
      </c>
      <c r="F175" s="1">
        <v>5.7</v>
      </c>
      <c r="G175" s="1">
        <v>1.7</v>
      </c>
      <c r="H175" s="1">
        <v>686</v>
      </c>
      <c r="I175" s="1">
        <v>2363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1">
        <v>475</v>
      </c>
      <c r="B176" s="1">
        <v>-116.2</v>
      </c>
      <c r="C176" s="1">
        <v>-8.4</v>
      </c>
      <c r="D176" s="1">
        <v>-2.4</v>
      </c>
      <c r="E176" s="1">
        <v>84.2</v>
      </c>
      <c r="F176" s="1">
        <v>6.1</v>
      </c>
      <c r="G176" s="1">
        <v>1.8</v>
      </c>
      <c r="H176" s="1">
        <v>675</v>
      </c>
      <c r="I176" s="1">
        <v>2285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1">
        <v>500</v>
      </c>
      <c r="B177" s="1">
        <v>-133.80000000000001</v>
      </c>
      <c r="C177" s="1">
        <v>-9.1999999999999993</v>
      </c>
      <c r="D177" s="1">
        <v>-2.7</v>
      </c>
      <c r="E177" s="1">
        <v>94.5</v>
      </c>
      <c r="F177" s="1">
        <v>6.5</v>
      </c>
      <c r="G177" s="1">
        <v>1.9</v>
      </c>
      <c r="H177" s="1">
        <v>663</v>
      </c>
      <c r="I177" s="1">
        <v>2206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46">
        <v>525</v>
      </c>
      <c r="B178" s="1">
        <v>-152.19999999999999</v>
      </c>
      <c r="C178" s="1">
        <v>-10</v>
      </c>
      <c r="D178" s="1">
        <v>-2.9</v>
      </c>
      <c r="E178" s="1">
        <v>105</v>
      </c>
      <c r="F178" s="1">
        <v>6.9</v>
      </c>
      <c r="G178" s="1">
        <v>2</v>
      </c>
      <c r="H178" s="1">
        <v>651</v>
      </c>
      <c r="I178" s="1">
        <v>2131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46">
        <v>550</v>
      </c>
      <c r="B179" s="1">
        <v>-171.9</v>
      </c>
      <c r="C179" s="1">
        <v>-10.8</v>
      </c>
      <c r="D179" s="1">
        <v>-3.1</v>
      </c>
      <c r="E179" s="1">
        <v>116</v>
      </c>
      <c r="F179" s="1">
        <v>7.3</v>
      </c>
      <c r="G179" s="1">
        <v>2.1</v>
      </c>
      <c r="H179" s="1">
        <v>640</v>
      </c>
      <c r="I179" s="1">
        <v>2059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46">
        <v>575</v>
      </c>
      <c r="B180" s="1">
        <v>-193.7</v>
      </c>
      <c r="C180" s="1">
        <v>-11.6</v>
      </c>
      <c r="D180" s="1">
        <v>-3.4</v>
      </c>
      <c r="E180" s="1">
        <v>128.1</v>
      </c>
      <c r="F180" s="1">
        <v>7.7</v>
      </c>
      <c r="G180" s="1">
        <v>2.2000000000000002</v>
      </c>
      <c r="H180" s="1">
        <v>629</v>
      </c>
      <c r="I180" s="1">
        <v>1986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46">
        <v>600</v>
      </c>
      <c r="B181" s="1">
        <v>-216.3</v>
      </c>
      <c r="C181" s="1">
        <v>-12.4</v>
      </c>
      <c r="D181" s="1">
        <v>-3.6</v>
      </c>
      <c r="E181" s="1">
        <v>140.19999999999999</v>
      </c>
      <c r="F181" s="1">
        <v>8</v>
      </c>
      <c r="G181" s="1">
        <v>2.2999999999999998</v>
      </c>
      <c r="H181" s="1">
        <v>618</v>
      </c>
      <c r="I181" s="1">
        <v>1918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46">
        <v>625</v>
      </c>
      <c r="B182" s="1">
        <v>-241.9</v>
      </c>
      <c r="C182" s="1">
        <v>-13.3</v>
      </c>
      <c r="D182" s="1">
        <v>-3.9</v>
      </c>
      <c r="E182" s="1">
        <v>154.30000000000001</v>
      </c>
      <c r="F182" s="1">
        <v>8.5</v>
      </c>
      <c r="G182" s="1">
        <v>2.5</v>
      </c>
      <c r="H182" s="1">
        <v>607</v>
      </c>
      <c r="I182" s="1">
        <v>1849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46">
        <v>650</v>
      </c>
      <c r="B183" s="1">
        <v>-267.10000000000002</v>
      </c>
      <c r="C183" s="1">
        <v>-14.1</v>
      </c>
      <c r="D183" s="1">
        <v>-4.0999999999999996</v>
      </c>
      <c r="E183" s="1">
        <v>167.1</v>
      </c>
      <c r="F183" s="1">
        <v>8.8000000000000007</v>
      </c>
      <c r="G183" s="1">
        <v>2.6</v>
      </c>
      <c r="H183" s="1">
        <v>596</v>
      </c>
      <c r="I183" s="1">
        <v>1784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46">
        <v>675</v>
      </c>
      <c r="B184" s="1">
        <v>-294.2</v>
      </c>
      <c r="C184" s="1">
        <v>-15</v>
      </c>
      <c r="D184" s="1">
        <v>-4.4000000000000004</v>
      </c>
      <c r="E184" s="1">
        <v>181.1</v>
      </c>
      <c r="F184" s="1">
        <v>9.1999999999999993</v>
      </c>
      <c r="G184" s="1">
        <v>2.7</v>
      </c>
      <c r="H184" s="1">
        <v>586</v>
      </c>
      <c r="I184" s="1">
        <v>1722</v>
      </c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46">
        <v>700</v>
      </c>
      <c r="B185" s="1">
        <v>-324.5</v>
      </c>
      <c r="C185" s="1">
        <v>-15.9</v>
      </c>
      <c r="D185" s="1">
        <v>-4.5999999999999996</v>
      </c>
      <c r="E185" s="1">
        <v>196.7</v>
      </c>
      <c r="F185" s="1">
        <v>9.6999999999999993</v>
      </c>
      <c r="G185" s="1">
        <v>2.8</v>
      </c>
      <c r="H185" s="1">
        <v>575</v>
      </c>
      <c r="I185" s="1">
        <v>1658</v>
      </c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46">
        <v>725</v>
      </c>
      <c r="B186" s="1">
        <v>-355.8</v>
      </c>
      <c r="C186" s="1">
        <v>-16.899999999999999</v>
      </c>
      <c r="D186" s="1">
        <v>-4.9000000000000004</v>
      </c>
      <c r="E186" s="1">
        <v>212.8</v>
      </c>
      <c r="F186" s="1">
        <v>10.1</v>
      </c>
      <c r="G186" s="1">
        <v>2.9</v>
      </c>
      <c r="H186" s="1">
        <v>564</v>
      </c>
      <c r="I186" s="1">
        <v>1599</v>
      </c>
    </row>
    <row r="187" spans="1:31" x14ac:dyDescent="0.25">
      <c r="A187" s="46">
        <v>750</v>
      </c>
      <c r="B187" s="1">
        <v>-389.2</v>
      </c>
      <c r="C187" s="1">
        <v>-17.8</v>
      </c>
      <c r="D187" s="1">
        <v>-5.2</v>
      </c>
      <c r="E187" s="1">
        <v>229.9</v>
      </c>
      <c r="F187" s="1">
        <v>10.5</v>
      </c>
      <c r="G187" s="1">
        <v>3.1</v>
      </c>
      <c r="H187" s="1">
        <v>554</v>
      </c>
      <c r="I187" s="1">
        <v>1542</v>
      </c>
    </row>
    <row r="188" spans="1:31" x14ac:dyDescent="0.25">
      <c r="A188" s="46">
        <v>775</v>
      </c>
      <c r="B188" s="1">
        <v>-426</v>
      </c>
      <c r="C188" s="1">
        <v>-18.899999999999999</v>
      </c>
      <c r="D188" s="1">
        <v>-5.5</v>
      </c>
      <c r="E188" s="1">
        <v>248.6</v>
      </c>
      <c r="F188" s="1">
        <v>11</v>
      </c>
      <c r="G188" s="1">
        <v>3.2</v>
      </c>
      <c r="H188" s="1">
        <v>544</v>
      </c>
      <c r="I188" s="1">
        <v>1485</v>
      </c>
    </row>
    <row r="189" spans="1:31" x14ac:dyDescent="0.25">
      <c r="A189" s="46">
        <v>800</v>
      </c>
      <c r="B189" s="1">
        <v>-463.7</v>
      </c>
      <c r="C189" s="1">
        <v>-19.899999999999999</v>
      </c>
      <c r="D189" s="1">
        <v>-5.8</v>
      </c>
      <c r="E189" s="1">
        <v>267.5</v>
      </c>
      <c r="F189" s="1">
        <v>11.5</v>
      </c>
      <c r="G189" s="1">
        <v>3.3</v>
      </c>
      <c r="H189" s="1">
        <v>534</v>
      </c>
      <c r="I189" s="1">
        <v>1432</v>
      </c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46">
        <v>825</v>
      </c>
      <c r="B190" s="1">
        <v>-503.6</v>
      </c>
      <c r="C190" s="1">
        <v>-21</v>
      </c>
      <c r="D190" s="1">
        <v>-6.1</v>
      </c>
      <c r="E190" s="1">
        <v>287.3</v>
      </c>
      <c r="F190" s="1">
        <v>12</v>
      </c>
      <c r="G190" s="1">
        <v>3.5</v>
      </c>
      <c r="H190" s="1">
        <v>524</v>
      </c>
      <c r="I190" s="1">
        <v>1380</v>
      </c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46">
        <v>850</v>
      </c>
      <c r="B191" s="1">
        <v>-547.20000000000005</v>
      </c>
      <c r="C191" s="1">
        <v>-22.1</v>
      </c>
      <c r="D191" s="1">
        <v>-6.4</v>
      </c>
      <c r="E191" s="1">
        <v>308.7</v>
      </c>
      <c r="F191" s="1">
        <v>12.5</v>
      </c>
      <c r="G191" s="1">
        <v>3.6</v>
      </c>
      <c r="H191" s="1">
        <v>514</v>
      </c>
      <c r="I191" s="1">
        <v>1329</v>
      </c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46">
        <v>875</v>
      </c>
      <c r="B192" s="1">
        <v>-591.6</v>
      </c>
      <c r="C192" s="1">
        <v>-23.2</v>
      </c>
      <c r="D192" s="1">
        <v>-6.8</v>
      </c>
      <c r="E192" s="1">
        <v>330.1</v>
      </c>
      <c r="F192" s="1">
        <v>13</v>
      </c>
      <c r="G192" s="1">
        <v>3.8</v>
      </c>
      <c r="H192" s="1">
        <v>505</v>
      </c>
      <c r="I192" s="1">
        <v>1280</v>
      </c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46">
        <v>900</v>
      </c>
      <c r="B193" s="1">
        <v>-638.29999999999995</v>
      </c>
      <c r="C193" s="1">
        <v>-24.4</v>
      </c>
      <c r="D193" s="1">
        <v>-7.1</v>
      </c>
      <c r="E193" s="1">
        <v>352.2</v>
      </c>
      <c r="F193" s="1">
        <v>13.5</v>
      </c>
      <c r="G193" s="1">
        <v>3.9</v>
      </c>
      <c r="H193" s="1">
        <v>496</v>
      </c>
      <c r="I193" s="1">
        <v>1234</v>
      </c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46">
        <v>925</v>
      </c>
      <c r="B194" s="1">
        <v>-689</v>
      </c>
      <c r="C194" s="1">
        <v>-25.6</v>
      </c>
      <c r="D194" s="1">
        <v>-7.4</v>
      </c>
      <c r="E194" s="1">
        <v>376</v>
      </c>
      <c r="F194" s="1">
        <v>14</v>
      </c>
      <c r="G194" s="1">
        <v>4.0999999999999996</v>
      </c>
      <c r="H194" s="1">
        <v>486</v>
      </c>
      <c r="I194" s="1">
        <v>1186</v>
      </c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46">
        <v>950</v>
      </c>
      <c r="B195" s="1">
        <v>-740.3</v>
      </c>
      <c r="C195" s="1">
        <v>-26.8</v>
      </c>
      <c r="D195" s="1">
        <v>-7.8</v>
      </c>
      <c r="E195" s="1">
        <v>399.6</v>
      </c>
      <c r="F195" s="1">
        <v>14.5</v>
      </c>
      <c r="G195" s="1">
        <v>4.2</v>
      </c>
      <c r="H195" s="1">
        <v>477</v>
      </c>
      <c r="I195" s="1">
        <v>1143</v>
      </c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46">
        <v>975</v>
      </c>
      <c r="B196" s="1">
        <v>-793.9</v>
      </c>
      <c r="C196" s="1">
        <v>-28</v>
      </c>
      <c r="D196" s="1">
        <v>-8.1</v>
      </c>
      <c r="E196" s="1">
        <v>423.9</v>
      </c>
      <c r="F196" s="1">
        <v>14.9</v>
      </c>
      <c r="G196" s="1">
        <v>4.3</v>
      </c>
      <c r="H196" s="1">
        <v>468</v>
      </c>
      <c r="I196" s="1">
        <v>1100</v>
      </c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52">
        <v>1000</v>
      </c>
      <c r="B197" s="1">
        <v>-852</v>
      </c>
      <c r="C197" s="1">
        <v>-29.3</v>
      </c>
      <c r="D197" s="1">
        <v>-8.5</v>
      </c>
      <c r="E197" s="1">
        <v>449.8</v>
      </c>
      <c r="F197" s="1">
        <v>15.5</v>
      </c>
      <c r="G197" s="1">
        <v>4.5</v>
      </c>
      <c r="H197" s="1">
        <v>459</v>
      </c>
      <c r="I197" s="1">
        <v>1058</v>
      </c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23" t="s">
        <v>112</v>
      </c>
      <c r="B200" s="23" t="s">
        <v>64</v>
      </c>
      <c r="C200" s="23" t="s">
        <v>65</v>
      </c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t="s">
        <v>114</v>
      </c>
      <c r="B201" t="s">
        <v>17</v>
      </c>
      <c r="C201" s="64">
        <f>IF(ISBLANK($B201),"",VLOOKUP($B201,$A$6:$B$7,2,FALSE))</f>
        <v>0.58599999999999997</v>
      </c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t="s">
        <v>10</v>
      </c>
      <c r="B202" t="s">
        <v>11</v>
      </c>
      <c r="C202" t="s">
        <v>12</v>
      </c>
      <c r="D202" t="s">
        <v>13</v>
      </c>
      <c r="E202" t="s">
        <v>14</v>
      </c>
      <c r="F202" t="s">
        <v>15</v>
      </c>
      <c r="G202" t="s">
        <v>25</v>
      </c>
      <c r="H202" t="s">
        <v>26</v>
      </c>
      <c r="I202" t="s">
        <v>27</v>
      </c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>
        <v>0</v>
      </c>
      <c r="B203" s="1">
        <v>915</v>
      </c>
      <c r="C203" s="1">
        <v>4205</v>
      </c>
      <c r="D203" s="1">
        <v>-3.8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>
        <v>25</v>
      </c>
      <c r="B204" s="1">
        <v>901</v>
      </c>
      <c r="C204" s="1">
        <v>4078</v>
      </c>
      <c r="D204" s="1">
        <v>-1.5</v>
      </c>
      <c r="E204" s="1">
        <v>2.1</v>
      </c>
      <c r="F204" s="1">
        <v>0.6</v>
      </c>
      <c r="G204" s="1">
        <v>0</v>
      </c>
      <c r="H204" s="1">
        <v>0</v>
      </c>
      <c r="I204" s="1">
        <v>0</v>
      </c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1">
        <v>50</v>
      </c>
      <c r="B205" s="1">
        <v>887</v>
      </c>
      <c r="C205" s="1">
        <v>3956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1">
        <v>75</v>
      </c>
      <c r="B206" s="1">
        <v>874</v>
      </c>
      <c r="C206" s="1">
        <v>3836</v>
      </c>
      <c r="D206" s="1">
        <v>0.7</v>
      </c>
      <c r="E206" s="1">
        <v>-0.3</v>
      </c>
      <c r="F206" s="1">
        <v>-0.1</v>
      </c>
      <c r="G206" s="1">
        <v>0</v>
      </c>
      <c r="H206" s="1">
        <v>0</v>
      </c>
      <c r="I206" s="1">
        <v>0</v>
      </c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1">
        <v>100</v>
      </c>
      <c r="B207" s="1">
        <v>861</v>
      </c>
      <c r="C207" s="1">
        <v>3720</v>
      </c>
      <c r="D207" s="1">
        <v>0.7</v>
      </c>
      <c r="E207" s="1">
        <v>-0.2</v>
      </c>
      <c r="F207" s="1">
        <v>-0.1</v>
      </c>
      <c r="G207" s="1">
        <v>0</v>
      </c>
      <c r="H207" s="1">
        <v>0</v>
      </c>
      <c r="I207" s="1">
        <v>0</v>
      </c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1">
        <v>125</v>
      </c>
      <c r="B208" s="1">
        <v>847</v>
      </c>
      <c r="C208" s="1">
        <v>3607</v>
      </c>
      <c r="D208" s="1">
        <v>-0.3</v>
      </c>
      <c r="E208" s="1">
        <v>0.1</v>
      </c>
      <c r="F208" s="1">
        <v>0</v>
      </c>
      <c r="G208" s="1">
        <v>0</v>
      </c>
      <c r="H208" s="1">
        <v>0</v>
      </c>
      <c r="I208" s="1">
        <v>0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1">
        <v>150</v>
      </c>
      <c r="B209" s="1">
        <v>834</v>
      </c>
      <c r="C209" s="1">
        <v>3496</v>
      </c>
      <c r="D209" s="1">
        <v>-2</v>
      </c>
      <c r="E209" s="1">
        <v>0.5</v>
      </c>
      <c r="F209" s="1">
        <v>0.1</v>
      </c>
      <c r="G209" s="1">
        <v>0</v>
      </c>
      <c r="H209" s="1">
        <v>0</v>
      </c>
      <c r="I209" s="1">
        <v>0</v>
      </c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1">
        <v>175</v>
      </c>
      <c r="B210" s="1">
        <v>821</v>
      </c>
      <c r="C210" s="1">
        <v>3388</v>
      </c>
      <c r="D210" s="1">
        <v>-4.7</v>
      </c>
      <c r="E210" s="1">
        <v>0.9</v>
      </c>
      <c r="F210" s="1">
        <v>0.3</v>
      </c>
      <c r="G210" s="1">
        <v>0</v>
      </c>
      <c r="H210" s="1">
        <v>0</v>
      </c>
      <c r="I210" s="1">
        <v>0</v>
      </c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1">
        <v>200</v>
      </c>
      <c r="B211" s="1">
        <v>808</v>
      </c>
      <c r="C211" s="1">
        <v>3283</v>
      </c>
      <c r="D211" s="1">
        <v>-8.3000000000000007</v>
      </c>
      <c r="E211" s="1">
        <v>1.4</v>
      </c>
      <c r="F211" s="1">
        <v>0.4</v>
      </c>
      <c r="G211" s="1">
        <v>0</v>
      </c>
      <c r="H211" s="1">
        <v>0</v>
      </c>
      <c r="I211" s="1">
        <v>0</v>
      </c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1">
        <v>225</v>
      </c>
      <c r="B212" s="1">
        <v>796</v>
      </c>
      <c r="C212" s="1">
        <v>3180</v>
      </c>
      <c r="D212" s="1">
        <v>-12.9</v>
      </c>
      <c r="E212" s="1">
        <v>2</v>
      </c>
      <c r="F212" s="1">
        <v>0.6</v>
      </c>
      <c r="G212" s="1">
        <v>0</v>
      </c>
      <c r="H212" s="1">
        <v>0</v>
      </c>
      <c r="I212" s="1">
        <v>0</v>
      </c>
    </row>
    <row r="213" spans="1:31" x14ac:dyDescent="0.25">
      <c r="A213" s="1">
        <v>250</v>
      </c>
      <c r="B213" s="1">
        <v>783</v>
      </c>
      <c r="C213" s="1">
        <v>3080</v>
      </c>
      <c r="D213" s="1">
        <v>-18.3</v>
      </c>
      <c r="E213" s="1">
        <v>2.5</v>
      </c>
      <c r="F213" s="1">
        <v>0.7</v>
      </c>
      <c r="G213" s="1">
        <v>0</v>
      </c>
      <c r="H213" s="1">
        <v>0</v>
      </c>
      <c r="I213" s="1">
        <v>0</v>
      </c>
    </row>
    <row r="214" spans="1:31" x14ac:dyDescent="0.25">
      <c r="A214" s="1">
        <v>275</v>
      </c>
      <c r="B214" s="1">
        <v>771</v>
      </c>
      <c r="C214" s="1">
        <v>2983</v>
      </c>
      <c r="D214" s="1">
        <v>-25.1</v>
      </c>
      <c r="E214" s="1">
        <v>3.1</v>
      </c>
      <c r="F214" s="1">
        <v>0.9</v>
      </c>
      <c r="G214" s="1">
        <v>0</v>
      </c>
      <c r="H214" s="1">
        <v>0</v>
      </c>
      <c r="I214" s="1">
        <v>0</v>
      </c>
    </row>
    <row r="215" spans="1:31" x14ac:dyDescent="0.25">
      <c r="A215" s="1">
        <v>300</v>
      </c>
      <c r="B215" s="1">
        <v>758</v>
      </c>
      <c r="C215" s="1">
        <v>2888</v>
      </c>
      <c r="D215" s="1">
        <v>-32.6</v>
      </c>
      <c r="E215" s="1">
        <v>3.7</v>
      </c>
      <c r="F215" s="1">
        <v>1.1000000000000001</v>
      </c>
      <c r="G215" s="1">
        <v>0</v>
      </c>
      <c r="H215" s="1">
        <v>0</v>
      </c>
      <c r="I215" s="1">
        <v>0</v>
      </c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5">
      <c r="A216" s="1">
        <v>325</v>
      </c>
      <c r="B216" s="1">
        <v>746</v>
      </c>
      <c r="C216" s="1">
        <v>2795</v>
      </c>
      <c r="D216" s="1">
        <v>-41.3</v>
      </c>
      <c r="E216" s="1">
        <v>4.4000000000000004</v>
      </c>
      <c r="F216" s="1">
        <v>1.3</v>
      </c>
      <c r="G216" s="1">
        <v>0</v>
      </c>
      <c r="H216" s="1">
        <v>0</v>
      </c>
      <c r="I216" s="1">
        <v>0</v>
      </c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1">
        <v>350</v>
      </c>
      <c r="B217" s="1">
        <v>734</v>
      </c>
      <c r="C217" s="1">
        <v>2705</v>
      </c>
      <c r="D217" s="1">
        <v>-51.4</v>
      </c>
      <c r="E217" s="1">
        <v>5</v>
      </c>
      <c r="F217" s="1">
        <v>1.5</v>
      </c>
      <c r="G217" s="1">
        <v>0</v>
      </c>
      <c r="H217" s="1">
        <v>0</v>
      </c>
      <c r="I217" s="1">
        <v>0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1">
        <v>375</v>
      </c>
      <c r="B218" s="1">
        <v>722</v>
      </c>
      <c r="C218" s="1">
        <v>2616</v>
      </c>
      <c r="D218" s="1">
        <v>-62.4</v>
      </c>
      <c r="E218" s="1">
        <v>5.7</v>
      </c>
      <c r="F218" s="1">
        <v>1.7</v>
      </c>
      <c r="G218" s="1">
        <v>0</v>
      </c>
      <c r="H218" s="1">
        <v>0</v>
      </c>
      <c r="I218" s="1">
        <v>0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1">
        <v>400</v>
      </c>
      <c r="B219" s="1">
        <v>710</v>
      </c>
      <c r="C219" s="1">
        <v>2531</v>
      </c>
      <c r="D219" s="1">
        <v>-74.599999999999994</v>
      </c>
      <c r="E219" s="1">
        <v>6.4</v>
      </c>
      <c r="F219" s="1">
        <v>1.9</v>
      </c>
      <c r="G219" s="1">
        <v>0</v>
      </c>
      <c r="H219" s="1">
        <v>0</v>
      </c>
      <c r="I219" s="1">
        <v>0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1">
        <v>425</v>
      </c>
      <c r="B220" s="1">
        <v>698</v>
      </c>
      <c r="C220" s="1">
        <v>2447</v>
      </c>
      <c r="D220" s="1">
        <v>-88.5</v>
      </c>
      <c r="E220" s="1">
        <v>7.2</v>
      </c>
      <c r="F220" s="1">
        <v>2.1</v>
      </c>
      <c r="G220" s="1">
        <v>0</v>
      </c>
      <c r="H220" s="1">
        <v>0</v>
      </c>
      <c r="I220" s="1">
        <v>0</v>
      </c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1">
        <v>450</v>
      </c>
      <c r="B221" s="1">
        <v>686</v>
      </c>
      <c r="C221" s="1">
        <v>2365</v>
      </c>
      <c r="D221" s="1">
        <v>-103.3</v>
      </c>
      <c r="E221" s="1">
        <v>7.9</v>
      </c>
      <c r="F221" s="1">
        <v>2.2999999999999998</v>
      </c>
      <c r="G221" s="1">
        <v>0</v>
      </c>
      <c r="H221" s="1">
        <v>0</v>
      </c>
      <c r="I221" s="1">
        <v>0</v>
      </c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1">
        <v>475</v>
      </c>
      <c r="B222" s="1">
        <v>675</v>
      </c>
      <c r="C222" s="1">
        <v>2286</v>
      </c>
      <c r="D222" s="1">
        <v>-119.4</v>
      </c>
      <c r="E222" s="1">
        <v>8.6</v>
      </c>
      <c r="F222" s="1">
        <v>2.5</v>
      </c>
      <c r="G222" s="1">
        <v>0</v>
      </c>
      <c r="H222" s="1">
        <v>0</v>
      </c>
      <c r="I222" s="1">
        <v>0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1">
        <v>500</v>
      </c>
      <c r="B223" s="1">
        <v>663</v>
      </c>
      <c r="C223" s="1">
        <v>2209</v>
      </c>
      <c r="D223" s="1">
        <v>-137.6</v>
      </c>
      <c r="E223" s="1">
        <v>9.5</v>
      </c>
      <c r="F223" s="1">
        <v>2.7</v>
      </c>
      <c r="G223" s="1">
        <v>0</v>
      </c>
      <c r="H223" s="1">
        <v>0</v>
      </c>
      <c r="I223" s="1">
        <v>0</v>
      </c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>
        <v>525</v>
      </c>
      <c r="B224" s="1">
        <v>652</v>
      </c>
      <c r="C224" s="1">
        <v>2133</v>
      </c>
      <c r="D224" s="1">
        <v>-156.6</v>
      </c>
      <c r="E224" s="1">
        <v>10.3</v>
      </c>
      <c r="F224" s="1">
        <v>3</v>
      </c>
      <c r="G224" s="1">
        <v>0</v>
      </c>
      <c r="H224" s="1">
        <v>0</v>
      </c>
      <c r="I224" s="1">
        <v>0</v>
      </c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A225" s="1">
        <v>550</v>
      </c>
      <c r="B225" s="1">
        <v>640</v>
      </c>
      <c r="C225" s="1">
        <v>2060</v>
      </c>
      <c r="D225" s="1">
        <v>-177.1</v>
      </c>
      <c r="E225" s="1">
        <v>11.1</v>
      </c>
      <c r="F225" s="1">
        <v>3.2</v>
      </c>
      <c r="G225" s="1">
        <v>0</v>
      </c>
      <c r="H225" s="1">
        <v>0</v>
      </c>
      <c r="I225" s="1">
        <v>0</v>
      </c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A226" s="1">
        <v>575</v>
      </c>
      <c r="B226" s="1">
        <v>629</v>
      </c>
      <c r="C226" s="1">
        <v>1989</v>
      </c>
      <c r="D226" s="1">
        <v>-200</v>
      </c>
      <c r="E226" s="1">
        <v>12</v>
      </c>
      <c r="F226" s="1">
        <v>3.5</v>
      </c>
      <c r="G226" s="1">
        <v>0</v>
      </c>
      <c r="H226" s="1">
        <v>0</v>
      </c>
      <c r="I226" s="1">
        <v>0</v>
      </c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1">
        <v>600</v>
      </c>
      <c r="B227" s="1">
        <v>618</v>
      </c>
      <c r="C227" s="1">
        <v>1919</v>
      </c>
      <c r="D227" s="1">
        <v>-223.8</v>
      </c>
      <c r="E227" s="1">
        <v>12.8</v>
      </c>
      <c r="F227" s="1">
        <v>3.7</v>
      </c>
      <c r="G227" s="1">
        <v>0</v>
      </c>
      <c r="H227" s="1">
        <v>0</v>
      </c>
      <c r="I227" s="1">
        <v>0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s="1">
        <v>625</v>
      </c>
      <c r="B228" s="1">
        <v>607</v>
      </c>
      <c r="C228" s="1">
        <v>1852</v>
      </c>
      <c r="D228" s="1">
        <v>-250.2</v>
      </c>
      <c r="E228" s="1">
        <v>13.8</v>
      </c>
      <c r="F228" s="1">
        <v>4</v>
      </c>
      <c r="G228" s="1">
        <v>0</v>
      </c>
      <c r="H228" s="1">
        <v>0</v>
      </c>
      <c r="I228" s="1">
        <v>0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5">
      <c r="A229" s="1">
        <v>650</v>
      </c>
      <c r="B229" s="1">
        <v>596</v>
      </c>
      <c r="C229" s="1">
        <v>1787</v>
      </c>
      <c r="D229" s="1">
        <v>-277.5</v>
      </c>
      <c r="E229" s="1">
        <v>14.7</v>
      </c>
      <c r="F229" s="1">
        <v>4.3</v>
      </c>
      <c r="G229" s="1">
        <v>0</v>
      </c>
      <c r="H229" s="1">
        <v>0</v>
      </c>
      <c r="I229" s="1">
        <v>0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>
        <v>675</v>
      </c>
      <c r="B230" s="1">
        <v>586</v>
      </c>
      <c r="C230" s="1">
        <v>1723</v>
      </c>
      <c r="D230" s="1">
        <v>-306.7</v>
      </c>
      <c r="E230" s="1">
        <v>15.6</v>
      </c>
      <c r="F230" s="1">
        <v>4.5</v>
      </c>
      <c r="G230" s="1">
        <v>0</v>
      </c>
      <c r="H230" s="1">
        <v>0</v>
      </c>
      <c r="I230" s="1">
        <v>0</v>
      </c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>
        <v>700</v>
      </c>
      <c r="B231" s="1">
        <v>575</v>
      </c>
      <c r="C231" s="1">
        <v>1661</v>
      </c>
      <c r="D231" s="1">
        <v>-338.9</v>
      </c>
      <c r="E231" s="1">
        <v>16.600000000000001</v>
      </c>
      <c r="F231" s="1">
        <v>4.8</v>
      </c>
      <c r="G231" s="1">
        <v>0</v>
      </c>
      <c r="H231" s="1">
        <v>0</v>
      </c>
      <c r="I231" s="1">
        <v>0</v>
      </c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>
        <v>725</v>
      </c>
      <c r="B232" s="1">
        <v>565</v>
      </c>
      <c r="C232" s="1">
        <v>1602</v>
      </c>
      <c r="D232" s="1">
        <v>-372</v>
      </c>
      <c r="E232" s="1">
        <v>17.600000000000001</v>
      </c>
      <c r="F232" s="1">
        <v>5.0999999999999996</v>
      </c>
      <c r="G232" s="1">
        <v>0</v>
      </c>
      <c r="H232" s="1">
        <v>0</v>
      </c>
      <c r="I232" s="1">
        <v>0</v>
      </c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>
        <v>750</v>
      </c>
      <c r="B233" s="1">
        <v>554</v>
      </c>
      <c r="C233" s="1">
        <v>1544</v>
      </c>
      <c r="D233" s="1">
        <v>-407.2</v>
      </c>
      <c r="E233" s="1">
        <v>18.7</v>
      </c>
      <c r="F233" s="1">
        <v>5.4</v>
      </c>
      <c r="G233" s="1">
        <v>0</v>
      </c>
      <c r="H233" s="1">
        <v>0</v>
      </c>
      <c r="I233" s="1">
        <v>0</v>
      </c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>
        <v>775</v>
      </c>
      <c r="B234" s="1">
        <v>544</v>
      </c>
      <c r="C234" s="1">
        <v>1487</v>
      </c>
      <c r="D234" s="1">
        <v>-446</v>
      </c>
      <c r="E234" s="1">
        <v>19.8</v>
      </c>
      <c r="F234" s="1">
        <v>5.8</v>
      </c>
      <c r="G234" s="1">
        <v>0</v>
      </c>
      <c r="H234" s="1">
        <v>0</v>
      </c>
      <c r="I234" s="1">
        <v>0</v>
      </c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>
        <v>800</v>
      </c>
      <c r="B235" s="1">
        <v>534</v>
      </c>
      <c r="C235" s="1">
        <v>1433</v>
      </c>
      <c r="D235" s="1">
        <v>-485.7</v>
      </c>
      <c r="E235" s="1">
        <v>20.9</v>
      </c>
      <c r="F235" s="1">
        <v>6.1</v>
      </c>
      <c r="G235" s="1">
        <v>0</v>
      </c>
      <c r="H235" s="1">
        <v>0</v>
      </c>
      <c r="I235" s="1">
        <v>0</v>
      </c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>
        <v>825</v>
      </c>
      <c r="B236" s="1">
        <v>524</v>
      </c>
      <c r="C236" s="1">
        <v>1380</v>
      </c>
      <c r="D236" s="1">
        <v>-527.70000000000005</v>
      </c>
      <c r="E236" s="1">
        <v>22</v>
      </c>
      <c r="F236" s="1">
        <v>6.4</v>
      </c>
      <c r="G236" s="1">
        <v>0</v>
      </c>
      <c r="H236" s="1">
        <v>0</v>
      </c>
      <c r="I236" s="1">
        <v>0</v>
      </c>
    </row>
    <row r="237" spans="1:31" x14ac:dyDescent="0.25">
      <c r="A237" s="1">
        <v>850</v>
      </c>
      <c r="B237" s="1">
        <v>514</v>
      </c>
      <c r="C237" s="1">
        <v>1329</v>
      </c>
      <c r="D237" s="1">
        <v>-573.9</v>
      </c>
      <c r="E237" s="1">
        <v>23.2</v>
      </c>
      <c r="F237" s="1">
        <v>6.7</v>
      </c>
      <c r="G237" s="1">
        <v>0</v>
      </c>
      <c r="H237" s="1">
        <v>0</v>
      </c>
      <c r="I237" s="1">
        <v>0</v>
      </c>
    </row>
    <row r="238" spans="1:31" x14ac:dyDescent="0.25">
      <c r="A238" s="1">
        <v>875</v>
      </c>
      <c r="B238" s="1">
        <v>505</v>
      </c>
      <c r="C238" s="1">
        <v>1280</v>
      </c>
      <c r="D238" s="1">
        <v>-621</v>
      </c>
      <c r="E238" s="1">
        <v>24.4</v>
      </c>
      <c r="F238" s="1">
        <v>7.1</v>
      </c>
      <c r="G238" s="1">
        <v>0</v>
      </c>
      <c r="H238" s="1">
        <v>0</v>
      </c>
      <c r="I238" s="1">
        <v>0</v>
      </c>
    </row>
    <row r="239" spans="1:31" x14ac:dyDescent="0.25">
      <c r="A239" s="38">
        <v>900</v>
      </c>
      <c r="B239" s="38">
        <v>495</v>
      </c>
      <c r="C239" s="38">
        <v>1233</v>
      </c>
      <c r="D239" s="38">
        <v>-670.8</v>
      </c>
      <c r="E239" s="38">
        <v>25.6</v>
      </c>
      <c r="F239" s="38">
        <v>7.5</v>
      </c>
      <c r="G239" s="38">
        <v>0</v>
      </c>
      <c r="H239" s="38">
        <v>0</v>
      </c>
      <c r="I239" s="38">
        <v>0</v>
      </c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5">
      <c r="A240" s="38">
        <v>925</v>
      </c>
      <c r="B240" s="38">
        <v>486</v>
      </c>
      <c r="C240" s="38">
        <v>1187</v>
      </c>
      <c r="D240" s="38">
        <v>-725.3</v>
      </c>
      <c r="E240" s="38">
        <v>26.9</v>
      </c>
      <c r="F240" s="38">
        <v>7.8</v>
      </c>
      <c r="G240" s="38">
        <v>0</v>
      </c>
      <c r="H240" s="38">
        <v>0</v>
      </c>
      <c r="I240" s="38">
        <v>0</v>
      </c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5">
      <c r="A241" s="38">
        <v>950</v>
      </c>
      <c r="B241" s="38">
        <v>477</v>
      </c>
      <c r="C241" s="38">
        <v>1142</v>
      </c>
      <c r="D241" s="38">
        <v>-780.8</v>
      </c>
      <c r="E241" s="38">
        <v>28.3</v>
      </c>
      <c r="F241" s="38">
        <v>8.1999999999999993</v>
      </c>
      <c r="G241" s="38">
        <v>0</v>
      </c>
      <c r="H241" s="38">
        <v>0</v>
      </c>
      <c r="I241" s="38">
        <v>0</v>
      </c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5">
      <c r="A242" s="38">
        <v>975</v>
      </c>
      <c r="B242" s="38">
        <v>468</v>
      </c>
      <c r="C242" s="38">
        <v>1100</v>
      </c>
      <c r="D242" s="38">
        <v>-839.4</v>
      </c>
      <c r="E242" s="38">
        <v>29.6</v>
      </c>
      <c r="F242" s="38">
        <v>8.6</v>
      </c>
      <c r="G242" s="38">
        <v>0</v>
      </c>
      <c r="H242" s="38">
        <v>0</v>
      </c>
      <c r="I242" s="38">
        <v>0</v>
      </c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38">
        <v>1000</v>
      </c>
      <c r="B243" s="38">
        <v>459</v>
      </c>
      <c r="C243" s="38">
        <v>1060</v>
      </c>
      <c r="D243" s="38">
        <v>-901.1</v>
      </c>
      <c r="E243" s="38">
        <v>31</v>
      </c>
      <c r="F243" s="38">
        <v>9</v>
      </c>
      <c r="G243" s="38">
        <v>0</v>
      </c>
      <c r="H243" s="38">
        <v>0</v>
      </c>
      <c r="I243" s="38">
        <v>0</v>
      </c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62"/>
      <c r="B244" s="62"/>
      <c r="C244" s="62"/>
      <c r="D244" s="62"/>
      <c r="E244" s="62"/>
      <c r="F244" s="62"/>
      <c r="G244" s="62"/>
      <c r="H244" s="62"/>
      <c r="I244" s="62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62"/>
      <c r="B245" s="62"/>
      <c r="C245" s="62"/>
      <c r="D245" s="62"/>
      <c r="E245" s="62"/>
      <c r="F245" s="62"/>
      <c r="G245" s="62"/>
      <c r="H245" s="62"/>
      <c r="I245" s="62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62"/>
      <c r="B246" s="62"/>
      <c r="C246" s="62"/>
      <c r="D246" s="62"/>
      <c r="E246" s="62"/>
      <c r="F246" s="62"/>
      <c r="G246" s="62"/>
      <c r="H246" s="62"/>
      <c r="I246" s="62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38"/>
      <c r="B260" s="38"/>
      <c r="C260" s="38"/>
      <c r="D260" s="38"/>
      <c r="E260" s="38"/>
      <c r="F260" s="38"/>
      <c r="G260" s="38"/>
      <c r="H260" s="38"/>
      <c r="I260" s="38"/>
    </row>
    <row r="261" spans="1:31" x14ac:dyDescent="0.25">
      <c r="A261" s="38"/>
      <c r="B261" s="38"/>
      <c r="C261" s="38"/>
      <c r="D261" s="38"/>
      <c r="E261" s="38"/>
      <c r="F261" s="38"/>
      <c r="G261" s="38"/>
      <c r="H261" s="38"/>
      <c r="I261" s="38"/>
    </row>
    <row r="262" spans="1:31" x14ac:dyDescent="0.25">
      <c r="A262" s="38"/>
      <c r="B262" s="38"/>
      <c r="C262" s="38"/>
      <c r="D262" s="38"/>
      <c r="E262" s="38"/>
      <c r="F262" s="38"/>
      <c r="G262" s="38"/>
      <c r="H262" s="38"/>
      <c r="I262" s="38"/>
    </row>
    <row r="263" spans="1:31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62"/>
      <c r="B268" s="62"/>
      <c r="C268" s="62"/>
      <c r="D268" s="62"/>
      <c r="E268" s="62"/>
      <c r="F268" s="62"/>
      <c r="G268" s="62"/>
      <c r="H268" s="62"/>
      <c r="I268" s="62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62"/>
      <c r="B269" s="62"/>
      <c r="C269" s="62"/>
      <c r="D269" s="62"/>
      <c r="E269" s="62"/>
      <c r="F269" s="62"/>
      <c r="G269" s="62"/>
      <c r="H269" s="62"/>
      <c r="I269" s="62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62"/>
      <c r="B270" s="62"/>
      <c r="C270" s="62"/>
      <c r="D270" s="62"/>
      <c r="E270" s="62"/>
      <c r="F270" s="62"/>
      <c r="G270" s="62"/>
      <c r="H270" s="62"/>
      <c r="I270" s="62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38"/>
      <c r="B284" s="38"/>
      <c r="C284" s="38"/>
      <c r="D284" s="38"/>
      <c r="E284" s="38"/>
      <c r="F284" s="38"/>
      <c r="G284" s="38"/>
      <c r="H284" s="38"/>
      <c r="I284" s="38"/>
    </row>
    <row r="285" spans="1:31" x14ac:dyDescent="0.25">
      <c r="A285" s="38"/>
      <c r="B285" s="38"/>
      <c r="C285" s="38"/>
      <c r="D285" s="38"/>
      <c r="E285" s="38"/>
      <c r="F285" s="38"/>
      <c r="G285" s="38"/>
      <c r="H285" s="38"/>
      <c r="I285" s="38"/>
    </row>
    <row r="286" spans="1:31" x14ac:dyDescent="0.25">
      <c r="A286" s="38"/>
      <c r="B286" s="38"/>
      <c r="C286" s="38"/>
      <c r="D286" s="38"/>
      <c r="E286" s="38"/>
      <c r="F286" s="38"/>
      <c r="G286" s="38"/>
      <c r="H286" s="38"/>
      <c r="I286" s="38"/>
    </row>
    <row r="287" spans="1:31" x14ac:dyDescent="0.25">
      <c r="A287" s="38"/>
      <c r="B287" s="38"/>
      <c r="C287" s="38"/>
      <c r="D287" s="38"/>
      <c r="E287" s="38"/>
      <c r="F287" s="38"/>
      <c r="G287" s="38"/>
      <c r="H287" s="38"/>
      <c r="I287" s="38"/>
    </row>
    <row r="288" spans="1:31" x14ac:dyDescent="0.25">
      <c r="A288" s="38"/>
      <c r="B288" s="38"/>
      <c r="C288" s="38"/>
      <c r="D288" s="38"/>
      <c r="E288" s="38"/>
      <c r="F288" s="38"/>
      <c r="G288" s="38"/>
      <c r="H288" s="38"/>
      <c r="I288" s="38"/>
    </row>
    <row r="289" spans="1:9" x14ac:dyDescent="0.25">
      <c r="A289" s="38"/>
      <c r="B289" s="38"/>
      <c r="C289" s="38"/>
      <c r="D289" s="38"/>
      <c r="E289" s="38"/>
      <c r="F289" s="38"/>
      <c r="G289" s="38"/>
      <c r="H289" s="38"/>
      <c r="I289" s="38"/>
    </row>
    <row r="290" spans="1:9" x14ac:dyDescent="0.25">
      <c r="A290" s="38"/>
      <c r="B290" s="38"/>
      <c r="C290" s="38"/>
      <c r="D290" s="38"/>
      <c r="E290" s="38"/>
      <c r="F290" s="38"/>
      <c r="G290" s="38"/>
      <c r="H290" s="38"/>
      <c r="I290" s="38"/>
    </row>
    <row r="291" spans="1:9" x14ac:dyDescent="0.25">
      <c r="A291" s="38"/>
      <c r="B291" s="38"/>
      <c r="C291" s="38"/>
      <c r="D291" s="38"/>
      <c r="E291" s="38"/>
      <c r="F291" s="38"/>
      <c r="G291" s="38"/>
      <c r="H291" s="38"/>
      <c r="I291" s="38"/>
    </row>
    <row r="292" spans="1:9" x14ac:dyDescent="0.25">
      <c r="A292" s="62"/>
      <c r="B292" s="62"/>
      <c r="C292" s="62"/>
      <c r="D292" s="62"/>
      <c r="E292" s="62"/>
      <c r="F292" s="62"/>
      <c r="G292" s="62"/>
      <c r="H292" s="62"/>
      <c r="I292" s="62"/>
    </row>
    <row r="293" spans="1:9" x14ac:dyDescent="0.25">
      <c r="A293" s="62"/>
      <c r="B293" s="62"/>
      <c r="C293" s="62"/>
      <c r="D293" s="62"/>
      <c r="E293" s="62"/>
      <c r="F293" s="62"/>
      <c r="G293" s="62"/>
      <c r="H293" s="62"/>
      <c r="I293" s="62"/>
    </row>
    <row r="294" spans="1:9" x14ac:dyDescent="0.25">
      <c r="A294" s="62"/>
      <c r="B294" s="62"/>
      <c r="C294" s="62"/>
      <c r="D294" s="62"/>
      <c r="E294" s="62"/>
      <c r="F294" s="62"/>
      <c r="G294" s="62"/>
      <c r="H294" s="62"/>
      <c r="I294" s="62"/>
    </row>
    <row r="295" spans="1:9" x14ac:dyDescent="0.25">
      <c r="A295" s="38"/>
      <c r="B295" s="38"/>
      <c r="C295" s="38"/>
      <c r="D295" s="38"/>
      <c r="E295" s="38"/>
      <c r="F295" s="38"/>
      <c r="G295" s="38"/>
      <c r="H295" s="38"/>
      <c r="I295" s="38"/>
    </row>
    <row r="296" spans="1:9" x14ac:dyDescent="0.25">
      <c r="A296" s="38"/>
      <c r="B296" s="38"/>
      <c r="C296" s="38"/>
      <c r="D296" s="38"/>
      <c r="E296" s="38"/>
      <c r="F296" s="38"/>
      <c r="G296" s="38"/>
      <c r="H296" s="38"/>
      <c r="I296" s="38"/>
    </row>
    <row r="297" spans="1:9" x14ac:dyDescent="0.25">
      <c r="A297" s="38"/>
      <c r="B297" s="38"/>
      <c r="C297" s="38"/>
      <c r="D297" s="38"/>
      <c r="E297" s="38"/>
      <c r="F297" s="38"/>
      <c r="G297" s="38"/>
      <c r="H297" s="38"/>
      <c r="I297" s="38"/>
    </row>
    <row r="298" spans="1:9" x14ac:dyDescent="0.25">
      <c r="A298" s="38"/>
      <c r="B298" s="38"/>
      <c r="C298" s="38"/>
      <c r="D298" s="38"/>
      <c r="E298" s="38"/>
      <c r="F298" s="38"/>
      <c r="G298" s="38"/>
      <c r="H298" s="38"/>
      <c r="I298" s="38"/>
    </row>
    <row r="299" spans="1:9" x14ac:dyDescent="0.25">
      <c r="A299" s="38"/>
      <c r="B299" s="38"/>
      <c r="C299" s="38"/>
      <c r="D299" s="38"/>
      <c r="E299" s="38"/>
      <c r="F299" s="38"/>
      <c r="G299" s="38"/>
      <c r="H299" s="38"/>
      <c r="I299" s="38"/>
    </row>
    <row r="300" spans="1:9" x14ac:dyDescent="0.25">
      <c r="A300" s="38"/>
      <c r="B300" s="38"/>
      <c r="C300" s="38"/>
      <c r="D300" s="38"/>
      <c r="E300" s="38"/>
      <c r="F300" s="38"/>
      <c r="G300" s="38"/>
      <c r="H300" s="38"/>
      <c r="I300" s="38"/>
    </row>
    <row r="301" spans="1:9" x14ac:dyDescent="0.25">
      <c r="A301" s="38"/>
      <c r="B301" s="38"/>
      <c r="C301" s="38"/>
      <c r="D301" s="38"/>
      <c r="E301" s="38"/>
      <c r="F301" s="38"/>
      <c r="G301" s="38"/>
      <c r="H301" s="38"/>
      <c r="I301" s="38"/>
    </row>
    <row r="302" spans="1:9" x14ac:dyDescent="0.25">
      <c r="A302" s="38"/>
      <c r="B302" s="38"/>
      <c r="C302" s="38"/>
      <c r="D302" s="38"/>
      <c r="E302" s="38"/>
      <c r="F302" s="38"/>
      <c r="G302" s="38"/>
      <c r="H302" s="38"/>
      <c r="I302" s="38"/>
    </row>
    <row r="303" spans="1:9" x14ac:dyDescent="0.25">
      <c r="A303" s="38"/>
      <c r="B303" s="38"/>
      <c r="C303" s="38"/>
      <c r="D303" s="38"/>
      <c r="E303" s="38"/>
      <c r="F303" s="38"/>
      <c r="G303" s="38"/>
      <c r="H303" s="38"/>
      <c r="I303" s="38"/>
    </row>
    <row r="304" spans="1:9" x14ac:dyDescent="0.25">
      <c r="A304" s="38"/>
      <c r="B304" s="38"/>
      <c r="C304" s="38"/>
      <c r="D304" s="38"/>
      <c r="E304" s="38"/>
      <c r="F304" s="38"/>
      <c r="G304" s="38"/>
      <c r="H304" s="38"/>
      <c r="I304" s="38"/>
    </row>
    <row r="305" spans="1:9" x14ac:dyDescent="0.25">
      <c r="A305" s="38"/>
      <c r="B305" s="38"/>
      <c r="C305" s="38"/>
      <c r="D305" s="38"/>
      <c r="E305" s="38"/>
      <c r="F305" s="38"/>
      <c r="G305" s="38"/>
      <c r="H305" s="38"/>
      <c r="I305" s="38"/>
    </row>
    <row r="306" spans="1:9" x14ac:dyDescent="0.25">
      <c r="A306" s="38"/>
      <c r="B306" s="38"/>
      <c r="C306" s="38"/>
      <c r="D306" s="38"/>
      <c r="E306" s="38"/>
      <c r="F306" s="38"/>
      <c r="G306" s="38"/>
      <c r="H306" s="38"/>
      <c r="I306" s="38"/>
    </row>
    <row r="307" spans="1:9" x14ac:dyDescent="0.25">
      <c r="A307" s="38"/>
      <c r="B307" s="38"/>
      <c r="C307" s="38"/>
      <c r="D307" s="38"/>
      <c r="E307" s="38"/>
      <c r="F307" s="38"/>
      <c r="G307" s="38"/>
      <c r="H307" s="38"/>
      <c r="I307" s="38"/>
    </row>
    <row r="308" spans="1:9" x14ac:dyDescent="0.25">
      <c r="A308" s="38"/>
      <c r="B308" s="38"/>
      <c r="C308" s="38"/>
      <c r="D308" s="38"/>
      <c r="E308" s="38"/>
      <c r="F308" s="38"/>
      <c r="G308" s="38"/>
      <c r="H308" s="38"/>
      <c r="I308" s="38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38"/>
      <c r="B315" s="38"/>
      <c r="C315" s="38"/>
      <c r="D315" s="38"/>
      <c r="E315" s="38"/>
      <c r="F315" s="38"/>
      <c r="G315" s="1"/>
      <c r="H315" s="1"/>
      <c r="I315" s="1"/>
    </row>
  </sheetData>
  <dataConsolidate/>
  <mergeCells count="6">
    <mergeCell ref="Q102:AB102"/>
    <mergeCell ref="D102:O102"/>
    <mergeCell ref="Q23:U23"/>
    <mergeCell ref="F1:H1"/>
    <mergeCell ref="P19:AB19"/>
    <mergeCell ref="D23:O23"/>
  </mergeCells>
  <dataValidations count="2">
    <dataValidation type="list" allowBlank="1" showInputMessage="1" showErrorMessage="1" sqref="B155 B201" xr:uid="{262933F1-ECA3-4BA1-A923-C138B050469A}">
      <formula1>$A$6:$A$7</formula1>
    </dataValidation>
    <dataValidation type="list" allowBlank="1" showInputMessage="1" showErrorMessage="1" sqref="B91:AB91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Ammunition 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2024-08-28T21:01:53Z</dcterms:modified>
</cp:coreProperties>
</file>