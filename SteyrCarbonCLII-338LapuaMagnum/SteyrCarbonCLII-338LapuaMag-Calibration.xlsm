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1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2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5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SteyrCarbonCLII-338LapuaMagnum\"/>
    </mc:Choice>
  </mc:AlternateContent>
  <xr:revisionPtr revIDLastSave="0" documentId="13_ncr:1_{B6BA321E-1EE6-42CC-9587-66F18C6E2A69}" xr6:coauthVersionLast="47" xr6:coauthVersionMax="47" xr10:uidLastSave="{00000000-0000-0000-0000-000000000000}"/>
  <bookViews>
    <workbookView xWindow="-120" yWindow="-120" windowWidth="51840" windowHeight="21120" xr2:uid="{2F0FA23F-61CC-43E6-AF0F-86720E5DCFA1}"/>
  </bookViews>
  <sheets>
    <sheet name="Federal Trophy Copper PHP" sheetId="4" r:id="rId1"/>
    <sheet name="Federal Trophy Copper PHP (2)" sheetId="12" r:id="rId2"/>
    <sheet name="Federal Trophy Copper PHP (3)" sheetId="13" r:id="rId3"/>
    <sheet name="Bullet Comparisons" sheetId="1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8" i="13" l="1" a="1"/>
  <c r="J248" i="13" s="1"/>
  <c r="J247" i="13" a="1"/>
  <c r="J247" i="13" s="1"/>
  <c r="I250" i="13" a="1"/>
  <c r="I250" i="13" s="1"/>
  <c r="I249" i="13" a="1"/>
  <c r="I249" i="13" s="1"/>
  <c r="I248" i="13" a="1"/>
  <c r="I248" i="13" s="1"/>
  <c r="I247" i="13" a="1"/>
  <c r="I247" i="13" s="1"/>
  <c r="Q22" i="13"/>
  <c r="C17" i="13"/>
  <c r="C16" i="13"/>
  <c r="B13" i="13"/>
  <c r="D13" i="13" s="1"/>
  <c r="C9" i="13"/>
  <c r="H7" i="13"/>
  <c r="C6" i="13"/>
  <c r="H3" i="13"/>
  <c r="H2" i="13"/>
  <c r="C2" i="13"/>
  <c r="I250" i="12" a="1"/>
  <c r="I250" i="12" s="1"/>
  <c r="I249" i="12" a="1"/>
  <c r="I249" i="12" s="1"/>
  <c r="I248" i="12" a="1"/>
  <c r="I248" i="12" s="1"/>
  <c r="I247" i="12" a="1"/>
  <c r="I247" i="12" s="1"/>
  <c r="C17" i="12"/>
  <c r="C16" i="12"/>
  <c r="B13" i="12"/>
  <c r="D13" i="12" s="1"/>
  <c r="C9" i="12"/>
  <c r="H7" i="12"/>
  <c r="C6" i="12"/>
  <c r="H3" i="12"/>
  <c r="H2" i="12"/>
  <c r="C2" i="12"/>
  <c r="I247" i="4" a="1"/>
  <c r="I247" i="4" s="1"/>
  <c r="H7" i="4"/>
  <c r="H3" i="4"/>
  <c r="H2" i="4"/>
  <c r="P22" i="4"/>
  <c r="O22" i="4"/>
  <c r="N22" i="4"/>
  <c r="M22" i="4"/>
  <c r="L22" i="4"/>
  <c r="K22" i="4"/>
  <c r="J22" i="4"/>
  <c r="C17" i="4"/>
  <c r="C16" i="4"/>
  <c r="B13" i="4"/>
  <c r="D13" i="4" s="1"/>
  <c r="I250" i="4" a="1"/>
  <c r="I250" i="4" s="1"/>
  <c r="I249" i="4" a="1"/>
  <c r="I249" i="4" s="1"/>
  <c r="I248" i="4" a="1"/>
  <c r="I248" i="4" s="1"/>
  <c r="J260" i="13" a="1"/>
  <c r="J259" i="13" a="1"/>
  <c r="J274" i="13" a="1"/>
  <c r="J273" i="13" a="1"/>
  <c r="J270" i="13" a="1"/>
  <c r="J269" i="13" a="1"/>
  <c r="J267" i="13" a="1"/>
  <c r="J265" i="13" a="1"/>
  <c r="J262" i="13" a="1"/>
  <c r="J277" i="13" a="1"/>
  <c r="J261" i="13" a="1"/>
  <c r="J275" i="13" a="1"/>
  <c r="J258" i="13" a="1"/>
  <c r="J272" i="13" a="1"/>
  <c r="J271" i="13" a="1"/>
  <c r="J268" i="13" a="1"/>
  <c r="J266" i="13" a="1"/>
  <c r="J264" i="13" a="1"/>
  <c r="J276" i="13" a="1"/>
  <c r="J263" i="13" a="1"/>
  <c r="J257" i="13" a="1"/>
  <c r="N32" i="13" a="1"/>
  <c r="K34" i="13" a="1"/>
  <c r="P35" i="13" a="1"/>
  <c r="Q33" i="13" a="1"/>
  <c r="N35" i="13" a="1"/>
  <c r="M35" i="13" a="1"/>
  <c r="L35" i="13" a="1"/>
  <c r="P31" i="13" a="1"/>
  <c r="K35" i="13" a="1"/>
  <c r="R34" i="13" a="1"/>
  <c r="Q34" i="13" a="1"/>
  <c r="P34" i="13" a="1"/>
  <c r="L34" i="13" a="1"/>
  <c r="R35" i="13" a="1"/>
  <c r="M32" i="13" a="1"/>
  <c r="Q35" i="13" a="1"/>
  <c r="L32" i="13" a="1"/>
  <c r="R33" i="13" a="1"/>
  <c r="K32" i="13" a="1"/>
  <c r="O35" i="13" a="1"/>
  <c r="P33" i="13" a="1"/>
  <c r="R31" i="13" a="1"/>
  <c r="Q31" i="13" a="1"/>
  <c r="N33" i="13" a="1"/>
  <c r="M33" i="13" a="1"/>
  <c r="O31" i="13" a="1"/>
  <c r="L33" i="13" a="1"/>
  <c r="K33" i="13" a="1"/>
  <c r="R32" i="13" a="1"/>
  <c r="O34" i="13" a="1"/>
  <c r="P32" i="13" a="1"/>
  <c r="O32" i="13" a="1"/>
  <c r="O33" i="13" a="1"/>
  <c r="N31" i="13" a="1"/>
  <c r="M31" i="13" a="1"/>
  <c r="L31" i="13" a="1"/>
  <c r="K31" i="13" a="1"/>
  <c r="Q32" i="13" a="1"/>
  <c r="N34" i="13" a="1"/>
  <c r="M34" i="13" a="1"/>
  <c r="R30" i="13" a="1"/>
  <c r="R29" i="13" a="1"/>
  <c r="R26" i="13" a="1"/>
  <c r="R24" i="13" a="1"/>
  <c r="R27" i="13" a="1"/>
  <c r="R25" i="13" a="1"/>
  <c r="R28" i="13" a="1"/>
  <c r="R23" i="13" a="1"/>
  <c r="Q29" i="13" a="1"/>
  <c r="Q25" i="13" a="1"/>
  <c r="Q23" i="13" a="1"/>
  <c r="P27" i="13" a="1"/>
  <c r="P23" i="13" a="1"/>
  <c r="I277" i="13" a="1"/>
  <c r="I275" i="13" a="1"/>
  <c r="I273" i="13" a="1"/>
  <c r="I271" i="13" a="1"/>
  <c r="I269" i="13" a="1"/>
  <c r="I267" i="13" a="1"/>
  <c r="I265" i="13" a="1"/>
  <c r="I263" i="13" a="1"/>
  <c r="I261" i="13" a="1"/>
  <c r="I259" i="13" a="1"/>
  <c r="I257" i="13" a="1"/>
  <c r="Q27" i="13" a="1"/>
  <c r="P29" i="13" a="1"/>
  <c r="P25" i="13" a="1"/>
  <c r="I264" i="13" a="1"/>
  <c r="K30" i="13" a="1"/>
  <c r="M27" i="13" a="1"/>
  <c r="I274" i="13" a="1"/>
  <c r="O29" i="13" a="1"/>
  <c r="L27" i="13" a="1"/>
  <c r="Q24" i="13" a="1"/>
  <c r="O24" i="13" a="1"/>
  <c r="L29" i="13" a="1"/>
  <c r="Q26" i="13" a="1"/>
  <c r="N24" i="13" a="1"/>
  <c r="K29" i="13" a="1"/>
  <c r="P26" i="13" a="1"/>
  <c r="M24" i="13" a="1"/>
  <c r="B12" i="13" a="1"/>
  <c r="O26" i="13" a="1"/>
  <c r="L24" i="13" a="1"/>
  <c r="I268" i="13" a="1"/>
  <c r="C19" i="13" a="1"/>
  <c r="N29" i="13" a="1"/>
  <c r="K27" i="13" a="1"/>
  <c r="P24" i="13" a="1"/>
  <c r="I266" i="13" a="1"/>
  <c r="M29" i="13" a="1"/>
  <c r="I276" i="13" a="1"/>
  <c r="I258" i="13" a="1"/>
  <c r="O27" i="13" a="1"/>
  <c r="I260" i="13" a="1"/>
  <c r="N27" i="13" a="1"/>
  <c r="I270" i="13" a="1"/>
  <c r="M26" i="13" a="1"/>
  <c r="O30" i="13" a="1"/>
  <c r="O25" i="13" a="1"/>
  <c r="O28" i="13" a="1"/>
  <c r="O23" i="13" a="1"/>
  <c r="M23" i="13" a="1"/>
  <c r="N26" i="13" a="1"/>
  <c r="Q30" i="13" a="1"/>
  <c r="L26" i="13" a="1"/>
  <c r="P30" i="13" a="1"/>
  <c r="K26" i="13" a="1"/>
  <c r="C7" i="13" a="1"/>
  <c r="N30" i="13" a="1"/>
  <c r="N25" i="13" a="1"/>
  <c r="B7" i="13" a="1"/>
  <c r="M25" i="13" a="1"/>
  <c r="H6" i="13" a="1"/>
  <c r="L30" i="13" a="1"/>
  <c r="L25" i="13" a="1"/>
  <c r="Q28" i="13" a="1"/>
  <c r="G6" i="13" a="1"/>
  <c r="K25" i="13" a="1"/>
  <c r="N23" i="13" a="1"/>
  <c r="I272" i="13" a="1"/>
  <c r="K28" i="13" a="1"/>
  <c r="M30" i="13" a="1"/>
  <c r="P28" i="13" a="1"/>
  <c r="K24" i="13" a="1"/>
  <c r="N28" i="13" a="1"/>
  <c r="I262" i="13" a="1"/>
  <c r="M28" i="13" a="1"/>
  <c r="L28" i="13" a="1"/>
  <c r="L23" i="13" a="1"/>
  <c r="K23" i="13" a="1"/>
  <c r="N32" i="12" a="1"/>
  <c r="P32" i="12" a="1"/>
  <c r="L32" i="12" a="1"/>
  <c r="K32" i="12" a="1"/>
  <c r="O32" i="12" a="1"/>
  <c r="M32" i="12" a="1"/>
  <c r="J32" i="12" a="1"/>
  <c r="G6" i="12" a="1"/>
  <c r="I277" i="12" a="1"/>
  <c r="I275" i="12" a="1"/>
  <c r="I273" i="12" a="1"/>
  <c r="I271" i="12" a="1"/>
  <c r="I269" i="12" a="1"/>
  <c r="I267" i="12" a="1"/>
  <c r="I265" i="12" a="1"/>
  <c r="I263" i="12" a="1"/>
  <c r="I261" i="12" a="1"/>
  <c r="I259" i="12" a="1"/>
  <c r="I257" i="12" a="1"/>
  <c r="P30" i="12" a="1"/>
  <c r="P28" i="12" a="1"/>
  <c r="P26" i="12" a="1"/>
  <c r="P24" i="12" a="1"/>
  <c r="O30" i="12" a="1"/>
  <c r="O28" i="12" a="1"/>
  <c r="O26" i="12" a="1"/>
  <c r="O24" i="12" a="1"/>
  <c r="I264" i="12" a="1"/>
  <c r="J30" i="12" a="1"/>
  <c r="O27" i="12" a="1"/>
  <c r="L25" i="12" a="1"/>
  <c r="C19" i="12" a="1"/>
  <c r="P29" i="12" a="1"/>
  <c r="M27" i="12" a="1"/>
  <c r="J25" i="12" a="1"/>
  <c r="L27" i="12" a="1"/>
  <c r="K27" i="12" a="1"/>
  <c r="L24" i="12" a="1"/>
  <c r="N26" i="12" a="1"/>
  <c r="O31" i="12" a="1"/>
  <c r="N29" i="12" a="1"/>
  <c r="I276" i="12" a="1"/>
  <c r="I258" i="12" a="1"/>
  <c r="J27" i="12" a="1"/>
  <c r="L29" i="12" a="1"/>
  <c r="I268" i="12" a="1"/>
  <c r="I274" i="12" a="1"/>
  <c r="N27" i="12" a="1"/>
  <c r="K25" i="12" a="1"/>
  <c r="I266" i="12" a="1"/>
  <c r="O29" i="12" a="1"/>
  <c r="N24" i="12" a="1"/>
  <c r="M24" i="12" a="1"/>
  <c r="M29" i="12" a="1"/>
  <c r="P31" i="12" a="1"/>
  <c r="K24" i="12" a="1"/>
  <c r="I270" i="12" a="1"/>
  <c r="M28" i="12" a="1"/>
  <c r="J26" i="12" a="1"/>
  <c r="O23" i="12" a="1"/>
  <c r="K31" i="12" a="1"/>
  <c r="B7" i="12" a="1"/>
  <c r="L28" i="12" a="1"/>
  <c r="N23" i="12" a="1"/>
  <c r="J31" i="12" a="1"/>
  <c r="H6" i="12" a="1"/>
  <c r="I262" i="12" a="1"/>
  <c r="N30" i="12" a="1"/>
  <c r="K28" i="12" a="1"/>
  <c r="P25" i="12" a="1"/>
  <c r="M23" i="12" a="1"/>
  <c r="L31" i="12" a="1"/>
  <c r="P23" i="12" a="1"/>
  <c r="M30" i="12" a="1"/>
  <c r="K30" i="12" a="1"/>
  <c r="J29" i="12" a="1"/>
  <c r="J28" i="12" a="1"/>
  <c r="L26" i="12" a="1"/>
  <c r="L30" i="12" a="1"/>
  <c r="L23" i="12" a="1"/>
  <c r="I260" i="12" a="1"/>
  <c r="K23" i="12" a="1"/>
  <c r="K29" i="12" a="1"/>
  <c r="J23" i="12" a="1"/>
  <c r="N28" i="12" a="1"/>
  <c r="B12" i="12" a="1"/>
  <c r="P27" i="12" a="1"/>
  <c r="M26" i="12" a="1"/>
  <c r="C7" i="12" a="1"/>
  <c r="I272" i="12" a="1"/>
  <c r="K26" i="12" a="1"/>
  <c r="O25" i="12" a="1"/>
  <c r="N25" i="12" a="1"/>
  <c r="M31" i="12" a="1"/>
  <c r="M25" i="12" a="1"/>
  <c r="N31" i="12" a="1"/>
  <c r="J24" i="12" a="1"/>
  <c r="C19" i="4" a="1"/>
  <c r="N35" i="4" a="1"/>
  <c r="N23" i="4" a="1"/>
  <c r="N24" i="4" a="1"/>
  <c r="I277" i="4" a="1"/>
  <c r="O35" i="4" a="1"/>
  <c r="K28" i="4" a="1"/>
  <c r="K23" i="4" a="1"/>
  <c r="N34" i="4" a="1"/>
  <c r="I265" i="4" a="1"/>
  <c r="O30" i="4" a="1"/>
  <c r="J33" i="4" a="1"/>
  <c r="M26" i="4" a="1"/>
  <c r="K25" i="4" a="1"/>
  <c r="I275" i="4" a="1"/>
  <c r="I267" i="4" a="1"/>
  <c r="P34" i="4" a="1"/>
  <c r="K24" i="4" a="1"/>
  <c r="K34" i="4" a="1"/>
  <c r="L27" i="4" a="1"/>
  <c r="I272" i="4" a="1"/>
  <c r="P25" i="4" a="1"/>
  <c r="P27" i="4" a="1"/>
  <c r="P29" i="4" a="1"/>
  <c r="M29" i="4" a="1"/>
  <c r="L29" i="4" a="1"/>
  <c r="J34" i="4" a="1"/>
  <c r="N28" i="4" a="1"/>
  <c r="M25" i="4" a="1"/>
  <c r="L33" i="4" a="1"/>
  <c r="M35" i="4" a="1"/>
  <c r="I258" i="4" a="1"/>
  <c r="I269" i="4" a="1"/>
  <c r="I271" i="4" a="1"/>
  <c r="P30" i="4" a="1"/>
  <c r="N32" i="4" a="1"/>
  <c r="K27" i="4" a="1"/>
  <c r="P35" i="4" a="1"/>
  <c r="J32" i="4" a="1"/>
  <c r="N33" i="4" a="1"/>
  <c r="I260" i="4" a="1"/>
  <c r="O24" i="4" a="1"/>
  <c r="B12" i="4" a="1"/>
  <c r="P24" i="4" a="1"/>
  <c r="J30" i="4" a="1"/>
  <c r="O32" i="4" a="1"/>
  <c r="N25" i="4" a="1"/>
  <c r="K29" i="4" a="1"/>
  <c r="L35" i="4" a="1"/>
  <c r="I273" i="4" a="1"/>
  <c r="M33" i="4" a="1"/>
  <c r="M24" i="4" a="1"/>
  <c r="I263" i="4" a="1"/>
  <c r="P31" i="4" a="1"/>
  <c r="I266" i="4" a="1"/>
  <c r="M31" i="4" a="1"/>
  <c r="I274" i="4" a="1"/>
  <c r="H6" i="4" a="1"/>
  <c r="J24" i="4" a="1"/>
  <c r="G6" i="4" a="1"/>
  <c r="L25" i="4" a="1"/>
  <c r="O33" i="4" a="1"/>
  <c r="N31" i="4" a="1"/>
  <c r="J29" i="4" a="1"/>
  <c r="M27" i="4" a="1"/>
  <c r="I257" i="4" a="1"/>
  <c r="K26" i="4" a="1"/>
  <c r="M34" i="4" a="1"/>
  <c r="O23" i="4" a="1"/>
  <c r="J27" i="4" a="1"/>
  <c r="L34" i="4" a="1"/>
  <c r="I268" i="4" a="1"/>
  <c r="I270" i="4" a="1"/>
  <c r="P33" i="4" a="1"/>
  <c r="L31" i="4" a="1"/>
  <c r="K32" i="4" a="1"/>
  <c r="P23" i="4" a="1"/>
  <c r="I264" i="4" a="1"/>
  <c r="O27" i="4" a="1"/>
  <c r="M30" i="4" a="1"/>
  <c r="O25" i="4" a="1"/>
  <c r="J23" i="4" a="1"/>
  <c r="I276" i="4" a="1"/>
  <c r="N29" i="4" a="1"/>
  <c r="L28" i="4" a="1"/>
  <c r="O34" i="4" a="1"/>
  <c r="N26" i="4" a="1"/>
  <c r="P32" i="4" a="1"/>
  <c r="O28" i="4" a="1"/>
  <c r="K35" i="4" a="1"/>
  <c r="I262" i="4" a="1"/>
  <c r="K30" i="4" a="1"/>
  <c r="O31" i="4" a="1"/>
  <c r="J35" i="4" a="1"/>
  <c r="K31" i="4" a="1"/>
  <c r="P28" i="4" a="1"/>
  <c r="L23" i="4" a="1"/>
  <c r="L30" i="4" a="1"/>
  <c r="O26" i="4" a="1"/>
  <c r="L32" i="4" a="1"/>
  <c r="J26" i="4" a="1"/>
  <c r="L26" i="4" a="1"/>
  <c r="M28" i="4" a="1"/>
  <c r="I261" i="4" a="1"/>
  <c r="N27" i="4" a="1"/>
  <c r="K33" i="4" a="1"/>
  <c r="J28" i="4" a="1"/>
  <c r="L24" i="4" a="1"/>
  <c r="J25" i="4" a="1"/>
  <c r="M23" i="4" a="1"/>
  <c r="P26" i="4" a="1"/>
  <c r="I259" i="4" a="1"/>
  <c r="O29" i="4" a="1"/>
  <c r="J31" i="4" a="1"/>
  <c r="M32" i="4" a="1"/>
  <c r="N30" i="4" a="1"/>
  <c r="J263" i="13" l="1"/>
  <c r="J276" i="13"/>
  <c r="J264" i="13"/>
  <c r="J266" i="13"/>
  <c r="J268" i="13"/>
  <c r="J271" i="13"/>
  <c r="J272" i="13"/>
  <c r="J258" i="13"/>
  <c r="J275" i="13"/>
  <c r="J261" i="13"/>
  <c r="J277" i="13"/>
  <c r="J262" i="13"/>
  <c r="J265" i="13"/>
  <c r="J267" i="13"/>
  <c r="J269" i="13"/>
  <c r="J270" i="13"/>
  <c r="J273" i="13"/>
  <c r="J274" i="13"/>
  <c r="J259" i="13"/>
  <c r="J260" i="13"/>
  <c r="J257" i="13"/>
  <c r="M34" i="13"/>
  <c r="N34" i="13"/>
  <c r="Q32" i="13"/>
  <c r="K31" i="13"/>
  <c r="L31" i="13"/>
  <c r="M31" i="13"/>
  <c r="N31" i="13"/>
  <c r="O33" i="13"/>
  <c r="O32" i="13"/>
  <c r="P32" i="13"/>
  <c r="O34" i="13"/>
  <c r="R32" i="13"/>
  <c r="K33" i="13"/>
  <c r="L33" i="13"/>
  <c r="O31" i="13"/>
  <c r="M33" i="13"/>
  <c r="N33" i="13"/>
  <c r="Q31" i="13"/>
  <c r="R31" i="13"/>
  <c r="P33" i="13"/>
  <c r="O35" i="13"/>
  <c r="K32" i="13"/>
  <c r="R33" i="13"/>
  <c r="L32" i="13"/>
  <c r="Q35" i="13"/>
  <c r="M32" i="13"/>
  <c r="R35" i="13"/>
  <c r="L34" i="13"/>
  <c r="P34" i="13"/>
  <c r="Q34" i="13"/>
  <c r="R34" i="13"/>
  <c r="K35" i="13"/>
  <c r="P31" i="13"/>
  <c r="L35" i="13"/>
  <c r="M35" i="13"/>
  <c r="N35" i="13"/>
  <c r="Q33" i="13"/>
  <c r="P35" i="13"/>
  <c r="K34" i="13"/>
  <c r="N32" i="13"/>
  <c r="R28" i="13"/>
  <c r="R25" i="13"/>
  <c r="R27" i="13"/>
  <c r="R24" i="13"/>
  <c r="R26" i="13"/>
  <c r="R29" i="13"/>
  <c r="R30" i="13"/>
  <c r="R23" i="13"/>
  <c r="P22" i="13"/>
  <c r="L22" i="13"/>
  <c r="K22" i="13"/>
  <c r="M22" i="13"/>
  <c r="N22" i="13"/>
  <c r="O22" i="13"/>
  <c r="K23" i="13"/>
  <c r="L23" i="13"/>
  <c r="L28" i="13"/>
  <c r="M28" i="13"/>
  <c r="I262" i="13"/>
  <c r="N28" i="13"/>
  <c r="K24" i="13"/>
  <c r="P28" i="13"/>
  <c r="M30" i="13"/>
  <c r="K28" i="13"/>
  <c r="I272" i="13"/>
  <c r="N23" i="13"/>
  <c r="K25" i="13"/>
  <c r="G6" i="13"/>
  <c r="Q28" i="13"/>
  <c r="L25" i="13"/>
  <c r="L30" i="13"/>
  <c r="H6" i="13"/>
  <c r="M25" i="13"/>
  <c r="B7" i="13"/>
  <c r="N25" i="13"/>
  <c r="N30" i="13"/>
  <c r="C7" i="13"/>
  <c r="K26" i="13"/>
  <c r="P30" i="13"/>
  <c r="L26" i="13"/>
  <c r="Q30" i="13"/>
  <c r="N26" i="13"/>
  <c r="M23" i="13"/>
  <c r="O23" i="13"/>
  <c r="O28" i="13"/>
  <c r="O25" i="13"/>
  <c r="O30" i="13"/>
  <c r="M26" i="13"/>
  <c r="I270" i="13"/>
  <c r="N27" i="13"/>
  <c r="I260" i="13"/>
  <c r="O27" i="13"/>
  <c r="I258" i="13"/>
  <c r="I276" i="13"/>
  <c r="M29" i="13"/>
  <c r="I266" i="13"/>
  <c r="P24" i="13"/>
  <c r="K27" i="13"/>
  <c r="N29" i="13"/>
  <c r="C19" i="13"/>
  <c r="I268" i="13"/>
  <c r="L24" i="13"/>
  <c r="O26" i="13"/>
  <c r="B12" i="13"/>
  <c r="M24" i="13"/>
  <c r="P26" i="13"/>
  <c r="K29" i="13"/>
  <c r="N24" i="13"/>
  <c r="Q26" i="13"/>
  <c r="L29" i="13"/>
  <c r="O24" i="13"/>
  <c r="Q24" i="13"/>
  <c r="L27" i="13"/>
  <c r="O29" i="13"/>
  <c r="I274" i="13"/>
  <c r="M27" i="13"/>
  <c r="K30" i="13"/>
  <c r="I264" i="13"/>
  <c r="P25" i="13"/>
  <c r="P29" i="13"/>
  <c r="Q27" i="13"/>
  <c r="I257" i="13"/>
  <c r="I259" i="13"/>
  <c r="I261" i="13"/>
  <c r="I263" i="13"/>
  <c r="I265" i="13"/>
  <c r="I267" i="13"/>
  <c r="I269" i="13"/>
  <c r="I271" i="13"/>
  <c r="I273" i="13"/>
  <c r="I275" i="13"/>
  <c r="I277" i="13"/>
  <c r="P23" i="13"/>
  <c r="P27" i="13"/>
  <c r="Q23" i="13"/>
  <c r="Q25" i="13"/>
  <c r="Q29" i="13"/>
  <c r="J32" i="12"/>
  <c r="M32" i="12"/>
  <c r="O32" i="12"/>
  <c r="K32" i="12"/>
  <c r="L32" i="12"/>
  <c r="P32" i="12"/>
  <c r="N32" i="12"/>
  <c r="J24" i="12"/>
  <c r="N31" i="12"/>
  <c r="M25" i="12"/>
  <c r="M31" i="12"/>
  <c r="N25" i="12"/>
  <c r="O25" i="12"/>
  <c r="K26" i="12"/>
  <c r="I272" i="12"/>
  <c r="C7" i="12"/>
  <c r="M26" i="12"/>
  <c r="P27" i="12"/>
  <c r="B12" i="12"/>
  <c r="N28" i="12"/>
  <c r="J23" i="12"/>
  <c r="K29" i="12"/>
  <c r="K23" i="12"/>
  <c r="I260" i="12"/>
  <c r="L23" i="12"/>
  <c r="L30" i="12"/>
  <c r="L26" i="12"/>
  <c r="J28" i="12"/>
  <c r="J29" i="12"/>
  <c r="K30" i="12"/>
  <c r="M30" i="12"/>
  <c r="P23" i="12"/>
  <c r="L31" i="12"/>
  <c r="M23" i="12"/>
  <c r="P25" i="12"/>
  <c r="K28" i="12"/>
  <c r="N30" i="12"/>
  <c r="I262" i="12"/>
  <c r="H6" i="12"/>
  <c r="J31" i="12"/>
  <c r="N23" i="12"/>
  <c r="L28" i="12"/>
  <c r="B7" i="12"/>
  <c r="K31" i="12"/>
  <c r="O23" i="12"/>
  <c r="J26" i="12"/>
  <c r="M28" i="12"/>
  <c r="I270" i="12"/>
  <c r="K24" i="12"/>
  <c r="P31" i="12"/>
  <c r="M29" i="12"/>
  <c r="M24" i="12"/>
  <c r="N24" i="12"/>
  <c r="O29" i="12"/>
  <c r="I266" i="12"/>
  <c r="K25" i="12"/>
  <c r="N27" i="12"/>
  <c r="I274" i="12"/>
  <c r="I268" i="12"/>
  <c r="L29" i="12"/>
  <c r="J27" i="12"/>
  <c r="I258" i="12"/>
  <c r="I276" i="12"/>
  <c r="N29" i="12"/>
  <c r="O31" i="12"/>
  <c r="N26" i="12"/>
  <c r="L24" i="12"/>
  <c r="K27" i="12"/>
  <c r="L27" i="12"/>
  <c r="J25" i="12"/>
  <c r="M27" i="12"/>
  <c r="P29" i="12"/>
  <c r="C19" i="12"/>
  <c r="L25" i="12"/>
  <c r="O27" i="12"/>
  <c r="J30" i="12"/>
  <c r="I264" i="12"/>
  <c r="O24" i="12"/>
  <c r="O26" i="12"/>
  <c r="O28" i="12"/>
  <c r="O30" i="12"/>
  <c r="P24" i="12"/>
  <c r="P26" i="12"/>
  <c r="P28" i="12"/>
  <c r="P30" i="12"/>
  <c r="I257" i="12"/>
  <c r="I259" i="12"/>
  <c r="I261" i="12"/>
  <c r="I263" i="12"/>
  <c r="I265" i="12"/>
  <c r="I267" i="12"/>
  <c r="I269" i="12"/>
  <c r="I271" i="12"/>
  <c r="I273" i="12"/>
  <c r="I275" i="12"/>
  <c r="I277" i="12"/>
  <c r="G6" i="12"/>
  <c r="P22" i="12"/>
  <c r="O22" i="12"/>
  <c r="N22" i="12"/>
  <c r="M22" i="12"/>
  <c r="L22" i="12"/>
  <c r="K22" i="12"/>
  <c r="J22" i="12"/>
  <c r="C19" i="4"/>
  <c r="H6" i="4"/>
  <c r="G6" i="4"/>
  <c r="L24" i="4"/>
  <c r="M32" i="4"/>
  <c r="N24" i="4"/>
  <c r="O32" i="4"/>
  <c r="P24" i="4"/>
  <c r="J29" i="4"/>
  <c r="K33" i="4"/>
  <c r="L25" i="4"/>
  <c r="M33" i="4"/>
  <c r="N29" i="4"/>
  <c r="O33" i="4"/>
  <c r="P25" i="4"/>
  <c r="J26" i="4"/>
  <c r="K34" i="4"/>
  <c r="L26" i="4"/>
  <c r="M34" i="4"/>
  <c r="J27" i="4"/>
  <c r="J35" i="4"/>
  <c r="K23" i="4"/>
  <c r="K27" i="4"/>
  <c r="K31" i="4"/>
  <c r="K35" i="4"/>
  <c r="L23" i="4"/>
  <c r="L27" i="4"/>
  <c r="L31" i="4"/>
  <c r="L35" i="4"/>
  <c r="M23" i="4"/>
  <c r="M27" i="4"/>
  <c r="M31" i="4"/>
  <c r="M35" i="4"/>
  <c r="N23" i="4"/>
  <c r="N27" i="4"/>
  <c r="N31" i="4"/>
  <c r="N35" i="4"/>
  <c r="O23" i="4"/>
  <c r="O27" i="4"/>
  <c r="O31" i="4"/>
  <c r="O35" i="4"/>
  <c r="P23" i="4"/>
  <c r="P27" i="4"/>
  <c r="P31" i="4"/>
  <c r="P35" i="4"/>
  <c r="L28" i="4"/>
  <c r="M24" i="4"/>
  <c r="N28" i="4"/>
  <c r="O28" i="4"/>
  <c r="P28" i="4"/>
  <c r="J25" i="4"/>
  <c r="K29" i="4"/>
  <c r="L29" i="4"/>
  <c r="M29" i="4"/>
  <c r="N25" i="4"/>
  <c r="O25" i="4"/>
  <c r="P33" i="4"/>
  <c r="J30" i="4"/>
  <c r="K26" i="4"/>
  <c r="L34" i="4"/>
  <c r="M30" i="4"/>
  <c r="N34" i="4"/>
  <c r="O26" i="4"/>
  <c r="O30" i="4"/>
  <c r="P26" i="4"/>
  <c r="P34" i="4"/>
  <c r="J24" i="4"/>
  <c r="J28" i="4"/>
  <c r="J32" i="4"/>
  <c r="L32" i="4"/>
  <c r="M28" i="4"/>
  <c r="N32" i="4"/>
  <c r="O24" i="4"/>
  <c r="P32" i="4"/>
  <c r="J33" i="4"/>
  <c r="K25" i="4"/>
  <c r="L33" i="4"/>
  <c r="M25" i="4"/>
  <c r="N33" i="4"/>
  <c r="O29" i="4"/>
  <c r="P29" i="4"/>
  <c r="J34" i="4"/>
  <c r="K30" i="4"/>
  <c r="L30" i="4"/>
  <c r="M26" i="4"/>
  <c r="N26" i="4"/>
  <c r="N30" i="4"/>
  <c r="O34" i="4"/>
  <c r="P30" i="4"/>
  <c r="J31" i="4"/>
  <c r="K24" i="4"/>
  <c r="K28" i="4"/>
  <c r="K32" i="4"/>
  <c r="J23" i="4"/>
  <c r="B12" i="4"/>
  <c r="C12" i="4" s="1"/>
  <c r="I262" i="4"/>
  <c r="I275" i="4"/>
  <c r="I259" i="4"/>
  <c r="I272" i="4"/>
  <c r="I276" i="4"/>
  <c r="I260" i="4"/>
  <c r="I273" i="4"/>
  <c r="I266" i="4"/>
  <c r="I270" i="4"/>
  <c r="I265" i="4"/>
  <c r="I267" i="4"/>
  <c r="I257" i="4"/>
  <c r="I264" i="4"/>
  <c r="I261" i="4"/>
  <c r="I277" i="4"/>
  <c r="I258" i="4"/>
  <c r="I268" i="4"/>
  <c r="I269" i="4"/>
  <c r="I263" i="4"/>
  <c r="I271" i="4"/>
  <c r="I274" i="4"/>
  <c r="C9" i="4"/>
  <c r="C6" i="4"/>
  <c r="C2" i="4"/>
  <c r="C7" i="4" a="1"/>
  <c r="B7" i="4" a="1"/>
  <c r="B247" i="13" l="1" a="1"/>
  <c r="B247" i="13" s="1"/>
  <c r="B250" i="13" a="1"/>
  <c r="B250" i="13" s="1"/>
  <c r="B249" i="13" a="1"/>
  <c r="B249" i="13" s="1"/>
  <c r="B248" i="13" a="1"/>
  <c r="B248" i="13" s="1"/>
  <c r="F249" i="13" a="1"/>
  <c r="F249" i="13" s="1"/>
  <c r="F247" i="13" a="1"/>
  <c r="F247" i="13" s="1"/>
  <c r="F248" i="13" a="1"/>
  <c r="F248" i="13" s="1"/>
  <c r="F250" i="13" a="1"/>
  <c r="F250" i="13" s="1"/>
  <c r="E248" i="13" a="1"/>
  <c r="E248" i="13" s="1"/>
  <c r="E250" i="13" a="1"/>
  <c r="E250" i="13" s="1"/>
  <c r="E249" i="13" a="1"/>
  <c r="E249" i="13" s="1"/>
  <c r="E247" i="13" a="1"/>
  <c r="E247" i="13" s="1"/>
  <c r="G247" i="13" a="1"/>
  <c r="G247" i="13" s="1"/>
  <c r="G248" i="13" a="1"/>
  <c r="G248" i="13" s="1"/>
  <c r="G250" i="13" a="1"/>
  <c r="G250" i="13" s="1"/>
  <c r="G249" i="13" a="1"/>
  <c r="G249" i="13" s="1"/>
  <c r="D248" i="13" a="1"/>
  <c r="D248" i="13" s="1"/>
  <c r="D250" i="13" a="1"/>
  <c r="D250" i="13" s="1"/>
  <c r="D249" i="13" a="1"/>
  <c r="D249" i="13" s="1"/>
  <c r="D247" i="13" a="1"/>
  <c r="D247" i="13" s="1"/>
  <c r="H248" i="13" a="1"/>
  <c r="H248" i="13" s="1"/>
  <c r="H249" i="13" a="1"/>
  <c r="H249" i="13" s="1"/>
  <c r="H250" i="13" a="1"/>
  <c r="H250" i="13" s="1"/>
  <c r="H247" i="13" a="1"/>
  <c r="H247" i="13" s="1"/>
  <c r="C249" i="13" a="1"/>
  <c r="C249" i="13" s="1"/>
  <c r="C247" i="13" a="1"/>
  <c r="C247" i="13" s="1"/>
  <c r="C250" i="13" a="1"/>
  <c r="C250" i="13" s="1"/>
  <c r="C248" i="13" a="1"/>
  <c r="C248" i="13" s="1"/>
  <c r="F249" i="12" a="1"/>
  <c r="F249" i="12" s="1"/>
  <c r="F250" i="12" a="1"/>
  <c r="F250" i="12" s="1"/>
  <c r="F248" i="12" a="1"/>
  <c r="F248" i="12" s="1"/>
  <c r="F247" i="12" a="1"/>
  <c r="F247" i="12" s="1"/>
  <c r="E249" i="12" a="1"/>
  <c r="E249" i="12" s="1"/>
  <c r="E250" i="12" a="1"/>
  <c r="E250" i="12" s="1"/>
  <c r="E247" i="12" a="1"/>
  <c r="E247" i="12" s="1"/>
  <c r="E248" i="12" a="1"/>
  <c r="E248" i="12" s="1"/>
  <c r="H248" i="12" a="1"/>
  <c r="H248" i="12" s="1"/>
  <c r="H249" i="12" a="1"/>
  <c r="H249" i="12" s="1"/>
  <c r="H247" i="12" a="1"/>
  <c r="H247" i="12" s="1"/>
  <c r="H250" i="12" a="1"/>
  <c r="H250" i="12" s="1"/>
  <c r="D249" i="12" a="1"/>
  <c r="D249" i="12" s="1"/>
  <c r="D250" i="12" a="1"/>
  <c r="D250" i="12" s="1"/>
  <c r="D248" i="12" a="1"/>
  <c r="D248" i="12" s="1"/>
  <c r="D247" i="12" a="1"/>
  <c r="D247" i="12" s="1"/>
  <c r="G249" i="12" a="1"/>
  <c r="G249" i="12" s="1"/>
  <c r="G250" i="12" a="1"/>
  <c r="G250" i="12" s="1"/>
  <c r="G248" i="12" a="1"/>
  <c r="G248" i="12" s="1"/>
  <c r="G247" i="12" a="1"/>
  <c r="G247" i="12" s="1"/>
  <c r="C12" i="13"/>
  <c r="B18" i="13"/>
  <c r="C249" i="12" a="1"/>
  <c r="C249" i="12" s="1"/>
  <c r="C250" i="12" a="1"/>
  <c r="C250" i="12" s="1"/>
  <c r="C248" i="12" a="1"/>
  <c r="C248" i="12" s="1"/>
  <c r="C247" i="12" a="1"/>
  <c r="C247" i="12" s="1"/>
  <c r="B249" i="12" a="1"/>
  <c r="B249" i="12" s="1"/>
  <c r="B248" i="12" a="1"/>
  <c r="B248" i="12" s="1"/>
  <c r="B247" i="12" a="1"/>
  <c r="B247" i="12" s="1"/>
  <c r="B250" i="12" a="1"/>
  <c r="B250" i="12" s="1"/>
  <c r="B18" i="12"/>
  <c r="C12" i="12"/>
  <c r="B18" i="4"/>
  <c r="D17" i="4" s="1"/>
  <c r="E17" i="4" s="1"/>
  <c r="C7" i="4"/>
  <c r="B7" i="4"/>
  <c r="B249" i="4" a="1"/>
  <c r="B249" i="4" s="1"/>
  <c r="B247" i="4" a="1"/>
  <c r="B247" i="4" s="1"/>
  <c r="B248" i="4" a="1"/>
  <c r="B248" i="4" s="1"/>
  <c r="G247" i="4" a="1"/>
  <c r="G247" i="4" s="1"/>
  <c r="G250" i="4" a="1"/>
  <c r="G250" i="4" s="1"/>
  <c r="G249" i="4" a="1"/>
  <c r="G249" i="4" s="1"/>
  <c r="G248" i="4" a="1"/>
  <c r="G248" i="4" s="1"/>
  <c r="H247" i="4" a="1"/>
  <c r="H247" i="4" s="1"/>
  <c r="H250" i="4" a="1"/>
  <c r="H250" i="4" s="1"/>
  <c r="H249" i="4" a="1"/>
  <c r="H249" i="4" s="1"/>
  <c r="H248" i="4" a="1"/>
  <c r="H248" i="4" s="1"/>
  <c r="F247" i="4" a="1"/>
  <c r="F247" i="4" s="1"/>
  <c r="F250" i="4" a="1"/>
  <c r="F250" i="4" s="1"/>
  <c r="F249" i="4" a="1"/>
  <c r="F249" i="4" s="1"/>
  <c r="F248" i="4" a="1"/>
  <c r="F248" i="4" s="1"/>
  <c r="H262" i="13" a="1"/>
  <c r="H272" i="13" a="1"/>
  <c r="H268" i="13" a="1"/>
  <c r="H260" i="13" a="1"/>
  <c r="H270" i="13" a="1"/>
  <c r="H258" i="13" a="1"/>
  <c r="H276" i="13" a="1"/>
  <c r="H266" i="13" a="1"/>
  <c r="H274" i="13" a="1"/>
  <c r="H264" i="13" a="1"/>
  <c r="H259" i="13" a="1"/>
  <c r="H265" i="13" a="1"/>
  <c r="H269" i="13" a="1"/>
  <c r="H273" i="13" a="1"/>
  <c r="H275" i="13" a="1"/>
  <c r="H257" i="13" a="1"/>
  <c r="H261" i="13" a="1"/>
  <c r="H263" i="13" a="1"/>
  <c r="H267" i="13" a="1"/>
  <c r="H271" i="13" a="1"/>
  <c r="H277" i="13" a="1"/>
  <c r="G262" i="13" a="1"/>
  <c r="G270" i="13" a="1"/>
  <c r="G268" i="13" a="1"/>
  <c r="G258" i="13" a="1"/>
  <c r="G260" i="13" a="1"/>
  <c r="G276" i="13" a="1"/>
  <c r="G266" i="13" a="1"/>
  <c r="G274" i="13" a="1"/>
  <c r="G264" i="13" a="1"/>
  <c r="G272" i="13" a="1"/>
  <c r="G259" i="13" a="1"/>
  <c r="G263" i="13" a="1"/>
  <c r="G267" i="13" a="1"/>
  <c r="G273" i="13" a="1"/>
  <c r="G277" i="13" a="1"/>
  <c r="G257" i="13" a="1"/>
  <c r="G261" i="13" a="1"/>
  <c r="G265" i="13" a="1"/>
  <c r="G269" i="13" a="1"/>
  <c r="G271" i="13" a="1"/>
  <c r="G275" i="13" a="1"/>
  <c r="E257" i="13" a="1"/>
  <c r="E273" i="13" a="1"/>
  <c r="E258" i="13" a="1"/>
  <c r="E263" i="13" a="1"/>
  <c r="E260" i="13" a="1"/>
  <c r="E275" i="13" a="1"/>
  <c r="E267" i="13" a="1"/>
  <c r="E268" i="13" a="1"/>
  <c r="E270" i="13" a="1"/>
  <c r="E265" i="13" a="1"/>
  <c r="E276" i="13" a="1"/>
  <c r="E266" i="13" a="1"/>
  <c r="E271" i="13" a="1"/>
  <c r="E269" i="13" a="1"/>
  <c r="E261" i="13" a="1"/>
  <c r="E274" i="13" a="1"/>
  <c r="E264" i="13" a="1"/>
  <c r="E259" i="13" a="1"/>
  <c r="E272" i="13" a="1"/>
  <c r="E262" i="13" a="1"/>
  <c r="E277" i="13" a="1"/>
  <c r="D257" i="13" a="1"/>
  <c r="D268" i="13" a="1"/>
  <c r="D273" i="13" a="1"/>
  <c r="D263" i="13" a="1"/>
  <c r="D270" i="13" a="1"/>
  <c r="D265" i="13" a="1"/>
  <c r="D258" i="13" a="1"/>
  <c r="D260" i="13" a="1"/>
  <c r="D275" i="13" a="1"/>
  <c r="D276" i="13" a="1"/>
  <c r="D266" i="13" a="1"/>
  <c r="D271" i="13" a="1"/>
  <c r="D259" i="13" a="1"/>
  <c r="D272" i="13" a="1"/>
  <c r="D261" i="13" a="1"/>
  <c r="D274" i="13" a="1"/>
  <c r="D264" i="13" a="1"/>
  <c r="D269" i="13" a="1"/>
  <c r="D262" i="13" a="1"/>
  <c r="D277" i="13" a="1"/>
  <c r="D267" i="13" a="1"/>
  <c r="F277" i="13" a="1"/>
  <c r="F262" i="13" a="1"/>
  <c r="F272" i="13" a="1"/>
  <c r="F259" i="13" a="1"/>
  <c r="F269" i="13" a="1"/>
  <c r="F274" i="13" a="1"/>
  <c r="F261" i="13" a="1"/>
  <c r="F271" i="13" a="1"/>
  <c r="F266" i="13" a="1"/>
  <c r="F264" i="13" a="1"/>
  <c r="F276" i="13" a="1"/>
  <c r="F265" i="13" a="1"/>
  <c r="F263" i="13" a="1"/>
  <c r="F257" i="13" a="1"/>
  <c r="F267" i="13" a="1"/>
  <c r="F275" i="13" a="1"/>
  <c r="F260" i="13" a="1"/>
  <c r="F270" i="13" a="1"/>
  <c r="F273" i="13" a="1"/>
  <c r="F258" i="13" a="1"/>
  <c r="F268" i="13" a="1"/>
  <c r="B258" i="13" a="1"/>
  <c r="B273" i="13" a="1"/>
  <c r="B274" i="13" a="1"/>
  <c r="B265" i="13" a="1"/>
  <c r="B266" i="13" a="1"/>
  <c r="B271" i="13" a="1"/>
  <c r="B268" i="13" a="1"/>
  <c r="B263" i="13" a="1"/>
  <c r="B276" i="13" a="1"/>
  <c r="B261" i="13" a="1"/>
  <c r="B264" i="13" a="1"/>
  <c r="B269" i="13" a="1"/>
  <c r="B259" i="13" a="1"/>
  <c r="B272" i="13" a="1"/>
  <c r="B267" i="13" a="1"/>
  <c r="B262" i="13" a="1"/>
  <c r="B277" i="13" a="1"/>
  <c r="B257" i="13" a="1"/>
  <c r="B270" i="13" a="1"/>
  <c r="B260" i="13" a="1"/>
  <c r="B275" i="13" a="1"/>
  <c r="C258" i="13" a="1"/>
  <c r="C273" i="13" a="1"/>
  <c r="C268" i="13" a="1"/>
  <c r="C263" i="13" a="1"/>
  <c r="C260" i="13" a="1"/>
  <c r="C275" i="13" a="1"/>
  <c r="C265" i="13" a="1"/>
  <c r="C276" i="13" a="1"/>
  <c r="C266" i="13" a="1"/>
  <c r="C271" i="13" a="1"/>
  <c r="C261" i="13" a="1"/>
  <c r="C269" i="13" a="1"/>
  <c r="C259" i="13" a="1"/>
  <c r="C262" i="13" a="1"/>
  <c r="C277" i="13" a="1"/>
  <c r="C274" i="13" a="1"/>
  <c r="C264" i="13" a="1"/>
  <c r="C272" i="13" a="1"/>
  <c r="C267" i="13" a="1"/>
  <c r="C257" i="13" a="1"/>
  <c r="C270" i="13" a="1"/>
  <c r="G262" i="12" a="1"/>
  <c r="G268" i="12" a="1"/>
  <c r="G258" i="12" a="1"/>
  <c r="G270" i="12" a="1"/>
  <c r="G260" i="12" a="1"/>
  <c r="G264" i="12" a="1"/>
  <c r="G266" i="12" a="1"/>
  <c r="G276" i="12" a="1"/>
  <c r="G274" i="12" a="1"/>
  <c r="G272" i="12" a="1"/>
  <c r="G257" i="12" a="1"/>
  <c r="G259" i="12" a="1"/>
  <c r="G261" i="12" a="1"/>
  <c r="G263" i="12" a="1"/>
  <c r="G265" i="12" a="1"/>
  <c r="G267" i="12" a="1"/>
  <c r="G269" i="12" a="1"/>
  <c r="G271" i="12" a="1"/>
  <c r="G273" i="12" a="1"/>
  <c r="G275" i="12" a="1"/>
  <c r="G277" i="12" a="1"/>
  <c r="D271" i="12" a="1"/>
  <c r="D266" i="12" a="1"/>
  <c r="D275" i="12" a="1"/>
  <c r="D263" i="12" a="1"/>
  <c r="D257" i="12" a="1"/>
  <c r="D260" i="12" a="1"/>
  <c r="D276" i="12" a="1"/>
  <c r="D270" i="12" a="1"/>
  <c r="D265" i="12" a="1"/>
  <c r="D268" i="12" a="1"/>
  <c r="D273" i="12" a="1"/>
  <c r="D258" i="12" a="1"/>
  <c r="D274" i="12" a="1"/>
  <c r="D261" i="12" a="1"/>
  <c r="D264" i="12" a="1"/>
  <c r="D269" i="12" a="1"/>
  <c r="D277" i="12" a="1"/>
  <c r="D262" i="12" a="1"/>
  <c r="D272" i="12" a="1"/>
  <c r="D259" i="12" a="1"/>
  <c r="D267" i="12" a="1"/>
  <c r="C271" i="12" a="1"/>
  <c r="C265" i="12" a="1"/>
  <c r="C266" i="12" a="1"/>
  <c r="C260" i="12" a="1"/>
  <c r="C274" i="12" a="1"/>
  <c r="C275" i="12" a="1"/>
  <c r="C268" i="12" a="1"/>
  <c r="C273" i="12" a="1"/>
  <c r="C258" i="12" a="1"/>
  <c r="C276" i="12" a="1"/>
  <c r="C263" i="12" a="1"/>
  <c r="C272" i="12" a="1"/>
  <c r="C267" i="12" a="1"/>
  <c r="C261" i="12" a="1"/>
  <c r="C264" i="12" a="1"/>
  <c r="C259" i="12" a="1"/>
  <c r="C277" i="12" a="1"/>
  <c r="C262" i="12" a="1"/>
  <c r="C270" i="12" a="1"/>
  <c r="C269" i="12" a="1"/>
  <c r="C257" i="12" a="1"/>
  <c r="B265" i="12" a="1"/>
  <c r="B268" i="12" a="1"/>
  <c r="B261" i="12" a="1"/>
  <c r="B271" i="12" a="1"/>
  <c r="B274" i="12" a="1"/>
  <c r="B273" i="12" a="1"/>
  <c r="B258" i="12" a="1"/>
  <c r="B276" i="12" a="1"/>
  <c r="B263" i="12" a="1"/>
  <c r="B266" i="12" a="1"/>
  <c r="B264" i="12" a="1"/>
  <c r="B269" i="12" a="1"/>
  <c r="B259" i="12" a="1"/>
  <c r="B262" i="12" a="1"/>
  <c r="B270" i="12" a="1"/>
  <c r="B272" i="12" a="1"/>
  <c r="B277" i="12" a="1"/>
  <c r="B267" i="12" a="1"/>
  <c r="B257" i="12" a="1"/>
  <c r="B275" i="12" a="1"/>
  <c r="B260" i="12" a="1"/>
  <c r="E270" i="12" a="1"/>
  <c r="E263" i="12" a="1"/>
  <c r="E257" i="12" a="1"/>
  <c r="E258" i="12" a="1"/>
  <c r="E273" i="12" a="1"/>
  <c r="E275" i="12" a="1"/>
  <c r="E276" i="12" a="1"/>
  <c r="E266" i="12" a="1"/>
  <c r="E267" i="12" a="1"/>
  <c r="E260" i="12" a="1"/>
  <c r="E265" i="12" a="1"/>
  <c r="E268" i="12" a="1"/>
  <c r="E274" i="12" a="1"/>
  <c r="E264" i="12" a="1"/>
  <c r="E272" i="12" a="1"/>
  <c r="E259" i="12" a="1"/>
  <c r="E271" i="12" a="1"/>
  <c r="E261" i="12" a="1"/>
  <c r="E269" i="12" a="1"/>
  <c r="E277" i="12" a="1"/>
  <c r="E262" i="12" a="1"/>
  <c r="H262" i="12" a="1"/>
  <c r="H272" i="12" a="1"/>
  <c r="H260" i="12" a="1"/>
  <c r="H268" i="12" a="1"/>
  <c r="H270" i="12" a="1"/>
  <c r="H266" i="12" a="1"/>
  <c r="H258" i="12" a="1"/>
  <c r="H274" i="12" a="1"/>
  <c r="H264" i="12" a="1"/>
  <c r="H276" i="12" a="1"/>
  <c r="H257" i="12" a="1"/>
  <c r="H259" i="12" a="1"/>
  <c r="H261" i="12" a="1"/>
  <c r="H263" i="12" a="1"/>
  <c r="H265" i="12" a="1"/>
  <c r="H267" i="12" a="1"/>
  <c r="H269" i="12" a="1"/>
  <c r="H271" i="12" a="1"/>
  <c r="H273" i="12" a="1"/>
  <c r="H275" i="12" a="1"/>
  <c r="H277" i="12" a="1"/>
  <c r="F258" i="12" a="1"/>
  <c r="F270" i="12" a="1"/>
  <c r="F263" i="12" a="1"/>
  <c r="F273" i="12" a="1"/>
  <c r="F267" i="12" a="1"/>
  <c r="F268" i="12" a="1"/>
  <c r="F262" i="12" a="1"/>
  <c r="F276" i="12" a="1"/>
  <c r="F257" i="12" a="1"/>
  <c r="F275" i="12" a="1"/>
  <c r="F260" i="12" a="1"/>
  <c r="F265" i="12" a="1"/>
  <c r="F261" i="12" a="1"/>
  <c r="F266" i="12" a="1"/>
  <c r="F271" i="12" a="1"/>
  <c r="F274" i="12" a="1"/>
  <c r="F264" i="12" a="1"/>
  <c r="F269" i="12" a="1"/>
  <c r="F272" i="12" a="1"/>
  <c r="F259" i="12" a="1"/>
  <c r="F277" i="12" a="1"/>
  <c r="G265" i="4" a="1"/>
  <c r="F260" i="4" a="1"/>
  <c r="F273" i="4" a="1"/>
  <c r="B261" i="4" a="1"/>
  <c r="G272" i="4" a="1"/>
  <c r="F271" i="4" a="1"/>
  <c r="H275" i="4" a="1"/>
  <c r="F272" i="4" a="1"/>
  <c r="F257" i="4" a="1"/>
  <c r="H273" i="4" a="1"/>
  <c r="F259" i="4" a="1"/>
  <c r="H257" i="4" a="1"/>
  <c r="B258" i="4" a="1"/>
  <c r="F263" i="4" a="1"/>
  <c r="B270" i="4" a="1"/>
  <c r="H268" i="4" a="1"/>
  <c r="B259" i="4" a="1"/>
  <c r="F264" i="4" a="1"/>
  <c r="H261" i="4" a="1"/>
  <c r="F265" i="4" a="1"/>
  <c r="H262" i="4" a="1"/>
  <c r="H264" i="4" a="1"/>
  <c r="B271" i="4" a="1"/>
  <c r="B257" i="4" a="1"/>
  <c r="H270" i="4" a="1"/>
  <c r="H271" i="4" a="1"/>
  <c r="G266" i="4" a="1"/>
  <c r="G258" i="4" a="1"/>
  <c r="B264" i="4" a="1"/>
  <c r="G264" i="4" a="1"/>
  <c r="F269" i="4" a="1"/>
  <c r="G273" i="4" a="1"/>
  <c r="B267" i="4" a="1"/>
  <c r="G261" i="4" a="1"/>
  <c r="H272" i="4" a="1"/>
  <c r="B268" i="4" a="1"/>
  <c r="G260" i="4" a="1"/>
  <c r="F276" i="4" a="1"/>
  <c r="H265" i="4" a="1"/>
  <c r="G257" i="4" a="1"/>
  <c r="B263" i="4" a="1"/>
  <c r="G262" i="4" a="1"/>
  <c r="H258" i="4" a="1"/>
  <c r="F262" i="4" a="1"/>
  <c r="B276" i="4" a="1"/>
  <c r="B277" i="4" a="1"/>
  <c r="H263" i="4" a="1"/>
  <c r="F274" i="4" a="1"/>
  <c r="B266" i="4" a="1"/>
  <c r="G259" i="4" a="1"/>
  <c r="H260" i="4" a="1"/>
  <c r="F268" i="4" a="1"/>
  <c r="F277" i="4" a="1"/>
  <c r="H276" i="4" a="1"/>
  <c r="B273" i="4" a="1"/>
  <c r="G274" i="4" a="1"/>
  <c r="H259" i="4" a="1"/>
  <c r="H277" i="4" a="1"/>
  <c r="H267" i="4" a="1"/>
  <c r="B260" i="4" a="1"/>
  <c r="B265" i="4" a="1"/>
  <c r="G268" i="4" a="1"/>
  <c r="F270" i="4" a="1"/>
  <c r="F267" i="4" a="1"/>
  <c r="B272" i="4" a="1"/>
  <c r="B269" i="4" a="1"/>
  <c r="G270" i="4" a="1"/>
  <c r="G276" i="4" a="1"/>
  <c r="F275" i="4" a="1"/>
  <c r="F258" i="4" a="1"/>
  <c r="G267" i="4" a="1"/>
  <c r="G275" i="4" a="1"/>
  <c r="H269" i="4" a="1"/>
  <c r="H266" i="4" a="1"/>
  <c r="B262" i="4" a="1"/>
  <c r="F266" i="4" a="1"/>
  <c r="B274" i="4" a="1"/>
  <c r="G271" i="4" a="1"/>
  <c r="G263" i="4" a="1"/>
  <c r="H274" i="4" a="1"/>
  <c r="B275" i="4" a="1"/>
  <c r="G277" i="4" a="1"/>
  <c r="G269" i="4" a="1"/>
  <c r="F261" i="4" a="1"/>
  <c r="C270" i="13" l="1"/>
  <c r="C257" i="13"/>
  <c r="C267" i="13"/>
  <c r="C272" i="13"/>
  <c r="C264" i="13"/>
  <c r="C274" i="13"/>
  <c r="C277" i="13"/>
  <c r="C262" i="13"/>
  <c r="C259" i="13"/>
  <c r="C269" i="13"/>
  <c r="C261" i="13"/>
  <c r="C271" i="13"/>
  <c r="C266" i="13"/>
  <c r="C276" i="13"/>
  <c r="C265" i="13"/>
  <c r="C275" i="13"/>
  <c r="C260" i="13"/>
  <c r="C263" i="13"/>
  <c r="C268" i="13"/>
  <c r="C273" i="13"/>
  <c r="C258" i="13"/>
  <c r="B275" i="13"/>
  <c r="B260" i="13"/>
  <c r="B270" i="13"/>
  <c r="B257" i="13"/>
  <c r="B277" i="13"/>
  <c r="B262" i="13"/>
  <c r="B267" i="13"/>
  <c r="B272" i="13"/>
  <c r="B259" i="13"/>
  <c r="B269" i="13"/>
  <c r="B264" i="13"/>
  <c r="B261" i="13"/>
  <c r="B276" i="13"/>
  <c r="B263" i="13"/>
  <c r="B268" i="13"/>
  <c r="B271" i="13"/>
  <c r="B266" i="13"/>
  <c r="B265" i="13"/>
  <c r="B274" i="13"/>
  <c r="B273" i="13"/>
  <c r="B258" i="13"/>
  <c r="F268" i="13"/>
  <c r="F258" i="13"/>
  <c r="F273" i="13"/>
  <c r="F270" i="13"/>
  <c r="F260" i="13"/>
  <c r="F275" i="13"/>
  <c r="F267" i="13"/>
  <c r="F257" i="13"/>
  <c r="F263" i="13"/>
  <c r="F265" i="13"/>
  <c r="F276" i="13"/>
  <c r="F264" i="13"/>
  <c r="F266" i="13"/>
  <c r="F271" i="13"/>
  <c r="F261" i="13"/>
  <c r="F274" i="13"/>
  <c r="F269" i="13"/>
  <c r="F259" i="13"/>
  <c r="F272" i="13"/>
  <c r="F262" i="13"/>
  <c r="F277" i="13"/>
  <c r="D267" i="13"/>
  <c r="D277" i="13"/>
  <c r="D262" i="13"/>
  <c r="D269" i="13"/>
  <c r="D264" i="13"/>
  <c r="D274" i="13"/>
  <c r="D261" i="13"/>
  <c r="D272" i="13"/>
  <c r="D259" i="13"/>
  <c r="D271" i="13"/>
  <c r="D266" i="13"/>
  <c r="D276" i="13"/>
  <c r="D275" i="13"/>
  <c r="D260" i="13"/>
  <c r="D258" i="13"/>
  <c r="D265" i="13"/>
  <c r="D270" i="13"/>
  <c r="D263" i="13"/>
  <c r="D273" i="13"/>
  <c r="D268" i="13"/>
  <c r="D257" i="13"/>
  <c r="E277" i="13"/>
  <c r="E262" i="13"/>
  <c r="E272" i="13"/>
  <c r="E259" i="13"/>
  <c r="E264" i="13"/>
  <c r="E274" i="13"/>
  <c r="E261" i="13"/>
  <c r="E269" i="13"/>
  <c r="E271" i="13"/>
  <c r="E266" i="13"/>
  <c r="E276" i="13"/>
  <c r="E265" i="13"/>
  <c r="E270" i="13"/>
  <c r="E268" i="13"/>
  <c r="E267" i="13"/>
  <c r="E275" i="13"/>
  <c r="E260" i="13"/>
  <c r="E263" i="13"/>
  <c r="E258" i="13"/>
  <c r="E273" i="13"/>
  <c r="E257" i="13"/>
  <c r="G275" i="13"/>
  <c r="G271" i="13"/>
  <c r="G269" i="13"/>
  <c r="G265" i="13"/>
  <c r="G261" i="13"/>
  <c r="G257" i="13"/>
  <c r="G277" i="13"/>
  <c r="G273" i="13"/>
  <c r="G267" i="13"/>
  <c r="G263" i="13"/>
  <c r="G259" i="13"/>
  <c r="G272" i="13"/>
  <c r="G264" i="13"/>
  <c r="G274" i="13"/>
  <c r="G266" i="13"/>
  <c r="G276" i="13"/>
  <c r="G260" i="13"/>
  <c r="G258" i="13"/>
  <c r="G268" i="13"/>
  <c r="G270" i="13"/>
  <c r="G262" i="13"/>
  <c r="H277" i="13"/>
  <c r="H271" i="13"/>
  <c r="H267" i="13"/>
  <c r="H263" i="13"/>
  <c r="H261" i="13"/>
  <c r="H257" i="13"/>
  <c r="H275" i="13"/>
  <c r="H273" i="13"/>
  <c r="H269" i="13"/>
  <c r="H265" i="13"/>
  <c r="H259" i="13"/>
  <c r="H264" i="13"/>
  <c r="H274" i="13"/>
  <c r="H266" i="13"/>
  <c r="H276" i="13"/>
  <c r="H258" i="13"/>
  <c r="H270" i="13"/>
  <c r="H260" i="13"/>
  <c r="H268" i="13"/>
  <c r="H272" i="13"/>
  <c r="H262" i="13"/>
  <c r="D16" i="13"/>
  <c r="D17" i="13"/>
  <c r="E17" i="13" s="1"/>
  <c r="F277" i="12"/>
  <c r="F259" i="12"/>
  <c r="F272" i="12"/>
  <c r="F269" i="12"/>
  <c r="F264" i="12"/>
  <c r="F274" i="12"/>
  <c r="F271" i="12"/>
  <c r="F266" i="12"/>
  <c r="F261" i="12"/>
  <c r="F265" i="12"/>
  <c r="F260" i="12"/>
  <c r="F275" i="12"/>
  <c r="F257" i="12"/>
  <c r="F276" i="12"/>
  <c r="F262" i="12"/>
  <c r="F268" i="12"/>
  <c r="F267" i="12"/>
  <c r="F273" i="12"/>
  <c r="F263" i="12"/>
  <c r="F270" i="12"/>
  <c r="F258" i="12"/>
  <c r="H277" i="12"/>
  <c r="H275" i="12"/>
  <c r="H273" i="12"/>
  <c r="H271" i="12"/>
  <c r="H269" i="12"/>
  <c r="H267" i="12"/>
  <c r="H265" i="12"/>
  <c r="H263" i="12"/>
  <c r="H261" i="12"/>
  <c r="H259" i="12"/>
  <c r="H257" i="12"/>
  <c r="H276" i="12"/>
  <c r="H264" i="12"/>
  <c r="H274" i="12"/>
  <c r="H258" i="12"/>
  <c r="H266" i="12"/>
  <c r="H270" i="12"/>
  <c r="H268" i="12"/>
  <c r="H260" i="12"/>
  <c r="H272" i="12"/>
  <c r="H262" i="12"/>
  <c r="E262" i="12"/>
  <c r="E277" i="12"/>
  <c r="E269" i="12"/>
  <c r="E261" i="12"/>
  <c r="E271" i="12"/>
  <c r="E259" i="12"/>
  <c r="E272" i="12"/>
  <c r="E264" i="12"/>
  <c r="E274" i="12"/>
  <c r="E268" i="12"/>
  <c r="E265" i="12"/>
  <c r="E260" i="12"/>
  <c r="E267" i="12"/>
  <c r="E266" i="12"/>
  <c r="E276" i="12"/>
  <c r="E275" i="12"/>
  <c r="E273" i="12"/>
  <c r="E258" i="12"/>
  <c r="E257" i="12"/>
  <c r="E263" i="12"/>
  <c r="E270" i="12"/>
  <c r="B260" i="12"/>
  <c r="B275" i="12"/>
  <c r="B257" i="12"/>
  <c r="B267" i="12"/>
  <c r="B277" i="12"/>
  <c r="B272" i="12"/>
  <c r="B270" i="12"/>
  <c r="B262" i="12"/>
  <c r="B259" i="12"/>
  <c r="B269" i="12"/>
  <c r="B264" i="12"/>
  <c r="B266" i="12"/>
  <c r="B263" i="12"/>
  <c r="B276" i="12"/>
  <c r="B258" i="12"/>
  <c r="B273" i="12"/>
  <c r="B274" i="12"/>
  <c r="B271" i="12"/>
  <c r="B261" i="12"/>
  <c r="B268" i="12"/>
  <c r="B265" i="12"/>
  <c r="C257" i="12"/>
  <c r="C269" i="12"/>
  <c r="C270" i="12"/>
  <c r="C262" i="12"/>
  <c r="C277" i="12"/>
  <c r="C259" i="12"/>
  <c r="C264" i="12"/>
  <c r="C261" i="12"/>
  <c r="C267" i="12"/>
  <c r="C272" i="12"/>
  <c r="C263" i="12"/>
  <c r="C276" i="12"/>
  <c r="C258" i="12"/>
  <c r="C273" i="12"/>
  <c r="C268" i="12"/>
  <c r="C275" i="12"/>
  <c r="C274" i="12"/>
  <c r="C260" i="12"/>
  <c r="C266" i="12"/>
  <c r="C265" i="12"/>
  <c r="C271" i="12"/>
  <c r="D267" i="12"/>
  <c r="D259" i="12"/>
  <c r="D272" i="12"/>
  <c r="D262" i="12"/>
  <c r="D277" i="12"/>
  <c r="D269" i="12"/>
  <c r="D264" i="12"/>
  <c r="D261" i="12"/>
  <c r="D274" i="12"/>
  <c r="D258" i="12"/>
  <c r="D273" i="12"/>
  <c r="D268" i="12"/>
  <c r="D265" i="12"/>
  <c r="D270" i="12"/>
  <c r="D276" i="12"/>
  <c r="D260" i="12"/>
  <c r="D257" i="12"/>
  <c r="D263" i="12"/>
  <c r="D275" i="12"/>
  <c r="D266" i="12"/>
  <c r="D271" i="12"/>
  <c r="G277" i="12"/>
  <c r="G275" i="12"/>
  <c r="G273" i="12"/>
  <c r="G271" i="12"/>
  <c r="G269" i="12"/>
  <c r="G267" i="12"/>
  <c r="G265" i="12"/>
  <c r="G263" i="12"/>
  <c r="G261" i="12"/>
  <c r="G259" i="12"/>
  <c r="G257" i="12"/>
  <c r="G272" i="12"/>
  <c r="G274" i="12"/>
  <c r="G276" i="12"/>
  <c r="G266" i="12"/>
  <c r="G264" i="12"/>
  <c r="G260" i="12"/>
  <c r="G270" i="12"/>
  <c r="G258" i="12"/>
  <c r="G268" i="12"/>
  <c r="G262" i="12"/>
  <c r="D17" i="12"/>
  <c r="E17" i="12" s="1"/>
  <c r="D16" i="12"/>
  <c r="D16" i="4"/>
  <c r="E16" i="4" s="1"/>
  <c r="B277" i="4"/>
  <c r="B261" i="4"/>
  <c r="B270" i="4"/>
  <c r="B268" i="4"/>
  <c r="B267" i="4"/>
  <c r="B260" i="4"/>
  <c r="B276" i="4"/>
  <c r="B272" i="4"/>
  <c r="B262" i="4"/>
  <c r="B275" i="4"/>
  <c r="B259" i="4"/>
  <c r="B274" i="4"/>
  <c r="B271" i="4"/>
  <c r="B266" i="4"/>
  <c r="B265" i="4"/>
  <c r="B264" i="4"/>
  <c r="B263" i="4"/>
  <c r="B258" i="4"/>
  <c r="B273" i="4"/>
  <c r="B269" i="4"/>
  <c r="B257" i="4"/>
  <c r="H274" i="4"/>
  <c r="H260" i="4"/>
  <c r="H273" i="4"/>
  <c r="H257" i="4"/>
  <c r="H277" i="4"/>
  <c r="H269" i="4"/>
  <c r="H261" i="4"/>
  <c r="H266" i="4"/>
  <c r="H258" i="4"/>
  <c r="H271" i="4"/>
  <c r="H263" i="4"/>
  <c r="H276" i="4"/>
  <c r="H268" i="4"/>
  <c r="H265" i="4"/>
  <c r="H270" i="4"/>
  <c r="H262" i="4"/>
  <c r="H275" i="4"/>
  <c r="H267" i="4"/>
  <c r="H272" i="4"/>
  <c r="H264" i="4"/>
  <c r="H259" i="4"/>
  <c r="G269" i="4"/>
  <c r="G274" i="4"/>
  <c r="G266" i="4"/>
  <c r="G271" i="4"/>
  <c r="G268" i="4"/>
  <c r="G273" i="4"/>
  <c r="G265" i="4"/>
  <c r="G277" i="4"/>
  <c r="G261" i="4"/>
  <c r="G258" i="4"/>
  <c r="G263" i="4"/>
  <c r="G276" i="4"/>
  <c r="G260" i="4"/>
  <c r="G257" i="4"/>
  <c r="G259" i="4"/>
  <c r="G264" i="4"/>
  <c r="G262" i="4"/>
  <c r="G272" i="4"/>
  <c r="G267" i="4"/>
  <c r="G275" i="4"/>
  <c r="G270" i="4"/>
  <c r="F261" i="4"/>
  <c r="F268" i="4"/>
  <c r="F272" i="4"/>
  <c r="F264" i="4"/>
  <c r="F277" i="4"/>
  <c r="F269" i="4"/>
  <c r="F274" i="4"/>
  <c r="F266" i="4"/>
  <c r="F258" i="4"/>
  <c r="F263" i="4"/>
  <c r="F276" i="4"/>
  <c r="F260" i="4"/>
  <c r="F271" i="4"/>
  <c r="F273" i="4"/>
  <c r="F265" i="4"/>
  <c r="F257" i="4"/>
  <c r="F270" i="4"/>
  <c r="F275" i="4"/>
  <c r="F262" i="4"/>
  <c r="F259" i="4"/>
  <c r="F267" i="4"/>
  <c r="C248" i="4" a="1"/>
  <c r="C248" i="4" s="1"/>
  <c r="C247" i="4" a="1"/>
  <c r="C247" i="4" s="1"/>
  <c r="C250" i="4" a="1"/>
  <c r="C250" i="4" s="1"/>
  <c r="C249" i="4" a="1"/>
  <c r="C249" i="4" s="1"/>
  <c r="E247" i="4" a="1"/>
  <c r="E247" i="4" s="1"/>
  <c r="E250" i="4" a="1"/>
  <c r="E250" i="4" s="1"/>
  <c r="E248" i="4" a="1"/>
  <c r="E248" i="4" s="1"/>
  <c r="E249" i="4" a="1"/>
  <c r="E249" i="4" s="1"/>
  <c r="B250" i="4" a="1"/>
  <c r="B250" i="4" s="1"/>
  <c r="D247" i="4" a="1"/>
  <c r="D247" i="4" s="1"/>
  <c r="D250" i="4" a="1"/>
  <c r="D250" i="4" s="1"/>
  <c r="D249" i="4" a="1"/>
  <c r="D249" i="4" s="1"/>
  <c r="D248" i="4" a="1"/>
  <c r="D248" i="4" s="1"/>
  <c r="E19" i="13" a="1"/>
  <c r="E19" i="12" a="1"/>
  <c r="E19" i="4" a="1"/>
  <c r="D259" i="4" a="1"/>
  <c r="C260" i="4" a="1"/>
  <c r="E259" i="4" a="1"/>
  <c r="C275" i="4" a="1"/>
  <c r="D272" i="4" a="1"/>
  <c r="D260" i="4" a="1"/>
  <c r="D261" i="4" a="1"/>
  <c r="E268" i="4" a="1"/>
  <c r="C270" i="4" a="1"/>
  <c r="D263" i="4" a="1"/>
  <c r="C272" i="4" a="1"/>
  <c r="E274" i="4" a="1"/>
  <c r="C263" i="4" a="1"/>
  <c r="D266" i="4" a="1"/>
  <c r="D262" i="4" a="1"/>
  <c r="C274" i="4" a="1"/>
  <c r="C258" i="4" a="1"/>
  <c r="D258" i="4" a="1"/>
  <c r="C276" i="4" a="1"/>
  <c r="E269" i="4" a="1"/>
  <c r="E267" i="4" a="1"/>
  <c r="C265" i="4" a="1"/>
  <c r="C257" i="4" a="1"/>
  <c r="C266" i="4" a="1"/>
  <c r="C277" i="4" a="1"/>
  <c r="D271" i="4" a="1"/>
  <c r="C271" i="4" a="1"/>
  <c r="D268" i="4" a="1"/>
  <c r="C261" i="4" a="1"/>
  <c r="C264" i="4" a="1"/>
  <c r="D257" i="4" a="1"/>
  <c r="D267" i="4" a="1"/>
  <c r="D265" i="4" a="1"/>
  <c r="C259" i="4" a="1"/>
  <c r="E272" i="4" a="1"/>
  <c r="E277" i="4" a="1"/>
  <c r="E263" i="4" a="1"/>
  <c r="D273" i="4" a="1"/>
  <c r="C273" i="4" a="1"/>
  <c r="E271" i="4" a="1"/>
  <c r="E273" i="4" a="1"/>
  <c r="E276" i="4" a="1"/>
  <c r="E261" i="4" a="1"/>
  <c r="E258" i="4" a="1"/>
  <c r="D275" i="4" a="1"/>
  <c r="E270" i="4" a="1"/>
  <c r="C268" i="4" a="1"/>
  <c r="D274" i="4" a="1"/>
  <c r="E257" i="4" a="1"/>
  <c r="E262" i="4" a="1"/>
  <c r="C269" i="4" a="1"/>
  <c r="D277" i="4" a="1"/>
  <c r="E275" i="4" a="1"/>
  <c r="C262" i="4" a="1"/>
  <c r="D270" i="4" a="1"/>
  <c r="E264" i="4" a="1"/>
  <c r="C267" i="4" a="1"/>
  <c r="E266" i="4" a="1"/>
  <c r="D269" i="4" a="1"/>
  <c r="E265" i="4" a="1"/>
  <c r="D264" i="4" a="1"/>
  <c r="D276" i="4" a="1"/>
  <c r="E260" i="4" a="1"/>
  <c r="E19" i="13" l="1"/>
  <c r="E16" i="13"/>
  <c r="E19" i="12"/>
  <c r="E16" i="12"/>
  <c r="E19" i="4"/>
  <c r="E261" i="4"/>
  <c r="E266" i="4"/>
  <c r="E263" i="4"/>
  <c r="E260" i="4"/>
  <c r="E272" i="4"/>
  <c r="E264" i="4"/>
  <c r="E277" i="4"/>
  <c r="E269" i="4"/>
  <c r="E274" i="4"/>
  <c r="E258" i="4"/>
  <c r="E271" i="4"/>
  <c r="E276" i="4"/>
  <c r="E268" i="4"/>
  <c r="E265" i="4"/>
  <c r="E275" i="4"/>
  <c r="E270" i="4"/>
  <c r="E273" i="4"/>
  <c r="E259" i="4"/>
  <c r="E257" i="4"/>
  <c r="E262" i="4"/>
  <c r="E267" i="4"/>
  <c r="D277" i="4"/>
  <c r="D269" i="4"/>
  <c r="D261" i="4"/>
  <c r="D274" i="4"/>
  <c r="D266" i="4"/>
  <c r="D263" i="4"/>
  <c r="D275" i="4"/>
  <c r="D267" i="4"/>
  <c r="D259" i="4"/>
  <c r="D272" i="4"/>
  <c r="D264" i="4"/>
  <c r="D258" i="4"/>
  <c r="D271" i="4"/>
  <c r="D276" i="4"/>
  <c r="D268" i="4"/>
  <c r="D260" i="4"/>
  <c r="D273" i="4"/>
  <c r="D265" i="4"/>
  <c r="D257" i="4"/>
  <c r="D270" i="4"/>
  <c r="D262" i="4"/>
  <c r="C272" i="4"/>
  <c r="C277" i="4"/>
  <c r="C261" i="4"/>
  <c r="C274" i="4"/>
  <c r="C258" i="4"/>
  <c r="C271" i="4"/>
  <c r="C275" i="4"/>
  <c r="C267" i="4"/>
  <c r="C259" i="4"/>
  <c r="C264" i="4"/>
  <c r="C269" i="4"/>
  <c r="C266" i="4"/>
  <c r="C263" i="4"/>
  <c r="C276" i="4"/>
  <c r="C257" i="4"/>
  <c r="C273" i="4"/>
  <c r="C270" i="4"/>
  <c r="C265" i="4"/>
  <c r="C262" i="4"/>
  <c r="C260" i="4"/>
  <c r="C268" i="4"/>
  <c r="S32" i="13" a="1"/>
  <c r="S35" i="13" a="1"/>
  <c r="S34" i="13" a="1"/>
  <c r="S31" i="13" a="1"/>
  <c r="S33" i="13" a="1"/>
  <c r="Q32" i="12" a="1"/>
  <c r="S30" i="13" a="1"/>
  <c r="S26" i="13" a="1"/>
  <c r="S28" i="13" a="1"/>
  <c r="S24" i="13" a="1"/>
  <c r="S23" i="13" a="1"/>
  <c r="S25" i="13" a="1"/>
  <c r="S27" i="13" a="1"/>
  <c r="S29" i="13" a="1"/>
  <c r="Q23" i="12" a="1"/>
  <c r="Q27" i="12" a="1"/>
  <c r="Q25" i="12" a="1"/>
  <c r="Q29" i="12" a="1"/>
  <c r="Q31" i="12" a="1"/>
  <c r="Q24" i="12" a="1"/>
  <c r="Q26" i="12" a="1"/>
  <c r="Q28" i="12" a="1"/>
  <c r="Q30" i="12" a="1"/>
  <c r="Q23" i="4" a="1"/>
  <c r="Q31" i="4" a="1"/>
  <c r="Q27" i="4" a="1"/>
  <c r="Q32" i="4" a="1"/>
  <c r="Q33" i="4" a="1"/>
  <c r="Q30" i="4" a="1"/>
  <c r="Q28" i="4" a="1"/>
  <c r="Q29" i="4" a="1"/>
  <c r="Q34" i="4" a="1"/>
  <c r="Q24" i="4" a="1"/>
  <c r="Q25" i="4" a="1"/>
  <c r="Q35" i="4" a="1"/>
  <c r="Q26" i="4" a="1"/>
  <c r="S33" i="13" l="1"/>
  <c r="S31" i="13"/>
  <c r="S34" i="13"/>
  <c r="S35" i="13"/>
  <c r="S32" i="13"/>
  <c r="S29" i="13"/>
  <c r="S27" i="13"/>
  <c r="S25" i="13"/>
  <c r="S23" i="13"/>
  <c r="S24" i="13"/>
  <c r="S28" i="13"/>
  <c r="S26" i="13"/>
  <c r="S30" i="13"/>
  <c r="Q32" i="12"/>
  <c r="Q30" i="12"/>
  <c r="Q28" i="12"/>
  <c r="Q26" i="12"/>
  <c r="Q24" i="12"/>
  <c r="Q31" i="12"/>
  <c r="Q29" i="12"/>
  <c r="Q25" i="12"/>
  <c r="Q27" i="12"/>
  <c r="Q23" i="12"/>
  <c r="Q26" i="4"/>
  <c r="Q35" i="4"/>
  <c r="Q25" i="4"/>
  <c r="Q24" i="4"/>
  <c r="Q34" i="4"/>
  <c r="Q29" i="4"/>
  <c r="Q28" i="4"/>
  <c r="Q30" i="4"/>
  <c r="Q33" i="4"/>
  <c r="Q32" i="4"/>
  <c r="Q27" i="4"/>
  <c r="Q31" i="4"/>
  <c r="Q2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<sst xmlns="http://schemas.openxmlformats.org/spreadsheetml/2006/main" count="440" uniqueCount="86">
  <si>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</si>
  <si>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</si>
  <si>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</si>
  <si>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</si>
  <si>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</si>
  <si>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</si>
  <si>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</si>
  <si>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</si>
  <si>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</si>
  <si>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</si>
  <si>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</si>
  <si>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</si>
  <si>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</si>
  <si>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</si>
  <si>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</si>
  <si>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</si>
  <si>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</si>
  <si>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</si>
  <si>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</si>
  <si>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</si>
  <si>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</si>
  <si>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</si>
  <si>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</si>
  <si>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</si>
  <si>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</si>
  <si>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</si>
  <si>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</si>
  <si>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</si>
  <si>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Polymer Tipped Hollow Point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</si>
  <si>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</si>
  <si>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</si>
  <si>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</si>
  <si>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</si>
  <si>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</si>
  <si>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</si>
  <si>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</si>
  <si>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</si>
  <si>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</si>
  <si>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</si>
  <si>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</si>
  <si>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</si>
  <si>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</si>
  <si>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</si>
  <si>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</si>
  <si>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</si>
  <si>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</si>
  <si>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</si>
  <si>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</si>
  <si>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</si>
  <si>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</si>
  <si>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</si>
  <si>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</si>
  <si>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</si>
  <si>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</si>
  <si>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</si>
  <si>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</si>
  <si>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</si>
  <si>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</si>
  <si>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Manufacturer's Data Sheet</t>
  </si>
  <si>
    <t>Bullet Weight(gr),(g)</t>
  </si>
  <si>
    <t>Caliber(in),(mm)</t>
  </si>
  <si>
    <t>Muzzle Energy(flb),(J)</t>
  </si>
  <si>
    <t>Muzzle Velocity(fps),(m/s)</t>
  </si>
  <si>
    <t>500m zero(G1 BC=0.625)</t>
  </si>
  <si>
    <t>n/a</t>
  </si>
  <si>
    <t>Federal Trophy Copper</t>
  </si>
  <si>
    <t>50m Zero(G1 BC=0.318)</t>
  </si>
  <si>
    <t>100m zero(G1 BC=0.318)</t>
  </si>
  <si>
    <t>150m zero(G1 BC=0.318)</t>
  </si>
  <si>
    <t>200m zero(G1 BC=0.318)</t>
  </si>
  <si>
    <t>300m zero(G1 BC=0.318)</t>
  </si>
  <si>
    <t>400m zero(G1 BC=0.318)</t>
  </si>
  <si>
    <r>
      <t>338 Lapua Magnum(0</t>
    </r>
    <r>
      <rPr>
        <sz val="11"/>
        <color theme="1"/>
        <rFont val="Aptos Narrow"/>
        <family val="2"/>
      </rPr>
      <t>°</t>
    </r>
    <r>
      <rPr>
        <sz val="11"/>
        <color theme="1"/>
        <rFont val="Aptos Narrow"/>
        <family val="2"/>
        <scheme val="minor"/>
      </rPr>
      <t xml:space="preserve"> wind)</t>
    </r>
  </si>
  <si>
    <r>
      <t>338 Lapua Magnum (180</t>
    </r>
    <r>
      <rPr>
        <sz val="11"/>
        <color theme="1"/>
        <rFont val="Aptos Narrow"/>
        <family val="2"/>
      </rPr>
      <t>°</t>
    </r>
    <r>
      <rPr>
        <sz val="11"/>
        <color theme="1"/>
        <rFont val="Aptos Narrow"/>
        <family val="2"/>
        <scheme val="minor"/>
      </rPr>
      <t xml:space="preserve"> wind)</t>
    </r>
  </si>
  <si>
    <t>Measured Wind Drift</t>
  </si>
  <si>
    <t>(scope units)</t>
  </si>
  <si>
    <t>Calculated Wind Drift</t>
  </si>
  <si>
    <r>
      <t>338 Lapua Magnum(90</t>
    </r>
    <r>
      <rPr>
        <sz val="11"/>
        <color theme="1"/>
        <rFont val="Aptos Narrow"/>
        <family val="2"/>
      </rPr>
      <t>°</t>
    </r>
    <r>
      <rPr>
        <sz val="11"/>
        <color theme="1"/>
        <rFont val="Aptos Narrow"/>
        <family val="2"/>
        <scheme val="minor"/>
      </rPr>
      <t xml:space="preserve"> wind)</t>
    </r>
  </si>
  <si>
    <t>500m zero(G1 BC=0.325)</t>
  </si>
  <si>
    <t>50m Zero(G1 BC=0.325)</t>
  </si>
  <si>
    <t>100m zero(G1 BC=0.325)</t>
  </si>
  <si>
    <t>150m zero(G1 BC=0.325)</t>
  </si>
  <si>
    <t>200m zero(G1 BC=0.325)</t>
  </si>
  <si>
    <t>300m zero(G1 BC=0.325)</t>
  </si>
  <si>
    <t>400m zero(G1 BC=0.325)</t>
  </si>
  <si>
    <t>Wind Drift Coefficients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</si>
</sst>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E+00"/>
    <numFmt numFmtId="166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lightDown">
        <bgColor theme="0" tint="-0.14996795556505021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49" fontId="0" fillId="0" borderId="0" xfId="0" applyNumberFormat="1" applyAlignment="1">
      <alignment horizontal="center" wrapText="1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6" fontId="0" fillId="0" borderId="0" xfId="0" applyNumberFormat="1"/>
    <xf numFmtId="0" fontId="1" fillId="6" borderId="0" xfId="0" applyFont="1" applyFill="1"/>
    <xf numFmtId="164" fontId="1" fillId="6" borderId="0" xfId="0" applyNumberFormat="1" applyFont="1" applyFill="1"/>
    <xf numFmtId="0" fontId="0" fillId="4" borderId="1" xfId="0" applyFill="1" applyBorder="1"/>
    <xf numFmtId="0" fontId="0" fillId="0" borderId="2" xfId="0" applyBorder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164" fontId="0" fillId="7" borderId="1" xfId="0" applyNumberFormat="1" applyFill="1" applyBorder="1"/>
    <xf numFmtId="164" fontId="0" fillId="7" borderId="2" xfId="0" applyNumberFormat="1" applyFill="1" applyBorder="1"/>
    <xf numFmtId="2" fontId="0" fillId="7" borderId="1" xfId="0" applyNumberFormat="1" applyFill="1" applyBorder="1"/>
    <xf numFmtId="2" fontId="0" fillId="7" borderId="2" xfId="0" applyNumberFormat="1" applyFill="1" applyBorder="1"/>
    <xf numFmtId="2" fontId="1" fillId="7" borderId="1" xfId="0" applyNumberFormat="1" applyFont="1" applyFill="1" applyBorder="1"/>
    <xf numFmtId="2" fontId="0" fillId="6" borderId="1" xfId="0" applyNumberFormat="1" applyFill="1" applyBorder="1"/>
    <xf numFmtId="2" fontId="0" fillId="6" borderId="2" xfId="0" applyNumberFormat="1" applyFill="1" applyBorder="1"/>
    <xf numFmtId="2" fontId="1" fillId="6" borderId="1" xfId="0" applyNumberFormat="1" applyFont="1" applyFill="1" applyBorder="1"/>
    <xf numFmtId="164" fontId="0" fillId="6" borderId="3" xfId="0" applyNumberForma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PHP'!$B$22:$B$35</c:f>
              <c:numCache>
                <c:formatCode>0.00</c:formatCode>
                <c:ptCount val="14"/>
                <c:pt idx="0">
                  <c:v>6112.3</c:v>
                </c:pt>
                <c:pt idx="1">
                  <c:v>5848</c:v>
                </c:pt>
                <c:pt idx="2">
                  <c:v>5516.1</c:v>
                </c:pt>
                <c:pt idx="3">
                  <c:v>5208.1000000000004</c:v>
                </c:pt>
                <c:pt idx="4">
                  <c:v>4876</c:v>
                </c:pt>
                <c:pt idx="5">
                  <c:v>4612.2</c:v>
                </c:pt>
                <c:pt idx="6">
                  <c:v>4327.3</c:v>
                </c:pt>
                <c:pt idx="7">
                  <c:v>3821.1</c:v>
                </c:pt>
                <c:pt idx="8">
                  <c:v>3358.3</c:v>
                </c:pt>
                <c:pt idx="9">
                  <c:v>2916.5</c:v>
                </c:pt>
                <c:pt idx="10">
                  <c:v>2546.6999999999998</c:v>
                </c:pt>
                <c:pt idx="11">
                  <c:v>2219.4</c:v>
                </c:pt>
                <c:pt idx="12">
                  <c:v>1921.1</c:v>
                </c:pt>
                <c:pt idx="13">
                  <c:v>1663.7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'Federal Trophy Copper PHP'!$A$78</c:f>
              <c:strCache>
                <c:ptCount val="1"/>
                <c:pt idx="0">
                  <c:v>50m Zero(G1 BC=0.325)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PHP'!$C$80:$C$100</c:f>
              <c:numCache>
                <c:formatCode>0.00</c:formatCode>
                <c:ptCount val="21"/>
                <c:pt idx="0">
                  <c:v>6113</c:v>
                </c:pt>
                <c:pt idx="1">
                  <c:v>5784</c:v>
                </c:pt>
                <c:pt idx="2">
                  <c:v>5472</c:v>
                </c:pt>
                <c:pt idx="3">
                  <c:v>5174</c:v>
                </c:pt>
                <c:pt idx="4">
                  <c:v>4889</c:v>
                </c:pt>
                <c:pt idx="5">
                  <c:v>4616</c:v>
                </c:pt>
                <c:pt idx="6">
                  <c:v>4355</c:v>
                </c:pt>
                <c:pt idx="7">
                  <c:v>4106</c:v>
                </c:pt>
                <c:pt idx="8">
                  <c:v>3869</c:v>
                </c:pt>
                <c:pt idx="9">
                  <c:v>3642</c:v>
                </c:pt>
                <c:pt idx="10">
                  <c:v>3426</c:v>
                </c:pt>
                <c:pt idx="11">
                  <c:v>3220</c:v>
                </c:pt>
                <c:pt idx="12">
                  <c:v>3024</c:v>
                </c:pt>
                <c:pt idx="13">
                  <c:v>2838</c:v>
                </c:pt>
                <c:pt idx="14">
                  <c:v>2662</c:v>
                </c:pt>
                <c:pt idx="15">
                  <c:v>2495</c:v>
                </c:pt>
                <c:pt idx="16">
                  <c:v>2337</c:v>
                </c:pt>
                <c:pt idx="17">
                  <c:v>2189</c:v>
                </c:pt>
                <c:pt idx="18">
                  <c:v>2049</c:v>
                </c:pt>
                <c:pt idx="19">
                  <c:v>1918</c:v>
                </c:pt>
                <c:pt idx="20">
                  <c:v>1800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4.5000003037500242</c:v>
                </c:pt>
                <c:pt idx="5">
                  <c:v>5.6250003796875303</c:v>
                </c:pt>
                <c:pt idx="6">
                  <c:v>4.2187501112365755</c:v>
                </c:pt>
                <c:pt idx="7">
                  <c:v>-2.8080000184505818</c:v>
                </c:pt>
                <c:pt idx="8">
                  <c:v>-14.062501483154483</c:v>
                </c:pt>
                <c:pt idx="9">
                  <c:v>-35.100016016138774</c:v>
                </c:pt>
                <c:pt idx="10">
                  <c:v>-65.67757708912346</c:v>
                </c:pt>
                <c:pt idx="11">
                  <c:v>-104.94024075933655</c:v>
                </c:pt>
                <c:pt idx="12">
                  <c:v>-151.87557665301802</c:v>
                </c:pt>
                <c:pt idx="13">
                  <c:v>-213.75130214780023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'Federal Trophy Copper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-106.72025321967608</c:v>
                </c:pt>
                <c:pt idx="12">
                  <c:v>-149.94055489161974</c:v>
                </c:pt>
                <c:pt idx="13">
                  <c:v>-210.00123480871284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'Federal Trophy Copper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-0.62400000323960836</c:v>
                </c:pt>
                <c:pt idx="3">
                  <c:v>1.8750000390625008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0</c:v>
                </c:pt>
                <c:pt idx="7">
                  <c:v>-8.0000004266666931</c:v>
                </c:pt>
                <c:pt idx="8">
                  <c:v>-15.000001800000257</c:v>
                </c:pt>
                <c:pt idx="9">
                  <c:v>-39.960023632680461</c:v>
                </c:pt>
                <c:pt idx="10">
                  <c:v>-61.250062526118263</c:v>
                </c:pt>
                <c:pt idx="11">
                  <c:v>-100.00020833385418</c:v>
                </c:pt>
                <c:pt idx="12">
                  <c:v>-146.25051492405055</c:v>
                </c:pt>
                <c:pt idx="13">
                  <c:v>-200.00106667349337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'Federal Trophy Copper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6.0000003200000211</c:v>
                </c:pt>
                <c:pt idx="7">
                  <c:v>0</c:v>
                </c:pt>
                <c:pt idx="8">
                  <c:v>-10.000000533333367</c:v>
                </c:pt>
                <c:pt idx="9">
                  <c:v>-28.800008847363262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-123.75031195406865</c:v>
                </c:pt>
                <c:pt idx="13">
                  <c:v>-183.40082250598704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'Federal Trophy Copper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6.2500032552103679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-50.000026041682943</c:v>
                </c:pt>
                <c:pt idx="12">
                  <c:v>-90.000120000191998</c:v>
                </c:pt>
                <c:pt idx="13">
                  <c:v>-130.00029293412544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'Federal Trophy Copper PHP'!$O$21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'Federal Trophy Copper PHP'!$A$22:$A$35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'Federal Trophy Copper PHP'!$O$22:$O$35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3.3300019693900382</c:v>
                      </c:pt>
                      <c:pt idx="2">
                        <c:v>11.660021136609924</c:v>
                      </c:pt>
                      <c:pt idx="3">
                        <c:v>20.010047478689266</c:v>
                      </c:pt>
                      <c:pt idx="4">
                        <c:v>26.68006330491902</c:v>
                      </c:pt>
                      <c:pt idx="5">
                        <c:v>32.50007323353136</c:v>
                      </c:pt>
                      <c:pt idx="6">
                        <c:v>37.500078125195316</c:v>
                      </c:pt>
                      <c:pt idx="7">
                        <c:v>44.000070986804104</c:v>
                      </c:pt>
                      <c:pt idx="8">
                        <c:v>41.700038672956637</c:v>
                      </c:pt>
                      <c:pt idx="9">
                        <c:v>37.500019531262211</c:v>
                      </c:pt>
                      <c:pt idx="10">
                        <c:v>23.380003477572998</c:v>
                      </c:pt>
                      <c:pt idx="11">
                        <c:v>0</c:v>
                      </c:pt>
                      <c:pt idx="12">
                        <c:v>-30.060004471165279</c:v>
                      </c:pt>
                      <c:pt idx="13">
                        <c:v>-75.000056250050633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C58-4D06-8D06-CB901B32B0F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 Copper PHP'!$P$21</c15:sqref>
                        </c15:formulaRef>
                      </c:ext>
                    </c:extLst>
                    <c:strCache>
                      <c:ptCount val="1"/>
                      <c:pt idx="0">
                        <c:v>500m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 Copper PHP'!$A$22:$A$35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 Copper PHP'!$P$22:$P$35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6.8750173307815912</c:v>
                      </c:pt>
                      <c:pt idx="2">
                        <c:v>19.000091453861572</c:v>
                      </c:pt>
                      <c:pt idx="3">
                        <c:v>30.000160001024007</c:v>
                      </c:pt>
                      <c:pt idx="4">
                        <c:v>41.000229738211416</c:v>
                      </c:pt>
                      <c:pt idx="5">
                        <c:v>50.000266668373342</c:v>
                      </c:pt>
                      <c:pt idx="6">
                        <c:v>60.000320002048014</c:v>
                      </c:pt>
                      <c:pt idx="7">
                        <c:v>73.360329002394806</c:v>
                      </c:pt>
                      <c:pt idx="8">
                        <c:v>81.250286068916964</c:v>
                      </c:pt>
                      <c:pt idx="9">
                        <c:v>78.000175760475258</c:v>
                      </c:pt>
                      <c:pt idx="10">
                        <c:v>70.000093333482667</c:v>
                      </c:pt>
                      <c:pt idx="11">
                        <c:v>60.000045000040501</c:v>
                      </c:pt>
                      <c:pt idx="12">
                        <c:v>30.060004471165279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C58-4D06-8D06-CB901B32B0F2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042806742711284"/>
                  <c:y val="-0.675410948631421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</c:v>
                </c:pt>
                <c:pt idx="4">
                  <c:v>0.1</c:v>
                </c:pt>
                <c:pt idx="5">
                  <c:v>6.25E-2</c:v>
                </c:pt>
                <c:pt idx="6">
                  <c:v>-3.1199999999999999E-2</c:v>
                </c:pt>
                <c:pt idx="7">
                  <c:v>-0.125</c:v>
                </c:pt>
                <c:pt idx="8">
                  <c:v>-0.26</c:v>
                </c:pt>
                <c:pt idx="9">
                  <c:v>-0.41699999999999998</c:v>
                </c:pt>
                <c:pt idx="10">
                  <c:v>-0.58299999999999996</c:v>
                </c:pt>
                <c:pt idx="11">
                  <c:v>-0.75</c:v>
                </c:pt>
                <c:pt idx="12">
                  <c:v>-0.95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'Federal Trophy Copper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157934514862182"/>
                  <c:y val="-0.666135358080239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-0.25</c:v>
                </c:pt>
                <c:pt idx="8">
                  <c:v>-0.375</c:v>
                </c:pt>
                <c:pt idx="9">
                  <c:v>-0.5</c:v>
                </c:pt>
                <c:pt idx="10">
                  <c:v>-0.66700000000000004</c:v>
                </c:pt>
                <c:pt idx="11">
                  <c:v>-0.83299999999999996</c:v>
                </c:pt>
                <c:pt idx="12">
                  <c:v>-1.05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'Federal Trophy Copper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598416754899404"/>
                  <c:y val="-0.442339332583427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PHP'!$E$23:$E$35</c:f>
              <c:numCache>
                <c:formatCode>0.000</c:formatCode>
                <c:ptCount val="13"/>
                <c:pt idx="0">
                  <c:v>-0.3125</c:v>
                </c:pt>
                <c:pt idx="1">
                  <c:v>-3.1199999999999999E-2</c:v>
                </c:pt>
                <c:pt idx="2">
                  <c:v>6.25E-2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0</c:v>
                </c:pt>
                <c:pt idx="6">
                  <c:v>-0.1</c:v>
                </c:pt>
                <c:pt idx="7">
                  <c:v>-0.15</c:v>
                </c:pt>
                <c:pt idx="8">
                  <c:v>-0.33300000000000002</c:v>
                </c:pt>
                <c:pt idx="9">
                  <c:v>-0.4375</c:v>
                </c:pt>
                <c:pt idx="10">
                  <c:v>-0.625</c:v>
                </c:pt>
                <c:pt idx="11">
                  <c:v>-0.8125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'Federal Trophy Copper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54875032285899"/>
                  <c:y val="-0.5245011248593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PHP'!$F$23:$F$35</c:f>
              <c:numCache>
                <c:formatCode>0.000</c:formatCode>
                <c:ptCount val="13"/>
                <c:pt idx="0">
                  <c:v>-0.16700000000000001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</c:v>
                </c:pt>
                <c:pt idx="6">
                  <c:v>0</c:v>
                </c:pt>
                <c:pt idx="7">
                  <c:v>-0.1</c:v>
                </c:pt>
                <c:pt idx="8">
                  <c:v>-0.24</c:v>
                </c:pt>
                <c:pt idx="9">
                  <c:v>-0.375</c:v>
                </c:pt>
                <c:pt idx="10">
                  <c:v>-0.5</c:v>
                </c:pt>
                <c:pt idx="11">
                  <c:v>-0.6875</c:v>
                </c:pt>
                <c:pt idx="12">
                  <c:v>-0.91700000000000004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'Federal Trophy Copper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PHP'!$G$23:$G$35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0.3125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0.33300000000000002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-0.3125</c:v>
                </c:pt>
                <c:pt idx="11">
                  <c:v>-0.5</c:v>
                </c:pt>
                <c:pt idx="12">
                  <c:v>-0.65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'Federal Trophy Copper PHP'!$H$21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8512116008082194"/>
                  <c:y val="0.27143832020997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PHP'!$H$23:$H$35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0.58299999999999996</c:v>
                </c:pt>
                <c:pt idx="2">
                  <c:v>0.66700000000000004</c:v>
                </c:pt>
                <c:pt idx="3">
                  <c:v>0.66700000000000004</c:v>
                </c:pt>
                <c:pt idx="4">
                  <c:v>0.65</c:v>
                </c:pt>
                <c:pt idx="5">
                  <c:v>0.625</c:v>
                </c:pt>
                <c:pt idx="6">
                  <c:v>0.55000000000000004</c:v>
                </c:pt>
                <c:pt idx="7">
                  <c:v>0.41699999999999998</c:v>
                </c:pt>
                <c:pt idx="8">
                  <c:v>0.3125</c:v>
                </c:pt>
                <c:pt idx="9">
                  <c:v>0.16700000000000001</c:v>
                </c:pt>
                <c:pt idx="10">
                  <c:v>0</c:v>
                </c:pt>
                <c:pt idx="11">
                  <c:v>-0.16700000000000001</c:v>
                </c:pt>
                <c:pt idx="12">
                  <c:v>-0.375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'Federal Trophy Copper PHP'!$I$21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30075379240069444"/>
                  <c:y val="0.419986689163854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PHP'!$I$23:$I$35</c:f>
              <c:numCache>
                <c:formatCode>0.000</c:formatCode>
                <c:ptCount val="13"/>
                <c:pt idx="0">
                  <c:v>0.6875</c:v>
                </c:pt>
                <c:pt idx="1">
                  <c:v>0.95</c:v>
                </c:pt>
                <c:pt idx="2">
                  <c:v>1</c:v>
                </c:pt>
                <c:pt idx="3">
                  <c:v>1.0249999999999999</c:v>
                </c:pt>
                <c:pt idx="4">
                  <c:v>1</c:v>
                </c:pt>
                <c:pt idx="5">
                  <c:v>1</c:v>
                </c:pt>
                <c:pt idx="6">
                  <c:v>0.91700000000000004</c:v>
                </c:pt>
                <c:pt idx="7">
                  <c:v>0.8125</c:v>
                </c:pt>
                <c:pt idx="8">
                  <c:v>0.65</c:v>
                </c:pt>
                <c:pt idx="9">
                  <c:v>0.5</c:v>
                </c:pt>
                <c:pt idx="10">
                  <c:v>0.375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178618122406032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 Copper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973732190278223"/>
                  <c:y val="-0.3112858337963229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4.5000003037500242</c:v>
                </c:pt>
                <c:pt idx="5">
                  <c:v>5.6250003796875303</c:v>
                </c:pt>
                <c:pt idx="6">
                  <c:v>4.2187501112365755</c:v>
                </c:pt>
                <c:pt idx="7">
                  <c:v>-2.8080000184505818</c:v>
                </c:pt>
                <c:pt idx="8">
                  <c:v>-14.062501483154483</c:v>
                </c:pt>
                <c:pt idx="9">
                  <c:v>-35.100016016138774</c:v>
                </c:pt>
                <c:pt idx="10">
                  <c:v>-65.67757708912346</c:v>
                </c:pt>
                <c:pt idx="11">
                  <c:v>-104.94024075933655</c:v>
                </c:pt>
                <c:pt idx="12">
                  <c:v>-151.87557665301802</c:v>
                </c:pt>
                <c:pt idx="13">
                  <c:v>-213.75130214780023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'Federal Trophy Copper PHP'!$A$78</c:f>
              <c:strCache>
                <c:ptCount val="1"/>
                <c:pt idx="0">
                  <c:v>50m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-7.6</c:v>
                </c:pt>
                <c:pt idx="8">
                  <c:v>-12.8</c:v>
                </c:pt>
                <c:pt idx="9">
                  <c:v>-19.100000000000001</c:v>
                </c:pt>
                <c:pt idx="10">
                  <c:v>-26.7</c:v>
                </c:pt>
                <c:pt idx="11">
                  <c:v>-36.299999999999997</c:v>
                </c:pt>
                <c:pt idx="12">
                  <c:v>-47.1</c:v>
                </c:pt>
                <c:pt idx="13">
                  <c:v>-59.7</c:v>
                </c:pt>
                <c:pt idx="14">
                  <c:v>-74.7</c:v>
                </c:pt>
                <c:pt idx="15">
                  <c:v>-91.2</c:v>
                </c:pt>
                <c:pt idx="16">
                  <c:v>-109.8</c:v>
                </c:pt>
                <c:pt idx="17">
                  <c:v>-131.5</c:v>
                </c:pt>
                <c:pt idx="18">
                  <c:v>-154.9</c:v>
                </c:pt>
                <c:pt idx="19">
                  <c:v>-181</c:v>
                </c:pt>
                <c:pt idx="20">
                  <c:v>-209.9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-106.72025321967608</c:v>
                </c:pt>
                <c:pt idx="12">
                  <c:v>-149.94055489161974</c:v>
                </c:pt>
                <c:pt idx="13">
                  <c:v>-210.00123480871284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'Federal Trophy Copper PHP'!$A$102</c:f>
              <c:strCache>
                <c:ptCount val="1"/>
                <c:pt idx="0">
                  <c:v>100m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</c:v>
                </c:pt>
                <c:pt idx="7">
                  <c:v>-7.8</c:v>
                </c:pt>
                <c:pt idx="8">
                  <c:v>-12.9</c:v>
                </c:pt>
                <c:pt idx="9">
                  <c:v>-19.2</c:v>
                </c:pt>
                <c:pt idx="10">
                  <c:v>-26.9</c:v>
                </c:pt>
                <c:pt idx="11">
                  <c:v>-36.5</c:v>
                </c:pt>
                <c:pt idx="12">
                  <c:v>-47.4</c:v>
                </c:pt>
                <c:pt idx="13">
                  <c:v>-60</c:v>
                </c:pt>
                <c:pt idx="14">
                  <c:v>-75</c:v>
                </c:pt>
                <c:pt idx="15">
                  <c:v>-91.4</c:v>
                </c:pt>
                <c:pt idx="16">
                  <c:v>-110.1</c:v>
                </c:pt>
                <c:pt idx="17">
                  <c:v>-131.80000000000001</c:v>
                </c:pt>
                <c:pt idx="18">
                  <c:v>-155.19999999999999</c:v>
                </c:pt>
                <c:pt idx="19">
                  <c:v>-181.3</c:v>
                </c:pt>
                <c:pt idx="20">
                  <c:v>-210.3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-0.62400000323960836</c:v>
                </c:pt>
                <c:pt idx="3">
                  <c:v>1.8750000390625008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0</c:v>
                </c:pt>
                <c:pt idx="7">
                  <c:v>-8.0000004266666931</c:v>
                </c:pt>
                <c:pt idx="8">
                  <c:v>-15.000001800000257</c:v>
                </c:pt>
                <c:pt idx="9">
                  <c:v>-39.960023632680461</c:v>
                </c:pt>
                <c:pt idx="10">
                  <c:v>-61.250062526118263</c:v>
                </c:pt>
                <c:pt idx="11">
                  <c:v>-100.00020833385418</c:v>
                </c:pt>
                <c:pt idx="12">
                  <c:v>-146.25051492405055</c:v>
                </c:pt>
                <c:pt idx="13">
                  <c:v>-200.00106667349337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'Federal Trophy Copper PHP'!$A$126</c:f>
              <c:strCache>
                <c:ptCount val="1"/>
                <c:pt idx="0">
                  <c:v>150m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</c:v>
                </c:pt>
                <c:pt idx="8">
                  <c:v>-7.5</c:v>
                </c:pt>
                <c:pt idx="9">
                  <c:v>-13.1</c:v>
                </c:pt>
                <c:pt idx="10">
                  <c:v>-20.100000000000001</c:v>
                </c:pt>
                <c:pt idx="11">
                  <c:v>-29</c:v>
                </c:pt>
                <c:pt idx="12">
                  <c:v>-39.200000000000003</c:v>
                </c:pt>
                <c:pt idx="13">
                  <c:v>-51.1</c:v>
                </c:pt>
                <c:pt idx="14">
                  <c:v>-65.400000000000006</c:v>
                </c:pt>
                <c:pt idx="15">
                  <c:v>-81.2</c:v>
                </c:pt>
                <c:pt idx="16">
                  <c:v>-99.2</c:v>
                </c:pt>
                <c:pt idx="17">
                  <c:v>-120.2</c:v>
                </c:pt>
                <c:pt idx="18">
                  <c:v>-143</c:v>
                </c:pt>
                <c:pt idx="19">
                  <c:v>-168.4</c:v>
                </c:pt>
                <c:pt idx="20">
                  <c:v>-196.7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6.0000003200000211</c:v>
                </c:pt>
                <c:pt idx="7">
                  <c:v>0</c:v>
                </c:pt>
                <c:pt idx="8">
                  <c:v>-10.000000533333367</c:v>
                </c:pt>
                <c:pt idx="9">
                  <c:v>-28.800008847363262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-123.75031195406865</c:v>
                </c:pt>
                <c:pt idx="13">
                  <c:v>-183.40082250598704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'Federal Trophy Copper PHP'!$A$150</c:f>
              <c:strCache>
                <c:ptCount val="1"/>
                <c:pt idx="0">
                  <c:v>200m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5.4</c:v>
                </c:pt>
                <c:pt idx="4">
                  <c:v>6.5</c:v>
                </c:pt>
                <c:pt idx="5">
                  <c:v>6.7</c:v>
                </c:pt>
                <c:pt idx="6">
                  <c:v>5.7</c:v>
                </c:pt>
                <c:pt idx="7">
                  <c:v>3.6</c:v>
                </c:pt>
                <c:pt idx="8">
                  <c:v>0.1</c:v>
                </c:pt>
                <c:pt idx="9">
                  <c:v>-4.5999999999999996</c:v>
                </c:pt>
                <c:pt idx="10">
                  <c:v>-10.7</c:v>
                </c:pt>
                <c:pt idx="11">
                  <c:v>-18.600000000000001</c:v>
                </c:pt>
                <c:pt idx="12">
                  <c:v>-27.9</c:v>
                </c:pt>
                <c:pt idx="13">
                  <c:v>-38.9</c:v>
                </c:pt>
                <c:pt idx="14">
                  <c:v>-52.2</c:v>
                </c:pt>
                <c:pt idx="15">
                  <c:v>-67.099999999999994</c:v>
                </c:pt>
                <c:pt idx="16">
                  <c:v>-84.1</c:v>
                </c:pt>
                <c:pt idx="17">
                  <c:v>-104.2</c:v>
                </c:pt>
                <c:pt idx="18">
                  <c:v>-126</c:v>
                </c:pt>
                <c:pt idx="19">
                  <c:v>-150.5</c:v>
                </c:pt>
                <c:pt idx="20">
                  <c:v>-177.9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6.2500032552103679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-50.000026041682943</c:v>
                </c:pt>
                <c:pt idx="12">
                  <c:v>-90.000120000191998</c:v>
                </c:pt>
                <c:pt idx="13">
                  <c:v>-130.00029293412544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1"/>
          <c:order val="1"/>
          <c:tx>
            <c:strRef>
              <c:f>'Federal Trophy Copper PHP'!$A$174</c:f>
              <c:strCache>
                <c:ptCount val="1"/>
                <c:pt idx="0">
                  <c:v>300m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8</c:v>
                </c:pt>
                <c:pt idx="3">
                  <c:v>12.4</c:v>
                </c:pt>
                <c:pt idx="4">
                  <c:v>15.9</c:v>
                </c:pt>
                <c:pt idx="5">
                  <c:v>18.5</c:v>
                </c:pt>
                <c:pt idx="6">
                  <c:v>19.8</c:v>
                </c:pt>
                <c:pt idx="7">
                  <c:v>20.100000000000001</c:v>
                </c:pt>
                <c:pt idx="8">
                  <c:v>19</c:v>
                </c:pt>
                <c:pt idx="9">
                  <c:v>16.600000000000001</c:v>
                </c:pt>
                <c:pt idx="10">
                  <c:v>12.8</c:v>
                </c:pt>
                <c:pt idx="11">
                  <c:v>7.3</c:v>
                </c:pt>
                <c:pt idx="12">
                  <c:v>0.4</c:v>
                </c:pt>
                <c:pt idx="13">
                  <c:v>-8.3000000000000007</c:v>
                </c:pt>
                <c:pt idx="14">
                  <c:v>-19.2</c:v>
                </c:pt>
                <c:pt idx="15">
                  <c:v>-31.7</c:v>
                </c:pt>
                <c:pt idx="16">
                  <c:v>-46.4</c:v>
                </c:pt>
                <c:pt idx="17">
                  <c:v>-64.099999999999994</c:v>
                </c:pt>
                <c:pt idx="18">
                  <c:v>-83.6</c:v>
                </c:pt>
                <c:pt idx="19">
                  <c:v>-105.8</c:v>
                </c:pt>
                <c:pt idx="20">
                  <c:v>-130.80000000000001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9-4B49-A310-17615B48A297}"/>
            </c:ext>
          </c:extLst>
        </c:ser>
        <c:ser>
          <c:idx val="2"/>
          <c:order val="2"/>
          <c:tx>
            <c:strRef>
              <c:f>'Federal Trophy Copper PHP'!$K$174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 Copper PHP'!$K$176:$K$196</c:f>
              <c:numCache>
                <c:formatCode>0.00</c:formatCode>
                <c:ptCount val="21"/>
              </c:numCache>
            </c:numRef>
          </c:xVal>
          <c:yVal>
            <c:numRef>
              <c:f>'Federal Trophy Copper PHP'!$N$176:$N$196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7-4031-9D29-EE856EC9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11.660021136609924</c:v>
                </c:pt>
                <c:pt idx="3">
                  <c:v>20.010047478689266</c:v>
                </c:pt>
                <c:pt idx="4">
                  <c:v>26.68006330491902</c:v>
                </c:pt>
                <c:pt idx="5">
                  <c:v>32.50007323353136</c:v>
                </c:pt>
                <c:pt idx="6">
                  <c:v>37.500078125195316</c:v>
                </c:pt>
                <c:pt idx="7">
                  <c:v>44.000070986804104</c:v>
                </c:pt>
                <c:pt idx="8">
                  <c:v>41.700038672956637</c:v>
                </c:pt>
                <c:pt idx="9">
                  <c:v>37.500019531262211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-75.000056250050633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1"/>
          <c:order val="1"/>
          <c:tx>
            <c:strRef>
              <c:f>'Federal Trophy Copper PHP'!$A$198</c:f>
              <c:strCache>
                <c:ptCount val="1"/>
                <c:pt idx="0">
                  <c:v>400m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14</c:v>
                </c:pt>
                <c:pt idx="3">
                  <c:v>21.4</c:v>
                </c:pt>
                <c:pt idx="4">
                  <c:v>27.9</c:v>
                </c:pt>
                <c:pt idx="5">
                  <c:v>33.5</c:v>
                </c:pt>
                <c:pt idx="6">
                  <c:v>37.799999999999997</c:v>
                </c:pt>
                <c:pt idx="7">
                  <c:v>41</c:v>
                </c:pt>
                <c:pt idx="8">
                  <c:v>43</c:v>
                </c:pt>
                <c:pt idx="9">
                  <c:v>43.5</c:v>
                </c:pt>
                <c:pt idx="10">
                  <c:v>42.7</c:v>
                </c:pt>
                <c:pt idx="11">
                  <c:v>40.299999999999997</c:v>
                </c:pt>
                <c:pt idx="12">
                  <c:v>36.299999999999997</c:v>
                </c:pt>
                <c:pt idx="13">
                  <c:v>30.6</c:v>
                </c:pt>
                <c:pt idx="14">
                  <c:v>22.7</c:v>
                </c:pt>
                <c:pt idx="15">
                  <c:v>13.1</c:v>
                </c:pt>
                <c:pt idx="16">
                  <c:v>1.4</c:v>
                </c:pt>
                <c:pt idx="17">
                  <c:v>-13.2</c:v>
                </c:pt>
                <c:pt idx="18">
                  <c:v>-29.7</c:v>
                </c:pt>
                <c:pt idx="19">
                  <c:v>-49</c:v>
                </c:pt>
                <c:pt idx="20">
                  <c:v>-71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1-4001-A4D3-B20E76782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6.8750173307815912</c:v>
                </c:pt>
                <c:pt idx="2">
                  <c:v>19.000091453861572</c:v>
                </c:pt>
                <c:pt idx="3">
                  <c:v>30.000160001024007</c:v>
                </c:pt>
                <c:pt idx="4">
                  <c:v>41.000229738211416</c:v>
                </c:pt>
                <c:pt idx="5">
                  <c:v>50.000266668373342</c:v>
                </c:pt>
                <c:pt idx="6">
                  <c:v>60.000320002048014</c:v>
                </c:pt>
                <c:pt idx="7">
                  <c:v>73.360329002394806</c:v>
                </c:pt>
                <c:pt idx="8">
                  <c:v>81.250286068916964</c:v>
                </c:pt>
                <c:pt idx="9">
                  <c:v>78.000175760475258</c:v>
                </c:pt>
                <c:pt idx="10">
                  <c:v>70.000093333482667</c:v>
                </c:pt>
                <c:pt idx="11">
                  <c:v>60.000045000040501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1"/>
          <c:order val="1"/>
          <c:tx>
            <c:strRef>
              <c:f>'Federal Trophy Copper PHP'!$A$222</c:f>
              <c:strCache>
                <c:ptCount val="1"/>
                <c:pt idx="0">
                  <c:v>500m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9.1</c:v>
                </c:pt>
                <c:pt idx="2">
                  <c:v>21.6</c:v>
                </c:pt>
                <c:pt idx="3">
                  <c:v>32.6</c:v>
                </c:pt>
                <c:pt idx="4">
                  <c:v>42.8</c:v>
                </c:pt>
                <c:pt idx="5">
                  <c:v>52.2</c:v>
                </c:pt>
                <c:pt idx="6">
                  <c:v>60.2</c:v>
                </c:pt>
                <c:pt idx="7">
                  <c:v>67</c:v>
                </c:pt>
                <c:pt idx="8">
                  <c:v>72.900000000000006</c:v>
                </c:pt>
                <c:pt idx="9">
                  <c:v>77.099999999999994</c:v>
                </c:pt>
                <c:pt idx="10">
                  <c:v>80</c:v>
                </c:pt>
                <c:pt idx="11">
                  <c:v>81.400000000000006</c:v>
                </c:pt>
                <c:pt idx="12">
                  <c:v>81.099999999999994</c:v>
                </c:pt>
                <c:pt idx="13">
                  <c:v>79</c:v>
                </c:pt>
                <c:pt idx="14">
                  <c:v>75</c:v>
                </c:pt>
                <c:pt idx="15">
                  <c:v>69.099999999999994</c:v>
                </c:pt>
                <c:pt idx="16">
                  <c:v>61</c:v>
                </c:pt>
                <c:pt idx="17">
                  <c:v>50.3</c:v>
                </c:pt>
                <c:pt idx="18">
                  <c:v>37.4</c:v>
                </c:pt>
                <c:pt idx="19">
                  <c:v>21.8</c:v>
                </c:pt>
                <c:pt idx="20">
                  <c:v>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D8-49E5-9864-9116BB66C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(2)'!$B$22:$B$35</c:f>
              <c:numCache>
                <c:formatCode>0.00</c:formatCode>
                <c:ptCount val="14"/>
                <c:pt idx="0">
                  <c:v>6112.3</c:v>
                </c:pt>
                <c:pt idx="1">
                  <c:v>5851.1</c:v>
                </c:pt>
                <c:pt idx="2">
                  <c:v>5540.2</c:v>
                </c:pt>
                <c:pt idx="3">
                  <c:v>5245.6</c:v>
                </c:pt>
                <c:pt idx="4">
                  <c:v>4926.3999999999996</c:v>
                </c:pt>
                <c:pt idx="5">
                  <c:v>4672.8</c:v>
                </c:pt>
                <c:pt idx="6">
                  <c:v>4397.7</c:v>
                </c:pt>
                <c:pt idx="7">
                  <c:v>3907.3</c:v>
                </c:pt>
                <c:pt idx="8">
                  <c:v>3457</c:v>
                </c:pt>
                <c:pt idx="9">
                  <c:v>3048.8</c:v>
                </c:pt>
                <c:pt idx="10">
                  <c:v>2682.2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B7-4A6C-A8B9-A264EAE1E74F}"/>
            </c:ext>
          </c:extLst>
        </c:ser>
        <c:ser>
          <c:idx val="1"/>
          <c:order val="1"/>
          <c:tx>
            <c:strRef>
              <c:f>'Federal Trophy Copper PHP (2)'!$A$78</c:f>
              <c:strCache>
                <c:ptCount val="1"/>
                <c:pt idx="0">
                  <c:v>50m Zero(G1 BC=0.325)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(2)'!$C$80:$C$100</c:f>
              <c:numCache>
                <c:formatCode>0.00</c:formatCode>
                <c:ptCount val="21"/>
                <c:pt idx="0">
                  <c:v>6113</c:v>
                </c:pt>
                <c:pt idx="1">
                  <c:v>5774</c:v>
                </c:pt>
                <c:pt idx="2">
                  <c:v>5452</c:v>
                </c:pt>
                <c:pt idx="3">
                  <c:v>5145</c:v>
                </c:pt>
                <c:pt idx="4">
                  <c:v>4852</c:v>
                </c:pt>
                <c:pt idx="5">
                  <c:v>4572</c:v>
                </c:pt>
                <c:pt idx="6">
                  <c:v>4304</c:v>
                </c:pt>
                <c:pt idx="7">
                  <c:v>4049</c:v>
                </c:pt>
                <c:pt idx="8">
                  <c:v>3805</c:v>
                </c:pt>
                <c:pt idx="9">
                  <c:v>3572</c:v>
                </c:pt>
                <c:pt idx="10">
                  <c:v>3351</c:v>
                </c:pt>
                <c:pt idx="11">
                  <c:v>3141</c:v>
                </c:pt>
                <c:pt idx="12">
                  <c:v>2940</c:v>
                </c:pt>
                <c:pt idx="13">
                  <c:v>2751</c:v>
                </c:pt>
                <c:pt idx="14">
                  <c:v>2571</c:v>
                </c:pt>
                <c:pt idx="15">
                  <c:v>2401</c:v>
                </c:pt>
                <c:pt idx="16">
                  <c:v>2240</c:v>
                </c:pt>
                <c:pt idx="17">
                  <c:v>2089</c:v>
                </c:pt>
                <c:pt idx="18">
                  <c:v>1947</c:v>
                </c:pt>
                <c:pt idx="19">
                  <c:v>1814</c:v>
                </c:pt>
                <c:pt idx="20">
                  <c:v>1694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B7-4A6C-A8B9-A264EAE1E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4.5000003037500242</c:v>
                </c:pt>
                <c:pt idx="5">
                  <c:v>3.5156250926971464</c:v>
                </c:pt>
                <c:pt idx="6">
                  <c:v>2.1060000138379364</c:v>
                </c:pt>
                <c:pt idx="7">
                  <c:v>-5.6250001483154337</c:v>
                </c:pt>
                <c:pt idx="8">
                  <c:v>-14.625001668347103</c:v>
                </c:pt>
                <c:pt idx="9">
                  <c:v>-33.750014238288458</c:v>
                </c:pt>
                <c:pt idx="10">
                  <c:v>-65.67757708912346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D1-4EB8-A1A8-3B75DA068540}"/>
            </c:ext>
          </c:extLst>
        </c:ser>
        <c:ser>
          <c:idx val="1"/>
          <c:order val="1"/>
          <c:tx>
            <c:strRef>
              <c:f>'Federal Trophy Copper PHP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-1.8720000097188247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-39.960023632680461</c:v>
                </c:pt>
                <c:pt idx="10">
                  <c:v>-70.000093333482667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D1-4EB8-A1A8-3B75DA068540}"/>
            </c:ext>
          </c:extLst>
        </c:ser>
        <c:ser>
          <c:idx val="2"/>
          <c:order val="2"/>
          <c:tx>
            <c:strRef>
              <c:f>'Federal Trophy Copper PHP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1.8750000390625008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-5.0000001041666682</c:v>
                </c:pt>
                <c:pt idx="8">
                  <c:v>-13.000001171733464</c:v>
                </c:pt>
                <c:pt idx="9">
                  <c:v>-37.500019531262211</c:v>
                </c:pt>
                <c:pt idx="10">
                  <c:v>-61.250062526118263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3D1-4EB8-A1A8-3B75DA068540}"/>
            </c:ext>
          </c:extLst>
        </c:ser>
        <c:ser>
          <c:idx val="3"/>
          <c:order val="3"/>
          <c:tx>
            <c:strRef>
              <c:f>'Federal Trophy Copper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6.0000003200000211</c:v>
                </c:pt>
                <c:pt idx="7">
                  <c:v>0</c:v>
                </c:pt>
                <c:pt idx="8">
                  <c:v>-10.000000533333367</c:v>
                </c:pt>
                <c:pt idx="9">
                  <c:v>-30.000010000004</c:v>
                </c:pt>
                <c:pt idx="10">
                  <c:v>-52.500039375035435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3D1-4EB8-A1A8-3B75DA068540}"/>
            </c:ext>
          </c:extLst>
        </c:ser>
        <c:ser>
          <c:idx val="4"/>
          <c:order val="4"/>
          <c:tx>
            <c:strRef>
              <c:f>'Federal Trophy Copper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0.31200000161980418</c:v>
                </c:pt>
                <c:pt idx="2">
                  <c:v>6.6600039387800765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18.750009765631106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3D1-4EB8-A1A8-3B75DA068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'Federal Trophy Copper PHP (2)'!$O$21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'Federal Trophy Copper PHP (2)'!$A$22:$A$35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'Federal Trophy Copper PHP (2)'!$O$22:$O$35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3.3300019693900382</c:v>
                      </c:pt>
                      <c:pt idx="2">
                        <c:v>10.200014149463554</c:v>
                      </c:pt>
                      <c:pt idx="3">
                        <c:v>20.010047478689266</c:v>
                      </c:pt>
                      <c:pt idx="4">
                        <c:v>26.68006330491902</c:v>
                      </c:pt>
                      <c:pt idx="5">
                        <c:v>33.350079131148782</c:v>
                      </c:pt>
                      <c:pt idx="6">
                        <c:v>37.500078125195316</c:v>
                      </c:pt>
                      <c:pt idx="7">
                        <c:v>40.800056597854216</c:v>
                      </c:pt>
                      <c:pt idx="8">
                        <c:v>43.750044661513051</c:v>
                      </c:pt>
                      <c:pt idx="9">
                        <c:v>37.500019531262211</c:v>
                      </c:pt>
                      <c:pt idx="10">
                        <c:v>21.000002520000361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93D1-4EB8-A1A8-3B75DA06854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 Copper PHP (2)'!$P$21</c15:sqref>
                        </c15:formulaRef>
                      </c:ext>
                    </c:extLst>
                    <c:strCache>
                      <c:ptCount val="1"/>
                      <c:pt idx="0">
                        <c:v>500m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 Copper PHP (2)'!$A$22:$A$35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 Copper PHP (2)'!$P$22:$P$35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4.1700038672956641</c:v>
                      </c:pt>
                      <c:pt idx="2">
                        <c:v>19.000091453861572</c:v>
                      </c:pt>
                      <c:pt idx="3">
                        <c:v>31.500185221306932</c:v>
                      </c:pt>
                      <c:pt idx="4">
                        <c:v>42.000246961742569</c:v>
                      </c:pt>
                      <c:pt idx="5">
                        <c:v>52.500308702178209</c:v>
                      </c:pt>
                      <c:pt idx="6">
                        <c:v>60.000320002048014</c:v>
                      </c:pt>
                      <c:pt idx="7">
                        <c:v>75.00035156447754</c:v>
                      </c:pt>
                      <c:pt idx="8">
                        <c:v>81.250286068916964</c:v>
                      </c:pt>
                      <c:pt idx="9">
                        <c:v>82.50020796937909</c:v>
                      </c:pt>
                      <c:pt idx="10">
                        <c:v>77.000124226907175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3D1-4EB8-A1A8-3B75DA068540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 Copper PHP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(2)'!$C$23:$C$32</c:f>
              <c:numCache>
                <c:formatCode>0.000</c:formatCode>
                <c:ptCount val="10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</c:v>
                </c:pt>
                <c:pt idx="4">
                  <c:v>6.25E-2</c:v>
                </c:pt>
                <c:pt idx="5">
                  <c:v>3.1199999999999999E-2</c:v>
                </c:pt>
                <c:pt idx="6">
                  <c:v>-6.25E-2</c:v>
                </c:pt>
                <c:pt idx="7">
                  <c:v>-0.13</c:v>
                </c:pt>
                <c:pt idx="8">
                  <c:v>-0.25</c:v>
                </c:pt>
                <c:pt idx="9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5E-4CFA-B33E-295CDC2D6ECD}"/>
            </c:ext>
          </c:extLst>
        </c:ser>
        <c:ser>
          <c:idx val="1"/>
          <c:order val="1"/>
          <c:tx>
            <c:strRef>
              <c:f>'Federal Trophy Copper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9157934514862182"/>
                  <c:y val="-0.666135358080239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(2)'!$D$23:$D$35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-3.1199999999999999E-2</c:v>
                </c:pt>
                <c:pt idx="6">
                  <c:v>-0.125</c:v>
                </c:pt>
                <c:pt idx="7">
                  <c:v>-0.25</c:v>
                </c:pt>
                <c:pt idx="8">
                  <c:v>-0.33300000000000002</c:v>
                </c:pt>
                <c:pt idx="9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5E-4CFA-B33E-295CDC2D6ECD}"/>
            </c:ext>
          </c:extLst>
        </c:ser>
        <c:ser>
          <c:idx val="2"/>
          <c:order val="2"/>
          <c:tx>
            <c:strRef>
              <c:f>'Federal Trophy Copper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4598416754899404"/>
                  <c:y val="-0.442339332583427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(2)'!$E$23:$E$35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6.25E-2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-6.25E-2</c:v>
                </c:pt>
                <c:pt idx="7">
                  <c:v>-0.13</c:v>
                </c:pt>
                <c:pt idx="8">
                  <c:v>-0.3125</c:v>
                </c:pt>
                <c:pt idx="9">
                  <c:v>-0.4375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5E-4CFA-B33E-295CDC2D6ECD}"/>
            </c:ext>
          </c:extLst>
        </c:ser>
        <c:ser>
          <c:idx val="3"/>
          <c:order val="3"/>
          <c:tx>
            <c:strRef>
              <c:f>'Federal Trophy Copper PHP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54875032285899"/>
                  <c:y val="-0.5245011248593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(2)'!$F$23:$F$35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</c:v>
                </c:pt>
                <c:pt idx="6">
                  <c:v>0</c:v>
                </c:pt>
                <c:pt idx="7">
                  <c:v>-0.1</c:v>
                </c:pt>
                <c:pt idx="8">
                  <c:v>-0.25</c:v>
                </c:pt>
                <c:pt idx="9">
                  <c:v>-0.375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5E-4CFA-B33E-295CDC2D6ECD}"/>
            </c:ext>
          </c:extLst>
        </c:ser>
        <c:ser>
          <c:idx val="4"/>
          <c:order val="4"/>
          <c:tx>
            <c:strRef>
              <c:f>'Federal Trophy Copper PHP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(2)'!$G$23:$G$35</c:f>
              <c:numCache>
                <c:formatCode>0.000</c:formatCode>
                <c:ptCount val="13"/>
                <c:pt idx="0">
                  <c:v>3.1199999999999999E-2</c:v>
                </c:pt>
                <c:pt idx="1">
                  <c:v>0.33300000000000002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0.3125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55E-4CFA-B33E-295CDC2D6ECD}"/>
            </c:ext>
          </c:extLst>
        </c:ser>
        <c:ser>
          <c:idx val="5"/>
          <c:order val="5"/>
          <c:tx>
            <c:strRef>
              <c:f>'Federal Trophy Copper PHP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8512116008082194"/>
                  <c:y val="0.27143832020997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(2)'!$H$23:$H$35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0.51</c:v>
                </c:pt>
                <c:pt idx="2">
                  <c:v>0.66700000000000004</c:v>
                </c:pt>
                <c:pt idx="3">
                  <c:v>0.66700000000000004</c:v>
                </c:pt>
                <c:pt idx="4">
                  <c:v>0.66700000000000004</c:v>
                </c:pt>
                <c:pt idx="5">
                  <c:v>0.625</c:v>
                </c:pt>
                <c:pt idx="6">
                  <c:v>0.51</c:v>
                </c:pt>
                <c:pt idx="7">
                  <c:v>0.4375</c:v>
                </c:pt>
                <c:pt idx="8">
                  <c:v>0.3125</c:v>
                </c:pt>
                <c:pt idx="9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5E-4CFA-B33E-295CDC2D6ECD}"/>
            </c:ext>
          </c:extLst>
        </c:ser>
        <c:ser>
          <c:idx val="6"/>
          <c:order val="6"/>
          <c:tx>
            <c:strRef>
              <c:f>'Federal Trophy Copper PHP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30075379240069444"/>
                  <c:y val="0.419986689163854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(2)'!$I$23:$I$35</c:f>
              <c:numCache>
                <c:formatCode>0.000</c:formatCode>
                <c:ptCount val="13"/>
                <c:pt idx="0">
                  <c:v>0.41699999999999998</c:v>
                </c:pt>
                <c:pt idx="1">
                  <c:v>0.95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</c:v>
                </c:pt>
                <c:pt idx="6">
                  <c:v>0.9375</c:v>
                </c:pt>
                <c:pt idx="7">
                  <c:v>0.8125</c:v>
                </c:pt>
                <c:pt idx="8">
                  <c:v>0.6875</c:v>
                </c:pt>
                <c:pt idx="9">
                  <c:v>0.55000000000000004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55E-4CFA-B33E-295CDC2D6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178618122406032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 Copper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973732190278223"/>
                  <c:y val="-0.3112858337963229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4.5000003037500242</c:v>
                </c:pt>
                <c:pt idx="5">
                  <c:v>3.5156250926971464</c:v>
                </c:pt>
                <c:pt idx="6">
                  <c:v>2.1060000138379364</c:v>
                </c:pt>
                <c:pt idx="7">
                  <c:v>-5.6250001483154337</c:v>
                </c:pt>
                <c:pt idx="8">
                  <c:v>-14.625001668347103</c:v>
                </c:pt>
                <c:pt idx="9">
                  <c:v>-33.750014238288458</c:v>
                </c:pt>
                <c:pt idx="10">
                  <c:v>-65.67757708912346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E6-425C-8E2B-E10FE7291F63}"/>
            </c:ext>
          </c:extLst>
        </c:ser>
        <c:ser>
          <c:idx val="1"/>
          <c:order val="1"/>
          <c:tx>
            <c:strRef>
              <c:f>'Federal Trophy Copper PHP (2)'!$A$78</c:f>
              <c:strCache>
                <c:ptCount val="1"/>
                <c:pt idx="0">
                  <c:v>50m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-4</c:v>
                </c:pt>
                <c:pt idx="7">
                  <c:v>-7.8</c:v>
                </c:pt>
                <c:pt idx="8">
                  <c:v>-13</c:v>
                </c:pt>
                <c:pt idx="9">
                  <c:v>-19.3</c:v>
                </c:pt>
                <c:pt idx="10">
                  <c:v>-27.1</c:v>
                </c:pt>
                <c:pt idx="11">
                  <c:v>-36.9</c:v>
                </c:pt>
                <c:pt idx="12">
                  <c:v>-47.9</c:v>
                </c:pt>
                <c:pt idx="13">
                  <c:v>-60.8</c:v>
                </c:pt>
                <c:pt idx="14">
                  <c:v>-76.099999999999994</c:v>
                </c:pt>
                <c:pt idx="15">
                  <c:v>-93</c:v>
                </c:pt>
                <c:pt idx="16">
                  <c:v>-112.1</c:v>
                </c:pt>
                <c:pt idx="17">
                  <c:v>-134.4</c:v>
                </c:pt>
                <c:pt idx="18">
                  <c:v>-158.6</c:v>
                </c:pt>
                <c:pt idx="19">
                  <c:v>-185.6</c:v>
                </c:pt>
                <c:pt idx="20">
                  <c:v>-215.6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E6-425C-8E2B-E10FE729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-1.8720000097188247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-39.960023632680461</c:v>
                </c:pt>
                <c:pt idx="10">
                  <c:v>-70.000093333482667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C7-4D32-9D8D-8354636ECBD5}"/>
            </c:ext>
          </c:extLst>
        </c:ser>
        <c:ser>
          <c:idx val="1"/>
          <c:order val="1"/>
          <c:tx>
            <c:strRef>
              <c:f>'Federal Trophy Copper PHP (2)'!$A$102</c:f>
              <c:strCache>
                <c:ptCount val="1"/>
                <c:pt idx="0">
                  <c:v>100m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-7.9</c:v>
                </c:pt>
                <c:pt idx="8">
                  <c:v>-13.1</c:v>
                </c:pt>
                <c:pt idx="9">
                  <c:v>-19.5</c:v>
                </c:pt>
                <c:pt idx="10">
                  <c:v>-27.3</c:v>
                </c:pt>
                <c:pt idx="11">
                  <c:v>-37.1</c:v>
                </c:pt>
                <c:pt idx="12">
                  <c:v>-48.1</c:v>
                </c:pt>
                <c:pt idx="13">
                  <c:v>-61</c:v>
                </c:pt>
                <c:pt idx="14">
                  <c:v>-76.3</c:v>
                </c:pt>
                <c:pt idx="15">
                  <c:v>-93.2</c:v>
                </c:pt>
                <c:pt idx="16">
                  <c:v>-112.4</c:v>
                </c:pt>
                <c:pt idx="17">
                  <c:v>-134.69999999999999</c:v>
                </c:pt>
                <c:pt idx="18">
                  <c:v>-159</c:v>
                </c:pt>
                <c:pt idx="19">
                  <c:v>-186</c:v>
                </c:pt>
                <c:pt idx="20">
                  <c:v>-216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C7-4D32-9D8D-8354636E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-3.125001627605184</c:v>
                </c:pt>
                <c:pt idx="2">
                  <c:v>0</c:v>
                </c:pt>
                <c:pt idx="3">
                  <c:v>1.8750000390625008</c:v>
                </c:pt>
                <c:pt idx="4">
                  <c:v>2.5000000520833341</c:v>
                </c:pt>
                <c:pt idx="5">
                  <c:v>3.1250000651041678</c:v>
                </c:pt>
                <c:pt idx="6">
                  <c:v>0</c:v>
                </c:pt>
                <c:pt idx="7">
                  <c:v>-5.0000001041666682</c:v>
                </c:pt>
                <c:pt idx="8">
                  <c:v>-13.000001171733464</c:v>
                </c:pt>
                <c:pt idx="9">
                  <c:v>-37.500019531262211</c:v>
                </c:pt>
                <c:pt idx="10">
                  <c:v>-61.250062526118263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7E-41DC-A8C0-8D1BBF0666C9}"/>
            </c:ext>
          </c:extLst>
        </c:ser>
        <c:ser>
          <c:idx val="1"/>
          <c:order val="1"/>
          <c:tx>
            <c:strRef>
              <c:f>'Federal Trophy Copper PHP (2)'!$A$126</c:f>
              <c:strCache>
                <c:ptCount val="1"/>
                <c:pt idx="0">
                  <c:v>150m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2.7</c:v>
                </c:pt>
                <c:pt idx="5">
                  <c:v>1.9</c:v>
                </c:pt>
                <c:pt idx="6">
                  <c:v>0</c:v>
                </c:pt>
                <c:pt idx="7">
                  <c:v>-3.1</c:v>
                </c:pt>
                <c:pt idx="8">
                  <c:v>-7.7</c:v>
                </c:pt>
                <c:pt idx="9">
                  <c:v>-13.4</c:v>
                </c:pt>
                <c:pt idx="10">
                  <c:v>-20.5</c:v>
                </c:pt>
                <c:pt idx="11">
                  <c:v>-29.6</c:v>
                </c:pt>
                <c:pt idx="12">
                  <c:v>-40</c:v>
                </c:pt>
                <c:pt idx="13">
                  <c:v>-52.2</c:v>
                </c:pt>
                <c:pt idx="14">
                  <c:v>-66.8</c:v>
                </c:pt>
                <c:pt idx="15">
                  <c:v>-83</c:v>
                </c:pt>
                <c:pt idx="16">
                  <c:v>-101.5</c:v>
                </c:pt>
                <c:pt idx="17">
                  <c:v>-123.2</c:v>
                </c:pt>
                <c:pt idx="18">
                  <c:v>-146.69999999999999</c:v>
                </c:pt>
                <c:pt idx="19">
                  <c:v>-173.1</c:v>
                </c:pt>
                <c:pt idx="20">
                  <c:v>-202.4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7E-41DC-A8C0-8D1BBF066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1.660000060990616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6.0000003200000211</c:v>
                </c:pt>
                <c:pt idx="7">
                  <c:v>0</c:v>
                </c:pt>
                <c:pt idx="8">
                  <c:v>-10.000000533333367</c:v>
                </c:pt>
                <c:pt idx="9">
                  <c:v>-30.000010000004</c:v>
                </c:pt>
                <c:pt idx="10">
                  <c:v>-52.500039375035435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09-4DB7-9BE7-F6D8B0969300}"/>
            </c:ext>
          </c:extLst>
        </c:ser>
        <c:ser>
          <c:idx val="1"/>
          <c:order val="1"/>
          <c:tx>
            <c:strRef>
              <c:f>'Federal Trophy Copper PHP (2)'!$A$150</c:f>
              <c:strCache>
                <c:ptCount val="1"/>
                <c:pt idx="0">
                  <c:v>200m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5.3</c:v>
                </c:pt>
                <c:pt idx="4">
                  <c:v>6.5</c:v>
                </c:pt>
                <c:pt idx="5">
                  <c:v>6.6</c:v>
                </c:pt>
                <c:pt idx="6">
                  <c:v>5.6</c:v>
                </c:pt>
                <c:pt idx="7">
                  <c:v>3.5</c:v>
                </c:pt>
                <c:pt idx="8">
                  <c:v>-0.1</c:v>
                </c:pt>
                <c:pt idx="9">
                  <c:v>-4.9000000000000004</c:v>
                </c:pt>
                <c:pt idx="10">
                  <c:v>-11.1</c:v>
                </c:pt>
                <c:pt idx="11">
                  <c:v>-19.2</c:v>
                </c:pt>
                <c:pt idx="12">
                  <c:v>-28.7</c:v>
                </c:pt>
                <c:pt idx="13">
                  <c:v>-39.9</c:v>
                </c:pt>
                <c:pt idx="14">
                  <c:v>-53.6</c:v>
                </c:pt>
                <c:pt idx="15">
                  <c:v>-68.900000000000006</c:v>
                </c:pt>
                <c:pt idx="16">
                  <c:v>-86.4</c:v>
                </c:pt>
                <c:pt idx="17">
                  <c:v>-107.2</c:v>
                </c:pt>
                <c:pt idx="18">
                  <c:v>-129.80000000000001</c:v>
                </c:pt>
                <c:pt idx="19">
                  <c:v>-155.19999999999999</c:v>
                </c:pt>
                <c:pt idx="20">
                  <c:v>-183.6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09-4DB7-9BE7-F6D8B0969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0.31200000161980418</c:v>
                </c:pt>
                <c:pt idx="2">
                  <c:v>6.6600039387800765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18.750009765631106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4B-4B98-B4F0-4FE780736C8F}"/>
            </c:ext>
          </c:extLst>
        </c:ser>
        <c:ser>
          <c:idx val="1"/>
          <c:order val="1"/>
          <c:tx>
            <c:strRef>
              <c:f>'Federal Trophy Copper PHP (2)'!$A$174</c:f>
              <c:strCache>
                <c:ptCount val="1"/>
                <c:pt idx="0">
                  <c:v>300m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8</c:v>
                </c:pt>
                <c:pt idx="3">
                  <c:v>12.4</c:v>
                </c:pt>
                <c:pt idx="4">
                  <c:v>15.9</c:v>
                </c:pt>
                <c:pt idx="5">
                  <c:v>18.399999999999999</c:v>
                </c:pt>
                <c:pt idx="6">
                  <c:v>19.8</c:v>
                </c:pt>
                <c:pt idx="7">
                  <c:v>19.899999999999999</c:v>
                </c:pt>
                <c:pt idx="8">
                  <c:v>18.8</c:v>
                </c:pt>
                <c:pt idx="9">
                  <c:v>16.3</c:v>
                </c:pt>
                <c:pt idx="10">
                  <c:v>12.4</c:v>
                </c:pt>
                <c:pt idx="11">
                  <c:v>6.8</c:v>
                </c:pt>
                <c:pt idx="12">
                  <c:v>-0.4</c:v>
                </c:pt>
                <c:pt idx="13">
                  <c:v>-9.3000000000000007</c:v>
                </c:pt>
                <c:pt idx="14">
                  <c:v>-20.6</c:v>
                </c:pt>
                <c:pt idx="15">
                  <c:v>-33.5</c:v>
                </c:pt>
                <c:pt idx="16">
                  <c:v>-48.7</c:v>
                </c:pt>
                <c:pt idx="17">
                  <c:v>-67</c:v>
                </c:pt>
                <c:pt idx="18">
                  <c:v>-87.3</c:v>
                </c:pt>
                <c:pt idx="19">
                  <c:v>-110.4</c:v>
                </c:pt>
                <c:pt idx="20">
                  <c:v>-136.5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4B-4B98-B4F0-4FE780736C8F}"/>
            </c:ext>
          </c:extLst>
        </c:ser>
        <c:ser>
          <c:idx val="2"/>
          <c:order val="2"/>
          <c:tx>
            <c:strRef>
              <c:f>'Federal Trophy Copper PHP (2)'!$K$174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 Copper PHP (2)'!$K$176:$K$196</c:f>
              <c:numCache>
                <c:formatCode>0.00</c:formatCode>
                <c:ptCount val="21"/>
              </c:numCache>
            </c:numRef>
          </c:xVal>
          <c:yVal>
            <c:numRef>
              <c:f>'Federal Trophy Copper PHP (2)'!$N$176:$N$196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4B-4B98-B4F0-4FE780736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10.200014149463554</c:v>
                </c:pt>
                <c:pt idx="3">
                  <c:v>20.010047478689266</c:v>
                </c:pt>
                <c:pt idx="4">
                  <c:v>26.68006330491902</c:v>
                </c:pt>
                <c:pt idx="5">
                  <c:v>33.350079131148782</c:v>
                </c:pt>
                <c:pt idx="6">
                  <c:v>37.500078125195316</c:v>
                </c:pt>
                <c:pt idx="7">
                  <c:v>40.800056597854216</c:v>
                </c:pt>
                <c:pt idx="8">
                  <c:v>43.750044661513051</c:v>
                </c:pt>
                <c:pt idx="9">
                  <c:v>37.500019531262211</c:v>
                </c:pt>
                <c:pt idx="10">
                  <c:v>21.000002520000361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92-4CA5-A0ED-E313FB22BC94}"/>
            </c:ext>
          </c:extLst>
        </c:ser>
        <c:ser>
          <c:idx val="1"/>
          <c:order val="1"/>
          <c:tx>
            <c:strRef>
              <c:f>'Federal Trophy Copper PHP (2)'!$A$198</c:f>
              <c:strCache>
                <c:ptCount val="1"/>
                <c:pt idx="0">
                  <c:v>400m zero(G1 BC=0.325)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14</c:v>
                </c:pt>
                <c:pt idx="3">
                  <c:v>21.4</c:v>
                </c:pt>
                <c:pt idx="4">
                  <c:v>27.9</c:v>
                </c:pt>
                <c:pt idx="5">
                  <c:v>33.5</c:v>
                </c:pt>
                <c:pt idx="6">
                  <c:v>37.700000000000003</c:v>
                </c:pt>
                <c:pt idx="7">
                  <c:v>40.9</c:v>
                </c:pt>
                <c:pt idx="8">
                  <c:v>42.8</c:v>
                </c:pt>
                <c:pt idx="9">
                  <c:v>43.3</c:v>
                </c:pt>
                <c:pt idx="10">
                  <c:v>42.3</c:v>
                </c:pt>
                <c:pt idx="11">
                  <c:v>39.700000000000003</c:v>
                </c:pt>
                <c:pt idx="12">
                  <c:v>35.5</c:v>
                </c:pt>
                <c:pt idx="13">
                  <c:v>29.6</c:v>
                </c:pt>
                <c:pt idx="14">
                  <c:v>21.4</c:v>
                </c:pt>
                <c:pt idx="15">
                  <c:v>11.3</c:v>
                </c:pt>
                <c:pt idx="16">
                  <c:v>-0.9</c:v>
                </c:pt>
                <c:pt idx="17">
                  <c:v>-16.100000000000001</c:v>
                </c:pt>
                <c:pt idx="18">
                  <c:v>-33.5</c:v>
                </c:pt>
                <c:pt idx="19">
                  <c:v>-53.6</c:v>
                </c:pt>
                <c:pt idx="20">
                  <c:v>-76.8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92-4CA5-A0ED-E313FB22B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4.1700038672956641</c:v>
                </c:pt>
                <c:pt idx="2">
                  <c:v>19.000091453861572</c:v>
                </c:pt>
                <c:pt idx="3">
                  <c:v>31.500185221306932</c:v>
                </c:pt>
                <c:pt idx="4">
                  <c:v>42.000246961742569</c:v>
                </c:pt>
                <c:pt idx="5">
                  <c:v>52.500308702178209</c:v>
                </c:pt>
                <c:pt idx="6">
                  <c:v>60.000320002048014</c:v>
                </c:pt>
                <c:pt idx="7">
                  <c:v>75.00035156447754</c:v>
                </c:pt>
                <c:pt idx="8">
                  <c:v>81.250286068916964</c:v>
                </c:pt>
                <c:pt idx="9">
                  <c:v>82.50020796937909</c:v>
                </c:pt>
                <c:pt idx="10">
                  <c:v>77.000124226907175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63-467A-B11E-C4F93D08F75B}"/>
            </c:ext>
          </c:extLst>
        </c:ser>
        <c:ser>
          <c:idx val="1"/>
          <c:order val="1"/>
          <c:tx>
            <c:strRef>
              <c:f>'Federal Trophy Copper PHP (2)'!$A$222</c:f>
              <c:strCache>
                <c:ptCount val="1"/>
                <c:pt idx="0">
                  <c:v>500m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9.1</c:v>
                </c:pt>
                <c:pt idx="2">
                  <c:v>21.6</c:v>
                </c:pt>
                <c:pt idx="3">
                  <c:v>32.6</c:v>
                </c:pt>
                <c:pt idx="4">
                  <c:v>42.7</c:v>
                </c:pt>
                <c:pt idx="5">
                  <c:v>52.2</c:v>
                </c:pt>
                <c:pt idx="6">
                  <c:v>60.1</c:v>
                </c:pt>
                <c:pt idx="7">
                  <c:v>66.900000000000006</c:v>
                </c:pt>
                <c:pt idx="8">
                  <c:v>72.7</c:v>
                </c:pt>
                <c:pt idx="9">
                  <c:v>76.8</c:v>
                </c:pt>
                <c:pt idx="10">
                  <c:v>79.599999999999994</c:v>
                </c:pt>
                <c:pt idx="11">
                  <c:v>80.8</c:v>
                </c:pt>
                <c:pt idx="12">
                  <c:v>80.3</c:v>
                </c:pt>
                <c:pt idx="13">
                  <c:v>78</c:v>
                </c:pt>
                <c:pt idx="14">
                  <c:v>73.599999999999994</c:v>
                </c:pt>
                <c:pt idx="15">
                  <c:v>67.3</c:v>
                </c:pt>
                <c:pt idx="16">
                  <c:v>58.7</c:v>
                </c:pt>
                <c:pt idx="17">
                  <c:v>47.3</c:v>
                </c:pt>
                <c:pt idx="18">
                  <c:v>33.6</c:v>
                </c:pt>
                <c:pt idx="19">
                  <c:v>17.2</c:v>
                </c:pt>
                <c:pt idx="20">
                  <c:v>-2.2999999999999998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63-467A-B11E-C4F93D08F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(3)'!$B$22:$B$35</c:f>
              <c:numCache>
                <c:formatCode>0.00</c:formatCode>
                <c:ptCount val="14"/>
                <c:pt idx="0">
                  <c:v>6112.3</c:v>
                </c:pt>
                <c:pt idx="1">
                  <c:v>5853.6</c:v>
                </c:pt>
                <c:pt idx="2">
                  <c:v>5528.5</c:v>
                </c:pt>
                <c:pt idx="3">
                  <c:v>5226.5</c:v>
                </c:pt>
                <c:pt idx="4">
                  <c:v>4901.6000000000004</c:v>
                </c:pt>
                <c:pt idx="5">
                  <c:v>4644</c:v>
                </c:pt>
                <c:pt idx="6">
                  <c:v>4365.5</c:v>
                </c:pt>
                <c:pt idx="7">
                  <c:v>3868.4</c:v>
                </c:pt>
                <c:pt idx="8">
                  <c:v>3413.7</c:v>
                </c:pt>
                <c:pt idx="9">
                  <c:v>3001.5</c:v>
                </c:pt>
                <c:pt idx="10">
                  <c:v>2632.2</c:v>
                </c:pt>
                <c:pt idx="11">
                  <c:v>2304.6</c:v>
                </c:pt>
                <c:pt idx="12">
                  <c:v>2004.3</c:v>
                </c:pt>
                <c:pt idx="13">
                  <c:v>1757.9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'Federal Trophy Copper PHP (3)'!$A$78</c:f>
              <c:strCache>
                <c:ptCount val="1"/>
                <c:pt idx="0">
                  <c:v>50m Zero(G1 BC=0.318)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(3)'!$C$80:$C$100</c:f>
              <c:numCache>
                <c:formatCode>0.00</c:formatCode>
                <c:ptCount val="21"/>
                <c:pt idx="0">
                  <c:v>6113</c:v>
                </c:pt>
                <c:pt idx="1">
                  <c:v>5779</c:v>
                </c:pt>
                <c:pt idx="2">
                  <c:v>5462</c:v>
                </c:pt>
                <c:pt idx="3">
                  <c:v>5160</c:v>
                </c:pt>
                <c:pt idx="4">
                  <c:v>4870</c:v>
                </c:pt>
                <c:pt idx="5">
                  <c:v>4594</c:v>
                </c:pt>
                <c:pt idx="6">
                  <c:v>4330</c:v>
                </c:pt>
                <c:pt idx="7">
                  <c:v>4078</c:v>
                </c:pt>
                <c:pt idx="8">
                  <c:v>3837</c:v>
                </c:pt>
                <c:pt idx="9">
                  <c:v>3607</c:v>
                </c:pt>
                <c:pt idx="10">
                  <c:v>3388</c:v>
                </c:pt>
                <c:pt idx="11">
                  <c:v>3180</c:v>
                </c:pt>
                <c:pt idx="12">
                  <c:v>2982</c:v>
                </c:pt>
                <c:pt idx="13">
                  <c:v>2794</c:v>
                </c:pt>
                <c:pt idx="14">
                  <c:v>2616</c:v>
                </c:pt>
                <c:pt idx="15">
                  <c:v>2448</c:v>
                </c:pt>
                <c:pt idx="16">
                  <c:v>2289</c:v>
                </c:pt>
                <c:pt idx="17">
                  <c:v>2139</c:v>
                </c:pt>
                <c:pt idx="18">
                  <c:v>1998</c:v>
                </c:pt>
                <c:pt idx="19">
                  <c:v>1866</c:v>
                </c:pt>
                <c:pt idx="20">
                  <c:v>1747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(3)'!$K$21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3.3750002278125182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-68.906339026474683</c:v>
                </c:pt>
                <c:pt idx="11">
                  <c:v>-108.00026244076525</c:v>
                </c:pt>
                <c:pt idx="12">
                  <c:v>-151.87557665301802</c:v>
                </c:pt>
                <c:pt idx="13">
                  <c:v>-213.75130214780023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ser>
          <c:idx val="1"/>
          <c:order val="1"/>
          <c:tx>
            <c:strRef>
              <c:f>'Federal Trophy Copper PHP (3)'!$L$21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-10.800001049760123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-106.72025321967608</c:v>
                </c:pt>
                <c:pt idx="12">
                  <c:v>-149.94055489161974</c:v>
                </c:pt>
                <c:pt idx="13">
                  <c:v>-210.00123480871284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63-4C6F-8DD4-A492692A9A26}"/>
            </c:ext>
          </c:extLst>
        </c:ser>
        <c:ser>
          <c:idx val="2"/>
          <c:order val="2"/>
          <c:tx>
            <c:strRef>
              <c:f>'Federal Trophy Copper PHP (3)'!$M$21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-2.6000009373870725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-16.700002483980715</c:v>
                </c:pt>
                <c:pt idx="9">
                  <c:v>-37.500019531262211</c:v>
                </c:pt>
                <c:pt idx="10">
                  <c:v>-63.000068040088173</c:v>
                </c:pt>
                <c:pt idx="11">
                  <c:v>-100.00020833385418</c:v>
                </c:pt>
                <c:pt idx="12">
                  <c:v>-144.00049152201325</c:v>
                </c:pt>
                <c:pt idx="13">
                  <c:v>-195.00098865601495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63-4C6F-8DD4-A492692A9A26}"/>
            </c:ext>
          </c:extLst>
        </c:ser>
        <c:ser>
          <c:idx val="3"/>
          <c:order val="3"/>
          <c:tx>
            <c:strRef>
              <c:f>'Federal Trophy Copper PHP (3)'!$N$21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2.0000001066666733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-123.75031195406865</c:v>
                </c:pt>
                <c:pt idx="13">
                  <c:v>-165.00059895260901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63-4C6F-8DD4-A492692A9A26}"/>
            </c:ext>
          </c:extLst>
        </c:ser>
        <c:ser>
          <c:idx val="4"/>
          <c:order val="4"/>
          <c:tx>
            <c:strRef>
              <c:f>'Federal Trophy Copper PHP (3)'!$O$21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0.62500001302083352</c:v>
                </c:pt>
                <c:pt idx="2">
                  <c:v>6.252003258336372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-50.000026041682943</c:v>
                </c:pt>
                <c:pt idx="12">
                  <c:v>-81.000087480113365</c:v>
                </c:pt>
                <c:pt idx="13">
                  <c:v>-130.00029293412544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'Federal Trophy Copper PHP (3)'!$P$21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'Federal Trophy Copper PHP (3)'!$A$22:$A$35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'Federal Trophy Copper PHP (3)'!$P$22:$P$35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3.3300019693900382</c:v>
                      </c:pt>
                      <c:pt idx="2">
                        <c:v>11.660021136609924</c:v>
                      </c:pt>
                      <c:pt idx="3">
                        <c:v>19.500043940118815</c:v>
                      </c:pt>
                      <c:pt idx="4">
                        <c:v>26.000058586825087</c:v>
                      </c:pt>
                      <c:pt idx="5">
                        <c:v>32.50007323353136</c:v>
                      </c:pt>
                      <c:pt idx="6">
                        <c:v>37.500078125195316</c:v>
                      </c:pt>
                      <c:pt idx="7">
                        <c:v>44.000070986804104</c:v>
                      </c:pt>
                      <c:pt idx="8">
                        <c:v>43.750044661513051</c:v>
                      </c:pt>
                      <c:pt idx="9">
                        <c:v>37.500019531262211</c:v>
                      </c:pt>
                      <c:pt idx="10">
                        <c:v>17.500001458333479</c:v>
                      </c:pt>
                      <c:pt idx="11">
                        <c:v>0</c:v>
                      </c:pt>
                      <c:pt idx="12">
                        <c:v>-30.060004471165279</c:v>
                      </c:pt>
                      <c:pt idx="13">
                        <c:v>-75.000056250050633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 Copper PHP (3)'!$Q$21</c15:sqref>
                        </c15:formulaRef>
                      </c:ext>
                    </c:extLst>
                    <c:strCache>
                      <c:ptCount val="1"/>
                      <c:pt idx="0">
                        <c:v>500m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 Copper PHP (3)'!$A$22:$A$35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'Federal Trophy Copper PHP (3)'!$Q$22:$Q$35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6.8750173307815912</c:v>
                      </c:pt>
                      <c:pt idx="2">
                        <c:v>19.000091453861572</c:v>
                      </c:pt>
                      <c:pt idx="3">
                        <c:v>31.500185221306932</c:v>
                      </c:pt>
                      <c:pt idx="4">
                        <c:v>42.000246961742569</c:v>
                      </c:pt>
                      <c:pt idx="5">
                        <c:v>50.000266668373342</c:v>
                      </c:pt>
                      <c:pt idx="6">
                        <c:v>57.000274361584715</c:v>
                      </c:pt>
                      <c:pt idx="7">
                        <c:v>70.00028583473393</c:v>
                      </c:pt>
                      <c:pt idx="8">
                        <c:v>80.000273067785159</c:v>
                      </c:pt>
                      <c:pt idx="9">
                        <c:v>81.240198585371644</c:v>
                      </c:pt>
                      <c:pt idx="10">
                        <c:v>70.000093333482667</c:v>
                      </c:pt>
                      <c:pt idx="11">
                        <c:v>60.000045000040501</c:v>
                      </c:pt>
                      <c:pt idx="12">
                        <c:v>30.060004471165279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 Copper PHP (3)'!$C$21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(3)'!$C$23:$C$32</c:f>
              <c:numCache>
                <c:formatCode>0.000</c:formatCode>
                <c:ptCount val="10"/>
                <c:pt idx="0">
                  <c:v>-0.25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8.3000000000000004E-2</c:v>
                </c:pt>
                <c:pt idx="5">
                  <c:v>6.25E-2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'Federal Trophy Copper PHP (3)'!$D$21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(3)'!$D$23:$D$35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-0.1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-0.13500000000000001</c:v>
                </c:pt>
                <c:pt idx="7">
                  <c:v>-0.25</c:v>
                </c:pt>
                <c:pt idx="8">
                  <c:v>-0.375</c:v>
                </c:pt>
                <c:pt idx="9">
                  <c:v>-0.5</c:v>
                </c:pt>
                <c:pt idx="10">
                  <c:v>-0.66700000000000004</c:v>
                </c:pt>
                <c:pt idx="11">
                  <c:v>-0.83299999999999996</c:v>
                </c:pt>
                <c:pt idx="12">
                  <c:v>-1.05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'Federal Trophy Copper PHP (3)'!$E$21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(3)'!$E$23:$E$35</c:f>
              <c:numCache>
                <c:formatCode>0.000</c:formatCode>
                <c:ptCount val="13"/>
                <c:pt idx="0">
                  <c:v>-0.26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-0.45</c:v>
                </c:pt>
                <c:pt idx="10">
                  <c:v>-0.625</c:v>
                </c:pt>
                <c:pt idx="11">
                  <c:v>-0.8</c:v>
                </c:pt>
                <c:pt idx="12">
                  <c:v>-0.97499999999999998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'Federal Trophy Copper PHP (3)'!$F$21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(3)'!$F$23:$F$35</c:f>
              <c:numCache>
                <c:formatCode>0.000</c:formatCode>
                <c:ptCount val="13"/>
                <c:pt idx="0">
                  <c:v>-0.16700000000000001</c:v>
                </c:pt>
                <c:pt idx="1">
                  <c:v>0.1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-0.6875</c:v>
                </c:pt>
                <c:pt idx="12">
                  <c:v>-0.82499999999999996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'Federal Trophy Copper PHP (3)'!$G$21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(3)'!$G$23:$G$35</c:f>
              <c:numCache>
                <c:formatCode>0.000</c:formatCode>
                <c:ptCount val="13"/>
                <c:pt idx="0">
                  <c:v>6.25E-2</c:v>
                </c:pt>
                <c:pt idx="1">
                  <c:v>0.31259999999999999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0.33300000000000002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-0.3125</c:v>
                </c:pt>
                <c:pt idx="11">
                  <c:v>-0.45</c:v>
                </c:pt>
                <c:pt idx="12">
                  <c:v>-0.65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'Federal Trophy Copper PHP (3)'!$H$21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(3)'!$H$23:$H$35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0.58299999999999996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0.625</c:v>
                </c:pt>
                <c:pt idx="6">
                  <c:v>0.55000000000000004</c:v>
                </c:pt>
                <c:pt idx="7">
                  <c:v>0.4375</c:v>
                </c:pt>
                <c:pt idx="8">
                  <c:v>0.3125</c:v>
                </c:pt>
                <c:pt idx="9">
                  <c:v>0.125</c:v>
                </c:pt>
                <c:pt idx="10">
                  <c:v>0</c:v>
                </c:pt>
                <c:pt idx="11">
                  <c:v>-0.16700000000000001</c:v>
                </c:pt>
                <c:pt idx="12">
                  <c:v>-0.375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'Federal Trophy Copper PHP (3)'!$I$21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Trophy Copper PHP (3)'!$I$23:$I$35</c:f>
              <c:numCache>
                <c:formatCode>0.000</c:formatCode>
                <c:ptCount val="13"/>
                <c:pt idx="0">
                  <c:v>0.6875</c:v>
                </c:pt>
                <c:pt idx="1">
                  <c:v>0.95</c:v>
                </c:pt>
                <c:pt idx="2">
                  <c:v>1.05</c:v>
                </c:pt>
                <c:pt idx="3">
                  <c:v>1.05</c:v>
                </c:pt>
                <c:pt idx="4">
                  <c:v>1</c:v>
                </c:pt>
                <c:pt idx="5">
                  <c:v>0.95</c:v>
                </c:pt>
                <c:pt idx="6">
                  <c:v>0.875</c:v>
                </c:pt>
                <c:pt idx="7">
                  <c:v>0.8</c:v>
                </c:pt>
                <c:pt idx="8">
                  <c:v>0.67700000000000005</c:v>
                </c:pt>
                <c:pt idx="9">
                  <c:v>0.5</c:v>
                </c:pt>
                <c:pt idx="10">
                  <c:v>0.375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178618122406032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 Copper PHP (3)'!$K$21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973732190278223"/>
                  <c:y val="-0.3112858337963229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3.3750002278125182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-68.906339026474683</c:v>
                </c:pt>
                <c:pt idx="11">
                  <c:v>-108.00026244076525</c:v>
                </c:pt>
                <c:pt idx="12">
                  <c:v>-151.87557665301802</c:v>
                </c:pt>
                <c:pt idx="13">
                  <c:v>-213.75130214780023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'Federal Trophy Copper PHP (3)'!$A$78</c:f>
              <c:strCache>
                <c:ptCount val="1"/>
                <c:pt idx="0">
                  <c:v>50m Zero(G1 BC=0.318)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-4</c:v>
                </c:pt>
                <c:pt idx="7">
                  <c:v>-7.7</c:v>
                </c:pt>
                <c:pt idx="8">
                  <c:v>-12.9</c:v>
                </c:pt>
                <c:pt idx="9">
                  <c:v>-19.2</c:v>
                </c:pt>
                <c:pt idx="10">
                  <c:v>-26.9</c:v>
                </c:pt>
                <c:pt idx="11">
                  <c:v>-36.6</c:v>
                </c:pt>
                <c:pt idx="12">
                  <c:v>-47.5</c:v>
                </c:pt>
                <c:pt idx="13">
                  <c:v>-60.2</c:v>
                </c:pt>
                <c:pt idx="14">
                  <c:v>-75.400000000000006</c:v>
                </c:pt>
                <c:pt idx="15">
                  <c:v>-92.1</c:v>
                </c:pt>
                <c:pt idx="16">
                  <c:v>-110.9</c:v>
                </c:pt>
                <c:pt idx="17">
                  <c:v>-132.9</c:v>
                </c:pt>
                <c:pt idx="18">
                  <c:v>-156.69999999999999</c:v>
                </c:pt>
                <c:pt idx="19">
                  <c:v>-183.3</c:v>
                </c:pt>
                <c:pt idx="20">
                  <c:v>-212.7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(3)'!$D$21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-10.800001049760123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-106.72025321967608</c:v>
                </c:pt>
                <c:pt idx="12">
                  <c:v>-149.94055489161974</c:v>
                </c:pt>
                <c:pt idx="13">
                  <c:v>-210.00123480871284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9-4D4B-94F8-1A547946A0D0}"/>
            </c:ext>
          </c:extLst>
        </c:ser>
        <c:ser>
          <c:idx val="1"/>
          <c:order val="1"/>
          <c:tx>
            <c:strRef>
              <c:f>'Federal Trophy Copper PHP (3)'!$A$102</c:f>
              <c:strCache>
                <c:ptCount val="1"/>
                <c:pt idx="0">
                  <c:v>100m zero(G1 BC=0.318)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-13</c:v>
                </c:pt>
                <c:pt idx="9">
                  <c:v>-19.399999999999999</c:v>
                </c:pt>
                <c:pt idx="10">
                  <c:v>-27.1</c:v>
                </c:pt>
                <c:pt idx="11">
                  <c:v>-36.799999999999997</c:v>
                </c:pt>
                <c:pt idx="12">
                  <c:v>-47.8</c:v>
                </c:pt>
                <c:pt idx="13">
                  <c:v>-60.5</c:v>
                </c:pt>
                <c:pt idx="14">
                  <c:v>-75.599999999999994</c:v>
                </c:pt>
                <c:pt idx="15">
                  <c:v>-92.3</c:v>
                </c:pt>
                <c:pt idx="16">
                  <c:v>-111.2</c:v>
                </c:pt>
                <c:pt idx="17">
                  <c:v>-133.19999999999999</c:v>
                </c:pt>
                <c:pt idx="18">
                  <c:v>-157.1</c:v>
                </c:pt>
                <c:pt idx="19">
                  <c:v>-183.6</c:v>
                </c:pt>
                <c:pt idx="20">
                  <c:v>-213.1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89-4D4B-94F8-1A547946A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(3)'!$E$21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-2.6000009373870725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3.1250000651041678</c:v>
                </c:pt>
                <c:pt idx="6">
                  <c:v>0</c:v>
                </c:pt>
                <c:pt idx="7">
                  <c:v>-6.6400002439624641</c:v>
                </c:pt>
                <c:pt idx="8">
                  <c:v>-16.700002483980715</c:v>
                </c:pt>
                <c:pt idx="9">
                  <c:v>-37.500019531262211</c:v>
                </c:pt>
                <c:pt idx="10">
                  <c:v>-63.000068040088173</c:v>
                </c:pt>
                <c:pt idx="11">
                  <c:v>-100.00020833385418</c:v>
                </c:pt>
                <c:pt idx="12">
                  <c:v>-144.00049152201325</c:v>
                </c:pt>
                <c:pt idx="13">
                  <c:v>-195.00098865601495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51-49B6-A645-CA76683BA954}"/>
            </c:ext>
          </c:extLst>
        </c:ser>
        <c:ser>
          <c:idx val="1"/>
          <c:order val="1"/>
          <c:tx>
            <c:strRef>
              <c:f>'Federal Trophy Copper PHP (3)'!$A$126</c:f>
              <c:strCache>
                <c:ptCount val="1"/>
                <c:pt idx="0">
                  <c:v>150m zero(G1 BC=0.318)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-3.1</c:v>
                </c:pt>
                <c:pt idx="8">
                  <c:v>-7.6</c:v>
                </c:pt>
                <c:pt idx="9">
                  <c:v>-13.2</c:v>
                </c:pt>
                <c:pt idx="10">
                  <c:v>-20.3</c:v>
                </c:pt>
                <c:pt idx="11">
                  <c:v>-29.3</c:v>
                </c:pt>
                <c:pt idx="12">
                  <c:v>-39.6</c:v>
                </c:pt>
                <c:pt idx="13">
                  <c:v>-51.6</c:v>
                </c:pt>
                <c:pt idx="14">
                  <c:v>-66.099999999999994</c:v>
                </c:pt>
                <c:pt idx="15">
                  <c:v>-82.1</c:v>
                </c:pt>
                <c:pt idx="16">
                  <c:v>-100.3</c:v>
                </c:pt>
                <c:pt idx="17">
                  <c:v>-121.7</c:v>
                </c:pt>
                <c:pt idx="18">
                  <c:v>-144.80000000000001</c:v>
                </c:pt>
                <c:pt idx="19">
                  <c:v>-170.7</c:v>
                </c:pt>
                <c:pt idx="20">
                  <c:v>-199.5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51-49B6-A645-CA76683BA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(3)'!$N$21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-1.6700002483980712</c:v>
                </c:pt>
                <c:pt idx="2">
                  <c:v>2.0000001066666733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-123.75031195406865</c:v>
                </c:pt>
                <c:pt idx="13">
                  <c:v>-165.00059895260901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B1-4F7F-A09F-1AA707F22E32}"/>
            </c:ext>
          </c:extLst>
        </c:ser>
        <c:ser>
          <c:idx val="1"/>
          <c:order val="1"/>
          <c:tx>
            <c:strRef>
              <c:f>'Federal Trophy Copper PHP (3)'!$A$150</c:f>
              <c:strCache>
                <c:ptCount val="1"/>
                <c:pt idx="0">
                  <c:v>200m zero(G1 BC=0.318)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5.4</c:v>
                </c:pt>
                <c:pt idx="4">
                  <c:v>6.5</c:v>
                </c:pt>
                <c:pt idx="5">
                  <c:v>6.6</c:v>
                </c:pt>
                <c:pt idx="6">
                  <c:v>5.7</c:v>
                </c:pt>
                <c:pt idx="7">
                  <c:v>3.5</c:v>
                </c:pt>
                <c:pt idx="8">
                  <c:v>0</c:v>
                </c:pt>
                <c:pt idx="9">
                  <c:v>-4.8</c:v>
                </c:pt>
                <c:pt idx="10">
                  <c:v>-10.9</c:v>
                </c:pt>
                <c:pt idx="11">
                  <c:v>-18.899999999999999</c:v>
                </c:pt>
                <c:pt idx="12">
                  <c:v>-28.3</c:v>
                </c:pt>
                <c:pt idx="13">
                  <c:v>-39.4</c:v>
                </c:pt>
                <c:pt idx="14">
                  <c:v>-52.9</c:v>
                </c:pt>
                <c:pt idx="15">
                  <c:v>-68</c:v>
                </c:pt>
                <c:pt idx="16">
                  <c:v>-85.3</c:v>
                </c:pt>
                <c:pt idx="17">
                  <c:v>-105.6</c:v>
                </c:pt>
                <c:pt idx="18">
                  <c:v>-127.9</c:v>
                </c:pt>
                <c:pt idx="19">
                  <c:v>-152.80000000000001</c:v>
                </c:pt>
                <c:pt idx="20">
                  <c:v>-180.7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B1-4F7F-A09F-1AA707F22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(3)'!$O$21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0.62500001302083352</c:v>
                </c:pt>
                <c:pt idx="2">
                  <c:v>6.252003258336372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19.98001181634023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-50.000026041682943</c:v>
                </c:pt>
                <c:pt idx="12">
                  <c:v>-81.000087480113365</c:v>
                </c:pt>
                <c:pt idx="13">
                  <c:v>-130.00029293412544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94-4283-A70F-9D00C2512DF9}"/>
            </c:ext>
          </c:extLst>
        </c:ser>
        <c:ser>
          <c:idx val="1"/>
          <c:order val="1"/>
          <c:tx>
            <c:strRef>
              <c:f>'Federal Trophy Copper PHP (3)'!$A$174</c:f>
              <c:strCache>
                <c:ptCount val="1"/>
                <c:pt idx="0">
                  <c:v>300m zero(G1 BC=0.318)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8</c:v>
                </c:pt>
                <c:pt idx="3">
                  <c:v>12.4</c:v>
                </c:pt>
                <c:pt idx="4">
                  <c:v>15.9</c:v>
                </c:pt>
                <c:pt idx="5">
                  <c:v>18.5</c:v>
                </c:pt>
                <c:pt idx="6">
                  <c:v>19.8</c:v>
                </c:pt>
                <c:pt idx="7">
                  <c:v>20</c:v>
                </c:pt>
                <c:pt idx="8">
                  <c:v>18.899999999999999</c:v>
                </c:pt>
                <c:pt idx="9">
                  <c:v>16.5</c:v>
                </c:pt>
                <c:pt idx="10">
                  <c:v>12.6</c:v>
                </c:pt>
                <c:pt idx="11">
                  <c:v>7.1</c:v>
                </c:pt>
                <c:pt idx="12">
                  <c:v>0</c:v>
                </c:pt>
                <c:pt idx="13">
                  <c:v>-8.8000000000000007</c:v>
                </c:pt>
                <c:pt idx="14">
                  <c:v>-19.899999999999999</c:v>
                </c:pt>
                <c:pt idx="15">
                  <c:v>-32.6</c:v>
                </c:pt>
                <c:pt idx="16">
                  <c:v>-47.6</c:v>
                </c:pt>
                <c:pt idx="17">
                  <c:v>-65.5</c:v>
                </c:pt>
                <c:pt idx="18">
                  <c:v>-85.4</c:v>
                </c:pt>
                <c:pt idx="19">
                  <c:v>-108</c:v>
                </c:pt>
                <c:pt idx="20">
                  <c:v>-133.6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94-4283-A70F-9D00C2512DF9}"/>
            </c:ext>
          </c:extLst>
        </c:ser>
        <c:ser>
          <c:idx val="2"/>
          <c:order val="2"/>
          <c:tx>
            <c:strRef>
              <c:f>'Federal Trophy Copper PHP (3)'!$L$174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 Copper PHP (3)'!$L$176:$L$196</c:f>
              <c:numCache>
                <c:formatCode>0.00</c:formatCode>
                <c:ptCount val="21"/>
              </c:numCache>
            </c:numRef>
          </c:xVal>
          <c:yVal>
            <c:numRef>
              <c:f>'Federal Trophy Copper PHP (3)'!$O$176:$O$196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094-4283-A70F-9D00C2512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(3)'!$P$21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11.660021136609924</c:v>
                </c:pt>
                <c:pt idx="3">
                  <c:v>19.500043940118815</c:v>
                </c:pt>
                <c:pt idx="4">
                  <c:v>26.000058586825087</c:v>
                </c:pt>
                <c:pt idx="5">
                  <c:v>32.50007323353136</c:v>
                </c:pt>
                <c:pt idx="6">
                  <c:v>37.500078125195316</c:v>
                </c:pt>
                <c:pt idx="7">
                  <c:v>44.000070986804104</c:v>
                </c:pt>
                <c:pt idx="8">
                  <c:v>43.750044661513051</c:v>
                </c:pt>
                <c:pt idx="9">
                  <c:v>37.500019531262211</c:v>
                </c:pt>
                <c:pt idx="10">
                  <c:v>17.500001458333479</c:v>
                </c:pt>
                <c:pt idx="11">
                  <c:v>0</c:v>
                </c:pt>
                <c:pt idx="12">
                  <c:v>-30.060004471165279</c:v>
                </c:pt>
                <c:pt idx="13">
                  <c:v>-75.000056250050633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EB-4454-9368-990BD6E50F0B}"/>
            </c:ext>
          </c:extLst>
        </c:ser>
        <c:ser>
          <c:idx val="1"/>
          <c:order val="1"/>
          <c:tx>
            <c:strRef>
              <c:f>'Federal Trophy Copper PHP (3)'!$A$198</c:f>
              <c:strCache>
                <c:ptCount val="1"/>
                <c:pt idx="0">
                  <c:v>400m zero(G1 BC=0.318)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14</c:v>
                </c:pt>
                <c:pt idx="3">
                  <c:v>21.4</c:v>
                </c:pt>
                <c:pt idx="4">
                  <c:v>27.9</c:v>
                </c:pt>
                <c:pt idx="5">
                  <c:v>33.5</c:v>
                </c:pt>
                <c:pt idx="6">
                  <c:v>37.799999999999997</c:v>
                </c:pt>
                <c:pt idx="7">
                  <c:v>40.9</c:v>
                </c:pt>
                <c:pt idx="8">
                  <c:v>42.9</c:v>
                </c:pt>
                <c:pt idx="9">
                  <c:v>43.4</c:v>
                </c:pt>
                <c:pt idx="10">
                  <c:v>42.5</c:v>
                </c:pt>
                <c:pt idx="11">
                  <c:v>40</c:v>
                </c:pt>
                <c:pt idx="12">
                  <c:v>35.9</c:v>
                </c:pt>
                <c:pt idx="13">
                  <c:v>30.1</c:v>
                </c:pt>
                <c:pt idx="14">
                  <c:v>22.1</c:v>
                </c:pt>
                <c:pt idx="15">
                  <c:v>12.3</c:v>
                </c:pt>
                <c:pt idx="16">
                  <c:v>0.3</c:v>
                </c:pt>
                <c:pt idx="17">
                  <c:v>-14.6</c:v>
                </c:pt>
                <c:pt idx="18">
                  <c:v>-31.6</c:v>
                </c:pt>
                <c:pt idx="19">
                  <c:v>-51.2</c:v>
                </c:pt>
                <c:pt idx="20">
                  <c:v>-73.8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EB-4454-9368-990BD6E50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 (3)'!$Q$21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(3)'!$Q$22:$Q$35</c:f>
              <c:numCache>
                <c:formatCode>0.00</c:formatCode>
                <c:ptCount val="14"/>
                <c:pt idx="0">
                  <c:v>-3.81</c:v>
                </c:pt>
                <c:pt idx="1">
                  <c:v>6.8750173307815912</c:v>
                </c:pt>
                <c:pt idx="2">
                  <c:v>19.000091453861572</c:v>
                </c:pt>
                <c:pt idx="3">
                  <c:v>31.500185221306932</c:v>
                </c:pt>
                <c:pt idx="4">
                  <c:v>42.000246961742569</c:v>
                </c:pt>
                <c:pt idx="5">
                  <c:v>50.000266668373342</c:v>
                </c:pt>
                <c:pt idx="6">
                  <c:v>57.000274361584715</c:v>
                </c:pt>
                <c:pt idx="7">
                  <c:v>70.00028583473393</c:v>
                </c:pt>
                <c:pt idx="8">
                  <c:v>80.000273067785159</c:v>
                </c:pt>
                <c:pt idx="9">
                  <c:v>81.240198585371644</c:v>
                </c:pt>
                <c:pt idx="10">
                  <c:v>70.000093333482667</c:v>
                </c:pt>
                <c:pt idx="11">
                  <c:v>60.000045000040501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5F-4B31-B2A9-FA9AA7CCBE09}"/>
            </c:ext>
          </c:extLst>
        </c:ser>
        <c:ser>
          <c:idx val="1"/>
          <c:order val="1"/>
          <c:tx>
            <c:strRef>
              <c:f>'Federal Trophy Copper PHP (3)'!$A$222</c:f>
              <c:strCache>
                <c:ptCount val="1"/>
                <c:pt idx="0">
                  <c:v>500m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Trophy Copper PHP (3)'!$A$224:$A$244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9.1</c:v>
                </c:pt>
                <c:pt idx="2">
                  <c:v>21.6</c:v>
                </c:pt>
                <c:pt idx="3">
                  <c:v>32.6</c:v>
                </c:pt>
                <c:pt idx="4">
                  <c:v>42.8</c:v>
                </c:pt>
                <c:pt idx="5">
                  <c:v>52.2</c:v>
                </c:pt>
                <c:pt idx="6">
                  <c:v>60.2</c:v>
                </c:pt>
                <c:pt idx="7">
                  <c:v>67</c:v>
                </c:pt>
                <c:pt idx="8">
                  <c:v>72.8</c:v>
                </c:pt>
                <c:pt idx="9">
                  <c:v>77</c:v>
                </c:pt>
                <c:pt idx="10">
                  <c:v>79.8</c:v>
                </c:pt>
                <c:pt idx="11">
                  <c:v>81.099999999999994</c:v>
                </c:pt>
                <c:pt idx="12">
                  <c:v>80.7</c:v>
                </c:pt>
                <c:pt idx="13">
                  <c:v>78.5</c:v>
                </c:pt>
                <c:pt idx="14">
                  <c:v>74.3</c:v>
                </c:pt>
                <c:pt idx="15">
                  <c:v>68.2</c:v>
                </c:pt>
                <c:pt idx="16">
                  <c:v>59.9</c:v>
                </c:pt>
                <c:pt idx="17">
                  <c:v>48.8</c:v>
                </c:pt>
                <c:pt idx="18">
                  <c:v>35.5</c:v>
                </c:pt>
                <c:pt idx="19">
                  <c:v>19.600000000000001</c:v>
                </c:pt>
                <c:pt idx="20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5F-4B31-B2A9-FA9AA7CCB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 Copper PHP (3)'!$R$20</c:f>
              <c:strCache>
                <c:ptCount val="1"/>
                <c:pt idx="0">
                  <c:v>Calculated Wind Drift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0.19035499218762028"/>
                  <c:y val="-6.593081084695493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(3)'!$R$22:$R$35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3.7500000781250016</c:v>
                </c:pt>
                <c:pt idx="7">
                  <c:v>5.0000001041666682</c:v>
                </c:pt>
                <c:pt idx="8">
                  <c:v>12.500001041666769</c:v>
                </c:pt>
                <c:pt idx="9">
                  <c:v>47.250039069882519</c:v>
                </c:pt>
                <c:pt idx="10">
                  <c:v>55.125045581529605</c:v>
                </c:pt>
                <c:pt idx="11">
                  <c:v>125.00040690263114</c:v>
                </c:pt>
                <c:pt idx="12">
                  <c:v>168.75079102007447</c:v>
                </c:pt>
                <c:pt idx="13">
                  <c:v>187.50087891119387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7C-4C30-9526-CF0AB949A2CB}"/>
            </c:ext>
          </c:extLst>
        </c:ser>
        <c:ser>
          <c:idx val="1"/>
          <c:order val="1"/>
          <c:tx>
            <c:strRef>
              <c:f>'Federal Trophy Copper PHP (3)'!$A$78</c:f>
              <c:strCache>
                <c:ptCount val="1"/>
                <c:pt idx="0">
                  <c:v>50m Zero(G1 BC=0.318)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 (3)'!$A$80:$A$100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(3)'!$G$80:$G$100</c:f>
              <c:numCache>
                <c:formatCode>0.00</c:formatCode>
                <c:ptCount val="21"/>
                <c:pt idx="0">
                  <c:v>0.2</c:v>
                </c:pt>
                <c:pt idx="1">
                  <c:v>0.5</c:v>
                </c:pt>
                <c:pt idx="2">
                  <c:v>1.6</c:v>
                </c:pt>
                <c:pt idx="3">
                  <c:v>3.4</c:v>
                </c:pt>
                <c:pt idx="4">
                  <c:v>6.1</c:v>
                </c:pt>
                <c:pt idx="5">
                  <c:v>9.5</c:v>
                </c:pt>
                <c:pt idx="6">
                  <c:v>13.7</c:v>
                </c:pt>
                <c:pt idx="7">
                  <c:v>18.899999999999999</c:v>
                </c:pt>
                <c:pt idx="8">
                  <c:v>25</c:v>
                </c:pt>
                <c:pt idx="9">
                  <c:v>32</c:v>
                </c:pt>
                <c:pt idx="10">
                  <c:v>40.1</c:v>
                </c:pt>
                <c:pt idx="11">
                  <c:v>49.2</c:v>
                </c:pt>
                <c:pt idx="12">
                  <c:v>59.4</c:v>
                </c:pt>
                <c:pt idx="13">
                  <c:v>70.8</c:v>
                </c:pt>
                <c:pt idx="14">
                  <c:v>83.4</c:v>
                </c:pt>
                <c:pt idx="15">
                  <c:v>97.3</c:v>
                </c:pt>
                <c:pt idx="16">
                  <c:v>112.5</c:v>
                </c:pt>
                <c:pt idx="17">
                  <c:v>129</c:v>
                </c:pt>
                <c:pt idx="18">
                  <c:v>147</c:v>
                </c:pt>
                <c:pt idx="19">
                  <c:v>166.5</c:v>
                </c:pt>
                <c:pt idx="20">
                  <c:v>186.7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</c:scatterChart>
      <c:valAx>
        <c:axId val="113571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Trophy Copper PHP'!$B$1:$E$1</c:f>
              <c:strCache>
                <c:ptCount val="1"/>
                <c:pt idx="0">
                  <c:v>338 Lapua Magnum (180° wind) Federal Trophy Copper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PHP'!$B$22:$B$35</c:f>
              <c:numCache>
                <c:formatCode>0.00</c:formatCode>
                <c:ptCount val="14"/>
                <c:pt idx="0">
                  <c:v>6112.3</c:v>
                </c:pt>
                <c:pt idx="1">
                  <c:v>5848</c:v>
                </c:pt>
                <c:pt idx="2">
                  <c:v>5516.1</c:v>
                </c:pt>
                <c:pt idx="3">
                  <c:v>5208.1000000000004</c:v>
                </c:pt>
                <c:pt idx="4">
                  <c:v>4876</c:v>
                </c:pt>
                <c:pt idx="5">
                  <c:v>4612.2</c:v>
                </c:pt>
                <c:pt idx="6">
                  <c:v>4327.3</c:v>
                </c:pt>
                <c:pt idx="7">
                  <c:v>3821.1</c:v>
                </c:pt>
                <c:pt idx="8">
                  <c:v>3358.3</c:v>
                </c:pt>
                <c:pt idx="9">
                  <c:v>2916.5</c:v>
                </c:pt>
                <c:pt idx="10">
                  <c:v>2546.6999999999998</c:v>
                </c:pt>
                <c:pt idx="11">
                  <c:v>2219.4</c:v>
                </c:pt>
                <c:pt idx="12">
                  <c:v>1921.1</c:v>
                </c:pt>
                <c:pt idx="13">
                  <c:v>1663.7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4C-4E6E-B777-EB70836EE91E}"/>
            </c:ext>
          </c:extLst>
        </c:ser>
        <c:ser>
          <c:idx val="1"/>
          <c:order val="1"/>
          <c:tx>
            <c:strRef>
              <c:f>'Federal Trophy Copper PHP (2)'!$B$1:$D$1</c:f>
              <c:strCache>
                <c:ptCount val="1"/>
                <c:pt idx="0">
                  <c:v>338 Lapua Magnum(0° wind) Federal Trophy Copper Polymer 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 Copper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(2)'!$B$22:$B$32</c:f>
              <c:numCache>
                <c:formatCode>0.00</c:formatCode>
                <c:ptCount val="11"/>
                <c:pt idx="0">
                  <c:v>6112.3</c:v>
                </c:pt>
                <c:pt idx="1">
                  <c:v>5851.1</c:v>
                </c:pt>
                <c:pt idx="2">
                  <c:v>5540.2</c:v>
                </c:pt>
                <c:pt idx="3">
                  <c:v>5245.6</c:v>
                </c:pt>
                <c:pt idx="4">
                  <c:v>4926.3999999999996</c:v>
                </c:pt>
                <c:pt idx="5">
                  <c:v>4672.8</c:v>
                </c:pt>
                <c:pt idx="6">
                  <c:v>4397.7</c:v>
                </c:pt>
                <c:pt idx="7">
                  <c:v>3907.3</c:v>
                </c:pt>
                <c:pt idx="8">
                  <c:v>3457</c:v>
                </c:pt>
                <c:pt idx="9">
                  <c:v>3048.8</c:v>
                </c:pt>
                <c:pt idx="10">
                  <c:v>2682.2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81-43C3-8A30-BA068D1A9493}"/>
            </c:ext>
          </c:extLst>
        </c:ser>
        <c:ser>
          <c:idx val="2"/>
          <c:order val="2"/>
          <c:tx>
            <c:strRef>
              <c:f>'Federal Trophy Copper PHP (3)'!$B$1:$D$1</c:f>
              <c:strCache>
                <c:ptCount val="1"/>
                <c:pt idx="0">
                  <c:v>338 Lapua Magnum(90° wind) Federal Trophy Copper Polymer Tipped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(3)'!$B$22:$B$35</c:f>
              <c:numCache>
                <c:formatCode>0.00</c:formatCode>
                <c:ptCount val="14"/>
                <c:pt idx="0">
                  <c:v>6112.3</c:v>
                </c:pt>
                <c:pt idx="1">
                  <c:v>5853.6</c:v>
                </c:pt>
                <c:pt idx="2">
                  <c:v>5528.5</c:v>
                </c:pt>
                <c:pt idx="3">
                  <c:v>5226.5</c:v>
                </c:pt>
                <c:pt idx="4">
                  <c:v>4901.6000000000004</c:v>
                </c:pt>
                <c:pt idx="5">
                  <c:v>4644</c:v>
                </c:pt>
                <c:pt idx="6">
                  <c:v>4365.5</c:v>
                </c:pt>
                <c:pt idx="7">
                  <c:v>3868.4</c:v>
                </c:pt>
                <c:pt idx="8">
                  <c:v>3413.7</c:v>
                </c:pt>
                <c:pt idx="9">
                  <c:v>3001.5</c:v>
                </c:pt>
                <c:pt idx="10">
                  <c:v>2632.2</c:v>
                </c:pt>
                <c:pt idx="11">
                  <c:v>2304.6</c:v>
                </c:pt>
                <c:pt idx="12">
                  <c:v>2004.3</c:v>
                </c:pt>
                <c:pt idx="13">
                  <c:v>1757.9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81-43C3-8A30-BA068D1A9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Bullet Trajectory Comparison: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740039808894131E-2"/>
          <c:y val="7.4489164086687321E-2"/>
          <c:w val="0.75340553403505928"/>
          <c:h val="0.86936008385948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 Copper PHP'!$B$1:$C$1</c:f>
              <c:strCache>
                <c:ptCount val="1"/>
                <c:pt idx="0">
                  <c:v>338 Lapua Magnum (180° wind) Federal Trophy Copper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Trophy Copper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-106.72025321967608</c:v>
                </c:pt>
                <c:pt idx="12">
                  <c:v>-149.94055489161974</c:v>
                </c:pt>
                <c:pt idx="13">
                  <c:v>-210.00123480871284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F2-439F-BC07-2778BF632C71}"/>
            </c:ext>
          </c:extLst>
        </c:ser>
        <c:ser>
          <c:idx val="1"/>
          <c:order val="1"/>
          <c:tx>
            <c:strRef>
              <c:f>'Federal Trophy Copper PHP (2)'!$B$1:$D$1</c:f>
              <c:strCache>
                <c:ptCount val="1"/>
                <c:pt idx="0">
                  <c:v>338 Lapua Magnum(0° wind) Federal Trophy Copper Polymer 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 Copper PHP (2)'!$A$22:$A$32</c:f>
              <c:numCache>
                <c:formatCode>0.00</c:formatCode>
                <c:ptCount val="1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</c:numCache>
            </c:numRef>
          </c:xVal>
          <c:yVal>
            <c:numRef>
              <c:f>'Federal Trophy Copper PHP (2)'!$K$22:$K$32</c:f>
              <c:numCache>
                <c:formatCode>0.00</c:formatCode>
                <c:ptCount val="11"/>
                <c:pt idx="0">
                  <c:v>-3.81</c:v>
                </c:pt>
                <c:pt idx="1">
                  <c:v>-3.3300019693900382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-1.8720000097188247</c:v>
                </c:pt>
                <c:pt idx="7">
                  <c:v>-10.000000833333415</c:v>
                </c:pt>
                <c:pt idx="8">
                  <c:v>-25.00000833333667</c:v>
                </c:pt>
                <c:pt idx="9">
                  <c:v>-39.960023632680461</c:v>
                </c:pt>
                <c:pt idx="10">
                  <c:v>-70.000093333482667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87-45F7-9874-154BB631FD99}"/>
            </c:ext>
          </c:extLst>
        </c:ser>
        <c:ser>
          <c:idx val="2"/>
          <c:order val="2"/>
          <c:tx>
            <c:strRef>
              <c:f>'Federal Trophy Copper PHP (3)'!$B$1:$D$1</c:f>
              <c:strCache>
                <c:ptCount val="1"/>
                <c:pt idx="0">
                  <c:v>338 Lapua Magnum(90° wind) Federal Trophy Copper Polymer Tipped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 Copper PHP (3)'!$A$22:$A$35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Trophy Copper PHP (3)'!$L$22:$L$35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-3.7500000781250016</c:v>
                </c:pt>
                <c:pt idx="7">
                  <c:v>-10.800001049760123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-106.72025321967608</c:v>
                </c:pt>
                <c:pt idx="12">
                  <c:v>-149.94055489161974</c:v>
                </c:pt>
                <c:pt idx="13">
                  <c:v>-210.00123480871284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87-45F7-9874-154BB631F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19759"/>
        <c:axId val="863128879"/>
      </c:scatterChart>
      <c:valAx>
        <c:axId val="86311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28879"/>
        <c:crosses val="autoZero"/>
        <c:crossBetween val="midCat"/>
      </c:valAx>
      <c:valAx>
        <c:axId val="86312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1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702142656193456"/>
          <c:y val="0.87220884158010392"/>
          <c:w val="0.27155135141628967"/>
          <c:h val="7.22703049823461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Predicted Energy vs Range: Hornady Standard Calculator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7600028503228E-2"/>
          <c:y val="5.8645111624326417E-2"/>
          <c:w val="0.64862190868675351"/>
          <c:h val="0.874652337049092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'Federal Trophy Copper PHP'!$B$1:$E$1</c:f>
              <c:strCache>
                <c:ptCount val="1"/>
                <c:pt idx="0">
                  <c:v>338 Lapua Magnum (180° wind) Federal Trophy Copper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Trophy Copper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PHP'!$C$80:$C$100</c:f>
              <c:numCache>
                <c:formatCode>0.00</c:formatCode>
                <c:ptCount val="21"/>
                <c:pt idx="0">
                  <c:v>6113</c:v>
                </c:pt>
                <c:pt idx="1">
                  <c:v>5784</c:v>
                </c:pt>
                <c:pt idx="2">
                  <c:v>5472</c:v>
                </c:pt>
                <c:pt idx="3">
                  <c:v>5174</c:v>
                </c:pt>
                <c:pt idx="4">
                  <c:v>4889</c:v>
                </c:pt>
                <c:pt idx="5">
                  <c:v>4616</c:v>
                </c:pt>
                <c:pt idx="6">
                  <c:v>4355</c:v>
                </c:pt>
                <c:pt idx="7">
                  <c:v>4106</c:v>
                </c:pt>
                <c:pt idx="8">
                  <c:v>3869</c:v>
                </c:pt>
                <c:pt idx="9">
                  <c:v>3642</c:v>
                </c:pt>
                <c:pt idx="10">
                  <c:v>3426</c:v>
                </c:pt>
                <c:pt idx="11">
                  <c:v>3220</c:v>
                </c:pt>
                <c:pt idx="12">
                  <c:v>3024</c:v>
                </c:pt>
                <c:pt idx="13">
                  <c:v>2838</c:v>
                </c:pt>
                <c:pt idx="14">
                  <c:v>2662</c:v>
                </c:pt>
                <c:pt idx="15">
                  <c:v>2495</c:v>
                </c:pt>
                <c:pt idx="16">
                  <c:v>2337</c:v>
                </c:pt>
                <c:pt idx="17">
                  <c:v>2189</c:v>
                </c:pt>
                <c:pt idx="18">
                  <c:v>2049</c:v>
                </c:pt>
                <c:pt idx="19">
                  <c:v>1918</c:v>
                </c:pt>
                <c:pt idx="20">
                  <c:v>1800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19-4D74-B170-B8F44705FC60}"/>
            </c:ext>
          </c:extLst>
        </c:ser>
        <c:ser>
          <c:idx val="1"/>
          <c:order val="1"/>
          <c:tx>
            <c:strRef>
              <c:f>'Federal Trophy Copper PHP (2)'!$B$1:$E$1</c:f>
              <c:strCache>
                <c:ptCount val="1"/>
                <c:pt idx="0">
                  <c:v>338 Lapua Magnum(0° wind) Federal Trophy Copper Polymer Tipped Hollow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Trophy Copper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(2)'!$C$80:$C$100</c:f>
              <c:numCache>
                <c:formatCode>0.00</c:formatCode>
                <c:ptCount val="21"/>
                <c:pt idx="0">
                  <c:v>6113</c:v>
                </c:pt>
                <c:pt idx="1">
                  <c:v>5774</c:v>
                </c:pt>
                <c:pt idx="2">
                  <c:v>5452</c:v>
                </c:pt>
                <c:pt idx="3">
                  <c:v>5145</c:v>
                </c:pt>
                <c:pt idx="4">
                  <c:v>4852</c:v>
                </c:pt>
                <c:pt idx="5">
                  <c:v>4572</c:v>
                </c:pt>
                <c:pt idx="6">
                  <c:v>4304</c:v>
                </c:pt>
                <c:pt idx="7">
                  <c:v>4049</c:v>
                </c:pt>
                <c:pt idx="8">
                  <c:v>3805</c:v>
                </c:pt>
                <c:pt idx="9">
                  <c:v>3572</c:v>
                </c:pt>
                <c:pt idx="10">
                  <c:v>3351</c:v>
                </c:pt>
                <c:pt idx="11">
                  <c:v>3141</c:v>
                </c:pt>
                <c:pt idx="12">
                  <c:v>2940</c:v>
                </c:pt>
                <c:pt idx="13">
                  <c:v>2751</c:v>
                </c:pt>
                <c:pt idx="14">
                  <c:v>2571</c:v>
                </c:pt>
                <c:pt idx="15">
                  <c:v>2401</c:v>
                </c:pt>
                <c:pt idx="16">
                  <c:v>2240</c:v>
                </c:pt>
                <c:pt idx="17">
                  <c:v>2089</c:v>
                </c:pt>
                <c:pt idx="18">
                  <c:v>1947</c:v>
                </c:pt>
                <c:pt idx="19">
                  <c:v>1814</c:v>
                </c:pt>
                <c:pt idx="20">
                  <c:v>1694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83-4999-A417-7753C0DC72F2}"/>
            </c:ext>
          </c:extLst>
        </c:ser>
        <c:ser>
          <c:idx val="2"/>
          <c:order val="2"/>
          <c:tx>
            <c:strRef>
              <c:f>'Federal Trophy Copper PHP (3)'!$B$1:$D$1</c:f>
              <c:strCache>
                <c:ptCount val="1"/>
                <c:pt idx="0">
                  <c:v>338 Lapua Magnum(90° wind) Federal Trophy Copper Polymer Tipped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Trophy Copper PHP (3)'!$A$80:$A$100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Trophy Copper PHP (3)'!$C$80:$C$100</c:f>
              <c:numCache>
                <c:formatCode>0.00</c:formatCode>
                <c:ptCount val="21"/>
                <c:pt idx="0">
                  <c:v>6113</c:v>
                </c:pt>
                <c:pt idx="1">
                  <c:v>5779</c:v>
                </c:pt>
                <c:pt idx="2">
                  <c:v>5462</c:v>
                </c:pt>
                <c:pt idx="3">
                  <c:v>5160</c:v>
                </c:pt>
                <c:pt idx="4">
                  <c:v>4870</c:v>
                </c:pt>
                <c:pt idx="5">
                  <c:v>4594</c:v>
                </c:pt>
                <c:pt idx="6">
                  <c:v>4330</c:v>
                </c:pt>
                <c:pt idx="7">
                  <c:v>4078</c:v>
                </c:pt>
                <c:pt idx="8">
                  <c:v>3837</c:v>
                </c:pt>
                <c:pt idx="9">
                  <c:v>3607</c:v>
                </c:pt>
                <c:pt idx="10">
                  <c:v>3388</c:v>
                </c:pt>
                <c:pt idx="11">
                  <c:v>3180</c:v>
                </c:pt>
                <c:pt idx="12">
                  <c:v>2982</c:v>
                </c:pt>
                <c:pt idx="13">
                  <c:v>2794</c:v>
                </c:pt>
                <c:pt idx="14">
                  <c:v>2616</c:v>
                </c:pt>
                <c:pt idx="15">
                  <c:v>2448</c:v>
                </c:pt>
                <c:pt idx="16">
                  <c:v>2289</c:v>
                </c:pt>
                <c:pt idx="17">
                  <c:v>2139</c:v>
                </c:pt>
                <c:pt idx="18">
                  <c:v>1998</c:v>
                </c:pt>
                <c:pt idx="19">
                  <c:v>1866</c:v>
                </c:pt>
                <c:pt idx="20">
                  <c:v>1747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83-4999-A417-7753C0DC7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981074</xdr:colOff>
      <xdr:row>5</xdr:row>
      <xdr:rowOff>28575</xdr:rowOff>
    </xdr:from>
    <xdr:to>
      <xdr:col>40</xdr:col>
      <xdr:colOff>9524</xdr:colOff>
      <xdr:row>34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14286</xdr:colOff>
      <xdr:row>77</xdr:row>
      <xdr:rowOff>123824</xdr:rowOff>
    </xdr:from>
    <xdr:to>
      <xdr:col>22</xdr:col>
      <xdr:colOff>571499</xdr:colOff>
      <xdr:row>98</xdr:row>
      <xdr:rowOff>38099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1252537</xdr:colOff>
      <xdr:row>101</xdr:row>
      <xdr:rowOff>180975</xdr:rowOff>
    </xdr:from>
    <xdr:to>
      <xdr:col>23</xdr:col>
      <xdr:colOff>342900</xdr:colOff>
      <xdr:row>123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1247775</xdr:colOff>
      <xdr:row>126</xdr:row>
      <xdr:rowOff>95250</xdr:rowOff>
    </xdr:from>
    <xdr:to>
      <xdr:col>23</xdr:col>
      <xdr:colOff>338138</xdr:colOff>
      <xdr:row>148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47625</xdr:colOff>
      <xdr:row>150</xdr:row>
      <xdr:rowOff>85725</xdr:rowOff>
    </xdr:from>
    <xdr:to>
      <xdr:col>27</xdr:col>
      <xdr:colOff>404813</xdr:colOff>
      <xdr:row>172</xdr:row>
      <xdr:rowOff>9525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228600</xdr:colOff>
      <xdr:row>174</xdr:row>
      <xdr:rowOff>180975</xdr:rowOff>
    </xdr:from>
    <xdr:to>
      <xdr:col>23</xdr:col>
      <xdr:colOff>576263</xdr:colOff>
      <xdr:row>196</xdr:row>
      <xdr:rowOff>104775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171451</xdr:colOff>
      <xdr:row>199</xdr:row>
      <xdr:rowOff>9525</xdr:rowOff>
    </xdr:from>
    <xdr:to>
      <xdr:col>26</xdr:col>
      <xdr:colOff>95251</xdr:colOff>
      <xdr:row>220</xdr:row>
      <xdr:rowOff>123825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114300</xdr:colOff>
      <xdr:row>222</xdr:row>
      <xdr:rowOff>133350</xdr:rowOff>
    </xdr:from>
    <xdr:to>
      <xdr:col>23</xdr:col>
      <xdr:colOff>461963</xdr:colOff>
      <xdr:row>244</xdr:row>
      <xdr:rowOff>57150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981074</xdr:colOff>
      <xdr:row>5</xdr:row>
      <xdr:rowOff>28575</xdr:rowOff>
    </xdr:from>
    <xdr:to>
      <xdr:col>40</xdr:col>
      <xdr:colOff>9524</xdr:colOff>
      <xdr:row>34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F7442B-AAF9-49DF-8789-9396CA645F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878D89-6000-4038-8623-E77D592E1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B26583-7005-4115-8964-EB04024CF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14286</xdr:colOff>
      <xdr:row>77</xdr:row>
      <xdr:rowOff>123824</xdr:rowOff>
    </xdr:from>
    <xdr:to>
      <xdr:col>22</xdr:col>
      <xdr:colOff>571499</xdr:colOff>
      <xdr:row>98</xdr:row>
      <xdr:rowOff>38099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701A76-52AF-4DAA-98A0-9A7C35A069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1252537</xdr:colOff>
      <xdr:row>101</xdr:row>
      <xdr:rowOff>180975</xdr:rowOff>
    </xdr:from>
    <xdr:to>
      <xdr:col>23</xdr:col>
      <xdr:colOff>342900</xdr:colOff>
      <xdr:row>123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607DA63-711F-4704-A2FA-557B0334D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1247775</xdr:colOff>
      <xdr:row>126</xdr:row>
      <xdr:rowOff>95250</xdr:rowOff>
    </xdr:from>
    <xdr:to>
      <xdr:col>23</xdr:col>
      <xdr:colOff>338138</xdr:colOff>
      <xdr:row>148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2873F8D-8D5D-4A73-B8C7-C7A62DA9E4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47625</xdr:colOff>
      <xdr:row>150</xdr:row>
      <xdr:rowOff>85725</xdr:rowOff>
    </xdr:from>
    <xdr:to>
      <xdr:col>27</xdr:col>
      <xdr:colOff>404813</xdr:colOff>
      <xdr:row>172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198308E-C6D8-44E6-B0F0-16CDCEB11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228600</xdr:colOff>
      <xdr:row>174</xdr:row>
      <xdr:rowOff>180975</xdr:rowOff>
    </xdr:from>
    <xdr:to>
      <xdr:col>23</xdr:col>
      <xdr:colOff>576263</xdr:colOff>
      <xdr:row>196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EC1C970-5605-4E4A-913C-79569F6C1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171451</xdr:colOff>
      <xdr:row>199</xdr:row>
      <xdr:rowOff>9525</xdr:rowOff>
    </xdr:from>
    <xdr:to>
      <xdr:col>26</xdr:col>
      <xdr:colOff>95251</xdr:colOff>
      <xdr:row>220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586F209-C845-4270-97D6-14F0E4D41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114300</xdr:colOff>
      <xdr:row>222</xdr:row>
      <xdr:rowOff>133350</xdr:rowOff>
    </xdr:from>
    <xdr:to>
      <xdr:col>23</xdr:col>
      <xdr:colOff>461963</xdr:colOff>
      <xdr:row>244</xdr:row>
      <xdr:rowOff>57150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E22156C-A9F5-47B2-A770-56F5E8FDDA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981074</xdr:colOff>
      <xdr:row>5</xdr:row>
      <xdr:rowOff>28575</xdr:rowOff>
    </xdr:from>
    <xdr:to>
      <xdr:col>42</xdr:col>
      <xdr:colOff>9524</xdr:colOff>
      <xdr:row>34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628649</xdr:colOff>
      <xdr:row>44</xdr:row>
      <xdr:rowOff>76200</xdr:rowOff>
    </xdr:from>
    <xdr:to>
      <xdr:col>22</xdr:col>
      <xdr:colOff>85725</xdr:colOff>
      <xdr:row>71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10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14286</xdr:colOff>
      <xdr:row>77</xdr:row>
      <xdr:rowOff>123824</xdr:rowOff>
    </xdr:from>
    <xdr:to>
      <xdr:col>24</xdr:col>
      <xdr:colOff>571499</xdr:colOff>
      <xdr:row>98</xdr:row>
      <xdr:rowOff>38099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1252537</xdr:colOff>
      <xdr:row>101</xdr:row>
      <xdr:rowOff>180975</xdr:rowOff>
    </xdr:from>
    <xdr:to>
      <xdr:col>25</xdr:col>
      <xdr:colOff>342900</xdr:colOff>
      <xdr:row>123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8531858-0AD1-46A1-AE35-B775EFCE2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1247775</xdr:colOff>
      <xdr:row>126</xdr:row>
      <xdr:rowOff>95250</xdr:rowOff>
    </xdr:from>
    <xdr:to>
      <xdr:col>25</xdr:col>
      <xdr:colOff>338138</xdr:colOff>
      <xdr:row>148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D3C3096-52C2-46A7-BD38-E178D2DAA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47625</xdr:colOff>
      <xdr:row>150</xdr:row>
      <xdr:rowOff>85725</xdr:rowOff>
    </xdr:from>
    <xdr:to>
      <xdr:col>29</xdr:col>
      <xdr:colOff>404813</xdr:colOff>
      <xdr:row>172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205030D-B98E-4FCD-95B9-7588B5985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228600</xdr:colOff>
      <xdr:row>174</xdr:row>
      <xdr:rowOff>180975</xdr:rowOff>
    </xdr:from>
    <xdr:to>
      <xdr:col>25</xdr:col>
      <xdr:colOff>576263</xdr:colOff>
      <xdr:row>196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F428EA9-640E-4B98-A2C4-6AEB0D429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171451</xdr:colOff>
      <xdr:row>199</xdr:row>
      <xdr:rowOff>9525</xdr:rowOff>
    </xdr:from>
    <xdr:to>
      <xdr:col>28</xdr:col>
      <xdr:colOff>95251</xdr:colOff>
      <xdr:row>220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DE2DF2C-92DE-49A4-9450-CEB25D528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114300</xdr:colOff>
      <xdr:row>222</xdr:row>
      <xdr:rowOff>133350</xdr:rowOff>
    </xdr:from>
    <xdr:to>
      <xdr:col>25</xdr:col>
      <xdr:colOff>461963</xdr:colOff>
      <xdr:row>244</xdr:row>
      <xdr:rowOff>57150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DF46C9D-3A6F-4BBA-866F-28346F6DF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509587</xdr:colOff>
      <xdr:row>43</xdr:row>
      <xdr:rowOff>19049</xdr:rowOff>
    </xdr:from>
    <xdr:to>
      <xdr:col>43</xdr:col>
      <xdr:colOff>447675</xdr:colOff>
      <xdr:row>76</xdr:row>
      <xdr:rowOff>133350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138111</xdr:colOff>
      <xdr:row>2</xdr:row>
      <xdr:rowOff>114299</xdr:rowOff>
    </xdr:from>
    <xdr:to>
      <xdr:col>26</xdr:col>
      <xdr:colOff>104775</xdr:colOff>
      <xdr:row>46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7EB98-0B67-7798-FAC3-3AB7BB812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223836</xdr:colOff>
      <xdr:row>52</xdr:row>
      <xdr:rowOff>47624</xdr:rowOff>
    </xdr:from>
    <xdr:to>
      <xdr:col>27</xdr:col>
      <xdr:colOff>133350</xdr:colOff>
      <xdr:row>98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B2767E-EA95-7AD4-0B4E-F70C378A9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600075</xdr:colOff>
      <xdr:row>1</xdr:row>
      <xdr:rowOff>142875</xdr:rowOff>
    </xdr:from>
    <xdr:to>
      <xdr:col>49</xdr:col>
      <xdr:colOff>171450</xdr:colOff>
      <xdr:row>45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0CC33A-D234-41B3-8A73-473F2DFD32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1"/>
  <dimension ref="A1:S277"/>
  <sheetViews>
    <sheetView tabSelected="1" workbookViewId="0">
      <selection activeCell="B247" sqref="B247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8.42578125" customWidth="1"/>
    <col min="6" max="6" width="23.710937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t="s">
        <v>18</v>
      </c>
      <c r="B1" t="s">
        <v>73</v>
      </c>
      <c r="C1" t="s">
        <v>65</v>
      </c>
      <c r="D1" t="s">
        <v>28</v>
      </c>
      <c r="F1" s="43" t="s">
        <v>58</v>
      </c>
      <c r="G1" s="43"/>
      <c r="H1" s="43"/>
      <c r="I1" s="43"/>
    </row>
    <row r="2" spans="1:9" x14ac:dyDescent="0.25">
      <c r="A2" t="s">
        <v>20</v>
      </c>
      <c r="B2" s="2">
        <v>250</v>
      </c>
      <c r="C2" s="2">
        <f>CONVERT($B$2,"grain","g")</f>
        <v>16.199727500000002</v>
      </c>
      <c r="F2" t="s">
        <v>59</v>
      </c>
      <c r="G2" s="2">
        <v>250</v>
      </c>
      <c r="H2" s="2">
        <f>CONVERT($G$2,"grain","g")</f>
        <v>16.199727500000002</v>
      </c>
    </row>
    <row r="3" spans="1:9" x14ac:dyDescent="0.25">
      <c r="A3" t="s">
        <v>0</v>
      </c>
      <c r="B3" s="2">
        <v>0.33800000000000002</v>
      </c>
      <c r="C3" s="2">
        <v>0.33800000000000002</v>
      </c>
      <c r="F3" t="s">
        <v>60</v>
      </c>
      <c r="G3" s="2">
        <v>0.33800000000000002</v>
      </c>
      <c r="H3" s="2">
        <f>CONVERT($G$3,"in","mm")</f>
        <v>8.5851999999999986</v>
      </c>
    </row>
    <row r="4" spans="1:9" x14ac:dyDescent="0.25">
      <c r="A4" t="s">
        <v>11</v>
      </c>
      <c r="B4" s="2"/>
      <c r="C4" s="2"/>
      <c r="F4" t="s">
        <v>11</v>
      </c>
      <c r="G4" s="2" t="s">
        <v>64</v>
      </c>
      <c r="H4" s="2"/>
    </row>
    <row r="5" spans="1:9" x14ac:dyDescent="0.25">
      <c r="A5" t="s">
        <v>21</v>
      </c>
      <c r="B5" s="2">
        <v>0.32500000000000001</v>
      </c>
      <c r="C5" s="2"/>
      <c r="F5" t="s">
        <v>21</v>
      </c>
      <c r="G5" s="2" t="s">
        <v>64</v>
      </c>
      <c r="H5" s="2"/>
    </row>
    <row r="6" spans="1:9" x14ac:dyDescent="0.25">
      <c r="A6" t="s">
        <v>22</v>
      </c>
      <c r="B6" s="2">
        <v>6112.3</v>
      </c>
      <c r="C6" s="2">
        <f>CONVERT($B$6,"J","flb")</f>
        <v>4508.201125027429</v>
      </c>
      <c r="F6" t="s">
        <v>61</v>
      </c>
      <c r="G6" s="2" cm="1">
        <f t="array" ref="G6">MuzzleVelocityToMuzzleEnergyFtLb(G7,G2)</f>
        <v>4508.1253172956249</v>
      </c>
      <c r="H6" s="2" cm="1">
        <f t="array" ref="H6">MuzzleVelocityToMuzzleEnergyJoules(H7,H2)</f>
        <v>6112.1972185165978</v>
      </c>
    </row>
    <row r="7" spans="1:9" x14ac:dyDescent="0.25">
      <c r="A7" t="s">
        <v>19</v>
      </c>
      <c r="B7" s="2" cm="1">
        <f t="array" ref="B7">MuzzleEnergyToMuzzleVelocityMPS(B6,C2)</f>
        <v>868.68730374368386</v>
      </c>
      <c r="C7" s="2" cm="1">
        <f t="array" ref="C7">MuzzleEnergyToMuzzleVelocityFPS(C6,B2)</f>
        <v>2850.0239624136611</v>
      </c>
      <c r="F7" t="s">
        <v>62</v>
      </c>
      <c r="G7" s="2">
        <v>2850</v>
      </c>
      <c r="H7" s="2">
        <f>CONVERT($G$7,"ft","m")</f>
        <v>868.68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12.2</v>
      </c>
      <c r="C9" s="2">
        <f>CONVERT($B$9,"m/sec","km/hr")</f>
        <v>43.92</v>
      </c>
    </row>
    <row r="10" spans="1:9" x14ac:dyDescent="0.25">
      <c r="A10" t="s">
        <v>3</v>
      </c>
      <c r="B10" s="2">
        <v>180</v>
      </c>
      <c r="C10" s="2"/>
    </row>
    <row r="11" spans="1:9" x14ac:dyDescent="0.25">
      <c r="A11" s="22" t="s">
        <v>46</v>
      </c>
      <c r="B11" s="2">
        <v>0.25</v>
      </c>
      <c r="C11" s="25"/>
    </row>
    <row r="12" spans="1:9" x14ac:dyDescent="0.25">
      <c r="A12" s="22" t="s">
        <v>47</v>
      </c>
      <c r="B12" s="2" cm="1">
        <f t="array" ref="B12">MOAToMRAD($B$11)</f>
        <v>7.2722052166430393E-2</v>
      </c>
      <c r="C12" s="25">
        <f>$B$12/2</f>
        <v>3.6361026083215196E-2</v>
      </c>
    </row>
    <row r="13" spans="1:9" x14ac:dyDescent="0.25">
      <c r="A13" s="22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2" t="s">
        <v>5</v>
      </c>
      <c r="B14" t="s">
        <v>48</v>
      </c>
    </row>
    <row r="15" spans="1:9" x14ac:dyDescent="0.25">
      <c r="A15" t="s">
        <v>49</v>
      </c>
      <c r="B15" s="23" t="s">
        <v>50</v>
      </c>
      <c r="C15" s="23" t="s">
        <v>51</v>
      </c>
      <c r="D15" s="23" t="s">
        <v>52</v>
      </c>
      <c r="E15" s="23" t="s">
        <v>53</v>
      </c>
    </row>
    <row r="16" spans="1:9" x14ac:dyDescent="0.25">
      <c r="A16" s="22" t="s">
        <v>54</v>
      </c>
      <c r="B16" s="2">
        <v>0.5</v>
      </c>
      <c r="C16">
        <f>$B16/2</f>
        <v>0.25</v>
      </c>
      <c r="D16" s="2">
        <f>$B$16 * $B$18</f>
        <v>0.18180513041607596</v>
      </c>
      <c r="E16" s="24">
        <f>$D16/2</f>
        <v>9.090256520803798E-2</v>
      </c>
    </row>
    <row r="17" spans="1:17" x14ac:dyDescent="0.25">
      <c r="A17" s="22" t="s">
        <v>55</v>
      </c>
      <c r="B17" s="2">
        <v>0.2</v>
      </c>
      <c r="C17">
        <f t="shared" ref="C17" si="0">$B17/2</f>
        <v>0.1</v>
      </c>
      <c r="D17" s="2">
        <f>$B$17 * $B$18</f>
        <v>7.2722052166430393E-2</v>
      </c>
      <c r="E17" s="24">
        <f>$D17/2</f>
        <v>3.6361026083215196E-2</v>
      </c>
    </row>
    <row r="18" spans="1:17" x14ac:dyDescent="0.25">
      <c r="A18" s="11" t="s">
        <v>56</v>
      </c>
      <c r="B18" s="12">
        <f>$B$12/$B$17</f>
        <v>0.36361026083215192</v>
      </c>
      <c r="C18" s="2"/>
      <c r="J18" s="2">
        <v>4.5</v>
      </c>
      <c r="K18" s="2">
        <v>4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</row>
    <row r="19" spans="1:17" x14ac:dyDescent="0.25">
      <c r="A19" s="26" t="s">
        <v>57</v>
      </c>
      <c r="B19" s="27"/>
      <c r="C19" s="2" cm="1">
        <f t="array" ref="C19">ProbableAngularPOIError(C17,C16,B17,0.2)</f>
        <v>0.10506023235856565</v>
      </c>
      <c r="D19" s="2"/>
      <c r="E19" s="2" cm="1">
        <f t="array" ref="E19">ProbableAngularPOIError(D17,D16,B12,0.68)</f>
        <v>7.5122274118138516E-2</v>
      </c>
      <c r="J19" s="2"/>
      <c r="K19" s="2"/>
      <c r="L19" s="2"/>
      <c r="M19" s="2"/>
      <c r="N19" s="2"/>
      <c r="O19" s="2"/>
      <c r="P19" s="2"/>
    </row>
    <row r="20" spans="1:17" x14ac:dyDescent="0.25">
      <c r="C20" s="42" t="s">
        <v>24</v>
      </c>
      <c r="D20" s="42"/>
      <c r="E20" s="42"/>
      <c r="F20" s="42"/>
      <c r="G20" s="42"/>
      <c r="H20" s="13"/>
      <c r="I20" s="13"/>
      <c r="J20" s="42" t="s">
        <v>25</v>
      </c>
      <c r="K20" s="42"/>
      <c r="L20" s="42"/>
      <c r="M20" s="42"/>
      <c r="N20" s="42"/>
      <c r="O20" s="13"/>
      <c r="P20" s="13"/>
      <c r="Q20" s="28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29" t="s">
        <v>32</v>
      </c>
      <c r="Q21" s="28" t="s">
        <v>30</v>
      </c>
    </row>
    <row r="22" spans="1:17" x14ac:dyDescent="0.25">
      <c r="A22" s="1">
        <v>0</v>
      </c>
      <c r="B22" s="1">
        <v>6112.3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0">
        <f t="shared" si="1"/>
        <v>-3.81</v>
      </c>
      <c r="Q22" s="31">
        <v>0</v>
      </c>
    </row>
    <row r="23" spans="1:17" x14ac:dyDescent="0.25">
      <c r="A23" s="1">
        <v>25</v>
      </c>
      <c r="B23" s="1">
        <v>5848</v>
      </c>
      <c r="C23" s="6">
        <v>-0.25</v>
      </c>
      <c r="D23" s="6">
        <v>-0.33300000000000002</v>
      </c>
      <c r="E23" s="6">
        <v>-0.3125</v>
      </c>
      <c r="F23" s="6">
        <v>-0.16700000000000001</v>
      </c>
      <c r="G23" s="6">
        <v>8.3000000000000004E-2</v>
      </c>
      <c r="H23" s="6">
        <v>0.33300000000000002</v>
      </c>
      <c r="I23" s="14">
        <v>0.6875</v>
      </c>
      <c r="J23" s="9" cm="1">
        <f t="array" ref="J23">TrajectoryDropInCM(C23,$A23,J$18)</f>
        <v>-2.8125011865240381</v>
      </c>
      <c r="K23" s="9" cm="1">
        <f t="array" ref="K23">TrajectoryDropInCM(D23,$A23,K$18)</f>
        <v>-3.3300019693900382</v>
      </c>
      <c r="L23" s="9" cm="1">
        <f t="array" ref="L23">TrajectoryDropInCM(E23,$A23,L$18)</f>
        <v>-3.125001627605184</v>
      </c>
      <c r="M23" s="9" cm="1">
        <f t="array" ref="M23">TrajectoryDropInCM(F23,$A23,M$18)</f>
        <v>-1.6700002483980712</v>
      </c>
      <c r="N23" s="9" cm="1">
        <f t="array" ref="N23">TrajectoryDropInCM(G23,$A23,N$18)</f>
        <v>0.83000003049530802</v>
      </c>
      <c r="O23" s="9" cm="1">
        <f t="array" ref="O23">TrajectoryDropInCM(H23,$A23,O$18)</f>
        <v>3.3300019693900382</v>
      </c>
      <c r="P23" s="32" cm="1">
        <f t="array" ref="P23">TrajectoryDropInCM(I23,$A23,P$18)</f>
        <v>6.8750173307815912</v>
      </c>
      <c r="Q23" s="31" cm="1">
        <f t="array" ref="Q23">TrajectoryErrorCM($E$19,1,$A23)</f>
        <v>0.18780568529534628</v>
      </c>
    </row>
    <row r="24" spans="1:17" x14ac:dyDescent="0.25">
      <c r="A24" s="1">
        <v>50</v>
      </c>
      <c r="B24" s="1">
        <v>5516.1</v>
      </c>
      <c r="C24" s="7">
        <v>0</v>
      </c>
      <c r="D24" s="6">
        <v>-8.3000000000000004E-2</v>
      </c>
      <c r="E24" s="6">
        <v>-3.1199999999999999E-2</v>
      </c>
      <c r="F24" s="6">
        <v>8.3000000000000004E-2</v>
      </c>
      <c r="G24" s="6">
        <v>0.3125</v>
      </c>
      <c r="H24" s="6">
        <v>0.58299999999999996</v>
      </c>
      <c r="I24" s="14">
        <v>0.95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-0.62400000323960836</v>
      </c>
      <c r="M24" s="9" cm="1">
        <f t="array" ref="M24">TrajectoryDropInCM(F24,$A24,M$18)</f>
        <v>1.660000060990616</v>
      </c>
      <c r="N24" s="9" cm="1">
        <f t="array" ref="N24">TrajectoryDropInCM(G24,$A24,N$18)</f>
        <v>6.2500032552103679</v>
      </c>
      <c r="O24" s="9" cm="1">
        <f t="array" ref="O24">TrajectoryDropInCM(H24,$A24,O$18)</f>
        <v>11.660021136609924</v>
      </c>
      <c r="P24" s="32" cm="1">
        <f t="array" ref="P24">TrajectoryDropInCM(I24,$A24,P$18)</f>
        <v>19.000091453861572</v>
      </c>
      <c r="Q24" s="31" cm="1">
        <f t="array" ref="Q24">TrajectoryErrorCM($E$19,1,$A24)</f>
        <v>0.37561137059069255</v>
      </c>
    </row>
    <row r="25" spans="1:17" x14ac:dyDescent="0.25">
      <c r="A25" s="1">
        <v>75</v>
      </c>
      <c r="B25" s="1">
        <v>5208.1000000000004</v>
      </c>
      <c r="C25" s="6">
        <v>8.3000000000000004E-2</v>
      </c>
      <c r="D25" s="6">
        <v>0</v>
      </c>
      <c r="E25" s="6">
        <v>6.25E-2</v>
      </c>
      <c r="F25" s="6">
        <v>0.125</v>
      </c>
      <c r="G25" s="6">
        <v>0.375</v>
      </c>
      <c r="H25" s="6">
        <v>0.66700000000000004</v>
      </c>
      <c r="I25" s="14">
        <v>1</v>
      </c>
      <c r="J25" s="9" cm="1">
        <f t="array" ref="J25">TrajectoryDropInCM(C25,$A25,J$18)</f>
        <v>2.8012501302602333</v>
      </c>
      <c r="K25" s="9" cm="1">
        <f t="array" ref="K25">TrajectoryDropInCM(D25,$A25,K$18)</f>
        <v>0</v>
      </c>
      <c r="L25" s="9" cm="1">
        <f t="array" ref="L25">TrajectoryDropInCM(E25,$A25,L$18)</f>
        <v>1.8750000390625008</v>
      </c>
      <c r="M25" s="9" cm="1">
        <f t="array" ref="M25">TrajectoryDropInCM(F25,$A25,M$18)</f>
        <v>3.7500003125000307</v>
      </c>
      <c r="N25" s="9" cm="1">
        <f t="array" ref="N25">TrajectoryDropInCM(G25,$A25,N$18)</f>
        <v>11.250008437507594</v>
      </c>
      <c r="O25" s="9" cm="1">
        <f t="array" ref="O25">TrajectoryDropInCM(H25,$A25,O$18)</f>
        <v>20.010047478689266</v>
      </c>
      <c r="P25" s="32" cm="1">
        <f t="array" ref="P25">TrajectoryDropInCM(I25,$A25,P$18)</f>
        <v>30.000160001024007</v>
      </c>
      <c r="Q25" s="31" cm="1">
        <f t="array" ref="Q25">TrajectoryErrorCM($E$19,1,$A25)</f>
        <v>0.56341705588603885</v>
      </c>
    </row>
    <row r="26" spans="1:17" x14ac:dyDescent="0.25">
      <c r="A26" s="1">
        <v>100</v>
      </c>
      <c r="B26" s="1">
        <v>4876</v>
      </c>
      <c r="C26" s="6">
        <v>0.1</v>
      </c>
      <c r="D26" s="7">
        <v>0</v>
      </c>
      <c r="E26" s="6">
        <v>8.3000000000000004E-2</v>
      </c>
      <c r="F26" s="6">
        <v>0.125</v>
      </c>
      <c r="G26" s="6">
        <v>0.375</v>
      </c>
      <c r="H26" s="6">
        <v>0.66700000000000004</v>
      </c>
      <c r="I26" s="14">
        <v>1.0249999999999999</v>
      </c>
      <c r="J26" s="9" cm="1">
        <f t="array" ref="J26">TrajectoryDropInCM(C26,$A26,J$18)</f>
        <v>4.5000003037500242</v>
      </c>
      <c r="K26" s="9" cm="1">
        <f t="array" ref="K26">TrajectoryDropInCM(D26,$A26,K$18)</f>
        <v>0</v>
      </c>
      <c r="L26" s="9" cm="1">
        <f t="array" ref="L26">TrajectoryDropInCM(E26,$A26,L$18)</f>
        <v>3.3200001219812321</v>
      </c>
      <c r="M26" s="9" cm="1">
        <f t="array" ref="M26">TrajectoryDropInCM(F26,$A26,M$18)</f>
        <v>5.0000004166667074</v>
      </c>
      <c r="N26" s="9" cm="1">
        <f t="array" ref="N26">TrajectoryDropInCM(G26,$A26,N$18)</f>
        <v>15.000011250010125</v>
      </c>
      <c r="O26" s="9" cm="1">
        <f t="array" ref="O26">TrajectoryDropInCM(H26,$A26,O$18)</f>
        <v>26.68006330491902</v>
      </c>
      <c r="P26" s="32" cm="1">
        <f t="array" ref="P26">TrajectoryDropInCM(I26,$A26,P$18)</f>
        <v>41.000229738211416</v>
      </c>
      <c r="Q26" s="31" cm="1">
        <f t="array" ref="Q26">TrajectoryErrorCM($E$19,1,$A26)</f>
        <v>0.7512227411813851</v>
      </c>
    </row>
    <row r="27" spans="1:17" x14ac:dyDescent="0.25">
      <c r="A27" s="1">
        <v>125</v>
      </c>
      <c r="B27" s="1">
        <v>4612.2</v>
      </c>
      <c r="C27" s="6">
        <v>0.1</v>
      </c>
      <c r="D27" s="6">
        <v>0</v>
      </c>
      <c r="E27" s="6">
        <v>8.3000000000000004E-2</v>
      </c>
      <c r="F27" s="6">
        <v>0.125</v>
      </c>
      <c r="G27" s="6">
        <v>0.375</v>
      </c>
      <c r="H27" s="6">
        <v>0.65</v>
      </c>
      <c r="I27" s="14">
        <v>1</v>
      </c>
      <c r="J27" s="9" cm="1">
        <f t="array" ref="J27">TrajectoryDropInCM(C27,$A27,J$18)</f>
        <v>5.6250003796875303</v>
      </c>
      <c r="K27" s="9" cm="1">
        <f t="array" ref="K27">TrajectoryDropInCM(D27,$A27,K$18)</f>
        <v>0</v>
      </c>
      <c r="L27" s="9" cm="1">
        <f t="array" ref="L27">TrajectoryDropInCM(E27,$A27,L$18)</f>
        <v>4.1500001524765402</v>
      </c>
      <c r="M27" s="9" cm="1">
        <f t="array" ref="M27">TrajectoryDropInCM(F27,$A27,M$18)</f>
        <v>6.2500005208333844</v>
      </c>
      <c r="N27" s="9" cm="1">
        <f t="array" ref="N27">TrajectoryDropInCM(G27,$A27,N$18)</f>
        <v>18.750014062512658</v>
      </c>
      <c r="O27" s="9" cm="1">
        <f t="array" ref="O27">TrajectoryDropInCM(H27,$A27,O$18)</f>
        <v>32.50007323353136</v>
      </c>
      <c r="P27" s="32" cm="1">
        <f t="array" ref="P27">TrajectoryDropInCM(I27,$A27,P$18)</f>
        <v>50.000266668373342</v>
      </c>
      <c r="Q27" s="31" cm="1">
        <f t="array" ref="Q27">TrajectoryErrorCM($E$19,1,$A27)</f>
        <v>0.93902842647673146</v>
      </c>
    </row>
    <row r="28" spans="1:17" x14ac:dyDescent="0.25">
      <c r="A28" s="1">
        <v>150</v>
      </c>
      <c r="B28" s="1">
        <v>4327.3</v>
      </c>
      <c r="C28" s="6">
        <v>6.25E-2</v>
      </c>
      <c r="D28" s="6">
        <v>-6.25E-2</v>
      </c>
      <c r="E28" s="7">
        <v>0</v>
      </c>
      <c r="F28" s="6">
        <v>0.1</v>
      </c>
      <c r="G28" s="6">
        <v>0.33300000000000002</v>
      </c>
      <c r="H28" s="6">
        <v>0.625</v>
      </c>
      <c r="I28" s="14">
        <v>1</v>
      </c>
      <c r="J28" s="9" cm="1">
        <f t="array" ref="J28">TrajectoryDropInCM(C28,$A28,J$18)</f>
        <v>4.2187501112365755</v>
      </c>
      <c r="K28" s="9" cm="1">
        <f t="array" ref="K28">TrajectoryDropInCM(D28,$A28,K$18)</f>
        <v>-3.7500000781250016</v>
      </c>
      <c r="L28" s="9" cm="1">
        <f t="array" ref="L28">TrajectoryDropInCM(E28,$A28,L$18)</f>
        <v>0</v>
      </c>
      <c r="M28" s="9" cm="1">
        <f t="array" ref="M28">TrajectoryDropInCM(F28,$A28,M$18)</f>
        <v>6.0000003200000211</v>
      </c>
      <c r="N28" s="9" cm="1">
        <f t="array" ref="N28">TrajectoryDropInCM(G28,$A28,N$18)</f>
        <v>19.98001181634023</v>
      </c>
      <c r="O28" s="9" cm="1">
        <f t="array" ref="O28">TrajectoryDropInCM(H28,$A28,O$18)</f>
        <v>37.500078125195316</v>
      </c>
      <c r="P28" s="32" cm="1">
        <f t="array" ref="P28">TrajectoryDropInCM(I28,$A28,P$18)</f>
        <v>60.000320002048014</v>
      </c>
      <c r="Q28" s="31" cm="1">
        <f t="array" ref="Q28">TrajectoryErrorCM($E$19,1,$A28)</f>
        <v>1.1268341117720777</v>
      </c>
    </row>
    <row r="29" spans="1:17" x14ac:dyDescent="0.25">
      <c r="A29" s="1">
        <v>200</v>
      </c>
      <c r="B29" s="1">
        <v>3821.1</v>
      </c>
      <c r="C29" s="6">
        <v>-3.1199999999999999E-2</v>
      </c>
      <c r="D29" s="6">
        <v>-0.125</v>
      </c>
      <c r="E29" s="6">
        <v>-0.1</v>
      </c>
      <c r="F29" s="7">
        <v>0</v>
      </c>
      <c r="G29" s="6">
        <v>0.25</v>
      </c>
      <c r="H29" s="6">
        <v>0.55000000000000004</v>
      </c>
      <c r="I29" s="14">
        <v>0.91700000000000004</v>
      </c>
      <c r="J29" s="9" cm="1">
        <f t="array" ref="J29">TrajectoryDropInCM(C29,$A29,J$18)</f>
        <v>-2.8080000184505818</v>
      </c>
      <c r="K29" s="9" cm="1">
        <f t="array" ref="K29">TrajectoryDropInCM(D29,$A29,K$18)</f>
        <v>-10.000000833333415</v>
      </c>
      <c r="L29" s="9" cm="1">
        <f t="array" ref="L29">TrajectoryDropInCM(E29,$A29,L$18)</f>
        <v>-8.0000004266666931</v>
      </c>
      <c r="M29" s="9" cm="1">
        <f t="array" ref="M29">TrajectoryDropInCM(F29,$A29,M$18)</f>
        <v>0</v>
      </c>
      <c r="N29" s="9" cm="1">
        <f t="array" ref="N29">TrajectoryDropInCM(G29,$A29,N$18)</f>
        <v>20.000006666669336</v>
      </c>
      <c r="O29" s="9" cm="1">
        <f t="array" ref="O29">TrajectoryDropInCM(H29,$A29,O$18)</f>
        <v>44.000070986804104</v>
      </c>
      <c r="P29" s="32" cm="1">
        <f t="array" ref="P29">TrajectoryDropInCM(I29,$A29,P$18)</f>
        <v>73.360329002394806</v>
      </c>
      <c r="Q29" s="31" cm="1">
        <f t="array" ref="Q29">TrajectoryErrorCM($E$19,1,$A29)</f>
        <v>1.5024454823627702</v>
      </c>
    </row>
    <row r="30" spans="1:17" x14ac:dyDescent="0.25">
      <c r="A30" s="1">
        <v>250</v>
      </c>
      <c r="B30" s="1">
        <v>3358.3</v>
      </c>
      <c r="C30" s="6">
        <v>-0.125</v>
      </c>
      <c r="D30" s="6">
        <v>-0.25</v>
      </c>
      <c r="E30" s="6">
        <v>-0.15</v>
      </c>
      <c r="F30" s="6">
        <v>-0.1</v>
      </c>
      <c r="G30" s="6">
        <v>0.125</v>
      </c>
      <c r="H30" s="6">
        <v>0.41699999999999998</v>
      </c>
      <c r="I30" s="14">
        <v>0.8125</v>
      </c>
      <c r="J30" s="9" cm="1">
        <f t="array" ref="J30">TrajectoryDropInCM(C30,$A30,J$18)</f>
        <v>-14.062501483154483</v>
      </c>
      <c r="K30" s="9" cm="1">
        <f t="array" ref="K30">TrajectoryDropInCM(D30,$A30,K$18)</f>
        <v>-25.00000833333667</v>
      </c>
      <c r="L30" s="9" cm="1">
        <f t="array" ref="L30">TrajectoryDropInCM(E30,$A30,L$18)</f>
        <v>-15.000001800000257</v>
      </c>
      <c r="M30" s="9" cm="1">
        <f t="array" ref="M30">TrajectoryDropInCM(F30,$A30,M$18)</f>
        <v>-10.000000533333367</v>
      </c>
      <c r="N30" s="9" cm="1">
        <f t="array" ref="N30">TrajectoryDropInCM(G30,$A30,N$18)</f>
        <v>12.500001041666769</v>
      </c>
      <c r="O30" s="9" cm="1">
        <f t="array" ref="O30">TrajectoryDropInCM(H30,$A30,O$18)</f>
        <v>41.700038672956637</v>
      </c>
      <c r="P30" s="32" cm="1">
        <f t="array" ref="P30">TrajectoryDropInCM(I30,$A30,P$18)</f>
        <v>81.250286068916964</v>
      </c>
      <c r="Q30" s="31" cm="1">
        <f t="array" ref="Q30">TrajectoryErrorCM($E$19,1,$A30)</f>
        <v>1.8780568529534629</v>
      </c>
    </row>
    <row r="31" spans="1:17" x14ac:dyDescent="0.25">
      <c r="A31" s="1">
        <v>300</v>
      </c>
      <c r="B31" s="1">
        <v>2916.5</v>
      </c>
      <c r="C31" s="6">
        <v>-0.26</v>
      </c>
      <c r="D31" s="6">
        <v>-0.375</v>
      </c>
      <c r="E31" s="6">
        <v>-0.33300000000000002</v>
      </c>
      <c r="F31" s="6">
        <v>-0.24</v>
      </c>
      <c r="G31" s="7">
        <v>0</v>
      </c>
      <c r="H31" s="17">
        <v>0.3125</v>
      </c>
      <c r="I31" s="18">
        <v>0.65</v>
      </c>
      <c r="J31" s="9" cm="1">
        <f t="array" ref="J31">TrajectoryDropInCM(C31,$A31,J$18)</f>
        <v>-35.100016016138774</v>
      </c>
      <c r="K31" s="9" cm="1">
        <f t="array" ref="K31">TrajectoryDropInCM(D31,$A31,K$18)</f>
        <v>-45.000033750030376</v>
      </c>
      <c r="L31" s="9" cm="1">
        <f t="array" ref="L31">TrajectoryDropInCM(E31,$A31,L$18)</f>
        <v>-39.960023632680461</v>
      </c>
      <c r="M31" s="9" cm="1">
        <f t="array" ref="M31">TrajectoryDropInCM(F31,$A31,M$18)</f>
        <v>-28.800008847363262</v>
      </c>
      <c r="N31" s="9" cm="1">
        <f t="array" ref="N31">TrajectoryDropInCM(G31,$A31,N$18)</f>
        <v>0</v>
      </c>
      <c r="O31" s="9" cm="1">
        <f t="array" ref="O31">TrajectoryDropInCM(H31,$A31,O$18)</f>
        <v>37.500019531262211</v>
      </c>
      <c r="P31" s="32" cm="1">
        <f t="array" ref="P31">TrajectoryDropInCM(I31,$A31,P$18)</f>
        <v>78.000175760475258</v>
      </c>
      <c r="Q31" s="31" cm="1">
        <f t="array" ref="Q31">TrajectoryErrorCM($E$19,1,$A31)</f>
        <v>2.2536682235441554</v>
      </c>
    </row>
    <row r="32" spans="1:17" x14ac:dyDescent="0.25">
      <c r="A32" s="1">
        <v>350</v>
      </c>
      <c r="B32" s="1">
        <v>2546.6999999999998</v>
      </c>
      <c r="C32" s="6">
        <v>-0.41699999999999998</v>
      </c>
      <c r="D32" s="6">
        <v>-0.5</v>
      </c>
      <c r="E32" s="6">
        <v>-0.4375</v>
      </c>
      <c r="F32" s="6">
        <v>-0.375</v>
      </c>
      <c r="G32" s="6">
        <v>-0.125</v>
      </c>
      <c r="H32" s="6">
        <v>0.16700000000000001</v>
      </c>
      <c r="I32" s="14">
        <v>0.5</v>
      </c>
      <c r="J32" s="9" cm="1">
        <f t="array" ref="J32">TrajectoryDropInCM(C32,$A32,J$18)</f>
        <v>-65.67757708912346</v>
      </c>
      <c r="K32" s="9" cm="1">
        <f t="array" ref="K32">TrajectoryDropInCM(D32,$A32,K$18)</f>
        <v>-70.000093333482667</v>
      </c>
      <c r="L32" s="9" cm="1">
        <f t="array" ref="L32">TrajectoryDropInCM(E32,$A32,L$18)</f>
        <v>-61.250062526118263</v>
      </c>
      <c r="M32" s="9" cm="1">
        <f t="array" ref="M32">TrajectoryDropInCM(F32,$A32,M$18)</f>
        <v>-52.500039375035435</v>
      </c>
      <c r="N32" s="9" cm="1">
        <f t="array" ref="N32">TrajectoryDropInCM(G32,$A32,N$18)</f>
        <v>-17.500001458333479</v>
      </c>
      <c r="O32" s="9" cm="1">
        <f t="array" ref="O32">TrajectoryDropInCM(H32,$A32,O$18)</f>
        <v>23.380003477572998</v>
      </c>
      <c r="P32" s="32" cm="1">
        <f t="array" ref="P32">TrajectoryDropInCM(I32,$A32,P$18)</f>
        <v>70.000093333482667</v>
      </c>
      <c r="Q32" s="31" cm="1">
        <f t="array" ref="Q32">TrajectoryErrorCM($E$19,1,$A32)</f>
        <v>2.6292795941348479</v>
      </c>
    </row>
    <row r="33" spans="1:17" x14ac:dyDescent="0.25">
      <c r="A33" s="1">
        <v>400</v>
      </c>
      <c r="B33" s="1">
        <v>2219.4</v>
      </c>
      <c r="C33" s="6">
        <v>-0.58299999999999996</v>
      </c>
      <c r="D33" s="6">
        <v>-0.66700000000000004</v>
      </c>
      <c r="E33" s="6">
        <v>-0.625</v>
      </c>
      <c r="F33" s="6">
        <v>-0.5</v>
      </c>
      <c r="G33" s="6">
        <v>-0.3125</v>
      </c>
      <c r="H33" s="7">
        <v>0</v>
      </c>
      <c r="I33" s="14">
        <v>0.375</v>
      </c>
      <c r="J33" s="9" cm="1">
        <f t="array" ref="J33">TrajectoryDropInCM(C33,$A33,J$18)</f>
        <v>-104.94024075933655</v>
      </c>
      <c r="K33" s="9" cm="1">
        <f t="array" ref="K33">TrajectoryDropInCM(D33,$A33,K$18)</f>
        <v>-106.72025321967608</v>
      </c>
      <c r="L33" s="9" cm="1">
        <f t="array" ref="L33">TrajectoryDropInCM(E33,$A33,L$18)</f>
        <v>-100.00020833385418</v>
      </c>
      <c r="M33" s="9" cm="1">
        <f t="array" ref="M33">TrajectoryDropInCM(F33,$A33,M$18)</f>
        <v>-80.000106666837326</v>
      </c>
      <c r="N33" s="9" cm="1">
        <f t="array" ref="N33">TrajectoryDropInCM(G33,$A33,N$18)</f>
        <v>-50.000026041682943</v>
      </c>
      <c r="O33" s="9" cm="1">
        <f t="array" ref="O33">TrajectoryDropInCM(H33,$A33,O$18)</f>
        <v>0</v>
      </c>
      <c r="P33" s="32" cm="1">
        <f t="array" ref="P33">TrajectoryDropInCM(I33,$A33,P$18)</f>
        <v>60.000045000040501</v>
      </c>
      <c r="Q33" s="31" cm="1">
        <f t="array" ref="Q33">TrajectoryErrorCM($E$19,1,$A33)</f>
        <v>3.0048909647255404</v>
      </c>
    </row>
    <row r="34" spans="1:17" x14ac:dyDescent="0.25">
      <c r="A34" s="1">
        <v>450</v>
      </c>
      <c r="B34" s="1">
        <v>1921.1</v>
      </c>
      <c r="C34" s="6">
        <v>-0.75</v>
      </c>
      <c r="D34" s="6">
        <v>-0.83299999999999996</v>
      </c>
      <c r="E34" s="6">
        <v>-0.8125</v>
      </c>
      <c r="F34" s="6">
        <v>-0.6875</v>
      </c>
      <c r="G34" s="6">
        <v>-0.5</v>
      </c>
      <c r="H34" s="6">
        <v>-0.16700000000000001</v>
      </c>
      <c r="I34" s="14">
        <v>0.16700000000000001</v>
      </c>
      <c r="J34" s="9" cm="1">
        <f t="array" ref="J34">TrajectoryDropInCM(C34,$A34,J$18)</f>
        <v>-151.87557665301802</v>
      </c>
      <c r="K34" s="9" cm="1">
        <f t="array" ref="K34">TrajectoryDropInCM(D34,$A34,K$18)</f>
        <v>-149.94055489161974</v>
      </c>
      <c r="L34" s="9" cm="1">
        <f t="array" ref="L34">TrajectoryDropInCM(E34,$A34,L$18)</f>
        <v>-146.25051492405055</v>
      </c>
      <c r="M34" s="9" cm="1">
        <f t="array" ref="M34">TrajectoryDropInCM(F34,$A34,M$18)</f>
        <v>-123.75031195406865</v>
      </c>
      <c r="N34" s="9" cm="1">
        <f t="array" ref="N34">TrajectoryDropInCM(G34,$A34,N$18)</f>
        <v>-90.000120000191998</v>
      </c>
      <c r="O34" s="9" cm="1">
        <f t="array" ref="O34">TrajectoryDropInCM(H34,$A34,O$18)</f>
        <v>-30.060004471165279</v>
      </c>
      <c r="P34" s="32" cm="1">
        <f t="array" ref="P34">TrajectoryDropInCM(I34,$A34,P$18)</f>
        <v>30.060004471165279</v>
      </c>
      <c r="Q34" s="31" cm="1">
        <f t="array" ref="Q34">TrajectoryErrorCM($E$19,1,$A34)</f>
        <v>3.3805023353162333</v>
      </c>
    </row>
    <row r="35" spans="1:17" x14ac:dyDescent="0.25">
      <c r="A35" s="1">
        <v>500</v>
      </c>
      <c r="B35" s="1">
        <v>1663.7</v>
      </c>
      <c r="C35" s="6">
        <v>-0.95</v>
      </c>
      <c r="D35" s="6">
        <v>-1.05</v>
      </c>
      <c r="E35" s="6">
        <v>-1</v>
      </c>
      <c r="F35" s="6">
        <v>-0.91700000000000004</v>
      </c>
      <c r="G35" s="6">
        <v>-0.65</v>
      </c>
      <c r="H35" s="6">
        <v>-0.375</v>
      </c>
      <c r="I35" s="15">
        <v>0</v>
      </c>
      <c r="J35" s="9" cm="1">
        <f t="array" ref="J35">TrajectoryDropInCM(C35,$A35,J$18)</f>
        <v>-213.75130214780023</v>
      </c>
      <c r="K35" s="9" cm="1">
        <f t="array" ref="K35">TrajectoryDropInCM(D35,$A35,K$18)</f>
        <v>-210.00123480871284</v>
      </c>
      <c r="L35" s="9" cm="1">
        <f t="array" ref="L35">TrajectoryDropInCM(E35,$A35,L$18)</f>
        <v>-200.00106667349337</v>
      </c>
      <c r="M35" s="9" cm="1">
        <f t="array" ref="M35">TrajectoryDropInCM(F35,$A35,M$18)</f>
        <v>-183.40082250598704</v>
      </c>
      <c r="N35" s="9" cm="1">
        <f t="array" ref="N35">TrajectoryDropInCM(G35,$A35,N$18)</f>
        <v>-130.00029293412544</v>
      </c>
      <c r="O35" s="9" cm="1">
        <f t="array" ref="O35">TrajectoryDropInCM(H35,$A35,O$18)</f>
        <v>-75.000056250050633</v>
      </c>
      <c r="P35" s="32" cm="1">
        <f t="array" ref="P35">TrajectoryDropInCM(I35,$A35,P$18)</f>
        <v>0</v>
      </c>
      <c r="Q35" s="31" cm="1">
        <f t="array" ref="Q35">TrajectoryErrorCM($E$19,1,$A35)</f>
        <v>3.7561137059069258</v>
      </c>
    </row>
    <row r="77" spans="1:19" x14ac:dyDescent="0.25">
      <c r="A77" t="s">
        <v>27</v>
      </c>
    </row>
    <row r="78" spans="1:19" x14ac:dyDescent="0.25">
      <c r="A78" t="s">
        <v>79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33</v>
      </c>
      <c r="H79" t="s">
        <v>34</v>
      </c>
      <c r="I79" t="s">
        <v>35</v>
      </c>
    </row>
    <row r="80" spans="1:19" x14ac:dyDescent="0.25">
      <c r="A80" s="1">
        <v>0</v>
      </c>
      <c r="B80" s="1">
        <v>869</v>
      </c>
      <c r="C80" s="1">
        <v>6113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845</v>
      </c>
      <c r="C81" s="1">
        <v>5784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822</v>
      </c>
      <c r="C82" s="10">
        <v>5472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799</v>
      </c>
      <c r="C83" s="1">
        <v>5174</v>
      </c>
      <c r="D83" s="1">
        <v>0.5</v>
      </c>
      <c r="E83" s="1">
        <v>-0.2</v>
      </c>
      <c r="F83" s="1">
        <v>-0.1</v>
      </c>
      <c r="G83" s="1">
        <v>0</v>
      </c>
      <c r="H83" s="1">
        <v>0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777</v>
      </c>
      <c r="C84" s="1">
        <v>4889</v>
      </c>
      <c r="D84" s="1">
        <v>0.1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755</v>
      </c>
      <c r="C85" s="1">
        <v>4616</v>
      </c>
      <c r="D85" s="1">
        <v>-1.4</v>
      </c>
      <c r="E85" s="1">
        <v>0.4</v>
      </c>
      <c r="F85" s="1">
        <v>0.1</v>
      </c>
      <c r="G85" s="1">
        <v>0</v>
      </c>
      <c r="H85" s="1">
        <v>0</v>
      </c>
      <c r="I85" s="1">
        <v>0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733</v>
      </c>
      <c r="C86" s="1">
        <v>4355</v>
      </c>
      <c r="D86" s="1">
        <v>-3.9</v>
      </c>
      <c r="E86" s="1">
        <v>0.9</v>
      </c>
      <c r="F86" s="1">
        <v>0.3</v>
      </c>
      <c r="G86" s="1">
        <v>0</v>
      </c>
      <c r="H86" s="1">
        <v>0</v>
      </c>
      <c r="I86" s="1">
        <v>0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712</v>
      </c>
      <c r="C87" s="1">
        <v>4106</v>
      </c>
      <c r="D87" s="1">
        <v>-7.6</v>
      </c>
      <c r="E87" s="1">
        <v>1.5</v>
      </c>
      <c r="F87" s="1">
        <v>0.4</v>
      </c>
      <c r="G87" s="1">
        <v>0</v>
      </c>
      <c r="H87" s="1">
        <v>0</v>
      </c>
      <c r="I87" s="1">
        <v>0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691</v>
      </c>
      <c r="C88" s="1">
        <v>3869</v>
      </c>
      <c r="D88" s="1">
        <v>-12.8</v>
      </c>
      <c r="E88" s="1">
        <v>2.2000000000000002</v>
      </c>
      <c r="F88" s="1">
        <v>0.6</v>
      </c>
      <c r="G88" s="1">
        <v>0</v>
      </c>
      <c r="H88" s="1">
        <v>0</v>
      </c>
      <c r="I88" s="1">
        <v>0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670</v>
      </c>
      <c r="C89" s="1">
        <v>3642</v>
      </c>
      <c r="D89" s="1">
        <v>-19.100000000000001</v>
      </c>
      <c r="E89" s="1">
        <v>2.9</v>
      </c>
      <c r="F89" s="1">
        <v>0.8</v>
      </c>
      <c r="G89" s="1">
        <v>0</v>
      </c>
      <c r="H89" s="1">
        <v>0</v>
      </c>
      <c r="I89" s="1">
        <v>0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650</v>
      </c>
      <c r="C90" s="1">
        <v>3426</v>
      </c>
      <c r="D90" s="1">
        <v>-26.7</v>
      </c>
      <c r="E90" s="1">
        <v>3.7</v>
      </c>
      <c r="F90" s="1">
        <v>1.1000000000000001</v>
      </c>
      <c r="G90" s="1">
        <v>0</v>
      </c>
      <c r="H90" s="1">
        <v>0</v>
      </c>
      <c r="I90" s="1">
        <v>0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630</v>
      </c>
      <c r="C91" s="1">
        <v>3220</v>
      </c>
      <c r="D91" s="1">
        <v>-36.299999999999997</v>
      </c>
      <c r="E91" s="1">
        <v>4.5</v>
      </c>
      <c r="F91" s="1">
        <v>1.3</v>
      </c>
      <c r="G91" s="1">
        <v>0</v>
      </c>
      <c r="H91" s="1">
        <v>0</v>
      </c>
      <c r="I91" s="1">
        <v>0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611</v>
      </c>
      <c r="C92" s="1">
        <v>3024</v>
      </c>
      <c r="D92" s="1">
        <v>-47.1</v>
      </c>
      <c r="E92" s="1">
        <v>5.4</v>
      </c>
      <c r="F92" s="1">
        <v>1.6</v>
      </c>
      <c r="G92" s="1">
        <v>0</v>
      </c>
      <c r="H92" s="1">
        <v>0</v>
      </c>
      <c r="I92" s="1">
        <v>0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592</v>
      </c>
      <c r="C93" s="1">
        <v>2838</v>
      </c>
      <c r="D93" s="1">
        <v>-59.7</v>
      </c>
      <c r="E93" s="1">
        <v>6.3</v>
      </c>
      <c r="F93" s="1">
        <v>1.8</v>
      </c>
      <c r="G93" s="1">
        <v>0</v>
      </c>
      <c r="H93" s="1">
        <v>0</v>
      </c>
      <c r="I93" s="1">
        <v>0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573</v>
      </c>
      <c r="C94" s="1">
        <v>2662</v>
      </c>
      <c r="D94" s="1">
        <v>-74.7</v>
      </c>
      <c r="E94" s="1">
        <v>7.3</v>
      </c>
      <c r="F94" s="1">
        <v>2.1</v>
      </c>
      <c r="G94" s="1">
        <v>0</v>
      </c>
      <c r="H94" s="1">
        <v>0</v>
      </c>
      <c r="I94" s="1">
        <v>0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555</v>
      </c>
      <c r="C95" s="1">
        <v>2495</v>
      </c>
      <c r="D95" s="1">
        <v>-91.2</v>
      </c>
      <c r="E95" s="1">
        <v>8.4</v>
      </c>
      <c r="F95" s="1">
        <v>2.4</v>
      </c>
      <c r="G95" s="1">
        <v>0</v>
      </c>
      <c r="H95" s="1">
        <v>0</v>
      </c>
      <c r="I95" s="1">
        <v>0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537</v>
      </c>
      <c r="C96" s="1">
        <v>2337</v>
      </c>
      <c r="D96" s="1">
        <v>-109.8</v>
      </c>
      <c r="E96" s="1">
        <v>9.4</v>
      </c>
      <c r="F96" s="1">
        <v>2.7</v>
      </c>
      <c r="G96" s="1">
        <v>0</v>
      </c>
      <c r="H96" s="1">
        <v>0</v>
      </c>
      <c r="I96" s="1">
        <v>0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520</v>
      </c>
      <c r="C97" s="1">
        <v>2189</v>
      </c>
      <c r="D97" s="1">
        <v>-131.5</v>
      </c>
      <c r="E97" s="1">
        <v>10.6</v>
      </c>
      <c r="F97" s="1">
        <v>3.1</v>
      </c>
      <c r="G97" s="1">
        <v>0</v>
      </c>
      <c r="H97" s="1">
        <v>0</v>
      </c>
      <c r="I97" s="1">
        <v>0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503</v>
      </c>
      <c r="C98" s="1">
        <v>2049</v>
      </c>
      <c r="D98" s="1">
        <v>-154.9</v>
      </c>
      <c r="E98" s="1">
        <v>11.8</v>
      </c>
      <c r="F98" s="1">
        <v>3.4</v>
      </c>
      <c r="G98" s="1">
        <v>0</v>
      </c>
      <c r="H98" s="1">
        <v>0</v>
      </c>
      <c r="I98" s="1">
        <v>0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487</v>
      </c>
      <c r="C99" s="1">
        <v>1918</v>
      </c>
      <c r="D99" s="1">
        <v>-181</v>
      </c>
      <c r="E99" s="1">
        <v>13.1</v>
      </c>
      <c r="F99" s="1">
        <v>3.8</v>
      </c>
      <c r="G99" s="1">
        <v>0</v>
      </c>
      <c r="H99" s="1">
        <v>0</v>
      </c>
      <c r="I99" s="1">
        <v>0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471</v>
      </c>
      <c r="C100" s="1">
        <v>1800</v>
      </c>
      <c r="D100" s="1">
        <v>-209.9</v>
      </c>
      <c r="E100" s="1">
        <v>14.4</v>
      </c>
      <c r="F100" s="1">
        <v>4.2</v>
      </c>
      <c r="G100" s="1">
        <v>0</v>
      </c>
      <c r="H100" s="1">
        <v>0</v>
      </c>
      <c r="I100" s="1">
        <v>0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80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33</v>
      </c>
      <c r="H103" t="s">
        <v>34</v>
      </c>
      <c r="I103" t="s">
        <v>35</v>
      </c>
    </row>
    <row r="104" spans="1:19" x14ac:dyDescent="0.25">
      <c r="A104" s="1">
        <v>0</v>
      </c>
      <c r="B104" s="1">
        <v>869</v>
      </c>
      <c r="C104" s="1">
        <v>6113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845</v>
      </c>
      <c r="C105" s="1">
        <v>5784</v>
      </c>
      <c r="D105" s="1">
        <v>-1.5</v>
      </c>
      <c r="E105" s="1">
        <v>2.1</v>
      </c>
      <c r="F105" s="1">
        <v>0.6</v>
      </c>
      <c r="G105">
        <v>0</v>
      </c>
      <c r="H105">
        <v>0</v>
      </c>
      <c r="I105">
        <v>0</v>
      </c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822</v>
      </c>
      <c r="C106" s="1">
        <v>5472</v>
      </c>
      <c r="D106" s="1">
        <v>0</v>
      </c>
      <c r="E106" s="1">
        <v>0</v>
      </c>
      <c r="F106" s="1">
        <v>0</v>
      </c>
      <c r="G106">
        <v>0</v>
      </c>
      <c r="H106">
        <v>0</v>
      </c>
      <c r="I106">
        <v>0</v>
      </c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799</v>
      </c>
      <c r="C107" s="1">
        <v>5174</v>
      </c>
      <c r="D107" s="1">
        <v>0.5</v>
      </c>
      <c r="E107" s="1">
        <v>-0.2</v>
      </c>
      <c r="F107" s="1">
        <v>-0.1</v>
      </c>
      <c r="G107">
        <v>0</v>
      </c>
      <c r="H107">
        <v>0</v>
      </c>
      <c r="I107">
        <v>0</v>
      </c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777</v>
      </c>
      <c r="C108" s="10">
        <v>4889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755</v>
      </c>
      <c r="C109" s="1">
        <v>4616</v>
      </c>
      <c r="D109" s="1">
        <v>-1.5</v>
      </c>
      <c r="E109" s="1">
        <v>0.4</v>
      </c>
      <c r="F109" s="1">
        <v>0.1</v>
      </c>
      <c r="G109">
        <v>0</v>
      </c>
      <c r="H109">
        <v>0</v>
      </c>
      <c r="I109">
        <v>0</v>
      </c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733</v>
      </c>
      <c r="C110" s="1">
        <v>4355</v>
      </c>
      <c r="D110" s="1">
        <v>-4</v>
      </c>
      <c r="E110" s="1">
        <v>0.9</v>
      </c>
      <c r="F110" s="1">
        <v>0.3</v>
      </c>
      <c r="G110">
        <v>0</v>
      </c>
      <c r="H110">
        <v>0</v>
      </c>
      <c r="I110">
        <v>0</v>
      </c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712</v>
      </c>
      <c r="C111" s="1">
        <v>4106</v>
      </c>
      <c r="D111" s="1">
        <v>-7.8</v>
      </c>
      <c r="E111" s="1">
        <v>1.5</v>
      </c>
      <c r="F111" s="1">
        <v>0.4</v>
      </c>
      <c r="G111">
        <v>0</v>
      </c>
      <c r="H111">
        <v>0</v>
      </c>
      <c r="I111">
        <v>0</v>
      </c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691</v>
      </c>
      <c r="C112" s="1">
        <v>3869</v>
      </c>
      <c r="D112" s="1">
        <v>-12.9</v>
      </c>
      <c r="E112" s="1">
        <v>2.2000000000000002</v>
      </c>
      <c r="F112" s="1">
        <v>0.6</v>
      </c>
      <c r="G112">
        <v>0</v>
      </c>
      <c r="H112">
        <v>0</v>
      </c>
      <c r="I112">
        <v>0</v>
      </c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670</v>
      </c>
      <c r="C113" s="1">
        <v>3642</v>
      </c>
      <c r="D113" s="1">
        <v>-19.2</v>
      </c>
      <c r="E113" s="1">
        <v>2.9</v>
      </c>
      <c r="F113" s="1">
        <v>0.9</v>
      </c>
      <c r="G113">
        <v>0</v>
      </c>
      <c r="H113">
        <v>0</v>
      </c>
      <c r="I113">
        <v>0</v>
      </c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650</v>
      </c>
      <c r="C114" s="1">
        <v>3426</v>
      </c>
      <c r="D114" s="1">
        <v>-26.9</v>
      </c>
      <c r="E114" s="1">
        <v>3.7</v>
      </c>
      <c r="F114" s="1">
        <v>1.1000000000000001</v>
      </c>
      <c r="G114">
        <v>0</v>
      </c>
      <c r="H114">
        <v>0</v>
      </c>
      <c r="I114">
        <v>0</v>
      </c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630</v>
      </c>
      <c r="C115" s="1">
        <v>3220</v>
      </c>
      <c r="D115" s="1">
        <v>-36.5</v>
      </c>
      <c r="E115" s="1">
        <v>4.5999999999999996</v>
      </c>
      <c r="F115" s="1">
        <v>1.3</v>
      </c>
      <c r="G115">
        <v>0</v>
      </c>
      <c r="H115">
        <v>0</v>
      </c>
      <c r="I115">
        <v>0</v>
      </c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611</v>
      </c>
      <c r="C116" s="1">
        <v>3024</v>
      </c>
      <c r="D116" s="1">
        <v>-47.4</v>
      </c>
      <c r="E116" s="1">
        <v>5.4</v>
      </c>
      <c r="F116" s="1">
        <v>1.6</v>
      </c>
      <c r="G116">
        <v>0</v>
      </c>
      <c r="H116">
        <v>0</v>
      </c>
      <c r="I116">
        <v>0</v>
      </c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592</v>
      </c>
      <c r="C117" s="1">
        <v>2838</v>
      </c>
      <c r="D117" s="1">
        <v>-60</v>
      </c>
      <c r="E117" s="1">
        <v>6.3</v>
      </c>
      <c r="F117" s="1">
        <v>1.8</v>
      </c>
      <c r="G117">
        <v>0</v>
      </c>
      <c r="H117">
        <v>0</v>
      </c>
      <c r="I117">
        <v>0</v>
      </c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573</v>
      </c>
      <c r="C118" s="1">
        <v>2662</v>
      </c>
      <c r="D118" s="1">
        <v>-75</v>
      </c>
      <c r="E118" s="1">
        <v>7.4</v>
      </c>
      <c r="F118" s="1">
        <v>2.1</v>
      </c>
      <c r="G118">
        <v>0</v>
      </c>
      <c r="H118">
        <v>0</v>
      </c>
      <c r="I118">
        <v>0</v>
      </c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555</v>
      </c>
      <c r="C119" s="1">
        <v>2495</v>
      </c>
      <c r="D119" s="1">
        <v>-91.4</v>
      </c>
      <c r="E119" s="1">
        <v>8.4</v>
      </c>
      <c r="F119" s="1">
        <v>2.4</v>
      </c>
      <c r="G119">
        <v>0</v>
      </c>
      <c r="H119">
        <v>0</v>
      </c>
      <c r="I119">
        <v>0</v>
      </c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537</v>
      </c>
      <c r="C120" s="1">
        <v>2337</v>
      </c>
      <c r="D120" s="1">
        <v>-110.1</v>
      </c>
      <c r="E120" s="1">
        <v>9.5</v>
      </c>
      <c r="F120" s="1">
        <v>2.8</v>
      </c>
      <c r="G120">
        <v>0</v>
      </c>
      <c r="H120">
        <v>0</v>
      </c>
      <c r="I120">
        <v>0</v>
      </c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520</v>
      </c>
      <c r="C121" s="1">
        <v>2189</v>
      </c>
      <c r="D121" s="1">
        <v>-131.80000000000001</v>
      </c>
      <c r="E121" s="1">
        <v>10.7</v>
      </c>
      <c r="F121" s="1">
        <v>3.1</v>
      </c>
      <c r="G121">
        <v>0</v>
      </c>
      <c r="H121">
        <v>0</v>
      </c>
      <c r="I121">
        <v>0</v>
      </c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503</v>
      </c>
      <c r="C122" s="1">
        <v>2049</v>
      </c>
      <c r="D122" s="1">
        <v>-155.19999999999999</v>
      </c>
      <c r="E122" s="1">
        <v>11.9</v>
      </c>
      <c r="F122" s="1">
        <v>3.4</v>
      </c>
      <c r="G122">
        <v>0</v>
      </c>
      <c r="H122">
        <v>0</v>
      </c>
      <c r="I122">
        <v>0</v>
      </c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487</v>
      </c>
      <c r="C123" s="1">
        <v>1918</v>
      </c>
      <c r="D123" s="1">
        <v>-181.3</v>
      </c>
      <c r="E123" s="1">
        <v>13.1</v>
      </c>
      <c r="F123" s="1">
        <v>3.8</v>
      </c>
      <c r="G123">
        <v>0</v>
      </c>
      <c r="H123">
        <v>0</v>
      </c>
      <c r="I123">
        <v>0</v>
      </c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471</v>
      </c>
      <c r="C124" s="1">
        <v>1800</v>
      </c>
      <c r="D124" s="1">
        <v>-210.3</v>
      </c>
      <c r="E124" s="1">
        <v>14.5</v>
      </c>
      <c r="F124" s="1">
        <v>4.2</v>
      </c>
      <c r="G124">
        <v>0</v>
      </c>
      <c r="H124">
        <v>0</v>
      </c>
      <c r="I124">
        <v>0</v>
      </c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81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33</v>
      </c>
      <c r="H127" t="s">
        <v>34</v>
      </c>
      <c r="I127" t="s">
        <v>35</v>
      </c>
    </row>
    <row r="128" spans="1:19" x14ac:dyDescent="0.25">
      <c r="A128" s="1">
        <v>0</v>
      </c>
      <c r="B128" s="1">
        <v>869</v>
      </c>
      <c r="C128" s="1">
        <v>6113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845</v>
      </c>
      <c r="C129" s="1">
        <v>5784</v>
      </c>
      <c r="D129" s="1">
        <v>-0.8</v>
      </c>
      <c r="E129" s="1">
        <v>1.2</v>
      </c>
      <c r="F129" s="1">
        <v>0.3</v>
      </c>
      <c r="G129">
        <v>0</v>
      </c>
      <c r="H129">
        <v>0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822</v>
      </c>
      <c r="C130" s="1">
        <v>5472</v>
      </c>
      <c r="D130" s="1">
        <v>1.3</v>
      </c>
      <c r="E130" s="1">
        <v>-0.9</v>
      </c>
      <c r="F130" s="1">
        <v>-0.3</v>
      </c>
      <c r="G130">
        <v>0</v>
      </c>
      <c r="H130">
        <v>0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799</v>
      </c>
      <c r="C131" s="1">
        <v>5174</v>
      </c>
      <c r="D131" s="1">
        <v>2.5</v>
      </c>
      <c r="E131" s="1">
        <v>-1.2</v>
      </c>
      <c r="F131" s="1">
        <v>-0.3</v>
      </c>
      <c r="G131">
        <v>0</v>
      </c>
      <c r="H131">
        <v>0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777</v>
      </c>
      <c r="C132" s="1">
        <v>4889</v>
      </c>
      <c r="D132" s="1">
        <v>2.8</v>
      </c>
      <c r="E132" s="1">
        <v>-1</v>
      </c>
      <c r="F132" s="1">
        <v>-0.3</v>
      </c>
      <c r="G132">
        <v>0</v>
      </c>
      <c r="H132">
        <v>0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755</v>
      </c>
      <c r="C133" s="1">
        <v>4616</v>
      </c>
      <c r="D133" s="1">
        <v>1.9</v>
      </c>
      <c r="E133" s="1">
        <v>-0.5</v>
      </c>
      <c r="F133" s="1">
        <v>-0.2</v>
      </c>
      <c r="G133">
        <v>0</v>
      </c>
      <c r="H133">
        <v>0</v>
      </c>
      <c r="I133">
        <v>0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733</v>
      </c>
      <c r="C134" s="10">
        <v>4355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712</v>
      </c>
      <c r="C135" s="1">
        <v>4106</v>
      </c>
      <c r="D135" s="1">
        <v>-3</v>
      </c>
      <c r="E135" s="1">
        <v>0.6</v>
      </c>
      <c r="F135" s="1">
        <v>0.2</v>
      </c>
      <c r="G135">
        <v>0</v>
      </c>
      <c r="H135">
        <v>0</v>
      </c>
      <c r="I135">
        <v>0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691</v>
      </c>
      <c r="C136" s="1">
        <v>3869</v>
      </c>
      <c r="D136" s="1">
        <v>-7.5</v>
      </c>
      <c r="E136" s="1">
        <v>1.3</v>
      </c>
      <c r="F136" s="1">
        <v>0.4</v>
      </c>
      <c r="G136">
        <v>0</v>
      </c>
      <c r="H136">
        <v>0</v>
      </c>
      <c r="I136">
        <v>0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670</v>
      </c>
      <c r="C137" s="1">
        <v>3642</v>
      </c>
      <c r="D137" s="1">
        <v>-13.1</v>
      </c>
      <c r="E137" s="1">
        <v>2</v>
      </c>
      <c r="F137" s="1">
        <v>0.6</v>
      </c>
      <c r="G137">
        <v>0</v>
      </c>
      <c r="H137">
        <v>0</v>
      </c>
      <c r="I137">
        <v>0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650</v>
      </c>
      <c r="C138" s="1">
        <v>3426</v>
      </c>
      <c r="D138" s="1">
        <v>-20.100000000000001</v>
      </c>
      <c r="E138" s="1">
        <v>2.8</v>
      </c>
      <c r="F138" s="1">
        <v>0.8</v>
      </c>
      <c r="G138">
        <v>0</v>
      </c>
      <c r="H138">
        <v>0</v>
      </c>
      <c r="I138">
        <v>0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630</v>
      </c>
      <c r="C139" s="1">
        <v>3220</v>
      </c>
      <c r="D139" s="1">
        <v>-29</v>
      </c>
      <c r="E139" s="1">
        <v>3.6</v>
      </c>
      <c r="F139" s="1">
        <v>1.1000000000000001</v>
      </c>
      <c r="G139">
        <v>0</v>
      </c>
      <c r="H139">
        <v>0</v>
      </c>
      <c r="I139">
        <v>0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611</v>
      </c>
      <c r="C140" s="1">
        <v>3024</v>
      </c>
      <c r="D140" s="1">
        <v>-39.200000000000003</v>
      </c>
      <c r="E140" s="1">
        <v>4.5</v>
      </c>
      <c r="F140" s="1">
        <v>1.3</v>
      </c>
      <c r="G140">
        <v>0</v>
      </c>
      <c r="H140">
        <v>0</v>
      </c>
      <c r="I140">
        <v>0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592</v>
      </c>
      <c r="C141" s="1">
        <v>2838</v>
      </c>
      <c r="D141" s="1">
        <v>-51.1</v>
      </c>
      <c r="E141" s="1">
        <v>5.4</v>
      </c>
      <c r="F141" s="1">
        <v>1.6</v>
      </c>
      <c r="G141">
        <v>0</v>
      </c>
      <c r="H141">
        <v>0</v>
      </c>
      <c r="I141">
        <v>0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573</v>
      </c>
      <c r="C142" s="1">
        <v>2662</v>
      </c>
      <c r="D142" s="1">
        <v>-65.400000000000006</v>
      </c>
      <c r="E142" s="1">
        <v>6.4</v>
      </c>
      <c r="F142" s="1">
        <v>1.9</v>
      </c>
      <c r="G142">
        <v>0</v>
      </c>
      <c r="H142">
        <v>0</v>
      </c>
      <c r="I142">
        <v>0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555</v>
      </c>
      <c r="C143" s="1">
        <v>2495</v>
      </c>
      <c r="D143" s="1">
        <v>-81.2</v>
      </c>
      <c r="E143" s="1">
        <v>7.4</v>
      </c>
      <c r="F143" s="1">
        <v>2.2000000000000002</v>
      </c>
      <c r="G143">
        <v>0</v>
      </c>
      <c r="H143">
        <v>0</v>
      </c>
      <c r="I143">
        <v>0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537</v>
      </c>
      <c r="C144" s="1">
        <v>2337</v>
      </c>
      <c r="D144" s="1">
        <v>-99.2</v>
      </c>
      <c r="E144" s="1">
        <v>8.5</v>
      </c>
      <c r="F144" s="1">
        <v>2.5</v>
      </c>
      <c r="G144">
        <v>0</v>
      </c>
      <c r="H144">
        <v>0</v>
      </c>
      <c r="I144">
        <v>0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520</v>
      </c>
      <c r="C145" s="1">
        <v>2189</v>
      </c>
      <c r="D145" s="1">
        <v>-120.2</v>
      </c>
      <c r="E145" s="1">
        <v>9.6999999999999993</v>
      </c>
      <c r="F145" s="1">
        <v>2.8</v>
      </c>
      <c r="G145">
        <v>0</v>
      </c>
      <c r="H145">
        <v>0</v>
      </c>
      <c r="I145">
        <v>0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503</v>
      </c>
      <c r="C146" s="1">
        <v>2049</v>
      </c>
      <c r="D146" s="1">
        <v>-143</v>
      </c>
      <c r="E146" s="1">
        <v>10.9</v>
      </c>
      <c r="F146" s="1">
        <v>3.2</v>
      </c>
      <c r="G146">
        <v>0</v>
      </c>
      <c r="H146">
        <v>0</v>
      </c>
      <c r="I146">
        <v>0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487</v>
      </c>
      <c r="C147" s="1">
        <v>1918</v>
      </c>
      <c r="D147" s="1">
        <v>-168.4</v>
      </c>
      <c r="E147" s="1">
        <v>12.2</v>
      </c>
      <c r="F147" s="1">
        <v>3.5</v>
      </c>
      <c r="G147">
        <v>0</v>
      </c>
      <c r="H147">
        <v>0</v>
      </c>
      <c r="I147">
        <v>0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471</v>
      </c>
      <c r="C148" s="1">
        <v>1800</v>
      </c>
      <c r="D148" s="1">
        <v>-196.7</v>
      </c>
      <c r="E148" s="1">
        <v>13.5</v>
      </c>
      <c r="F148" s="1">
        <v>3.9</v>
      </c>
      <c r="G148">
        <v>0</v>
      </c>
      <c r="H148">
        <v>0</v>
      </c>
      <c r="I148">
        <v>0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82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33</v>
      </c>
      <c r="H151" t="s">
        <v>34</v>
      </c>
      <c r="I151" t="s">
        <v>35</v>
      </c>
    </row>
    <row r="152" spans="1:19" x14ac:dyDescent="0.25">
      <c r="A152" s="1">
        <v>0</v>
      </c>
      <c r="B152" s="1">
        <v>869</v>
      </c>
      <c r="C152" s="1">
        <v>6113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845</v>
      </c>
      <c r="C153" s="1">
        <v>5784</v>
      </c>
      <c r="D153" s="1">
        <v>0.1</v>
      </c>
      <c r="E153" s="1">
        <v>-0.1</v>
      </c>
      <c r="F153" s="1">
        <v>0</v>
      </c>
      <c r="G153">
        <v>0</v>
      </c>
      <c r="H153">
        <v>0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822</v>
      </c>
      <c r="C154" s="1">
        <v>5472</v>
      </c>
      <c r="D154" s="1">
        <v>3.2</v>
      </c>
      <c r="E154" s="1">
        <v>-2.2000000000000002</v>
      </c>
      <c r="F154" s="1">
        <v>-0.6</v>
      </c>
      <c r="G154">
        <v>0</v>
      </c>
      <c r="H154">
        <v>0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799</v>
      </c>
      <c r="C155" s="1">
        <v>5174</v>
      </c>
      <c r="D155" s="1">
        <v>5.4</v>
      </c>
      <c r="E155" s="1">
        <v>-2.5</v>
      </c>
      <c r="F155" s="1">
        <v>-0.7</v>
      </c>
      <c r="G155">
        <v>0</v>
      </c>
      <c r="H155">
        <v>0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777</v>
      </c>
      <c r="C156" s="1">
        <v>4889</v>
      </c>
      <c r="D156" s="1">
        <v>6.5</v>
      </c>
      <c r="E156" s="1">
        <v>-2.2000000000000002</v>
      </c>
      <c r="F156" s="1">
        <v>-0.7</v>
      </c>
      <c r="G156">
        <v>0</v>
      </c>
      <c r="H156">
        <v>0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755</v>
      </c>
      <c r="C157" s="1">
        <v>4616</v>
      </c>
      <c r="D157" s="1">
        <v>6.7</v>
      </c>
      <c r="E157" s="1">
        <v>-1.8</v>
      </c>
      <c r="F157" s="1">
        <v>-0.5</v>
      </c>
      <c r="G157">
        <v>0</v>
      </c>
      <c r="H157">
        <v>0</v>
      </c>
      <c r="I157">
        <v>0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733</v>
      </c>
      <c r="C158" s="1">
        <v>4355</v>
      </c>
      <c r="D158" s="1">
        <v>5.7</v>
      </c>
      <c r="E158" s="1">
        <v>-1.3</v>
      </c>
      <c r="F158" s="1">
        <v>-0.4</v>
      </c>
      <c r="G158">
        <v>0</v>
      </c>
      <c r="H158">
        <v>0</v>
      </c>
      <c r="I158">
        <v>0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712</v>
      </c>
      <c r="C159" s="1">
        <v>4106</v>
      </c>
      <c r="D159" s="1">
        <v>3.6</v>
      </c>
      <c r="E159" s="1">
        <v>-0.7</v>
      </c>
      <c r="F159" s="1">
        <v>-0.2</v>
      </c>
      <c r="G159">
        <v>0</v>
      </c>
      <c r="H159">
        <v>0</v>
      </c>
      <c r="I159">
        <v>0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691</v>
      </c>
      <c r="C160" s="10">
        <v>3869</v>
      </c>
      <c r="D160" s="10">
        <v>0.1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670</v>
      </c>
      <c r="C161" s="1">
        <v>3642</v>
      </c>
      <c r="D161" s="1">
        <v>-4.5999999999999996</v>
      </c>
      <c r="E161" s="1">
        <v>0.7</v>
      </c>
      <c r="F161" s="1">
        <v>0.2</v>
      </c>
      <c r="G161">
        <v>0</v>
      </c>
      <c r="H161">
        <v>0</v>
      </c>
      <c r="I161">
        <v>0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650</v>
      </c>
      <c r="C162" s="1">
        <v>3426</v>
      </c>
      <c r="D162" s="1">
        <v>-10.7</v>
      </c>
      <c r="E162" s="1">
        <v>1.5</v>
      </c>
      <c r="F162" s="1">
        <v>0.4</v>
      </c>
      <c r="G162">
        <v>0</v>
      </c>
      <c r="H162">
        <v>0</v>
      </c>
      <c r="I162">
        <v>0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630</v>
      </c>
      <c r="C163" s="1">
        <v>3220</v>
      </c>
      <c r="D163" s="1">
        <v>-18.600000000000001</v>
      </c>
      <c r="E163" s="1">
        <v>2.2999999999999998</v>
      </c>
      <c r="F163" s="1">
        <v>0.7</v>
      </c>
      <c r="G163">
        <v>0</v>
      </c>
      <c r="H163">
        <v>0</v>
      </c>
      <c r="I163">
        <v>0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611</v>
      </c>
      <c r="C164" s="1">
        <v>3024</v>
      </c>
      <c r="D164" s="1">
        <v>-27.9</v>
      </c>
      <c r="E164" s="1">
        <v>3.2</v>
      </c>
      <c r="F164" s="1">
        <v>0.9</v>
      </c>
      <c r="G164">
        <v>0</v>
      </c>
      <c r="H164">
        <v>0</v>
      </c>
      <c r="I164">
        <v>0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592</v>
      </c>
      <c r="C165" s="1">
        <v>2838</v>
      </c>
      <c r="D165" s="1">
        <v>-38.9</v>
      </c>
      <c r="E165" s="1">
        <v>4.0999999999999996</v>
      </c>
      <c r="F165" s="1">
        <v>1.2</v>
      </c>
      <c r="G165">
        <v>0</v>
      </c>
      <c r="H165">
        <v>0</v>
      </c>
      <c r="I165">
        <v>0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573</v>
      </c>
      <c r="C166" s="1">
        <v>2662</v>
      </c>
      <c r="D166" s="1">
        <v>-52.2</v>
      </c>
      <c r="E166" s="1">
        <v>5.0999999999999996</v>
      </c>
      <c r="F166" s="1">
        <v>1.5</v>
      </c>
      <c r="G166">
        <v>0</v>
      </c>
      <c r="H166">
        <v>0</v>
      </c>
      <c r="I166">
        <v>0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555</v>
      </c>
      <c r="C167" s="1">
        <v>2495</v>
      </c>
      <c r="D167" s="1">
        <v>-67.099999999999994</v>
      </c>
      <c r="E167" s="1">
        <v>6.2</v>
      </c>
      <c r="F167" s="1">
        <v>1.8</v>
      </c>
      <c r="G167">
        <v>0</v>
      </c>
      <c r="H167">
        <v>0</v>
      </c>
      <c r="I167">
        <v>0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537</v>
      </c>
      <c r="C168" s="1">
        <v>2337</v>
      </c>
      <c r="D168" s="1">
        <v>-84.1</v>
      </c>
      <c r="E168" s="1">
        <v>7.2</v>
      </c>
      <c r="F168" s="1">
        <v>2.1</v>
      </c>
      <c r="G168">
        <v>0</v>
      </c>
      <c r="H168">
        <v>0</v>
      </c>
      <c r="I168">
        <v>0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520</v>
      </c>
      <c r="C169" s="1">
        <v>2189</v>
      </c>
      <c r="D169" s="1">
        <v>-104.2</v>
      </c>
      <c r="E169" s="1">
        <v>8.4</v>
      </c>
      <c r="F169" s="1">
        <v>2.4</v>
      </c>
      <c r="G169">
        <v>0</v>
      </c>
      <c r="H169">
        <v>0</v>
      </c>
      <c r="I169">
        <v>0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503</v>
      </c>
      <c r="C170" s="1">
        <v>2049</v>
      </c>
      <c r="D170" s="1">
        <v>-126</v>
      </c>
      <c r="E170" s="1">
        <v>9.6</v>
      </c>
      <c r="F170" s="1">
        <v>2.8</v>
      </c>
      <c r="G170">
        <v>0</v>
      </c>
      <c r="H170">
        <v>0</v>
      </c>
      <c r="I170">
        <v>0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487</v>
      </c>
      <c r="C171" s="1">
        <v>1918</v>
      </c>
      <c r="D171" s="1">
        <v>-150.5</v>
      </c>
      <c r="E171" s="1">
        <v>10.9</v>
      </c>
      <c r="F171" s="1">
        <v>3.2</v>
      </c>
      <c r="G171">
        <v>0</v>
      </c>
      <c r="H171">
        <v>0</v>
      </c>
      <c r="I171">
        <v>0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471</v>
      </c>
      <c r="C172" s="1">
        <v>1800</v>
      </c>
      <c r="D172" s="1">
        <v>-177.9</v>
      </c>
      <c r="E172" s="1">
        <v>12.2</v>
      </c>
      <c r="F172" s="1">
        <v>3.6</v>
      </c>
      <c r="G172">
        <v>0</v>
      </c>
      <c r="H172">
        <v>0</v>
      </c>
      <c r="I172">
        <v>0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83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33</v>
      </c>
      <c r="H175" t="s">
        <v>34</v>
      </c>
      <c r="I175" t="s">
        <v>35</v>
      </c>
    </row>
    <row r="176" spans="1:19" x14ac:dyDescent="0.25">
      <c r="A176" s="1">
        <v>0</v>
      </c>
      <c r="B176" s="1">
        <v>869</v>
      </c>
      <c r="C176" s="1">
        <v>6113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845</v>
      </c>
      <c r="C177" s="1">
        <v>5784</v>
      </c>
      <c r="D177" s="1">
        <v>2.4</v>
      </c>
      <c r="E177" s="1">
        <v>-3.4</v>
      </c>
      <c r="F177" s="1">
        <v>-1</v>
      </c>
      <c r="G177">
        <v>0</v>
      </c>
      <c r="H177">
        <v>0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822</v>
      </c>
      <c r="C178" s="1">
        <v>5472</v>
      </c>
      <c r="D178" s="1">
        <v>8</v>
      </c>
      <c r="E178" s="1">
        <v>-5.5</v>
      </c>
      <c r="F178" s="1">
        <v>-1.6</v>
      </c>
      <c r="G178">
        <v>0</v>
      </c>
      <c r="H178">
        <v>0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799</v>
      </c>
      <c r="C179" s="1">
        <v>5174</v>
      </c>
      <c r="D179" s="1">
        <v>12.4</v>
      </c>
      <c r="E179" s="1">
        <v>-5.7</v>
      </c>
      <c r="F179" s="1">
        <v>-1.7</v>
      </c>
      <c r="G179">
        <v>0</v>
      </c>
      <c r="H179">
        <v>0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777</v>
      </c>
      <c r="C180" s="1">
        <v>4889</v>
      </c>
      <c r="D180" s="1">
        <v>15.9</v>
      </c>
      <c r="E180" s="1">
        <v>-5.5</v>
      </c>
      <c r="F180" s="1">
        <v>-1.6</v>
      </c>
      <c r="G180">
        <v>0</v>
      </c>
      <c r="H180">
        <v>0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755</v>
      </c>
      <c r="C181" s="1">
        <v>4616</v>
      </c>
      <c r="D181" s="1">
        <v>18.5</v>
      </c>
      <c r="E181" s="1">
        <v>-5.0999999999999996</v>
      </c>
      <c r="F181" s="1">
        <v>-1.5</v>
      </c>
      <c r="G181">
        <v>0</v>
      </c>
      <c r="H181">
        <v>0</v>
      </c>
      <c r="I181">
        <v>0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733</v>
      </c>
      <c r="C182" s="1">
        <v>4355</v>
      </c>
      <c r="D182" s="1">
        <v>19.8</v>
      </c>
      <c r="E182" s="1">
        <v>-4.5</v>
      </c>
      <c r="F182" s="1">
        <v>-1.3</v>
      </c>
      <c r="G182">
        <v>0</v>
      </c>
      <c r="H182">
        <v>0</v>
      </c>
      <c r="I182">
        <v>0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712</v>
      </c>
      <c r="C183" s="1">
        <v>4106</v>
      </c>
      <c r="D183" s="1">
        <v>20.100000000000001</v>
      </c>
      <c r="E183" s="1">
        <v>-3.9</v>
      </c>
      <c r="F183" s="1">
        <v>-1.1000000000000001</v>
      </c>
      <c r="G183">
        <v>0</v>
      </c>
      <c r="H183">
        <v>0</v>
      </c>
      <c r="I183">
        <v>0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691</v>
      </c>
      <c r="C184" s="1">
        <v>3869</v>
      </c>
      <c r="D184" s="1">
        <v>19</v>
      </c>
      <c r="E184" s="1">
        <v>-3.3</v>
      </c>
      <c r="F184" s="1">
        <v>-0.9</v>
      </c>
      <c r="G184">
        <v>0</v>
      </c>
      <c r="H184">
        <v>0</v>
      </c>
      <c r="I184">
        <v>0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670</v>
      </c>
      <c r="C185" s="1">
        <v>3642</v>
      </c>
      <c r="D185" s="1">
        <v>16.600000000000001</v>
      </c>
      <c r="E185" s="1">
        <v>-2.5</v>
      </c>
      <c r="F185" s="1">
        <v>-0.7</v>
      </c>
      <c r="G185">
        <v>0</v>
      </c>
      <c r="H185">
        <v>0</v>
      </c>
      <c r="I185">
        <v>0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650</v>
      </c>
      <c r="C186" s="1">
        <v>3426</v>
      </c>
      <c r="D186" s="1">
        <v>12.8</v>
      </c>
      <c r="E186" s="1">
        <v>-1.8</v>
      </c>
      <c r="F186" s="1">
        <v>-0.5</v>
      </c>
      <c r="G186">
        <v>0</v>
      </c>
      <c r="H186">
        <v>0</v>
      </c>
      <c r="I186">
        <v>0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630</v>
      </c>
      <c r="C187" s="1">
        <v>3220</v>
      </c>
      <c r="D187" s="1">
        <v>7.3</v>
      </c>
      <c r="E187" s="1">
        <v>-0.9</v>
      </c>
      <c r="F187" s="1">
        <v>-0.3</v>
      </c>
      <c r="G187">
        <v>0</v>
      </c>
      <c r="H187">
        <v>0</v>
      </c>
      <c r="I187">
        <v>0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611</v>
      </c>
      <c r="C188" s="10">
        <v>3024</v>
      </c>
      <c r="D188" s="10">
        <v>0.4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592</v>
      </c>
      <c r="C189" s="1">
        <v>2838</v>
      </c>
      <c r="D189" s="1">
        <v>-8.3000000000000007</v>
      </c>
      <c r="E189" s="1">
        <v>0.9</v>
      </c>
      <c r="F189" s="1">
        <v>0.3</v>
      </c>
      <c r="G189">
        <v>0</v>
      </c>
      <c r="H189">
        <v>0</v>
      </c>
      <c r="I189">
        <v>0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573</v>
      </c>
      <c r="C190" s="1">
        <v>2662</v>
      </c>
      <c r="D190" s="1">
        <v>-19.2</v>
      </c>
      <c r="E190" s="1">
        <v>1.9</v>
      </c>
      <c r="F190" s="1">
        <v>0.5</v>
      </c>
      <c r="G190">
        <v>0</v>
      </c>
      <c r="H190">
        <v>0</v>
      </c>
      <c r="I190">
        <v>0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555</v>
      </c>
      <c r="C191" s="1">
        <v>2495</v>
      </c>
      <c r="D191" s="1">
        <v>-31.7</v>
      </c>
      <c r="E191" s="1">
        <v>2.9</v>
      </c>
      <c r="F191" s="1">
        <v>0.8</v>
      </c>
      <c r="G191">
        <v>0</v>
      </c>
      <c r="H191">
        <v>0</v>
      </c>
      <c r="I191">
        <v>0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537</v>
      </c>
      <c r="C192" s="1">
        <v>2337</v>
      </c>
      <c r="D192" s="1">
        <v>-46.4</v>
      </c>
      <c r="E192" s="1">
        <v>4</v>
      </c>
      <c r="F192" s="1">
        <v>1.2</v>
      </c>
      <c r="G192">
        <v>0</v>
      </c>
      <c r="H192">
        <v>0</v>
      </c>
      <c r="I192">
        <v>0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520</v>
      </c>
      <c r="C193" s="1">
        <v>2188</v>
      </c>
      <c r="D193" s="1">
        <v>-64.099999999999994</v>
      </c>
      <c r="E193" s="1">
        <v>5.2</v>
      </c>
      <c r="F193" s="1">
        <v>1.5</v>
      </c>
      <c r="G193">
        <v>0</v>
      </c>
      <c r="H193">
        <v>0</v>
      </c>
      <c r="I193">
        <v>0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503</v>
      </c>
      <c r="C194" s="1">
        <v>2049</v>
      </c>
      <c r="D194" s="1">
        <v>-83.6</v>
      </c>
      <c r="E194" s="1">
        <v>6.4</v>
      </c>
      <c r="F194" s="1">
        <v>1.9</v>
      </c>
      <c r="G194">
        <v>0</v>
      </c>
      <c r="H194">
        <v>0</v>
      </c>
      <c r="I194">
        <v>0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487</v>
      </c>
      <c r="C195" s="1">
        <v>1918</v>
      </c>
      <c r="D195" s="1">
        <v>-105.8</v>
      </c>
      <c r="E195" s="1">
        <v>7.7</v>
      </c>
      <c r="F195" s="1">
        <v>2.2000000000000002</v>
      </c>
      <c r="G195">
        <v>0</v>
      </c>
      <c r="H195">
        <v>0</v>
      </c>
      <c r="I195">
        <v>0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471</v>
      </c>
      <c r="C196" s="1">
        <v>1799</v>
      </c>
      <c r="D196" s="1">
        <v>-130.80000000000001</v>
      </c>
      <c r="E196" s="1">
        <v>9</v>
      </c>
      <c r="F196" s="1">
        <v>2.6</v>
      </c>
      <c r="G196">
        <v>0</v>
      </c>
      <c r="H196">
        <v>0</v>
      </c>
      <c r="I196">
        <v>0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84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33</v>
      </c>
      <c r="H199" t="s">
        <v>34</v>
      </c>
      <c r="I199" t="s">
        <v>35</v>
      </c>
    </row>
    <row r="200" spans="1:19" x14ac:dyDescent="0.25">
      <c r="A200" s="1">
        <v>0</v>
      </c>
      <c r="B200" s="1">
        <v>869</v>
      </c>
      <c r="C200" s="1">
        <v>6113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845</v>
      </c>
      <c r="C201" s="1">
        <v>5784</v>
      </c>
      <c r="D201" s="1">
        <v>5.4</v>
      </c>
      <c r="E201" s="1">
        <v>-7.5</v>
      </c>
      <c r="F201" s="1">
        <v>-2.2000000000000002</v>
      </c>
      <c r="G201">
        <v>0</v>
      </c>
      <c r="H201">
        <v>0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822</v>
      </c>
      <c r="C202" s="1">
        <v>5472</v>
      </c>
      <c r="D202" s="1">
        <v>14</v>
      </c>
      <c r="E202" s="1">
        <v>-9.6</v>
      </c>
      <c r="F202" s="1">
        <v>-2.8</v>
      </c>
      <c r="G202">
        <v>0</v>
      </c>
      <c r="H202">
        <v>0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799</v>
      </c>
      <c r="C203" s="1">
        <v>5174</v>
      </c>
      <c r="D203" s="1">
        <v>21.4</v>
      </c>
      <c r="E203" s="1">
        <v>-9.8000000000000007</v>
      </c>
      <c r="F203" s="1">
        <v>-2.9</v>
      </c>
      <c r="G203">
        <v>0</v>
      </c>
      <c r="H203">
        <v>0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777</v>
      </c>
      <c r="C204" s="1">
        <v>4889</v>
      </c>
      <c r="D204" s="1">
        <v>27.9</v>
      </c>
      <c r="E204" s="1">
        <v>-9.6</v>
      </c>
      <c r="F204" s="1">
        <v>-2.8</v>
      </c>
      <c r="G204">
        <v>0</v>
      </c>
      <c r="H204">
        <v>0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755</v>
      </c>
      <c r="C205" s="1">
        <v>4616</v>
      </c>
      <c r="D205" s="1">
        <v>33.5</v>
      </c>
      <c r="E205" s="1">
        <v>-9.1999999999999993</v>
      </c>
      <c r="F205" s="1">
        <v>-2.7</v>
      </c>
      <c r="G205">
        <v>0</v>
      </c>
      <c r="H205">
        <v>0</v>
      </c>
      <c r="I205">
        <v>0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733</v>
      </c>
      <c r="C206" s="1">
        <v>4355</v>
      </c>
      <c r="D206" s="1">
        <v>37.799999999999997</v>
      </c>
      <c r="E206" s="1">
        <v>-8.6999999999999993</v>
      </c>
      <c r="F206" s="1">
        <v>-2.5</v>
      </c>
      <c r="G206">
        <v>0</v>
      </c>
      <c r="H206">
        <v>0</v>
      </c>
      <c r="I206">
        <v>0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712</v>
      </c>
      <c r="C207" s="1">
        <v>4106</v>
      </c>
      <c r="D207" s="1">
        <v>41</v>
      </c>
      <c r="E207" s="1">
        <v>-8.1</v>
      </c>
      <c r="F207" s="1">
        <v>-2.2999999999999998</v>
      </c>
      <c r="G207">
        <v>0</v>
      </c>
      <c r="H207">
        <v>0</v>
      </c>
      <c r="I207">
        <v>0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691</v>
      </c>
      <c r="C208" s="1">
        <v>3868</v>
      </c>
      <c r="D208" s="1">
        <v>43</v>
      </c>
      <c r="E208" s="1">
        <v>-7.4</v>
      </c>
      <c r="F208" s="1">
        <v>-2.1</v>
      </c>
      <c r="G208">
        <v>0</v>
      </c>
      <c r="H208">
        <v>0</v>
      </c>
      <c r="I208">
        <v>0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670</v>
      </c>
      <c r="C209" s="1">
        <v>3642</v>
      </c>
      <c r="D209" s="1">
        <v>43.5</v>
      </c>
      <c r="E209" s="1">
        <v>-6.7</v>
      </c>
      <c r="F209" s="1">
        <v>-1.9</v>
      </c>
      <c r="G209">
        <v>0</v>
      </c>
      <c r="H209">
        <v>0</v>
      </c>
      <c r="I209">
        <v>0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650</v>
      </c>
      <c r="C210" s="1">
        <v>3425</v>
      </c>
      <c r="D210" s="1">
        <v>42.7</v>
      </c>
      <c r="E210" s="1">
        <v>-5.9</v>
      </c>
      <c r="F210" s="1">
        <v>-1.7</v>
      </c>
      <c r="G210">
        <v>0</v>
      </c>
      <c r="H210">
        <v>0</v>
      </c>
      <c r="I210">
        <v>0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630</v>
      </c>
      <c r="C211" s="1">
        <v>3220</v>
      </c>
      <c r="D211" s="1">
        <v>40.299999999999997</v>
      </c>
      <c r="E211" s="1">
        <v>-5</v>
      </c>
      <c r="F211" s="1">
        <v>-1.5</v>
      </c>
      <c r="G211">
        <v>0</v>
      </c>
      <c r="H211">
        <v>0</v>
      </c>
      <c r="I211">
        <v>0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611</v>
      </c>
      <c r="C212" s="1">
        <v>3024</v>
      </c>
      <c r="D212" s="1">
        <v>36.299999999999997</v>
      </c>
      <c r="E212" s="1">
        <v>-4.2</v>
      </c>
      <c r="F212" s="1">
        <v>-1.2</v>
      </c>
      <c r="G212">
        <v>0</v>
      </c>
      <c r="H212">
        <v>0</v>
      </c>
      <c r="I212">
        <v>0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592</v>
      </c>
      <c r="C213" s="1">
        <v>2838</v>
      </c>
      <c r="D213" s="1">
        <v>30.6</v>
      </c>
      <c r="E213" s="1">
        <v>-3.2</v>
      </c>
      <c r="F213" s="1">
        <v>-0.9</v>
      </c>
      <c r="G213">
        <v>0</v>
      </c>
      <c r="H213">
        <v>0</v>
      </c>
      <c r="I213">
        <v>0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573</v>
      </c>
      <c r="C214" s="1">
        <v>2662</v>
      </c>
      <c r="D214" s="1">
        <v>22.7</v>
      </c>
      <c r="E214" s="1">
        <v>-2.2000000000000002</v>
      </c>
      <c r="F214" s="1">
        <v>-0.6</v>
      </c>
      <c r="G214">
        <v>0</v>
      </c>
      <c r="H214">
        <v>0</v>
      </c>
      <c r="I214">
        <v>0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555</v>
      </c>
      <c r="C215" s="1">
        <v>2495</v>
      </c>
      <c r="D215" s="1">
        <v>13.1</v>
      </c>
      <c r="E215" s="1">
        <v>-1.2</v>
      </c>
      <c r="F215" s="1">
        <v>-0.4</v>
      </c>
      <c r="G215">
        <v>0</v>
      </c>
      <c r="H215">
        <v>0</v>
      </c>
      <c r="I215">
        <v>0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537</v>
      </c>
      <c r="C216" s="10">
        <v>2337</v>
      </c>
      <c r="D216" s="10">
        <v>1.4</v>
      </c>
      <c r="E216" s="10">
        <v>-0.1</v>
      </c>
      <c r="F216" s="10">
        <v>0</v>
      </c>
      <c r="G216">
        <v>0</v>
      </c>
      <c r="H216">
        <v>0</v>
      </c>
      <c r="I216">
        <v>0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520</v>
      </c>
      <c r="C217" s="1">
        <v>2188</v>
      </c>
      <c r="D217" s="1">
        <v>-13.2</v>
      </c>
      <c r="E217" s="1">
        <v>1.1000000000000001</v>
      </c>
      <c r="F217" s="1">
        <v>0.3</v>
      </c>
      <c r="G217">
        <v>0</v>
      </c>
      <c r="H217">
        <v>0</v>
      </c>
      <c r="I217">
        <v>0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503</v>
      </c>
      <c r="C218" s="1">
        <v>2049</v>
      </c>
      <c r="D218" s="1">
        <v>-29.7</v>
      </c>
      <c r="E218" s="1">
        <v>2.2999999999999998</v>
      </c>
      <c r="F218" s="1">
        <v>0.7</v>
      </c>
      <c r="G218">
        <v>0</v>
      </c>
      <c r="H218">
        <v>0</v>
      </c>
      <c r="I218">
        <v>0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487</v>
      </c>
      <c r="C219" s="1">
        <v>1917</v>
      </c>
      <c r="D219" s="1">
        <v>-49</v>
      </c>
      <c r="E219" s="1">
        <v>3.5</v>
      </c>
      <c r="F219" s="1">
        <v>1</v>
      </c>
      <c r="G219">
        <v>0</v>
      </c>
      <c r="H219">
        <v>0</v>
      </c>
      <c r="I219">
        <v>0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471</v>
      </c>
      <c r="C220" s="1">
        <v>1799</v>
      </c>
      <c r="D220" s="1">
        <v>-71</v>
      </c>
      <c r="E220" s="1">
        <v>4.9000000000000004</v>
      </c>
      <c r="F220" s="1">
        <v>1.4</v>
      </c>
      <c r="G220">
        <v>0</v>
      </c>
      <c r="H220">
        <v>0</v>
      </c>
      <c r="I220">
        <v>0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78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33</v>
      </c>
      <c r="H223" t="s">
        <v>34</v>
      </c>
      <c r="I223" t="s">
        <v>35</v>
      </c>
    </row>
    <row r="224" spans="1:19" x14ac:dyDescent="0.25">
      <c r="A224" s="1">
        <v>0</v>
      </c>
      <c r="B224" s="1">
        <v>869</v>
      </c>
      <c r="C224" s="1">
        <v>6113</v>
      </c>
      <c r="D224" s="1">
        <v>-3.8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845</v>
      </c>
      <c r="C225" s="1">
        <v>5784</v>
      </c>
      <c r="D225" s="1">
        <v>9.1</v>
      </c>
      <c r="E225" s="1">
        <v>-12.6</v>
      </c>
      <c r="F225" s="1">
        <v>-3.7</v>
      </c>
      <c r="G225">
        <v>0</v>
      </c>
      <c r="H225">
        <v>0</v>
      </c>
      <c r="I225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822</v>
      </c>
      <c r="C226" s="1">
        <v>5472</v>
      </c>
      <c r="D226" s="1">
        <v>21.6</v>
      </c>
      <c r="E226" s="1">
        <v>-14.7</v>
      </c>
      <c r="F226" s="1">
        <v>-4.3</v>
      </c>
      <c r="G226">
        <v>0</v>
      </c>
      <c r="H226">
        <v>0</v>
      </c>
      <c r="I226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799</v>
      </c>
      <c r="C227" s="1">
        <v>5174</v>
      </c>
      <c r="D227" s="1">
        <v>32.6</v>
      </c>
      <c r="E227" s="1">
        <v>-14.9</v>
      </c>
      <c r="F227" s="1">
        <v>-4.3</v>
      </c>
      <c r="G227">
        <v>0</v>
      </c>
      <c r="H227">
        <v>0</v>
      </c>
      <c r="I227">
        <v>0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777</v>
      </c>
      <c r="C228" s="1">
        <v>4889</v>
      </c>
      <c r="D228" s="1">
        <v>42.8</v>
      </c>
      <c r="E228" s="1">
        <v>-14.7</v>
      </c>
      <c r="F228" s="1">
        <v>-4.3</v>
      </c>
      <c r="G228">
        <v>0</v>
      </c>
      <c r="H228">
        <v>0</v>
      </c>
      <c r="I228">
        <v>0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755</v>
      </c>
      <c r="C229" s="1">
        <v>4616</v>
      </c>
      <c r="D229" s="1">
        <v>52.2</v>
      </c>
      <c r="E229" s="1">
        <v>-14.3</v>
      </c>
      <c r="F229" s="1">
        <v>-4.2</v>
      </c>
      <c r="G229">
        <v>0</v>
      </c>
      <c r="H229">
        <v>0</v>
      </c>
      <c r="I229">
        <v>0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733</v>
      </c>
      <c r="C230" s="1">
        <v>4355</v>
      </c>
      <c r="D230" s="1">
        <v>60.2</v>
      </c>
      <c r="E230" s="1">
        <v>-13.8</v>
      </c>
      <c r="F230" s="1">
        <v>-4</v>
      </c>
      <c r="G230">
        <v>0</v>
      </c>
      <c r="H230">
        <v>0</v>
      </c>
      <c r="I230">
        <v>0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712</v>
      </c>
      <c r="C231" s="1">
        <v>4106</v>
      </c>
      <c r="D231" s="1">
        <v>67</v>
      </c>
      <c r="E231" s="1">
        <v>-13.2</v>
      </c>
      <c r="F231" s="1">
        <v>-3.8</v>
      </c>
      <c r="G231">
        <v>0</v>
      </c>
      <c r="H231">
        <v>0</v>
      </c>
      <c r="I231">
        <v>0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691</v>
      </c>
      <c r="C232" s="1">
        <v>3868</v>
      </c>
      <c r="D232" s="1">
        <v>72.900000000000006</v>
      </c>
      <c r="E232" s="1">
        <v>-12.5</v>
      </c>
      <c r="F232" s="1">
        <v>-3.6</v>
      </c>
      <c r="G232">
        <v>0</v>
      </c>
      <c r="H232">
        <v>0</v>
      </c>
      <c r="I232">
        <v>0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670</v>
      </c>
      <c r="C233" s="1">
        <v>3642</v>
      </c>
      <c r="D233" s="1">
        <v>77.099999999999994</v>
      </c>
      <c r="E233" s="1">
        <v>-11.8</v>
      </c>
      <c r="F233" s="1">
        <v>-3.4</v>
      </c>
      <c r="G233">
        <v>0</v>
      </c>
      <c r="H233">
        <v>0</v>
      </c>
      <c r="I233">
        <v>0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650</v>
      </c>
      <c r="C234" s="1">
        <v>3425</v>
      </c>
      <c r="D234" s="1">
        <v>80</v>
      </c>
      <c r="E234" s="1">
        <v>-11</v>
      </c>
      <c r="F234" s="1">
        <v>-3.2</v>
      </c>
      <c r="G234">
        <v>0</v>
      </c>
      <c r="H234">
        <v>0</v>
      </c>
      <c r="I234">
        <v>0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630</v>
      </c>
      <c r="C235" s="1">
        <v>3220</v>
      </c>
      <c r="D235" s="1">
        <v>81.400000000000006</v>
      </c>
      <c r="E235" s="1">
        <v>-10.199999999999999</v>
      </c>
      <c r="F235" s="1">
        <v>-3</v>
      </c>
      <c r="G235">
        <v>0</v>
      </c>
      <c r="H235">
        <v>0</v>
      </c>
      <c r="I235">
        <v>0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611</v>
      </c>
      <c r="C236" s="1">
        <v>3024</v>
      </c>
      <c r="D236" s="1">
        <v>81.099999999999994</v>
      </c>
      <c r="E236" s="1">
        <v>-9.3000000000000007</v>
      </c>
      <c r="F236" s="1">
        <v>-2.7</v>
      </c>
      <c r="G236">
        <v>0</v>
      </c>
      <c r="H236">
        <v>0</v>
      </c>
      <c r="I236">
        <v>0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592</v>
      </c>
      <c r="C237" s="1">
        <v>2838</v>
      </c>
      <c r="D237" s="1">
        <v>79</v>
      </c>
      <c r="E237" s="1">
        <v>-8.4</v>
      </c>
      <c r="F237" s="1">
        <v>-2.4</v>
      </c>
      <c r="G237">
        <v>0</v>
      </c>
      <c r="H237">
        <v>0</v>
      </c>
      <c r="I237">
        <v>0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573</v>
      </c>
      <c r="C238" s="1">
        <v>2661</v>
      </c>
      <c r="D238" s="1">
        <v>75</v>
      </c>
      <c r="E238" s="1">
        <v>-7.4</v>
      </c>
      <c r="F238" s="1">
        <v>-2.1</v>
      </c>
      <c r="G238">
        <v>0</v>
      </c>
      <c r="H238">
        <v>0</v>
      </c>
      <c r="I238">
        <v>0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555</v>
      </c>
      <c r="C239" s="1">
        <v>2495</v>
      </c>
      <c r="D239" s="1">
        <v>69.099999999999994</v>
      </c>
      <c r="E239" s="1">
        <v>-6.3</v>
      </c>
      <c r="F239" s="1">
        <v>-1.8</v>
      </c>
      <c r="G239">
        <v>0</v>
      </c>
      <c r="H239">
        <v>0</v>
      </c>
      <c r="I239">
        <v>0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537</v>
      </c>
      <c r="C240" s="1">
        <v>2337</v>
      </c>
      <c r="D240" s="1">
        <v>61</v>
      </c>
      <c r="E240" s="1">
        <v>-5.2</v>
      </c>
      <c r="F240" s="1">
        <v>-1.5</v>
      </c>
      <c r="G240">
        <v>0</v>
      </c>
      <c r="H240">
        <v>0</v>
      </c>
      <c r="I240">
        <v>0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520</v>
      </c>
      <c r="C241" s="1">
        <v>2188</v>
      </c>
      <c r="D241" s="1">
        <v>50.3</v>
      </c>
      <c r="E241" s="1">
        <v>-4.0999999999999996</v>
      </c>
      <c r="F241" s="1">
        <v>-1.2</v>
      </c>
      <c r="G241">
        <v>0</v>
      </c>
      <c r="H241">
        <v>0</v>
      </c>
      <c r="I241">
        <v>0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503</v>
      </c>
      <c r="C242" s="1">
        <v>2049</v>
      </c>
      <c r="D242" s="1">
        <v>37.4</v>
      </c>
      <c r="E242" s="1">
        <v>-2.9</v>
      </c>
      <c r="F242" s="1">
        <v>-0.8</v>
      </c>
      <c r="G242">
        <v>0</v>
      </c>
      <c r="H242">
        <v>0</v>
      </c>
      <c r="I242">
        <v>0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487</v>
      </c>
      <c r="C243" s="1">
        <v>1917</v>
      </c>
      <c r="D243" s="1">
        <v>21.8</v>
      </c>
      <c r="E243" s="1">
        <v>-1.6</v>
      </c>
      <c r="F243" s="1">
        <v>-0.5</v>
      </c>
      <c r="G243">
        <v>0</v>
      </c>
      <c r="H243">
        <v>0</v>
      </c>
      <c r="I243">
        <v>0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0">
        <v>500</v>
      </c>
      <c r="B244" s="10">
        <v>471</v>
      </c>
      <c r="C244" s="10">
        <v>1799</v>
      </c>
      <c r="D244" s="10">
        <v>3.5</v>
      </c>
      <c r="E244" s="10">
        <v>-0.2</v>
      </c>
      <c r="F244" s="10">
        <v>-0.1</v>
      </c>
      <c r="G244">
        <v>0</v>
      </c>
      <c r="H244">
        <v>0</v>
      </c>
      <c r="I244">
        <v>0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ht="30" x14ac:dyDescent="0.25">
      <c r="A246" t="s">
        <v>36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19" t="s">
        <v>37</v>
      </c>
    </row>
    <row r="247" spans="1:19" x14ac:dyDescent="0.25">
      <c r="A247" t="s">
        <v>38</v>
      </c>
      <c r="B247" s="20" cm="1">
        <f t="array" ref="B247">INDEX(LINEST(J$22:J$35,$A$22:$A$35^{1,2}), 1,3)</f>
        <v>-12.159353309065168</v>
      </c>
      <c r="C247" s="20" cm="1">
        <f t="array" ref="C247">INDEX(LINEST(K$22:K$35,$A$22:$A$35^{1,2,3}), 1,4)</f>
        <v>-4.1966386852081641</v>
      </c>
      <c r="D247" s="21" cm="1">
        <f t="array" ref="D247">INDEX(LINEST(L$22:L$35,$A$22:$A$35^{1,2,3}), 1,4)</f>
        <v>-4.858627225549732</v>
      </c>
      <c r="E247" s="21" cm="1">
        <f t="array" ref="E247">INDEX(LINEST(M$22:M$35,$A$22:$A$35^{1,2,3}), 1,4)</f>
        <v>-3.6167169775522439</v>
      </c>
      <c r="F247" s="21" cm="1">
        <f t="array" ref="F247">INDEX(LINEST(N$22:N$35,$A$22:$A$35^{1,2,3}), 1,4)</f>
        <v>-5.2026595730680718</v>
      </c>
      <c r="G247" s="21" cm="1">
        <f t="array" ref="G247">INDEX(LINEST(O$22:O$35,$A$22:$A$35^{1,2,3}), 1,4)</f>
        <v>-4.4958495035238784</v>
      </c>
      <c r="H247" s="21" cm="1">
        <f t="array" ref="H247">INDEX(LINEST(P$22:P$35,$A$22:$A$35^{1,2,3}), 1,4)</f>
        <v>-5.4471492160787776</v>
      </c>
      <c r="I247" s="21" cm="1">
        <f t="array" ref="I247">INDEX(LINEST(B$22:B$35,$A$22:$A$35^{1,2,3}), 1,4)</f>
        <v>6145.7843867226038</v>
      </c>
    </row>
    <row r="248" spans="1:19" x14ac:dyDescent="0.25">
      <c r="A248" t="s">
        <v>39</v>
      </c>
      <c r="B248" s="21" cm="1">
        <f t="array" ref="B248">INDEX(LINEST(J$22:J$35,$A$22:$A$35^{1,2}), 1,2)</f>
        <v>0.35732975936026229</v>
      </c>
      <c r="C248" s="20" cm="1">
        <f t="array" ref="C248">INDEX(LINEST(K$22:K$35,$A$22:$A$35^{1,2,3}), 1,3)</f>
        <v>8.0190787688718401E-2</v>
      </c>
      <c r="D248" s="21" cm="1">
        <f t="array" ref="D248">INDEX(LINEST(L$22:L$35,$A$22:$A$35^{1,2,3}), 1,3)</f>
        <v>0.12634740048940887</v>
      </c>
      <c r="E248" s="21" cm="1">
        <f t="array" ref="E248">INDEX(LINEST(M$22:M$35,$A$22:$A$35^{1,2,3}), 1,3)</f>
        <v>0.11703122683492365</v>
      </c>
      <c r="F248" s="21" cm="1">
        <f t="array" ref="F248">INDEX(LINEST(N$22:N$35,$A$22:$A$35^{1,2,3}), 1,3)</f>
        <v>0.27546215820795461</v>
      </c>
      <c r="G248" s="21" cm="1">
        <f t="array" ref="G248">INDEX(LINEST(O$22:O$35,$A$22:$A$35^{1,2,3}), 1,3)</f>
        <v>0.35487025530150534</v>
      </c>
      <c r="H248" s="21" cm="1">
        <f t="array" ref="H248">INDEX(LINEST(P$22:P$35,$A$22:$A$35^{1,2,3}), 1,3)</f>
        <v>0.53074370047680908</v>
      </c>
      <c r="I248" s="21" cm="1">
        <f t="array" ref="I248">INDEX(LINEST(B$22:B$35,$A$22:$A$35^{1,2,3}), 1,3)</f>
        <v>-13.363026218277732</v>
      </c>
    </row>
    <row r="249" spans="1:19" x14ac:dyDescent="0.25">
      <c r="A249" t="s">
        <v>40</v>
      </c>
      <c r="B249" s="21" cm="1">
        <f t="array" ref="B249">INDEX(LINEST(J$22:J$35,$A$22:$A$35^{1,2}), 1)</f>
        <v>-1.4938593546143285E-3</v>
      </c>
      <c r="C249" s="21" cm="1">
        <f t="array" ref="C249">INDEX(LINEST(K$22:K$35,$A$22:$A$35^{1,2,3}), 1,2)</f>
        <v>-2.8955287557952614E-4</v>
      </c>
      <c r="D249" s="21" cm="1">
        <f t="array" ref="D249">INDEX(LINEST(L$22:L$35,$A$22:$A$35^{1,2,3}), 1,2)</f>
        <v>-3.9388152775375731E-4</v>
      </c>
      <c r="E249" s="21" cm="1">
        <f t="array" ref="E249">INDEX(LINEST(M$22:M$35,$A$22:$A$35^{1,2,3}), 1,2)</f>
        <v>-1.8274600810548662E-4</v>
      </c>
      <c r="F249" s="21" cm="1">
        <f t="array" ref="F249">INDEX(LINEST(N$22:N$35,$A$22:$A$35^{1,2,3}), 1,2)</f>
        <v>-5.6739278813118944E-4</v>
      </c>
      <c r="G249" s="21" cm="1">
        <f t="array" ref="G249">INDEX(LINEST(O$22:O$35,$A$22:$A$35^{1,2,3}), 1,2)</f>
        <v>-3.1609262229163372E-4</v>
      </c>
      <c r="H249" s="21" cm="1">
        <f t="array" ref="H249">INDEX(LINEST(P$22:P$35,$A$22:$A$35^{1,2,3}), 1,2)</f>
        <v>-5.0116450177506617E-4</v>
      </c>
      <c r="I249" s="21" cm="1">
        <f t="array" ref="I249">INDEX(LINEST(B$22:B$35,$A$22:$A$35^{1,2,3}), 1,2)</f>
        <v>8.7090422879664304E-3</v>
      </c>
    </row>
    <row r="250" spans="1:19" x14ac:dyDescent="0.25">
      <c r="A250" t="s">
        <v>41</v>
      </c>
      <c r="B250" s="20" cm="1">
        <f t="array" ref="B250">INDEX(LINEST(J$22:J$35,$A$22:$A$35^{1,2,3}), 1)</f>
        <v>-1.4042285085461219E-6</v>
      </c>
      <c r="C250" s="20" cm="1">
        <f t="array" ref="C250">INDEX(LINEST(K$22:K$35,$A$22:$A$35^{1,2,3}), 1)</f>
        <v>-1.3770741245149247E-6</v>
      </c>
      <c r="D250" s="21" cm="1">
        <f t="array" ref="D250">INDEX(LINEST(L$22:L$35,$A$22:$A$35^{1,2,3}), 1)</f>
        <v>-1.2846029280660383E-6</v>
      </c>
      <c r="E250" s="21" cm="1">
        <f t="array" ref="E250">INDEX(LINEST(M$22:M$35,$A$22:$A$35^{1,2,3}), 1)</f>
        <v>-1.5213949464476275E-6</v>
      </c>
      <c r="F250" s="21" cm="1">
        <f t="array" ref="F250">INDEX(LINEST(N$22:N$35,$A$22:$A$35^{1,2,3}), 1)</f>
        <v>-9.8520473292783663E-7</v>
      </c>
      <c r="G250" s="21" cm="1">
        <f t="array" ref="G250">INDEX(LINEST(O$22:O$35,$A$22:$A$35^{1,2,3}), 1)</f>
        <v>-1.3462077522009834E-6</v>
      </c>
      <c r="H250" s="21" cm="1">
        <f t="array" ref="H250">INDEX(LINEST(P$22:P$35,$A$22:$A$35^{1,2,3}), 1)</f>
        <v>-1.0870291978885177E-6</v>
      </c>
      <c r="I250" s="21" cm="1">
        <f t="array" ref="I250">INDEX(LINEST(B$22:B$35,$A$22:$A$35^{1,2,3}), 1)</f>
        <v>2.3089218226672721E-7</v>
      </c>
    </row>
    <row r="251" spans="1:19" x14ac:dyDescent="0.25">
      <c r="A251" t="s">
        <v>42</v>
      </c>
      <c r="B251" s="20"/>
      <c r="C251" s="20"/>
      <c r="D251" s="21"/>
      <c r="E251" s="21"/>
      <c r="F251" s="21"/>
      <c r="G251" s="21"/>
      <c r="H251" s="21"/>
      <c r="I251" s="21"/>
    </row>
    <row r="252" spans="1:19" x14ac:dyDescent="0.25">
      <c r="A252" t="s">
        <v>43</v>
      </c>
      <c r="B252" s="20"/>
      <c r="C252" s="20"/>
      <c r="D252" s="21"/>
      <c r="E252" s="21"/>
      <c r="F252" s="21"/>
      <c r="G252" s="21"/>
      <c r="H252" s="21"/>
      <c r="I252" s="21"/>
    </row>
    <row r="253" spans="1:19" x14ac:dyDescent="0.25">
      <c r="A253" t="s">
        <v>44</v>
      </c>
      <c r="B253" s="20"/>
      <c r="C253" s="20"/>
      <c r="D253" s="21"/>
      <c r="E253" s="21"/>
      <c r="F253" s="21"/>
      <c r="G253" s="21"/>
      <c r="H253" s="21"/>
      <c r="I253" s="21"/>
    </row>
    <row r="254" spans="1:19" x14ac:dyDescent="0.25">
      <c r="B254" s="20"/>
      <c r="C254" s="20"/>
      <c r="D254" s="20"/>
      <c r="E254" s="20"/>
      <c r="F254" s="20"/>
      <c r="G254" s="20"/>
      <c r="H254" s="20"/>
      <c r="I254" s="20"/>
    </row>
    <row r="255" spans="1:19" x14ac:dyDescent="0.25">
      <c r="A255" t="s">
        <v>45</v>
      </c>
    </row>
    <row r="256" spans="1:19" x14ac:dyDescent="0.25">
      <c r="A256" s="22" t="s">
        <v>4</v>
      </c>
      <c r="B256" s="23"/>
      <c r="C256" s="23"/>
    </row>
    <row r="257" spans="1:9" x14ac:dyDescent="0.25">
      <c r="A257" s="1">
        <v>0</v>
      </c>
      <c r="B257" s="2" cm="1">
        <f t="array" ref="B257">TrajectoryToComeUp(B$247:B$249,$A257)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6145.7843867226038</v>
      </c>
    </row>
    <row r="258" spans="1:9" x14ac:dyDescent="0.25">
      <c r="A258" s="1">
        <v>25</v>
      </c>
      <c r="B258" s="2" cm="1">
        <f t="array" ref="B258">TrajectoryToComeUp(B$247:B$249,$A258)</f>
        <v>1.6639085686770261</v>
      </c>
      <c r="C258" s="2" cm="1">
        <f t="array" ref="C258">TrajectoryToComeUp(C$247:C$250,$A258)</f>
        <v>0.95774252936918147</v>
      </c>
      <c r="D258" s="2" cm="1">
        <f t="array" ref="D258">TrajectoryToComeUp(D$247:D$250,$A258)</f>
        <v>0.78647603556465617</v>
      </c>
      <c r="E258" s="2" cm="1">
        <f t="array" ref="E258">TrajectoryToComeUp(E$247:E$250,$A258)</f>
        <v>0.33156974311333043</v>
      </c>
      <c r="F258" s="2" cm="1">
        <f t="array" ref="F258">TrajectoryToComeUp(F$247:F$250,$A258)</f>
        <v>-0.52555202623872099</v>
      </c>
      <c r="G258" s="2" cm="1">
        <f t="array" ref="G258">TrajectoryToComeUp(G$247:G$250,$A258)</f>
        <v>-1.6629257975813374</v>
      </c>
      <c r="H258" s="2" cm="1">
        <f t="array" ref="H258">TrajectoryToComeUp(H$247:H$250,$A258)</f>
        <v>-2.99649226040601</v>
      </c>
      <c r="I258" s="2" cm="1">
        <f t="array" ref="I258">EvaluatePolynomial(I$247:I$250,$A258)</f>
        <v>5817.1554903859878</v>
      </c>
    </row>
    <row r="259" spans="1:9" x14ac:dyDescent="0.25">
      <c r="A259" s="1">
        <v>50</v>
      </c>
      <c r="B259" s="2" cm="1">
        <f t="array" ref="B259">TrajectoryToComeUp(B$247:B$249,$A259)</f>
        <v>-0.39449725448242501</v>
      </c>
      <c r="C259" s="2" cm="1">
        <f t="array" ref="C259">TrajectoryToComeUp(C$247:C$250,$A259)</f>
        <v>0.21662315105708502</v>
      </c>
      <c r="D259" s="2" cm="1">
        <f t="array" ref="D259">TrajectoryToComeUp(D$247:D$250,$A259)</f>
        <v>-6.2692722705612686E-2</v>
      </c>
      <c r="E259" s="2" cm="1">
        <f t="array" ref="E259">TrajectoryToComeUp(E$247:E$250,$A259)</f>
        <v>-0.31756099512485364</v>
      </c>
      <c r="F259" s="2" cm="1">
        <f t="array" ref="F259">TrajectoryToComeUp(F$247:F$250,$A259)</f>
        <v>-1.405763155077141</v>
      </c>
      <c r="G259" s="2" cm="1">
        <f t="array" ref="G259">TrajectoryToComeUp(G$247:G$250,$A259)</f>
        <v>-2.4578311473594363</v>
      </c>
      <c r="H259" s="2" cm="1">
        <f t="array" ref="H259">TrajectoryToComeUp(H$247:H$250,$A259)</f>
        <v>-3.9402491807175895</v>
      </c>
      <c r="I259" s="2" cm="1">
        <f t="array" ref="I259">EvaluatePolynomial(I$247:I$250,$A259)</f>
        <v>5499.4345430514168</v>
      </c>
    </row>
    <row r="260" spans="1:9" x14ac:dyDescent="0.25">
      <c r="A260" s="1">
        <v>75</v>
      </c>
      <c r="B260" s="2" cm="1">
        <f t="array" ref="B260">TrajectoryToComeUp(B$247:B$249,$A260)</f>
        <v>-0.83165596976652079</v>
      </c>
      <c r="C260" s="2" cm="1">
        <f t="array" ref="C260">TrajectoryToComeUp(C$247:C$250,$A260)</f>
        <v>5.2269023995846993E-2</v>
      </c>
      <c r="D260" s="2" cm="1">
        <f t="array" ref="D260">TrajectoryToComeUp(D$247:D$250,$A260)</f>
        <v>-0.24798698096842514</v>
      </c>
      <c r="E260" s="2" cm="1">
        <f t="array" ref="E260">TrajectoryToComeUp(E$247:E$250,$A260)</f>
        <v>-0.46544536619214316</v>
      </c>
      <c r="F260" s="2" cm="1">
        <f t="array" ref="F260">TrajectoryToComeUp(F$247:F$250,$A260)</f>
        <v>-1.5799712816782203</v>
      </c>
      <c r="G260" s="2" cm="1">
        <f t="array" ref="G260">TrajectoryToComeUp(G$247:G$250,$A260)</f>
        <v>-2.6364622997651721</v>
      </c>
      <c r="H260" s="2" cm="1">
        <f t="array" ref="H260">TrajectoryToComeUp(H$247:H$250,$A260)</f>
        <v>-4.1441316739117244</v>
      </c>
      <c r="I260" s="2" cm="1">
        <f t="array" ref="I260">EvaluatePolynomial(I$247:I$250,$A260)</f>
        <v>5192.6431908609793</v>
      </c>
    </row>
    <row r="261" spans="1:9" x14ac:dyDescent="0.25">
      <c r="A261" s="1">
        <v>100</v>
      </c>
      <c r="B261" s="2" cm="1">
        <f t="array" ref="B261">TrajectoryToComeUp(B$247:B$249,$A261)</f>
        <v>-0.86350290808177743</v>
      </c>
      <c r="C261" s="2" cm="1">
        <f t="array" ref="C261">TrajectoryToComeUp(C$247:C$250,$A261)</f>
        <v>4.5016279664651021E-2</v>
      </c>
      <c r="D261" s="2" cm="1">
        <f t="array" ref="D261">TrajectoryToComeUp(D$247:D$250,$A261)</f>
        <v>-0.25526946177875443</v>
      </c>
      <c r="E261" s="2" cm="1">
        <f t="array" ref="E261">TrajectoryToComeUp(E$247:E$250,$A261)</f>
        <v>-0.4737550678437627</v>
      </c>
      <c r="F261" s="2" cm="1">
        <f t="array" ref="F261">TrajectoryToComeUp(F$247:F$250,$A261)</f>
        <v>-1.5684423633487656</v>
      </c>
      <c r="G261" s="2" cm="1">
        <f t="array" ref="G261">TrajectoryToComeUp(G$247:G$250,$A261)</f>
        <v>-2.6484042051509333</v>
      </c>
      <c r="H261" s="2" cm="1">
        <f t="array" ref="H261">TrajectoryToComeUp(H$247:H$250,$A261)</f>
        <v>-4.1528546615962956</v>
      </c>
      <c r="I261" s="2" cm="1">
        <f t="array" ref="I261">EvaluatePolynomial(I$247:I$250,$A261)</f>
        <v>4896.8030799567614</v>
      </c>
    </row>
    <row r="262" spans="1:9" x14ac:dyDescent="0.25">
      <c r="A262" s="1">
        <v>125</v>
      </c>
      <c r="B262" s="2" cm="1">
        <f t="array" ref="B262">TrajectoryToComeUp(B$247:B$249,$A262)</f>
        <v>-0.73322513560949876</v>
      </c>
      <c r="C262" s="2" cm="1">
        <f t="array" ref="C262">TrajectoryToComeUp(C$247:C$250,$A262)</f>
        <v>0.11093214435933378</v>
      </c>
      <c r="D262" s="2" cm="1">
        <f t="array" ref="D262">TrajectoryToComeUp(D$247:D$250,$A262)</f>
        <v>-0.18171270964759501</v>
      </c>
      <c r="E262" s="2" cm="1">
        <f t="array" ref="E262">TrajectoryToComeUp(E$247:E$250,$A262)</f>
        <v>-0.41482443963075688</v>
      </c>
      <c r="F262" s="2" cm="1">
        <f t="array" ref="F262">TrajectoryToComeUp(F$247:F$250,$A262)</f>
        <v>-1.4752295915501392</v>
      </c>
      <c r="G262" s="2" cm="1">
        <f t="array" ref="G262">TrajectoryToComeUp(G$247:G$250,$A262)</f>
        <v>-2.5835738535871973</v>
      </c>
      <c r="H262" s="2" cm="1">
        <f t="array" ref="H262">TrajectoryToComeUp(H$247:H$250,$A262)</f>
        <v>-4.075361128092875</v>
      </c>
      <c r="I262" s="2" cm="1">
        <f t="array" ref="I262">EvaluatePolynomial(I$247:I$250,$A262)</f>
        <v>4611.9358564808526</v>
      </c>
    </row>
    <row r="263" spans="1:9" x14ac:dyDescent="0.25">
      <c r="A263" s="1">
        <v>150</v>
      </c>
      <c r="B263" s="2" cm="1">
        <f t="array" ref="B263">TrajectoryToComeUp(B$247:B$249,$A263)</f>
        <v>-0.52188500774345248</v>
      </c>
      <c r="C263" s="2" cm="1">
        <f t="array" ref="C263">TrajectoryToComeUp(C$247:C$250,$A263)</f>
        <v>0.22203902684517421</v>
      </c>
      <c r="D263" s="2" cm="1">
        <f t="array" ref="D263">TrajectoryToComeUp(D$247:D$250,$A263)</f>
        <v>-5.9707572745278728E-2</v>
      </c>
      <c r="E263" s="2" cm="1">
        <f t="array" ref="E263">TrajectoryToComeUp(E$247:E$250,$A263)</f>
        <v>-0.31276492807014072</v>
      </c>
      <c r="F263" s="2" cm="1">
        <f t="array" ref="F263">TrajectoryToComeUp(F$247:F$250,$A263)</f>
        <v>-1.3350173634361271</v>
      </c>
      <c r="G263" s="2" cm="1">
        <f t="array" ref="G263">TrajectoryToComeUp(G$247:G$250,$A263)</f>
        <v>-2.4719435750974563</v>
      </c>
      <c r="H263" s="2" cm="1">
        <f t="array" ref="H263">TrajectoryToComeUp(H$247:H$250,$A263)</f>
        <v>-3.9479654015086565</v>
      </c>
      <c r="I263" s="2" cm="1">
        <f t="array" ref="I263">EvaluatePolynomial(I$247:I$250,$A263)</f>
        <v>4338.063166575339</v>
      </c>
    </row>
    <row r="264" spans="1:9" x14ac:dyDescent="0.25">
      <c r="A264" s="1">
        <v>175</v>
      </c>
      <c r="B264" s="2" cm="1">
        <f t="array" ref="B264">TrajectoryToComeUp(B$247:B$249,$A264)</f>
        <v>-0.26422353393810982</v>
      </c>
      <c r="C264" s="2" cm="1">
        <f t="array" ref="C264">TrajectoryToComeUp(C$247:C$250,$A264)</f>
        <v>0.36634653087872027</v>
      </c>
      <c r="D264" s="2" cm="1">
        <f t="array" ref="D264">TrajectoryToComeUp(D$247:D$250,$A264)</f>
        <v>9.6864156855195518E-2</v>
      </c>
      <c r="E264" s="2" cm="1">
        <f t="array" ref="E264">TrajectoryToComeUp(E$247:E$250,$A264)</f>
        <v>-0.17791001024063502</v>
      </c>
      <c r="F264" s="2" cm="1">
        <f t="array" ref="F264">TrajectoryToComeUp(F$247:F$250,$A264)</f>
        <v>-1.1626704206440674</v>
      </c>
      <c r="G264" s="2" cm="1">
        <f t="array" ref="G264">TrajectoryToComeUp(G$247:G$250,$A264)</f>
        <v>-2.326358653977493</v>
      </c>
      <c r="H264" s="2" cm="1">
        <f t="array" ref="H264">TrajectoryToComeUp(H$247:H$250,$A264)</f>
        <v>-3.7862307653181508</v>
      </c>
      <c r="I264" s="2" cm="1">
        <f t="array" ref="I264">EvaluatePolynomial(I$247:I$250,$A264)</f>
        <v>4075.2066563823087</v>
      </c>
    </row>
    <row r="265" spans="1:9" x14ac:dyDescent="0.25">
      <c r="A265" s="1">
        <v>200</v>
      </c>
      <c r="B265" s="2" cm="1">
        <f t="array" ref="B265">TrajectoryToComeUp(B$247:B$249,$A265)</f>
        <v>2.2388781079292513E-2</v>
      </c>
      <c r="C265" s="2" cm="1">
        <f t="array" ref="C265">TrajectoryToComeUp(C$247:C$250,$A265)</f>
        <v>0.53785945833824633</v>
      </c>
      <c r="D265" s="2" cm="1">
        <f t="array" ref="D265">TrajectoryToComeUp(D$247:D$250,$A265)</f>
        <v>0.28106158311732771</v>
      </c>
      <c r="E265" s="2" cm="1">
        <f t="array" ref="E265">TrajectoryToComeUp(E$247:E$250,$A265)</f>
        <v>-1.5426424681599998E-2</v>
      </c>
      <c r="F265" s="2" cm="1">
        <f t="array" ref="F265">TrajectoryToComeUp(F$247:F$250,$A265)</f>
        <v>-0.96562113399262905</v>
      </c>
      <c r="G265" s="2" cm="1">
        <f t="array" ref="G265">TrajectoryToComeUp(G$247:G$250,$A265)</f>
        <v>-2.1532417323751991</v>
      </c>
      <c r="H265" s="2" cm="1">
        <f t="array" ref="H265">TrajectoryToComeUp(H$247:H$250,$A265)</f>
        <v>-3.597938861258613</v>
      </c>
      <c r="I265" s="2" cm="1">
        <f t="array" ref="I265">EvaluatePolynomial(I$247:I$250,$A265)</f>
        <v>3823.3879720438485</v>
      </c>
    </row>
    <row r="266" spans="1:9" x14ac:dyDescent="0.25">
      <c r="A266" s="1">
        <v>225</v>
      </c>
      <c r="B266" s="2" cm="1">
        <f t="array" ref="B266">TrajectoryToComeUp(B$247:B$249,$A266)</f>
        <v>0.32830165690473484</v>
      </c>
      <c r="C266" s="2" cm="1">
        <f t="array" ref="C266">TrajectoryToComeUp(C$247:C$250,$A266)</f>
        <v>0.73324714360057097</v>
      </c>
      <c r="D266" s="2" cm="1">
        <f t="array" ref="D266">TrajectoryToComeUp(D$247:D$250,$A266)</f>
        <v>0.48902865268750739</v>
      </c>
      <c r="E266" s="2" cm="1">
        <f t="array" ref="E266">TrajectoryToComeUp(E$247:E$250,$A266)</f>
        <v>0.17181541830731953</v>
      </c>
      <c r="F266" s="2" cm="1">
        <f t="array" ref="F266">TrajectoryToComeUp(F$247:F$250,$A266)</f>
        <v>-0.74799859838107141</v>
      </c>
      <c r="G266" s="2" cm="1">
        <f t="array" ref="G266">TrajectoryToComeUp(G$247:G$250,$A266)</f>
        <v>-1.9561609448171797</v>
      </c>
      <c r="H266" s="2" cm="1">
        <f t="array" ref="H266">TrajectoryToComeUp(H$247:H$250,$A266)</f>
        <v>-3.3874128236285177</v>
      </c>
      <c r="I266" s="2" cm="1">
        <f t="array" ref="I266">EvaluatePolynomial(I$247:I$250,$A266)</f>
        <v>3582.6287597020469</v>
      </c>
    </row>
    <row r="267" spans="1:9" x14ac:dyDescent="0.25">
      <c r="A267" s="1">
        <v>250</v>
      </c>
      <c r="B267" s="2" cm="1">
        <f t="array" ref="B267">TrajectoryToComeUp(B$247:B$249,$A267)</f>
        <v>0.64772492529580505</v>
      </c>
      <c r="C267" s="2" cm="1">
        <f t="array" ref="C267">TrajectoryToComeUp(C$247:C$250,$A267)</f>
        <v>0.95051118729178596</v>
      </c>
      <c r="D267" s="2" cm="1">
        <f t="array" ref="D267">TrajectoryToComeUp(D$247:D$250,$A267)</f>
        <v>0.71845173355356773</v>
      </c>
      <c r="E267" s="2" cm="1">
        <f t="array" ref="E267">TrajectoryToComeUp(E$247:E$250,$A267)</f>
        <v>0.38209327254633713</v>
      </c>
      <c r="F267" s="2" cm="1">
        <f t="array" ref="F267">TrajectoryToComeUp(F$247:F$250,$A267)</f>
        <v>-0.51228027074895199</v>
      </c>
      <c r="G267" s="2" cm="1">
        <f t="array" ref="G267">TrajectoryToComeUp(G$247:G$250,$A267)</f>
        <v>-1.7372571720193994</v>
      </c>
      <c r="H267" s="2" cm="1">
        <f t="array" ref="H267">TrajectoryToComeUp(H$247:H$250,$A267)</f>
        <v>-3.1572465330069504</v>
      </c>
      <c r="I267" s="2" cm="1">
        <f t="array" ref="I267">EvaluatePolynomial(I$247:I$250,$A267)</f>
        <v>3352.9506654989905</v>
      </c>
    </row>
    <row r="268" spans="1:9" x14ac:dyDescent="0.25">
      <c r="A268" s="1">
        <v>275</v>
      </c>
      <c r="B268" s="2" cm="1">
        <f t="array" ref="B268">TrajectoryToComeUp(B$247:B$249,$A268)</f>
        <v>0.97697393373460473</v>
      </c>
      <c r="C268" s="2" cm="1">
        <f t="array" ref="C268">TrajectoryToComeUp(C$247:C$250,$A268)</f>
        <v>1.1883798807194033</v>
      </c>
      <c r="D268" s="2" cm="1">
        <f t="array" ref="D268">TrajectoryToComeUp(D$247:D$250,$A268)</f>
        <v>0.96785851443503901</v>
      </c>
      <c r="E268" s="2" cm="1">
        <f t="array" ref="E268">TrajectoryToComeUp(E$247:E$250,$A268)</f>
        <v>0.61431116319376977</v>
      </c>
      <c r="F268" s="2" cm="1">
        <f t="array" ref="F268">TrajectoryToComeUp(F$247:F$250,$A268)</f>
        <v>-0.26004271460325973</v>
      </c>
      <c r="G268" s="2" cm="1">
        <f t="array" ref="G268">TrajectoryToComeUp(G$247:G$250,$A268)</f>
        <v>-1.4978927926192898</v>
      </c>
      <c r="H268" s="2" cm="1">
        <f t="array" ref="H268">TrajectoryToComeUp(H$247:H$250,$A268)</f>
        <v>-2.9090906406715118</v>
      </c>
      <c r="I268" s="2" cm="1">
        <f t="array" ref="I268">EvaluatePolynomial(I$247:I$250,$A268)</f>
        <v>3134.3753355767676</v>
      </c>
    </row>
    <row r="269" spans="1:9" x14ac:dyDescent="0.25">
      <c r="A269" s="1">
        <v>300</v>
      </c>
      <c r="B269" s="2" cm="1">
        <f t="array" ref="B269">TrajectoryToComeUp(B$247:B$249,$A269)</f>
        <v>1.3135922472092014</v>
      </c>
      <c r="C269" s="2" cm="1">
        <f t="array" ref="C269">TrajectoryToComeUp(C$247:C$250,$A269)</f>
        <v>1.4460054180884321</v>
      </c>
      <c r="D269" s="2" cm="1">
        <f t="array" ref="D269">TrajectoryToComeUp(D$247:D$250,$A269)</f>
        <v>1.2362674544782752</v>
      </c>
      <c r="E269" s="2" cm="1">
        <f t="array" ref="E269">TrajectoryToComeUp(E$247:E$250,$A269)</f>
        <v>0.86773844035516323</v>
      </c>
      <c r="F269" s="2" cm="1">
        <f t="array" ref="F269">TrajectoryToComeUp(F$247:F$250,$A269)</f>
        <v>7.6630277180109712E-3</v>
      </c>
      <c r="G269" s="2" cm="1">
        <f t="array" ref="G269">TrajectoryToComeUp(G$247:G$250,$A269)</f>
        <v>-1.2389760590418046</v>
      </c>
      <c r="H269" s="2" cm="1">
        <f t="array" ref="H269">TrajectoryToComeUp(H$247:H$250,$A269)</f>
        <v>-2.6440455808072674</v>
      </c>
      <c r="I269" s="2" cm="1">
        <f t="array" ref="I269">EvaluatePolynomial(I$247:I$250,$A269)</f>
        <v>2926.9244160774647</v>
      </c>
    </row>
    <row r="270" spans="1:9" x14ac:dyDescent="0.25">
      <c r="A270" s="1">
        <v>325</v>
      </c>
      <c r="B270" s="2" cm="1">
        <f t="array" ref="B270">TrajectoryToComeUp(B$247:B$249,$A270)</f>
        <v>1.6558792568651808</v>
      </c>
      <c r="C270" s="2" cm="1">
        <f t="array" ref="C270">TrajectoryToComeUp(C$247:C$250,$A270)</f>
        <v>1.7228008569254165</v>
      </c>
      <c r="D270" s="2" cm="1">
        <f t="array" ref="D270">TrajectoryToComeUp(D$247:D$250,$A270)</f>
        <v>1.5229990253999826</v>
      </c>
      <c r="E270" s="2" cm="1">
        <f t="array" ref="E270">TrajectoryToComeUp(E$247:E$250,$A270)</f>
        <v>1.1418692694882016</v>
      </c>
      <c r="F270" s="2" cm="1">
        <f t="array" ref="F270">TrajectoryToComeUp(F$247:F$250,$A270)</f>
        <v>0.29010931151932595</v>
      </c>
      <c r="G270" s="2" cm="1">
        <f t="array" ref="G270">TrajectoryToComeUp(G$247:G$250,$A270)</f>
        <v>-0.96113576142729729</v>
      </c>
      <c r="H270" s="2" cm="1">
        <f t="array" ref="H270">TrajectoryToComeUp(H$247:H$250,$A270)</f>
        <v>-2.3628731924654165</v>
      </c>
      <c r="I270" s="2" cm="1">
        <f t="array" ref="I270">EvaluatePolynomial(I$247:I$250,$A270)</f>
        <v>2730.6195531431704</v>
      </c>
    </row>
    <row r="271" spans="1:9" x14ac:dyDescent="0.25">
      <c r="A271" s="1">
        <v>350</v>
      </c>
      <c r="B271" s="2" cm="1">
        <f t="array" ref="B271">TrajectoryToComeUp(B$247:B$249,$A271)</f>
        <v>2.0026202420922461</v>
      </c>
      <c r="C271" s="2" cm="1">
        <f t="array" ref="C271">TrajectoryToComeUp(C$247:C$250,$A271)</f>
        <v>2.0183469526064592</v>
      </c>
      <c r="D271" s="2" cm="1">
        <f t="array" ref="D271">TrajectoryToComeUp(D$247:D$250,$A271)</f>
        <v>1.8275678498549512</v>
      </c>
      <c r="E271" s="2" cm="1">
        <f t="array" ref="E271">TrajectoryToComeUp(E$247:E$250,$A271)</f>
        <v>1.4363423402055171</v>
      </c>
      <c r="F271" s="2" cm="1">
        <f t="array" ref="F271">TrajectoryToComeUp(F$247:F$250,$A271)</f>
        <v>0.5867763905895903</v>
      </c>
      <c r="G271" s="2" cm="1">
        <f t="array" ref="G271">TrajectoryToComeUp(G$247:G$250,$A271)</f>
        <v>-0.66482103559030548</v>
      </c>
      <c r="H271" s="2" cm="1">
        <f t="array" ref="H271">TrajectoryToComeUp(H$247:H$250,$A271)</f>
        <v>-2.0661176463968172</v>
      </c>
      <c r="I271" s="2" cm="1">
        <f t="array" ref="I271">EvaluatePolynomial(I$247:I$250,$A271)</f>
        <v>2545.4823929159711</v>
      </c>
    </row>
    <row r="272" spans="1:9" x14ac:dyDescent="0.25">
      <c r="A272" s="1">
        <v>375</v>
      </c>
      <c r="B272" s="2" cm="1">
        <f t="array" ref="B272">TrajectoryToComeUp(B$247:B$249,$A272)</f>
        <v>2.3529244077761802</v>
      </c>
      <c r="C272" s="2" cm="1">
        <f t="array" ref="C272">TrajectoryToComeUp(C$247:C$250,$A272)</f>
        <v>2.3323362590740362</v>
      </c>
      <c r="D272" s="2" cm="1">
        <f t="array" ref="D272">TrajectoryToComeUp(D$247:D$250,$A272)</f>
        <v>2.1496179844566936</v>
      </c>
      <c r="E272" s="2" cm="1">
        <f t="array" ref="E272">TrajectoryToComeUp(E$247:E$250,$A272)</f>
        <v>1.7508926915563745</v>
      </c>
      <c r="F272" s="2" cm="1">
        <f t="array" ref="F272">TrajectoryToComeUp(F$247:F$250,$A272)</f>
        <v>0.89728311770733316</v>
      </c>
      <c r="G272" s="2" cm="1">
        <f t="array" ref="G272">TrajectoryToComeUp(G$247:G$250,$A272)</f>
        <v>-0.35036124779482386</v>
      </c>
      <c r="H272" s="2" cm="1">
        <f t="array" ref="H272">TrajectoryToComeUp(H$247:H$250,$A272)</f>
        <v>-1.7541780011520969</v>
      </c>
      <c r="I272" s="2" cm="1">
        <f t="array" ref="I272">EvaluatePolynomial(I$247:I$250,$A272)</f>
        <v>2371.5345815379555</v>
      </c>
    </row>
    <row r="273" spans="1:9" x14ac:dyDescent="0.25">
      <c r="A273" s="1">
        <v>400</v>
      </c>
      <c r="B273" s="2" cm="1">
        <f t="array" ref="B273">TrajectoryToComeUp(B$247:B$249,$A273)</f>
        <v>2.7061236575813203</v>
      </c>
      <c r="C273" s="2" cm="1">
        <f t="array" ref="C273">TrajectoryToComeUp(C$247:C$250,$A273)</f>
        <v>2.6645381917850042</v>
      </c>
      <c r="D273" s="2" cm="1">
        <f t="array" ref="D273">TrajectoryToComeUp(D$247:D$250,$A273)</f>
        <v>2.4888824716653448</v>
      </c>
      <c r="E273" s="2" cm="1">
        <f t="array" ref="E273">TrajectoryToComeUp(E$247:E$250,$A273)</f>
        <v>2.0853216028277202</v>
      </c>
      <c r="F273" s="2" cm="1">
        <f t="array" ref="F273">TrajectoryToComeUp(F$247:F$250,$A273)</f>
        <v>1.2213436324564519</v>
      </c>
      <c r="G273" s="2" cm="1">
        <f t="array" ref="G273">TrajectoryToComeUp(G$247:G$250,$A273)</f>
        <v>-1.8003422738847918E-2</v>
      </c>
      <c r="H273" s="2" cm="1">
        <f t="array" ref="H273">TrajectoryToComeUp(H$247:H$250,$A273)</f>
        <v>-1.4273535506442283</v>
      </c>
      <c r="I273" s="2" cm="1">
        <f t="array" ref="I273">EvaluatePolynomial(I$247:I$250,$A273)</f>
        <v>2208.7977651512106</v>
      </c>
    </row>
    <row r="274" spans="1:9" x14ac:dyDescent="0.25">
      <c r="A274" s="1">
        <v>425</v>
      </c>
      <c r="B274" s="2" cm="1">
        <f t="array" ref="B274">TrajectoryToComeUp(B$247:B$249,$A274)</f>
        <v>3.0617070943098064</v>
      </c>
      <c r="C274" s="2" cm="1">
        <f t="array" ref="C274">TrajectoryToComeUp(C$247:C$250,$A274)</f>
        <v>3.0147764213828414</v>
      </c>
      <c r="D274" s="2" cm="1">
        <f t="array" ref="D274">TrajectoryToComeUp(D$247:D$250,$A274)</f>
        <v>2.8451571674798317</v>
      </c>
      <c r="E274" s="2" cm="1">
        <f t="array" ref="E274">TrajectoryToComeUp(E$247:E$250,$A274)</f>
        <v>2.439477111121338</v>
      </c>
      <c r="F274" s="2" cm="1">
        <f t="array" ref="F274">TrajectoryToComeUp(F$247:F$250,$A274)</f>
        <v>1.5587393356952219</v>
      </c>
      <c r="G274" s="2" cm="1">
        <f t="array" ref="G274">TrajectoryToComeUp(G$247:G$250,$A274)</f>
        <v>0.33206353833797786</v>
      </c>
      <c r="H274" s="2" cm="1">
        <f t="array" ref="H274">TrajectoryToComeUp(H$247:H$250,$A274)</f>
        <v>-1.085873166689012</v>
      </c>
      <c r="I274" s="2" cm="1">
        <f t="array" ref="I274">EvaluatePolynomial(I$247:I$250,$A274)</f>
        <v>2057.2935898978235</v>
      </c>
    </row>
    <row r="275" spans="1:9" x14ac:dyDescent="0.25">
      <c r="A275" s="1">
        <v>450</v>
      </c>
      <c r="B275" s="2" cm="1">
        <f t="array" ref="B275">TrajectoryToComeUp(B$247:B$249,$A275)</f>
        <v>3.4192773534744143</v>
      </c>
      <c r="C275" s="2" cm="1">
        <f t="array" ref="C275">TrajectoryToComeUp(C$247:C$250,$A275)</f>
        <v>3.3829138028124759</v>
      </c>
      <c r="D275" s="2" cm="1">
        <f t="array" ref="D275">TrajectoryToComeUp(D$247:D$250,$A275)</f>
        <v>3.2182832932326524</v>
      </c>
      <c r="E275" s="2" cm="1">
        <f t="array" ref="E275">TrajectoryToComeUp(E$247:E$250,$A275)</f>
        <v>2.8132410230719489</v>
      </c>
      <c r="F275" s="2" cm="1">
        <f t="array" ref="F275">TrajectoryToComeUp(F$247:F$250,$A275)</f>
        <v>1.9093002058689659</v>
      </c>
      <c r="G275" s="2" cm="1">
        <f t="array" ref="G275">TrajectoryToComeUp(G$247:G$250,$A275)</f>
        <v>0.69969271224926466</v>
      </c>
      <c r="H275" s="2" cm="1">
        <f t="array" ref="H275">TrajectoryToComeUp(H$247:H$250,$A275)</f>
        <v>-0.7299148606987389</v>
      </c>
      <c r="I275" s="2" cm="1">
        <f t="array" ref="I275">EvaluatePolynomial(I$247:I$250,$A275)</f>
        <v>1917.0437019198821</v>
      </c>
    </row>
    <row r="276" spans="1:9" x14ac:dyDescent="0.25">
      <c r="A276" s="1">
        <v>475</v>
      </c>
      <c r="B276" s="2" cm="1">
        <f t="array" ref="B276">TrajectoryToComeUp(B$247:B$249,$A276)</f>
        <v>3.7785207262694414</v>
      </c>
      <c r="C276" s="2" cm="1">
        <f t="array" ref="C276">TrajectoryToComeUp(C$247:C$250,$A276)</f>
        <v>3.7688420636620101</v>
      </c>
      <c r="D276" s="2" cm="1">
        <f t="array" ref="D276">TrajectoryToComeUp(D$247:D$250,$A276)</f>
        <v>3.608135497344199</v>
      </c>
      <c r="E276" s="2" cm="1">
        <f t="array" ref="E276">TrajectoryToComeUp(E$247:E$250,$A276)</f>
        <v>3.2065200281280153</v>
      </c>
      <c r="F276" s="2" cm="1">
        <f t="array" ref="F276">TrajectoryToComeUp(F$247:F$250,$A276)</f>
        <v>2.2728920154345209</v>
      </c>
      <c r="G276" s="2" cm="1">
        <f t="array" ref="G276">TrajectoryToComeUp(G$247:G$250,$A276)</f>
        <v>1.0847681070057571</v>
      </c>
      <c r="H276" s="2" cm="1">
        <f t="array" ref="H276">TrajectoryToComeUp(H$247:H$250,$A276)</f>
        <v>-0.35961916799889965</v>
      </c>
      <c r="I276" s="2" cm="1">
        <f t="array" ref="I276">EvaluatePolynomial(I$247:I$250,$A276)</f>
        <v>1788.0697473594739</v>
      </c>
    </row>
    <row r="277" spans="1:9" x14ac:dyDescent="0.25">
      <c r="A277" s="10">
        <v>500</v>
      </c>
      <c r="B277" s="2" cm="1">
        <f t="array" ref="B277">TrajectoryToComeUp(B$247:B$249,$A277)</f>
        <v>4.1391862456503228</v>
      </c>
      <c r="C277" s="2" cm="1">
        <f t="array" ref="C277">TrajectoryToComeUp(C$247:C$250,$A277)</f>
        <v>4.1724745860019219</v>
      </c>
      <c r="D277" s="2" cm="1">
        <f t="array" ref="D277">TrajectoryToComeUp(D$247:D$250,$A277)</f>
        <v>4.014613498550788</v>
      </c>
      <c r="E277" s="2" cm="1">
        <f t="array" ref="E277">TrajectoryToComeUp(E$247:E$250,$A277)</f>
        <v>3.6192394778483106</v>
      </c>
      <c r="F277" s="2" cm="1">
        <f t="array" ref="F277">TrajectoryToComeUp(F$247:F$250,$A277)</f>
        <v>2.6494073823573543</v>
      </c>
      <c r="G277" s="2" cm="1">
        <f t="array" ref="G277">TrajectoryToComeUp(G$247:G$250,$A277)</f>
        <v>1.4871969290160514</v>
      </c>
      <c r="H277" s="2" cm="1">
        <f t="array" ref="H277">TrajectoryToComeUp(H$247:H$250,$A277)</f>
        <v>2.4901483150109718E-2</v>
      </c>
      <c r="I277" s="2" cm="1">
        <f t="array" ref="I277">EvaluatePolynomial(I$247:I$250,$A277)</f>
        <v>1670.3933723586865</v>
      </c>
    </row>
  </sheetData>
  <mergeCells count="3">
    <mergeCell ref="C20:G20"/>
    <mergeCell ref="J20:N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28BA2-0A5A-444D-BBD7-1ED6A4069BDA}">
  <sheetPr codeName="Sheet2"/>
  <dimension ref="A1:S277"/>
  <sheetViews>
    <sheetView topLeftCell="A169" workbookViewId="0">
      <selection activeCell="A223" sqref="A223:I244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3.710937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t="s">
        <v>18</v>
      </c>
      <c r="B1" t="s">
        <v>72</v>
      </c>
      <c r="C1" t="s">
        <v>65</v>
      </c>
      <c r="D1" t="s">
        <v>28</v>
      </c>
      <c r="F1" s="43" t="s">
        <v>58</v>
      </c>
      <c r="G1" s="43"/>
      <c r="H1" s="43"/>
      <c r="I1" s="43"/>
    </row>
    <row r="2" spans="1:9" x14ac:dyDescent="0.25">
      <c r="A2" t="s">
        <v>20</v>
      </c>
      <c r="B2" s="2">
        <v>250</v>
      </c>
      <c r="C2" s="2">
        <f>CONVERT($B$2,"grain","g")</f>
        <v>16.199727500000002</v>
      </c>
      <c r="F2" t="s">
        <v>59</v>
      </c>
      <c r="G2" s="2">
        <v>250</v>
      </c>
      <c r="H2" s="2">
        <f>CONVERT($G$2,"grain","g")</f>
        <v>16.199727500000002</v>
      </c>
    </row>
    <row r="3" spans="1:9" x14ac:dyDescent="0.25">
      <c r="A3" t="s">
        <v>0</v>
      </c>
      <c r="B3" s="2">
        <v>0.33800000000000002</v>
      </c>
      <c r="C3" s="2">
        <v>0.33800000000000002</v>
      </c>
      <c r="F3" t="s">
        <v>60</v>
      </c>
      <c r="G3" s="2">
        <v>0.33800000000000002</v>
      </c>
      <c r="H3" s="2">
        <f>CONVERT($G$3,"in","mm")</f>
        <v>8.5851999999999986</v>
      </c>
    </row>
    <row r="4" spans="1:9" x14ac:dyDescent="0.25">
      <c r="A4" t="s">
        <v>11</v>
      </c>
      <c r="B4" s="2"/>
      <c r="C4" s="2"/>
      <c r="F4" t="s">
        <v>11</v>
      </c>
      <c r="G4" s="2" t="s">
        <v>64</v>
      </c>
      <c r="H4" s="2"/>
    </row>
    <row r="5" spans="1:9" x14ac:dyDescent="0.25">
      <c r="A5" t="s">
        <v>21</v>
      </c>
      <c r="B5" s="2">
        <v>0.32500000000000001</v>
      </c>
      <c r="C5" s="2"/>
      <c r="F5" t="s">
        <v>21</v>
      </c>
      <c r="G5" s="2" t="s">
        <v>64</v>
      </c>
      <c r="H5" s="2"/>
    </row>
    <row r="6" spans="1:9" x14ac:dyDescent="0.25">
      <c r="A6" t="s">
        <v>22</v>
      </c>
      <c r="B6" s="2">
        <v>6112.3</v>
      </c>
      <c r="C6" s="2">
        <f>CONVERT($B$6,"J","flb")</f>
        <v>4508.201125027429</v>
      </c>
      <c r="F6" t="s">
        <v>61</v>
      </c>
      <c r="G6" s="2" cm="1">
        <f t="array" ref="G6">MuzzleVelocityToMuzzleEnergyFtLb(G7,G2)</f>
        <v>4508.1253172956249</v>
      </c>
      <c r="H6" s="2" cm="1">
        <f t="array" ref="H6">MuzzleVelocityToMuzzleEnergyJoules(H7,H2)</f>
        <v>6112.1972185165978</v>
      </c>
    </row>
    <row r="7" spans="1:9" x14ac:dyDescent="0.25">
      <c r="A7" t="s">
        <v>19</v>
      </c>
      <c r="B7" s="2" cm="1">
        <f t="array" ref="B7">MuzzleEnergyToMuzzleVelocityMPS(B6,C2)</f>
        <v>868.68730374368386</v>
      </c>
      <c r="C7" s="2" cm="1">
        <f t="array" ref="C7">MuzzleEnergyToMuzzleVelocityFPS(C6,B2)</f>
        <v>2850.0239624136611</v>
      </c>
      <c r="F7" t="s">
        <v>62</v>
      </c>
      <c r="G7" s="2">
        <v>2850</v>
      </c>
      <c r="H7" s="2">
        <f>CONVERT($G$7,"ft","m")</f>
        <v>868.68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13.5</v>
      </c>
      <c r="C9" s="2">
        <f>CONVERT($B$9,"m/sec","km/hr")</f>
        <v>48.6</v>
      </c>
    </row>
    <row r="10" spans="1:9" x14ac:dyDescent="0.25">
      <c r="A10" t="s">
        <v>3</v>
      </c>
      <c r="B10" s="2">
        <v>0</v>
      </c>
      <c r="C10" s="2"/>
    </row>
    <row r="11" spans="1:9" x14ac:dyDescent="0.25">
      <c r="A11" s="22" t="s">
        <v>46</v>
      </c>
      <c r="B11" s="2">
        <v>0.25</v>
      </c>
      <c r="C11" s="25"/>
    </row>
    <row r="12" spans="1:9" x14ac:dyDescent="0.25">
      <c r="A12" s="22" t="s">
        <v>47</v>
      </c>
      <c r="B12" s="2" cm="1">
        <f t="array" ref="B12">MOAToMRAD($B$11)</f>
        <v>7.2722052166430393E-2</v>
      </c>
      <c r="C12" s="25">
        <f>$B$12/2</f>
        <v>3.6361026083215196E-2</v>
      </c>
    </row>
    <row r="13" spans="1:9" x14ac:dyDescent="0.25">
      <c r="A13" s="22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2" t="s">
        <v>5</v>
      </c>
      <c r="B14" t="s">
        <v>48</v>
      </c>
    </row>
    <row r="15" spans="1:9" x14ac:dyDescent="0.25">
      <c r="A15" t="s">
        <v>49</v>
      </c>
      <c r="B15" s="23" t="s">
        <v>50</v>
      </c>
      <c r="C15" s="23" t="s">
        <v>51</v>
      </c>
      <c r="D15" s="23" t="s">
        <v>52</v>
      </c>
      <c r="E15" s="23" t="s">
        <v>53</v>
      </c>
    </row>
    <row r="16" spans="1:9" x14ac:dyDescent="0.25">
      <c r="A16" s="22" t="s">
        <v>54</v>
      </c>
      <c r="B16" s="2">
        <v>0.5</v>
      </c>
      <c r="C16">
        <f>$B16/2</f>
        <v>0.25</v>
      </c>
      <c r="D16" s="2">
        <f>$B$16 * $B$18</f>
        <v>0.18180513041607596</v>
      </c>
      <c r="E16" s="24">
        <f>$D16/2</f>
        <v>9.090256520803798E-2</v>
      </c>
    </row>
    <row r="17" spans="1:17" x14ac:dyDescent="0.25">
      <c r="A17" s="22" t="s">
        <v>55</v>
      </c>
      <c r="B17" s="2">
        <v>0.2</v>
      </c>
      <c r="C17">
        <f t="shared" ref="C17" si="0">$B17/2</f>
        <v>0.1</v>
      </c>
      <c r="D17" s="2">
        <f>$B$17 * $B$18</f>
        <v>7.2722052166430393E-2</v>
      </c>
      <c r="E17" s="24">
        <f>$D17/2</f>
        <v>3.6361026083215196E-2</v>
      </c>
    </row>
    <row r="18" spans="1:17" x14ac:dyDescent="0.25">
      <c r="A18" s="11" t="s">
        <v>56</v>
      </c>
      <c r="B18" s="12">
        <f>$B$12/$B$17</f>
        <v>0.36361026083215192</v>
      </c>
      <c r="C18" s="2"/>
      <c r="J18" s="2">
        <v>4.5</v>
      </c>
      <c r="K18" s="2">
        <v>4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</row>
    <row r="19" spans="1:17" x14ac:dyDescent="0.25">
      <c r="A19" s="26" t="s">
        <v>57</v>
      </c>
      <c r="B19" s="27"/>
      <c r="C19" s="2" cm="1">
        <f t="array" ref="C19">ProbableAngularPOIError(C17,C16,B17,0.2)</f>
        <v>0.10506023235856565</v>
      </c>
      <c r="D19" s="2"/>
      <c r="E19" s="2" cm="1">
        <f t="array" ref="E19">ProbableAngularPOIError(D17,D16,B12,0.68)</f>
        <v>7.5122274118138516E-2</v>
      </c>
      <c r="J19" s="2"/>
      <c r="K19" s="2"/>
      <c r="L19" s="2"/>
      <c r="M19" s="2"/>
      <c r="N19" s="2"/>
      <c r="O19" s="2"/>
      <c r="P19" s="2"/>
    </row>
    <row r="20" spans="1:17" x14ac:dyDescent="0.25">
      <c r="C20" s="42" t="s">
        <v>24</v>
      </c>
      <c r="D20" s="42"/>
      <c r="E20" s="42"/>
      <c r="F20" s="42"/>
      <c r="G20" s="42"/>
      <c r="H20" s="13"/>
      <c r="I20" s="13"/>
      <c r="J20" s="42" t="s">
        <v>25</v>
      </c>
      <c r="K20" s="42"/>
      <c r="L20" s="42"/>
      <c r="M20" s="42"/>
      <c r="N20" s="42"/>
      <c r="O20" s="13"/>
      <c r="P20" s="13"/>
      <c r="Q20" s="28" t="s">
        <v>29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31</v>
      </c>
      <c r="P21" s="29" t="s">
        <v>32</v>
      </c>
      <c r="Q21" s="28" t="s">
        <v>30</v>
      </c>
    </row>
    <row r="22" spans="1:17" x14ac:dyDescent="0.25">
      <c r="A22" s="1">
        <v>0</v>
      </c>
      <c r="B22" s="1">
        <v>6112.3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0">
        <f t="shared" si="1"/>
        <v>-3.81</v>
      </c>
      <c r="Q22" s="31">
        <v>0</v>
      </c>
    </row>
    <row r="23" spans="1:17" x14ac:dyDescent="0.25">
      <c r="A23" s="1">
        <v>25</v>
      </c>
      <c r="B23" s="1">
        <v>5851.1</v>
      </c>
      <c r="C23" s="6">
        <v>-0.25</v>
      </c>
      <c r="D23" s="6">
        <v>-0.33300000000000002</v>
      </c>
      <c r="E23" s="6">
        <v>-0.3125</v>
      </c>
      <c r="F23" s="6">
        <v>-0.1875</v>
      </c>
      <c r="G23" s="6">
        <v>3.1199999999999999E-2</v>
      </c>
      <c r="H23" s="6">
        <v>0.33300000000000002</v>
      </c>
      <c r="I23" s="14">
        <v>0.41699999999999998</v>
      </c>
      <c r="J23" s="9" cm="1">
        <f t="array" ref="J23">TrajectoryDropInCM(C23,$A23,J$18)</f>
        <v>-2.8125011865240381</v>
      </c>
      <c r="K23" s="9" cm="1">
        <f t="array" ref="K23">TrajectoryDropInCM(D23,$A23,K$18)</f>
        <v>-3.3300019693900382</v>
      </c>
      <c r="L23" s="9" cm="1">
        <f t="array" ref="L23">TrajectoryDropInCM(E23,$A23,L$18)</f>
        <v>-3.125001627605184</v>
      </c>
      <c r="M23" s="9" cm="1">
        <f t="array" ref="M23">TrajectoryDropInCM(F23,$A23,M$18)</f>
        <v>-1.8750003515625793</v>
      </c>
      <c r="N23" s="9" cm="1">
        <f t="array" ref="N23">TrajectoryDropInCM(G23,$A23,N$18)</f>
        <v>0.31200000161980418</v>
      </c>
      <c r="O23" s="9" cm="1">
        <f t="array" ref="O23">TrajectoryDropInCM(H23,$A23,O$18)</f>
        <v>3.3300019693900382</v>
      </c>
      <c r="P23" s="32" cm="1">
        <f t="array" ref="P23">TrajectoryDropInCM(I23,$A23,P$18)</f>
        <v>4.1700038672956641</v>
      </c>
      <c r="Q23" s="31" cm="1">
        <f t="array" ref="Q23">TrajectoryErrorCM($E$19,1,$A23)</f>
        <v>0.18780568529534628</v>
      </c>
    </row>
    <row r="24" spans="1:17" x14ac:dyDescent="0.25">
      <c r="A24" s="1">
        <v>50</v>
      </c>
      <c r="B24" s="1">
        <v>5540.2</v>
      </c>
      <c r="C24" s="7">
        <v>0</v>
      </c>
      <c r="D24" s="6">
        <v>-8.3000000000000004E-2</v>
      </c>
      <c r="E24" s="6">
        <v>0</v>
      </c>
      <c r="F24" s="6">
        <v>8.3000000000000004E-2</v>
      </c>
      <c r="G24" s="6">
        <v>0.33300000000000002</v>
      </c>
      <c r="H24" s="6">
        <v>0.51</v>
      </c>
      <c r="I24" s="14">
        <v>0.95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0</v>
      </c>
      <c r="M24" s="9" cm="1">
        <f t="array" ref="M24">TrajectoryDropInCM(F24,$A24,M$18)</f>
        <v>1.660000060990616</v>
      </c>
      <c r="N24" s="9" cm="1">
        <f t="array" ref="N24">TrajectoryDropInCM(G24,$A24,N$18)</f>
        <v>6.6600039387800765</v>
      </c>
      <c r="O24" s="9" cm="1">
        <f t="array" ref="O24">TrajectoryDropInCM(H24,$A24,O$18)</f>
        <v>10.200014149463554</v>
      </c>
      <c r="P24" s="32" cm="1">
        <f t="array" ref="P24">TrajectoryDropInCM(I24,$A24,P$18)</f>
        <v>19.000091453861572</v>
      </c>
      <c r="Q24" s="31" cm="1">
        <f t="array" ref="Q24">TrajectoryErrorCM($E$19,1,$A24)</f>
        <v>0.37561137059069255</v>
      </c>
    </row>
    <row r="25" spans="1:17" x14ac:dyDescent="0.25">
      <c r="A25" s="1">
        <v>75</v>
      </c>
      <c r="B25" s="1">
        <v>5245.6</v>
      </c>
      <c r="C25" s="6">
        <v>8.3000000000000004E-2</v>
      </c>
      <c r="D25" s="6">
        <v>0</v>
      </c>
      <c r="E25" s="6">
        <v>6.25E-2</v>
      </c>
      <c r="F25" s="6">
        <v>0.125</v>
      </c>
      <c r="G25" s="6">
        <v>0.375</v>
      </c>
      <c r="H25" s="6">
        <v>0.66700000000000004</v>
      </c>
      <c r="I25" s="14">
        <v>1.05</v>
      </c>
      <c r="J25" s="9" cm="1">
        <f t="array" ref="J25">TrajectoryDropInCM(C25,$A25,J$18)</f>
        <v>2.8012501302602333</v>
      </c>
      <c r="K25" s="9" cm="1">
        <f t="array" ref="K25">TrajectoryDropInCM(D25,$A25,K$18)</f>
        <v>0</v>
      </c>
      <c r="L25" s="9" cm="1">
        <f t="array" ref="L25">TrajectoryDropInCM(E25,$A25,L$18)</f>
        <v>1.8750000390625008</v>
      </c>
      <c r="M25" s="9" cm="1">
        <f t="array" ref="M25">TrajectoryDropInCM(F25,$A25,M$18)</f>
        <v>3.7500003125000307</v>
      </c>
      <c r="N25" s="9" cm="1">
        <f t="array" ref="N25">TrajectoryDropInCM(G25,$A25,N$18)</f>
        <v>11.250008437507594</v>
      </c>
      <c r="O25" s="9" cm="1">
        <f t="array" ref="O25">TrajectoryDropInCM(H25,$A25,O$18)</f>
        <v>20.010047478689266</v>
      </c>
      <c r="P25" s="32" cm="1">
        <f t="array" ref="P25">TrajectoryDropInCM(I25,$A25,P$18)</f>
        <v>31.500185221306932</v>
      </c>
      <c r="Q25" s="31" cm="1">
        <f t="array" ref="Q25">TrajectoryErrorCM($E$19,1,$A25)</f>
        <v>0.56341705588603885</v>
      </c>
    </row>
    <row r="26" spans="1:17" x14ac:dyDescent="0.25">
      <c r="A26" s="1">
        <v>100</v>
      </c>
      <c r="B26" s="1">
        <v>4926.3999999999996</v>
      </c>
      <c r="C26" s="6">
        <v>0.1</v>
      </c>
      <c r="D26" s="7">
        <v>0</v>
      </c>
      <c r="E26" s="6">
        <v>6.25E-2</v>
      </c>
      <c r="F26" s="6">
        <v>0.125</v>
      </c>
      <c r="G26" s="6">
        <v>0.375</v>
      </c>
      <c r="H26" s="6">
        <v>0.66700000000000004</v>
      </c>
      <c r="I26" s="14">
        <v>1.05</v>
      </c>
      <c r="J26" s="9" cm="1">
        <f t="array" ref="J26">TrajectoryDropInCM(C26,$A26,J$18)</f>
        <v>4.5000003037500242</v>
      </c>
      <c r="K26" s="9" cm="1">
        <f t="array" ref="K26">TrajectoryDropInCM(D26,$A26,K$18)</f>
        <v>0</v>
      </c>
      <c r="L26" s="9" cm="1">
        <f t="array" ref="L26">TrajectoryDropInCM(E26,$A26,L$18)</f>
        <v>2.5000000520833341</v>
      </c>
      <c r="M26" s="9" cm="1">
        <f t="array" ref="M26">TrajectoryDropInCM(F26,$A26,M$18)</f>
        <v>5.0000004166667074</v>
      </c>
      <c r="N26" s="9" cm="1">
        <f t="array" ref="N26">TrajectoryDropInCM(G26,$A26,N$18)</f>
        <v>15.000011250010125</v>
      </c>
      <c r="O26" s="9" cm="1">
        <f t="array" ref="O26">TrajectoryDropInCM(H26,$A26,O$18)</f>
        <v>26.68006330491902</v>
      </c>
      <c r="P26" s="32" cm="1">
        <f t="array" ref="P26">TrajectoryDropInCM(I26,$A26,P$18)</f>
        <v>42.000246961742569</v>
      </c>
      <c r="Q26" s="31" cm="1">
        <f t="array" ref="Q26">TrajectoryErrorCM($E$19,1,$A26)</f>
        <v>0.7512227411813851</v>
      </c>
    </row>
    <row r="27" spans="1:17" x14ac:dyDescent="0.25">
      <c r="A27" s="1">
        <v>125</v>
      </c>
      <c r="B27" s="1">
        <v>4672.8</v>
      </c>
      <c r="C27" s="6">
        <v>6.25E-2</v>
      </c>
      <c r="D27" s="6">
        <v>0</v>
      </c>
      <c r="E27" s="6">
        <v>6.25E-2</v>
      </c>
      <c r="F27" s="6">
        <v>0.125</v>
      </c>
      <c r="G27" s="6">
        <v>0.375</v>
      </c>
      <c r="H27" s="6">
        <v>0.66700000000000004</v>
      </c>
      <c r="I27" s="14">
        <v>1.05</v>
      </c>
      <c r="J27" s="9" cm="1">
        <f t="array" ref="J27">TrajectoryDropInCM(C27,$A27,J$18)</f>
        <v>3.5156250926971464</v>
      </c>
      <c r="K27" s="9" cm="1">
        <f t="array" ref="K27">TrajectoryDropInCM(D27,$A27,K$18)</f>
        <v>0</v>
      </c>
      <c r="L27" s="9" cm="1">
        <f t="array" ref="L27">TrajectoryDropInCM(E27,$A27,L$18)</f>
        <v>3.1250000651041678</v>
      </c>
      <c r="M27" s="9" cm="1">
        <f t="array" ref="M27">TrajectoryDropInCM(F27,$A27,M$18)</f>
        <v>6.2500005208333844</v>
      </c>
      <c r="N27" s="9" cm="1">
        <f t="array" ref="N27">TrajectoryDropInCM(G27,$A27,N$18)</f>
        <v>18.750014062512658</v>
      </c>
      <c r="O27" s="9" cm="1">
        <f t="array" ref="O27">TrajectoryDropInCM(H27,$A27,O$18)</f>
        <v>33.350079131148782</v>
      </c>
      <c r="P27" s="32" cm="1">
        <f t="array" ref="P27">TrajectoryDropInCM(I27,$A27,P$18)</f>
        <v>52.500308702178209</v>
      </c>
      <c r="Q27" s="31" cm="1">
        <f t="array" ref="Q27">TrajectoryErrorCM($E$19,1,$A27)</f>
        <v>0.93902842647673146</v>
      </c>
    </row>
    <row r="28" spans="1:17" x14ac:dyDescent="0.25">
      <c r="A28" s="1">
        <v>150</v>
      </c>
      <c r="B28" s="1">
        <v>4397.7</v>
      </c>
      <c r="C28" s="6">
        <v>3.1199999999999999E-2</v>
      </c>
      <c r="D28" s="6">
        <v>-3.1199999999999999E-2</v>
      </c>
      <c r="E28" s="7">
        <v>0</v>
      </c>
      <c r="F28" s="6">
        <v>0.1</v>
      </c>
      <c r="G28" s="6">
        <v>0.3125</v>
      </c>
      <c r="H28" s="6">
        <v>0.625</v>
      </c>
      <c r="I28" s="14">
        <v>1</v>
      </c>
      <c r="J28" s="9" cm="1">
        <f t="array" ref="J28">TrajectoryDropInCM(C28,$A28,J$18)</f>
        <v>2.1060000138379364</v>
      </c>
      <c r="K28" s="9" cm="1">
        <f t="array" ref="K28">TrajectoryDropInCM(D28,$A28,K$18)</f>
        <v>-1.8720000097188247</v>
      </c>
      <c r="L28" s="9" cm="1">
        <f t="array" ref="L28">TrajectoryDropInCM(E28,$A28,L$18)</f>
        <v>0</v>
      </c>
      <c r="M28" s="9" cm="1">
        <f t="array" ref="M28">TrajectoryDropInCM(F28,$A28,M$18)</f>
        <v>6.0000003200000211</v>
      </c>
      <c r="N28" s="9" cm="1">
        <f t="array" ref="N28">TrajectoryDropInCM(G28,$A28,N$18)</f>
        <v>18.750009765631106</v>
      </c>
      <c r="O28" s="9" cm="1">
        <f t="array" ref="O28">TrajectoryDropInCM(H28,$A28,O$18)</f>
        <v>37.500078125195316</v>
      </c>
      <c r="P28" s="32" cm="1">
        <f t="array" ref="P28">TrajectoryDropInCM(I28,$A28,P$18)</f>
        <v>60.000320002048014</v>
      </c>
      <c r="Q28" s="31" cm="1">
        <f t="array" ref="Q28">TrajectoryErrorCM($E$19,1,$A28)</f>
        <v>1.1268341117720777</v>
      </c>
    </row>
    <row r="29" spans="1:17" x14ac:dyDescent="0.25">
      <c r="A29" s="1">
        <v>200</v>
      </c>
      <c r="B29" s="1">
        <v>3907.3</v>
      </c>
      <c r="C29" s="6">
        <v>-6.25E-2</v>
      </c>
      <c r="D29" s="6">
        <v>-0.125</v>
      </c>
      <c r="E29" s="6">
        <v>-6.25E-2</v>
      </c>
      <c r="F29" s="7">
        <v>0</v>
      </c>
      <c r="G29" s="6">
        <v>0.25</v>
      </c>
      <c r="H29" s="6">
        <v>0.51</v>
      </c>
      <c r="I29" s="14">
        <v>0.9375</v>
      </c>
      <c r="J29" s="9" cm="1">
        <f t="array" ref="J29">TrajectoryDropInCM(C29,$A29,J$18)</f>
        <v>-5.6250001483154337</v>
      </c>
      <c r="K29" s="9" cm="1">
        <f t="array" ref="K29">TrajectoryDropInCM(D29,$A29,K$18)</f>
        <v>-10.000000833333415</v>
      </c>
      <c r="L29" s="9" cm="1">
        <f t="array" ref="L29">TrajectoryDropInCM(E29,$A29,L$18)</f>
        <v>-5.0000001041666682</v>
      </c>
      <c r="M29" s="9" cm="1">
        <f t="array" ref="M29">TrajectoryDropInCM(F29,$A29,M$18)</f>
        <v>0</v>
      </c>
      <c r="N29" s="9" cm="1">
        <f t="array" ref="N29">TrajectoryDropInCM(G29,$A29,N$18)</f>
        <v>20.000006666669336</v>
      </c>
      <c r="O29" s="9" cm="1">
        <f t="array" ref="O29">TrajectoryDropInCM(H29,$A29,O$18)</f>
        <v>40.800056597854216</v>
      </c>
      <c r="P29" s="32" cm="1">
        <f t="array" ref="P29">TrajectoryDropInCM(I29,$A29,P$18)</f>
        <v>75.00035156447754</v>
      </c>
      <c r="Q29" s="31" cm="1">
        <f t="array" ref="Q29">TrajectoryErrorCM($E$19,1,$A29)</f>
        <v>1.5024454823627702</v>
      </c>
    </row>
    <row r="30" spans="1:17" x14ac:dyDescent="0.25">
      <c r="A30" s="1">
        <v>250</v>
      </c>
      <c r="B30" s="1">
        <v>3457</v>
      </c>
      <c r="C30" s="6">
        <v>-0.13</v>
      </c>
      <c r="D30" s="6">
        <v>-0.25</v>
      </c>
      <c r="E30" s="6">
        <v>-0.13</v>
      </c>
      <c r="F30" s="6">
        <v>-0.1</v>
      </c>
      <c r="G30" s="6">
        <v>0.125</v>
      </c>
      <c r="H30" s="6">
        <v>0.4375</v>
      </c>
      <c r="I30" s="14">
        <v>0.8125</v>
      </c>
      <c r="J30" s="9" cm="1">
        <f t="array" ref="J30">TrajectoryDropInCM(C30,$A30,J$18)</f>
        <v>-14.625001668347103</v>
      </c>
      <c r="K30" s="9" cm="1">
        <f t="array" ref="K30">TrajectoryDropInCM(D30,$A30,K$18)</f>
        <v>-25.00000833333667</v>
      </c>
      <c r="L30" s="9" cm="1">
        <f t="array" ref="L30">TrajectoryDropInCM(E30,$A30,L$18)</f>
        <v>-13.000001171733464</v>
      </c>
      <c r="M30" s="9" cm="1">
        <f t="array" ref="M30">TrajectoryDropInCM(F30,$A30,M$18)</f>
        <v>-10.000000533333367</v>
      </c>
      <c r="N30" s="9" cm="1">
        <f t="array" ref="N30">TrajectoryDropInCM(G30,$A30,N$18)</f>
        <v>12.500001041666769</v>
      </c>
      <c r="O30" s="9" cm="1">
        <f t="array" ref="O30">TrajectoryDropInCM(H30,$A30,O$18)</f>
        <v>43.750044661513051</v>
      </c>
      <c r="P30" s="32" cm="1">
        <f t="array" ref="P30">TrajectoryDropInCM(I30,$A30,P$18)</f>
        <v>81.250286068916964</v>
      </c>
      <c r="Q30" s="31" cm="1">
        <f t="array" ref="Q30">TrajectoryErrorCM($E$19,1,$A30)</f>
        <v>1.8780568529534629</v>
      </c>
    </row>
    <row r="31" spans="1:17" x14ac:dyDescent="0.25">
      <c r="A31" s="1">
        <v>300</v>
      </c>
      <c r="B31" s="1">
        <v>3048.8</v>
      </c>
      <c r="C31" s="6">
        <v>-0.25</v>
      </c>
      <c r="D31" s="6">
        <v>-0.33300000000000002</v>
      </c>
      <c r="E31" s="6">
        <v>-0.3125</v>
      </c>
      <c r="F31" s="6">
        <v>-0.25</v>
      </c>
      <c r="G31" s="7">
        <v>0</v>
      </c>
      <c r="H31" s="17">
        <v>0.3125</v>
      </c>
      <c r="I31" s="18">
        <v>0.6875</v>
      </c>
      <c r="J31" s="9" cm="1">
        <f t="array" ref="J31">TrajectoryDropInCM(C31,$A31,J$18)</f>
        <v>-33.750014238288458</v>
      </c>
      <c r="K31" s="9" cm="1">
        <f t="array" ref="K31">TrajectoryDropInCM(D31,$A31,K$18)</f>
        <v>-39.960023632680461</v>
      </c>
      <c r="L31" s="9" cm="1">
        <f t="array" ref="L31">TrajectoryDropInCM(E31,$A31,L$18)</f>
        <v>-37.500019531262211</v>
      </c>
      <c r="M31" s="9" cm="1">
        <f t="array" ref="M31">TrajectoryDropInCM(F31,$A31,M$18)</f>
        <v>-30.000010000004</v>
      </c>
      <c r="N31" s="9" cm="1">
        <f t="array" ref="N31">TrajectoryDropInCM(G31,$A31,N$18)</f>
        <v>0</v>
      </c>
      <c r="O31" s="9" cm="1">
        <f t="array" ref="O31">TrajectoryDropInCM(H31,$A31,O$18)</f>
        <v>37.500019531262211</v>
      </c>
      <c r="P31" s="32" cm="1">
        <f t="array" ref="P31">TrajectoryDropInCM(I31,$A31,P$18)</f>
        <v>82.50020796937909</v>
      </c>
      <c r="Q31" s="31" cm="1">
        <f t="array" ref="Q31">TrajectoryErrorCM($E$19,1,$A31)</f>
        <v>2.2536682235441554</v>
      </c>
    </row>
    <row r="32" spans="1:17" x14ac:dyDescent="0.25">
      <c r="A32" s="1">
        <v>350</v>
      </c>
      <c r="B32" s="1">
        <v>2682.2</v>
      </c>
      <c r="C32" s="17">
        <v>-0.41699999999999998</v>
      </c>
      <c r="D32" s="17">
        <v>-0.5</v>
      </c>
      <c r="E32" s="17">
        <v>-0.4375</v>
      </c>
      <c r="F32" s="17">
        <v>-0.375</v>
      </c>
      <c r="G32" s="17">
        <v>-0.125</v>
      </c>
      <c r="H32" s="17">
        <v>0.15</v>
      </c>
      <c r="I32" s="18">
        <v>0.55000000000000004</v>
      </c>
      <c r="J32" s="38" cm="1">
        <f t="array" ref="J32">TrajectoryDropInCM(C32,$A32,J$18)</f>
        <v>-65.67757708912346</v>
      </c>
      <c r="K32" s="38" cm="1">
        <f t="array" ref="K32">TrajectoryDropInCM(D32,$A32,K$18)</f>
        <v>-70.000093333482667</v>
      </c>
      <c r="L32" s="38" cm="1">
        <f t="array" ref="L32">TrajectoryDropInCM(E32,$A32,L$18)</f>
        <v>-61.250062526118263</v>
      </c>
      <c r="M32" s="38" cm="1">
        <f t="array" ref="M32">TrajectoryDropInCM(F32,$A32,M$18)</f>
        <v>-52.500039375035435</v>
      </c>
      <c r="N32" s="38" cm="1">
        <f t="array" ref="N32">TrajectoryDropInCM(G32,$A32,N$18)</f>
        <v>-17.500001458333479</v>
      </c>
      <c r="O32" s="38" cm="1">
        <f t="array" ref="O32">TrajectoryDropInCM(H32,$A32,O$18)</f>
        <v>21.000002520000361</v>
      </c>
      <c r="P32" s="39" cm="1">
        <f t="array" ref="P32">TrajectoryDropInCM(I32,$A32,P$18)</f>
        <v>77.000124226907175</v>
      </c>
      <c r="Q32" s="40" cm="1">
        <f t="array" ref="Q32">TrajectoryErrorCM($E$19,1,$A32)</f>
        <v>2.6292795941348479</v>
      </c>
    </row>
    <row r="33" spans="1:17" x14ac:dyDescent="0.25">
      <c r="A33" s="1">
        <v>400</v>
      </c>
      <c r="B33" s="1"/>
      <c r="C33" s="33"/>
      <c r="D33" s="33"/>
      <c r="E33" s="33"/>
      <c r="F33" s="33"/>
      <c r="G33" s="33"/>
      <c r="H33" s="33"/>
      <c r="I33" s="34"/>
      <c r="J33" s="35"/>
      <c r="K33" s="35"/>
      <c r="L33" s="35"/>
      <c r="M33" s="35"/>
      <c r="N33" s="35"/>
      <c r="O33" s="35"/>
      <c r="P33" s="36"/>
      <c r="Q33" s="37"/>
    </row>
    <row r="34" spans="1:17" x14ac:dyDescent="0.25">
      <c r="A34" s="1">
        <v>450</v>
      </c>
      <c r="B34" s="1"/>
      <c r="C34" s="33"/>
      <c r="D34" s="33"/>
      <c r="E34" s="33"/>
      <c r="F34" s="33"/>
      <c r="G34" s="33"/>
      <c r="H34" s="33"/>
      <c r="I34" s="34"/>
      <c r="J34" s="35"/>
      <c r="K34" s="35"/>
      <c r="L34" s="35"/>
      <c r="M34" s="35"/>
      <c r="N34" s="35"/>
      <c r="O34" s="35"/>
      <c r="P34" s="36"/>
      <c r="Q34" s="37"/>
    </row>
    <row r="35" spans="1:17" x14ac:dyDescent="0.25">
      <c r="A35" s="1">
        <v>500</v>
      </c>
      <c r="B35" s="1"/>
      <c r="C35" s="33"/>
      <c r="D35" s="33"/>
      <c r="E35" s="33"/>
      <c r="F35" s="33"/>
      <c r="G35" s="33"/>
      <c r="H35" s="33"/>
      <c r="I35" s="34"/>
      <c r="J35" s="35"/>
      <c r="K35" s="35"/>
      <c r="L35" s="35"/>
      <c r="M35" s="35"/>
      <c r="N35" s="35"/>
      <c r="O35" s="35"/>
      <c r="P35" s="36"/>
      <c r="Q35" s="37"/>
    </row>
    <row r="77" spans="1:19" x14ac:dyDescent="0.25">
      <c r="A77" t="s">
        <v>27</v>
      </c>
    </row>
    <row r="78" spans="1:19" x14ac:dyDescent="0.25">
      <c r="A78" t="s">
        <v>79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33</v>
      </c>
      <c r="H79" t="s">
        <v>34</v>
      </c>
      <c r="I79" t="s">
        <v>35</v>
      </c>
    </row>
    <row r="80" spans="1:19" x14ac:dyDescent="0.25">
      <c r="A80" s="1">
        <v>0</v>
      </c>
      <c r="B80" s="1">
        <v>869</v>
      </c>
      <c r="C80" s="1">
        <v>6113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844</v>
      </c>
      <c r="C81" s="1">
        <v>5774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820</v>
      </c>
      <c r="C82" s="10">
        <v>5452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797</v>
      </c>
      <c r="C83" s="1">
        <v>5145</v>
      </c>
      <c r="D83" s="1">
        <v>0.5</v>
      </c>
      <c r="E83" s="1">
        <v>-0.2</v>
      </c>
      <c r="F83" s="1">
        <v>-0.1</v>
      </c>
      <c r="G83" s="1">
        <v>0</v>
      </c>
      <c r="H83" s="1">
        <v>0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774</v>
      </c>
      <c r="C84" s="1">
        <v>4852</v>
      </c>
      <c r="D84" s="1">
        <v>0.1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751</v>
      </c>
      <c r="C85" s="1">
        <v>4572</v>
      </c>
      <c r="D85" s="1">
        <v>-1.4</v>
      </c>
      <c r="E85" s="1">
        <v>0.4</v>
      </c>
      <c r="F85" s="1">
        <v>0.1</v>
      </c>
      <c r="G85" s="1">
        <v>0</v>
      </c>
      <c r="H85" s="1">
        <v>0</v>
      </c>
      <c r="I85" s="1">
        <v>0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729</v>
      </c>
      <c r="C86" s="1">
        <v>4304</v>
      </c>
      <c r="D86" s="1">
        <v>-4</v>
      </c>
      <c r="E86" s="1">
        <v>0.9</v>
      </c>
      <c r="F86" s="1">
        <v>0.3</v>
      </c>
      <c r="G86" s="1">
        <v>0</v>
      </c>
      <c r="H86" s="1">
        <v>0</v>
      </c>
      <c r="I86" s="1">
        <v>0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707</v>
      </c>
      <c r="C87" s="1">
        <v>4049</v>
      </c>
      <c r="D87" s="1">
        <v>-7.8</v>
      </c>
      <c r="E87" s="1">
        <v>1.5</v>
      </c>
      <c r="F87" s="1">
        <v>0.4</v>
      </c>
      <c r="G87" s="1">
        <v>0</v>
      </c>
      <c r="H87" s="1">
        <v>0</v>
      </c>
      <c r="I87" s="1">
        <v>0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685</v>
      </c>
      <c r="C88" s="1">
        <v>3805</v>
      </c>
      <c r="D88" s="1">
        <v>-13</v>
      </c>
      <c r="E88" s="1">
        <v>2.2000000000000002</v>
      </c>
      <c r="F88" s="1">
        <v>0.6</v>
      </c>
      <c r="G88" s="1">
        <v>0</v>
      </c>
      <c r="H88" s="1">
        <v>0</v>
      </c>
      <c r="I88" s="1">
        <v>0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664</v>
      </c>
      <c r="C89" s="1">
        <v>3572</v>
      </c>
      <c r="D89" s="1">
        <v>-19.3</v>
      </c>
      <c r="E89" s="1">
        <v>3</v>
      </c>
      <c r="F89" s="1">
        <v>0.9</v>
      </c>
      <c r="G89" s="1">
        <v>0</v>
      </c>
      <c r="H89" s="1">
        <v>0</v>
      </c>
      <c r="I89" s="1">
        <v>0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643</v>
      </c>
      <c r="C90" s="1">
        <v>3351</v>
      </c>
      <c r="D90" s="1">
        <v>-27.1</v>
      </c>
      <c r="E90" s="1">
        <v>3.7</v>
      </c>
      <c r="F90" s="1">
        <v>1.1000000000000001</v>
      </c>
      <c r="G90" s="1">
        <v>0</v>
      </c>
      <c r="H90" s="1">
        <v>0</v>
      </c>
      <c r="I90" s="1">
        <v>0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623</v>
      </c>
      <c r="C91" s="1">
        <v>3141</v>
      </c>
      <c r="D91" s="1">
        <v>-36.9</v>
      </c>
      <c r="E91" s="1">
        <v>4.5999999999999996</v>
      </c>
      <c r="F91" s="1">
        <v>1.3</v>
      </c>
      <c r="G91" s="1">
        <v>0</v>
      </c>
      <c r="H91" s="1">
        <v>0</v>
      </c>
      <c r="I91" s="1">
        <v>0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602</v>
      </c>
      <c r="C92" s="1">
        <v>2940</v>
      </c>
      <c r="D92" s="1">
        <v>-47.9</v>
      </c>
      <c r="E92" s="1">
        <v>5.5</v>
      </c>
      <c r="F92" s="1">
        <v>1.6</v>
      </c>
      <c r="G92" s="1">
        <v>0</v>
      </c>
      <c r="H92" s="1">
        <v>0</v>
      </c>
      <c r="I92" s="1">
        <v>0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583</v>
      </c>
      <c r="C93" s="1">
        <v>2751</v>
      </c>
      <c r="D93" s="1">
        <v>-60.8</v>
      </c>
      <c r="E93" s="1">
        <v>6.4</v>
      </c>
      <c r="F93" s="1">
        <v>1.9</v>
      </c>
      <c r="G93" s="1">
        <v>0</v>
      </c>
      <c r="H93" s="1">
        <v>0</v>
      </c>
      <c r="I93" s="1">
        <v>0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563</v>
      </c>
      <c r="C94" s="1">
        <v>2571</v>
      </c>
      <c r="D94" s="1">
        <v>-76.099999999999994</v>
      </c>
      <c r="E94" s="1">
        <v>7.5</v>
      </c>
      <c r="F94" s="1">
        <v>2.2000000000000002</v>
      </c>
      <c r="G94" s="1">
        <v>0</v>
      </c>
      <c r="H94" s="1">
        <v>0</v>
      </c>
      <c r="I94" s="1">
        <v>0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544</v>
      </c>
      <c r="C95" s="1">
        <v>2401</v>
      </c>
      <c r="D95" s="1">
        <v>-93</v>
      </c>
      <c r="E95" s="1">
        <v>8.5</v>
      </c>
      <c r="F95" s="1">
        <v>2.5</v>
      </c>
      <c r="G95" s="1">
        <v>0</v>
      </c>
      <c r="H95" s="1">
        <v>0</v>
      </c>
      <c r="I95" s="1">
        <v>0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526</v>
      </c>
      <c r="C96" s="1">
        <v>2240</v>
      </c>
      <c r="D96" s="1">
        <v>-112.1</v>
      </c>
      <c r="E96" s="1">
        <v>9.6</v>
      </c>
      <c r="F96" s="1">
        <v>2.8</v>
      </c>
      <c r="G96" s="1">
        <v>0</v>
      </c>
      <c r="H96" s="1">
        <v>0</v>
      </c>
      <c r="I96" s="1">
        <v>0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508</v>
      </c>
      <c r="C97" s="1">
        <v>2089</v>
      </c>
      <c r="D97" s="1">
        <v>-134.4</v>
      </c>
      <c r="E97" s="1">
        <v>10.9</v>
      </c>
      <c r="F97" s="1">
        <v>3.2</v>
      </c>
      <c r="G97" s="1">
        <v>0</v>
      </c>
      <c r="H97" s="1">
        <v>0</v>
      </c>
      <c r="I97" s="1">
        <v>0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490</v>
      </c>
      <c r="C98" s="1">
        <v>1947</v>
      </c>
      <c r="D98" s="1">
        <v>-158.6</v>
      </c>
      <c r="E98" s="1">
        <v>12.1</v>
      </c>
      <c r="F98" s="1">
        <v>3.5</v>
      </c>
      <c r="G98" s="1">
        <v>0</v>
      </c>
      <c r="H98" s="1">
        <v>0</v>
      </c>
      <c r="I98" s="1">
        <v>0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473</v>
      </c>
      <c r="C99" s="1">
        <v>1814</v>
      </c>
      <c r="D99" s="1">
        <v>-185.6</v>
      </c>
      <c r="E99" s="1">
        <v>13.4</v>
      </c>
      <c r="F99" s="1">
        <v>3.9</v>
      </c>
      <c r="G99" s="1">
        <v>0</v>
      </c>
      <c r="H99" s="1">
        <v>0</v>
      </c>
      <c r="I99" s="1">
        <v>0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457</v>
      </c>
      <c r="C100" s="1">
        <v>1694</v>
      </c>
      <c r="D100" s="1">
        <v>-215.6</v>
      </c>
      <c r="E100" s="1">
        <v>14.8</v>
      </c>
      <c r="F100" s="1">
        <v>4.3</v>
      </c>
      <c r="G100" s="1">
        <v>0</v>
      </c>
      <c r="H100" s="1">
        <v>0</v>
      </c>
      <c r="I100" s="1">
        <v>0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80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33</v>
      </c>
      <c r="H103" t="s">
        <v>34</v>
      </c>
      <c r="I103" t="s">
        <v>35</v>
      </c>
    </row>
    <row r="104" spans="1:19" x14ac:dyDescent="0.25">
      <c r="A104" s="1">
        <v>0</v>
      </c>
      <c r="B104" s="1">
        <v>869</v>
      </c>
      <c r="C104" s="1">
        <v>6113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844</v>
      </c>
      <c r="C105" s="1">
        <v>5774</v>
      </c>
      <c r="D105" s="1">
        <v>-1.5</v>
      </c>
      <c r="E105" s="1">
        <v>2.1</v>
      </c>
      <c r="F105" s="1">
        <v>0.6</v>
      </c>
      <c r="G105">
        <v>0</v>
      </c>
      <c r="H105">
        <v>0</v>
      </c>
      <c r="I105">
        <v>0</v>
      </c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820</v>
      </c>
      <c r="C106" s="1">
        <v>5452</v>
      </c>
      <c r="D106" s="1">
        <v>0</v>
      </c>
      <c r="E106" s="1">
        <v>0</v>
      </c>
      <c r="F106" s="1">
        <v>0</v>
      </c>
      <c r="G106">
        <v>0</v>
      </c>
      <c r="H106">
        <v>0</v>
      </c>
      <c r="I106">
        <v>0</v>
      </c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797</v>
      </c>
      <c r="C107" s="1">
        <v>5145</v>
      </c>
      <c r="D107" s="1">
        <v>0.5</v>
      </c>
      <c r="E107" s="1">
        <v>-0.2</v>
      </c>
      <c r="F107" s="1">
        <v>-0.1</v>
      </c>
      <c r="G107">
        <v>0</v>
      </c>
      <c r="H107">
        <v>0</v>
      </c>
      <c r="I107">
        <v>0</v>
      </c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774</v>
      </c>
      <c r="C108" s="10">
        <v>4852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751</v>
      </c>
      <c r="C109" s="1">
        <v>4572</v>
      </c>
      <c r="D109" s="1">
        <v>-1.5</v>
      </c>
      <c r="E109" s="1">
        <v>0.4</v>
      </c>
      <c r="F109" s="1">
        <v>0.1</v>
      </c>
      <c r="G109">
        <v>0</v>
      </c>
      <c r="H109">
        <v>0</v>
      </c>
      <c r="I109">
        <v>0</v>
      </c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729</v>
      </c>
      <c r="C110" s="1">
        <v>4304</v>
      </c>
      <c r="D110" s="1">
        <v>-4.0999999999999996</v>
      </c>
      <c r="E110" s="1">
        <v>0.9</v>
      </c>
      <c r="F110" s="1">
        <v>0.3</v>
      </c>
      <c r="G110">
        <v>0</v>
      </c>
      <c r="H110">
        <v>0</v>
      </c>
      <c r="I110">
        <v>0</v>
      </c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707</v>
      </c>
      <c r="C111" s="1">
        <v>4049</v>
      </c>
      <c r="D111" s="1">
        <v>-7.9</v>
      </c>
      <c r="E111" s="1">
        <v>1.6</v>
      </c>
      <c r="F111" s="1">
        <v>0.5</v>
      </c>
      <c r="G111">
        <v>0</v>
      </c>
      <c r="H111">
        <v>0</v>
      </c>
      <c r="I111">
        <v>0</v>
      </c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685</v>
      </c>
      <c r="C112" s="1">
        <v>3805</v>
      </c>
      <c r="D112" s="1">
        <v>-13.1</v>
      </c>
      <c r="E112" s="1">
        <v>2.2000000000000002</v>
      </c>
      <c r="F112" s="1">
        <v>0.7</v>
      </c>
      <c r="G112">
        <v>0</v>
      </c>
      <c r="H112">
        <v>0</v>
      </c>
      <c r="I112">
        <v>0</v>
      </c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664</v>
      </c>
      <c r="C113" s="1">
        <v>3572</v>
      </c>
      <c r="D113" s="1">
        <v>-19.5</v>
      </c>
      <c r="E113" s="1">
        <v>3</v>
      </c>
      <c r="F113" s="1">
        <v>0.9</v>
      </c>
      <c r="G113">
        <v>0</v>
      </c>
      <c r="H113">
        <v>0</v>
      </c>
      <c r="I113">
        <v>0</v>
      </c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643</v>
      </c>
      <c r="C114" s="1">
        <v>3351</v>
      </c>
      <c r="D114" s="1">
        <v>-27.3</v>
      </c>
      <c r="E114" s="1">
        <v>3.8</v>
      </c>
      <c r="F114" s="1">
        <v>1.1000000000000001</v>
      </c>
      <c r="G114">
        <v>0</v>
      </c>
      <c r="H114">
        <v>0</v>
      </c>
      <c r="I114">
        <v>0</v>
      </c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623</v>
      </c>
      <c r="C115" s="1">
        <v>3141</v>
      </c>
      <c r="D115" s="1">
        <v>-37.1</v>
      </c>
      <c r="E115" s="1">
        <v>4.5999999999999996</v>
      </c>
      <c r="F115" s="1">
        <v>1.3</v>
      </c>
      <c r="G115">
        <v>0</v>
      </c>
      <c r="H115">
        <v>0</v>
      </c>
      <c r="I115">
        <v>0</v>
      </c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602</v>
      </c>
      <c r="C116" s="1">
        <v>2940</v>
      </c>
      <c r="D116" s="1">
        <v>-48.1</v>
      </c>
      <c r="E116" s="1">
        <v>5.5</v>
      </c>
      <c r="F116" s="1">
        <v>1.6</v>
      </c>
      <c r="G116">
        <v>0</v>
      </c>
      <c r="H116">
        <v>0</v>
      </c>
      <c r="I116">
        <v>0</v>
      </c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583</v>
      </c>
      <c r="C117" s="1">
        <v>2751</v>
      </c>
      <c r="D117" s="1">
        <v>-61</v>
      </c>
      <c r="E117" s="1">
        <v>6.5</v>
      </c>
      <c r="F117" s="1">
        <v>1.9</v>
      </c>
      <c r="G117">
        <v>0</v>
      </c>
      <c r="H117">
        <v>0</v>
      </c>
      <c r="I117">
        <v>0</v>
      </c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563</v>
      </c>
      <c r="C118" s="1">
        <v>2571</v>
      </c>
      <c r="D118" s="1">
        <v>-76.3</v>
      </c>
      <c r="E118" s="1">
        <v>7.5</v>
      </c>
      <c r="F118" s="1">
        <v>2.2000000000000002</v>
      </c>
      <c r="G118">
        <v>0</v>
      </c>
      <c r="H118">
        <v>0</v>
      </c>
      <c r="I118">
        <v>0</v>
      </c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544</v>
      </c>
      <c r="C119" s="1">
        <v>2401</v>
      </c>
      <c r="D119" s="1">
        <v>-93.2</v>
      </c>
      <c r="E119" s="1">
        <v>8.5</v>
      </c>
      <c r="F119" s="1">
        <v>2.5</v>
      </c>
      <c r="G119">
        <v>0</v>
      </c>
      <c r="H119">
        <v>0</v>
      </c>
      <c r="I119">
        <v>0</v>
      </c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526</v>
      </c>
      <c r="C120" s="1">
        <v>2240</v>
      </c>
      <c r="D120" s="1">
        <v>-112.4</v>
      </c>
      <c r="E120" s="1">
        <v>9.6999999999999993</v>
      </c>
      <c r="F120" s="1">
        <v>2.8</v>
      </c>
      <c r="G120">
        <v>0</v>
      </c>
      <c r="H120">
        <v>0</v>
      </c>
      <c r="I120">
        <v>0</v>
      </c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508</v>
      </c>
      <c r="C121" s="1">
        <v>2089</v>
      </c>
      <c r="D121" s="1">
        <v>-134.69999999999999</v>
      </c>
      <c r="E121" s="1">
        <v>10.9</v>
      </c>
      <c r="F121" s="1">
        <v>3.2</v>
      </c>
      <c r="G121">
        <v>0</v>
      </c>
      <c r="H121">
        <v>0</v>
      </c>
      <c r="I121">
        <v>0</v>
      </c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490</v>
      </c>
      <c r="C122" s="1">
        <v>1947</v>
      </c>
      <c r="D122" s="1">
        <v>-159</v>
      </c>
      <c r="E122" s="1">
        <v>12.1</v>
      </c>
      <c r="F122" s="1">
        <v>3.5</v>
      </c>
      <c r="G122">
        <v>0</v>
      </c>
      <c r="H122">
        <v>0</v>
      </c>
      <c r="I122">
        <v>0</v>
      </c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473</v>
      </c>
      <c r="C123" s="1">
        <v>1814</v>
      </c>
      <c r="D123" s="1">
        <v>-186</v>
      </c>
      <c r="E123" s="1">
        <v>13.5</v>
      </c>
      <c r="F123" s="1">
        <v>3.9</v>
      </c>
      <c r="G123">
        <v>0</v>
      </c>
      <c r="H123">
        <v>0</v>
      </c>
      <c r="I123">
        <v>0</v>
      </c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457</v>
      </c>
      <c r="C124" s="1">
        <v>1694</v>
      </c>
      <c r="D124" s="1">
        <v>-216</v>
      </c>
      <c r="E124" s="1">
        <v>14.9</v>
      </c>
      <c r="F124" s="1">
        <v>4.3</v>
      </c>
      <c r="G124">
        <v>0</v>
      </c>
      <c r="H124">
        <v>0</v>
      </c>
      <c r="I124">
        <v>0</v>
      </c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81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33</v>
      </c>
      <c r="H127" t="s">
        <v>34</v>
      </c>
      <c r="I127" t="s">
        <v>35</v>
      </c>
    </row>
    <row r="128" spans="1:19" x14ac:dyDescent="0.25">
      <c r="A128" s="1">
        <v>0</v>
      </c>
      <c r="B128" s="1">
        <v>869</v>
      </c>
      <c r="C128" s="1">
        <v>6113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844</v>
      </c>
      <c r="C129" s="1">
        <v>5774</v>
      </c>
      <c r="D129" s="1">
        <v>-0.8</v>
      </c>
      <c r="E129" s="1">
        <v>1.2</v>
      </c>
      <c r="F129" s="1">
        <v>0.3</v>
      </c>
      <c r="G129">
        <v>0</v>
      </c>
      <c r="H129">
        <v>0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820</v>
      </c>
      <c r="C130" s="1">
        <v>5452</v>
      </c>
      <c r="D130" s="1">
        <v>1.3</v>
      </c>
      <c r="E130" s="1">
        <v>-0.9</v>
      </c>
      <c r="F130" s="1">
        <v>-0.3</v>
      </c>
      <c r="G130">
        <v>0</v>
      </c>
      <c r="H130">
        <v>0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797</v>
      </c>
      <c r="C131" s="1">
        <v>5145</v>
      </c>
      <c r="D131" s="1">
        <v>2.5</v>
      </c>
      <c r="E131" s="1">
        <v>-1.2</v>
      </c>
      <c r="F131" s="1">
        <v>-0.3</v>
      </c>
      <c r="G131">
        <v>0</v>
      </c>
      <c r="H131">
        <v>0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774</v>
      </c>
      <c r="C132" s="1">
        <v>4852</v>
      </c>
      <c r="D132" s="1">
        <v>2.7</v>
      </c>
      <c r="E132" s="1">
        <v>-0.9</v>
      </c>
      <c r="F132" s="1">
        <v>-0.3</v>
      </c>
      <c r="G132">
        <v>0</v>
      </c>
      <c r="H132">
        <v>0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751</v>
      </c>
      <c r="C133" s="1">
        <v>4572</v>
      </c>
      <c r="D133" s="1">
        <v>1.9</v>
      </c>
      <c r="E133" s="1">
        <v>-0.5</v>
      </c>
      <c r="F133" s="1">
        <v>-0.2</v>
      </c>
      <c r="G133">
        <v>0</v>
      </c>
      <c r="H133">
        <v>0</v>
      </c>
      <c r="I133">
        <v>0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729</v>
      </c>
      <c r="C134" s="10">
        <v>4304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707</v>
      </c>
      <c r="C135" s="1">
        <v>4049</v>
      </c>
      <c r="D135" s="1">
        <v>-3.1</v>
      </c>
      <c r="E135" s="1">
        <v>0.6</v>
      </c>
      <c r="F135" s="1">
        <v>0.2</v>
      </c>
      <c r="G135">
        <v>0</v>
      </c>
      <c r="H135">
        <v>0</v>
      </c>
      <c r="I135">
        <v>0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685</v>
      </c>
      <c r="C136" s="1">
        <v>3805</v>
      </c>
      <c r="D136" s="1">
        <v>-7.7</v>
      </c>
      <c r="E136" s="1">
        <v>1.3</v>
      </c>
      <c r="F136" s="1">
        <v>0.4</v>
      </c>
      <c r="G136">
        <v>0</v>
      </c>
      <c r="H136">
        <v>0</v>
      </c>
      <c r="I136">
        <v>0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664</v>
      </c>
      <c r="C137" s="1">
        <v>3572</v>
      </c>
      <c r="D137" s="1">
        <v>-13.4</v>
      </c>
      <c r="E137" s="1">
        <v>2</v>
      </c>
      <c r="F137" s="1">
        <v>0.6</v>
      </c>
      <c r="G137">
        <v>0</v>
      </c>
      <c r="H137">
        <v>0</v>
      </c>
      <c r="I137">
        <v>0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643</v>
      </c>
      <c r="C138" s="1">
        <v>3351</v>
      </c>
      <c r="D138" s="1">
        <v>-20.5</v>
      </c>
      <c r="E138" s="1">
        <v>2.8</v>
      </c>
      <c r="F138" s="1">
        <v>0.8</v>
      </c>
      <c r="G138">
        <v>0</v>
      </c>
      <c r="H138">
        <v>0</v>
      </c>
      <c r="I138">
        <v>0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623</v>
      </c>
      <c r="C139" s="1">
        <v>3141</v>
      </c>
      <c r="D139" s="1">
        <v>-29.6</v>
      </c>
      <c r="E139" s="1">
        <v>3.7</v>
      </c>
      <c r="F139" s="1">
        <v>1.1000000000000001</v>
      </c>
      <c r="G139">
        <v>0</v>
      </c>
      <c r="H139">
        <v>0</v>
      </c>
      <c r="I139">
        <v>0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602</v>
      </c>
      <c r="C140" s="1">
        <v>2940</v>
      </c>
      <c r="D140" s="1">
        <v>-40</v>
      </c>
      <c r="E140" s="1">
        <v>4.5999999999999996</v>
      </c>
      <c r="F140" s="1">
        <v>1.3</v>
      </c>
      <c r="G140">
        <v>0</v>
      </c>
      <c r="H140">
        <v>0</v>
      </c>
      <c r="I140">
        <v>0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583</v>
      </c>
      <c r="C141" s="1">
        <v>2751</v>
      </c>
      <c r="D141" s="1">
        <v>-52.2</v>
      </c>
      <c r="E141" s="1">
        <v>5.5</v>
      </c>
      <c r="F141" s="1">
        <v>1.6</v>
      </c>
      <c r="G141">
        <v>0</v>
      </c>
      <c r="H141">
        <v>0</v>
      </c>
      <c r="I141">
        <v>0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563</v>
      </c>
      <c r="C142" s="1">
        <v>2571</v>
      </c>
      <c r="D142" s="1">
        <v>-66.8</v>
      </c>
      <c r="E142" s="1">
        <v>6.6</v>
      </c>
      <c r="F142" s="1">
        <v>1.9</v>
      </c>
      <c r="G142">
        <v>0</v>
      </c>
      <c r="H142">
        <v>0</v>
      </c>
      <c r="I142">
        <v>0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544</v>
      </c>
      <c r="C143" s="1">
        <v>2401</v>
      </c>
      <c r="D143" s="1">
        <v>-83</v>
      </c>
      <c r="E143" s="1">
        <v>7.6</v>
      </c>
      <c r="F143" s="1">
        <v>2.2000000000000002</v>
      </c>
      <c r="G143">
        <v>0</v>
      </c>
      <c r="H143">
        <v>0</v>
      </c>
      <c r="I143">
        <v>0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526</v>
      </c>
      <c r="C144" s="1">
        <v>2240</v>
      </c>
      <c r="D144" s="1">
        <v>-101.5</v>
      </c>
      <c r="E144" s="1">
        <v>8.6999999999999993</v>
      </c>
      <c r="F144" s="1">
        <v>2.5</v>
      </c>
      <c r="G144">
        <v>0</v>
      </c>
      <c r="H144">
        <v>0</v>
      </c>
      <c r="I144">
        <v>0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508</v>
      </c>
      <c r="C145" s="1">
        <v>2089</v>
      </c>
      <c r="D145" s="1">
        <v>-123.2</v>
      </c>
      <c r="E145" s="1">
        <v>10</v>
      </c>
      <c r="F145" s="1">
        <v>2.9</v>
      </c>
      <c r="G145">
        <v>0</v>
      </c>
      <c r="H145">
        <v>0</v>
      </c>
      <c r="I145">
        <v>0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490</v>
      </c>
      <c r="C146" s="1">
        <v>1947</v>
      </c>
      <c r="D146" s="1">
        <v>-146.69999999999999</v>
      </c>
      <c r="E146" s="1">
        <v>11.2</v>
      </c>
      <c r="F146" s="1">
        <v>3.3</v>
      </c>
      <c r="G146">
        <v>0</v>
      </c>
      <c r="H146">
        <v>0</v>
      </c>
      <c r="I146">
        <v>0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473</v>
      </c>
      <c r="C147" s="1">
        <v>1814</v>
      </c>
      <c r="D147" s="1">
        <v>-173.1</v>
      </c>
      <c r="E147" s="1">
        <v>12.5</v>
      </c>
      <c r="F147" s="1">
        <v>3.6</v>
      </c>
      <c r="G147">
        <v>0</v>
      </c>
      <c r="H147">
        <v>0</v>
      </c>
      <c r="I147">
        <v>0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457</v>
      </c>
      <c r="C148" s="1">
        <v>1694</v>
      </c>
      <c r="D148" s="1">
        <v>-202.4</v>
      </c>
      <c r="E148" s="1">
        <v>13.9</v>
      </c>
      <c r="F148" s="1">
        <v>4.0999999999999996</v>
      </c>
      <c r="G148">
        <v>0</v>
      </c>
      <c r="H148">
        <v>0</v>
      </c>
      <c r="I148">
        <v>0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82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33</v>
      </c>
      <c r="H151" t="s">
        <v>34</v>
      </c>
      <c r="I151" t="s">
        <v>35</v>
      </c>
    </row>
    <row r="152" spans="1:19" x14ac:dyDescent="0.25">
      <c r="A152" s="1">
        <v>0</v>
      </c>
      <c r="B152" s="1">
        <v>869</v>
      </c>
      <c r="C152" s="1">
        <v>6113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844</v>
      </c>
      <c r="C153" s="1">
        <v>5774</v>
      </c>
      <c r="D153" s="1">
        <v>0.1</v>
      </c>
      <c r="E153" s="1">
        <v>-0.1</v>
      </c>
      <c r="F153" s="1">
        <v>0</v>
      </c>
      <c r="G153">
        <v>0</v>
      </c>
      <c r="H153">
        <v>0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820</v>
      </c>
      <c r="C154" s="1">
        <v>5452</v>
      </c>
      <c r="D154" s="1">
        <v>3.2</v>
      </c>
      <c r="E154" s="1">
        <v>-2.2000000000000002</v>
      </c>
      <c r="F154" s="1">
        <v>-0.6</v>
      </c>
      <c r="G154">
        <v>0</v>
      </c>
      <c r="H154">
        <v>0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797</v>
      </c>
      <c r="C155" s="1">
        <v>5145</v>
      </c>
      <c r="D155" s="1">
        <v>5.3</v>
      </c>
      <c r="E155" s="1">
        <v>-2.4</v>
      </c>
      <c r="F155" s="1">
        <v>-0.7</v>
      </c>
      <c r="G155">
        <v>0</v>
      </c>
      <c r="H155">
        <v>0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774</v>
      </c>
      <c r="C156" s="1">
        <v>4852</v>
      </c>
      <c r="D156" s="1">
        <v>6.5</v>
      </c>
      <c r="E156" s="1">
        <v>-2.2000000000000002</v>
      </c>
      <c r="F156" s="1">
        <v>-0.7</v>
      </c>
      <c r="G156">
        <v>0</v>
      </c>
      <c r="H156">
        <v>0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751</v>
      </c>
      <c r="C157" s="1">
        <v>4572</v>
      </c>
      <c r="D157" s="1">
        <v>6.6</v>
      </c>
      <c r="E157" s="1">
        <v>-1.8</v>
      </c>
      <c r="F157" s="1">
        <v>-0.5</v>
      </c>
      <c r="G157">
        <v>0</v>
      </c>
      <c r="H157">
        <v>0</v>
      </c>
      <c r="I157">
        <v>0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729</v>
      </c>
      <c r="C158" s="1">
        <v>4304</v>
      </c>
      <c r="D158" s="1">
        <v>5.6</v>
      </c>
      <c r="E158" s="1">
        <v>-1.3</v>
      </c>
      <c r="F158" s="1">
        <v>-0.4</v>
      </c>
      <c r="G158">
        <v>0</v>
      </c>
      <c r="H158">
        <v>0</v>
      </c>
      <c r="I158">
        <v>0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707</v>
      </c>
      <c r="C159" s="1">
        <v>4048</v>
      </c>
      <c r="D159" s="1">
        <v>3.5</v>
      </c>
      <c r="E159" s="1">
        <v>-0.7</v>
      </c>
      <c r="F159" s="1">
        <v>-0.2</v>
      </c>
      <c r="G159">
        <v>0</v>
      </c>
      <c r="H159">
        <v>0</v>
      </c>
      <c r="I159">
        <v>0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685</v>
      </c>
      <c r="C160" s="10">
        <v>3805</v>
      </c>
      <c r="D160" s="10">
        <v>-0.1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664</v>
      </c>
      <c r="C161" s="1">
        <v>3572</v>
      </c>
      <c r="D161" s="1">
        <v>-4.9000000000000004</v>
      </c>
      <c r="E161" s="1">
        <v>0.7</v>
      </c>
      <c r="F161" s="1">
        <v>0.2</v>
      </c>
      <c r="G161">
        <v>0</v>
      </c>
      <c r="H161">
        <v>0</v>
      </c>
      <c r="I161">
        <v>0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643</v>
      </c>
      <c r="C162" s="1">
        <v>3351</v>
      </c>
      <c r="D162" s="1">
        <v>-11.1</v>
      </c>
      <c r="E162" s="1">
        <v>1.5</v>
      </c>
      <c r="F162" s="1">
        <v>0.4</v>
      </c>
      <c r="G162">
        <v>0</v>
      </c>
      <c r="H162">
        <v>0</v>
      </c>
      <c r="I162">
        <v>0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623</v>
      </c>
      <c r="C163" s="1">
        <v>3141</v>
      </c>
      <c r="D163" s="1">
        <v>-19.2</v>
      </c>
      <c r="E163" s="1">
        <v>2.4</v>
      </c>
      <c r="F163" s="1">
        <v>0.7</v>
      </c>
      <c r="G163">
        <v>0</v>
      </c>
      <c r="H163">
        <v>0</v>
      </c>
      <c r="I163">
        <v>0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602</v>
      </c>
      <c r="C164" s="1">
        <v>2940</v>
      </c>
      <c r="D164" s="1">
        <v>-28.7</v>
      </c>
      <c r="E164" s="1">
        <v>3.3</v>
      </c>
      <c r="F164" s="1">
        <v>1</v>
      </c>
      <c r="G164">
        <v>0</v>
      </c>
      <c r="H164">
        <v>0</v>
      </c>
      <c r="I164">
        <v>0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583</v>
      </c>
      <c r="C165" s="1">
        <v>2751</v>
      </c>
      <c r="D165" s="1">
        <v>-39.9</v>
      </c>
      <c r="E165" s="1">
        <v>4.2</v>
      </c>
      <c r="F165" s="1">
        <v>1.2</v>
      </c>
      <c r="G165">
        <v>0</v>
      </c>
      <c r="H165">
        <v>0</v>
      </c>
      <c r="I165">
        <v>0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563</v>
      </c>
      <c r="C166" s="1">
        <v>2571</v>
      </c>
      <c r="D166" s="1">
        <v>-53.6</v>
      </c>
      <c r="E166" s="1">
        <v>5.3</v>
      </c>
      <c r="F166" s="1">
        <v>1.5</v>
      </c>
      <c r="G166">
        <v>0</v>
      </c>
      <c r="H166">
        <v>0</v>
      </c>
      <c r="I166">
        <v>0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544</v>
      </c>
      <c r="C167" s="1">
        <v>2400</v>
      </c>
      <c r="D167" s="1">
        <v>-68.900000000000006</v>
      </c>
      <c r="E167" s="1">
        <v>6.3</v>
      </c>
      <c r="F167" s="1">
        <v>1.8</v>
      </c>
      <c r="G167">
        <v>0</v>
      </c>
      <c r="H167">
        <v>0</v>
      </c>
      <c r="I167">
        <v>0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526</v>
      </c>
      <c r="C168" s="1">
        <v>2240</v>
      </c>
      <c r="D168" s="1">
        <v>-86.4</v>
      </c>
      <c r="E168" s="1">
        <v>7.4</v>
      </c>
      <c r="F168" s="1">
        <v>2.2000000000000002</v>
      </c>
      <c r="G168">
        <v>0</v>
      </c>
      <c r="H168">
        <v>0</v>
      </c>
      <c r="I168">
        <v>0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508</v>
      </c>
      <c r="C169" s="1">
        <v>2089</v>
      </c>
      <c r="D169" s="1">
        <v>-107.2</v>
      </c>
      <c r="E169" s="1">
        <v>8.6999999999999993</v>
      </c>
      <c r="F169" s="1">
        <v>2.5</v>
      </c>
      <c r="G169">
        <v>0</v>
      </c>
      <c r="H169">
        <v>0</v>
      </c>
      <c r="I169">
        <v>0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490</v>
      </c>
      <c r="C170" s="1">
        <v>1947</v>
      </c>
      <c r="D170" s="1">
        <v>-129.80000000000001</v>
      </c>
      <c r="E170" s="1">
        <v>9.9</v>
      </c>
      <c r="F170" s="1">
        <v>2.9</v>
      </c>
      <c r="G170">
        <v>0</v>
      </c>
      <c r="H170">
        <v>0</v>
      </c>
      <c r="I170">
        <v>0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473</v>
      </c>
      <c r="C171" s="1">
        <v>1814</v>
      </c>
      <c r="D171" s="1">
        <v>-155.19999999999999</v>
      </c>
      <c r="E171" s="1">
        <v>11.2</v>
      </c>
      <c r="F171" s="1">
        <v>3.3</v>
      </c>
      <c r="G171">
        <v>0</v>
      </c>
      <c r="H171">
        <v>0</v>
      </c>
      <c r="I171">
        <v>0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457</v>
      </c>
      <c r="C172" s="1">
        <v>1694</v>
      </c>
      <c r="D172" s="1">
        <v>-183.6</v>
      </c>
      <c r="E172" s="1">
        <v>12.6</v>
      </c>
      <c r="F172" s="1">
        <v>3.7</v>
      </c>
      <c r="G172">
        <v>0</v>
      </c>
      <c r="H172">
        <v>0</v>
      </c>
      <c r="I172">
        <v>0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83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33</v>
      </c>
      <c r="H175" t="s">
        <v>34</v>
      </c>
      <c r="I175" t="s">
        <v>35</v>
      </c>
    </row>
    <row r="176" spans="1:19" x14ac:dyDescent="0.25">
      <c r="A176" s="1">
        <v>0</v>
      </c>
      <c r="B176" s="1">
        <v>869</v>
      </c>
      <c r="C176" s="1">
        <v>6113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844</v>
      </c>
      <c r="C177" s="1">
        <v>5774</v>
      </c>
      <c r="D177" s="1">
        <v>2.4</v>
      </c>
      <c r="E177" s="1">
        <v>-3.4</v>
      </c>
      <c r="F177" s="1">
        <v>-1</v>
      </c>
      <c r="G177">
        <v>0</v>
      </c>
      <c r="H177">
        <v>0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820</v>
      </c>
      <c r="C178" s="1">
        <v>5452</v>
      </c>
      <c r="D178" s="1">
        <v>8</v>
      </c>
      <c r="E178" s="1">
        <v>-5.4</v>
      </c>
      <c r="F178" s="1">
        <v>-1.6</v>
      </c>
      <c r="G178">
        <v>0</v>
      </c>
      <c r="H178">
        <v>0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797</v>
      </c>
      <c r="C179" s="1">
        <v>5145</v>
      </c>
      <c r="D179" s="1">
        <v>12.4</v>
      </c>
      <c r="E179" s="1">
        <v>-5.7</v>
      </c>
      <c r="F179" s="1">
        <v>-1.7</v>
      </c>
      <c r="G179">
        <v>0</v>
      </c>
      <c r="H179">
        <v>0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774</v>
      </c>
      <c r="C180" s="1">
        <v>4852</v>
      </c>
      <c r="D180" s="1">
        <v>15.9</v>
      </c>
      <c r="E180" s="1">
        <v>-5.5</v>
      </c>
      <c r="F180" s="1">
        <v>-1.6</v>
      </c>
      <c r="G180">
        <v>0</v>
      </c>
      <c r="H180">
        <v>0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751</v>
      </c>
      <c r="C181" s="1">
        <v>4572</v>
      </c>
      <c r="D181" s="1">
        <v>18.399999999999999</v>
      </c>
      <c r="E181" s="1">
        <v>-5.0999999999999996</v>
      </c>
      <c r="F181" s="1">
        <v>-1.5</v>
      </c>
      <c r="G181">
        <v>0</v>
      </c>
      <c r="H181">
        <v>0</v>
      </c>
      <c r="I181">
        <v>0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729</v>
      </c>
      <c r="C182" s="1">
        <v>4304</v>
      </c>
      <c r="D182" s="1">
        <v>19.8</v>
      </c>
      <c r="E182" s="1">
        <v>-4.5</v>
      </c>
      <c r="F182" s="1">
        <v>-1.3</v>
      </c>
      <c r="G182">
        <v>0</v>
      </c>
      <c r="H182">
        <v>0</v>
      </c>
      <c r="I182">
        <v>0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707</v>
      </c>
      <c r="C183" s="1">
        <v>4048</v>
      </c>
      <c r="D183" s="1">
        <v>19.899999999999999</v>
      </c>
      <c r="E183" s="1">
        <v>-3.9</v>
      </c>
      <c r="F183" s="1">
        <v>-1.1000000000000001</v>
      </c>
      <c r="G183">
        <v>0</v>
      </c>
      <c r="H183">
        <v>0</v>
      </c>
      <c r="I183">
        <v>0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685</v>
      </c>
      <c r="C184" s="1">
        <v>3805</v>
      </c>
      <c r="D184" s="1">
        <v>18.8</v>
      </c>
      <c r="E184" s="1">
        <v>-3.2</v>
      </c>
      <c r="F184" s="1">
        <v>-0.9</v>
      </c>
      <c r="G184">
        <v>0</v>
      </c>
      <c r="H184">
        <v>0</v>
      </c>
      <c r="I184">
        <v>0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664</v>
      </c>
      <c r="C185" s="1">
        <v>3572</v>
      </c>
      <c r="D185" s="1">
        <v>16.3</v>
      </c>
      <c r="E185" s="1">
        <v>-2.5</v>
      </c>
      <c r="F185" s="1">
        <v>-0.7</v>
      </c>
      <c r="G185">
        <v>0</v>
      </c>
      <c r="H185">
        <v>0</v>
      </c>
      <c r="I185">
        <v>0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643</v>
      </c>
      <c r="C186" s="1">
        <v>3351</v>
      </c>
      <c r="D186" s="1">
        <v>12.4</v>
      </c>
      <c r="E186" s="1">
        <v>-1.7</v>
      </c>
      <c r="F186" s="1">
        <v>-0.5</v>
      </c>
      <c r="G186">
        <v>0</v>
      </c>
      <c r="H186">
        <v>0</v>
      </c>
      <c r="I186">
        <v>0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623</v>
      </c>
      <c r="C187" s="1">
        <v>3140</v>
      </c>
      <c r="D187" s="1">
        <v>6.8</v>
      </c>
      <c r="E187" s="1">
        <v>-0.8</v>
      </c>
      <c r="F187" s="1">
        <v>-0.2</v>
      </c>
      <c r="G187">
        <v>0</v>
      </c>
      <c r="H187">
        <v>0</v>
      </c>
      <c r="I187">
        <v>0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602</v>
      </c>
      <c r="C188" s="10">
        <v>2940</v>
      </c>
      <c r="D188" s="10">
        <v>-0.4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583</v>
      </c>
      <c r="C189" s="1">
        <v>2751</v>
      </c>
      <c r="D189" s="1">
        <v>-9.3000000000000007</v>
      </c>
      <c r="E189" s="1">
        <v>1</v>
      </c>
      <c r="F189" s="1">
        <v>0.3</v>
      </c>
      <c r="G189">
        <v>0</v>
      </c>
      <c r="H189">
        <v>0</v>
      </c>
      <c r="I189">
        <v>0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563</v>
      </c>
      <c r="C190" s="1">
        <v>2571</v>
      </c>
      <c r="D190" s="1">
        <v>-20.6</v>
      </c>
      <c r="E190" s="1">
        <v>2</v>
      </c>
      <c r="F190" s="1">
        <v>0.6</v>
      </c>
      <c r="G190">
        <v>0</v>
      </c>
      <c r="H190">
        <v>0</v>
      </c>
      <c r="I190">
        <v>0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544</v>
      </c>
      <c r="C191" s="1">
        <v>2400</v>
      </c>
      <c r="D191" s="1">
        <v>-33.5</v>
      </c>
      <c r="E191" s="1">
        <v>3.1</v>
      </c>
      <c r="F191" s="1">
        <v>0.9</v>
      </c>
      <c r="G191">
        <v>0</v>
      </c>
      <c r="H191">
        <v>0</v>
      </c>
      <c r="I191">
        <v>0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526</v>
      </c>
      <c r="C192" s="1">
        <v>2240</v>
      </c>
      <c r="D192" s="1">
        <v>-48.7</v>
      </c>
      <c r="E192" s="1">
        <v>4.2</v>
      </c>
      <c r="F192" s="1">
        <v>1.2</v>
      </c>
      <c r="G192">
        <v>0</v>
      </c>
      <c r="H192">
        <v>0</v>
      </c>
      <c r="I192">
        <v>0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508</v>
      </c>
      <c r="C193" s="1">
        <v>2089</v>
      </c>
      <c r="D193" s="1">
        <v>-67</v>
      </c>
      <c r="E193" s="1">
        <v>5.4</v>
      </c>
      <c r="F193" s="1">
        <v>1.6</v>
      </c>
      <c r="G193">
        <v>0</v>
      </c>
      <c r="H193">
        <v>0</v>
      </c>
      <c r="I193">
        <v>0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490</v>
      </c>
      <c r="C194" s="1">
        <v>1947</v>
      </c>
      <c r="D194" s="1">
        <v>-87.3</v>
      </c>
      <c r="E194" s="1">
        <v>6.7</v>
      </c>
      <c r="F194" s="1">
        <v>1.9</v>
      </c>
      <c r="G194">
        <v>0</v>
      </c>
      <c r="H194">
        <v>0</v>
      </c>
      <c r="I194">
        <v>0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473</v>
      </c>
      <c r="C195" s="1">
        <v>1814</v>
      </c>
      <c r="D195" s="1">
        <v>-110.4</v>
      </c>
      <c r="E195" s="1">
        <v>8</v>
      </c>
      <c r="F195" s="1">
        <v>2.2999999999999998</v>
      </c>
      <c r="G195">
        <v>0</v>
      </c>
      <c r="H195">
        <v>0</v>
      </c>
      <c r="I195">
        <v>0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457</v>
      </c>
      <c r="C196" s="1">
        <v>1694</v>
      </c>
      <c r="D196" s="1">
        <v>-136.5</v>
      </c>
      <c r="E196" s="1">
        <v>9.4</v>
      </c>
      <c r="F196" s="1">
        <v>2.7</v>
      </c>
      <c r="G196">
        <v>0</v>
      </c>
      <c r="H196">
        <v>0</v>
      </c>
      <c r="I196">
        <v>0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84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33</v>
      </c>
      <c r="H199" t="s">
        <v>34</v>
      </c>
      <c r="I199" t="s">
        <v>35</v>
      </c>
    </row>
    <row r="200" spans="1:19" x14ac:dyDescent="0.25">
      <c r="A200" s="1">
        <v>0</v>
      </c>
      <c r="B200" s="1">
        <v>869</v>
      </c>
      <c r="C200" s="1">
        <v>6113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844</v>
      </c>
      <c r="C201" s="1">
        <v>5774</v>
      </c>
      <c r="D201" s="1">
        <v>5.4</v>
      </c>
      <c r="E201" s="1">
        <v>-7.5</v>
      </c>
      <c r="F201" s="1">
        <v>-2.2000000000000002</v>
      </c>
      <c r="G201">
        <v>0</v>
      </c>
      <c r="H201">
        <v>0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820</v>
      </c>
      <c r="C202" s="1">
        <v>5452</v>
      </c>
      <c r="D202" s="1">
        <v>14</v>
      </c>
      <c r="E202" s="1">
        <v>-9.6</v>
      </c>
      <c r="F202" s="1">
        <v>-2.8</v>
      </c>
      <c r="G202">
        <v>0</v>
      </c>
      <c r="H202">
        <v>0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797</v>
      </c>
      <c r="C203" s="1">
        <v>5145</v>
      </c>
      <c r="D203" s="1">
        <v>21.4</v>
      </c>
      <c r="E203" s="1">
        <v>-9.8000000000000007</v>
      </c>
      <c r="F203" s="1">
        <v>-2.9</v>
      </c>
      <c r="G203">
        <v>0</v>
      </c>
      <c r="H203">
        <v>0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774</v>
      </c>
      <c r="C204" s="1">
        <v>4852</v>
      </c>
      <c r="D204" s="1">
        <v>27.9</v>
      </c>
      <c r="E204" s="1">
        <v>-9.6</v>
      </c>
      <c r="F204" s="1">
        <v>-2.8</v>
      </c>
      <c r="G204">
        <v>0</v>
      </c>
      <c r="H204">
        <v>0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751</v>
      </c>
      <c r="C205" s="1">
        <v>4571</v>
      </c>
      <c r="D205" s="1">
        <v>33.5</v>
      </c>
      <c r="E205" s="1">
        <v>-9.1999999999999993</v>
      </c>
      <c r="F205" s="1">
        <v>-2.7</v>
      </c>
      <c r="G205">
        <v>0</v>
      </c>
      <c r="H205">
        <v>0</v>
      </c>
      <c r="I205">
        <v>0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729</v>
      </c>
      <c r="C206" s="1">
        <v>4304</v>
      </c>
      <c r="D206" s="1">
        <v>37.700000000000003</v>
      </c>
      <c r="E206" s="1">
        <v>-8.6</v>
      </c>
      <c r="F206" s="1">
        <v>-2.5</v>
      </c>
      <c r="G206">
        <v>0</v>
      </c>
      <c r="H206">
        <v>0</v>
      </c>
      <c r="I206">
        <v>0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707</v>
      </c>
      <c r="C207" s="1">
        <v>4048</v>
      </c>
      <c r="D207" s="1">
        <v>40.9</v>
      </c>
      <c r="E207" s="1">
        <v>-8</v>
      </c>
      <c r="F207" s="1">
        <v>-2.2999999999999998</v>
      </c>
      <c r="G207">
        <v>0</v>
      </c>
      <c r="H207">
        <v>0</v>
      </c>
      <c r="I207">
        <v>0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685</v>
      </c>
      <c r="C208" s="1">
        <v>3805</v>
      </c>
      <c r="D208" s="1">
        <v>42.8</v>
      </c>
      <c r="E208" s="1">
        <v>-7.3</v>
      </c>
      <c r="F208" s="1">
        <v>-2.1</v>
      </c>
      <c r="G208">
        <v>0</v>
      </c>
      <c r="H208">
        <v>0</v>
      </c>
      <c r="I208">
        <v>0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664</v>
      </c>
      <c r="C209" s="1">
        <v>3572</v>
      </c>
      <c r="D209" s="1">
        <v>43.3</v>
      </c>
      <c r="E209" s="1">
        <v>-6.6</v>
      </c>
      <c r="F209" s="1">
        <v>-1.9</v>
      </c>
      <c r="G209">
        <v>0</v>
      </c>
      <c r="H209">
        <v>0</v>
      </c>
      <c r="I209">
        <v>0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643</v>
      </c>
      <c r="C210" s="1">
        <v>3351</v>
      </c>
      <c r="D210" s="1">
        <v>42.3</v>
      </c>
      <c r="E210" s="1">
        <v>-5.8</v>
      </c>
      <c r="F210" s="1">
        <v>-1.7</v>
      </c>
      <c r="G210">
        <v>0</v>
      </c>
      <c r="H210">
        <v>0</v>
      </c>
      <c r="I210">
        <v>0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623</v>
      </c>
      <c r="C211" s="1">
        <v>3140</v>
      </c>
      <c r="D211" s="1">
        <v>39.700000000000003</v>
      </c>
      <c r="E211" s="1">
        <v>-5</v>
      </c>
      <c r="F211" s="1">
        <v>-1.4</v>
      </c>
      <c r="G211">
        <v>0</v>
      </c>
      <c r="H211">
        <v>0</v>
      </c>
      <c r="I211">
        <v>0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602</v>
      </c>
      <c r="C212" s="1">
        <v>2940</v>
      </c>
      <c r="D212" s="1">
        <v>35.5</v>
      </c>
      <c r="E212" s="1">
        <v>-4.0999999999999996</v>
      </c>
      <c r="F212" s="1">
        <v>-1.2</v>
      </c>
      <c r="G212">
        <v>0</v>
      </c>
      <c r="H212">
        <v>0</v>
      </c>
      <c r="I212">
        <v>0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583</v>
      </c>
      <c r="C213" s="1">
        <v>2750</v>
      </c>
      <c r="D213" s="1">
        <v>29.6</v>
      </c>
      <c r="E213" s="1">
        <v>-3.1</v>
      </c>
      <c r="F213" s="1">
        <v>-0.9</v>
      </c>
      <c r="G213">
        <v>0</v>
      </c>
      <c r="H213">
        <v>0</v>
      </c>
      <c r="I213">
        <v>0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563</v>
      </c>
      <c r="C214" s="1">
        <v>2571</v>
      </c>
      <c r="D214" s="1">
        <v>21.4</v>
      </c>
      <c r="E214" s="1">
        <v>-2.1</v>
      </c>
      <c r="F214" s="1">
        <v>-0.6</v>
      </c>
      <c r="G214">
        <v>0</v>
      </c>
      <c r="H214">
        <v>0</v>
      </c>
      <c r="I214">
        <v>0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544</v>
      </c>
      <c r="C215" s="1">
        <v>2400</v>
      </c>
      <c r="D215" s="1">
        <v>11.3</v>
      </c>
      <c r="E215" s="1">
        <v>-1</v>
      </c>
      <c r="F215" s="1">
        <v>-0.3</v>
      </c>
      <c r="G215">
        <v>0</v>
      </c>
      <c r="H215">
        <v>0</v>
      </c>
      <c r="I215">
        <v>0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526</v>
      </c>
      <c r="C216" s="10">
        <v>2240</v>
      </c>
      <c r="D216" s="10">
        <v>-0.9</v>
      </c>
      <c r="E216" s="10">
        <v>0.1</v>
      </c>
      <c r="F216" s="10">
        <v>0</v>
      </c>
      <c r="G216">
        <v>0</v>
      </c>
      <c r="H216">
        <v>0</v>
      </c>
      <c r="I216">
        <v>0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508</v>
      </c>
      <c r="C217" s="1">
        <v>2089</v>
      </c>
      <c r="D217" s="1">
        <v>-16.100000000000001</v>
      </c>
      <c r="E217" s="1">
        <v>1.3</v>
      </c>
      <c r="F217" s="1">
        <v>0.4</v>
      </c>
      <c r="G217">
        <v>0</v>
      </c>
      <c r="H217">
        <v>0</v>
      </c>
      <c r="I217">
        <v>0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490</v>
      </c>
      <c r="C218" s="1">
        <v>1947</v>
      </c>
      <c r="D218" s="1">
        <v>-33.5</v>
      </c>
      <c r="E218" s="1">
        <v>2.6</v>
      </c>
      <c r="F218" s="1">
        <v>0.7</v>
      </c>
      <c r="G218">
        <v>0</v>
      </c>
      <c r="H218">
        <v>0</v>
      </c>
      <c r="I218">
        <v>0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473</v>
      </c>
      <c r="C219" s="1">
        <v>1814</v>
      </c>
      <c r="D219" s="1">
        <v>-53.6</v>
      </c>
      <c r="E219" s="1">
        <v>3.9</v>
      </c>
      <c r="F219" s="1">
        <v>1.1000000000000001</v>
      </c>
      <c r="G219">
        <v>0</v>
      </c>
      <c r="H219">
        <v>0</v>
      </c>
      <c r="I219">
        <v>0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457</v>
      </c>
      <c r="C220" s="1">
        <v>1694</v>
      </c>
      <c r="D220" s="1">
        <v>-76.8</v>
      </c>
      <c r="E220" s="1">
        <v>5.3</v>
      </c>
      <c r="F220" s="1">
        <v>1.5</v>
      </c>
      <c r="G220">
        <v>0</v>
      </c>
      <c r="H220">
        <v>0</v>
      </c>
      <c r="I220">
        <v>0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63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33</v>
      </c>
      <c r="H223" t="s">
        <v>34</v>
      </c>
      <c r="I223" t="s">
        <v>35</v>
      </c>
    </row>
    <row r="224" spans="1:19" x14ac:dyDescent="0.25">
      <c r="A224" s="1">
        <v>0</v>
      </c>
      <c r="B224" s="1">
        <v>869</v>
      </c>
      <c r="C224" s="1">
        <v>6113</v>
      </c>
      <c r="D224" s="1">
        <v>-3.8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844</v>
      </c>
      <c r="C225" s="1">
        <v>5774</v>
      </c>
      <c r="D225" s="1">
        <v>9.1</v>
      </c>
      <c r="E225" s="1">
        <v>-12.6</v>
      </c>
      <c r="F225" s="1">
        <v>-3.7</v>
      </c>
      <c r="G225">
        <v>0</v>
      </c>
      <c r="H225">
        <v>0</v>
      </c>
      <c r="I225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820</v>
      </c>
      <c r="C226" s="1">
        <v>5452</v>
      </c>
      <c r="D226" s="1">
        <v>21.6</v>
      </c>
      <c r="E226" s="1">
        <v>-14.7</v>
      </c>
      <c r="F226" s="1">
        <v>-4.3</v>
      </c>
      <c r="G226">
        <v>0</v>
      </c>
      <c r="H226">
        <v>0</v>
      </c>
      <c r="I226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797</v>
      </c>
      <c r="C227" s="1">
        <v>5145</v>
      </c>
      <c r="D227" s="1">
        <v>32.6</v>
      </c>
      <c r="E227" s="1">
        <v>-14.9</v>
      </c>
      <c r="F227" s="1">
        <v>-4.3</v>
      </c>
      <c r="G227">
        <v>0</v>
      </c>
      <c r="H227">
        <v>0</v>
      </c>
      <c r="I227">
        <v>0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774</v>
      </c>
      <c r="C228" s="1">
        <v>4852</v>
      </c>
      <c r="D228" s="1">
        <v>42.7</v>
      </c>
      <c r="E228" s="1">
        <v>-14.7</v>
      </c>
      <c r="F228" s="1">
        <v>-4.3</v>
      </c>
      <c r="G228">
        <v>0</v>
      </c>
      <c r="H228">
        <v>0</v>
      </c>
      <c r="I228">
        <v>0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751</v>
      </c>
      <c r="C229" s="1">
        <v>4571</v>
      </c>
      <c r="D229" s="1">
        <v>52.2</v>
      </c>
      <c r="E229" s="1">
        <v>-14.3</v>
      </c>
      <c r="F229" s="1">
        <v>-4.2</v>
      </c>
      <c r="G229">
        <v>0</v>
      </c>
      <c r="H229">
        <v>0</v>
      </c>
      <c r="I229">
        <v>0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729</v>
      </c>
      <c r="C230" s="1">
        <v>4304</v>
      </c>
      <c r="D230" s="1">
        <v>60.1</v>
      </c>
      <c r="E230" s="1">
        <v>-13.8</v>
      </c>
      <c r="F230" s="1">
        <v>-4</v>
      </c>
      <c r="G230">
        <v>0</v>
      </c>
      <c r="H230">
        <v>0</v>
      </c>
      <c r="I230">
        <v>0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707</v>
      </c>
      <c r="C231" s="1">
        <v>4048</v>
      </c>
      <c r="D231" s="1">
        <v>66.900000000000006</v>
      </c>
      <c r="E231" s="1">
        <v>-13.2</v>
      </c>
      <c r="F231" s="1">
        <v>-3.8</v>
      </c>
      <c r="G231">
        <v>0</v>
      </c>
      <c r="H231">
        <v>0</v>
      </c>
      <c r="I231">
        <v>0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685</v>
      </c>
      <c r="C232" s="1">
        <v>3805</v>
      </c>
      <c r="D232" s="1">
        <v>72.7</v>
      </c>
      <c r="E232" s="1">
        <v>-12.5</v>
      </c>
      <c r="F232" s="1">
        <v>-3.6</v>
      </c>
      <c r="G232">
        <v>0</v>
      </c>
      <c r="H232">
        <v>0</v>
      </c>
      <c r="I232">
        <v>0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664</v>
      </c>
      <c r="C233" s="1">
        <v>3572</v>
      </c>
      <c r="D233" s="1">
        <v>76.8</v>
      </c>
      <c r="E233" s="1">
        <v>-11.7</v>
      </c>
      <c r="F233" s="1">
        <v>-3.4</v>
      </c>
      <c r="G233">
        <v>0</v>
      </c>
      <c r="H233">
        <v>0</v>
      </c>
      <c r="I233">
        <v>0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643</v>
      </c>
      <c r="C234" s="1">
        <v>3351</v>
      </c>
      <c r="D234" s="1">
        <v>79.599999999999994</v>
      </c>
      <c r="E234" s="1">
        <v>-11</v>
      </c>
      <c r="F234" s="1">
        <v>-3.2</v>
      </c>
      <c r="G234">
        <v>0</v>
      </c>
      <c r="H234">
        <v>0</v>
      </c>
      <c r="I234">
        <v>0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623</v>
      </c>
      <c r="C235" s="1">
        <v>3140</v>
      </c>
      <c r="D235" s="1">
        <v>80.8</v>
      </c>
      <c r="E235" s="1">
        <v>-10.1</v>
      </c>
      <c r="F235" s="1">
        <v>-2.9</v>
      </c>
      <c r="G235">
        <v>0</v>
      </c>
      <c r="H235">
        <v>0</v>
      </c>
      <c r="I235">
        <v>0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602</v>
      </c>
      <c r="C236" s="1">
        <v>2940</v>
      </c>
      <c r="D236" s="1">
        <v>80.3</v>
      </c>
      <c r="E236" s="1">
        <v>-9.1999999999999993</v>
      </c>
      <c r="F236" s="1">
        <v>-2.7</v>
      </c>
      <c r="G236">
        <v>0</v>
      </c>
      <c r="H236">
        <v>0</v>
      </c>
      <c r="I236">
        <v>0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583</v>
      </c>
      <c r="C237" s="1">
        <v>2750</v>
      </c>
      <c r="D237" s="1">
        <v>78</v>
      </c>
      <c r="E237" s="1">
        <v>-8.3000000000000007</v>
      </c>
      <c r="F237" s="1">
        <v>-2.4</v>
      </c>
      <c r="G237">
        <v>0</v>
      </c>
      <c r="H237">
        <v>0</v>
      </c>
      <c r="I237">
        <v>0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563</v>
      </c>
      <c r="C238" s="1">
        <v>2570</v>
      </c>
      <c r="D238" s="1">
        <v>73.599999999999994</v>
      </c>
      <c r="E238" s="1">
        <v>-7.2</v>
      </c>
      <c r="F238" s="1">
        <v>-2.1</v>
      </c>
      <c r="G238">
        <v>0</v>
      </c>
      <c r="H238">
        <v>0</v>
      </c>
      <c r="I238">
        <v>0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544</v>
      </c>
      <c r="C239" s="1">
        <v>2400</v>
      </c>
      <c r="D239" s="1">
        <v>67.3</v>
      </c>
      <c r="E239" s="1">
        <v>-6.2</v>
      </c>
      <c r="F239" s="1">
        <v>-1.8</v>
      </c>
      <c r="G239">
        <v>0</v>
      </c>
      <c r="H239">
        <v>0</v>
      </c>
      <c r="I239">
        <v>0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526</v>
      </c>
      <c r="C240" s="1">
        <v>2240</v>
      </c>
      <c r="D240" s="1">
        <v>58.7</v>
      </c>
      <c r="E240" s="1">
        <v>-5</v>
      </c>
      <c r="F240" s="1">
        <v>-1.5</v>
      </c>
      <c r="G240">
        <v>0</v>
      </c>
      <c r="H240">
        <v>0</v>
      </c>
      <c r="I240">
        <v>0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508</v>
      </c>
      <c r="C241" s="1">
        <v>2088</v>
      </c>
      <c r="D241" s="1">
        <v>47.3</v>
      </c>
      <c r="E241" s="1">
        <v>-3.8</v>
      </c>
      <c r="F241" s="1">
        <v>-1.1000000000000001</v>
      </c>
      <c r="G241">
        <v>0</v>
      </c>
      <c r="H241">
        <v>0</v>
      </c>
      <c r="I241">
        <v>0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490</v>
      </c>
      <c r="C242" s="1">
        <v>1947</v>
      </c>
      <c r="D242" s="1">
        <v>33.6</v>
      </c>
      <c r="E242" s="1">
        <v>-2.6</v>
      </c>
      <c r="F242" s="1">
        <v>-0.7</v>
      </c>
      <c r="G242">
        <v>0</v>
      </c>
      <c r="H242">
        <v>0</v>
      </c>
      <c r="I242">
        <v>0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473</v>
      </c>
      <c r="C243" s="1">
        <v>1813</v>
      </c>
      <c r="D243" s="1">
        <v>17.2</v>
      </c>
      <c r="E243" s="1">
        <v>-1.2</v>
      </c>
      <c r="F243" s="1">
        <v>-0.4</v>
      </c>
      <c r="G243">
        <v>0</v>
      </c>
      <c r="H243">
        <v>0</v>
      </c>
      <c r="I243">
        <v>0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0">
        <v>500</v>
      </c>
      <c r="B244" s="10">
        <v>457</v>
      </c>
      <c r="C244" s="10">
        <v>1694</v>
      </c>
      <c r="D244" s="10">
        <v>-2.2999999999999998</v>
      </c>
      <c r="E244" s="10">
        <v>0.2</v>
      </c>
      <c r="F244" s="10">
        <v>0</v>
      </c>
      <c r="G244">
        <v>0</v>
      </c>
      <c r="H244">
        <v>0</v>
      </c>
      <c r="I244">
        <v>0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ht="30" x14ac:dyDescent="0.25">
      <c r="A246" t="s">
        <v>36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19" t="s">
        <v>37</v>
      </c>
    </row>
    <row r="247" spans="1:19" x14ac:dyDescent="0.25">
      <c r="A247" t="s">
        <v>38</v>
      </c>
      <c r="B247" s="20" cm="1">
        <f t="array" ref="B247">INDEX(LINEST(J$22:J$32,$A$22:$A$32^{1,2,3}), 1,4)</f>
        <v>-4.1832522908250489</v>
      </c>
      <c r="C247" s="20" cm="1">
        <f t="array" ref="C247">INDEX(LINEST(K$22:K$32,$A$22:$A$32^{1,2,3}), 1,4)</f>
        <v>-4.5412993933366916</v>
      </c>
      <c r="D247" s="21" cm="1">
        <f t="array" ref="D247">INDEX(LINEST(L$22:L$32,$A$22:$A$32^{1,2,3}), 1,4)</f>
        <v>-4.4443923639522325</v>
      </c>
      <c r="E247" s="21" cm="1">
        <f t="array" ref="E247">INDEX(LINEST(M$22:M$32,$A$22:$A$32^{1,2,3}), 1,4)</f>
        <v>-4.6653694629108937</v>
      </c>
      <c r="F247" s="21" cm="1">
        <f t="array" ref="F247">INDEX(LINEST(N$22:N$32,$A$22:$A$32^{1,2,3}), 1,4)</f>
        <v>-4.762193650927836</v>
      </c>
      <c r="G247" s="21" cm="1">
        <f t="array" ref="G247">INDEX(LINEST(O$22:O$32,$A$22:$A$32^{1,2,3}), 1,4)</f>
        <v>-4.5554422721801355</v>
      </c>
      <c r="H247" s="21" cm="1">
        <f t="array" ref="H247">INDEX(LINEST(P$22:P$32,$A$22:$A$32^{1,2,3}), 1,4)</f>
        <v>-5.8490109162542847</v>
      </c>
      <c r="I247" s="21" cm="1">
        <f t="array" ref="I247">INDEX(LINEST(B$22:B$32,$A$22:$A$32^{1,2,3}), 1,4)</f>
        <v>6135.128453445679</v>
      </c>
    </row>
    <row r="248" spans="1:19" x14ac:dyDescent="0.25">
      <c r="A248" t="s">
        <v>39</v>
      </c>
      <c r="B248" s="21" cm="1">
        <f t="array" ref="B248">INDEX(LINEST(J$22:J$32,$A$22:$A$32^{1,2,3}), 1,3)</f>
        <v>9.9621641515658457E-2</v>
      </c>
      <c r="C248" s="20" cm="1">
        <f t="array" ref="C248">INDEX(LINEST(K$22:K$32,$A$22:$A$32^{1,2,3}), 1,3)</f>
        <v>8.9744768894980856E-2</v>
      </c>
      <c r="D248" s="21" cm="1">
        <f t="array" ref="D248">INDEX(LINEST(L$22:L$32,$A$22:$A$32^{1,2,3}), 1,3)</f>
        <v>0.10093764297830071</v>
      </c>
      <c r="E248" s="21" cm="1">
        <f t="array" ref="E248">INDEX(LINEST(M$22:M$32,$A$22:$A$32^{1,2,3}), 1,3)</f>
        <v>0.15476980206096957</v>
      </c>
      <c r="F248" s="21" cm="1">
        <f t="array" ref="F248">INDEX(LINEST(N$22:N$32,$A$22:$A$32^{1,2,3}), 1,3)</f>
        <v>0.2614436801007527</v>
      </c>
      <c r="G248" s="21" cm="1">
        <f t="array" ref="G248">INDEX(LINEST(O$22:O$32,$A$22:$A$32^{1,2,3}), 1,3)</f>
        <v>0.34299305863952739</v>
      </c>
      <c r="H248" s="21" cm="1">
        <f t="array" ref="H248">INDEX(LINEST(P$22:P$32,$A$22:$A$32^{1,2,3}), 1,3)</f>
        <v>0.52707017656195443</v>
      </c>
      <c r="I248" s="21" cm="1">
        <f t="array" ref="I248">INDEX(LINEST(B$22:B$32,$A$22:$A$32^{1,2,3}), 1,3)</f>
        <v>-12.453520758259806</v>
      </c>
    </row>
    <row r="249" spans="1:19" x14ac:dyDescent="0.25">
      <c r="A249" t="s">
        <v>40</v>
      </c>
      <c r="B249" s="21" cm="1">
        <f t="array" ref="B249">INDEX(LINEST(J$22:J$32,$A$22:$A$32^{1,2,3}), 1,2)</f>
        <v>-6.4116903863067245E-5</v>
      </c>
      <c r="C249" s="21" cm="1">
        <f t="array" ref="C249">INDEX(LINEST(K$22:K$32,$A$22:$A$32^{1,2,3}), 1,2)</f>
        <v>-3.0723099303025094E-4</v>
      </c>
      <c r="D249" s="21" cm="1">
        <f t="array" ref="D249">INDEX(LINEST(L$22:L$32,$A$22:$A$32^{1,2,3}), 1,2)</f>
        <v>-1.6065892348459106E-4</v>
      </c>
      <c r="E249" s="21" cm="1">
        <f t="array" ref="E249">INDEX(LINEST(M$22:M$32,$A$22:$A$32^{1,2,3}), 1,2)</f>
        <v>-4.1283535207296661E-4</v>
      </c>
      <c r="F249" s="21" cm="1">
        <f t="array" ref="F249">INDEX(LINEST(N$22:N$32,$A$22:$A$32^{1,2,3}), 1,2)</f>
        <v>-5.3285532575438911E-4</v>
      </c>
      <c r="G249" s="21" cm="1">
        <f t="array" ref="G249">INDEX(LINEST(O$22:O$32,$A$22:$A$32^{1,2,3}), 1,2)</f>
        <v>-1.9510353081725172E-4</v>
      </c>
      <c r="H249" s="21" cm="1">
        <f t="array" ref="H249">INDEX(LINEST(P$22:P$32,$A$22:$A$32^{1,2,3}), 1,2)</f>
        <v>-3.7578789868140196E-4</v>
      </c>
      <c r="I249" s="21" cm="1">
        <f t="array" ref="I249">INDEX(LINEST(B$22:B$32,$A$22:$A$32^{1,2,3}), 1,2)</f>
        <v>5.3870689618760416E-3</v>
      </c>
    </row>
    <row r="250" spans="1:19" x14ac:dyDescent="0.25">
      <c r="A250" t="s">
        <v>41</v>
      </c>
      <c r="B250" s="20" cm="1">
        <f t="array" ref="B250">INDEX(LINEST(J$22:J$32,$A$22:$A$32^{1,2,3}), 1)</f>
        <v>-2.046039034320629E-6</v>
      </c>
      <c r="C250" s="20" cm="1">
        <f t="array" ref="C250">INDEX(LINEST(K$22:K$32,$A$22:$A$32^{1,2,3}), 1)</f>
        <v>-1.3672746709909255E-6</v>
      </c>
      <c r="D250" s="21" cm="1">
        <f t="array" ref="D250">INDEX(LINEST(L$22:L$32,$A$22:$A$32^{1,2,3}), 1)</f>
        <v>-1.7090779290403617E-6</v>
      </c>
      <c r="E250" s="21" cm="1">
        <f t="array" ref="E250">INDEX(LINEST(M$22:M$32,$A$22:$A$32^{1,2,3}), 1)</f>
        <v>-1.2170834311855901E-6</v>
      </c>
      <c r="F250" s="21" cm="1">
        <f t="array" ref="F250">INDEX(LINEST(N$22:N$32,$A$22:$A$32^{1,2,3}), 1)</f>
        <v>-9.2034711440973177E-7</v>
      </c>
      <c r="G250" s="21" cm="1">
        <f t="array" ref="G250">INDEX(LINEST(O$22:O$32,$A$22:$A$32^{1,2,3}), 1)</f>
        <v>-1.6374967513465449E-6</v>
      </c>
      <c r="H250" s="21" cm="1">
        <f t="array" ref="H250">INDEX(LINEST(P$22:P$32,$A$22:$A$32^{1,2,3}), 1)</f>
        <v>-1.3078080346060071E-6</v>
      </c>
      <c r="I250" s="21" cm="1">
        <f t="array" ref="I250">INDEX(LINEST(B$22:B$32,$A$22:$A$32^{1,2,3}), 1)</f>
        <v>5.8635153837529143E-6</v>
      </c>
    </row>
    <row r="251" spans="1:19" x14ac:dyDescent="0.25">
      <c r="A251" t="s">
        <v>42</v>
      </c>
      <c r="B251" s="20"/>
      <c r="C251" s="20"/>
      <c r="D251" s="21"/>
      <c r="E251" s="21"/>
      <c r="F251" s="21"/>
      <c r="G251" s="21"/>
      <c r="H251" s="21"/>
      <c r="I251" s="21"/>
    </row>
    <row r="252" spans="1:19" x14ac:dyDescent="0.25">
      <c r="A252" t="s">
        <v>43</v>
      </c>
      <c r="B252" s="20"/>
      <c r="C252" s="20"/>
      <c r="D252" s="21"/>
      <c r="E252" s="21"/>
      <c r="F252" s="21"/>
      <c r="G252" s="21"/>
      <c r="H252" s="21"/>
      <c r="I252" s="21"/>
    </row>
    <row r="253" spans="1:19" x14ac:dyDescent="0.25">
      <c r="A253" t="s">
        <v>44</v>
      </c>
      <c r="B253" s="20"/>
      <c r="C253" s="20"/>
      <c r="D253" s="21"/>
      <c r="E253" s="21"/>
      <c r="F253" s="21"/>
      <c r="G253" s="21"/>
      <c r="H253" s="21"/>
      <c r="I253" s="21"/>
    </row>
    <row r="254" spans="1:19" x14ac:dyDescent="0.25">
      <c r="B254" s="20"/>
      <c r="C254" s="20"/>
      <c r="D254" s="20"/>
      <c r="E254" s="20"/>
      <c r="F254" s="20"/>
      <c r="G254" s="20"/>
      <c r="H254" s="20"/>
      <c r="I254" s="20"/>
    </row>
    <row r="255" spans="1:19" x14ac:dyDescent="0.25">
      <c r="A255" t="s">
        <v>45</v>
      </c>
    </row>
    <row r="256" spans="1:19" x14ac:dyDescent="0.25">
      <c r="A256" s="22" t="s">
        <v>4</v>
      </c>
      <c r="B256" s="23"/>
      <c r="C256" s="23"/>
    </row>
    <row r="257" spans="1:9" x14ac:dyDescent="0.25">
      <c r="A257" s="1">
        <v>0</v>
      </c>
      <c r="B257" s="2" cm="1">
        <f t="array" ref="B257">TrajectoryToComeUp(B$247:B$249,$A257)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6135.128453445679</v>
      </c>
    </row>
    <row r="258" spans="1:9" x14ac:dyDescent="0.25">
      <c r="A258" s="1">
        <v>25</v>
      </c>
      <c r="B258" s="2" cm="1">
        <f t="array" ref="B258">TrajectoryToComeUp(B$247:B$249,$A258)</f>
        <v>0.69311372713920183</v>
      </c>
      <c r="C258" s="2" cm="1">
        <f t="array" ref="C258">TrajectoryToComeUp(C$247:C$250,$A258)</f>
        <v>1.0044252833361242</v>
      </c>
      <c r="D258" s="2" cm="1">
        <f t="array" ref="D258">TrajectoryToComeUp(D$247:D$250,$A258)</f>
        <v>0.81922698372553604</v>
      </c>
      <c r="E258" s="2" cm="1">
        <f t="array" ref="E258">TrajectoryToComeUp(E$247:E$250,$A258)</f>
        <v>0.42926537401781323</v>
      </c>
      <c r="F258" s="2" cm="1">
        <f t="array" ref="F258">TrajectoryToComeUp(F$247:F$250,$A258)</f>
        <v>-0.57059333973273452</v>
      </c>
      <c r="G258" s="2" cm="1">
        <f t="array" ref="G258">TrajectoryToComeUp(G$247:G$250,$A258)</f>
        <v>-1.5487434401229907</v>
      </c>
      <c r="H258" s="2" cm="1">
        <f t="array" ref="H258">TrajectoryToComeUp(H$247:H$250,$A258)</f>
        <v>-2.8289766242311924</v>
      </c>
      <c r="I258" s="2" cm="1">
        <f t="array" ref="I258">EvaluatePolynomial(I$247:I$250,$A258)</f>
        <v>5827.2489700182277</v>
      </c>
    </row>
    <row r="259" spans="1:9" x14ac:dyDescent="0.25">
      <c r="A259" s="1">
        <v>50</v>
      </c>
      <c r="B259" s="2" cm="1">
        <f t="array" ref="B259">TrajectoryToComeUp(B$247:B$249,$A259)</f>
        <v>-0.1275075050600411</v>
      </c>
      <c r="C259" s="2" cm="1">
        <f t="array" ref="C259">TrajectoryToComeUp(C$247:C$250,$A259)</f>
        <v>0.19860955300742847</v>
      </c>
      <c r="D259" s="2" cm="1">
        <f t="array" ref="D259">TrajectoryToComeUp(D$247:D$250,$A259)</f>
        <v>2.5584529757439523E-3</v>
      </c>
      <c r="E259" s="2" cm="1">
        <f t="array" ref="E259">TrajectoryToComeUp(E$247:E$250,$A259)</f>
        <v>-0.3777793662113938</v>
      </c>
      <c r="F259" s="2" cm="1">
        <f t="array" ref="F259">TrajectoryToComeUp(F$247:F$250,$A259)</f>
        <v>-1.3725617300845219</v>
      </c>
      <c r="G259" s="2" cm="1">
        <f t="array" ref="G259">TrajectoryToComeUp(G$247:G$250,$A259)</f>
        <v>-2.3803529477669572</v>
      </c>
      <c r="H259" s="2" cm="1">
        <f t="array" ref="H259">TrajectoryToComeUp(H$247:H$250,$A259)</f>
        <v>-3.8803104321628363</v>
      </c>
      <c r="I259" s="2" cm="1">
        <f t="array" ref="I259">EvaluatePolynomial(I$247:I$250,$A259)</f>
        <v>5526.6530273603476</v>
      </c>
    </row>
    <row r="260" spans="1:9" x14ac:dyDescent="0.25">
      <c r="A260" s="1">
        <v>75</v>
      </c>
      <c r="B260" s="2" cm="1">
        <f t="array" ref="B260">TrajectoryToComeUp(B$247:B$249,$A260)</f>
        <v>-0.39036176514927767</v>
      </c>
      <c r="C260" s="2" cm="1">
        <f t="array" ref="C260">TrajectoryToComeUp(C$247:C$250,$A260)</f>
        <v>1.5391341844344734E-2</v>
      </c>
      <c r="D260" s="2" cm="1">
        <f t="array" ref="D260">TrajectoryToComeUp(D$247:D$250,$A260)</f>
        <v>-0.20016095513407917</v>
      </c>
      <c r="E260" s="2" cm="1">
        <f t="array" ref="E260">TrajectoryToComeUp(E$247:E$250,$A260)</f>
        <v>-0.54756130182932883</v>
      </c>
      <c r="F260" s="2" cm="1">
        <f t="array" ref="F260">TrajectoryToComeUp(F$247:F$250,$A260)</f>
        <v>-1.5280666280491428</v>
      </c>
      <c r="G260" s="2" cm="1">
        <f t="array" ref="G260">TrajectoryToComeUp(G$247:G$250,$A260)</f>
        <v>-2.5841014430617402</v>
      </c>
      <c r="H260" s="2" cm="1">
        <f t="array" ref="H260">TrajectoryToComeUp(H$247:H$250,$A260)</f>
        <v>-4.1354285174946668</v>
      </c>
      <c r="I260" s="2" cm="1">
        <f t="array" ref="I260">EvaluatePolynomial(I$247:I$250,$A260)</f>
        <v>5233.8903300392667</v>
      </c>
    </row>
    <row r="261" spans="1:9" x14ac:dyDescent="0.25">
      <c r="A261" s="1">
        <v>100</v>
      </c>
      <c r="B261" s="2" cm="1">
        <f t="array" ref="B261">TrajectoryToComeUp(B$247:B$249,$A261)</f>
        <v>-0.51377428221101251</v>
      </c>
      <c r="C261" s="2" cm="1">
        <f t="array" ref="C261">TrajectoryToComeUp(C$247:C$250,$A261)</f>
        <v>6.4071051320411252E-4</v>
      </c>
      <c r="D261" s="2" cm="1">
        <f t="array" ref="D261">TrajectoryToComeUp(D$247:D$250,$A261)</f>
        <v>-0.23337047699915658</v>
      </c>
      <c r="E261" s="2" cm="1">
        <f t="array" ref="E261">TrajectoryToComeUp(E$247:E$250,$A261)</f>
        <v>-0.54661737912708086</v>
      </c>
      <c r="F261" s="2" cm="1">
        <f t="array" ref="F261">TrajectoryToComeUp(F$247:F$250,$A261)</f>
        <v>-1.5133273987193814</v>
      </c>
      <c r="G261" s="2" cm="1">
        <f t="array" ref="G261">TrajectoryToComeUp(G$247:G$250,$A261)</f>
        <v>-2.6155331532253538</v>
      </c>
      <c r="H261" s="2" cm="1">
        <f t="array" ref="H261">TrajectoryToComeUp(H$247:H$250,$A261)</f>
        <v>-4.1792319718521123</v>
      </c>
      <c r="I261" s="2" cm="1">
        <f t="array" ref="I261">EvaluatePolynomial(I$247:I$250,$A261)</f>
        <v>4949.5105826222116</v>
      </c>
    </row>
    <row r="262" spans="1:9" x14ac:dyDescent="0.25">
      <c r="A262" s="1">
        <v>125</v>
      </c>
      <c r="B262" s="2" cm="1">
        <f t="array" ref="B262">TrajectoryToComeUp(B$247:B$249,$A262)</f>
        <v>-0.58141010206174659</v>
      </c>
      <c r="C262" s="2" cm="1">
        <f t="array" ref="C262">TrajectoryToComeUp(C$247:C$250,$A262)</f>
        <v>6.3531671147272539E-2</v>
      </c>
      <c r="D262" s="2" cm="1">
        <f t="array" ref="D262">TrajectoryToComeUp(D$247:D$250,$A262)</f>
        <v>-0.18595795989853323</v>
      </c>
      <c r="E262" s="2" cm="1">
        <f t="array" ref="E262">TrajectoryToComeUp(E$247:E$250,$A262)</f>
        <v>-0.46825498736286753</v>
      </c>
      <c r="F262" s="2" cm="1">
        <f t="array" ref="F262">TrajectoryToComeUp(F$247:F$250,$A262)</f>
        <v>-1.4235879151137931</v>
      </c>
      <c r="G262" s="2" cm="1">
        <f t="array" ref="G262">TrajectoryToComeUp(G$247:G$250,$A262)</f>
        <v>-2.5657569237014006</v>
      </c>
      <c r="H262" s="2" cm="1">
        <f t="array" ref="H262">TrajectoryToComeUp(H$247:H$250,$A262)</f>
        <v>-4.12870101356026</v>
      </c>
      <c r="I262" s="2" cm="1">
        <f t="array" ref="I262">EvaluatePolynomial(I$247:I$250,$A262)</f>
        <v>4674.0634896764086</v>
      </c>
    </row>
    <row r="263" spans="1:9" x14ac:dyDescent="0.25">
      <c r="A263" s="1">
        <v>150</v>
      </c>
      <c r="B263" s="2" cm="1">
        <f t="array" ref="B263">TrajectoryToComeUp(B$247:B$249,$A263)</f>
        <v>-0.6211575733069804</v>
      </c>
      <c r="C263" s="2" cm="1">
        <f t="array" ref="C263">TrajectoryToComeUp(C$247:C$250,$A263)</f>
        <v>0.17378889445763879</v>
      </c>
      <c r="D263" s="2" cm="1">
        <f t="array" ref="D263">TrajectoryToComeUp(D$247:D$250,$A263)</f>
        <v>-8.7552686258557014E-2</v>
      </c>
      <c r="E263" s="2" cm="1">
        <f t="array" ref="E263">TrajectoryToComeUp(E$247:E$250,$A263)</f>
        <v>-0.34357658962276183</v>
      </c>
      <c r="F263" s="2" cm="1">
        <f t="array" ref="F263">TrajectoryToComeUp(F$247:F$250,$A263)</f>
        <v>-1.2905961349052313</v>
      </c>
      <c r="G263" s="2" cm="1">
        <f t="array" ref="G263">TrajectoryToComeUp(G$247:G$250,$A263)</f>
        <v>-2.4651423696377477</v>
      </c>
      <c r="H263" s="2" cm="1">
        <f t="array" ref="H263">TrajectoryToComeUp(H$247:H$250,$A263)</f>
        <v>-4.0228290487274716</v>
      </c>
      <c r="I263" s="2" cm="1">
        <f t="array" ref="I263">EvaluatePolynomial(I$247:I$250,$A263)</f>
        <v>4408.0987557690851</v>
      </c>
    </row>
    <row r="264" spans="1:9" x14ac:dyDescent="0.25">
      <c r="A264" s="1">
        <v>175</v>
      </c>
      <c r="B264" s="2" cm="1">
        <f t="array" ref="B264">TrajectoryToComeUp(B$247:B$249,$A264)</f>
        <v>-0.64496884534907117</v>
      </c>
      <c r="C264" s="2" cm="1">
        <f t="array" ref="C264">TrajectoryToComeUp(C$247:C$250,$A264)</f>
        <v>0.31843723932048384</v>
      </c>
      <c r="D264" s="2" cm="1">
        <f t="array" ref="D264">TrajectoryToComeUp(D$247:D$250,$A264)</f>
        <v>4.914708002376561E-2</v>
      </c>
      <c r="E264" s="2" cm="1">
        <f t="array" ref="E264">TrajectoryToComeUp(E$247:E$250,$A264)</f>
        <v>-0.18591181294365181</v>
      </c>
      <c r="F264" s="2" cm="1">
        <f t="array" ref="F264">TrajectoryToComeUp(F$247:F$250,$A264)</f>
        <v>-1.1279583256677752</v>
      </c>
      <c r="G264" s="2" cm="1">
        <f t="array" ref="G264">TrajectoryToComeUp(G$247:G$250,$A264)</f>
        <v>-2.3267050403834824</v>
      </c>
      <c r="H264" s="2" cm="1">
        <f t="array" ref="H264">TrajectoryToComeUp(H$247:H$250,$A264)</f>
        <v>-3.8783275371144712</v>
      </c>
      <c r="I264" s="2" cm="1">
        <f t="array" ref="I264">EvaluatePolynomial(I$247:I$250,$A264)</f>
        <v>4152.1660854674674</v>
      </c>
    </row>
    <row r="265" spans="1:9" x14ac:dyDescent="0.25">
      <c r="A265" s="1">
        <v>200</v>
      </c>
      <c r="B265" s="2" cm="1">
        <f t="array" ref="B265">TrajectoryToComeUp(B$247:B$249,$A265)</f>
        <v>-0.65881999288919757</v>
      </c>
      <c r="C265" s="2" cm="1">
        <f t="array" ref="C265">TrajectoryToComeUp(C$247:C$250,$A265)</f>
        <v>0.49098913517389797</v>
      </c>
      <c r="D265" s="2" cm="1">
        <f t="array" ref="D265">TrajectoryToComeUp(D$247:D$250,$A265)</f>
        <v>0.21779220699993135</v>
      </c>
      <c r="E265" s="2" cm="1">
        <f t="array" ref="E265">TrajectoryToComeUp(E$247:E$250,$A265)</f>
        <v>-1.9254708439817221E-3</v>
      </c>
      <c r="F265" s="2" cm="1">
        <f t="array" ref="F265">TrajectoryToComeUp(F$247:F$250,$A265)</f>
        <v>-0.94247762118846401</v>
      </c>
      <c r="G265" s="2" cm="1">
        <f t="array" ref="G265">TrajectoryToComeUp(G$247:G$250,$A265)</f>
        <v>-2.1569527106131456</v>
      </c>
      <c r="H265" s="2" cm="1">
        <f t="array" ref="H265">TrajectoryToComeUp(H$247:H$250,$A265)</f>
        <v>-3.7035522086016237</v>
      </c>
      <c r="I265" s="2" cm="1">
        <f t="array" ref="I265">EvaluatePolynomial(I$247:I$250,$A265)</f>
        <v>3906.8151833387828</v>
      </c>
    </row>
    <row r="266" spans="1:9" x14ac:dyDescent="0.25">
      <c r="A266" s="1">
        <v>225</v>
      </c>
      <c r="B266" s="2" cm="1">
        <f t="array" ref="B266">TrajectoryToComeUp(B$247:B$249,$A266)</f>
        <v>-0.66603105742801461</v>
      </c>
      <c r="C266" s="2" cm="1">
        <f t="array" ref="C266">TrajectoryToComeUp(C$247:C$250,$A266)</f>
        <v>0.68784037615015392</v>
      </c>
      <c r="D266" s="2" cm="1">
        <f t="array" ref="D266">TrajectoryToComeUp(D$247:D$250,$A266)</f>
        <v>0.41485539914299391</v>
      </c>
      <c r="E266" s="2" cm="1">
        <f t="array" ref="E266">TrajectoryToComeUp(E$247:E$250,$A266)</f>
        <v>0.20467976249933481</v>
      </c>
      <c r="F266" s="2" cm="1">
        <f t="array" ref="F266">TrajectoryToComeUp(F$247:F$250,$A266)</f>
        <v>-0.7379335402378765</v>
      </c>
      <c r="G266" s="2" cm="1">
        <f t="array" ref="G266">TrajectoryToComeUp(G$247:G$250,$A266)</f>
        <v>-1.9595008107014851</v>
      </c>
      <c r="H266" s="2" cm="1">
        <f t="array" ref="H266">TrajectoryToComeUp(H$247:H$250,$A266)</f>
        <v>-3.5031451353446865</v>
      </c>
      <c r="I266" s="2" cm="1">
        <f t="array" ref="I266">EvaluatePolynomial(I$247:I$250,$A266)</f>
        <v>3672.5957539502574</v>
      </c>
    </row>
    <row r="267" spans="1:9" x14ac:dyDescent="0.25">
      <c r="A267" s="1">
        <v>250</v>
      </c>
      <c r="B267" s="2" cm="1">
        <f t="array" ref="B267">TrajectoryToComeUp(B$247:B$249,$A267)</f>
        <v>-0.66859406386591458</v>
      </c>
      <c r="C267" s="2" cm="1">
        <f t="array" ref="C267">TrajectoryToComeUp(C$247:C$250,$A267)</f>
        <v>0.90682843872861496</v>
      </c>
      <c r="D267" s="2" cm="1">
        <f t="array" ref="D267">TrajectoryToComeUp(D$247:D$250,$A267)</f>
        <v>0.63822027913678592</v>
      </c>
      <c r="E267" s="2" cm="1">
        <f t="array" ref="E267">TrajectoryToComeUp(E$247:E$250,$A267)</f>
        <v>0.43168228258015018</v>
      </c>
      <c r="F267" s="2" cm="1">
        <f t="array" ref="F267">TrajectoryToComeUp(F$247:F$250,$A267)</f>
        <v>-0.51659379407835826</v>
      </c>
      <c r="G267" s="2" cm="1">
        <f t="array" ref="G267">TrajectoryToComeUp(G$247:G$250,$A267)</f>
        <v>-1.7365185988733487</v>
      </c>
      <c r="H267" s="2" cm="1">
        <f t="array" ref="H267">TrajectoryToComeUp(H$247:H$250,$A267)</f>
        <v>-3.2798915606371137</v>
      </c>
      <c r="I267" s="2" cm="1">
        <f t="array" ref="I267">EvaluatePolynomial(I$247:I$250,$A267)</f>
        <v>3450.0575018691193</v>
      </c>
    </row>
    <row r="268" spans="1:9" x14ac:dyDescent="0.25">
      <c r="A268" s="1">
        <v>275</v>
      </c>
      <c r="B268" s="2" cm="1">
        <f t="array" ref="B268">TrajectoryToComeUp(B$247:B$249,$A268)</f>
        <v>-0.66777666441223882</v>
      </c>
      <c r="C268" s="2" cm="1">
        <f t="array" ref="C268">TrajectoryToComeUp(C$247:C$250,$A268)</f>
        <v>1.1465771715779667</v>
      </c>
      <c r="D268" s="2" cm="1">
        <f t="array" ref="D268">TrajectoryToComeUp(D$247:D$250,$A268)</f>
        <v>0.88654006141647324</v>
      </c>
      <c r="E268" s="2" cm="1">
        <f t="array" ref="E268">TrajectoryToComeUp(E$247:E$250,$A268)</f>
        <v>0.67766834107637008</v>
      </c>
      <c r="F268" s="2" cm="1">
        <f t="array" ref="F268">TrajectoryToComeUp(F$247:F$250,$A268)</f>
        <v>-0.27990147169503965</v>
      </c>
      <c r="G268" s="2" cm="1">
        <f t="array" ref="G268">TrajectoryToComeUp(G$247:G$250,$A268)</f>
        <v>-1.4893865121809113</v>
      </c>
      <c r="H268" s="2" cm="1">
        <f t="array" ref="H268">TrajectoryToComeUp(H$247:H$250,$A268)</f>
        <v>-3.0355639120292857</v>
      </c>
      <c r="I268" s="2" cm="1">
        <f t="array" ref="I268">EvaluatePolynomial(I$247:I$250,$A268)</f>
        <v>3239.7501316625944</v>
      </c>
    </row>
    <row r="269" spans="1:9" x14ac:dyDescent="0.25">
      <c r="A269" s="1">
        <v>300</v>
      </c>
      <c r="B269" s="2" cm="1">
        <f t="array" ref="B269">TrajectoryToComeUp(B$247:B$249,$A269)</f>
        <v>-0.66442396053988118</v>
      </c>
      <c r="C269" s="2" cm="1">
        <f t="array" ref="C269">TrajectoryToComeUp(C$247:C$250,$A269)</f>
        <v>1.4061691404773338</v>
      </c>
      <c r="D269" s="2" cm="1">
        <f t="array" ref="D269">TrajectoryToComeUp(D$247:D$250,$A269)</f>
        <v>1.1589168889388326</v>
      </c>
      <c r="E269" s="2" cm="1">
        <f t="array" ref="E269">TrajectoryToComeUp(E$247:E$250,$A269)</f>
        <v>0.94169543910659814</v>
      </c>
      <c r="F269" s="2" cm="1">
        <f t="array" ref="F269">TrajectoryToComeUp(F$247:F$250,$A269)</f>
        <v>-2.8818632411339792E-2</v>
      </c>
      <c r="G269" s="2" cm="1">
        <f t="array" ref="G269">TrajectoryToComeUp(G$247:G$250,$A269)</f>
        <v>-1.2190248419922909</v>
      </c>
      <c r="H269" s="2" cm="1">
        <f t="array" ref="H269">TrajectoryToComeUp(H$247:H$250,$A269)</f>
        <v>-2.7713438078881225</v>
      </c>
      <c r="I269" s="2" cm="1">
        <f t="array" ref="I269">EvaluatePolynomial(I$247:I$250,$A269)</f>
        <v>3042.2233478979092</v>
      </c>
    </row>
    <row r="270" spans="1:9" x14ac:dyDescent="0.25">
      <c r="A270" s="1">
        <v>325</v>
      </c>
      <c r="B270" s="2" cm="1">
        <f t="array" ref="B270">TrajectoryToComeUp(B$247:B$249,$A270)</f>
        <v>-0.65912102249930682</v>
      </c>
      <c r="C270" s="2" cm="1">
        <f t="array" ref="C270">TrajectoryToComeUp(C$247:C$250,$A270)</f>
        <v>1.6849691986584165</v>
      </c>
      <c r="D270" s="2" cm="1">
        <f t="array" ref="D270">TrajectoryToComeUp(D$247:D$250,$A270)</f>
        <v>1.4547291683662493</v>
      </c>
      <c r="E270" s="2" cm="1">
        <f t="array" ref="E270">TrajectoryToComeUp(E$247:E$250,$A270)</f>
        <v>1.2231110774452527</v>
      </c>
      <c r="F270" s="2" cm="1">
        <f t="array" ref="F270">TrajectoryToComeUp(F$247:F$250,$A270)</f>
        <v>0.2359886827026812</v>
      </c>
      <c r="G270" s="2" cm="1">
        <f t="array" ref="G270">TrajectoryToComeUp(G$247:G$250,$A270)</f>
        <v>-0.92607071310079814</v>
      </c>
      <c r="H270" s="2" cm="1">
        <f t="array" ref="H270">TrajectoryToComeUp(H$247:H$250,$A270)</f>
        <v>-2.4880492916984149</v>
      </c>
      <c r="I270" s="2" cm="1">
        <f t="array" ref="I270">EvaluatePolynomial(I$247:I$250,$A270)</f>
        <v>2858.0268551422914</v>
      </c>
    </row>
    <row r="271" spans="1:9" x14ac:dyDescent="0.25">
      <c r="A271" s="1">
        <v>350</v>
      </c>
      <c r="B271" s="2" cm="1">
        <f t="array" ref="B271">TrajectoryToComeUp(B$247:B$249,$A271)</f>
        <v>-0.65228575761227636</v>
      </c>
      <c r="C271" s="2" cm="1">
        <f t="array" ref="C271">TrajectoryToComeUp(C$247:C$250,$A271)</f>
        <v>1.9825236698581443</v>
      </c>
      <c r="D271" s="2" cm="1">
        <f t="array" ref="D271">TrajectoryToComeUp(D$247:D$250,$A271)</f>
        <v>1.7735329044575685</v>
      </c>
      <c r="E271" s="2" cm="1">
        <f t="array" ref="E271">TrajectoryToComeUp(E$247:E$250,$A271)</f>
        <v>1.5214491852169181</v>
      </c>
      <c r="F271" s="2" cm="1">
        <f t="array" ref="F271">TrajectoryToComeUp(F$247:F$250,$A271)</f>
        <v>0.51404473002555162</v>
      </c>
      <c r="G271" s="2" cm="1">
        <f t="array" ref="G271">TrajectoryToComeUp(G$247:G$250,$A271)</f>
        <v>-0.61097921464451455</v>
      </c>
      <c r="H271" s="2" cm="1">
        <f t="array" ref="H271">TrajectoryToComeUp(H$247:H$250,$A271)</f>
        <v>-2.1862646802350132</v>
      </c>
      <c r="I271" s="2" cm="1">
        <f t="array" ref="I271">EvaluatePolynomial(I$247:I$250,$A271)</f>
        <v>2687.7103579629684</v>
      </c>
    </row>
    <row r="272" spans="1:9" x14ac:dyDescent="0.25">
      <c r="A272" s="1">
        <v>375</v>
      </c>
      <c r="B272" s="2" cm="1">
        <f t="array" ref="B272">TrajectoryToComeUp(B$247:B$249,$A272)</f>
        <v>-0.64422463124808116</v>
      </c>
      <c r="C272" s="2" cm="1">
        <f t="array" ref="C272">TrajectoryToComeUp(C$247:C$250,$A272)</f>
        <v>2.298499858150266</v>
      </c>
      <c r="D272" s="2" cm="1">
        <f t="array" ref="D272">TrajectoryToComeUp(D$247:D$250,$A272)</f>
        <v>2.115002500702611</v>
      </c>
      <c r="E272" s="2" cm="1">
        <f t="array" ref="E272">TrajectoryToComeUp(E$247:E$250,$A272)</f>
        <v>1.8363679771129557</v>
      </c>
      <c r="F272" s="2" cm="1">
        <f t="array" ref="F272">TrajectoryToComeUp(F$247:F$250,$A272)</f>
        <v>0.80500063090152674</v>
      </c>
      <c r="G272" s="2" cm="1">
        <f t="array" ref="G272">TrajectoryToComeUp(G$247:G$250,$A272)</f>
        <v>-0.27408407865803092</v>
      </c>
      <c r="H272" s="2" cm="1">
        <f t="array" ref="H272">TrajectoryToComeUp(H$247:H$250,$A272)</f>
        <v>-1.8664184724661419</v>
      </c>
      <c r="I272" s="2" cm="1">
        <f t="array" ref="I272">EvaluatePolynomial(I$247:I$250,$A272)</f>
        <v>2531.8235609271651</v>
      </c>
    </row>
    <row r="273" spans="1:9" x14ac:dyDescent="0.25">
      <c r="A273" s="1">
        <v>400</v>
      </c>
      <c r="B273" s="2" cm="1">
        <f t="array" ref="B273">TrajectoryToComeUp(B$247:B$249,$A273)</f>
        <v>-0.63516749243368942</v>
      </c>
      <c r="C273" s="2" cm="1">
        <f t="array" ref="C273">TrajectoryToComeUp(C$247:C$250,$A273)</f>
        <v>2.6326482415900934</v>
      </c>
      <c r="D273" s="2" cm="1">
        <f t="array" ref="D273">TrajectoryToComeUp(D$247:D$250,$A273)</f>
        <v>2.4788937597187415</v>
      </c>
      <c r="E273" s="2" cm="1">
        <f t="array" ref="E273">TrajectoryToComeUp(E$247:E$250,$A273)</f>
        <v>2.167611114151887</v>
      </c>
      <c r="F273" s="2" cm="1">
        <f t="array" ref="F273">TrajectoryToComeUp(F$247:F$250,$A273)</f>
        <v>1.1085947263387961</v>
      </c>
      <c r="G273" s="2" cm="1">
        <f t="array" ref="G273">TrajectoryToComeUp(G$247:G$250,$A273)</f>
        <v>8.4364395832707939E-2</v>
      </c>
      <c r="H273" s="2" cm="1">
        <f t="array" ref="H273">TrajectoryToComeUp(H$247:H$250,$A273)</f>
        <v>-1.528832042617968</v>
      </c>
      <c r="I273" s="2" cm="1">
        <f t="array" ref="I273">EvaluatePolynomial(I$247:I$250,$A273)</f>
        <v>2390.9161686021098</v>
      </c>
    </row>
    <row r="274" spans="1:9" x14ac:dyDescent="0.25">
      <c r="A274" s="1">
        <v>425</v>
      </c>
      <c r="B274" s="2" cm="1">
        <f t="array" ref="B274">TrajectoryToComeUp(B$247:B$249,$A274)</f>
        <v>-0.62529010807207708</v>
      </c>
      <c r="C274" s="2" cm="1">
        <f t="array" ref="C274">TrajectoryToComeUp(C$247:C$250,$A274)</f>
        <v>2.9847780092787453</v>
      </c>
      <c r="D274" s="2" cm="1">
        <f t="array" ref="D274">TrajectoryToComeUp(D$247:D$250,$A274)</f>
        <v>2.8650199423310054</v>
      </c>
      <c r="E274" s="2" cm="1">
        <f t="array" ref="E274">TrajectoryToComeUp(E$247:E$250,$A274)</f>
        <v>2.5149825724066996</v>
      </c>
      <c r="F274" s="2" cm="1">
        <f t="array" ref="F274">TrajectoryToComeUp(F$247:F$250,$A274)</f>
        <v>1.4246269241671541</v>
      </c>
      <c r="G274" s="2" cm="1">
        <f t="array" ref="G274">TrajectoryToComeUp(G$247:G$250,$A274)</f>
        <v>0.46417480369021635</v>
      </c>
      <c r="H274" s="2" cm="1">
        <f t="array" ref="H274">TrajectoryToComeUp(H$247:H$250,$A274)</f>
        <v>-1.1737511474516791</v>
      </c>
      <c r="I274" s="2" cm="1">
        <f t="array" ref="I274">EvaluatePolynomial(I$247:I$250,$A274)</f>
        <v>2265.5378855550289</v>
      </c>
    </row>
    <row r="275" spans="1:9" x14ac:dyDescent="0.25">
      <c r="A275" s="1">
        <v>450</v>
      </c>
      <c r="B275" s="2" cm="1">
        <f t="array" ref="B275">TrajectoryToComeUp(B$247:B$249,$A275)</f>
        <v>-0.61472918575444757</v>
      </c>
      <c r="C275" s="2" cm="1">
        <f t="array" ref="C275">TrajectoryToComeUp(C$247:C$250,$A275)</f>
        <v>3.3547407527393158</v>
      </c>
      <c r="D275" s="2" cm="1">
        <f t="array" ref="D275">TrajectoryToComeUp(D$247:D$250,$A275)</f>
        <v>3.2732358069588798</v>
      </c>
      <c r="E275" s="2" cm="1">
        <f t="array" ref="E275">TrajectoryToComeUp(E$247:E$250,$A275)</f>
        <v>2.8783298888230489</v>
      </c>
      <c r="F275" s="2" cm="1">
        <f t="array" ref="F275">TrajectoryToComeUp(F$247:F$250,$A275)</f>
        <v>1.7529415971431048</v>
      </c>
      <c r="G275" s="2" cm="1">
        <f t="array" ref="G275">TrajectoryToComeUp(G$247:G$250,$A275)</f>
        <v>0.8651982742520038</v>
      </c>
      <c r="H275" s="2" cm="1">
        <f t="array" ref="H275">TrajectoryToComeUp(H$247:H$250,$A275)</f>
        <v>-0.80136693111486501</v>
      </c>
      <c r="I275" s="2" cm="1">
        <f t="array" ref="I275">EvaluatePolynomial(I$247:I$250,$A275)</f>
        <v>2156.2384163531492</v>
      </c>
    </row>
    <row r="276" spans="1:9" x14ac:dyDescent="0.25">
      <c r="A276" s="1">
        <v>475</v>
      </c>
      <c r="B276" s="2" cm="1">
        <f t="array" ref="B276">TrajectoryToComeUp(B$247:B$249,$A276)</f>
        <v>-0.60359265252648775</v>
      </c>
      <c r="C276" s="2" cm="1">
        <f t="array" ref="C276">TrajectoryToComeUp(C$247:C$250,$A276)</f>
        <v>3.7424193073847736</v>
      </c>
      <c r="D276" s="2" cm="1">
        <f t="array" ref="D276">TrajectoryToComeUp(D$247:D$250,$A276)</f>
        <v>3.7034266891966898</v>
      </c>
      <c r="E276" s="2" cm="1">
        <f t="array" ref="E276">TrajectoryToComeUp(E$247:E$250,$A276)</f>
        <v>3.2575326978317176</v>
      </c>
      <c r="F276" s="2" cm="1">
        <f t="array" ref="F276">TrajectoryToComeUp(F$247:F$250,$A276)</f>
        <v>2.0934158816533648</v>
      </c>
      <c r="G276" s="2" cm="1">
        <f t="array" ref="G276">TrajectoryToComeUp(G$247:G$250,$A276)</f>
        <v>1.2873172780476849</v>
      </c>
      <c r="H276" s="2" cm="1">
        <f t="array" ref="H276">TrajectoryToComeUp(H$247:H$250,$A276)</f>
        <v>-0.41183029688193895</v>
      </c>
      <c r="I276" s="2" cm="1">
        <f t="array" ref="I276">EvaluatePolynomial(I$247:I$250,$A276)</f>
        <v>2063.5674655636972</v>
      </c>
    </row>
    <row r="277" spans="1:9" x14ac:dyDescent="0.25">
      <c r="A277" s="10">
        <v>500</v>
      </c>
      <c r="B277" s="2" cm="1">
        <f t="array" ref="B277">TrajectoryToComeUp(B$247:B$249,$A277)</f>
        <v>-0.59196685002474747</v>
      </c>
      <c r="C277" s="2" cm="1">
        <f t="array" ref="C277">TrajectoryToComeUp(C$247:C$250,$A277)</f>
        <v>4.1477199415454935</v>
      </c>
      <c r="D277" s="2" cm="1">
        <f t="array" ref="D277">TrajectoryToComeUp(D$247:D$250,$A277)</f>
        <v>4.1555008575198977</v>
      </c>
      <c r="E277" s="2" cm="1">
        <f t="array" ref="E277">TrajectoryToComeUp(E$247:E$250,$A277)</f>
        <v>3.6524947069773304</v>
      </c>
      <c r="F277" s="2" cm="1">
        <f t="array" ref="F277">TrajectoryToComeUp(F$247:F$250,$A277)</f>
        <v>2.4459514868073047</v>
      </c>
      <c r="G277" s="2" cm="1">
        <f t="array" ref="G277">TrajectoryToComeUp(G$247:G$250,$A277)</f>
        <v>1.7304377915009499</v>
      </c>
      <c r="H277" s="2" cm="1">
        <f t="array" ref="H277">TrajectoryToComeUp(H$247:H$250,$A277)</f>
        <v>-5.2619673724315407E-3</v>
      </c>
      <c r="I277" s="2" cm="1">
        <f t="array" ref="I277">EvaluatePolynomial(I$247:I$250,$A277)</f>
        <v>1988.0747377539008</v>
      </c>
    </row>
  </sheetData>
  <mergeCells count="3">
    <mergeCell ref="F1:I1"/>
    <mergeCell ref="C20:G20"/>
    <mergeCell ref="J20:N20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eet3"/>
  <dimension ref="A1:U277"/>
  <sheetViews>
    <sheetView topLeftCell="A241" workbookViewId="0">
      <selection activeCell="B247" sqref="B247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0" customWidth="1"/>
    <col min="7" max="7" width="13.42578125" customWidth="1"/>
    <col min="8" max="8" width="17.140625" customWidth="1"/>
    <col min="9" max="9" width="19.7109375" customWidth="1"/>
    <col min="10" max="10" width="23.28515625" customWidth="1"/>
    <col min="11" max="11" width="18.85546875" customWidth="1"/>
    <col min="12" max="12" width="14.5703125" customWidth="1"/>
    <col min="13" max="13" width="13.5703125" customWidth="1"/>
    <col min="14" max="14" width="13.28515625" customWidth="1"/>
    <col min="15" max="15" width="14" customWidth="1"/>
    <col min="16" max="17" width="13.42578125" customWidth="1"/>
    <col min="18" max="18" width="22.28515625" customWidth="1"/>
    <col min="19" max="19" width="19.5703125" customWidth="1"/>
    <col min="20" max="20" width="14.28515625" customWidth="1"/>
    <col min="21" max="21" width="15.140625" customWidth="1"/>
    <col min="22" max="22" width="17" customWidth="1"/>
  </cols>
  <sheetData>
    <row r="1" spans="1:10" x14ac:dyDescent="0.25">
      <c r="A1" t="s">
        <v>18</v>
      </c>
      <c r="B1" t="s">
        <v>77</v>
      </c>
      <c r="C1" t="s">
        <v>65</v>
      </c>
      <c r="D1" t="s">
        <v>28</v>
      </c>
      <c r="F1" s="43" t="s">
        <v>58</v>
      </c>
      <c r="G1" s="43"/>
      <c r="H1" s="43"/>
      <c r="I1" s="43"/>
      <c r="J1" s="23"/>
    </row>
    <row r="2" spans="1:10" x14ac:dyDescent="0.25">
      <c r="A2" t="s">
        <v>20</v>
      </c>
      <c r="B2" s="2">
        <v>250</v>
      </c>
      <c r="C2" s="2">
        <f>CONVERT($B$2,"grain","g")</f>
        <v>16.199727500000002</v>
      </c>
      <c r="F2" t="s">
        <v>59</v>
      </c>
      <c r="G2" s="2">
        <v>250</v>
      </c>
      <c r="H2" s="2">
        <f>CONVERT($G$2,"grain","g")</f>
        <v>16.199727500000002</v>
      </c>
    </row>
    <row r="3" spans="1:10" x14ac:dyDescent="0.25">
      <c r="A3" t="s">
        <v>0</v>
      </c>
      <c r="B3" s="2">
        <v>0.33800000000000002</v>
      </c>
      <c r="C3" s="2">
        <v>0.33800000000000002</v>
      </c>
      <c r="F3" t="s">
        <v>60</v>
      </c>
      <c r="G3" s="2">
        <v>0.33800000000000002</v>
      </c>
      <c r="H3" s="2">
        <f>CONVERT($G$3,"in","mm")</f>
        <v>8.5851999999999986</v>
      </c>
    </row>
    <row r="4" spans="1:10" x14ac:dyDescent="0.25">
      <c r="A4" t="s">
        <v>11</v>
      </c>
      <c r="B4" s="2"/>
      <c r="C4" s="2"/>
      <c r="F4" t="s">
        <v>11</v>
      </c>
      <c r="G4" s="2" t="s">
        <v>64</v>
      </c>
      <c r="H4" s="2"/>
    </row>
    <row r="5" spans="1:10" x14ac:dyDescent="0.25">
      <c r="A5" t="s">
        <v>21</v>
      </c>
      <c r="B5" s="2">
        <v>0.32500000000000001</v>
      </c>
      <c r="C5" s="2"/>
      <c r="F5" t="s">
        <v>21</v>
      </c>
      <c r="G5" s="2" t="s">
        <v>64</v>
      </c>
      <c r="H5" s="2"/>
    </row>
    <row r="6" spans="1:10" x14ac:dyDescent="0.25">
      <c r="A6" t="s">
        <v>22</v>
      </c>
      <c r="B6" s="2">
        <v>6112.3</v>
      </c>
      <c r="C6" s="2">
        <f>CONVERT($B$6,"J","flb")</f>
        <v>4508.201125027429</v>
      </c>
      <c r="F6" t="s">
        <v>61</v>
      </c>
      <c r="G6" s="2" cm="1">
        <f t="array" ref="G6">MuzzleVelocityToMuzzleEnergyFtLb(G7,G2)</f>
        <v>4508.1253172956249</v>
      </c>
      <c r="H6" s="2" cm="1">
        <f t="array" ref="H6">MuzzleVelocityToMuzzleEnergyJoules(H7,H2)</f>
        <v>6112.1972185165978</v>
      </c>
    </row>
    <row r="7" spans="1:10" x14ac:dyDescent="0.25">
      <c r="A7" t="s">
        <v>19</v>
      </c>
      <c r="B7" s="2" cm="1">
        <f t="array" ref="B7">MuzzleEnergyToMuzzleVelocityMPS(B6,C2)</f>
        <v>868.68730374368386</v>
      </c>
      <c r="C7" s="2" cm="1">
        <f t="array" ref="C7">MuzzleEnergyToMuzzleVelocityFPS(C6,B2)</f>
        <v>2850.0239624136611</v>
      </c>
      <c r="F7" t="s">
        <v>62</v>
      </c>
      <c r="G7" s="2">
        <v>2850</v>
      </c>
      <c r="H7" s="2">
        <f>CONVERT($G$7,"ft","m")</f>
        <v>868.68</v>
      </c>
    </row>
    <row r="8" spans="1:10" x14ac:dyDescent="0.25">
      <c r="A8" t="s">
        <v>1</v>
      </c>
      <c r="B8" s="2">
        <v>0</v>
      </c>
      <c r="C8" s="2"/>
    </row>
    <row r="9" spans="1:10" x14ac:dyDescent="0.25">
      <c r="A9" t="s">
        <v>2</v>
      </c>
      <c r="B9" s="2">
        <v>9.5</v>
      </c>
      <c r="C9" s="2">
        <f>CONVERT($B$9,"m/sec","km/hr")</f>
        <v>34.200000000000003</v>
      </c>
    </row>
    <row r="10" spans="1:10" x14ac:dyDescent="0.25">
      <c r="A10" t="s">
        <v>3</v>
      </c>
      <c r="B10" s="2">
        <v>90</v>
      </c>
      <c r="C10" s="2"/>
    </row>
    <row r="11" spans="1:10" x14ac:dyDescent="0.25">
      <c r="A11" s="22" t="s">
        <v>46</v>
      </c>
      <c r="B11" s="2">
        <v>0.25</v>
      </c>
      <c r="C11" s="25"/>
    </row>
    <row r="12" spans="1:10" x14ac:dyDescent="0.25">
      <c r="A12" s="22" t="s">
        <v>47</v>
      </c>
      <c r="B12" s="2" cm="1">
        <f t="array" ref="B12">MOAToMRAD($B$11)</f>
        <v>7.2722052166430393E-2</v>
      </c>
      <c r="C12" s="25">
        <f>$B$12/2</f>
        <v>3.6361026083215196E-2</v>
      </c>
    </row>
    <row r="13" spans="1:10" x14ac:dyDescent="0.25">
      <c r="A13" s="22" t="s">
        <v>26</v>
      </c>
      <c r="B13" s="2">
        <f>CONVERT(1.5,"in","cm")</f>
        <v>3.81</v>
      </c>
      <c r="D13" s="2">
        <f>CONVERT($B$13,"cm","in")</f>
        <v>1.5</v>
      </c>
    </row>
    <row r="14" spans="1:10" x14ac:dyDescent="0.25">
      <c r="A14" s="22" t="s">
        <v>5</v>
      </c>
      <c r="B14" t="s">
        <v>48</v>
      </c>
    </row>
    <row r="15" spans="1:10" x14ac:dyDescent="0.25">
      <c r="A15" t="s">
        <v>49</v>
      </c>
      <c r="B15" s="23" t="s">
        <v>50</v>
      </c>
      <c r="C15" s="23" t="s">
        <v>51</v>
      </c>
      <c r="D15" s="23" t="s">
        <v>52</v>
      </c>
      <c r="E15" s="23" t="s">
        <v>53</v>
      </c>
    </row>
    <row r="16" spans="1:10" x14ac:dyDescent="0.25">
      <c r="A16" s="22" t="s">
        <v>54</v>
      </c>
      <c r="B16" s="2">
        <v>0.5</v>
      </c>
      <c r="C16">
        <f>$B16/2</f>
        <v>0.25</v>
      </c>
      <c r="D16" s="2">
        <f>$B$16 * $B$18</f>
        <v>0.18180513041607596</v>
      </c>
      <c r="E16" s="24">
        <f>$D16/2</f>
        <v>9.090256520803798E-2</v>
      </c>
    </row>
    <row r="17" spans="1:19" x14ac:dyDescent="0.25">
      <c r="A17" s="22" t="s">
        <v>55</v>
      </c>
      <c r="B17" s="2">
        <v>0.2</v>
      </c>
      <c r="C17">
        <f t="shared" ref="C17" si="0">$B17/2</f>
        <v>0.1</v>
      </c>
      <c r="D17" s="2">
        <f>$B$17 * $B$18</f>
        <v>7.2722052166430393E-2</v>
      </c>
      <c r="E17" s="24">
        <f>$D17/2</f>
        <v>3.6361026083215196E-2</v>
      </c>
    </row>
    <row r="18" spans="1:19" x14ac:dyDescent="0.25">
      <c r="A18" s="11" t="s">
        <v>56</v>
      </c>
      <c r="B18" s="12">
        <f>$B$12/$B$17</f>
        <v>0.36361026083215192</v>
      </c>
      <c r="C18" s="2"/>
      <c r="K18" s="2">
        <v>4.5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  <c r="Q18" s="2">
        <v>4</v>
      </c>
      <c r="R18" s="2">
        <v>50</v>
      </c>
    </row>
    <row r="19" spans="1:19" x14ac:dyDescent="0.25">
      <c r="A19" s="26" t="s">
        <v>57</v>
      </c>
      <c r="B19" s="27"/>
      <c r="C19" s="2" cm="1">
        <f t="array" ref="C19">ProbableAngularPOIError(C17,C16,B17,0.2)</f>
        <v>0.10506023235856565</v>
      </c>
      <c r="D19" s="2"/>
      <c r="E19" s="2" cm="1">
        <f t="array" ref="E19">ProbableAngularPOIError(D17,D16,B12,0.68)</f>
        <v>7.5122274118138516E-2</v>
      </c>
      <c r="K19" s="2"/>
      <c r="L19" s="2"/>
      <c r="M19" s="2"/>
      <c r="N19" s="2"/>
      <c r="O19" s="2"/>
      <c r="P19" s="2"/>
      <c r="Q19" s="2"/>
      <c r="R19" s="2"/>
    </row>
    <row r="20" spans="1:19" x14ac:dyDescent="0.25">
      <c r="C20" s="42" t="s">
        <v>24</v>
      </c>
      <c r="D20" s="42"/>
      <c r="E20" s="42"/>
      <c r="F20" s="42"/>
      <c r="G20" s="42"/>
      <c r="H20" s="13"/>
      <c r="I20" s="13"/>
      <c r="J20" s="13" t="s">
        <v>74</v>
      </c>
      <c r="K20" s="42" t="s">
        <v>25</v>
      </c>
      <c r="L20" s="42"/>
      <c r="M20" s="42"/>
      <c r="N20" s="42"/>
      <c r="O20" s="42"/>
      <c r="P20" s="13"/>
      <c r="Q20" s="13"/>
      <c r="R20" s="13" t="s">
        <v>76</v>
      </c>
      <c r="S20" s="28" t="s">
        <v>29</v>
      </c>
    </row>
    <row r="21" spans="1:19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31</v>
      </c>
      <c r="I21" t="s">
        <v>32</v>
      </c>
      <c r="J21" t="s">
        <v>75</v>
      </c>
      <c r="K21" s="16" t="s">
        <v>6</v>
      </c>
      <c r="L21" s="16" t="s">
        <v>7</v>
      </c>
      <c r="M21" s="16" t="s">
        <v>8</v>
      </c>
      <c r="N21" s="16" t="s">
        <v>9</v>
      </c>
      <c r="O21" s="16" t="s">
        <v>10</v>
      </c>
      <c r="P21" s="16" t="s">
        <v>31</v>
      </c>
      <c r="Q21" s="29" t="s">
        <v>32</v>
      </c>
      <c r="R21" s="29" t="s">
        <v>30</v>
      </c>
      <c r="S21" s="28" t="s">
        <v>30</v>
      </c>
    </row>
    <row r="22" spans="1:19" x14ac:dyDescent="0.25">
      <c r="A22" s="1">
        <v>0</v>
      </c>
      <c r="B22" s="1">
        <v>6112.3</v>
      </c>
      <c r="C22" s="3"/>
      <c r="D22" s="4"/>
      <c r="E22" s="4"/>
      <c r="F22" s="4"/>
      <c r="G22" s="5"/>
      <c r="H22" s="5"/>
      <c r="I22" s="4"/>
      <c r="J22" s="41">
        <v>0</v>
      </c>
      <c r="K22" s="8">
        <f t="shared" ref="K22:Q22" si="1">$B$13*(-1)</f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8">
        <f t="shared" si="1"/>
        <v>-3.81</v>
      </c>
      <c r="Q22" s="30">
        <f t="shared" si="1"/>
        <v>-3.81</v>
      </c>
      <c r="R22" s="39">
        <v>0</v>
      </c>
      <c r="S22" s="31">
        <v>0</v>
      </c>
    </row>
    <row r="23" spans="1:19" x14ac:dyDescent="0.25">
      <c r="A23" s="1">
        <v>25</v>
      </c>
      <c r="B23" s="1">
        <v>5853.6</v>
      </c>
      <c r="C23" s="6">
        <v>-0.25</v>
      </c>
      <c r="D23" s="6">
        <v>-0.33300000000000002</v>
      </c>
      <c r="E23" s="6">
        <v>-0.26</v>
      </c>
      <c r="F23" s="6">
        <v>-0.16700000000000001</v>
      </c>
      <c r="G23" s="6">
        <v>6.25E-2</v>
      </c>
      <c r="H23" s="6">
        <v>0.33300000000000002</v>
      </c>
      <c r="I23" s="14">
        <v>0.6875</v>
      </c>
      <c r="J23" s="14">
        <v>0</v>
      </c>
      <c r="K23" s="9" cm="1">
        <f t="array" ref="K23">TrajectoryDropInCM(C23,$A23,K$18)</f>
        <v>-2.8125011865240381</v>
      </c>
      <c r="L23" s="9" cm="1">
        <f t="array" ref="L23">TrajectoryDropInCM(D23,$A23,L$18)</f>
        <v>-3.3300019693900382</v>
      </c>
      <c r="M23" s="9" cm="1">
        <f t="array" ref="M23">TrajectoryDropInCM(E23,$A23,M$18)</f>
        <v>-2.6000009373870725</v>
      </c>
      <c r="N23" s="9" cm="1">
        <f t="array" ref="N23">TrajectoryDropInCM(F23,$A23,N$18)</f>
        <v>-1.6700002483980712</v>
      </c>
      <c r="O23" s="9" cm="1">
        <f t="array" ref="O23">TrajectoryDropInCM(G23,$A23,O$18)</f>
        <v>0.62500001302083352</v>
      </c>
      <c r="P23" s="9" cm="1">
        <f t="array" ref="P23">TrajectoryDropInCM(H23,$A23,P$18)</f>
        <v>3.3300019693900382</v>
      </c>
      <c r="Q23" s="32" cm="1">
        <f t="array" ref="Q23">TrajectoryDropInCM(I23,$A23,Q$18)</f>
        <v>6.8750173307815912</v>
      </c>
      <c r="R23" s="32" cm="1">
        <f t="array" ref="R23">TrajectoryDropInCM(J23,$A23,R$18)</f>
        <v>0</v>
      </c>
      <c r="S23" s="31" cm="1">
        <f t="array" ref="S23">TrajectoryErrorCM($E$19,1,$A23)</f>
        <v>0.18780568529534628</v>
      </c>
    </row>
    <row r="24" spans="1:19" x14ac:dyDescent="0.25">
      <c r="A24" s="1">
        <v>50</v>
      </c>
      <c r="B24" s="1">
        <v>5528.5</v>
      </c>
      <c r="C24" s="7">
        <v>0</v>
      </c>
      <c r="D24" s="6">
        <v>-0.1</v>
      </c>
      <c r="E24" s="6">
        <v>0</v>
      </c>
      <c r="F24" s="6">
        <v>0.1</v>
      </c>
      <c r="G24" s="6">
        <v>0.31259999999999999</v>
      </c>
      <c r="H24" s="6">
        <v>0.58299999999999996</v>
      </c>
      <c r="I24" s="14">
        <v>0.95</v>
      </c>
      <c r="J24" s="14">
        <v>0</v>
      </c>
      <c r="K24" s="9" cm="1">
        <f t="array" ref="K24">TrajectoryDropInCM(C24,$A24,K$18)</f>
        <v>0</v>
      </c>
      <c r="L24" s="9" cm="1">
        <f t="array" ref="L24">TrajectoryDropInCM(D24,$A24,L$18)</f>
        <v>-2.0000001066666733</v>
      </c>
      <c r="M24" s="9" cm="1">
        <f t="array" ref="M24">TrajectoryDropInCM(E24,$A24,M$18)</f>
        <v>0</v>
      </c>
      <c r="N24" s="9" cm="1">
        <f t="array" ref="N24">TrajectoryDropInCM(F24,$A24,N$18)</f>
        <v>2.0000001066666733</v>
      </c>
      <c r="O24" s="9" cm="1">
        <f t="array" ref="O24">TrajectoryDropInCM(G24,$A24,O$18)</f>
        <v>6.252003258336372</v>
      </c>
      <c r="P24" s="9" cm="1">
        <f t="array" ref="P24">TrajectoryDropInCM(H24,$A24,P$18)</f>
        <v>11.660021136609924</v>
      </c>
      <c r="Q24" s="32" cm="1">
        <f t="array" ref="Q24">TrajectoryDropInCM(I24,$A24,Q$18)</f>
        <v>19.000091453861572</v>
      </c>
      <c r="R24" s="32" cm="1">
        <f t="array" ref="R24">TrajectoryDropInCM(J24,$A24,R$18)</f>
        <v>0</v>
      </c>
      <c r="S24" s="31" cm="1">
        <f t="array" ref="S24">TrajectoryErrorCM($E$19,1,$A24)</f>
        <v>0.37561137059069255</v>
      </c>
    </row>
    <row r="25" spans="1:19" x14ac:dyDescent="0.25">
      <c r="A25" s="1">
        <v>75</v>
      </c>
      <c r="B25" s="1">
        <v>5226.5</v>
      </c>
      <c r="C25" s="6">
        <v>0.1</v>
      </c>
      <c r="D25" s="6">
        <v>0</v>
      </c>
      <c r="E25" s="6">
        <v>8.3000000000000004E-2</v>
      </c>
      <c r="F25" s="6">
        <v>0.125</v>
      </c>
      <c r="G25" s="6">
        <v>0.375</v>
      </c>
      <c r="H25" s="6">
        <v>0.65</v>
      </c>
      <c r="I25" s="14">
        <v>1.05</v>
      </c>
      <c r="J25" s="14">
        <v>0</v>
      </c>
      <c r="K25" s="9" cm="1">
        <f t="array" ref="K25">TrajectoryDropInCM(C25,$A25,K$18)</f>
        <v>3.3750002278125182</v>
      </c>
      <c r="L25" s="9" cm="1">
        <f t="array" ref="L25">TrajectoryDropInCM(D25,$A25,L$18)</f>
        <v>0</v>
      </c>
      <c r="M25" s="9" cm="1">
        <f t="array" ref="M25">TrajectoryDropInCM(E25,$A25,M$18)</f>
        <v>2.4900000914859239</v>
      </c>
      <c r="N25" s="9" cm="1">
        <f t="array" ref="N25">TrajectoryDropInCM(F25,$A25,N$18)</f>
        <v>3.7500003125000307</v>
      </c>
      <c r="O25" s="9" cm="1">
        <f t="array" ref="O25">TrajectoryDropInCM(G25,$A25,O$18)</f>
        <v>11.250008437507594</v>
      </c>
      <c r="P25" s="9" cm="1">
        <f t="array" ref="P25">TrajectoryDropInCM(H25,$A25,P$18)</f>
        <v>19.500043940118815</v>
      </c>
      <c r="Q25" s="32" cm="1">
        <f t="array" ref="Q25">TrajectoryDropInCM(I25,$A25,Q$18)</f>
        <v>31.500185221306932</v>
      </c>
      <c r="R25" s="32" cm="1">
        <f t="array" ref="R25">TrajectoryDropInCM(J25,$A25,R$18)</f>
        <v>0</v>
      </c>
      <c r="S25" s="31" cm="1">
        <f t="array" ref="S25">TrajectoryErrorCM($E$19,1,$A25)</f>
        <v>0.56341705588603885</v>
      </c>
    </row>
    <row r="26" spans="1:19" x14ac:dyDescent="0.25">
      <c r="A26" s="1">
        <v>100</v>
      </c>
      <c r="B26" s="1">
        <v>4901.6000000000004</v>
      </c>
      <c r="C26" s="6">
        <v>0.1</v>
      </c>
      <c r="D26" s="7">
        <v>0</v>
      </c>
      <c r="E26" s="6">
        <v>8.3000000000000004E-2</v>
      </c>
      <c r="F26" s="6">
        <v>0.125</v>
      </c>
      <c r="G26" s="6">
        <v>0.375</v>
      </c>
      <c r="H26" s="6">
        <v>0.65</v>
      </c>
      <c r="I26" s="14">
        <v>1.05</v>
      </c>
      <c r="J26" s="14">
        <v>0</v>
      </c>
      <c r="K26" s="9" cm="1">
        <f t="array" ref="K26">TrajectoryDropInCM(C26,$A26,K$18)</f>
        <v>4.5000003037500242</v>
      </c>
      <c r="L26" s="9" cm="1">
        <f t="array" ref="L26">TrajectoryDropInCM(D26,$A26,L$18)</f>
        <v>0</v>
      </c>
      <c r="M26" s="9" cm="1">
        <f t="array" ref="M26">TrajectoryDropInCM(E26,$A26,M$18)</f>
        <v>3.3200001219812321</v>
      </c>
      <c r="N26" s="9" cm="1">
        <f t="array" ref="N26">TrajectoryDropInCM(F26,$A26,N$18)</f>
        <v>5.0000004166667074</v>
      </c>
      <c r="O26" s="9" cm="1">
        <f t="array" ref="O26">TrajectoryDropInCM(G26,$A26,O$18)</f>
        <v>15.000011250010125</v>
      </c>
      <c r="P26" s="9" cm="1">
        <f t="array" ref="P26">TrajectoryDropInCM(H26,$A26,P$18)</f>
        <v>26.000058586825087</v>
      </c>
      <c r="Q26" s="32" cm="1">
        <f t="array" ref="Q26">TrajectoryDropInCM(I26,$A26,Q$18)</f>
        <v>42.000246961742569</v>
      </c>
      <c r="R26" s="32" cm="1">
        <f t="array" ref="R26">TrajectoryDropInCM(J26,$A26,R$18)</f>
        <v>0</v>
      </c>
      <c r="S26" s="31" cm="1">
        <f t="array" ref="S26">TrajectoryErrorCM($E$19,1,$A26)</f>
        <v>0.7512227411813851</v>
      </c>
    </row>
    <row r="27" spans="1:19" x14ac:dyDescent="0.25">
      <c r="A27" s="1">
        <v>125</v>
      </c>
      <c r="B27" s="1">
        <v>4644</v>
      </c>
      <c r="C27" s="6">
        <v>8.3000000000000004E-2</v>
      </c>
      <c r="D27" s="6">
        <v>0</v>
      </c>
      <c r="E27" s="6">
        <v>6.25E-2</v>
      </c>
      <c r="F27" s="6">
        <v>0.125</v>
      </c>
      <c r="G27" s="6">
        <v>0.375</v>
      </c>
      <c r="H27" s="6">
        <v>0.65</v>
      </c>
      <c r="I27" s="14">
        <v>1</v>
      </c>
      <c r="J27" s="14">
        <v>0</v>
      </c>
      <c r="K27" s="9" cm="1">
        <f t="array" ref="K27">TrajectoryDropInCM(C27,$A27,K$18)</f>
        <v>4.6687502171003894</v>
      </c>
      <c r="L27" s="9" cm="1">
        <f t="array" ref="L27">TrajectoryDropInCM(D27,$A27,L$18)</f>
        <v>0</v>
      </c>
      <c r="M27" s="9" cm="1">
        <f t="array" ref="M27">TrajectoryDropInCM(E27,$A27,M$18)</f>
        <v>3.1250000651041678</v>
      </c>
      <c r="N27" s="9" cm="1">
        <f t="array" ref="N27">TrajectoryDropInCM(F27,$A27,N$18)</f>
        <v>6.2500005208333844</v>
      </c>
      <c r="O27" s="9" cm="1">
        <f t="array" ref="O27">TrajectoryDropInCM(G27,$A27,O$18)</f>
        <v>18.750014062512658</v>
      </c>
      <c r="P27" s="9" cm="1">
        <f t="array" ref="P27">TrajectoryDropInCM(H27,$A27,P$18)</f>
        <v>32.50007323353136</v>
      </c>
      <c r="Q27" s="32" cm="1">
        <f t="array" ref="Q27">TrajectoryDropInCM(I27,$A27,Q$18)</f>
        <v>50.000266668373342</v>
      </c>
      <c r="R27" s="32" cm="1">
        <f t="array" ref="R27">TrajectoryDropInCM(J27,$A27,R$18)</f>
        <v>0</v>
      </c>
      <c r="S27" s="31" cm="1">
        <f t="array" ref="S27">TrajectoryErrorCM($E$19,1,$A27)</f>
        <v>0.93902842647673146</v>
      </c>
    </row>
    <row r="28" spans="1:19" x14ac:dyDescent="0.25">
      <c r="A28" s="1">
        <v>150</v>
      </c>
      <c r="B28" s="1">
        <v>4365.5</v>
      </c>
      <c r="C28" s="6">
        <v>6.25E-2</v>
      </c>
      <c r="D28" s="6">
        <v>-6.25E-2</v>
      </c>
      <c r="E28" s="7">
        <v>0</v>
      </c>
      <c r="F28" s="6">
        <v>0.125</v>
      </c>
      <c r="G28" s="6">
        <v>0.33300000000000002</v>
      </c>
      <c r="H28" s="6">
        <v>0.625</v>
      </c>
      <c r="I28" s="14">
        <v>0.95</v>
      </c>
      <c r="J28" s="14">
        <v>5.0000000000000001E-3</v>
      </c>
      <c r="K28" s="9" cm="1">
        <f t="array" ref="K28">TrajectoryDropInCM(C28,$A28,K$18)</f>
        <v>4.2187501112365755</v>
      </c>
      <c r="L28" s="9" cm="1">
        <f t="array" ref="L28">TrajectoryDropInCM(D28,$A28,L$18)</f>
        <v>-3.7500000781250016</v>
      </c>
      <c r="M28" s="9" cm="1">
        <f t="array" ref="M28">TrajectoryDropInCM(E28,$A28,M$18)</f>
        <v>0</v>
      </c>
      <c r="N28" s="9" cm="1">
        <f t="array" ref="N28">TrajectoryDropInCM(F28,$A28,N$18)</f>
        <v>7.5000006250000615</v>
      </c>
      <c r="O28" s="9" cm="1">
        <f t="array" ref="O28">TrajectoryDropInCM(G28,$A28,O$18)</f>
        <v>19.98001181634023</v>
      </c>
      <c r="P28" s="9" cm="1">
        <f t="array" ref="P28">TrajectoryDropInCM(H28,$A28,P$18)</f>
        <v>37.500078125195316</v>
      </c>
      <c r="Q28" s="32" cm="1">
        <f t="array" ref="Q28">TrajectoryDropInCM(I28,$A28,Q$18)</f>
        <v>57.000274361584715</v>
      </c>
      <c r="R28" s="32" cm="1">
        <f t="array" ref="R28">TrajectoryDropInCM(J28,$A28,R$18)</f>
        <v>3.7500000781250016</v>
      </c>
      <c r="S28" s="31" cm="1">
        <f t="array" ref="S28">TrajectoryErrorCM($E$19,1,$A28)</f>
        <v>1.1268341117720777</v>
      </c>
    </row>
    <row r="29" spans="1:19" x14ac:dyDescent="0.25">
      <c r="A29" s="1">
        <v>200</v>
      </c>
      <c r="B29" s="1">
        <v>3868.4</v>
      </c>
      <c r="C29" s="6">
        <v>-6.25E-2</v>
      </c>
      <c r="D29" s="6">
        <v>-0.13500000000000001</v>
      </c>
      <c r="E29" s="6">
        <v>-8.3000000000000004E-2</v>
      </c>
      <c r="F29" s="7">
        <v>0</v>
      </c>
      <c r="G29" s="6">
        <v>0.25</v>
      </c>
      <c r="H29" s="6">
        <v>0.55000000000000004</v>
      </c>
      <c r="I29" s="14">
        <v>0.875</v>
      </c>
      <c r="J29" s="14">
        <v>5.0000000000000001E-3</v>
      </c>
      <c r="K29" s="9" cm="1">
        <f t="array" ref="K29">TrajectoryDropInCM(C29,$A29,K$18)</f>
        <v>-5.6250001483154337</v>
      </c>
      <c r="L29" s="9" cm="1">
        <f t="array" ref="L29">TrajectoryDropInCM(D29,$A29,L$18)</f>
        <v>-10.800001049760123</v>
      </c>
      <c r="M29" s="9" cm="1">
        <f t="array" ref="M29">TrajectoryDropInCM(E29,$A29,M$18)</f>
        <v>-6.6400002439624641</v>
      </c>
      <c r="N29" s="9" cm="1">
        <f t="array" ref="N29">TrajectoryDropInCM(F29,$A29,N$18)</f>
        <v>0</v>
      </c>
      <c r="O29" s="9" cm="1">
        <f t="array" ref="O29">TrajectoryDropInCM(G29,$A29,O$18)</f>
        <v>20.000006666669336</v>
      </c>
      <c r="P29" s="9" cm="1">
        <f t="array" ref="P29">TrajectoryDropInCM(H29,$A29,P$18)</f>
        <v>44.000070986804104</v>
      </c>
      <c r="Q29" s="32" cm="1">
        <f t="array" ref="Q29">TrajectoryDropInCM(I29,$A29,Q$18)</f>
        <v>70.00028583473393</v>
      </c>
      <c r="R29" s="32" cm="1">
        <f t="array" ref="R29">TrajectoryDropInCM(J29,$A29,R$18)</f>
        <v>5.0000001041666682</v>
      </c>
      <c r="S29" s="31" cm="1">
        <f t="array" ref="S29">TrajectoryErrorCM($E$19,1,$A29)</f>
        <v>1.5024454823627702</v>
      </c>
    </row>
    <row r="30" spans="1:19" x14ac:dyDescent="0.25">
      <c r="A30" s="1">
        <v>250</v>
      </c>
      <c r="B30" s="1">
        <v>3413.7</v>
      </c>
      <c r="C30" s="6">
        <v>-0.16700000000000001</v>
      </c>
      <c r="D30" s="6">
        <v>-0.25</v>
      </c>
      <c r="E30" s="6">
        <v>-0.16700000000000001</v>
      </c>
      <c r="F30" s="6">
        <v>-0.125</v>
      </c>
      <c r="G30" s="6">
        <v>0.125</v>
      </c>
      <c r="H30" s="6">
        <v>0.4375</v>
      </c>
      <c r="I30" s="14">
        <v>0.8</v>
      </c>
      <c r="J30" s="14">
        <v>0.01</v>
      </c>
      <c r="K30" s="9" cm="1">
        <f t="array" ref="K30">TrajectoryDropInCM(C30,$A30,K$18)</f>
        <v>-18.787503536761768</v>
      </c>
      <c r="L30" s="9" cm="1">
        <f t="array" ref="L30">TrajectoryDropInCM(D30,$A30,L$18)</f>
        <v>-25.00000833333667</v>
      </c>
      <c r="M30" s="9" cm="1">
        <f t="array" ref="M30">TrajectoryDropInCM(E30,$A30,M$18)</f>
        <v>-16.700002483980715</v>
      </c>
      <c r="N30" s="9" cm="1">
        <f t="array" ref="N30">TrajectoryDropInCM(F30,$A30,N$18)</f>
        <v>-12.500001041666769</v>
      </c>
      <c r="O30" s="9" cm="1">
        <f t="array" ref="O30">TrajectoryDropInCM(G30,$A30,O$18)</f>
        <v>12.500001041666769</v>
      </c>
      <c r="P30" s="9" cm="1">
        <f t="array" ref="P30">TrajectoryDropInCM(H30,$A30,P$18)</f>
        <v>43.750044661513051</v>
      </c>
      <c r="Q30" s="32" cm="1">
        <f t="array" ref="Q30">TrajectoryDropInCM(I30,$A30,Q$18)</f>
        <v>80.000273067785159</v>
      </c>
      <c r="R30" s="32" cm="1">
        <f t="array" ref="R30">TrajectoryDropInCM(J30,$A30,R$18)</f>
        <v>12.500001041666769</v>
      </c>
      <c r="S30" s="31" cm="1">
        <f t="array" ref="S30">TrajectoryErrorCM($E$19,1,$A30)</f>
        <v>1.8780568529534629</v>
      </c>
    </row>
    <row r="31" spans="1:19" x14ac:dyDescent="0.25">
      <c r="A31" s="1">
        <v>300</v>
      </c>
      <c r="B31" s="1">
        <v>3001.5</v>
      </c>
      <c r="C31" s="6">
        <v>-0.3125</v>
      </c>
      <c r="D31" s="6">
        <v>-0.375</v>
      </c>
      <c r="E31" s="6">
        <v>-0.3125</v>
      </c>
      <c r="F31" s="6">
        <v>-0.25</v>
      </c>
      <c r="G31" s="7">
        <v>0</v>
      </c>
      <c r="H31" s="17">
        <v>0.3125</v>
      </c>
      <c r="I31" s="18">
        <v>0.67700000000000005</v>
      </c>
      <c r="J31" s="18">
        <v>3.15E-2</v>
      </c>
      <c r="K31" s="9" cm="1">
        <f t="array" ref="K31">TrajectoryDropInCM(C31,$A31,K$18)</f>
        <v>-42.187527809165061</v>
      </c>
      <c r="L31" s="9" cm="1">
        <f t="array" ref="L31">TrajectoryDropInCM(D31,$A31,L$18)</f>
        <v>-45.000033750030376</v>
      </c>
      <c r="M31" s="9" cm="1">
        <f t="array" ref="M31">TrajectoryDropInCM(E31,$A31,M$18)</f>
        <v>-37.500019531262211</v>
      </c>
      <c r="N31" s="9" cm="1">
        <f t="array" ref="N31">TrajectoryDropInCM(F31,$A31,N$18)</f>
        <v>-30.000010000004</v>
      </c>
      <c r="O31" s="9" cm="1">
        <f t="array" ref="O31">TrajectoryDropInCM(G31,$A31,O$18)</f>
        <v>0</v>
      </c>
      <c r="P31" s="9" cm="1">
        <f t="array" ref="P31">TrajectoryDropInCM(H31,$A31,P$18)</f>
        <v>37.500019531262211</v>
      </c>
      <c r="Q31" s="32" cm="1">
        <f t="array" ref="Q31">TrajectoryDropInCM(I31,$A31,Q$18)</f>
        <v>81.240198585371644</v>
      </c>
      <c r="R31" s="32" cm="1">
        <f t="array" ref="R31">TrajectoryDropInCM(J31,$A31,R$18)</f>
        <v>47.250039069882519</v>
      </c>
      <c r="S31" s="31" cm="1">
        <f t="array" ref="S31">TrajectoryErrorCM($E$19,1,$A31)</f>
        <v>2.2536682235441554</v>
      </c>
    </row>
    <row r="32" spans="1:19" x14ac:dyDescent="0.25">
      <c r="A32" s="1">
        <v>350</v>
      </c>
      <c r="B32" s="1">
        <v>2632.2</v>
      </c>
      <c r="C32" s="17">
        <v>-0.4375</v>
      </c>
      <c r="D32" s="17">
        <v>-0.5</v>
      </c>
      <c r="E32" s="17">
        <v>-0.45</v>
      </c>
      <c r="F32" s="17">
        <v>-0.375</v>
      </c>
      <c r="G32" s="17">
        <v>-0.125</v>
      </c>
      <c r="H32" s="17">
        <v>0.125</v>
      </c>
      <c r="I32" s="18">
        <v>0.5</v>
      </c>
      <c r="J32" s="18">
        <v>3.15E-2</v>
      </c>
      <c r="K32" s="38" cm="1">
        <f t="array" ref="K32">TrajectoryDropInCM(C32,$A32,K$18)</f>
        <v>-68.906339026474683</v>
      </c>
      <c r="L32" s="38" cm="1">
        <f t="array" ref="L32">TrajectoryDropInCM(D32,$A32,L$18)</f>
        <v>-70.000093333482667</v>
      </c>
      <c r="M32" s="38" cm="1">
        <f t="array" ref="M32">TrajectoryDropInCM(E32,$A32,M$18)</f>
        <v>-63.000068040088173</v>
      </c>
      <c r="N32" s="38" cm="1">
        <f t="array" ref="N32">TrajectoryDropInCM(F32,$A32,N$18)</f>
        <v>-52.500039375035435</v>
      </c>
      <c r="O32" s="38" cm="1">
        <f t="array" ref="O32">TrajectoryDropInCM(G32,$A32,O$18)</f>
        <v>-17.500001458333479</v>
      </c>
      <c r="P32" s="38" cm="1">
        <f t="array" ref="P32">TrajectoryDropInCM(H32,$A32,P$18)</f>
        <v>17.500001458333479</v>
      </c>
      <c r="Q32" s="39" cm="1">
        <f t="array" ref="Q32">TrajectoryDropInCM(I32,$A32,Q$18)</f>
        <v>70.000093333482667</v>
      </c>
      <c r="R32" s="39" cm="1">
        <f t="array" ref="R32">TrajectoryDropInCM(J32,$A32,R$18)</f>
        <v>55.125045581529605</v>
      </c>
      <c r="S32" s="31" cm="1">
        <f t="array" ref="S32">TrajectoryErrorCM($E$19,1,$A32)</f>
        <v>2.6292795941348479</v>
      </c>
    </row>
    <row r="33" spans="1:19" x14ac:dyDescent="0.25">
      <c r="A33" s="1">
        <v>400</v>
      </c>
      <c r="B33" s="1">
        <v>2304.6</v>
      </c>
      <c r="C33" s="17">
        <v>-0.6</v>
      </c>
      <c r="D33" s="17">
        <v>-0.66700000000000004</v>
      </c>
      <c r="E33" s="17">
        <v>-0.625</v>
      </c>
      <c r="F33" s="17">
        <v>-0.5</v>
      </c>
      <c r="G33" s="17">
        <v>-0.3125</v>
      </c>
      <c r="H33" s="7">
        <v>0</v>
      </c>
      <c r="I33" s="18">
        <v>0.375</v>
      </c>
      <c r="J33" s="18">
        <v>6.25E-2</v>
      </c>
      <c r="K33" s="38" cm="1">
        <f t="array" ref="K33">TrajectoryDropInCM(C33,$A33,K$18)</f>
        <v>-108.00026244076525</v>
      </c>
      <c r="L33" s="38" cm="1">
        <f t="array" ref="L33">TrajectoryDropInCM(D33,$A33,L$18)</f>
        <v>-106.72025321967608</v>
      </c>
      <c r="M33" s="38" cm="1">
        <f t="array" ref="M33">TrajectoryDropInCM(E33,$A33,M$18)</f>
        <v>-100.00020833385418</v>
      </c>
      <c r="N33" s="38" cm="1">
        <f t="array" ref="N33">TrajectoryDropInCM(F33,$A33,N$18)</f>
        <v>-80.000106666837326</v>
      </c>
      <c r="O33" s="38" cm="1">
        <f t="array" ref="O33">TrajectoryDropInCM(G33,$A33,O$18)</f>
        <v>-50.000026041682943</v>
      </c>
      <c r="P33" s="38" cm="1">
        <f t="array" ref="P33">TrajectoryDropInCM(H33,$A33,P$18)</f>
        <v>0</v>
      </c>
      <c r="Q33" s="39" cm="1">
        <f t="array" ref="Q33">TrajectoryDropInCM(I33,$A33,Q$18)</f>
        <v>60.000045000040501</v>
      </c>
      <c r="R33" s="39" cm="1">
        <f t="array" ref="R33">TrajectoryDropInCM(J33,$A33,R$18)</f>
        <v>125.00040690263114</v>
      </c>
      <c r="S33" s="31" cm="1">
        <f t="array" ref="S33">TrajectoryErrorCM($E$19,1,$A33)</f>
        <v>3.0048909647255404</v>
      </c>
    </row>
    <row r="34" spans="1:19" x14ac:dyDescent="0.25">
      <c r="A34" s="1">
        <v>450</v>
      </c>
      <c r="B34" s="1">
        <v>2004.3</v>
      </c>
      <c r="C34" s="17">
        <v>-0.75</v>
      </c>
      <c r="D34" s="17">
        <v>-0.83299999999999996</v>
      </c>
      <c r="E34" s="17">
        <v>-0.8</v>
      </c>
      <c r="F34" s="17">
        <v>-0.6875</v>
      </c>
      <c r="G34" s="17">
        <v>-0.45</v>
      </c>
      <c r="H34" s="17">
        <v>-0.16700000000000001</v>
      </c>
      <c r="I34" s="18">
        <v>0.16700000000000001</v>
      </c>
      <c r="J34" s="18">
        <v>7.4999999999999997E-2</v>
      </c>
      <c r="K34" s="38" cm="1">
        <f t="array" ref="K34">TrajectoryDropInCM(C34,$A34,K$18)</f>
        <v>-151.87557665301802</v>
      </c>
      <c r="L34" s="38" cm="1">
        <f t="array" ref="L34">TrajectoryDropInCM(D34,$A34,L$18)</f>
        <v>-149.94055489161974</v>
      </c>
      <c r="M34" s="38" cm="1">
        <f t="array" ref="M34">TrajectoryDropInCM(E34,$A34,M$18)</f>
        <v>-144.00049152201325</v>
      </c>
      <c r="N34" s="38" cm="1">
        <f t="array" ref="N34">TrajectoryDropInCM(F34,$A34,N$18)</f>
        <v>-123.75031195406865</v>
      </c>
      <c r="O34" s="38" cm="1">
        <f t="array" ref="O34">TrajectoryDropInCM(G34,$A34,O$18)</f>
        <v>-81.000087480113365</v>
      </c>
      <c r="P34" s="38" cm="1">
        <f t="array" ref="P34">TrajectoryDropInCM(H34,$A34,P$18)</f>
        <v>-30.060004471165279</v>
      </c>
      <c r="Q34" s="39" cm="1">
        <f t="array" ref="Q34">TrajectoryDropInCM(I34,$A34,Q$18)</f>
        <v>30.060004471165279</v>
      </c>
      <c r="R34" s="39" cm="1">
        <f t="array" ref="R34">TrajectoryDropInCM(J34,$A34,R$18)</f>
        <v>168.75079102007447</v>
      </c>
      <c r="S34" s="31" cm="1">
        <f t="array" ref="S34">TrajectoryErrorCM($E$19,1,$A34)</f>
        <v>3.3805023353162333</v>
      </c>
    </row>
    <row r="35" spans="1:19" x14ac:dyDescent="0.25">
      <c r="A35" s="1">
        <v>500</v>
      </c>
      <c r="B35" s="1">
        <v>1757.9</v>
      </c>
      <c r="C35" s="17">
        <v>-0.95</v>
      </c>
      <c r="D35" s="17">
        <v>-1.05</v>
      </c>
      <c r="E35" s="17">
        <v>-0.97499999999999998</v>
      </c>
      <c r="F35" s="17">
        <v>-0.82499999999999996</v>
      </c>
      <c r="G35" s="17">
        <v>-0.65</v>
      </c>
      <c r="H35" s="17">
        <v>-0.375</v>
      </c>
      <c r="I35" s="15">
        <v>0</v>
      </c>
      <c r="J35" s="18">
        <v>7.4999999999999997E-2</v>
      </c>
      <c r="K35" s="38" cm="1">
        <f t="array" ref="K35">TrajectoryDropInCM(C35,$A35,K$18)</f>
        <v>-213.75130214780023</v>
      </c>
      <c r="L35" s="38" cm="1">
        <f t="array" ref="L35">TrajectoryDropInCM(D35,$A35,L$18)</f>
        <v>-210.00123480871284</v>
      </c>
      <c r="M35" s="38" cm="1">
        <f t="array" ref="M35">TrajectoryDropInCM(E35,$A35,M$18)</f>
        <v>-195.00098865601495</v>
      </c>
      <c r="N35" s="38" cm="1">
        <f t="array" ref="N35">TrajectoryDropInCM(F35,$A35,N$18)</f>
        <v>-165.00059895260901</v>
      </c>
      <c r="O35" s="38" cm="1">
        <f t="array" ref="O35">TrajectoryDropInCM(G35,$A35,O$18)</f>
        <v>-130.00029293412544</v>
      </c>
      <c r="P35" s="38" cm="1">
        <f t="array" ref="P35">TrajectoryDropInCM(H35,$A35,P$18)</f>
        <v>-75.000056250050633</v>
      </c>
      <c r="Q35" s="39" cm="1">
        <f t="array" ref="Q35">TrajectoryDropInCM(I35,$A35,Q$18)</f>
        <v>0</v>
      </c>
      <c r="R35" s="39" cm="1">
        <f t="array" ref="R35">TrajectoryDropInCM(J35,$A35,R$18)</f>
        <v>187.50087891119387</v>
      </c>
      <c r="S35" s="31" cm="1">
        <f t="array" ref="S35">TrajectoryErrorCM($E$19,1,$A35)</f>
        <v>3.7561137059069258</v>
      </c>
    </row>
    <row r="77" spans="1:21" x14ac:dyDescent="0.25">
      <c r="A77" t="s">
        <v>27</v>
      </c>
    </row>
    <row r="78" spans="1:21" x14ac:dyDescent="0.25">
      <c r="A78" t="s">
        <v>66</v>
      </c>
    </row>
    <row r="79" spans="1:21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33</v>
      </c>
      <c r="H79" t="s">
        <v>34</v>
      </c>
      <c r="I79" t="s">
        <v>35</v>
      </c>
    </row>
    <row r="80" spans="1:21" x14ac:dyDescent="0.25">
      <c r="A80" s="1">
        <v>0</v>
      </c>
      <c r="B80" s="1">
        <v>869</v>
      </c>
      <c r="C80" s="1">
        <v>6113</v>
      </c>
      <c r="D80" s="1">
        <v>-3.8</v>
      </c>
      <c r="E80" s="1">
        <v>0</v>
      </c>
      <c r="F80" s="1">
        <v>0</v>
      </c>
      <c r="G80" s="1">
        <v>0.2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x14ac:dyDescent="0.25">
      <c r="A81" s="1">
        <v>25</v>
      </c>
      <c r="B81" s="1">
        <v>845</v>
      </c>
      <c r="C81" s="1">
        <v>5779</v>
      </c>
      <c r="D81" s="1">
        <v>-1.5</v>
      </c>
      <c r="E81" s="1">
        <v>2.1</v>
      </c>
      <c r="F81" s="1">
        <v>0.6</v>
      </c>
      <c r="G81" s="1">
        <v>0.5</v>
      </c>
      <c r="H81" s="1">
        <v>0.8</v>
      </c>
      <c r="I81" s="1">
        <v>0.2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x14ac:dyDescent="0.25">
      <c r="A82" s="10">
        <v>50</v>
      </c>
      <c r="B82" s="10">
        <v>821</v>
      </c>
      <c r="C82" s="10">
        <v>5462</v>
      </c>
      <c r="D82" s="10">
        <v>0</v>
      </c>
      <c r="E82" s="10">
        <v>0</v>
      </c>
      <c r="F82" s="10">
        <v>0</v>
      </c>
      <c r="G82" s="1">
        <v>1.6</v>
      </c>
      <c r="H82" s="10">
        <v>1.2</v>
      </c>
      <c r="I82" s="10">
        <v>0.4</v>
      </c>
      <c r="J82" s="10"/>
      <c r="K82" s="10"/>
      <c r="L82" s="10"/>
      <c r="M82" s="10"/>
      <c r="N82" s="10"/>
      <c r="O82" s="1"/>
      <c r="P82" s="1"/>
      <c r="Q82" s="1"/>
      <c r="R82" s="1"/>
      <c r="S82" s="1"/>
      <c r="T82" s="1"/>
      <c r="U82" s="1"/>
    </row>
    <row r="83" spans="1:21" x14ac:dyDescent="0.25">
      <c r="A83" s="1">
        <v>75</v>
      </c>
      <c r="B83" s="1">
        <v>798</v>
      </c>
      <c r="C83" s="1">
        <v>5160</v>
      </c>
      <c r="D83" s="1">
        <v>0.5</v>
      </c>
      <c r="E83" s="1">
        <v>-0.2</v>
      </c>
      <c r="F83" s="1">
        <v>-0.1</v>
      </c>
      <c r="G83" s="1">
        <v>3.4</v>
      </c>
      <c r="H83" s="1">
        <v>1.7</v>
      </c>
      <c r="I83" s="1">
        <v>0.5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5">
      <c r="A84" s="1">
        <v>100</v>
      </c>
      <c r="B84" s="1">
        <v>775</v>
      </c>
      <c r="C84" s="1">
        <v>4870</v>
      </c>
      <c r="D84" s="1">
        <v>0.1</v>
      </c>
      <c r="E84" s="1">
        <v>0</v>
      </c>
      <c r="F84" s="1">
        <v>0</v>
      </c>
      <c r="G84" s="1">
        <v>6.1</v>
      </c>
      <c r="H84" s="1">
        <v>2.2999999999999998</v>
      </c>
      <c r="I84" s="1">
        <v>0.7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5">
      <c r="A85" s="1">
        <v>125</v>
      </c>
      <c r="B85" s="1">
        <v>753</v>
      </c>
      <c r="C85" s="1">
        <v>4594</v>
      </c>
      <c r="D85" s="1">
        <v>-1.4</v>
      </c>
      <c r="E85" s="1">
        <v>0.4</v>
      </c>
      <c r="F85" s="1">
        <v>0.1</v>
      </c>
      <c r="G85" s="1">
        <v>9.5</v>
      </c>
      <c r="H85" s="1">
        <v>2.9</v>
      </c>
      <c r="I85" s="1">
        <v>0.8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5">
      <c r="A86" s="1">
        <v>150</v>
      </c>
      <c r="B86" s="1">
        <v>731</v>
      </c>
      <c r="C86" s="1">
        <v>4330</v>
      </c>
      <c r="D86" s="1">
        <v>-4</v>
      </c>
      <c r="E86" s="1">
        <v>0.9</v>
      </c>
      <c r="F86" s="1">
        <v>0.3</v>
      </c>
      <c r="G86" s="1">
        <v>13.7</v>
      </c>
      <c r="H86" s="1">
        <v>3.4</v>
      </c>
      <c r="I86" s="1">
        <v>1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5">
      <c r="A87" s="1">
        <v>175</v>
      </c>
      <c r="B87" s="1">
        <v>709</v>
      </c>
      <c r="C87" s="1">
        <v>4078</v>
      </c>
      <c r="D87" s="1">
        <v>-7.7</v>
      </c>
      <c r="E87" s="1">
        <v>1.5</v>
      </c>
      <c r="F87" s="1">
        <v>0.4</v>
      </c>
      <c r="G87" s="1">
        <v>18.899999999999999</v>
      </c>
      <c r="H87" s="1">
        <v>4.0999999999999996</v>
      </c>
      <c r="I87" s="1">
        <v>1.2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5">
      <c r="A88" s="1">
        <v>200</v>
      </c>
      <c r="B88" s="1">
        <v>688</v>
      </c>
      <c r="C88" s="1">
        <v>3837</v>
      </c>
      <c r="D88" s="1">
        <v>-12.9</v>
      </c>
      <c r="E88" s="1">
        <v>2.2000000000000002</v>
      </c>
      <c r="F88" s="1">
        <v>0.6</v>
      </c>
      <c r="G88" s="1">
        <v>25</v>
      </c>
      <c r="H88" s="1">
        <v>4.7</v>
      </c>
      <c r="I88" s="1">
        <v>1.4</v>
      </c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5">
      <c r="A89" s="1">
        <v>225</v>
      </c>
      <c r="B89" s="1">
        <v>667</v>
      </c>
      <c r="C89" s="1">
        <v>3607</v>
      </c>
      <c r="D89" s="1">
        <v>-19.2</v>
      </c>
      <c r="E89" s="1">
        <v>2.9</v>
      </c>
      <c r="F89" s="1">
        <v>0.9</v>
      </c>
      <c r="G89" s="1">
        <v>32</v>
      </c>
      <c r="H89" s="1">
        <v>5.4</v>
      </c>
      <c r="I89" s="1">
        <v>1.6</v>
      </c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5">
      <c r="A90" s="1">
        <v>250</v>
      </c>
      <c r="B90" s="1">
        <v>647</v>
      </c>
      <c r="C90" s="1">
        <v>3388</v>
      </c>
      <c r="D90" s="1">
        <v>-26.9</v>
      </c>
      <c r="E90" s="1">
        <v>3.7</v>
      </c>
      <c r="F90" s="1">
        <v>1.1000000000000001</v>
      </c>
      <c r="G90" s="1">
        <v>40.1</v>
      </c>
      <c r="H90" s="1">
        <v>6</v>
      </c>
      <c r="I90" s="1">
        <v>1.8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5">
      <c r="A91" s="1">
        <v>275</v>
      </c>
      <c r="B91" s="1">
        <v>627</v>
      </c>
      <c r="C91" s="1">
        <v>3180</v>
      </c>
      <c r="D91" s="1">
        <v>-36.6</v>
      </c>
      <c r="E91" s="1">
        <v>4.5999999999999996</v>
      </c>
      <c r="F91" s="1">
        <v>1.3</v>
      </c>
      <c r="G91" s="1">
        <v>49.2</v>
      </c>
      <c r="H91" s="1">
        <v>6.7</v>
      </c>
      <c r="I91" s="1">
        <v>2</v>
      </c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5">
      <c r="A92" s="1">
        <v>300</v>
      </c>
      <c r="B92" s="1">
        <v>607</v>
      </c>
      <c r="C92" s="1">
        <v>2982</v>
      </c>
      <c r="D92" s="1">
        <v>-47.5</v>
      </c>
      <c r="E92" s="1">
        <v>5.4</v>
      </c>
      <c r="F92" s="1">
        <v>1.6</v>
      </c>
      <c r="G92" s="1">
        <v>59.4</v>
      </c>
      <c r="H92" s="1">
        <v>7.5</v>
      </c>
      <c r="I92" s="1">
        <v>2.2000000000000002</v>
      </c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5">
      <c r="A93" s="1">
        <v>325</v>
      </c>
      <c r="B93" s="1">
        <v>587</v>
      </c>
      <c r="C93" s="1">
        <v>2794</v>
      </c>
      <c r="D93" s="1">
        <v>-60.2</v>
      </c>
      <c r="E93" s="1">
        <v>6.4</v>
      </c>
      <c r="F93" s="1">
        <v>1.9</v>
      </c>
      <c r="G93" s="1">
        <v>70.8</v>
      </c>
      <c r="H93" s="1">
        <v>8.1999999999999993</v>
      </c>
      <c r="I93" s="1">
        <v>2.4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5">
      <c r="A94" s="1">
        <v>350</v>
      </c>
      <c r="B94" s="1">
        <v>568</v>
      </c>
      <c r="C94" s="1">
        <v>2616</v>
      </c>
      <c r="D94" s="1">
        <v>-75.400000000000006</v>
      </c>
      <c r="E94" s="1">
        <v>7.4</v>
      </c>
      <c r="F94" s="1">
        <v>2.2000000000000002</v>
      </c>
      <c r="G94" s="1">
        <v>83.4</v>
      </c>
      <c r="H94" s="1">
        <v>9</v>
      </c>
      <c r="I94" s="1">
        <v>2.6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5">
      <c r="A95" s="1">
        <v>375</v>
      </c>
      <c r="B95" s="1">
        <v>550</v>
      </c>
      <c r="C95" s="1">
        <v>2448</v>
      </c>
      <c r="D95" s="1">
        <v>-92.1</v>
      </c>
      <c r="E95" s="1">
        <v>8.4</v>
      </c>
      <c r="F95" s="1">
        <v>2.5</v>
      </c>
      <c r="G95" s="1">
        <v>97.3</v>
      </c>
      <c r="H95" s="1">
        <v>9.8000000000000007</v>
      </c>
      <c r="I95" s="1">
        <v>2.8</v>
      </c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5">
      <c r="A96" s="1">
        <v>400</v>
      </c>
      <c r="B96" s="1">
        <v>532</v>
      </c>
      <c r="C96" s="1">
        <v>2289</v>
      </c>
      <c r="D96" s="1">
        <v>-110.9</v>
      </c>
      <c r="E96" s="1">
        <v>9.5</v>
      </c>
      <c r="F96" s="1">
        <v>2.8</v>
      </c>
      <c r="G96" s="1">
        <v>112.5</v>
      </c>
      <c r="H96" s="1">
        <v>10.6</v>
      </c>
      <c r="I96" s="1">
        <v>3.1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5">
      <c r="A97" s="1">
        <v>425</v>
      </c>
      <c r="B97" s="1">
        <v>514</v>
      </c>
      <c r="C97" s="1">
        <v>2139</v>
      </c>
      <c r="D97" s="1">
        <v>-132.9</v>
      </c>
      <c r="E97" s="1">
        <v>10.7</v>
      </c>
      <c r="F97" s="1">
        <v>3.1</v>
      </c>
      <c r="G97" s="1">
        <v>129</v>
      </c>
      <c r="H97" s="1">
        <v>11.4</v>
      </c>
      <c r="I97" s="1">
        <v>3.3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5">
      <c r="A98" s="1">
        <v>450</v>
      </c>
      <c r="B98" s="1">
        <v>497</v>
      </c>
      <c r="C98" s="1">
        <v>1998</v>
      </c>
      <c r="D98" s="1">
        <v>-156.69999999999999</v>
      </c>
      <c r="E98" s="1">
        <v>12</v>
      </c>
      <c r="F98" s="1">
        <v>3.5</v>
      </c>
      <c r="G98" s="1">
        <v>147</v>
      </c>
      <c r="H98" s="1">
        <v>12.3</v>
      </c>
      <c r="I98" s="1">
        <v>3.6</v>
      </c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5">
      <c r="A99" s="1">
        <v>475</v>
      </c>
      <c r="B99" s="1">
        <v>480</v>
      </c>
      <c r="C99" s="1">
        <v>1866</v>
      </c>
      <c r="D99" s="1">
        <v>-183.3</v>
      </c>
      <c r="E99" s="1">
        <v>13.3</v>
      </c>
      <c r="F99" s="1">
        <v>3.9</v>
      </c>
      <c r="G99" s="1">
        <v>166.5</v>
      </c>
      <c r="H99" s="1">
        <v>13.2</v>
      </c>
      <c r="I99" s="1">
        <v>3.8</v>
      </c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5">
      <c r="A100" s="1">
        <v>500</v>
      </c>
      <c r="B100" s="1">
        <v>464</v>
      </c>
      <c r="C100" s="1">
        <v>1747</v>
      </c>
      <c r="D100" s="1">
        <v>-212.7</v>
      </c>
      <c r="E100" s="1">
        <v>14.6</v>
      </c>
      <c r="F100" s="1">
        <v>4.3</v>
      </c>
      <c r="G100" s="1">
        <v>186.7</v>
      </c>
      <c r="H100" s="1">
        <v>14.1</v>
      </c>
      <c r="I100" s="1">
        <v>4.0999999999999996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2" spans="1:21" x14ac:dyDescent="0.25">
      <c r="A102" t="s">
        <v>67</v>
      </c>
    </row>
    <row r="103" spans="1:21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33</v>
      </c>
      <c r="H103" t="s">
        <v>34</v>
      </c>
      <c r="I103" t="s">
        <v>35</v>
      </c>
    </row>
    <row r="104" spans="1:21" x14ac:dyDescent="0.25">
      <c r="A104" s="1">
        <v>0</v>
      </c>
      <c r="B104" s="1">
        <v>869</v>
      </c>
      <c r="C104" s="1">
        <v>6113</v>
      </c>
      <c r="D104" s="1">
        <v>-3.8</v>
      </c>
      <c r="E104" s="1">
        <v>0</v>
      </c>
      <c r="F104" s="1">
        <v>0</v>
      </c>
      <c r="G104" s="1">
        <v>0.2</v>
      </c>
      <c r="H104" s="1">
        <v>0</v>
      </c>
      <c r="I104" s="1">
        <v>0</v>
      </c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5">
      <c r="A105" s="1">
        <v>25</v>
      </c>
      <c r="B105" s="1">
        <v>845</v>
      </c>
      <c r="C105" s="1">
        <v>5779</v>
      </c>
      <c r="D105" s="1">
        <v>-1.5</v>
      </c>
      <c r="E105" s="1">
        <v>2.1</v>
      </c>
      <c r="F105" s="1">
        <v>0.6</v>
      </c>
      <c r="G105" s="1">
        <v>0.5</v>
      </c>
      <c r="H105" s="1">
        <v>0.8</v>
      </c>
      <c r="I105" s="1">
        <v>0.2</v>
      </c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5">
      <c r="A106" s="1">
        <v>50</v>
      </c>
      <c r="B106" s="1">
        <v>821</v>
      </c>
      <c r="C106" s="1">
        <v>5462</v>
      </c>
      <c r="D106" s="1">
        <v>0</v>
      </c>
      <c r="E106" s="1">
        <v>0</v>
      </c>
      <c r="F106" s="1">
        <v>0</v>
      </c>
      <c r="G106" s="1">
        <v>1.6</v>
      </c>
      <c r="H106" s="10">
        <v>1.2</v>
      </c>
      <c r="I106" s="10">
        <v>0.4</v>
      </c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5">
      <c r="A107" s="1">
        <v>75</v>
      </c>
      <c r="B107" s="1">
        <v>798</v>
      </c>
      <c r="C107" s="1">
        <v>5160</v>
      </c>
      <c r="D107" s="1">
        <v>0.5</v>
      </c>
      <c r="E107" s="1">
        <v>-0.2</v>
      </c>
      <c r="F107" s="1">
        <v>-0.1</v>
      </c>
      <c r="G107" s="1">
        <v>3.4</v>
      </c>
      <c r="H107" s="1">
        <v>1.7</v>
      </c>
      <c r="I107" s="1">
        <v>0.5</v>
      </c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5">
      <c r="A108" s="10">
        <v>100</v>
      </c>
      <c r="B108" s="10">
        <v>775</v>
      </c>
      <c r="C108" s="10">
        <v>4870</v>
      </c>
      <c r="D108" s="10">
        <v>0</v>
      </c>
      <c r="E108" s="10">
        <v>0</v>
      </c>
      <c r="F108" s="10">
        <v>0</v>
      </c>
      <c r="G108" s="1">
        <v>6.1</v>
      </c>
      <c r="H108" s="1">
        <v>2.2999999999999998</v>
      </c>
      <c r="I108" s="1">
        <v>0.7</v>
      </c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x14ac:dyDescent="0.25">
      <c r="A109" s="1">
        <v>125</v>
      </c>
      <c r="B109" s="1">
        <v>753</v>
      </c>
      <c r="C109" s="1">
        <v>4594</v>
      </c>
      <c r="D109" s="1">
        <v>-1.5</v>
      </c>
      <c r="E109" s="1">
        <v>0.4</v>
      </c>
      <c r="F109" s="1">
        <v>0.1</v>
      </c>
      <c r="G109" s="1">
        <v>9.5</v>
      </c>
      <c r="H109" s="1">
        <v>2.9</v>
      </c>
      <c r="I109" s="1">
        <v>0.8</v>
      </c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x14ac:dyDescent="0.25">
      <c r="A110" s="1">
        <v>150</v>
      </c>
      <c r="B110" s="1">
        <v>731</v>
      </c>
      <c r="C110" s="1">
        <v>4330</v>
      </c>
      <c r="D110" s="1">
        <v>-4.0999999999999996</v>
      </c>
      <c r="E110" s="1">
        <v>0.9</v>
      </c>
      <c r="F110" s="1">
        <v>0.3</v>
      </c>
      <c r="G110" s="1">
        <v>13.7</v>
      </c>
      <c r="H110" s="1">
        <v>3.4</v>
      </c>
      <c r="I110" s="1">
        <v>1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x14ac:dyDescent="0.25">
      <c r="A111" s="1">
        <v>175</v>
      </c>
      <c r="B111" s="1">
        <v>709</v>
      </c>
      <c r="C111" s="1">
        <v>4078</v>
      </c>
      <c r="D111" s="1">
        <v>-7.8</v>
      </c>
      <c r="E111" s="1">
        <v>1.5</v>
      </c>
      <c r="F111" s="1">
        <v>0.4</v>
      </c>
      <c r="G111" s="1">
        <v>18.899999999999999</v>
      </c>
      <c r="H111" s="1">
        <v>4.0999999999999996</v>
      </c>
      <c r="I111" s="1">
        <v>1.2</v>
      </c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x14ac:dyDescent="0.25">
      <c r="A112" s="1">
        <v>200</v>
      </c>
      <c r="B112" s="1">
        <v>688</v>
      </c>
      <c r="C112" s="1">
        <v>3837</v>
      </c>
      <c r="D112" s="1">
        <v>-13</v>
      </c>
      <c r="E112" s="1">
        <v>2.2000000000000002</v>
      </c>
      <c r="F112" s="1">
        <v>0.6</v>
      </c>
      <c r="G112" s="1">
        <v>25</v>
      </c>
      <c r="H112" s="1">
        <v>4.7</v>
      </c>
      <c r="I112" s="1">
        <v>1.4</v>
      </c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x14ac:dyDescent="0.25">
      <c r="A113" s="1">
        <v>225</v>
      </c>
      <c r="B113" s="1">
        <v>667</v>
      </c>
      <c r="C113" s="1">
        <v>3607</v>
      </c>
      <c r="D113" s="1">
        <v>-19.399999999999999</v>
      </c>
      <c r="E113" s="1">
        <v>3</v>
      </c>
      <c r="F113" s="1">
        <v>0.9</v>
      </c>
      <c r="G113" s="1">
        <v>32</v>
      </c>
      <c r="H113" s="1">
        <v>5.4</v>
      </c>
      <c r="I113" s="1">
        <v>1.6</v>
      </c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5">
      <c r="A114" s="1">
        <v>250</v>
      </c>
      <c r="B114" s="1">
        <v>647</v>
      </c>
      <c r="C114" s="1">
        <v>3388</v>
      </c>
      <c r="D114" s="1">
        <v>-27.1</v>
      </c>
      <c r="E114" s="1">
        <v>3.7</v>
      </c>
      <c r="F114" s="1">
        <v>1.1000000000000001</v>
      </c>
      <c r="G114" s="1">
        <v>40.1</v>
      </c>
      <c r="H114" s="1">
        <v>6</v>
      </c>
      <c r="I114" s="1">
        <v>1.8</v>
      </c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x14ac:dyDescent="0.25">
      <c r="A115" s="1">
        <v>275</v>
      </c>
      <c r="B115" s="1">
        <v>627</v>
      </c>
      <c r="C115" s="1">
        <v>3180</v>
      </c>
      <c r="D115" s="1">
        <v>-36.799999999999997</v>
      </c>
      <c r="E115" s="1">
        <v>4.5999999999999996</v>
      </c>
      <c r="F115" s="1">
        <v>1.3</v>
      </c>
      <c r="G115" s="1">
        <v>49.2</v>
      </c>
      <c r="H115" s="1">
        <v>6.7</v>
      </c>
      <c r="I115" s="1">
        <v>2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x14ac:dyDescent="0.25">
      <c r="A116" s="1">
        <v>300</v>
      </c>
      <c r="B116" s="1">
        <v>607</v>
      </c>
      <c r="C116" s="1">
        <v>2982</v>
      </c>
      <c r="D116" s="1">
        <v>-47.8</v>
      </c>
      <c r="E116" s="1">
        <v>5.5</v>
      </c>
      <c r="F116" s="1">
        <v>1.6</v>
      </c>
      <c r="G116" s="1">
        <v>59.4</v>
      </c>
      <c r="H116" s="1">
        <v>7.5</v>
      </c>
      <c r="I116" s="1">
        <v>2.2000000000000002</v>
      </c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x14ac:dyDescent="0.25">
      <c r="A117" s="1">
        <v>325</v>
      </c>
      <c r="B117" s="1">
        <v>587</v>
      </c>
      <c r="C117" s="1">
        <v>2794</v>
      </c>
      <c r="D117" s="1">
        <v>-60.5</v>
      </c>
      <c r="E117" s="1">
        <v>6.4</v>
      </c>
      <c r="F117" s="1">
        <v>1.9</v>
      </c>
      <c r="G117" s="1">
        <v>70.8</v>
      </c>
      <c r="H117" s="1">
        <v>8.1999999999999993</v>
      </c>
      <c r="I117" s="1">
        <v>2.4</v>
      </c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x14ac:dyDescent="0.25">
      <c r="A118" s="1">
        <v>350</v>
      </c>
      <c r="B118" s="1">
        <v>568</v>
      </c>
      <c r="C118" s="1">
        <v>2616</v>
      </c>
      <c r="D118" s="1">
        <v>-75.599999999999994</v>
      </c>
      <c r="E118" s="1">
        <v>7.4</v>
      </c>
      <c r="F118" s="1">
        <v>2.2000000000000002</v>
      </c>
      <c r="G118" s="1">
        <v>83.4</v>
      </c>
      <c r="H118" s="1">
        <v>9</v>
      </c>
      <c r="I118" s="1">
        <v>2.6</v>
      </c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x14ac:dyDescent="0.25">
      <c r="A119" s="1">
        <v>375</v>
      </c>
      <c r="B119" s="1">
        <v>550</v>
      </c>
      <c r="C119" s="1">
        <v>2448</v>
      </c>
      <c r="D119" s="1">
        <v>-92.3</v>
      </c>
      <c r="E119" s="1">
        <v>8.5</v>
      </c>
      <c r="F119" s="1">
        <v>2.5</v>
      </c>
      <c r="G119" s="1">
        <v>97.3</v>
      </c>
      <c r="H119" s="1">
        <v>9.8000000000000007</v>
      </c>
      <c r="I119" s="1">
        <v>2.8</v>
      </c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x14ac:dyDescent="0.25">
      <c r="A120" s="1">
        <v>400</v>
      </c>
      <c r="B120" s="1">
        <v>532</v>
      </c>
      <c r="C120" s="1">
        <v>2289</v>
      </c>
      <c r="D120" s="1">
        <v>-111.2</v>
      </c>
      <c r="E120" s="1">
        <v>9.6</v>
      </c>
      <c r="F120" s="1">
        <v>2.8</v>
      </c>
      <c r="G120" s="1">
        <v>112.5</v>
      </c>
      <c r="H120" s="1">
        <v>10.6</v>
      </c>
      <c r="I120" s="1">
        <v>3.1</v>
      </c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x14ac:dyDescent="0.25">
      <c r="A121" s="1">
        <v>425</v>
      </c>
      <c r="B121" s="1">
        <v>514</v>
      </c>
      <c r="C121" s="1">
        <v>2139</v>
      </c>
      <c r="D121" s="1">
        <v>-133.19999999999999</v>
      </c>
      <c r="E121" s="1">
        <v>10.8</v>
      </c>
      <c r="F121" s="1">
        <v>3.1</v>
      </c>
      <c r="G121" s="1">
        <v>129</v>
      </c>
      <c r="H121" s="1">
        <v>11.4</v>
      </c>
      <c r="I121" s="1">
        <v>3.3</v>
      </c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x14ac:dyDescent="0.25">
      <c r="A122" s="1">
        <v>450</v>
      </c>
      <c r="B122" s="1">
        <v>497</v>
      </c>
      <c r="C122" s="1">
        <v>1998</v>
      </c>
      <c r="D122" s="1">
        <v>-157.1</v>
      </c>
      <c r="E122" s="1">
        <v>12</v>
      </c>
      <c r="F122" s="1">
        <v>3.5</v>
      </c>
      <c r="G122" s="1">
        <v>147</v>
      </c>
      <c r="H122" s="1">
        <v>12.3</v>
      </c>
      <c r="I122" s="1">
        <v>3.6</v>
      </c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x14ac:dyDescent="0.25">
      <c r="A123" s="1">
        <v>475</v>
      </c>
      <c r="B123" s="1">
        <v>480</v>
      </c>
      <c r="C123" s="1">
        <v>1866</v>
      </c>
      <c r="D123" s="1">
        <v>-183.6</v>
      </c>
      <c r="E123" s="1">
        <v>13.3</v>
      </c>
      <c r="F123" s="1">
        <v>3.9</v>
      </c>
      <c r="G123" s="1">
        <v>166.5</v>
      </c>
      <c r="H123" s="1">
        <v>13.2</v>
      </c>
      <c r="I123" s="1">
        <v>3.8</v>
      </c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x14ac:dyDescent="0.25">
      <c r="A124" s="1">
        <v>500</v>
      </c>
      <c r="B124" s="1">
        <v>464</v>
      </c>
      <c r="C124" s="1">
        <v>1747</v>
      </c>
      <c r="D124" s="1">
        <v>-213.1</v>
      </c>
      <c r="E124" s="1">
        <v>14.7</v>
      </c>
      <c r="F124" s="1">
        <v>4.3</v>
      </c>
      <c r="G124" s="1">
        <v>186.7</v>
      </c>
      <c r="H124" s="1">
        <v>14.1</v>
      </c>
      <c r="I124" s="1">
        <v>4.0999999999999996</v>
      </c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6" spans="1:21" x14ac:dyDescent="0.25">
      <c r="A126" t="s">
        <v>68</v>
      </c>
    </row>
    <row r="127" spans="1:21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33</v>
      </c>
      <c r="H127" t="s">
        <v>34</v>
      </c>
      <c r="I127" t="s">
        <v>35</v>
      </c>
    </row>
    <row r="128" spans="1:21" x14ac:dyDescent="0.25">
      <c r="A128" s="1">
        <v>0</v>
      </c>
      <c r="B128" s="1">
        <v>869</v>
      </c>
      <c r="C128" s="1">
        <v>6113</v>
      </c>
      <c r="D128" s="1">
        <v>-3.8</v>
      </c>
      <c r="E128" s="1">
        <v>0</v>
      </c>
      <c r="F128" s="1">
        <v>0</v>
      </c>
      <c r="G128" s="1">
        <v>0.2</v>
      </c>
      <c r="H128" s="1">
        <v>0</v>
      </c>
      <c r="I128" s="1">
        <v>0</v>
      </c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x14ac:dyDescent="0.25">
      <c r="A129" s="1">
        <v>25</v>
      </c>
      <c r="B129" s="1">
        <v>845</v>
      </c>
      <c r="C129" s="1">
        <v>5779</v>
      </c>
      <c r="D129" s="1">
        <v>-0.8</v>
      </c>
      <c r="E129" s="1">
        <v>1.2</v>
      </c>
      <c r="F129" s="1">
        <v>0.3</v>
      </c>
      <c r="G129" s="1">
        <v>0.5</v>
      </c>
      <c r="H129" s="1">
        <v>0.8</v>
      </c>
      <c r="I129" s="1">
        <v>0.2</v>
      </c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x14ac:dyDescent="0.25">
      <c r="A130" s="1">
        <v>50</v>
      </c>
      <c r="B130" s="1">
        <v>821</v>
      </c>
      <c r="C130" s="1">
        <v>5462</v>
      </c>
      <c r="D130" s="1">
        <v>1.3</v>
      </c>
      <c r="E130" s="1">
        <v>-0.9</v>
      </c>
      <c r="F130" s="1">
        <v>-0.3</v>
      </c>
      <c r="G130" s="1">
        <v>1.6</v>
      </c>
      <c r="H130" s="10">
        <v>1.2</v>
      </c>
      <c r="I130" s="10">
        <v>0.4</v>
      </c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x14ac:dyDescent="0.25">
      <c r="A131" s="1">
        <v>75</v>
      </c>
      <c r="B131" s="1">
        <v>798</v>
      </c>
      <c r="C131" s="1">
        <v>5160</v>
      </c>
      <c r="D131" s="1">
        <v>2.5</v>
      </c>
      <c r="E131" s="1">
        <v>-1.2</v>
      </c>
      <c r="F131" s="1">
        <v>-0.3</v>
      </c>
      <c r="G131" s="1">
        <v>3.4</v>
      </c>
      <c r="H131" s="1">
        <v>1.7</v>
      </c>
      <c r="I131" s="1">
        <v>0.5</v>
      </c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x14ac:dyDescent="0.25">
      <c r="A132" s="1">
        <v>100</v>
      </c>
      <c r="B132" s="1">
        <v>775</v>
      </c>
      <c r="C132" s="1">
        <v>4870</v>
      </c>
      <c r="D132" s="1">
        <v>2.8</v>
      </c>
      <c r="E132" s="1">
        <v>-0.9</v>
      </c>
      <c r="F132" s="1">
        <v>-0.3</v>
      </c>
      <c r="G132" s="1">
        <v>6.1</v>
      </c>
      <c r="H132" s="1">
        <v>2.2999999999999998</v>
      </c>
      <c r="I132" s="1">
        <v>0.7</v>
      </c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x14ac:dyDescent="0.25">
      <c r="A133" s="1">
        <v>125</v>
      </c>
      <c r="B133" s="1">
        <v>753</v>
      </c>
      <c r="C133" s="1">
        <v>4594</v>
      </c>
      <c r="D133" s="1">
        <v>1.9</v>
      </c>
      <c r="E133" s="1">
        <v>-0.5</v>
      </c>
      <c r="F133" s="1">
        <v>-0.2</v>
      </c>
      <c r="G133" s="1">
        <v>9.5</v>
      </c>
      <c r="H133" s="1">
        <v>2.9</v>
      </c>
      <c r="I133" s="1">
        <v>0.8</v>
      </c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x14ac:dyDescent="0.25">
      <c r="A134" s="10">
        <v>150</v>
      </c>
      <c r="B134" s="10">
        <v>731</v>
      </c>
      <c r="C134" s="10">
        <v>4330</v>
      </c>
      <c r="D134" s="10">
        <v>0</v>
      </c>
      <c r="E134" s="10">
        <v>0</v>
      </c>
      <c r="F134" s="10">
        <v>0</v>
      </c>
      <c r="G134" s="1">
        <v>13.7</v>
      </c>
      <c r="H134" s="1">
        <v>3.4</v>
      </c>
      <c r="I134" s="1">
        <v>1</v>
      </c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x14ac:dyDescent="0.25">
      <c r="A135" s="1">
        <v>175</v>
      </c>
      <c r="B135" s="1">
        <v>709</v>
      </c>
      <c r="C135" s="1">
        <v>4078</v>
      </c>
      <c r="D135" s="1">
        <v>-3.1</v>
      </c>
      <c r="E135" s="1">
        <v>0.6</v>
      </c>
      <c r="F135" s="1">
        <v>0.2</v>
      </c>
      <c r="G135" s="1">
        <v>18.899999999999999</v>
      </c>
      <c r="H135" s="1">
        <v>4.0999999999999996</v>
      </c>
      <c r="I135" s="1">
        <v>1.2</v>
      </c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x14ac:dyDescent="0.25">
      <c r="A136" s="1">
        <v>200</v>
      </c>
      <c r="B136" s="1">
        <v>688</v>
      </c>
      <c r="C136" s="1">
        <v>3837</v>
      </c>
      <c r="D136" s="1">
        <v>-7.6</v>
      </c>
      <c r="E136" s="1">
        <v>1.3</v>
      </c>
      <c r="F136" s="1">
        <v>0.4</v>
      </c>
      <c r="G136" s="1">
        <v>25</v>
      </c>
      <c r="H136" s="1">
        <v>4.7</v>
      </c>
      <c r="I136" s="1">
        <v>1.4</v>
      </c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x14ac:dyDescent="0.25">
      <c r="A137" s="1">
        <v>225</v>
      </c>
      <c r="B137" s="1">
        <v>667</v>
      </c>
      <c r="C137" s="1">
        <v>3607</v>
      </c>
      <c r="D137" s="1">
        <v>-13.2</v>
      </c>
      <c r="E137" s="1">
        <v>2</v>
      </c>
      <c r="F137" s="1">
        <v>0.6</v>
      </c>
      <c r="G137" s="1">
        <v>32</v>
      </c>
      <c r="H137" s="1">
        <v>5.4</v>
      </c>
      <c r="I137" s="1">
        <v>1.6</v>
      </c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x14ac:dyDescent="0.25">
      <c r="A138" s="1">
        <v>250</v>
      </c>
      <c r="B138" s="1">
        <v>647</v>
      </c>
      <c r="C138" s="1">
        <v>3388</v>
      </c>
      <c r="D138" s="1">
        <v>-20.3</v>
      </c>
      <c r="E138" s="1">
        <v>2.8</v>
      </c>
      <c r="F138" s="1">
        <v>0.8</v>
      </c>
      <c r="G138" s="1">
        <v>40.1</v>
      </c>
      <c r="H138" s="1">
        <v>6</v>
      </c>
      <c r="I138" s="1">
        <v>1.8</v>
      </c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x14ac:dyDescent="0.25">
      <c r="A139" s="1">
        <v>275</v>
      </c>
      <c r="B139" s="1">
        <v>627</v>
      </c>
      <c r="C139" s="1">
        <v>3180</v>
      </c>
      <c r="D139" s="1">
        <v>-29.3</v>
      </c>
      <c r="E139" s="1">
        <v>3.7</v>
      </c>
      <c r="F139" s="1">
        <v>1.1000000000000001</v>
      </c>
      <c r="G139" s="1">
        <v>49.2</v>
      </c>
      <c r="H139" s="1">
        <v>6.7</v>
      </c>
      <c r="I139" s="1">
        <v>2</v>
      </c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x14ac:dyDescent="0.25">
      <c r="A140" s="1">
        <v>300</v>
      </c>
      <c r="B140" s="1">
        <v>607</v>
      </c>
      <c r="C140" s="1">
        <v>2982</v>
      </c>
      <c r="D140" s="1">
        <v>-39.6</v>
      </c>
      <c r="E140" s="1">
        <v>4.5</v>
      </c>
      <c r="F140" s="1">
        <v>1.3</v>
      </c>
      <c r="G140" s="1">
        <v>59.4</v>
      </c>
      <c r="H140" s="1">
        <v>7.5</v>
      </c>
      <c r="I140" s="1">
        <v>2.2000000000000002</v>
      </c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x14ac:dyDescent="0.25">
      <c r="A141" s="1">
        <v>325</v>
      </c>
      <c r="B141" s="1">
        <v>587</v>
      </c>
      <c r="C141" s="1">
        <v>2794</v>
      </c>
      <c r="D141" s="1">
        <v>-51.6</v>
      </c>
      <c r="E141" s="1">
        <v>5.5</v>
      </c>
      <c r="F141" s="1">
        <v>1.6</v>
      </c>
      <c r="G141" s="1">
        <v>70.8</v>
      </c>
      <c r="H141" s="1">
        <v>8.1999999999999993</v>
      </c>
      <c r="I141" s="1">
        <v>2.4</v>
      </c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x14ac:dyDescent="0.25">
      <c r="A142" s="1">
        <v>350</v>
      </c>
      <c r="B142" s="1">
        <v>568</v>
      </c>
      <c r="C142" s="1">
        <v>2616</v>
      </c>
      <c r="D142" s="1">
        <v>-66.099999999999994</v>
      </c>
      <c r="E142" s="1">
        <v>6.5</v>
      </c>
      <c r="F142" s="1">
        <v>1.9</v>
      </c>
      <c r="G142" s="1">
        <v>83.4</v>
      </c>
      <c r="H142" s="1">
        <v>9</v>
      </c>
      <c r="I142" s="1">
        <v>2.6</v>
      </c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x14ac:dyDescent="0.25">
      <c r="A143" s="1">
        <v>375</v>
      </c>
      <c r="B143" s="1">
        <v>550</v>
      </c>
      <c r="C143" s="1">
        <v>2448</v>
      </c>
      <c r="D143" s="1">
        <v>-82.1</v>
      </c>
      <c r="E143" s="1">
        <v>7.5</v>
      </c>
      <c r="F143" s="1">
        <v>2.2000000000000002</v>
      </c>
      <c r="G143" s="1">
        <v>97.3</v>
      </c>
      <c r="H143" s="1">
        <v>9.8000000000000007</v>
      </c>
      <c r="I143" s="1">
        <v>2.8</v>
      </c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x14ac:dyDescent="0.25">
      <c r="A144" s="1">
        <v>400</v>
      </c>
      <c r="B144" s="1">
        <v>532</v>
      </c>
      <c r="C144" s="1">
        <v>2289</v>
      </c>
      <c r="D144" s="1">
        <v>-100.3</v>
      </c>
      <c r="E144" s="1">
        <v>8.6</v>
      </c>
      <c r="F144" s="1">
        <v>2.5</v>
      </c>
      <c r="G144" s="1">
        <v>112.5</v>
      </c>
      <c r="H144" s="1">
        <v>10.6</v>
      </c>
      <c r="I144" s="1">
        <v>3.1</v>
      </c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x14ac:dyDescent="0.25">
      <c r="A145" s="1">
        <v>425</v>
      </c>
      <c r="B145" s="1">
        <v>514</v>
      </c>
      <c r="C145" s="1">
        <v>2139</v>
      </c>
      <c r="D145" s="1">
        <v>-121.7</v>
      </c>
      <c r="E145" s="1">
        <v>9.8000000000000007</v>
      </c>
      <c r="F145" s="1">
        <v>2.9</v>
      </c>
      <c r="G145" s="1">
        <v>129</v>
      </c>
      <c r="H145" s="1">
        <v>11.4</v>
      </c>
      <c r="I145" s="1">
        <v>3.3</v>
      </c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x14ac:dyDescent="0.25">
      <c r="A146" s="1">
        <v>450</v>
      </c>
      <c r="B146" s="1">
        <v>497</v>
      </c>
      <c r="C146" s="1">
        <v>1998</v>
      </c>
      <c r="D146" s="1">
        <v>-144.80000000000001</v>
      </c>
      <c r="E146" s="1">
        <v>11.1</v>
      </c>
      <c r="F146" s="1">
        <v>3.2</v>
      </c>
      <c r="G146" s="1">
        <v>147</v>
      </c>
      <c r="H146" s="1">
        <v>12.3</v>
      </c>
      <c r="I146" s="1">
        <v>3.6</v>
      </c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x14ac:dyDescent="0.25">
      <c r="A147" s="1">
        <v>475</v>
      </c>
      <c r="B147" s="1">
        <v>480</v>
      </c>
      <c r="C147" s="1">
        <v>1866</v>
      </c>
      <c r="D147" s="1">
        <v>-170.7</v>
      </c>
      <c r="E147" s="1">
        <v>12.4</v>
      </c>
      <c r="F147" s="1">
        <v>3.6</v>
      </c>
      <c r="G147" s="1">
        <v>166.5</v>
      </c>
      <c r="H147" s="1">
        <v>13.2</v>
      </c>
      <c r="I147" s="1">
        <v>3.8</v>
      </c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x14ac:dyDescent="0.25">
      <c r="A148" s="1">
        <v>500</v>
      </c>
      <c r="B148" s="1">
        <v>464</v>
      </c>
      <c r="C148" s="1">
        <v>1747</v>
      </c>
      <c r="D148" s="1">
        <v>-199.5</v>
      </c>
      <c r="E148" s="1">
        <v>13.7</v>
      </c>
      <c r="F148" s="1">
        <v>4</v>
      </c>
      <c r="G148" s="1">
        <v>186.7</v>
      </c>
      <c r="H148" s="1">
        <v>14.1</v>
      </c>
      <c r="I148" s="1">
        <v>4.0999999999999996</v>
      </c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50" spans="1:21" x14ac:dyDescent="0.25">
      <c r="A150" t="s">
        <v>69</v>
      </c>
    </row>
    <row r="151" spans="1:21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33</v>
      </c>
      <c r="H151" t="s">
        <v>34</v>
      </c>
      <c r="I151" t="s">
        <v>35</v>
      </c>
    </row>
    <row r="152" spans="1:21" x14ac:dyDescent="0.25">
      <c r="A152" s="1">
        <v>0</v>
      </c>
      <c r="B152" s="1">
        <v>869</v>
      </c>
      <c r="C152" s="1">
        <v>6113</v>
      </c>
      <c r="D152" s="1">
        <v>-3.8</v>
      </c>
      <c r="E152" s="1">
        <v>0</v>
      </c>
      <c r="F152" s="1">
        <v>0</v>
      </c>
      <c r="G152" s="1">
        <v>0.2</v>
      </c>
      <c r="H152" s="1">
        <v>0</v>
      </c>
      <c r="I152" s="1">
        <v>0</v>
      </c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x14ac:dyDescent="0.25">
      <c r="A153" s="1">
        <v>25</v>
      </c>
      <c r="B153" s="1">
        <v>845</v>
      </c>
      <c r="C153" s="1">
        <v>5779</v>
      </c>
      <c r="D153" s="1">
        <v>0.1</v>
      </c>
      <c r="E153" s="1">
        <v>-0.1</v>
      </c>
      <c r="F153" s="1">
        <v>0</v>
      </c>
      <c r="G153" s="1">
        <v>0.5</v>
      </c>
      <c r="H153" s="1">
        <v>0.8</v>
      </c>
      <c r="I153" s="1">
        <v>0.2</v>
      </c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x14ac:dyDescent="0.25">
      <c r="A154" s="1">
        <v>50</v>
      </c>
      <c r="B154" s="1">
        <v>821</v>
      </c>
      <c r="C154" s="1">
        <v>5462</v>
      </c>
      <c r="D154" s="1">
        <v>3.2</v>
      </c>
      <c r="E154" s="1">
        <v>-2.2000000000000002</v>
      </c>
      <c r="F154" s="1">
        <v>-0.6</v>
      </c>
      <c r="G154" s="1">
        <v>1.6</v>
      </c>
      <c r="H154" s="10">
        <v>1.2</v>
      </c>
      <c r="I154" s="10">
        <v>0.4</v>
      </c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x14ac:dyDescent="0.25">
      <c r="A155" s="1">
        <v>75</v>
      </c>
      <c r="B155" s="1">
        <v>798</v>
      </c>
      <c r="C155" s="1">
        <v>5160</v>
      </c>
      <c r="D155" s="1">
        <v>5.4</v>
      </c>
      <c r="E155" s="1">
        <v>-2.4</v>
      </c>
      <c r="F155" s="1">
        <v>-0.7</v>
      </c>
      <c r="G155" s="1">
        <v>3.4</v>
      </c>
      <c r="H155" s="1">
        <v>1.7</v>
      </c>
      <c r="I155" s="1">
        <v>0.5</v>
      </c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x14ac:dyDescent="0.25">
      <c r="A156" s="1">
        <v>100</v>
      </c>
      <c r="B156" s="1">
        <v>775</v>
      </c>
      <c r="C156" s="1">
        <v>4870</v>
      </c>
      <c r="D156" s="1">
        <v>6.5</v>
      </c>
      <c r="E156" s="1">
        <v>-2.2000000000000002</v>
      </c>
      <c r="F156" s="1">
        <v>-0.7</v>
      </c>
      <c r="G156" s="1">
        <v>6.1</v>
      </c>
      <c r="H156" s="1">
        <v>2.2999999999999998</v>
      </c>
      <c r="I156" s="1">
        <v>0.7</v>
      </c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x14ac:dyDescent="0.25">
      <c r="A157" s="1">
        <v>125</v>
      </c>
      <c r="B157" s="1">
        <v>753</v>
      </c>
      <c r="C157" s="1">
        <v>4594</v>
      </c>
      <c r="D157" s="1">
        <v>6.6</v>
      </c>
      <c r="E157" s="1">
        <v>-1.8</v>
      </c>
      <c r="F157" s="1">
        <v>-0.5</v>
      </c>
      <c r="G157" s="1">
        <v>9.5</v>
      </c>
      <c r="H157" s="1">
        <v>2.9</v>
      </c>
      <c r="I157" s="1">
        <v>0.8</v>
      </c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x14ac:dyDescent="0.25">
      <c r="A158" s="1">
        <v>150</v>
      </c>
      <c r="B158" s="1">
        <v>731</v>
      </c>
      <c r="C158" s="1">
        <v>4330</v>
      </c>
      <c r="D158" s="1">
        <v>5.7</v>
      </c>
      <c r="E158" s="1">
        <v>-1.3</v>
      </c>
      <c r="F158" s="1">
        <v>-0.4</v>
      </c>
      <c r="G158" s="1">
        <v>13.7</v>
      </c>
      <c r="H158" s="1">
        <v>3.4</v>
      </c>
      <c r="I158" s="1">
        <v>1</v>
      </c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x14ac:dyDescent="0.25">
      <c r="A159" s="1">
        <v>175</v>
      </c>
      <c r="B159" s="1">
        <v>709</v>
      </c>
      <c r="C159" s="1">
        <v>4077</v>
      </c>
      <c r="D159" s="1">
        <v>3.5</v>
      </c>
      <c r="E159" s="1">
        <v>-0.7</v>
      </c>
      <c r="F159" s="1">
        <v>-0.2</v>
      </c>
      <c r="G159" s="1">
        <v>18.899999999999999</v>
      </c>
      <c r="H159" s="1">
        <v>4.0999999999999996</v>
      </c>
      <c r="I159" s="1">
        <v>1.2</v>
      </c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x14ac:dyDescent="0.25">
      <c r="A160" s="10">
        <v>200</v>
      </c>
      <c r="B160" s="10">
        <v>688</v>
      </c>
      <c r="C160" s="10">
        <v>3837</v>
      </c>
      <c r="D160" s="10">
        <v>0</v>
      </c>
      <c r="E160" s="10">
        <v>0</v>
      </c>
      <c r="F160" s="10">
        <v>0</v>
      </c>
      <c r="G160" s="1">
        <v>25</v>
      </c>
      <c r="H160" s="1">
        <v>4.7</v>
      </c>
      <c r="I160" s="1">
        <v>1.4</v>
      </c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x14ac:dyDescent="0.25">
      <c r="A161" s="1">
        <v>225</v>
      </c>
      <c r="B161" s="1">
        <v>667</v>
      </c>
      <c r="C161" s="1">
        <v>3607</v>
      </c>
      <c r="D161" s="1">
        <v>-4.8</v>
      </c>
      <c r="E161" s="1">
        <v>0.7</v>
      </c>
      <c r="F161" s="1">
        <v>0.2</v>
      </c>
      <c r="G161" s="1">
        <v>32</v>
      </c>
      <c r="H161" s="1">
        <v>5.4</v>
      </c>
      <c r="I161" s="1">
        <v>1.6</v>
      </c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x14ac:dyDescent="0.25">
      <c r="A162" s="1">
        <v>250</v>
      </c>
      <c r="B162" s="1">
        <v>647</v>
      </c>
      <c r="C162" s="1">
        <v>3388</v>
      </c>
      <c r="D162" s="1">
        <v>-10.9</v>
      </c>
      <c r="E162" s="1">
        <v>1.5</v>
      </c>
      <c r="F162" s="1">
        <v>0.4</v>
      </c>
      <c r="G162" s="1">
        <v>40.1</v>
      </c>
      <c r="H162" s="1">
        <v>6</v>
      </c>
      <c r="I162" s="1">
        <v>1.8</v>
      </c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x14ac:dyDescent="0.25">
      <c r="A163" s="1">
        <v>275</v>
      </c>
      <c r="B163" s="1">
        <v>627</v>
      </c>
      <c r="C163" s="1">
        <v>3180</v>
      </c>
      <c r="D163" s="1">
        <v>-18.899999999999999</v>
      </c>
      <c r="E163" s="1">
        <v>2.4</v>
      </c>
      <c r="F163" s="1">
        <v>0.7</v>
      </c>
      <c r="G163" s="1">
        <v>49.2</v>
      </c>
      <c r="H163" s="1">
        <v>6.7</v>
      </c>
      <c r="I163" s="1">
        <v>2</v>
      </c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x14ac:dyDescent="0.25">
      <c r="A164" s="1">
        <v>300</v>
      </c>
      <c r="B164" s="1">
        <v>607</v>
      </c>
      <c r="C164" s="1">
        <v>2982</v>
      </c>
      <c r="D164" s="1">
        <v>-28.3</v>
      </c>
      <c r="E164" s="1">
        <v>3.2</v>
      </c>
      <c r="F164" s="1">
        <v>0.9</v>
      </c>
      <c r="G164" s="1">
        <v>59.4</v>
      </c>
      <c r="H164" s="1">
        <v>7.5</v>
      </c>
      <c r="I164" s="1">
        <v>2.2000000000000002</v>
      </c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x14ac:dyDescent="0.25">
      <c r="A165" s="1">
        <v>325</v>
      </c>
      <c r="B165" s="1">
        <v>587</v>
      </c>
      <c r="C165" s="1">
        <v>2794</v>
      </c>
      <c r="D165" s="1">
        <v>-39.4</v>
      </c>
      <c r="E165" s="1">
        <v>4.2</v>
      </c>
      <c r="F165" s="1">
        <v>1.2</v>
      </c>
      <c r="G165" s="1">
        <v>70.8</v>
      </c>
      <c r="H165" s="1">
        <v>8.1999999999999993</v>
      </c>
      <c r="I165" s="1">
        <v>2.4</v>
      </c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x14ac:dyDescent="0.25">
      <c r="A166" s="1">
        <v>350</v>
      </c>
      <c r="B166" s="1">
        <v>568</v>
      </c>
      <c r="C166" s="1">
        <v>2616</v>
      </c>
      <c r="D166" s="1">
        <v>-52.9</v>
      </c>
      <c r="E166" s="1">
        <v>5.2</v>
      </c>
      <c r="F166" s="1">
        <v>1.5</v>
      </c>
      <c r="G166" s="1">
        <v>83.4</v>
      </c>
      <c r="H166" s="1">
        <v>9</v>
      </c>
      <c r="I166" s="1">
        <v>2.6</v>
      </c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x14ac:dyDescent="0.25">
      <c r="A167" s="1">
        <v>375</v>
      </c>
      <c r="B167" s="1">
        <v>550</v>
      </c>
      <c r="C167" s="1">
        <v>2448</v>
      </c>
      <c r="D167" s="1">
        <v>-68</v>
      </c>
      <c r="E167" s="1">
        <v>6.2</v>
      </c>
      <c r="F167" s="1">
        <v>1.8</v>
      </c>
      <c r="G167" s="1">
        <v>97.3</v>
      </c>
      <c r="H167" s="1">
        <v>9.8000000000000007</v>
      </c>
      <c r="I167" s="1">
        <v>2.8</v>
      </c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x14ac:dyDescent="0.25">
      <c r="A168" s="1">
        <v>400</v>
      </c>
      <c r="B168" s="1">
        <v>532</v>
      </c>
      <c r="C168" s="1">
        <v>2289</v>
      </c>
      <c r="D168" s="1">
        <v>-85.3</v>
      </c>
      <c r="E168" s="1">
        <v>7.3</v>
      </c>
      <c r="F168" s="1">
        <v>2.1</v>
      </c>
      <c r="G168" s="1">
        <v>112.5</v>
      </c>
      <c r="H168" s="1">
        <v>10.6</v>
      </c>
      <c r="I168" s="1">
        <v>3.1</v>
      </c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x14ac:dyDescent="0.25">
      <c r="A169" s="1">
        <v>425</v>
      </c>
      <c r="B169" s="1">
        <v>514</v>
      </c>
      <c r="C169" s="1">
        <v>2139</v>
      </c>
      <c r="D169" s="1">
        <v>-105.6</v>
      </c>
      <c r="E169" s="1">
        <v>8.5</v>
      </c>
      <c r="F169" s="1">
        <v>2.5</v>
      </c>
      <c r="G169" s="1">
        <v>129</v>
      </c>
      <c r="H169" s="1">
        <v>11.4</v>
      </c>
      <c r="I169" s="1">
        <v>3.3</v>
      </c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x14ac:dyDescent="0.25">
      <c r="A170" s="1">
        <v>450</v>
      </c>
      <c r="B170" s="1">
        <v>497</v>
      </c>
      <c r="C170" s="1">
        <v>1998</v>
      </c>
      <c r="D170" s="1">
        <v>-127.9</v>
      </c>
      <c r="E170" s="1">
        <v>9.8000000000000007</v>
      </c>
      <c r="F170" s="1">
        <v>2.8</v>
      </c>
      <c r="G170" s="1">
        <v>147</v>
      </c>
      <c r="H170" s="1">
        <v>12.3</v>
      </c>
      <c r="I170" s="1">
        <v>3.6</v>
      </c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x14ac:dyDescent="0.25">
      <c r="A171" s="1">
        <v>475</v>
      </c>
      <c r="B171" s="1">
        <v>480</v>
      </c>
      <c r="C171" s="1">
        <v>1866</v>
      </c>
      <c r="D171" s="1">
        <v>-152.80000000000001</v>
      </c>
      <c r="E171" s="1">
        <v>11.1</v>
      </c>
      <c r="F171" s="1">
        <v>3.2</v>
      </c>
      <c r="G171" s="1">
        <v>166.5</v>
      </c>
      <c r="H171" s="1">
        <v>13.2</v>
      </c>
      <c r="I171" s="1">
        <v>3.8</v>
      </c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x14ac:dyDescent="0.25">
      <c r="A172" s="1">
        <v>500</v>
      </c>
      <c r="B172" s="1">
        <v>464</v>
      </c>
      <c r="C172" s="1">
        <v>1747</v>
      </c>
      <c r="D172" s="1">
        <v>-180.7</v>
      </c>
      <c r="E172" s="1">
        <v>12.4</v>
      </c>
      <c r="F172" s="1">
        <v>3.6</v>
      </c>
      <c r="G172" s="1">
        <v>186.7</v>
      </c>
      <c r="H172" s="1">
        <v>14.1</v>
      </c>
      <c r="I172" s="1">
        <v>4.0999999999999996</v>
      </c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4" spans="1:21" x14ac:dyDescent="0.25">
      <c r="A174" t="s">
        <v>70</v>
      </c>
    </row>
    <row r="175" spans="1:21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33</v>
      </c>
      <c r="H175" t="s">
        <v>34</v>
      </c>
      <c r="I175" t="s">
        <v>35</v>
      </c>
    </row>
    <row r="176" spans="1:21" x14ac:dyDescent="0.25">
      <c r="A176" s="1">
        <v>0</v>
      </c>
      <c r="B176" s="1">
        <v>869</v>
      </c>
      <c r="C176" s="1">
        <v>6113</v>
      </c>
      <c r="D176" s="1">
        <v>-3.8</v>
      </c>
      <c r="E176" s="1">
        <v>0</v>
      </c>
      <c r="F176" s="1">
        <v>0</v>
      </c>
      <c r="G176" s="1">
        <v>0.2</v>
      </c>
      <c r="H176" s="1">
        <v>0</v>
      </c>
      <c r="I176" s="1">
        <v>0</v>
      </c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x14ac:dyDescent="0.25">
      <c r="A177" s="1">
        <v>25</v>
      </c>
      <c r="B177" s="1">
        <v>845</v>
      </c>
      <c r="C177" s="1">
        <v>5779</v>
      </c>
      <c r="D177" s="1">
        <v>2.4</v>
      </c>
      <c r="E177" s="1">
        <v>-3.4</v>
      </c>
      <c r="F177" s="1">
        <v>-1</v>
      </c>
      <c r="G177" s="1">
        <v>0.5</v>
      </c>
      <c r="H177" s="1">
        <v>0.8</v>
      </c>
      <c r="I177" s="1">
        <v>0.2</v>
      </c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x14ac:dyDescent="0.25">
      <c r="A178" s="1">
        <v>50</v>
      </c>
      <c r="B178" s="1">
        <v>821</v>
      </c>
      <c r="C178" s="1">
        <v>5462</v>
      </c>
      <c r="D178" s="1">
        <v>8</v>
      </c>
      <c r="E178" s="1">
        <v>-5.5</v>
      </c>
      <c r="F178" s="1">
        <v>-1.6</v>
      </c>
      <c r="G178" s="1">
        <v>1.6</v>
      </c>
      <c r="H178" s="10">
        <v>1.2</v>
      </c>
      <c r="I178" s="10">
        <v>0.4</v>
      </c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x14ac:dyDescent="0.25">
      <c r="A179" s="1">
        <v>75</v>
      </c>
      <c r="B179" s="1">
        <v>798</v>
      </c>
      <c r="C179" s="1">
        <v>5160</v>
      </c>
      <c r="D179" s="1">
        <v>12.4</v>
      </c>
      <c r="E179" s="1">
        <v>-5.7</v>
      </c>
      <c r="F179" s="1">
        <v>-1.7</v>
      </c>
      <c r="G179" s="1">
        <v>3.4</v>
      </c>
      <c r="H179" s="1">
        <v>1.7</v>
      </c>
      <c r="I179" s="1">
        <v>0.5</v>
      </c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x14ac:dyDescent="0.25">
      <c r="A180" s="1">
        <v>100</v>
      </c>
      <c r="B180" s="1">
        <v>775</v>
      </c>
      <c r="C180" s="1">
        <v>4870</v>
      </c>
      <c r="D180" s="1">
        <v>15.9</v>
      </c>
      <c r="E180" s="1">
        <v>-5.5</v>
      </c>
      <c r="F180" s="1">
        <v>-1.6</v>
      </c>
      <c r="G180" s="1">
        <v>6.1</v>
      </c>
      <c r="H180" s="1">
        <v>2.2999999999999998</v>
      </c>
      <c r="I180" s="1">
        <v>0.7</v>
      </c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x14ac:dyDescent="0.25">
      <c r="A181" s="1">
        <v>125</v>
      </c>
      <c r="B181" s="1">
        <v>753</v>
      </c>
      <c r="C181" s="1">
        <v>4594</v>
      </c>
      <c r="D181" s="1">
        <v>18.5</v>
      </c>
      <c r="E181" s="1">
        <v>-5.0999999999999996</v>
      </c>
      <c r="F181" s="1">
        <v>-1.5</v>
      </c>
      <c r="G181" s="1">
        <v>9.5</v>
      </c>
      <c r="H181" s="1">
        <v>2.9</v>
      </c>
      <c r="I181" s="1">
        <v>0.8</v>
      </c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x14ac:dyDescent="0.25">
      <c r="A182" s="1">
        <v>150</v>
      </c>
      <c r="B182" s="1">
        <v>731</v>
      </c>
      <c r="C182" s="1">
        <v>4330</v>
      </c>
      <c r="D182" s="1">
        <v>19.8</v>
      </c>
      <c r="E182" s="1">
        <v>-4.5</v>
      </c>
      <c r="F182" s="1">
        <v>-1.3</v>
      </c>
      <c r="G182" s="1">
        <v>13.7</v>
      </c>
      <c r="H182" s="1">
        <v>3.4</v>
      </c>
      <c r="I182" s="1">
        <v>1</v>
      </c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x14ac:dyDescent="0.25">
      <c r="A183" s="1">
        <v>175</v>
      </c>
      <c r="B183" s="1">
        <v>709</v>
      </c>
      <c r="C183" s="1">
        <v>4077</v>
      </c>
      <c r="D183" s="1">
        <v>20</v>
      </c>
      <c r="E183" s="1">
        <v>-3.9</v>
      </c>
      <c r="F183" s="1">
        <v>-1.1000000000000001</v>
      </c>
      <c r="G183" s="1">
        <v>18.899999999999999</v>
      </c>
      <c r="H183" s="1">
        <v>4.0999999999999996</v>
      </c>
      <c r="I183" s="1">
        <v>1.2</v>
      </c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x14ac:dyDescent="0.25">
      <c r="A184" s="1">
        <v>200</v>
      </c>
      <c r="B184" s="1">
        <v>688</v>
      </c>
      <c r="C184" s="1">
        <v>3837</v>
      </c>
      <c r="D184" s="1">
        <v>18.899999999999999</v>
      </c>
      <c r="E184" s="1">
        <v>-3.2</v>
      </c>
      <c r="F184" s="1">
        <v>-0.9</v>
      </c>
      <c r="G184" s="1">
        <v>25</v>
      </c>
      <c r="H184" s="1">
        <v>4.7</v>
      </c>
      <c r="I184" s="1">
        <v>1.4</v>
      </c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x14ac:dyDescent="0.25">
      <c r="A185" s="1">
        <v>225</v>
      </c>
      <c r="B185" s="1">
        <v>667</v>
      </c>
      <c r="C185" s="1">
        <v>3607</v>
      </c>
      <c r="D185" s="1">
        <v>16.5</v>
      </c>
      <c r="E185" s="1">
        <v>-2.5</v>
      </c>
      <c r="F185" s="1">
        <v>-0.7</v>
      </c>
      <c r="G185" s="1">
        <v>32</v>
      </c>
      <c r="H185" s="1">
        <v>5.4</v>
      </c>
      <c r="I185" s="1">
        <v>1.6</v>
      </c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x14ac:dyDescent="0.25">
      <c r="A186" s="1">
        <v>250</v>
      </c>
      <c r="B186" s="1">
        <v>647</v>
      </c>
      <c r="C186" s="1">
        <v>3388</v>
      </c>
      <c r="D186" s="1">
        <v>12.6</v>
      </c>
      <c r="E186" s="1">
        <v>-1.7</v>
      </c>
      <c r="F186" s="1">
        <v>-0.5</v>
      </c>
      <c r="G186" s="1">
        <v>40.1</v>
      </c>
      <c r="H186" s="1">
        <v>6</v>
      </c>
      <c r="I186" s="1">
        <v>1.8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x14ac:dyDescent="0.25">
      <c r="A187" s="1">
        <v>275</v>
      </c>
      <c r="B187" s="1">
        <v>627</v>
      </c>
      <c r="C187" s="1">
        <v>3180</v>
      </c>
      <c r="D187" s="1">
        <v>7.1</v>
      </c>
      <c r="E187" s="1">
        <v>-0.9</v>
      </c>
      <c r="F187" s="1">
        <v>-0.3</v>
      </c>
      <c r="G187" s="1">
        <v>49.2</v>
      </c>
      <c r="H187" s="1">
        <v>6.7</v>
      </c>
      <c r="I187" s="1">
        <v>2</v>
      </c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x14ac:dyDescent="0.25">
      <c r="A188" s="10">
        <v>300</v>
      </c>
      <c r="B188" s="10">
        <v>607</v>
      </c>
      <c r="C188" s="10">
        <v>2982</v>
      </c>
      <c r="D188" s="10">
        <v>0</v>
      </c>
      <c r="E188" s="10">
        <v>0</v>
      </c>
      <c r="F188" s="10">
        <v>0</v>
      </c>
      <c r="G188" s="1">
        <v>59.4</v>
      </c>
      <c r="H188" s="1">
        <v>7.5</v>
      </c>
      <c r="I188" s="1">
        <v>2.2000000000000002</v>
      </c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x14ac:dyDescent="0.25">
      <c r="A189" s="1">
        <v>325</v>
      </c>
      <c r="B189" s="1">
        <v>587</v>
      </c>
      <c r="C189" s="1">
        <v>2794</v>
      </c>
      <c r="D189" s="1">
        <v>-8.8000000000000007</v>
      </c>
      <c r="E189" s="1">
        <v>0.9</v>
      </c>
      <c r="F189" s="1">
        <v>0.3</v>
      </c>
      <c r="G189" s="1">
        <v>70.8</v>
      </c>
      <c r="H189" s="1">
        <v>8.1999999999999993</v>
      </c>
      <c r="I189" s="1">
        <v>2.4</v>
      </c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x14ac:dyDescent="0.25">
      <c r="A190" s="1">
        <v>350</v>
      </c>
      <c r="B190" s="1">
        <v>568</v>
      </c>
      <c r="C190" s="1">
        <v>2616</v>
      </c>
      <c r="D190" s="1">
        <v>-19.899999999999999</v>
      </c>
      <c r="E190" s="1">
        <v>1.9</v>
      </c>
      <c r="F190" s="1">
        <v>0.6</v>
      </c>
      <c r="G190" s="1">
        <v>83.4</v>
      </c>
      <c r="H190" s="1">
        <v>9</v>
      </c>
      <c r="I190" s="1">
        <v>2.6</v>
      </c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x14ac:dyDescent="0.25">
      <c r="A191" s="1">
        <v>375</v>
      </c>
      <c r="B191" s="1">
        <v>550</v>
      </c>
      <c r="C191" s="1">
        <v>2448</v>
      </c>
      <c r="D191" s="1">
        <v>-32.6</v>
      </c>
      <c r="E191" s="1">
        <v>3</v>
      </c>
      <c r="F191" s="1">
        <v>0.9</v>
      </c>
      <c r="G191" s="1">
        <v>97.3</v>
      </c>
      <c r="H191" s="1">
        <v>9.8000000000000007</v>
      </c>
      <c r="I191" s="1">
        <v>2.8</v>
      </c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x14ac:dyDescent="0.25">
      <c r="A192" s="1">
        <v>400</v>
      </c>
      <c r="B192" s="1">
        <v>532</v>
      </c>
      <c r="C192" s="1">
        <v>2288</v>
      </c>
      <c r="D192" s="1">
        <v>-47.6</v>
      </c>
      <c r="E192" s="1">
        <v>4.0999999999999996</v>
      </c>
      <c r="F192" s="1">
        <v>1.2</v>
      </c>
      <c r="G192" s="1">
        <v>112.5</v>
      </c>
      <c r="H192" s="1">
        <v>10.6</v>
      </c>
      <c r="I192" s="1">
        <v>3.1</v>
      </c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x14ac:dyDescent="0.25">
      <c r="A193" s="1">
        <v>425</v>
      </c>
      <c r="B193" s="1">
        <v>514</v>
      </c>
      <c r="C193" s="1">
        <v>2139</v>
      </c>
      <c r="D193" s="1">
        <v>-65.5</v>
      </c>
      <c r="E193" s="1">
        <v>5.3</v>
      </c>
      <c r="F193" s="1">
        <v>1.5</v>
      </c>
      <c r="G193" s="1">
        <v>129</v>
      </c>
      <c r="H193" s="1">
        <v>11.4</v>
      </c>
      <c r="I193" s="1">
        <v>3.3</v>
      </c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x14ac:dyDescent="0.25">
      <c r="A194" s="1">
        <v>450</v>
      </c>
      <c r="B194" s="1">
        <v>497</v>
      </c>
      <c r="C194" s="1">
        <v>1998</v>
      </c>
      <c r="D194" s="1">
        <v>-85.4</v>
      </c>
      <c r="E194" s="1">
        <v>6.5</v>
      </c>
      <c r="F194" s="1">
        <v>1.9</v>
      </c>
      <c r="G194" s="1">
        <v>147</v>
      </c>
      <c r="H194" s="1">
        <v>12.3</v>
      </c>
      <c r="I194" s="1">
        <v>3.6</v>
      </c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x14ac:dyDescent="0.25">
      <c r="A195" s="1">
        <v>475</v>
      </c>
      <c r="B195" s="1">
        <v>480</v>
      </c>
      <c r="C195" s="1">
        <v>1866</v>
      </c>
      <c r="D195" s="1">
        <v>-108</v>
      </c>
      <c r="E195" s="1">
        <v>7.8</v>
      </c>
      <c r="F195" s="1">
        <v>2.2999999999999998</v>
      </c>
      <c r="G195" s="1">
        <v>166.5</v>
      </c>
      <c r="H195" s="1">
        <v>13.2</v>
      </c>
      <c r="I195" s="1">
        <v>3.8</v>
      </c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x14ac:dyDescent="0.25">
      <c r="A196" s="1">
        <v>500</v>
      </c>
      <c r="B196" s="1">
        <v>464</v>
      </c>
      <c r="C196" s="1">
        <v>1747</v>
      </c>
      <c r="D196" s="1">
        <v>-133.6</v>
      </c>
      <c r="E196" s="1">
        <v>9.1999999999999993</v>
      </c>
      <c r="F196" s="1">
        <v>2.7</v>
      </c>
      <c r="G196" s="1">
        <v>186.7</v>
      </c>
      <c r="H196" s="1">
        <v>14.1</v>
      </c>
      <c r="I196" s="1">
        <v>4.0999999999999996</v>
      </c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8" spans="1:21" x14ac:dyDescent="0.25">
      <c r="A198" t="s">
        <v>71</v>
      </c>
    </row>
    <row r="199" spans="1:21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33</v>
      </c>
      <c r="H199" t="s">
        <v>34</v>
      </c>
      <c r="I199" t="s">
        <v>35</v>
      </c>
    </row>
    <row r="200" spans="1:21" x14ac:dyDescent="0.25">
      <c r="A200" s="1">
        <v>0</v>
      </c>
      <c r="B200" s="1">
        <v>869</v>
      </c>
      <c r="C200" s="1">
        <v>6113</v>
      </c>
      <c r="D200" s="1">
        <v>-3.8</v>
      </c>
      <c r="E200" s="1">
        <v>0</v>
      </c>
      <c r="F200" s="1">
        <v>0</v>
      </c>
      <c r="G200" s="1">
        <v>0.2</v>
      </c>
      <c r="H200" s="1">
        <v>0</v>
      </c>
      <c r="I200" s="1">
        <v>0</v>
      </c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x14ac:dyDescent="0.25">
      <c r="A201" s="1">
        <v>25</v>
      </c>
      <c r="B201" s="1">
        <v>845</v>
      </c>
      <c r="C201" s="1">
        <v>5779</v>
      </c>
      <c r="D201" s="1">
        <v>5.4</v>
      </c>
      <c r="E201" s="1">
        <v>-7.5</v>
      </c>
      <c r="F201" s="1">
        <v>-2.2000000000000002</v>
      </c>
      <c r="G201" s="1">
        <v>0.5</v>
      </c>
      <c r="H201" s="1">
        <v>0.8</v>
      </c>
      <c r="I201" s="1">
        <v>0.2</v>
      </c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x14ac:dyDescent="0.25">
      <c r="A202" s="1">
        <v>50</v>
      </c>
      <c r="B202" s="1">
        <v>821</v>
      </c>
      <c r="C202" s="1">
        <v>5462</v>
      </c>
      <c r="D202" s="1">
        <v>14</v>
      </c>
      <c r="E202" s="1">
        <v>-9.6</v>
      </c>
      <c r="F202" s="1">
        <v>-2.8</v>
      </c>
      <c r="G202" s="1">
        <v>1.6</v>
      </c>
      <c r="H202" s="10">
        <v>1.2</v>
      </c>
      <c r="I202" s="10">
        <v>0.4</v>
      </c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x14ac:dyDescent="0.25">
      <c r="A203" s="1">
        <v>75</v>
      </c>
      <c r="B203" s="1">
        <v>798</v>
      </c>
      <c r="C203" s="1">
        <v>5160</v>
      </c>
      <c r="D203" s="1">
        <v>21.4</v>
      </c>
      <c r="E203" s="1">
        <v>-9.8000000000000007</v>
      </c>
      <c r="F203" s="1">
        <v>-2.9</v>
      </c>
      <c r="G203" s="1">
        <v>3.4</v>
      </c>
      <c r="H203" s="1">
        <v>1.7</v>
      </c>
      <c r="I203" s="1">
        <v>0.5</v>
      </c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x14ac:dyDescent="0.25">
      <c r="A204" s="1">
        <v>100</v>
      </c>
      <c r="B204" s="1">
        <v>775</v>
      </c>
      <c r="C204" s="1">
        <v>4870</v>
      </c>
      <c r="D204" s="1">
        <v>27.9</v>
      </c>
      <c r="E204" s="1">
        <v>-9.6</v>
      </c>
      <c r="F204" s="1">
        <v>-2.8</v>
      </c>
      <c r="G204" s="1">
        <v>6.1</v>
      </c>
      <c r="H204" s="1">
        <v>2.2999999999999998</v>
      </c>
      <c r="I204" s="1">
        <v>0.7</v>
      </c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x14ac:dyDescent="0.25">
      <c r="A205" s="1">
        <v>125</v>
      </c>
      <c r="B205" s="1">
        <v>753</v>
      </c>
      <c r="C205" s="1">
        <v>4594</v>
      </c>
      <c r="D205" s="1">
        <v>33.5</v>
      </c>
      <c r="E205" s="1">
        <v>-9.1999999999999993</v>
      </c>
      <c r="F205" s="1">
        <v>-2.7</v>
      </c>
      <c r="G205" s="1">
        <v>9.5</v>
      </c>
      <c r="H205" s="1">
        <v>2.9</v>
      </c>
      <c r="I205" s="1">
        <v>0.8</v>
      </c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x14ac:dyDescent="0.25">
      <c r="A206" s="1">
        <v>150</v>
      </c>
      <c r="B206" s="1">
        <v>731</v>
      </c>
      <c r="C206" s="1">
        <v>4330</v>
      </c>
      <c r="D206" s="1">
        <v>37.799999999999997</v>
      </c>
      <c r="E206" s="1">
        <v>-8.6999999999999993</v>
      </c>
      <c r="F206" s="1">
        <v>-2.5</v>
      </c>
      <c r="G206" s="1">
        <v>13.7</v>
      </c>
      <c r="H206" s="1">
        <v>3.4</v>
      </c>
      <c r="I206" s="1">
        <v>1</v>
      </c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x14ac:dyDescent="0.25">
      <c r="A207" s="1">
        <v>175</v>
      </c>
      <c r="B207" s="1">
        <v>709</v>
      </c>
      <c r="C207" s="1">
        <v>4077</v>
      </c>
      <c r="D207" s="1">
        <v>40.9</v>
      </c>
      <c r="E207" s="1">
        <v>-8</v>
      </c>
      <c r="F207" s="1">
        <v>-2.2999999999999998</v>
      </c>
      <c r="G207" s="1">
        <v>18.899999999999999</v>
      </c>
      <c r="H207" s="1">
        <v>4.0999999999999996</v>
      </c>
      <c r="I207" s="1">
        <v>1.2</v>
      </c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x14ac:dyDescent="0.25">
      <c r="A208" s="1">
        <v>200</v>
      </c>
      <c r="B208" s="1">
        <v>688</v>
      </c>
      <c r="C208" s="1">
        <v>3837</v>
      </c>
      <c r="D208" s="1">
        <v>42.9</v>
      </c>
      <c r="E208" s="1">
        <v>-7.4</v>
      </c>
      <c r="F208" s="1">
        <v>-2.1</v>
      </c>
      <c r="G208" s="1">
        <v>25</v>
      </c>
      <c r="H208" s="1">
        <v>4.7</v>
      </c>
      <c r="I208" s="1">
        <v>1.4</v>
      </c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x14ac:dyDescent="0.25">
      <c r="A209" s="1">
        <v>225</v>
      </c>
      <c r="B209" s="1">
        <v>667</v>
      </c>
      <c r="C209" s="1">
        <v>3607</v>
      </c>
      <c r="D209" s="1">
        <v>43.4</v>
      </c>
      <c r="E209" s="1">
        <v>-6.6</v>
      </c>
      <c r="F209" s="1">
        <v>-1.9</v>
      </c>
      <c r="G209" s="1">
        <v>32</v>
      </c>
      <c r="H209" s="1">
        <v>5.4</v>
      </c>
      <c r="I209" s="1">
        <v>1.6</v>
      </c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x14ac:dyDescent="0.25">
      <c r="A210" s="1">
        <v>250</v>
      </c>
      <c r="B210" s="1">
        <v>647</v>
      </c>
      <c r="C210" s="1">
        <v>3388</v>
      </c>
      <c r="D210" s="1">
        <v>42.5</v>
      </c>
      <c r="E210" s="1">
        <v>-5.9</v>
      </c>
      <c r="F210" s="1">
        <v>-1.7</v>
      </c>
      <c r="G210" s="1">
        <v>40.1</v>
      </c>
      <c r="H210" s="1">
        <v>6</v>
      </c>
      <c r="I210" s="1">
        <v>1.8</v>
      </c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x14ac:dyDescent="0.25">
      <c r="A211" s="1">
        <v>275</v>
      </c>
      <c r="B211" s="1">
        <v>627</v>
      </c>
      <c r="C211" s="1">
        <v>3180</v>
      </c>
      <c r="D211" s="1">
        <v>40</v>
      </c>
      <c r="E211" s="1">
        <v>-5</v>
      </c>
      <c r="F211" s="1">
        <v>-1.5</v>
      </c>
      <c r="G211" s="1">
        <v>49.2</v>
      </c>
      <c r="H211" s="1">
        <v>6.7</v>
      </c>
      <c r="I211" s="1">
        <v>2</v>
      </c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x14ac:dyDescent="0.25">
      <c r="A212" s="1">
        <v>300</v>
      </c>
      <c r="B212" s="1">
        <v>607</v>
      </c>
      <c r="C212" s="1">
        <v>2982</v>
      </c>
      <c r="D212" s="1">
        <v>35.9</v>
      </c>
      <c r="E212" s="1">
        <v>-4.0999999999999996</v>
      </c>
      <c r="F212" s="1">
        <v>-1.2</v>
      </c>
      <c r="G212" s="1">
        <v>59.4</v>
      </c>
      <c r="H212" s="1">
        <v>7.5</v>
      </c>
      <c r="I212" s="1">
        <v>2.2000000000000002</v>
      </c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x14ac:dyDescent="0.25">
      <c r="A213" s="1">
        <v>325</v>
      </c>
      <c r="B213" s="1">
        <v>587</v>
      </c>
      <c r="C213" s="1">
        <v>2794</v>
      </c>
      <c r="D213" s="1">
        <v>30.1</v>
      </c>
      <c r="E213" s="1">
        <v>-3.2</v>
      </c>
      <c r="F213" s="1">
        <v>-0.9</v>
      </c>
      <c r="G213" s="1">
        <v>70.8</v>
      </c>
      <c r="H213" s="1">
        <v>8.1999999999999993</v>
      </c>
      <c r="I213" s="1">
        <v>2.4</v>
      </c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x14ac:dyDescent="0.25">
      <c r="A214" s="1">
        <v>350</v>
      </c>
      <c r="B214" s="1">
        <v>568</v>
      </c>
      <c r="C214" s="1">
        <v>2616</v>
      </c>
      <c r="D214" s="1">
        <v>22.1</v>
      </c>
      <c r="E214" s="1">
        <v>-2.2000000000000002</v>
      </c>
      <c r="F214" s="1">
        <v>-0.6</v>
      </c>
      <c r="G214" s="1">
        <v>83.4</v>
      </c>
      <c r="H214" s="1">
        <v>9</v>
      </c>
      <c r="I214" s="1">
        <v>2.6</v>
      </c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x14ac:dyDescent="0.25">
      <c r="A215" s="1">
        <v>375</v>
      </c>
      <c r="B215" s="1">
        <v>550</v>
      </c>
      <c r="C215" s="1">
        <v>2448</v>
      </c>
      <c r="D215" s="1">
        <v>12.3</v>
      </c>
      <c r="E215" s="1">
        <v>-1.1000000000000001</v>
      </c>
      <c r="F215" s="1">
        <v>-0.3</v>
      </c>
      <c r="G215" s="1">
        <v>97.3</v>
      </c>
      <c r="H215" s="1">
        <v>9.8000000000000007</v>
      </c>
      <c r="I215" s="1">
        <v>2.8</v>
      </c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x14ac:dyDescent="0.25">
      <c r="A216" s="10">
        <v>400</v>
      </c>
      <c r="B216" s="10">
        <v>531</v>
      </c>
      <c r="C216" s="10">
        <v>2288</v>
      </c>
      <c r="D216" s="10">
        <v>0.3</v>
      </c>
      <c r="E216" s="10">
        <v>0</v>
      </c>
      <c r="F216" s="10">
        <v>0</v>
      </c>
      <c r="G216" s="1">
        <v>112.5</v>
      </c>
      <c r="H216" s="1">
        <v>10.6</v>
      </c>
      <c r="I216" s="1">
        <v>3.1</v>
      </c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x14ac:dyDescent="0.25">
      <c r="A217" s="1">
        <v>425</v>
      </c>
      <c r="B217" s="1">
        <v>514</v>
      </c>
      <c r="C217" s="1">
        <v>2138</v>
      </c>
      <c r="D217" s="1">
        <v>-14.6</v>
      </c>
      <c r="E217" s="1">
        <v>1.2</v>
      </c>
      <c r="F217" s="1">
        <v>0.3</v>
      </c>
      <c r="G217" s="1">
        <v>129</v>
      </c>
      <c r="H217" s="1">
        <v>11.4</v>
      </c>
      <c r="I217" s="1">
        <v>3.3</v>
      </c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x14ac:dyDescent="0.25">
      <c r="A218" s="1">
        <v>450</v>
      </c>
      <c r="B218" s="1">
        <v>497</v>
      </c>
      <c r="C218" s="1">
        <v>1998</v>
      </c>
      <c r="D218" s="1">
        <v>-31.6</v>
      </c>
      <c r="E218" s="1">
        <v>2.4</v>
      </c>
      <c r="F218" s="1">
        <v>0.7</v>
      </c>
      <c r="G218" s="1">
        <v>147</v>
      </c>
      <c r="H218" s="1">
        <v>12.3</v>
      </c>
      <c r="I218" s="1">
        <v>3.6</v>
      </c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x14ac:dyDescent="0.25">
      <c r="A219" s="1">
        <v>475</v>
      </c>
      <c r="B219" s="1">
        <v>480</v>
      </c>
      <c r="C219" s="1">
        <v>1865</v>
      </c>
      <c r="D219" s="1">
        <v>-51.2</v>
      </c>
      <c r="E219" s="1">
        <v>3.7</v>
      </c>
      <c r="F219" s="1">
        <v>1.1000000000000001</v>
      </c>
      <c r="G219" s="1">
        <v>166.5</v>
      </c>
      <c r="H219" s="1">
        <v>13.2</v>
      </c>
      <c r="I219" s="1">
        <v>3.8</v>
      </c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x14ac:dyDescent="0.25">
      <c r="A220" s="1">
        <v>500</v>
      </c>
      <c r="B220" s="1">
        <v>464</v>
      </c>
      <c r="C220" s="1">
        <v>1747</v>
      </c>
      <c r="D220" s="1">
        <v>-73.8</v>
      </c>
      <c r="E220" s="1">
        <v>5.0999999999999996</v>
      </c>
      <c r="F220" s="1">
        <v>1.5</v>
      </c>
      <c r="G220" s="1">
        <v>186.7</v>
      </c>
      <c r="H220" s="1">
        <v>14.1</v>
      </c>
      <c r="I220" s="1">
        <v>4.0999999999999996</v>
      </c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2" spans="1:21" x14ac:dyDescent="0.25">
      <c r="A222" t="s">
        <v>63</v>
      </c>
    </row>
    <row r="223" spans="1:21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33</v>
      </c>
      <c r="H223" t="s">
        <v>34</v>
      </c>
      <c r="I223" t="s">
        <v>35</v>
      </c>
    </row>
    <row r="224" spans="1:21" x14ac:dyDescent="0.25">
      <c r="A224" s="1">
        <v>0</v>
      </c>
      <c r="B224" s="1">
        <v>869</v>
      </c>
      <c r="C224" s="1">
        <v>6113</v>
      </c>
      <c r="D224" s="1">
        <v>-3.8</v>
      </c>
      <c r="E224" s="1">
        <v>0</v>
      </c>
      <c r="F224" s="1">
        <v>0</v>
      </c>
      <c r="G224" s="1">
        <v>0.2</v>
      </c>
      <c r="H224" s="1">
        <v>0</v>
      </c>
      <c r="I224" s="1">
        <v>0</v>
      </c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x14ac:dyDescent="0.25">
      <c r="A225" s="1">
        <v>25</v>
      </c>
      <c r="B225" s="1">
        <v>845</v>
      </c>
      <c r="C225" s="1">
        <v>5779</v>
      </c>
      <c r="D225" s="1">
        <v>9.1</v>
      </c>
      <c r="E225" s="1">
        <v>-12.6</v>
      </c>
      <c r="F225" s="1">
        <v>-3.7</v>
      </c>
      <c r="G225" s="1">
        <v>0.5</v>
      </c>
      <c r="H225" s="1">
        <v>0.8</v>
      </c>
      <c r="I225" s="1">
        <v>0.2</v>
      </c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x14ac:dyDescent="0.25">
      <c r="A226" s="1">
        <v>50</v>
      </c>
      <c r="B226" s="1">
        <v>821</v>
      </c>
      <c r="C226" s="1">
        <v>5462</v>
      </c>
      <c r="D226" s="1">
        <v>21.6</v>
      </c>
      <c r="E226" s="1">
        <v>-14.7</v>
      </c>
      <c r="F226" s="1">
        <v>-4.3</v>
      </c>
      <c r="G226" s="1">
        <v>1.6</v>
      </c>
      <c r="H226" s="10">
        <v>1.2</v>
      </c>
      <c r="I226" s="10">
        <v>0.4</v>
      </c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x14ac:dyDescent="0.25">
      <c r="A227" s="1">
        <v>75</v>
      </c>
      <c r="B227" s="1">
        <v>798</v>
      </c>
      <c r="C227" s="1">
        <v>5160</v>
      </c>
      <c r="D227" s="1">
        <v>32.6</v>
      </c>
      <c r="E227" s="1">
        <v>-14.9</v>
      </c>
      <c r="F227" s="1">
        <v>-4.3</v>
      </c>
      <c r="G227" s="1">
        <v>3.4</v>
      </c>
      <c r="H227" s="1">
        <v>1.7</v>
      </c>
      <c r="I227" s="1">
        <v>0.5</v>
      </c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x14ac:dyDescent="0.25">
      <c r="A228" s="1">
        <v>100</v>
      </c>
      <c r="B228" s="1">
        <v>775</v>
      </c>
      <c r="C228" s="1">
        <v>4870</v>
      </c>
      <c r="D228" s="1">
        <v>42.8</v>
      </c>
      <c r="E228" s="1">
        <v>-14.7</v>
      </c>
      <c r="F228" s="1">
        <v>-4.3</v>
      </c>
      <c r="G228" s="1">
        <v>6.1</v>
      </c>
      <c r="H228" s="1">
        <v>2.2999999999999998</v>
      </c>
      <c r="I228" s="1">
        <v>0.7</v>
      </c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x14ac:dyDescent="0.25">
      <c r="A229" s="1">
        <v>125</v>
      </c>
      <c r="B229" s="1">
        <v>753</v>
      </c>
      <c r="C229" s="1">
        <v>4594</v>
      </c>
      <c r="D229" s="1">
        <v>52.2</v>
      </c>
      <c r="E229" s="1">
        <v>-14.3</v>
      </c>
      <c r="F229" s="1">
        <v>-4.2</v>
      </c>
      <c r="G229" s="1">
        <v>9.5</v>
      </c>
      <c r="H229" s="1">
        <v>2.9</v>
      </c>
      <c r="I229" s="1">
        <v>0.8</v>
      </c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x14ac:dyDescent="0.25">
      <c r="A230" s="1">
        <v>150</v>
      </c>
      <c r="B230" s="1">
        <v>731</v>
      </c>
      <c r="C230" s="1">
        <v>4330</v>
      </c>
      <c r="D230" s="1">
        <v>60.2</v>
      </c>
      <c r="E230" s="1">
        <v>-13.8</v>
      </c>
      <c r="F230" s="1">
        <v>-4</v>
      </c>
      <c r="G230" s="1">
        <v>13.7</v>
      </c>
      <c r="H230" s="1">
        <v>3.4</v>
      </c>
      <c r="I230" s="1">
        <v>1</v>
      </c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x14ac:dyDescent="0.25">
      <c r="A231" s="1">
        <v>175</v>
      </c>
      <c r="B231" s="1">
        <v>709</v>
      </c>
      <c r="C231" s="1">
        <v>4077</v>
      </c>
      <c r="D231" s="1">
        <v>67</v>
      </c>
      <c r="E231" s="1">
        <v>-13.2</v>
      </c>
      <c r="F231" s="1">
        <v>-3.8</v>
      </c>
      <c r="G231" s="1">
        <v>18.899999999999999</v>
      </c>
      <c r="H231" s="1">
        <v>4.0999999999999996</v>
      </c>
      <c r="I231" s="1">
        <v>1.2</v>
      </c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x14ac:dyDescent="0.25">
      <c r="A232" s="1">
        <v>200</v>
      </c>
      <c r="B232" s="1">
        <v>688</v>
      </c>
      <c r="C232" s="1">
        <v>3837</v>
      </c>
      <c r="D232" s="1">
        <v>72.8</v>
      </c>
      <c r="E232" s="1">
        <v>-12.5</v>
      </c>
      <c r="F232" s="1">
        <v>-3.6</v>
      </c>
      <c r="G232" s="1">
        <v>25</v>
      </c>
      <c r="H232" s="1">
        <v>4.7</v>
      </c>
      <c r="I232" s="1">
        <v>1.4</v>
      </c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x14ac:dyDescent="0.25">
      <c r="A233" s="1">
        <v>225</v>
      </c>
      <c r="B233" s="1">
        <v>667</v>
      </c>
      <c r="C233" s="1">
        <v>3607</v>
      </c>
      <c r="D233" s="1">
        <v>77</v>
      </c>
      <c r="E233" s="1">
        <v>-11.8</v>
      </c>
      <c r="F233" s="1">
        <v>-3.4</v>
      </c>
      <c r="G233" s="1">
        <v>32</v>
      </c>
      <c r="H233" s="1">
        <v>5.4</v>
      </c>
      <c r="I233" s="1">
        <v>1.6</v>
      </c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x14ac:dyDescent="0.25">
      <c r="A234" s="1">
        <v>250</v>
      </c>
      <c r="B234" s="1">
        <v>647</v>
      </c>
      <c r="C234" s="1">
        <v>3388</v>
      </c>
      <c r="D234" s="1">
        <v>79.8</v>
      </c>
      <c r="E234" s="1">
        <v>-11</v>
      </c>
      <c r="F234" s="1">
        <v>-3.2</v>
      </c>
      <c r="G234" s="1">
        <v>40.1</v>
      </c>
      <c r="H234" s="1">
        <v>6</v>
      </c>
      <c r="I234" s="1">
        <v>1.8</v>
      </c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x14ac:dyDescent="0.25">
      <c r="A235" s="1">
        <v>275</v>
      </c>
      <c r="B235" s="1">
        <v>627</v>
      </c>
      <c r="C235" s="1">
        <v>3180</v>
      </c>
      <c r="D235" s="1">
        <v>81.099999999999994</v>
      </c>
      <c r="E235" s="1">
        <v>-10.1</v>
      </c>
      <c r="F235" s="1">
        <v>-2.9</v>
      </c>
      <c r="G235" s="1">
        <v>49.2</v>
      </c>
      <c r="H235" s="1">
        <v>6.7</v>
      </c>
      <c r="I235" s="1">
        <v>2</v>
      </c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x14ac:dyDescent="0.25">
      <c r="A236" s="1">
        <v>300</v>
      </c>
      <c r="B236" s="1">
        <v>607</v>
      </c>
      <c r="C236" s="1">
        <v>2982</v>
      </c>
      <c r="D236" s="1">
        <v>80.7</v>
      </c>
      <c r="E236" s="1">
        <v>-9.1999999999999993</v>
      </c>
      <c r="F236" s="1">
        <v>-2.7</v>
      </c>
      <c r="G236" s="1">
        <v>59.4</v>
      </c>
      <c r="H236" s="1">
        <v>7.5</v>
      </c>
      <c r="I236" s="1">
        <v>2.2000000000000002</v>
      </c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x14ac:dyDescent="0.25">
      <c r="A237" s="1">
        <v>325</v>
      </c>
      <c r="B237" s="1">
        <v>587</v>
      </c>
      <c r="C237" s="1">
        <v>2794</v>
      </c>
      <c r="D237" s="1">
        <v>78.5</v>
      </c>
      <c r="E237" s="1">
        <v>-8.3000000000000007</v>
      </c>
      <c r="F237" s="1">
        <v>-2.4</v>
      </c>
      <c r="G237" s="1">
        <v>70.8</v>
      </c>
      <c r="H237" s="1">
        <v>8.1999999999999993</v>
      </c>
      <c r="I237" s="1">
        <v>2.4</v>
      </c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x14ac:dyDescent="0.25">
      <c r="A238" s="1">
        <v>350</v>
      </c>
      <c r="B238" s="1">
        <v>568</v>
      </c>
      <c r="C238" s="1">
        <v>2616</v>
      </c>
      <c r="D238" s="1">
        <v>74.3</v>
      </c>
      <c r="E238" s="1">
        <v>-7.3</v>
      </c>
      <c r="F238" s="1">
        <v>-2.1</v>
      </c>
      <c r="G238" s="1">
        <v>83.4</v>
      </c>
      <c r="H238" s="1">
        <v>9</v>
      </c>
      <c r="I238" s="1">
        <v>2.6</v>
      </c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x14ac:dyDescent="0.25">
      <c r="A239" s="1">
        <v>375</v>
      </c>
      <c r="B239" s="1">
        <v>550</v>
      </c>
      <c r="C239" s="1">
        <v>2447</v>
      </c>
      <c r="D239" s="1">
        <v>68.2</v>
      </c>
      <c r="E239" s="1">
        <v>-6.3</v>
      </c>
      <c r="F239" s="1">
        <v>-1.8</v>
      </c>
      <c r="G239" s="1">
        <v>97.3</v>
      </c>
      <c r="H239" s="1">
        <v>9.8000000000000007</v>
      </c>
      <c r="I239" s="1">
        <v>2.8</v>
      </c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x14ac:dyDescent="0.25">
      <c r="A240" s="1">
        <v>400</v>
      </c>
      <c r="B240" s="1">
        <v>531</v>
      </c>
      <c r="C240" s="1">
        <v>2288</v>
      </c>
      <c r="D240" s="1">
        <v>59.9</v>
      </c>
      <c r="E240" s="1">
        <v>-5.2</v>
      </c>
      <c r="F240" s="1">
        <v>-1.5</v>
      </c>
      <c r="G240" s="1">
        <v>112.5</v>
      </c>
      <c r="H240" s="1">
        <v>10.6</v>
      </c>
      <c r="I240" s="1">
        <v>3.1</v>
      </c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x14ac:dyDescent="0.25">
      <c r="A241" s="1">
        <v>425</v>
      </c>
      <c r="B241" s="1">
        <v>514</v>
      </c>
      <c r="C241" s="1">
        <v>2138</v>
      </c>
      <c r="D241" s="1">
        <v>48.8</v>
      </c>
      <c r="E241" s="1">
        <v>-3.9</v>
      </c>
      <c r="F241" s="1">
        <v>-1.1000000000000001</v>
      </c>
      <c r="G241" s="1">
        <v>129</v>
      </c>
      <c r="H241" s="1">
        <v>11.4</v>
      </c>
      <c r="I241" s="1">
        <v>3.3</v>
      </c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x14ac:dyDescent="0.25">
      <c r="A242" s="1">
        <v>450</v>
      </c>
      <c r="B242" s="1">
        <v>497</v>
      </c>
      <c r="C242" s="1">
        <v>1998</v>
      </c>
      <c r="D242" s="1">
        <v>35.5</v>
      </c>
      <c r="E242" s="1">
        <v>-2.7</v>
      </c>
      <c r="F242" s="1">
        <v>-0.8</v>
      </c>
      <c r="G242" s="1">
        <v>147</v>
      </c>
      <c r="H242" s="1">
        <v>12.3</v>
      </c>
      <c r="I242" s="1">
        <v>3.6</v>
      </c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x14ac:dyDescent="0.25">
      <c r="A243" s="1">
        <v>475</v>
      </c>
      <c r="B243" s="1">
        <v>480</v>
      </c>
      <c r="C243" s="1">
        <v>1865</v>
      </c>
      <c r="D243" s="1">
        <v>19.600000000000001</v>
      </c>
      <c r="E243" s="1">
        <v>-1.4</v>
      </c>
      <c r="F243" s="1">
        <v>-0.4</v>
      </c>
      <c r="G243" s="1">
        <v>166.5</v>
      </c>
      <c r="H243" s="1">
        <v>13.2</v>
      </c>
      <c r="I243" s="1">
        <v>3.8</v>
      </c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x14ac:dyDescent="0.25">
      <c r="A244" s="10">
        <v>500</v>
      </c>
      <c r="B244" s="10">
        <v>464</v>
      </c>
      <c r="C244" s="10">
        <v>1746</v>
      </c>
      <c r="D244" s="10">
        <v>0.6</v>
      </c>
      <c r="E244" s="10">
        <v>0</v>
      </c>
      <c r="F244" s="10">
        <v>0</v>
      </c>
      <c r="G244" s="1">
        <v>186.7</v>
      </c>
      <c r="H244" s="1">
        <v>14.1</v>
      </c>
      <c r="I244" s="1">
        <v>4.0999999999999996</v>
      </c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6" spans="1:21" ht="30" x14ac:dyDescent="0.25">
      <c r="A246" t="s">
        <v>36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31</v>
      </c>
      <c r="H246" s="13" t="s">
        <v>32</v>
      </c>
      <c r="I246" s="19" t="s">
        <v>37</v>
      </c>
      <c r="J246" s="19" t="s">
        <v>85</v>
      </c>
    </row>
    <row r="247" spans="1:21" x14ac:dyDescent="0.25">
      <c r="A247" t="s">
        <v>38</v>
      </c>
      <c r="B247" s="20" cm="1">
        <f t="array" ref="B247">INDEX(LINEST(K$22:K$35,$A$22:$A$35^{1,2,3}), 1,4)</f>
        <v>-5.2802792457448469</v>
      </c>
      <c r="C247" s="20" cm="1">
        <f t="array" ref="C247">INDEX(LINEST(L$22:L$35,$A$22:$A$35^{1,2,3}), 1,4)</f>
        <v>-4.1765565705949541</v>
      </c>
      <c r="D247" s="21" cm="1">
        <f t="array" ref="D247">INDEX(LINEST(M$22:M$35,$A$22:$A$35^{1,2,3}), 1,4)</f>
        <v>-4.8763147038800057</v>
      </c>
      <c r="E247" s="21" cm="1">
        <f t="array" ref="E247">INDEX(LINEST(N$22:N$35,$A$22:$A$35^{1,2,3}), 1,4)</f>
        <v>-5.112663384952139</v>
      </c>
      <c r="F247" s="21" cm="1">
        <f t="array" ref="F247">INDEX(LINEST(O$22:O$35,$A$22:$A$35^{1,2,3}), 1,4)</f>
        <v>-4.8168252141556849</v>
      </c>
      <c r="G247" s="21" cm="1">
        <f t="array" ref="G247">INDEX(LINEST(P$22:P$35,$A$22:$A$35^{1,2,3}), 1,4)</f>
        <v>-5.05286268775005</v>
      </c>
      <c r="H247" s="21" cm="1">
        <f t="array" ref="H247">INDEX(LINEST(Q$22:Q$35,$A$22:$A$35^{1,2,3}), 1,4)</f>
        <v>-4.5440426167153163</v>
      </c>
      <c r="I247" s="21" cm="1">
        <f t="array" ref="I247">INDEX(LINEST(B$22:B$35,$A$22:$A$35^{1,2,3}), 1,4)</f>
        <v>6145.8637467390427</v>
      </c>
      <c r="J247" s="21" cm="1">
        <f t="array" ref="J247">INDEX(LINEST(R$22:R$35,$A$22:$A$35^{1,2}), 1,3)</f>
        <v>7.2311104755068527</v>
      </c>
    </row>
    <row r="248" spans="1:21" x14ac:dyDescent="0.25">
      <c r="A248" t="s">
        <v>39</v>
      </c>
      <c r="B248" s="21" cm="1">
        <f t="array" ref="B248">INDEX(LINEST(K$22:K$35,$A$22:$A$35^{1,2,3}), 1,3)</f>
        <v>0.16985726479279642</v>
      </c>
      <c r="C248" s="20" cm="1">
        <f t="array" ref="C248">INDEX(LINEST(L$22:L$35,$A$22:$A$35^{1,2,3}), 1,3)</f>
        <v>7.7478896795638699E-2</v>
      </c>
      <c r="D248" s="21" cm="1">
        <f t="array" ref="D248">INDEX(LINEST(M$22:M$35,$A$22:$A$35^{1,2,3}), 1,3)</f>
        <v>0.13969584701402482</v>
      </c>
      <c r="E248" s="21" cm="1">
        <f t="array" ref="E248">INDEX(LINEST(N$22:N$35,$A$22:$A$35^{1,2,3}), 1,3)</f>
        <v>0.18716214595265956</v>
      </c>
      <c r="F248" s="21" cm="1">
        <f t="array" ref="F248">INDEX(LINEST(O$22:O$35,$A$22:$A$35^{1,2,3}), 1,3)</f>
        <v>0.26183664332403711</v>
      </c>
      <c r="G248" s="21" cm="1">
        <f t="array" ref="G248">INDEX(LINEST(P$22:P$35,$A$22:$A$35^{1,2,3}), 1,3)</f>
        <v>0.37238174413660929</v>
      </c>
      <c r="H248" s="21" cm="1">
        <f t="array" ref="H248">INDEX(LINEST(Q$22:Q$35,$A$22:$A$35^{1,2,3}), 1,3)</f>
        <v>0.50521481300127091</v>
      </c>
      <c r="I248" s="21" cm="1">
        <f t="array" ref="I248">INDEX(LINEST(B$22:B$35,$A$22:$A$35^{1,2,3}), 1,3)</f>
        <v>-13.139178861048011</v>
      </c>
      <c r="J248" s="21" cm="1">
        <f t="array" ref="J248">INDEX(LINEST(R$22:R$35,$A$22:$A$35^{1,2}), 1,2)</f>
        <v>-0.25144766381186479</v>
      </c>
    </row>
    <row r="249" spans="1:21" x14ac:dyDescent="0.25">
      <c r="A249" t="s">
        <v>40</v>
      </c>
      <c r="B249" s="21" cm="1">
        <f t="array" ref="B249">INDEX(LINEST(K$22:K$35,$A$22:$A$35^{1,2,3}), 1,2)</f>
        <v>-6.3205412846201257E-4</v>
      </c>
      <c r="C249" s="21" cm="1">
        <f t="array" ref="C249">INDEX(LINEST(L$22:L$35,$A$22:$A$35^{1,2,3}), 1,2)</f>
        <v>-2.7821730973659638E-4</v>
      </c>
      <c r="D249" s="21" cm="1">
        <f t="array" ref="D249">INDEX(LINEST(M$22:M$35,$A$22:$A$35^{1,2,3}), 1,2)</f>
        <v>-5.0549288476832357E-4</v>
      </c>
      <c r="E249" s="21" cm="1">
        <f t="array" ref="E249">INDEX(LINEST(N$22:N$35,$A$22:$A$35^{1,2,3}), 1,2)</f>
        <v>-6.9339039724439602E-4</v>
      </c>
      <c r="F249" s="21" cm="1">
        <f t="array" ref="F249">INDEX(LINEST(O$22:O$35,$A$22:$A$35^{1,2,3}), 1,2)</f>
        <v>-5.0020510807212762E-4</v>
      </c>
      <c r="G249" s="21" cm="1">
        <f t="array" ref="G249">INDEX(LINEST(P$22:P$35,$A$22:$A$35^{1,2,3}), 1,2)</f>
        <v>-4.276774444767197E-4</v>
      </c>
      <c r="H249" s="21" cm="1">
        <f t="array" ref="H249">INDEX(LINEST(Q$22:Q$35,$A$22:$A$35^{1,2,3}), 1,2)</f>
        <v>-3.8657064139173229E-4</v>
      </c>
      <c r="I249" s="21" cm="1">
        <f t="array" ref="I249">INDEX(LINEST(B$22:B$35,$A$22:$A$35^{1,2,3}), 1,2)</f>
        <v>9.015667836543062E-3</v>
      </c>
      <c r="J249" s="21">
        <v>0</v>
      </c>
    </row>
    <row r="250" spans="1:21" x14ac:dyDescent="0.25">
      <c r="A250" t="s">
        <v>41</v>
      </c>
      <c r="B250" s="20" cm="1">
        <f t="array" ref="B250">INDEX(LINEST(K$22:K$35,$A$22:$A$35^{1,2,3}), 1)</f>
        <v>-1.0727987390853469E-6</v>
      </c>
      <c r="C250" s="20" cm="1">
        <f t="array" ref="C250">INDEX(LINEST(L$22:L$35,$A$22:$A$35^{1,2,3}), 1)</f>
        <v>-1.3889309887012759E-6</v>
      </c>
      <c r="D250" s="21" cm="1">
        <f t="array" ref="D250">INDEX(LINEST(M$22:M$35,$A$22:$A$35^{1,2,3}), 1)</f>
        <v>-1.0776139877004442E-6</v>
      </c>
      <c r="E250" s="21" cm="1">
        <f t="array" ref="E250">INDEX(LINEST(N$22:N$35,$A$22:$A$35^{1,2,3}), 1)</f>
        <v>-6.5018352607552558E-7</v>
      </c>
      <c r="F250" s="21" cm="1">
        <f t="array" ref="F250">INDEX(LINEST(O$22:O$35,$A$22:$A$35^{1,2,3}), 1)</f>
        <v>-1.0435640034506376E-6</v>
      </c>
      <c r="G250" s="21" cm="1">
        <f t="array" ref="G250">INDEX(LINEST(P$22:P$35,$A$22:$A$35^{1,2,3}), 1)</f>
        <v>-1.1871530212794112E-6</v>
      </c>
      <c r="H250" s="21" cm="1">
        <f t="array" ref="H250">INDEX(LINEST(Q$22:Q$35,$A$22:$A$35^{1,2,3}), 1)</f>
        <v>-1.2220260722133295E-6</v>
      </c>
      <c r="I250" s="21" cm="1">
        <f t="array" ref="I250">INDEX(LINEST(B$22:B$35,$A$22:$A$35^{1,2,3}), 1)</f>
        <v>-5.6038006146487799E-7</v>
      </c>
      <c r="J250" s="21">
        <v>0</v>
      </c>
    </row>
    <row r="251" spans="1:21" x14ac:dyDescent="0.25">
      <c r="A251" t="s">
        <v>42</v>
      </c>
      <c r="B251" s="20"/>
      <c r="C251" s="20"/>
      <c r="D251" s="21"/>
      <c r="E251" s="21"/>
      <c r="F251" s="21"/>
      <c r="G251" s="21"/>
      <c r="H251" s="21"/>
      <c r="I251" s="21"/>
      <c r="J251" s="21"/>
    </row>
    <row r="252" spans="1:21" x14ac:dyDescent="0.25">
      <c r="A252" t="s">
        <v>43</v>
      </c>
      <c r="B252" s="20"/>
      <c r="C252" s="20"/>
      <c r="D252" s="21"/>
      <c r="E252" s="21"/>
      <c r="F252" s="21"/>
      <c r="G252" s="21"/>
      <c r="H252" s="21"/>
      <c r="I252" s="21"/>
      <c r="J252" s="21"/>
    </row>
    <row r="253" spans="1:21" x14ac:dyDescent="0.25">
      <c r="A253" t="s">
        <v>44</v>
      </c>
      <c r="B253" s="20"/>
      <c r="C253" s="20"/>
      <c r="D253" s="21"/>
      <c r="E253" s="21"/>
      <c r="F253" s="21"/>
      <c r="G253" s="21"/>
      <c r="H253" s="21"/>
      <c r="I253" s="21"/>
      <c r="J253" s="21"/>
    </row>
    <row r="254" spans="1:21" x14ac:dyDescent="0.25">
      <c r="B254" s="20"/>
      <c r="C254" s="20"/>
      <c r="D254" s="20"/>
      <c r="E254" s="20"/>
      <c r="F254" s="20"/>
      <c r="G254" s="20"/>
      <c r="H254" s="20"/>
      <c r="I254" s="20"/>
      <c r="J254" s="20"/>
    </row>
    <row r="255" spans="1:21" x14ac:dyDescent="0.25">
      <c r="A255" t="s">
        <v>45</v>
      </c>
    </row>
    <row r="256" spans="1:21" x14ac:dyDescent="0.25">
      <c r="A256" s="22" t="s">
        <v>4</v>
      </c>
      <c r="B256" s="23"/>
      <c r="C256" s="23"/>
    </row>
    <row r="257" spans="1:10" x14ac:dyDescent="0.25">
      <c r="A257" s="1">
        <v>0</v>
      </c>
      <c r="B257" s="2" cm="1">
        <f t="array" ref="B257">TrajectoryToComeUp(B$247:B$249,$A257)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6145.8637467390427</v>
      </c>
      <c r="J257" s="2" cm="1">
        <f t="array" ref="J257">EvaluatePolynomial(J$247:J$249,$A257)</f>
        <v>7.2311104755068527</v>
      </c>
    </row>
    <row r="258" spans="1:10" x14ac:dyDescent="0.25">
      <c r="A258" s="1">
        <v>25</v>
      </c>
      <c r="B258" s="2" cm="1">
        <f t="array" ref="B258">TrajectoryToComeUp(B$247:B$249,$A258)</f>
        <v>0.5715525824854778</v>
      </c>
      <c r="C258" s="2" cm="1">
        <f t="array" ref="C258">TrajectoryToComeUp(C$247:C$250,$A258)</f>
        <v>0.97406880639512683</v>
      </c>
      <c r="D258" s="2" cm="1">
        <f t="array" ref="D258">TrajectoryToComeUp(D$247:D$250,$A258)</f>
        <v>0.68667572002696287</v>
      </c>
      <c r="E258" s="2" cm="1">
        <f t="array" ref="E258">TrajectoryToComeUp(E$247:E$250,$A258)</f>
        <v>0.35085514080333091</v>
      </c>
      <c r="F258" s="2" cm="1">
        <f t="array" ref="F258">TrajectoryToComeUp(F$247:F$250,$A258)</f>
        <v>-0.5600627955384988</v>
      </c>
      <c r="G258" s="2" cm="1">
        <f t="array" ref="G258">TrajectoryToComeUp(G$247:G$250,$A258)</f>
        <v>-1.5883332987638967</v>
      </c>
      <c r="H258" s="2" cm="1">
        <f t="array" ref="H258">TrajectoryToComeUp(H$247:H$250,$A258)</f>
        <v>-3.1302507600273159</v>
      </c>
      <c r="I258" s="2" cm="1">
        <f t="array" ref="I258">EvaluatePolynomial(I$247:I$250,$A258)</f>
        <v>5823.0103116722212</v>
      </c>
      <c r="J258" s="2" cm="1">
        <f t="array" ref="J258">EvaluatePolynomial(J$247:J$249,$A258)</f>
        <v>0.94491888021023307</v>
      </c>
    </row>
    <row r="259" spans="1:10" x14ac:dyDescent="0.25">
      <c r="A259" s="1">
        <v>50</v>
      </c>
      <c r="B259" s="2" cm="1">
        <f t="array" ref="B259">TrajectoryToComeUp(B$247:B$249,$A259)</f>
        <v>-0.32648973454798863</v>
      </c>
      <c r="C259" s="2" cm="1">
        <f t="array" ref="C259">TrajectoryToComeUp(C$247:C$250,$A259)</f>
        <v>0.23435427574843393</v>
      </c>
      <c r="D259" s="2" cm="1">
        <f t="array" ref="D259">TrajectoryToComeUp(D$247:D$250,$A259)</f>
        <v>-0.14200873728757424</v>
      </c>
      <c r="E259" s="2" cm="1">
        <f t="array" ref="E259">TrajectoryToComeUp(E$247:E$250,$A259)</f>
        <v>-0.48613899576208175</v>
      </c>
      <c r="F259" s="2" cm="1">
        <f t="array" ref="F259">TrajectoryToComeUp(F$247:F$250,$A259)</f>
        <v>-1.3788097362869045</v>
      </c>
      <c r="G259" s="2" cm="1">
        <f t="array" ref="G259">TrajectoryToComeUp(G$247:G$250,$A259)</f>
        <v>-2.4697273560457376</v>
      </c>
      <c r="H259" s="2" cm="1">
        <f t="array" ref="H259">TrajectoryToComeUp(H$247:H$250,$A259)</f>
        <v>-3.9195036341684464</v>
      </c>
      <c r="I259" s="2" cm="1">
        <f t="array" ref="I259">EvaluatePolynomial(I$247:I$250,$A259)</f>
        <v>5511.3739257703164</v>
      </c>
      <c r="J259" s="2" cm="1">
        <f t="array" ref="J259">EvaluatePolynomial(J$247:J$249,$A259)</f>
        <v>-5.3412727150863866</v>
      </c>
    </row>
    <row r="260" spans="1:10" x14ac:dyDescent="0.25">
      <c r="A260" s="1">
        <v>75</v>
      </c>
      <c r="B260" s="2" cm="1">
        <f t="array" ref="B260">TrajectoryToComeUp(B$247:B$249,$A260)</f>
        <v>-0.52049481881547521</v>
      </c>
      <c r="C260" s="2" cm="1">
        <f t="array" ref="C260">TrajectoryToComeUp(C$247:C$250,$A260)</f>
        <v>6.8875591873167635E-2</v>
      </c>
      <c r="D260" s="2" cm="1">
        <f t="array" ref="D260">TrajectoryToComeUp(D$247:D$250,$A260)</f>
        <v>-0.30704772590518814</v>
      </c>
      <c r="E260" s="2" cm="1">
        <f t="array" ref="E260">TrajectoryToComeUp(E$247:E$250,$A260)</f>
        <v>-0.63331738692459849</v>
      </c>
      <c r="F260" s="2" cm="1">
        <f t="array" ref="F260">TrajectoryToComeUp(F$247:F$250,$A260)</f>
        <v>-1.5422687651047524</v>
      </c>
      <c r="G260" s="2" cm="1">
        <f t="array" ref="G260">TrajectoryToComeUp(G$247:G$250,$A260)</f>
        <v>-2.6625669755282462</v>
      </c>
      <c r="H260" s="2" cm="1">
        <f t="array" ref="H260">TrajectoryToComeUp(H$247:H$250,$A260)</f>
        <v>-4.0876088335115339</v>
      </c>
      <c r="I260" s="2" cm="1">
        <f t="array" ref="I260">EvaluatePolynomial(I$247:I$250,$A260)</f>
        <v>5210.9020534025658</v>
      </c>
      <c r="J260" s="2" cm="1">
        <f t="array" ref="J260">EvaluatePolynomial(J$247:J$249,$A260)</f>
        <v>-11.627464310383006</v>
      </c>
    </row>
    <row r="261" spans="1:10" x14ac:dyDescent="0.25">
      <c r="A261" s="1">
        <v>100</v>
      </c>
      <c r="B261" s="2" cm="1">
        <f t="array" ref="B261">TrajectoryToComeUp(B$247:B$249,$A261)</f>
        <v>-0.538490594891467</v>
      </c>
      <c r="C261" s="2" cm="1">
        <f t="array" ref="C261">TrajectoryToComeUp(C$247:C$250,$A261)</f>
        <v>5.9977097709832422E-2</v>
      </c>
      <c r="D261" s="2" cm="1">
        <f t="array" ref="D261">TrajectoryToComeUp(D$247:D$250,$A261)</f>
        <v>-0.29607271621387971</v>
      </c>
      <c r="E261" s="2" cm="1">
        <f t="array" ref="E261">TrajectoryToComeUp(E$247:E$250,$A261)</f>
        <v>-0.60194637117943317</v>
      </c>
      <c r="F261" s="2" cm="1">
        <f t="array" ref="F261">TrajectoryToComeUp(F$247:F$250,$A261)</f>
        <v>-1.5321224034076115</v>
      </c>
      <c r="G261" s="2" cm="1">
        <f t="array" ref="G261">TrajectoryToComeUp(G$247:G$250,$A261)</f>
        <v>-2.6721384259864269</v>
      </c>
      <c r="H261" s="2" cm="1">
        <f t="array" ref="H261">TrajectoryToComeUp(H$247:H$250,$A261)</f>
        <v>-4.0889706197281122</v>
      </c>
      <c r="I261" s="2" cm="1">
        <f t="array" ref="I261">EvaluatePolynomial(I$247:I$250,$A261)</f>
        <v>4921.5421589382076</v>
      </c>
      <c r="J261" s="2" cm="1">
        <f t="array" ref="J261">EvaluatePolynomial(J$247:J$249,$A261)</f>
        <v>-17.913655905679626</v>
      </c>
    </row>
    <row r="262" spans="1:10" x14ac:dyDescent="0.25">
      <c r="A262" s="1">
        <v>125</v>
      </c>
      <c r="B262" s="2" cm="1">
        <f t="array" ref="B262">TrajectoryToComeUp(B$247:B$249,$A262)</f>
        <v>-0.48608264769086068</v>
      </c>
      <c r="C262" s="2" cm="1">
        <f t="array" ref="C262">TrajectoryToComeUp(C$247:C$250,$A262)</f>
        <v>0.12412766184652917</v>
      </c>
      <c r="D262" s="2" cm="1">
        <f t="array" ref="D262">TrajectoryToComeUp(D$247:D$250,$A262)</f>
        <v>-0.20661000229124896</v>
      </c>
      <c r="E262" s="2" cm="1">
        <f t="array" ref="E262">TrajectoryToComeUp(E$247:E$250,$A262)</f>
        <v>-0.49427921622562865</v>
      </c>
      <c r="F262" s="2" cm="1">
        <f t="array" ref="F262">TrajectoryToComeUp(F$247:F$250,$A262)</f>
        <v>-1.4447071554785946</v>
      </c>
      <c r="G262" s="2" cm="1">
        <f t="array" ref="G262">TrajectoryToComeUp(G$247:G$250,$A262)</f>
        <v>-2.5994989611752817</v>
      </c>
      <c r="H262" s="2" cm="1">
        <f t="array" ref="H262">TrajectoryToComeUp(H$247:H$250,$A262)</f>
        <v>-4.0144698451524858</v>
      </c>
      <c r="I262" s="2" cm="1">
        <f t="array" ref="I262">EvaluatePolynomial(I$247:I$250,$A262)</f>
        <v>4643.2417067464785</v>
      </c>
      <c r="J262" s="2" cm="1">
        <f t="array" ref="J262">EvaluatePolynomial(J$247:J$249,$A262)</f>
        <v>-24.199847500976247</v>
      </c>
    </row>
    <row r="263" spans="1:10" x14ac:dyDescent="0.25">
      <c r="A263" s="1">
        <v>150</v>
      </c>
      <c r="B263" s="2" cm="1">
        <f t="array" ref="B263">TrajectoryToComeUp(B$247:B$249,$A263)</f>
        <v>-0.39847283885195556</v>
      </c>
      <c r="C263" s="2" cm="1">
        <f t="array" ref="C263">TrajectoryToComeUp(C$247:C$250,$A263)</f>
        <v>0.23348357381262488</v>
      </c>
      <c r="D263" s="2" cm="1">
        <f t="array" ref="D263">TrajectoryToComeUp(D$247:D$250,$A263)</f>
        <v>-7.1168348829829142E-2</v>
      </c>
      <c r="E263" s="2" cm="1">
        <f t="array" ref="E263">TrajectoryToComeUp(E$247:E$250,$A263)</f>
        <v>-0.3444003446295324</v>
      </c>
      <c r="F263" s="2" cm="1">
        <f t="array" ref="F263">TrajectoryToComeUp(F$247:F$250,$A263)</f>
        <v>-1.3121351894120739</v>
      </c>
      <c r="G263" s="2" cm="1">
        <f t="array" ref="G263">TrajectoryToComeUp(G$247:G$250,$A263)</f>
        <v>-2.4783343323464759</v>
      </c>
      <c r="H263" s="2" cm="1">
        <f t="array" ref="H263">TrajectoryToComeUp(H$247:H$250,$A263)</f>
        <v>-3.894400127229424</v>
      </c>
      <c r="I263" s="2" cm="1">
        <f t="array" ref="I263">EvaluatePolynomial(I$247:I$250,$A263)</f>
        <v>4375.9481611966157</v>
      </c>
      <c r="J263" s="2" cm="1">
        <f t="array" ref="J263">EvaluatePolynomial(J$247:J$249,$A263)</f>
        <v>-30.486039096272865</v>
      </c>
    </row>
    <row r="264" spans="1:10" x14ac:dyDescent="0.25">
      <c r="A264" s="1">
        <v>175</v>
      </c>
      <c r="B264" s="2" cm="1">
        <f t="array" ref="B264">TrajectoryToComeUp(B$247:B$249,$A264)</f>
        <v>-0.29074768050545097</v>
      </c>
      <c r="C264" s="2" cm="1">
        <f t="array" ref="C264">TrajectoryToComeUp(C$247:C$250,$A264)</f>
        <v>0.37611181483499123</v>
      </c>
      <c r="D264" s="2" cm="1">
        <f t="array" ref="D264">TrajectoryToComeUp(D$247:D$250,$A264)</f>
        <v>9.6319916445008022E-2</v>
      </c>
      <c r="E264" s="2" cm="1">
        <f t="array" ref="E264">TrajectoryToComeUp(E$247:E$250,$A264)</f>
        <v>-0.16691736606243643</v>
      </c>
      <c r="F264" s="2" cm="1">
        <f t="array" ref="F264">TrajectoryToComeUp(F$247:F$250,$A264)</f>
        <v>-1.1481688629627793</v>
      </c>
      <c r="G264" s="2" cm="1">
        <f t="array" ref="G264">TrajectoryToComeUp(G$247:G$250,$A264)</f>
        <v>-2.323081290036439</v>
      </c>
      <c r="H264" s="2" cm="1">
        <f t="array" ref="H264">TrajectoryToComeUp(H$247:H$250,$A264)</f>
        <v>-3.7417444448638268</v>
      </c>
      <c r="I264" s="2" cm="1">
        <f t="array" ref="I264">EvaluatePolynomial(I$247:I$250,$A264)</f>
        <v>4119.6089866578586</v>
      </c>
      <c r="J264" s="2" cm="1">
        <f t="array" ref="J264">EvaluatePolynomial(J$247:J$249,$A264)</f>
        <v>-36.772230691569483</v>
      </c>
    </row>
    <row r="265" spans="1:10" x14ac:dyDescent="0.25">
      <c r="A265" s="1">
        <v>200</v>
      </c>
      <c r="B265" s="2" cm="1">
        <f t="array" ref="B265">TrajectoryToComeUp(B$247:B$249,$A265)</f>
        <v>-0.17045042871669669</v>
      </c>
      <c r="C265" s="2" cm="1">
        <f t="array" ref="C265">TrajectoryToComeUp(C$247:C$250,$A265)</f>
        <v>0.54604587552706385</v>
      </c>
      <c r="D265" s="2" cm="1">
        <f t="array" ref="D265">TrajectoryToComeUp(D$247:D$250,$A265)</f>
        <v>0.28888862967057694</v>
      </c>
      <c r="E265" s="2" cm="1">
        <f t="array" ref="E265">TrajectoryToComeUp(E$247:E$250,$A265)</f>
        <v>3.086591464001355E-2</v>
      </c>
      <c r="F265" s="2" cm="1">
        <f t="array" ref="F265">TrajectoryToComeUp(F$247:F$250,$A265)</f>
        <v>-0.95968935500807662</v>
      </c>
      <c r="G265" s="2" cm="1">
        <f t="array" ref="G265">TrajectoryToComeUp(G$247:G$250,$A265)</f>
        <v>-2.1409582095133866</v>
      </c>
      <c r="H265" s="2" cm="1">
        <f t="array" ref="H265">TrajectoryToComeUp(H$247:H$250,$A265)</f>
        <v>-3.5629942875081468</v>
      </c>
      <c r="I265" s="2" cm="1">
        <f t="array" ref="I265">EvaluatePolynomial(I$247:I$250,$A265)</f>
        <v>3874.1716474994437</v>
      </c>
      <c r="J265" s="2" cm="1">
        <f t="array" ref="J265">EvaluatePolynomial(J$247:J$249,$A265)</f>
        <v>-43.058422286866104</v>
      </c>
    </row>
    <row r="266" spans="1:10" x14ac:dyDescent="0.25">
      <c r="A266" s="1">
        <v>225</v>
      </c>
      <c r="B266" s="2" cm="1">
        <f t="array" ref="B266">TrajectoryToComeUp(B$247:B$249,$A266)</f>
        <v>-4.1771781299776066E-2</v>
      </c>
      <c r="C266" s="2" cm="1">
        <f t="array" ref="C266">TrajectoryToComeUp(C$247:C$250,$A266)</f>
        <v>0.73997102845186269</v>
      </c>
      <c r="D266" s="2" cm="1">
        <f t="array" ref="D266">TrajectoryToComeUp(D$247:D$250,$A266)</f>
        <v>0.50266769981205228</v>
      </c>
      <c r="E266" s="2" cm="1">
        <f t="array" ref="E266">TrajectoryToComeUp(E$247:E$250,$A266)</f>
        <v>0.2448918281246808</v>
      </c>
      <c r="F266" s="2" cm="1">
        <f t="array" ref="F266">TrajectoryToComeUp(F$247:F$250,$A266)</f>
        <v>-0.75051954270205723</v>
      </c>
      <c r="G266" s="2" cm="1">
        <f t="array" ref="G266">TrajectoryToComeUp(G$247:G$250,$A266)</f>
        <v>-1.9359752992596582</v>
      </c>
      <c r="H266" s="2" cm="1">
        <f t="array" ref="H266">TrajectoryToComeUp(H$247:H$250,$A266)</f>
        <v>-3.3617560381915221</v>
      </c>
      <c r="I266" s="2" cm="1">
        <f t="array" ref="I266">EvaluatePolynomial(I$247:I$250,$A266)</f>
        <v>3639.5836080906092</v>
      </c>
      <c r="J266" s="2" cm="1">
        <f t="array" ref="J266">EvaluatePolynomial(J$247:J$249,$A266)</f>
        <v>-49.344613882162726</v>
      </c>
    </row>
    <row r="267" spans="1:10" x14ac:dyDescent="0.25">
      <c r="A267" s="1">
        <v>250</v>
      </c>
      <c r="B267" s="2" cm="1">
        <f t="array" ref="B267">TrajectoryToComeUp(B$247:B$249,$A267)</f>
        <v>9.2773843056861094E-2</v>
      </c>
      <c r="C267" s="2" cm="1">
        <f t="array" ref="C267">TrajectoryToComeUp(C$247:C$250,$A267)</f>
        <v>0.95589843714719958</v>
      </c>
      <c r="D267" s="2" cm="1">
        <f t="array" ref="D267">TrajectoryToComeUp(D$247:D$250,$A267)</f>
        <v>0.73533507224853867</v>
      </c>
      <c r="E267" s="2" cm="1">
        <f t="array" ref="E267">TrajectoryToComeUp(E$247:E$250,$A267)</f>
        <v>0.47272577277968336</v>
      </c>
      <c r="F267" s="2" cm="1">
        <f t="array" ref="F267">TrajectoryToComeUp(F$247:F$250,$A267)</f>
        <v>-0.52295315233717621</v>
      </c>
      <c r="G267" s="2" cm="1">
        <f t="array" ref="G267">TrajectoryToComeUp(G$247:G$250,$A267)</f>
        <v>-1.7105386843646597</v>
      </c>
      <c r="H267" s="2" cm="1">
        <f t="array" ref="H267">TrajectoryToComeUp(H$247:H$250,$A267)</f>
        <v>-3.1401935267314345</v>
      </c>
      <c r="I267" s="2" cm="1">
        <f t="array" ref="I267">EvaluatePolynomial(I$247:I$250,$A267)</f>
        <v>3415.7923328005922</v>
      </c>
      <c r="J267" s="2" cm="1">
        <f t="array" ref="J267">EvaluatePolynomial(J$247:J$249,$A267)</f>
        <v>-55.630805477459347</v>
      </c>
    </row>
    <row r="268" spans="1:10" x14ac:dyDescent="0.25">
      <c r="A268" s="1">
        <v>275</v>
      </c>
      <c r="B268" s="2" cm="1">
        <f t="array" ref="B268">TrajectoryToComeUp(B$247:B$249,$A268)</f>
        <v>0.23158635973329209</v>
      </c>
      <c r="C268" s="2" cm="1">
        <f t="array" ref="C268">TrajectoryToComeUp(C$247:C$250,$A268)</f>
        <v>1.1925624784098638</v>
      </c>
      <c r="D268" s="2" cm="1">
        <f t="array" ref="D268">TrajectoryToComeUp(D$247:D$250,$A268)</f>
        <v>0.98541307585764826</v>
      </c>
      <c r="E268" s="2" cm="1">
        <f t="array" ref="E268">TrajectoryToComeUp(E$247:E$250,$A268)</f>
        <v>0.71281845667018728</v>
      </c>
      <c r="F268" s="2" cm="1">
        <f t="array" ref="F268">TrajectoryToComeUp(F$247:F$250,$A268)</f>
        <v>-0.27844982791772321</v>
      </c>
      <c r="G268" s="2" cm="1">
        <f t="array" ref="G268">TrajectoryToComeUp(G$247:G$250,$A268)</f>
        <v>-1.4661795353398301</v>
      </c>
      <c r="H268" s="2" cm="1">
        <f t="array" ref="H268">TrajectoryToComeUp(H$247:H$250,$A268)</f>
        <v>-2.8996837357390128</v>
      </c>
      <c r="I268" s="2" cm="1">
        <f t="array" ref="I268">EvaluatePolynomial(I$247:I$250,$A268)</f>
        <v>3202.7452859986315</v>
      </c>
      <c r="J268" s="2" cm="1">
        <f t="array" ref="J268">EvaluatePolynomial(J$247:J$249,$A268)</f>
        <v>-61.916997072755962</v>
      </c>
    </row>
    <row r="269" spans="1:10" x14ac:dyDescent="0.25">
      <c r="A269" s="1">
        <v>300</v>
      </c>
      <c r="B269" s="2" cm="1">
        <f t="array" ref="B269">TrajectoryToComeUp(B$247:B$249,$A269)</f>
        <v>0.37359904564956847</v>
      </c>
      <c r="C269" s="2" cm="1">
        <f t="array" ref="C269">TrajectoryToComeUp(C$247:C$250,$A269)</f>
        <v>1.4491194034377155</v>
      </c>
      <c r="D269" s="2" cm="1">
        <f t="array" ref="D269">TrajectoryToComeUp(D$247:D$250,$A269)</f>
        <v>1.251916596557789</v>
      </c>
      <c r="E269" s="2" cm="1">
        <f t="array" ref="E269">TrajectoryToComeUp(E$247:E$250,$A269)</f>
        <v>0.9641370185063034</v>
      </c>
      <c r="F269" s="2" cm="1">
        <f t="array" ref="F269">TrajectoryToComeUp(F$247:F$250,$A269)</f>
        <v>-1.7982665446558084E-2</v>
      </c>
      <c r="G269" s="2" cm="1">
        <f t="array" ref="G269">TrajectoryToComeUp(G$247:G$250,$A269)</f>
        <v>-1.2039186325261286</v>
      </c>
      <c r="H269" s="2" cm="1">
        <f t="array" ref="H269">TrajectoryToComeUp(H$247:H$250,$A269)</f>
        <v>-2.6411446536216716</v>
      </c>
      <c r="I269" s="2" cm="1">
        <f t="array" ref="I269">EvaluatePolynomial(I$247:I$250,$A269)</f>
        <v>3000.3899320539635</v>
      </c>
      <c r="J269" s="2" cm="1">
        <f t="array" ref="J269">EvaluatePolynomial(J$247:J$249,$A269)</f>
        <v>-68.203188668052576</v>
      </c>
    </row>
    <row r="270" spans="1:10" x14ac:dyDescent="0.25">
      <c r="A270" s="1">
        <v>325</v>
      </c>
      <c r="B270" s="2" cm="1">
        <f t="array" ref="B270">TrajectoryToComeUp(B$247:B$249,$A270)</f>
        <v>0.51807340021187975</v>
      </c>
      <c r="C270" s="2" cm="1">
        <f t="array" ref="C270">TrajectoryToComeUp(C$247:C$250,$A270)</f>
        <v>1.7249850784446568</v>
      </c>
      <c r="D270" s="2" cm="1">
        <f t="array" ref="D270">TrajectoryToComeUp(D$247:D$250,$A270)</f>
        <v>1.5341636322924745</v>
      </c>
      <c r="E270" s="2" cm="1">
        <f t="array" ref="E270">TrajectoryToComeUp(E$247:E$250,$A270)</f>
        <v>1.2259664004719542</v>
      </c>
      <c r="F270" s="2" cm="1">
        <f t="array" ref="F270">TrajectoryToComeUp(F$247:F$250,$A270)</f>
        <v>0.25777465322818521</v>
      </c>
      <c r="G270" s="2" cm="1">
        <f t="array" ref="G270">TrajectoryToComeUp(G$247:G$250,$A270)</f>
        <v>-0.92446267000575899</v>
      </c>
      <c r="H270" s="2" cm="1">
        <f t="array" ref="H270">TrajectoryToComeUp(H$247:H$250,$A270)</f>
        <v>-2.3652118108153166</v>
      </c>
      <c r="I270" s="2" cm="1">
        <f t="array" ref="I270">EvaluatePolynomial(I$247:I$250,$A270)</f>
        <v>2808.6737353358258</v>
      </c>
      <c r="J270" s="2" cm="1">
        <f t="array" ref="J270">EvaluatePolynomial(J$247:J$249,$A270)</f>
        <v>-74.489380263349204</v>
      </c>
    </row>
    <row r="271" spans="1:10" x14ac:dyDescent="0.25">
      <c r="A271" s="1">
        <v>350</v>
      </c>
      <c r="B271" s="2" cm="1">
        <f t="array" ref="B271">TrajectoryToComeUp(B$247:B$249,$A271)</f>
        <v>0.66448192299607534</v>
      </c>
      <c r="C271" s="2" cm="1">
        <f t="array" ref="C271">TrajectoryToComeUp(C$247:C$250,$A271)</f>
        <v>2.0197422650120478</v>
      </c>
      <c r="D271" s="2" cm="1">
        <f t="array" ref="D271">TrajectoryToComeUp(D$247:D$250,$A271)</f>
        <v>1.8316670387356428</v>
      </c>
      <c r="E271" s="2" cm="1">
        <f t="array" ref="E271">TrajectoryToComeUp(E$247:E$250,$A271)</f>
        <v>1.4977958469842274</v>
      </c>
      <c r="F271" s="2" cm="1">
        <f t="array" ref="F271">TrajectoryToComeUp(F$247:F$250,$A271)</f>
        <v>0.54834092678641189</v>
      </c>
      <c r="G271" s="2" cm="1">
        <f t="array" ref="G271">TrajectoryToComeUp(G$247:G$250,$A271)</f>
        <v>-0.62831642926600806</v>
      </c>
      <c r="H271" s="2" cm="1">
        <f t="array" ref="H271">TrajectoryToComeUp(H$247:H$250,$A271)</f>
        <v>-2.0723391576313084</v>
      </c>
      <c r="I271" s="2" cm="1">
        <f t="array" ref="I271">EvaluatePolynomial(I$247:I$250,$A271)</f>
        <v>2627.544160213457</v>
      </c>
      <c r="J271" s="2" cm="1">
        <f t="array" ref="J271">EvaluatePolynomial(J$247:J$249,$A271)</f>
        <v>-80.775571858645819</v>
      </c>
    </row>
    <row r="272" spans="1:10" x14ac:dyDescent="0.25">
      <c r="A272" s="1">
        <v>375</v>
      </c>
      <c r="B272" s="2" cm="1">
        <f t="array" ref="B272">TrajectoryToComeUp(B$247:B$249,$A272)</f>
        <v>0.81243778035777892</v>
      </c>
      <c r="C272" s="2" cm="1">
        <f t="array" ref="C272">TrajectoryToComeUp(C$247:C$250,$A272)</f>
        <v>2.333084988299551</v>
      </c>
      <c r="D272" s="2" cm="1">
        <f t="array" ref="D272">TrajectoryToComeUp(D$247:D$250,$A272)</f>
        <v>2.1440695767148483</v>
      </c>
      <c r="E272" s="2" cm="1">
        <f t="array" ref="E272">TrajectoryToComeUp(E$247:E$250,$A272)</f>
        <v>1.7792508039489876</v>
      </c>
      <c r="F272" s="2" cm="1">
        <f t="array" ref="F272">TrajectoryToComeUp(F$247:F$250,$A272)</f>
        <v>0.85336327426005154</v>
      </c>
      <c r="G272" s="2" cm="1">
        <f t="array" ref="G272">TrajectoryToComeUp(G$247:G$250,$A272)</f>
        <v>-0.31585008339755422</v>
      </c>
      <c r="H272" s="2" cm="1">
        <f t="array" ref="H272">TrajectoryToComeUp(H$247:H$250,$A272)</f>
        <v>-1.7628595909646432</v>
      </c>
      <c r="I272" s="2" cm="1">
        <f t="array" ref="I272">EvaluatePolynomial(I$247:I$250,$A272)</f>
        <v>2456.9486710560946</v>
      </c>
      <c r="J272" s="2" cm="1">
        <f t="array" ref="J272">EvaluatePolynomial(J$247:J$249,$A272)</f>
        <v>-87.061763453942447</v>
      </c>
    </row>
    <row r="273" spans="1:10" x14ac:dyDescent="0.25">
      <c r="A273" s="1">
        <v>400</v>
      </c>
      <c r="B273" s="2" cm="1">
        <f t="array" ref="B273">TrajectoryToComeUp(B$247:B$249,$A273)</f>
        <v>0.96165084706370729</v>
      </c>
      <c r="C273" s="2" cm="1">
        <f t="array" ref="C273">TrajectoryToComeUp(C$247:C$250,$A273)</f>
        <v>2.6647837671769139</v>
      </c>
      <c r="D273" s="2" cm="1">
        <f t="array" ref="D273">TrajectoryToComeUp(D$247:D$250,$A273)</f>
        <v>2.4711033168507566</v>
      </c>
      <c r="E273" s="2" cm="1">
        <f t="array" ref="E273">TrajectoryToComeUp(E$247:E$250,$A273)</f>
        <v>2.0700503557956331</v>
      </c>
      <c r="F273" s="2" cm="1">
        <f t="array" ref="F273">TrajectoryToComeUp(F$247:F$250,$A273)</f>
        <v>1.172577034923052</v>
      </c>
      <c r="G273" s="2" cm="1">
        <f t="array" ref="G273">TrajectoryToComeUp(G$247:G$250,$A273)</f>
        <v>1.2658737781595019E-2</v>
      </c>
      <c r="H273" s="2" cm="1">
        <f t="array" ref="H273">TrajectoryToComeUp(H$247:H$250,$A273)</f>
        <v>-1.4370227834865701</v>
      </c>
      <c r="I273" s="2" cm="1">
        <f t="array" ref="I273">EvaluatePolynomial(I$247:I$250,$A273)</f>
        <v>2296.8347322329755</v>
      </c>
      <c r="J273" s="2" cm="1">
        <f t="array" ref="J273">EvaluatePolynomial(J$247:J$249,$A273)</f>
        <v>-93.347955049239062</v>
      </c>
    </row>
    <row r="274" spans="1:10" x14ac:dyDescent="0.25">
      <c r="A274" s="1">
        <v>425</v>
      </c>
      <c r="B274" s="2" cm="1">
        <f t="array" ref="B274">TrajectoryToComeUp(B$247:B$249,$A274)</f>
        <v>1.1118992626413502</v>
      </c>
      <c r="C274" s="2" cm="1">
        <f t="array" ref="C274">TrajectoryToComeUp(C$247:C$250,$A274)</f>
        <v>3.0146631160739439</v>
      </c>
      <c r="D274" s="2" cm="1">
        <f t="array" ref="D274">TrajectoryToComeUp(D$247:D$250,$A274)</f>
        <v>2.8125633719709371</v>
      </c>
      <c r="E274" s="2" cm="1">
        <f t="array" ref="E274">TrajectoryToComeUp(E$247:E$250,$A274)</f>
        <v>2.3699796847348793</v>
      </c>
      <c r="F274" s="2" cm="1">
        <f t="array" ref="F274">TrajectoryToComeUp(F$247:F$250,$A274)</f>
        <v>1.5057798211613722</v>
      </c>
      <c r="G274" s="2" cm="1">
        <f t="array" ref="G274">TrajectoryToComeUp(G$247:G$250,$A274)</f>
        <v>0.35699772911649186</v>
      </c>
      <c r="H274" s="2" cm="1">
        <f t="array" ref="H274">TrajectoryToComeUp(H$247:H$250,$A274)</f>
        <v>-1.0950196613574541</v>
      </c>
      <c r="I274" s="2" cm="1">
        <f t="array" ref="I274">EvaluatePolynomial(I$247:I$250,$A274)</f>
        <v>2147.1498081133391</v>
      </c>
      <c r="J274" s="2" cm="1">
        <f t="array" ref="J274">EvaluatePolynomial(J$247:J$249,$A274)</f>
        <v>-99.634146644535676</v>
      </c>
    </row>
    <row r="275" spans="1:10" x14ac:dyDescent="0.25">
      <c r="A275" s="1">
        <v>450</v>
      </c>
      <c r="B275" s="2" cm="1">
        <f t="array" ref="B275">TrajectoryToComeUp(B$247:B$249,$A275)</f>
        <v>1.2630104689454225</v>
      </c>
      <c r="C275" s="2" cm="1">
        <f t="array" ref="C275">TrajectoryToComeUp(C$247:C$250,$A275)</f>
        <v>3.3825865462138234</v>
      </c>
      <c r="D275" s="2" cm="1">
        <f t="array" ref="D275">TrajectoryToComeUp(D$247:D$250,$A275)</f>
        <v>3.1682903853857183</v>
      </c>
      <c r="E275" s="2" cm="1">
        <f t="array" ref="E275">TrajectoryToComeUp(E$247:E$250,$A275)</f>
        <v>2.6788717102639517</v>
      </c>
      <c r="F275" s="2" cm="1">
        <f t="array" ref="F275">TrajectoryToComeUp(F$247:F$250,$A275)</f>
        <v>1.8528142203863147</v>
      </c>
      <c r="G275" s="2" cm="1">
        <f t="array" ref="G275">TrajectoryToComeUp(G$247:G$250,$A275)</f>
        <v>0.71700176437550989</v>
      </c>
      <c r="H275" s="2" cm="1">
        <f t="array" ref="H275">TrajectoryToComeUp(H$247:H$250,$A275)</f>
        <v>-0.73699872270202571</v>
      </c>
      <c r="I275" s="2" cm="1">
        <f t="array" ref="I275">EvaluatePolynomial(I$247:I$250,$A275)</f>
        <v>2007.8413630664206</v>
      </c>
      <c r="J275" s="2" cm="1">
        <f t="array" ref="J275">EvaluatePolynomial(J$247:J$249,$A275)</f>
        <v>-105.9203382398323</v>
      </c>
    </row>
    <row r="276" spans="1:10" x14ac:dyDescent="0.25">
      <c r="A276" s="1">
        <v>475</v>
      </c>
      <c r="B276" s="2" cm="1">
        <f t="array" ref="B276">TrajectoryToComeUp(B$247:B$249,$A276)</f>
        <v>1.414848235861224</v>
      </c>
      <c r="C276" s="2" cm="1">
        <f t="array" ref="C276">TrajectoryToComeUp(C$247:C$250,$A276)</f>
        <v>3.7684463032990667</v>
      </c>
      <c r="D276" s="2" cm="1">
        <f t="array" ref="D276">TrajectoryToComeUp(D$247:D$250,$A276)</f>
        <v>3.5381585491822052</v>
      </c>
      <c r="E276" s="2" cm="1">
        <f t="array" ref="E276">TrajectoryToComeUp(E$247:E$250,$A276)</f>
        <v>2.9965945267227614</v>
      </c>
      <c r="F276" s="2" cm="1">
        <f t="array" ref="F276">TrajectoryToComeUp(F$247:F$250,$A276)</f>
        <v>2.2135559595015404</v>
      </c>
      <c r="G276" s="2" cm="1">
        <f t="array" ref="G276">TrajectoryToComeUp(G$247:G$250,$A276)</f>
        <v>1.0925404807442085</v>
      </c>
      <c r="H276" s="2" cm="1">
        <f t="array" ref="H276">TrajectoryToComeUp(H$247:H$250,$A276)</f>
        <v>-0.36307720288191242</v>
      </c>
      <c r="I276" s="2" cm="1">
        <f t="array" ref="I276">EvaluatePolynomial(I$247:I$250,$A276)</f>
        <v>1878.8568614614599</v>
      </c>
      <c r="J276" s="2" cm="1">
        <f t="array" ref="J276">EvaluatePolynomial(J$247:J$249,$A276)</f>
        <v>-112.20652983512892</v>
      </c>
    </row>
    <row r="277" spans="1:10" x14ac:dyDescent="0.25">
      <c r="A277" s="10">
        <v>500</v>
      </c>
      <c r="B277" s="2" cm="1">
        <f t="array" ref="B277">TrajectoryToComeUp(B$247:B$249,$A277)</f>
        <v>1.5673035792969958</v>
      </c>
      <c r="C277" s="2" cm="1">
        <f t="array" ref="C277">TrajectoryToComeUp(C$247:C$250,$A277)</f>
        <v>4.1721561838916834</v>
      </c>
      <c r="D277" s="2" cm="1">
        <f t="array" ref="D277">TrajectoryToComeUp(D$247:D$250,$A277)</f>
        <v>3.9220672170300799</v>
      </c>
      <c r="E277" s="2" cm="1">
        <f t="array" ref="E277">TrajectoryToComeUp(E$247:E$250,$A277)</f>
        <v>3.3230426095832417</v>
      </c>
      <c r="F277" s="2" cm="1">
        <f t="array" ref="F277">TrajectoryToComeUp(F$247:F$250,$A277)</f>
        <v>2.5879056200299755</v>
      </c>
      <c r="G277" s="2" cm="1">
        <f t="array" ref="G277">TrajectoryToComeUp(G$247:G$250,$A277)</f>
        <v>1.4835095879710349</v>
      </c>
      <c r="H277" s="2" cm="1">
        <f t="array" ref="H277">TrajectoryToComeUp(H$247:H$250,$A277)</f>
        <v>2.665110981358235E-2</v>
      </c>
      <c r="I277" s="2" cm="1">
        <f t="array" ref="I277">EvaluatePolynomial(I$247:I$250,$A277)</f>
        <v>1760.1437676676935</v>
      </c>
      <c r="J277" s="2" cm="1">
        <f t="array" ref="J277">EvaluatePolynomial(J$247:J$249,$A277)</f>
        <v>-118.49272143042555</v>
      </c>
    </row>
  </sheetData>
  <mergeCells count="3">
    <mergeCell ref="F1:I1"/>
    <mergeCell ref="C20:G20"/>
    <mergeCell ref="K20:O20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2ABF1-5FE9-4A60-9AE7-516137690FFE}">
  <sheetPr codeName="Sheet4"/>
  <dimension ref="A1"/>
  <sheetViews>
    <sheetView workbookViewId="0">
      <selection activeCell="AG65" sqref="AG6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Federal Trophy Copper PHP</vt:lpstr>
      <vt:lpstr>Federal Trophy Copper PHP (2)</vt:lpstr>
      <vt:lpstr>Federal Trophy Copper PHP (3)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2024-08-21T13:32:27Z</dcterms:modified>
</cp:coreProperties>
</file>