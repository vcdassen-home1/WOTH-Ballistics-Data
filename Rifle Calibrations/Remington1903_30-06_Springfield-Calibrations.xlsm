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Remington1903_30-06-Springfield\"/>
    </mc:Choice>
  </mc:AlternateContent>
  <xr:revisionPtr revIDLastSave="0" documentId="13_ncr:1_{21B4E428-44A6-46CF-B8F6-248B6AFFD234}" xr6:coauthVersionLast="47" xr6:coauthVersionMax="47" xr10:uidLastSave="{00000000-0000-0000-0000-000000000000}"/>
  <bookViews>
    <workbookView xWindow="-120" yWindow="-120" windowWidth="51840" windowHeight="21120" xr2:uid="{2F0FA23F-61CC-43E6-AF0F-86720E5DCFA1}"/>
  </bookViews>
  <sheets>
    <sheet name="Federal TrophyBonded PHP" sheetId="13" r:id="rId1"/>
    <sheet name="Ammunition Analysis Graphs" sheetId="14" r:id="rId2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9" i="13" l="1" a="1"/>
  <c r="J49" i="13" s="1"/>
  <c r="I49" i="13" a="1"/>
  <c r="I49" i="13" s="1"/>
  <c r="H49" i="13" a="1"/>
  <c r="H49" i="13" s="1"/>
  <c r="G49" i="13" a="1"/>
  <c r="G49" i="13" s="1"/>
  <c r="F49" i="13" a="1"/>
  <c r="F49" i="13" s="1"/>
  <c r="J48" i="13" a="1"/>
  <c r="J48" i="13" s="1"/>
  <c r="I48" i="13" a="1"/>
  <c r="I48" i="13" s="1"/>
  <c r="H48" i="13" a="1"/>
  <c r="H48" i="13" s="1"/>
  <c r="G48" i="13" a="1"/>
  <c r="G48" i="13" s="1"/>
  <c r="F48" i="13" a="1"/>
  <c r="F48" i="13" s="1"/>
  <c r="J47" i="13" a="1"/>
  <c r="J47" i="13" s="1"/>
  <c r="I47" i="13" a="1"/>
  <c r="I47" i="13" s="1"/>
  <c r="H47" i="13" a="1"/>
  <c r="H47" i="13" s="1"/>
  <c r="G47" i="13" a="1"/>
  <c r="G47" i="13" s="1"/>
  <c r="F47" i="13" a="1"/>
  <c r="F47" i="13" s="1"/>
  <c r="J46" i="13" a="1"/>
  <c r="J46" i="13" s="1"/>
  <c r="I46" i="13" a="1"/>
  <c r="I46" i="13" s="1"/>
  <c r="H46" i="13" a="1"/>
  <c r="H46" i="13" s="1"/>
  <c r="G46" i="13" a="1"/>
  <c r="G46" i="13" s="1"/>
  <c r="F46" i="13" a="1"/>
  <c r="F46" i="13" s="1"/>
  <c r="E49" i="13" a="1"/>
  <c r="E49" i="13" s="1"/>
  <c r="E48" i="13" a="1"/>
  <c r="E48" i="13" s="1"/>
  <c r="E47" i="13" a="1"/>
  <c r="E47" i="13" s="1"/>
  <c r="E46" i="13" a="1"/>
  <c r="E46" i="13" s="1"/>
  <c r="D49" i="13" a="1"/>
  <c r="D49" i="13" s="1"/>
  <c r="D48" i="13" a="1"/>
  <c r="D48" i="13" s="1"/>
  <c r="D47" i="13" a="1"/>
  <c r="D47" i="13" s="1"/>
  <c r="D46" i="13" a="1"/>
  <c r="D46" i="13" s="1"/>
  <c r="C5" i="13"/>
  <c r="B46" i="13" a="1"/>
  <c r="B46" i="13" s="1"/>
  <c r="B47" i="13" a="1"/>
  <c r="B47" i="13" s="1"/>
  <c r="B48" i="13" a="1"/>
  <c r="B48" i="13" s="1"/>
  <c r="B49" i="13" a="1"/>
  <c r="B49" i="13" s="1"/>
  <c r="C49" i="13" a="1"/>
  <c r="C49" i="13" s="1"/>
  <c r="C48" i="13" a="1"/>
  <c r="C48" i="13" s="1"/>
  <c r="C47" i="13" a="1"/>
  <c r="C47" i="13" s="1"/>
  <c r="C46" i="13" a="1"/>
  <c r="C46" i="13" s="1"/>
  <c r="C121" i="13"/>
  <c r="C19" i="13"/>
  <c r="C18" i="13"/>
  <c r="B15" i="13"/>
  <c r="D15" i="13" s="1"/>
  <c r="C11" i="13"/>
  <c r="H9" i="13"/>
  <c r="C8" i="13"/>
  <c r="H5" i="13"/>
  <c r="H4" i="13"/>
  <c r="C4" i="13"/>
  <c r="Y29" i="13" a="1"/>
  <c r="X30" i="13" a="1"/>
  <c r="AB32" i="13" a="1"/>
  <c r="AA32" i="13" a="1"/>
  <c r="X31" i="13" a="1"/>
  <c r="X34" i="13" a="1"/>
  <c r="Y31" i="13" a="1"/>
  <c r="AB28" i="13" a="1"/>
  <c r="Y27" i="13" a="1"/>
  <c r="AB34" i="13" a="1"/>
  <c r="AA28" i="13" a="1"/>
  <c r="X37" i="13" a="1"/>
  <c r="AA26" i="13" a="1"/>
  <c r="Z36" i="13" a="1"/>
  <c r="Y26" i="13" a="1"/>
  <c r="Y38" i="13" a="1"/>
  <c r="Z26" i="13" a="1"/>
  <c r="Z34" i="13" a="1"/>
  <c r="Z33" i="13" a="1"/>
  <c r="Y34" i="13" a="1"/>
  <c r="AB30" i="13" a="1"/>
  <c r="Y28" i="13" a="1"/>
  <c r="Z32" i="13" a="1"/>
  <c r="AB37" i="13" a="1"/>
  <c r="X32" i="13" a="1"/>
  <c r="AA29" i="13" a="1"/>
  <c r="AA37" i="13" a="1"/>
  <c r="AA31" i="13" a="1"/>
  <c r="AA34" i="13" a="1"/>
  <c r="AB26" i="13" a="1"/>
  <c r="X35" i="13" a="1"/>
  <c r="Y32" i="13" a="1"/>
  <c r="X38" i="13" a="1"/>
  <c r="X33" i="13" a="1"/>
  <c r="AB33" i="13" a="1"/>
  <c r="Y36" i="13" a="1"/>
  <c r="AA30" i="13" a="1"/>
  <c r="X27" i="13" a="1"/>
  <c r="AA27" i="13" a="1"/>
  <c r="Z38" i="13" a="1"/>
  <c r="Z37" i="13" a="1"/>
  <c r="Y37" i="13" a="1"/>
  <c r="Y33" i="13" a="1"/>
  <c r="AA36" i="13" a="1"/>
  <c r="X28" i="13" a="1"/>
  <c r="AB36" i="13" a="1"/>
  <c r="P25" i="13" a="1"/>
  <c r="Y35" i="13" a="1"/>
  <c r="AB29" i="13" a="1"/>
  <c r="Z29" i="13" a="1"/>
  <c r="AB31" i="13" a="1"/>
  <c r="AB27" i="13" a="1"/>
  <c r="Z31" i="13" a="1"/>
  <c r="Z30" i="13" a="1"/>
  <c r="X29" i="13" a="1"/>
  <c r="AB38" i="13" a="1"/>
  <c r="AA35" i="13" a="1"/>
  <c r="Z28" i="13" a="1"/>
  <c r="AA38" i="13" a="1"/>
  <c r="Y30" i="13" a="1"/>
  <c r="X26" i="13" a="1"/>
  <c r="AA33" i="13" a="1"/>
  <c r="Z27" i="13" a="1"/>
  <c r="X36" i="13" a="1"/>
  <c r="Z35" i="13" a="1"/>
  <c r="AB35" i="13" a="1"/>
  <c r="C76" i="13" a="1"/>
  <c r="C60" i="13" a="1"/>
  <c r="C74" i="13" a="1"/>
  <c r="C73" i="13" a="1"/>
  <c r="C56" i="13" a="1"/>
  <c r="C71" i="13" a="1"/>
  <c r="C68" i="13" a="1"/>
  <c r="C61" i="13" a="1"/>
  <c r="C72" i="13" a="1"/>
  <c r="C69" i="13" a="1"/>
  <c r="C67" i="13" a="1"/>
  <c r="C66" i="13" a="1"/>
  <c r="C65" i="13" a="1"/>
  <c r="C64" i="13" a="1"/>
  <c r="C63" i="13" a="1"/>
  <c r="C62" i="13" a="1"/>
  <c r="C75" i="13" a="1"/>
  <c r="C59" i="13" a="1"/>
  <c r="C58" i="13" a="1"/>
  <c r="C57" i="13" a="1"/>
  <c r="C70" i="13" a="1"/>
  <c r="W38" i="13" a="1"/>
  <c r="W37" i="13" a="1"/>
  <c r="W36" i="13" a="1"/>
  <c r="W35" i="13" a="1"/>
  <c r="W34" i="13" a="1"/>
  <c r="W33" i="13" a="1"/>
  <c r="W32" i="13" a="1"/>
  <c r="W31" i="13" a="1"/>
  <c r="W30" i="13" a="1"/>
  <c r="W29" i="13" a="1"/>
  <c r="W28" i="13" a="1"/>
  <c r="W27" i="13" a="1"/>
  <c r="W26" i="13" a="1"/>
  <c r="V38" i="13" a="1"/>
  <c r="V37" i="13" a="1"/>
  <c r="V36" i="13" a="1"/>
  <c r="V35" i="13" a="1"/>
  <c r="V34" i="13" a="1"/>
  <c r="V33" i="13" a="1"/>
  <c r="V32" i="13" a="1"/>
  <c r="V31" i="13" a="1"/>
  <c r="V30" i="13" a="1"/>
  <c r="V29" i="13" a="1"/>
  <c r="V28" i="13" a="1"/>
  <c r="V27" i="13" a="1"/>
  <c r="V26" i="13" a="1"/>
  <c r="U38" i="13" a="1"/>
  <c r="U37" i="13" a="1"/>
  <c r="U36" i="13" a="1"/>
  <c r="U35" i="13" a="1"/>
  <c r="U34" i="13" a="1"/>
  <c r="U33" i="13" a="1"/>
  <c r="U32" i="13" a="1"/>
  <c r="U31" i="13" a="1"/>
  <c r="U30" i="13" a="1"/>
  <c r="U29" i="13" a="1"/>
  <c r="U28" i="13" a="1"/>
  <c r="U27" i="13" a="1"/>
  <c r="U26" i="13" a="1"/>
  <c r="I69" i="13" a="1"/>
  <c r="I57" i="13" a="1"/>
  <c r="H72" i="13" a="1"/>
  <c r="I67" i="13" a="1"/>
  <c r="O56" i="13" a="1"/>
  <c r="J60" i="13" a="1"/>
  <c r="J65" i="13" a="1"/>
  <c r="K74" i="13" a="1"/>
  <c r="N67" i="13" a="1"/>
  <c r="O60" i="13" a="1"/>
  <c r="I73" i="13" a="1"/>
  <c r="K59" i="13" a="1"/>
  <c r="L65" i="13" a="1"/>
  <c r="O75" i="13" a="1"/>
  <c r="O64" i="13" a="1"/>
  <c r="I56" i="13" a="1"/>
  <c r="K75" i="13" a="1"/>
  <c r="M76" i="13" a="1"/>
  <c r="L76" i="13" a="1"/>
  <c r="K60" i="13" a="1"/>
  <c r="H56" i="13" a="1"/>
  <c r="K66" i="13" a="1"/>
  <c r="M56" i="13" a="1"/>
  <c r="J58" i="13" a="1"/>
  <c r="J57" i="13" a="1"/>
  <c r="N71" i="13" a="1"/>
  <c r="N62" i="13" a="1"/>
  <c r="I61" i="13" a="1"/>
  <c r="I75" i="13" a="1"/>
  <c r="L56" i="13" a="1"/>
  <c r="H66" i="13" a="1"/>
  <c r="H65" i="13" a="1"/>
  <c r="O72" i="13" a="1"/>
  <c r="H58" i="13" a="1"/>
  <c r="L63" i="13" a="1"/>
  <c r="L67" i="13" a="1"/>
  <c r="L60" i="13" a="1"/>
  <c r="O73" i="13" a="1"/>
  <c r="L74" i="13" a="1"/>
  <c r="M65" i="13" a="1"/>
  <c r="O65" i="13" a="1"/>
  <c r="J68" i="13" a="1"/>
  <c r="H74" i="13" a="1"/>
  <c r="N74" i="13" a="1"/>
  <c r="M72" i="13" a="1"/>
  <c r="O68" i="13" a="1"/>
  <c r="H60" i="13" a="1"/>
  <c r="O58" i="13" a="1"/>
  <c r="J75" i="13" a="1"/>
  <c r="L68" i="13" a="1"/>
  <c r="N59" i="13" a="1"/>
  <c r="K68" i="13" a="1"/>
  <c r="O61" i="13" a="1"/>
  <c r="H69" i="13" a="1"/>
  <c r="J56" i="13" a="1"/>
  <c r="K65" i="13" a="1"/>
  <c r="O67" i="13" a="1"/>
  <c r="O70" i="13" a="1"/>
  <c r="M63" i="13" a="1"/>
  <c r="L66" i="13" a="1"/>
  <c r="K61" i="13" a="1"/>
  <c r="K71" i="13" a="1"/>
  <c r="M73" i="13" a="1"/>
  <c r="I70" i="13" a="1"/>
  <c r="L69" i="13" a="1"/>
  <c r="M68" i="13" a="1"/>
  <c r="M57" i="13" a="1"/>
  <c r="J71" i="13" a="1"/>
  <c r="J62" i="13" a="1"/>
  <c r="M71" i="13" a="1"/>
  <c r="I71" i="13" a="1"/>
  <c r="O62" i="13" a="1"/>
  <c r="I68" i="13" a="1"/>
  <c r="I60" i="13" a="1"/>
  <c r="I65" i="13" a="1"/>
  <c r="J63" i="13" a="1"/>
  <c r="H59" i="13" a="1"/>
  <c r="H75" i="13" a="1"/>
  <c r="J61" i="13" a="1"/>
  <c r="H57" i="13" a="1"/>
  <c r="K69" i="13" a="1"/>
  <c r="I76" i="13" a="1"/>
  <c r="N64" i="13" a="1"/>
  <c r="O71" i="13" a="1"/>
  <c r="O66" i="13" a="1"/>
  <c r="J76" i="13" a="1"/>
  <c r="N70" i="13" a="1"/>
  <c r="L58" i="13" a="1"/>
  <c r="M67" i="13" a="1"/>
  <c r="K64" i="13" a="1"/>
  <c r="M75" i="13" a="1"/>
  <c r="O57" i="13" a="1"/>
  <c r="I66" i="13" a="1"/>
  <c r="N72" i="13" a="1"/>
  <c r="J72" i="13" a="1"/>
  <c r="M62" i="13" a="1"/>
  <c r="M69" i="13" a="1"/>
  <c r="J73" i="13" a="1"/>
  <c r="I59" i="13" a="1"/>
  <c r="L57" i="13" a="1"/>
  <c r="N68" i="13" a="1"/>
  <c r="O76" i="13" a="1"/>
  <c r="M70" i="13" a="1"/>
  <c r="K63" i="13" a="1"/>
  <c r="I58" i="13" a="1"/>
  <c r="H63" i="13" a="1"/>
  <c r="J66" i="13" a="1"/>
  <c r="L72" i="13" a="1"/>
  <c r="K72" i="13" a="1"/>
  <c r="K58" i="13" a="1"/>
  <c r="J59" i="13" a="1"/>
  <c r="I62" i="13" a="1"/>
  <c r="I74" i="13" a="1"/>
  <c r="N57" i="13" a="1"/>
  <c r="I63" i="13" a="1"/>
  <c r="L59" i="13" a="1"/>
  <c r="K57" i="13" a="1"/>
  <c r="K76" i="13" a="1"/>
  <c r="I72" i="13" a="1"/>
  <c r="N63" i="13" a="1"/>
  <c r="J70" i="13" a="1"/>
  <c r="H68" i="13" a="1"/>
  <c r="H67" i="13" a="1"/>
  <c r="N66" i="13" a="1"/>
  <c r="N76" i="13" a="1"/>
  <c r="L75" i="13" a="1"/>
  <c r="H73" i="13" a="1"/>
  <c r="N56" i="13" a="1"/>
  <c r="L70" i="13" a="1"/>
  <c r="J67" i="13" a="1"/>
  <c r="O74" i="13" a="1"/>
  <c r="H76" i="13" a="1"/>
  <c r="N58" i="13" a="1"/>
  <c r="O69" i="13" a="1"/>
  <c r="K70" i="13" a="1"/>
  <c r="M74" i="13" a="1"/>
  <c r="M64" i="13" a="1"/>
  <c r="J64" i="13" a="1"/>
  <c r="N75" i="13" a="1"/>
  <c r="J69" i="13" a="1"/>
  <c r="H61" i="13" a="1"/>
  <c r="O59" i="13" a="1"/>
  <c r="M66" i="13" a="1"/>
  <c r="K73" i="13" a="1"/>
  <c r="H62" i="13" a="1"/>
  <c r="N61" i="13" a="1"/>
  <c r="N73" i="13" a="1"/>
  <c r="H64" i="13" a="1"/>
  <c r="N65" i="13" a="1"/>
  <c r="M61" i="13" a="1"/>
  <c r="M58" i="13" a="1"/>
  <c r="O63" i="13" a="1"/>
  <c r="K67" i="13" a="1"/>
  <c r="M59" i="13" a="1"/>
  <c r="N69" i="13" a="1"/>
  <c r="I64" i="13" a="1"/>
  <c r="N60" i="13" a="1"/>
  <c r="H71" i="13" a="1"/>
  <c r="L61" i="13" a="1"/>
  <c r="L73" i="13" a="1"/>
  <c r="H70" i="13" a="1"/>
  <c r="K62" i="13" a="1"/>
  <c r="L71" i="13" a="1"/>
  <c r="M60" i="13" a="1"/>
  <c r="L64" i="13" a="1"/>
  <c r="J74" i="13" a="1"/>
  <c r="K56" i="13" a="1"/>
  <c r="L62" i="13" a="1"/>
  <c r="T38" i="13" a="1"/>
  <c r="T37" i="13" a="1"/>
  <c r="T36" i="13" a="1"/>
  <c r="T35" i="13" a="1"/>
  <c r="T34" i="13" a="1"/>
  <c r="T33" i="13" a="1"/>
  <c r="T32" i="13" a="1"/>
  <c r="T31" i="13" a="1"/>
  <c r="T30" i="13" a="1"/>
  <c r="T29" i="13" a="1"/>
  <c r="T28" i="13" a="1"/>
  <c r="T27" i="13" a="1"/>
  <c r="G64" i="13" a="1"/>
  <c r="G63" i="13" a="1"/>
  <c r="G72" i="13" a="1"/>
  <c r="G65" i="13" a="1"/>
  <c r="G76" i="13" a="1"/>
  <c r="G58" i="13" a="1"/>
  <c r="G75" i="13" a="1"/>
  <c r="G73" i="13" a="1"/>
  <c r="G61" i="13" a="1"/>
  <c r="G71" i="13" a="1"/>
  <c r="G62" i="13" a="1"/>
  <c r="G68" i="13" a="1"/>
  <c r="G67" i="13" a="1"/>
  <c r="G57" i="13" a="1"/>
  <c r="G56" i="13" a="1"/>
  <c r="G60" i="13" a="1"/>
  <c r="G69" i="13" a="1"/>
  <c r="T26" i="13" a="1"/>
  <c r="G70" i="13" a="1"/>
  <c r="G66" i="13" a="1"/>
  <c r="G59" i="13" a="1"/>
  <c r="G74" i="13" a="1"/>
  <c r="S38" i="13" a="1"/>
  <c r="S37" i="13" a="1"/>
  <c r="S36" i="13" a="1"/>
  <c r="S35" i="13" a="1"/>
  <c r="S34" i="13" a="1"/>
  <c r="S33" i="13" a="1"/>
  <c r="S32" i="13" a="1"/>
  <c r="S31" i="13" a="1"/>
  <c r="S30" i="13" a="1"/>
  <c r="S29" i="13" a="1"/>
  <c r="S28" i="13" a="1"/>
  <c r="S27" i="13" a="1"/>
  <c r="F62" i="13" a="1"/>
  <c r="F76" i="13" a="1"/>
  <c r="F67" i="13" a="1"/>
  <c r="F56" i="13" a="1"/>
  <c r="F71" i="13" a="1"/>
  <c r="F61" i="13" a="1"/>
  <c r="F66" i="13" a="1"/>
  <c r="F68" i="13" a="1"/>
  <c r="F73" i="13" a="1"/>
  <c r="F70" i="13" a="1"/>
  <c r="F64" i="13" a="1"/>
  <c r="F58" i="13" a="1"/>
  <c r="F57" i="13" a="1"/>
  <c r="F60" i="13" a="1"/>
  <c r="S26" i="13" a="1"/>
  <c r="F65" i="13" a="1"/>
  <c r="F59" i="13" a="1"/>
  <c r="F63" i="13" a="1"/>
  <c r="F69" i="13" a="1"/>
  <c r="F74" i="13" a="1"/>
  <c r="F75" i="13" a="1"/>
  <c r="F72" i="13" a="1"/>
  <c r="R38" i="13" a="1"/>
  <c r="R37" i="13" a="1"/>
  <c r="R36" i="13" a="1"/>
  <c r="R35" i="13" a="1"/>
  <c r="R34" i="13" a="1"/>
  <c r="R33" i="13" a="1"/>
  <c r="R32" i="13" a="1"/>
  <c r="R31" i="13" a="1"/>
  <c r="R30" i="13" a="1"/>
  <c r="R29" i="13" a="1"/>
  <c r="R28" i="13" a="1"/>
  <c r="R27" i="13" a="1"/>
  <c r="E74" i="13" a="1"/>
  <c r="E71" i="13" a="1"/>
  <c r="E66" i="13" a="1"/>
  <c r="E65" i="13" a="1"/>
  <c r="E76" i="13" a="1"/>
  <c r="E57" i="13" a="1"/>
  <c r="R26" i="13" a="1"/>
  <c r="E62" i="13" a="1"/>
  <c r="E68" i="13" a="1"/>
  <c r="E75" i="13" a="1"/>
  <c r="E56" i="13" a="1"/>
  <c r="E72" i="13" a="1"/>
  <c r="E64" i="13" a="1"/>
  <c r="E69" i="13" a="1"/>
  <c r="E58" i="13" a="1"/>
  <c r="E63" i="13" a="1"/>
  <c r="E67" i="13" a="1"/>
  <c r="E59" i="13" a="1"/>
  <c r="E61" i="13" a="1"/>
  <c r="E73" i="13" a="1"/>
  <c r="E60" i="13" a="1"/>
  <c r="E70" i="13" a="1"/>
  <c r="D75" i="13" a="1"/>
  <c r="D58" i="13" a="1"/>
  <c r="D71" i="13" a="1"/>
  <c r="Q37" i="13" a="1"/>
  <c r="D65" i="13" a="1"/>
  <c r="Q26" i="13" a="1"/>
  <c r="D67" i="13" a="1"/>
  <c r="D56" i="13" a="1"/>
  <c r="Q34" i="13" a="1"/>
  <c r="D68" i="13" a="1"/>
  <c r="Q33" i="13" a="1"/>
  <c r="Q28" i="13" a="1"/>
  <c r="D64" i="13" a="1"/>
  <c r="D73" i="13" a="1"/>
  <c r="Q32" i="13" a="1"/>
  <c r="D63" i="13" a="1"/>
  <c r="D72" i="13" a="1"/>
  <c r="D60" i="13" a="1"/>
  <c r="Q35" i="13" a="1"/>
  <c r="D62" i="13" a="1"/>
  <c r="D61" i="13" a="1"/>
  <c r="Q31" i="13" a="1"/>
  <c r="Q38" i="13" a="1"/>
  <c r="D74" i="13" a="1"/>
  <c r="D57" i="13" a="1"/>
  <c r="D59" i="13" a="1"/>
  <c r="D76" i="13" a="1"/>
  <c r="D70" i="13" a="1"/>
  <c r="Q27" i="13" a="1"/>
  <c r="D69" i="13" a="1"/>
  <c r="D66" i="13" a="1"/>
  <c r="Q36" i="13" a="1"/>
  <c r="Q29" i="13" a="1"/>
  <c r="Q30" i="13" a="1"/>
  <c r="C21" i="13" a="1"/>
  <c r="B14" i="13" a="1"/>
  <c r="P38" i="13" a="1"/>
  <c r="P37" i="13" a="1"/>
  <c r="P36" i="13" a="1"/>
  <c r="P35" i="13" a="1"/>
  <c r="P34" i="13" a="1"/>
  <c r="P33" i="13" a="1"/>
  <c r="P32" i="13" a="1"/>
  <c r="P31" i="13" a="1"/>
  <c r="P30" i="13" a="1"/>
  <c r="P29" i="13" a="1"/>
  <c r="P28" i="13" a="1"/>
  <c r="P27" i="13" a="1"/>
  <c r="P26" i="13" a="1"/>
  <c r="B59" i="13" a="1"/>
  <c r="B76" i="13" a="1"/>
  <c r="B64" i="13" a="1"/>
  <c r="B57" i="13" a="1"/>
  <c r="B60" i="13" a="1"/>
  <c r="B63" i="13" a="1"/>
  <c r="B66" i="13" a="1"/>
  <c r="B72" i="13" a="1"/>
  <c r="B56" i="13" a="1"/>
  <c r="B58" i="13" a="1"/>
  <c r="B75" i="13" a="1"/>
  <c r="B62" i="13" a="1"/>
  <c r="B71" i="13" a="1"/>
  <c r="B67" i="13" a="1"/>
  <c r="B65" i="13" a="1"/>
  <c r="B73" i="13" a="1"/>
  <c r="B61" i="13" a="1"/>
  <c r="B74" i="13" a="1"/>
  <c r="B69" i="13" a="1"/>
  <c r="B70" i="13" a="1"/>
  <c r="B68" i="13" a="1"/>
  <c r="H8" i="13" a="1"/>
  <c r="G8" i="13" a="1"/>
  <c r="B9" i="13" a="1"/>
  <c r="C9" i="13" a="1"/>
  <c r="W25" i="13" l="1"/>
  <c r="Y25" i="13"/>
  <c r="Z25" i="13"/>
  <c r="X25" i="13"/>
  <c r="AA25" i="13"/>
  <c r="AB25" i="13"/>
  <c r="C70" i="13"/>
  <c r="C57" i="13"/>
  <c r="C58" i="13"/>
  <c r="C59" i="13"/>
  <c r="C75" i="13"/>
  <c r="C62" i="13"/>
  <c r="C63" i="13"/>
  <c r="C64" i="13"/>
  <c r="C65" i="13"/>
  <c r="C66" i="13"/>
  <c r="C67" i="13"/>
  <c r="C69" i="13"/>
  <c r="C72" i="13"/>
  <c r="C61" i="13"/>
  <c r="C68" i="13"/>
  <c r="C71" i="13"/>
  <c r="C56" i="13"/>
  <c r="C73" i="13"/>
  <c r="C74" i="13"/>
  <c r="C60" i="13"/>
  <c r="C76" i="13"/>
  <c r="AA33" i="13"/>
  <c r="AB33" i="13"/>
  <c r="W26" i="13"/>
  <c r="X26" i="13"/>
  <c r="X29" i="13"/>
  <c r="Y37" i="13"/>
  <c r="Z37" i="13"/>
  <c r="Y32" i="13"/>
  <c r="X38" i="13"/>
  <c r="Z38" i="13"/>
  <c r="AA28" i="13"/>
  <c r="AB28" i="13"/>
  <c r="Y26" i="13"/>
  <c r="Y29" i="13"/>
  <c r="AB26" i="13"/>
  <c r="AB29" i="13"/>
  <c r="W30" i="13"/>
  <c r="AB35" i="13"/>
  <c r="Y36" i="13"/>
  <c r="X31" i="13"/>
  <c r="W29" i="13"/>
  <c r="AB31" i="13"/>
  <c r="W35" i="13"/>
  <c r="Z32" i="13"/>
  <c r="W38" i="13"/>
  <c r="Z35" i="13"/>
  <c r="Y30" i="13"/>
  <c r="AA35" i="13"/>
  <c r="AB27" i="13"/>
  <c r="X33" i="13"/>
  <c r="Y33" i="13"/>
  <c r="W36" i="13"/>
  <c r="AA38" i="13"/>
  <c r="W31" i="13"/>
  <c r="Z28" i="13"/>
  <c r="W34" i="13"/>
  <c r="Z31" i="13"/>
  <c r="AA31" i="13"/>
  <c r="Z34" i="13"/>
  <c r="AA34" i="13"/>
  <c r="AB34" i="13"/>
  <c r="AA29" i="13"/>
  <c r="X35" i="13"/>
  <c r="AA32" i="13"/>
  <c r="AB32" i="13"/>
  <c r="Y38" i="13"/>
  <c r="AA30" i="13"/>
  <c r="Z36" i="13"/>
  <c r="Y31" i="13"/>
  <c r="X34" i="13"/>
  <c r="W37" i="13"/>
  <c r="X37" i="13"/>
  <c r="W32" i="13"/>
  <c r="Z29" i="13"/>
  <c r="AA37" i="13"/>
  <c r="AB37" i="13"/>
  <c r="Y35" i="13"/>
  <c r="Z27" i="13"/>
  <c r="W33" i="13"/>
  <c r="Z30" i="13"/>
  <c r="X28" i="13"/>
  <c r="AB30" i="13"/>
  <c r="Z33" i="13"/>
  <c r="X36" i="13"/>
  <c r="AB38" i="13"/>
  <c r="Y28" i="13"/>
  <c r="AA36" i="13"/>
  <c r="AB36" i="13"/>
  <c r="Y34" i="13"/>
  <c r="Z26" i="13"/>
  <c r="AA26" i="13"/>
  <c r="X32" i="13"/>
  <c r="W27" i="13"/>
  <c r="X27" i="13"/>
  <c r="Y27" i="13"/>
  <c r="X30" i="13"/>
  <c r="AA27" i="13"/>
  <c r="W28" i="13"/>
  <c r="K61" i="13"/>
  <c r="O67" i="13"/>
  <c r="K68" i="13"/>
  <c r="L62" i="13"/>
  <c r="K56" i="13"/>
  <c r="L75" i="13"/>
  <c r="M75" i="13"/>
  <c r="K66" i="13"/>
  <c r="N56" i="13"/>
  <c r="O59" i="13"/>
  <c r="K63" i="13"/>
  <c r="L66" i="13"/>
  <c r="M69" i="13"/>
  <c r="N72" i="13"/>
  <c r="O75" i="13"/>
  <c r="L64" i="13"/>
  <c r="L61" i="13"/>
  <c r="M74" i="13"/>
  <c r="O74" i="13"/>
  <c r="O71" i="13"/>
  <c r="L59" i="13"/>
  <c r="O68" i="13"/>
  <c r="L56" i="13"/>
  <c r="K69" i="13"/>
  <c r="N59" i="13"/>
  <c r="O56" i="13"/>
  <c r="K60" i="13"/>
  <c r="L63" i="13"/>
  <c r="M66" i="13"/>
  <c r="N69" i="13"/>
  <c r="O72" i="13"/>
  <c r="K76" i="13"/>
  <c r="K57" i="13"/>
  <c r="M63" i="13"/>
  <c r="O69" i="13"/>
  <c r="L76" i="13"/>
  <c r="M60" i="13"/>
  <c r="N63" i="13"/>
  <c r="O66" i="13"/>
  <c r="M76" i="13"/>
  <c r="O73" i="13"/>
  <c r="M64" i="13"/>
  <c r="L58" i="13"/>
  <c r="N64" i="13"/>
  <c r="O61" i="13"/>
  <c r="L68" i="13"/>
  <c r="L65" i="13"/>
  <c r="L69" i="13"/>
  <c r="L73" i="13"/>
  <c r="N60" i="13"/>
  <c r="L70" i="13"/>
  <c r="N76" i="13"/>
  <c r="O70" i="13"/>
  <c r="K71" i="13"/>
  <c r="K65" i="13"/>
  <c r="N74" i="13"/>
  <c r="O58" i="13"/>
  <c r="N71" i="13"/>
  <c r="K75" i="13"/>
  <c r="O65" i="13"/>
  <c r="O62" i="13"/>
  <c r="M57" i="13"/>
  <c r="O63" i="13"/>
  <c r="K67" i="13"/>
  <c r="M73" i="13"/>
  <c r="M67" i="13"/>
  <c r="N67" i="13"/>
  <c r="O64" i="13"/>
  <c r="K62" i="13"/>
  <c r="M68" i="13"/>
  <c r="K59" i="13"/>
  <c r="M65" i="13"/>
  <c r="N65" i="13"/>
  <c r="M59" i="13"/>
  <c r="N62" i="13"/>
  <c r="M56" i="13"/>
  <c r="M72" i="13"/>
  <c r="L60" i="13"/>
  <c r="N66" i="13"/>
  <c r="K73" i="13"/>
  <c r="L57" i="13"/>
  <c r="K70" i="13"/>
  <c r="K64" i="13"/>
  <c r="M70" i="13"/>
  <c r="O76" i="13"/>
  <c r="O57" i="13"/>
  <c r="N70" i="13"/>
  <c r="K58" i="13"/>
  <c r="K74" i="13"/>
  <c r="M61" i="13"/>
  <c r="L74" i="13"/>
  <c r="M58" i="13"/>
  <c r="N61" i="13"/>
  <c r="L71" i="13"/>
  <c r="N58" i="13"/>
  <c r="M71" i="13"/>
  <c r="N68" i="13"/>
  <c r="M62" i="13"/>
  <c r="K72" i="13"/>
  <c r="L72" i="13"/>
  <c r="N75" i="13"/>
  <c r="N57" i="13"/>
  <c r="O60" i="13"/>
  <c r="L67" i="13"/>
  <c r="N73" i="13"/>
  <c r="B61" i="13"/>
  <c r="H74" i="13"/>
  <c r="F63" i="13"/>
  <c r="I74" i="13"/>
  <c r="G63" i="13"/>
  <c r="B75" i="13"/>
  <c r="D59" i="13"/>
  <c r="I72" i="13"/>
  <c r="E75" i="13"/>
  <c r="D57" i="13"/>
  <c r="E66" i="13"/>
  <c r="G59" i="13"/>
  <c r="F66" i="13"/>
  <c r="H59" i="13"/>
  <c r="I68" i="13"/>
  <c r="G57" i="13"/>
  <c r="E71" i="13"/>
  <c r="E62" i="13"/>
  <c r="D69" i="13"/>
  <c r="D60" i="13"/>
  <c r="E69" i="13"/>
  <c r="E60" i="13"/>
  <c r="B74" i="13"/>
  <c r="F76" i="13"/>
  <c r="B72" i="13"/>
  <c r="F56" i="13"/>
  <c r="G65" i="13"/>
  <c r="G56" i="13"/>
  <c r="H65" i="13"/>
  <c r="E61" i="13"/>
  <c r="D68" i="13"/>
  <c r="H63" i="13"/>
  <c r="G70" i="13"/>
  <c r="G61" i="13"/>
  <c r="B73" i="13"/>
  <c r="H61" i="13"/>
  <c r="F75" i="13"/>
  <c r="E57" i="13"/>
  <c r="H68" i="13"/>
  <c r="B62" i="13"/>
  <c r="H75" i="13"/>
  <c r="I59" i="13"/>
  <c r="I75" i="13"/>
  <c r="H57" i="13"/>
  <c r="F71" i="13"/>
  <c r="F62" i="13"/>
  <c r="B67" i="13"/>
  <c r="B58" i="13"/>
  <c r="D67" i="13"/>
  <c r="F60" i="13"/>
  <c r="B65" i="13"/>
  <c r="G69" i="13"/>
  <c r="B56" i="13"/>
  <c r="D65" i="13"/>
  <c r="D56" i="13"/>
  <c r="F58" i="13"/>
  <c r="B63" i="13"/>
  <c r="E65" i="13"/>
  <c r="G67" i="13"/>
  <c r="I69" i="13"/>
  <c r="D72" i="13"/>
  <c r="H76" i="13"/>
  <c r="H58" i="13"/>
  <c r="F72" i="13"/>
  <c r="B68" i="13"/>
  <c r="I65" i="13"/>
  <c r="B66" i="13"/>
  <c r="E59" i="13"/>
  <c r="D66" i="13"/>
  <c r="B64" i="13"/>
  <c r="I70" i="13"/>
  <c r="I61" i="13"/>
  <c r="G75" i="13"/>
  <c r="F57" i="13"/>
  <c r="F73" i="13"/>
  <c r="F64" i="13"/>
  <c r="G73" i="13"/>
  <c r="B60" i="13"/>
  <c r="B76" i="13"/>
  <c r="H64" i="13"/>
  <c r="D76" i="13"/>
  <c r="I64" i="13"/>
  <c r="H71" i="13"/>
  <c r="E67" i="13"/>
  <c r="I62" i="13"/>
  <c r="H69" i="13"/>
  <c r="F74" i="13"/>
  <c r="E63" i="13"/>
  <c r="D70" i="13"/>
  <c r="D61" i="13"/>
  <c r="G72" i="13"/>
  <c r="H56" i="13"/>
  <c r="F70" i="13"/>
  <c r="F61" i="13"/>
  <c r="E68" i="13"/>
  <c r="I63" i="13"/>
  <c r="F68" i="13"/>
  <c r="G68" i="13"/>
  <c r="B71" i="13"/>
  <c r="G66" i="13"/>
  <c r="H66" i="13"/>
  <c r="H73" i="13"/>
  <c r="G71" i="13"/>
  <c r="E76" i="13"/>
  <c r="D58" i="13"/>
  <c r="D74" i="13"/>
  <c r="E58" i="13"/>
  <c r="E74" i="13"/>
  <c r="H60" i="13"/>
  <c r="E56" i="13"/>
  <c r="G58" i="13"/>
  <c r="I60" i="13"/>
  <c r="D63" i="13"/>
  <c r="F65" i="13"/>
  <c r="H67" i="13"/>
  <c r="B70" i="13"/>
  <c r="E72" i="13"/>
  <c r="I76" i="13"/>
  <c r="I67" i="13"/>
  <c r="I58" i="13"/>
  <c r="E70" i="13"/>
  <c r="B59" i="13"/>
  <c r="H72" i="13"/>
  <c r="I56" i="13"/>
  <c r="D75" i="13"/>
  <c r="B57" i="13"/>
  <c r="H70" i="13"/>
  <c r="F59" i="13"/>
  <c r="D73" i="13"/>
  <c r="D64" i="13"/>
  <c r="E73" i="13"/>
  <c r="E64" i="13"/>
  <c r="D71" i="13"/>
  <c r="D62" i="13"/>
  <c r="B69" i="13"/>
  <c r="G64" i="13"/>
  <c r="I66" i="13"/>
  <c r="I57" i="13"/>
  <c r="I73" i="13"/>
  <c r="G62" i="13"/>
  <c r="F69" i="13"/>
  <c r="H62" i="13"/>
  <c r="I71" i="13"/>
  <c r="G60" i="13"/>
  <c r="F67" i="13"/>
  <c r="G76" i="13"/>
  <c r="G74" i="13"/>
  <c r="J61" i="13"/>
  <c r="J63" i="13"/>
  <c r="J68" i="13"/>
  <c r="J71" i="13"/>
  <c r="J62" i="13"/>
  <c r="J64" i="13"/>
  <c r="J69" i="13"/>
  <c r="J70" i="13"/>
  <c r="J73" i="13"/>
  <c r="J76" i="13"/>
  <c r="J65" i="13"/>
  <c r="J66" i="13"/>
  <c r="J67" i="13"/>
  <c r="J72" i="13"/>
  <c r="J57" i="13"/>
  <c r="J58" i="13"/>
  <c r="J74" i="13"/>
  <c r="J59" i="13"/>
  <c r="J75" i="13"/>
  <c r="J60" i="13"/>
  <c r="J56" i="13"/>
  <c r="R33" i="13"/>
  <c r="P37" i="13"/>
  <c r="Q27" i="13"/>
  <c r="P28" i="13"/>
  <c r="U33" i="13"/>
  <c r="R38" i="13"/>
  <c r="Q28" i="13"/>
  <c r="R29" i="13"/>
  <c r="V33" i="13"/>
  <c r="S38" i="13"/>
  <c r="Q29" i="13"/>
  <c r="S29" i="13"/>
  <c r="T38" i="13"/>
  <c r="S37" i="13"/>
  <c r="P38" i="13"/>
  <c r="Q34" i="13"/>
  <c r="P29" i="13"/>
  <c r="U34" i="13"/>
  <c r="P25" i="13"/>
  <c r="S32" i="13"/>
  <c r="T32" i="13"/>
  <c r="R37" i="13"/>
  <c r="U37" i="13"/>
  <c r="U28" i="13"/>
  <c r="V27" i="13"/>
  <c r="U32" i="13"/>
  <c r="T28" i="13"/>
  <c r="U38" i="13"/>
  <c r="U26" i="13"/>
  <c r="R31" i="13"/>
  <c r="V35" i="13"/>
  <c r="P27" i="13"/>
  <c r="S28" i="13"/>
  <c r="T37" i="13"/>
  <c r="P32" i="13"/>
  <c r="B9" i="13"/>
  <c r="V28" i="13"/>
  <c r="T29" i="13"/>
  <c r="Q31" i="13"/>
  <c r="V38" i="13"/>
  <c r="V29" i="13"/>
  <c r="U30" i="13"/>
  <c r="S35" i="13"/>
  <c r="S31" i="13"/>
  <c r="T31" i="13"/>
  <c r="R36" i="13"/>
  <c r="R27" i="13"/>
  <c r="V31" i="13"/>
  <c r="S36" i="13"/>
  <c r="V32" i="13"/>
  <c r="R34" i="13"/>
  <c r="Q32" i="13"/>
  <c r="R30" i="13"/>
  <c r="T30" i="13"/>
  <c r="R35" i="13"/>
  <c r="V30" i="13"/>
  <c r="S26" i="13"/>
  <c r="U35" i="13"/>
  <c r="V26" i="13"/>
  <c r="P35" i="13"/>
  <c r="U31" i="13"/>
  <c r="T27" i="13"/>
  <c r="P31" i="13"/>
  <c r="U36" i="13"/>
  <c r="P36" i="13"/>
  <c r="R28" i="13"/>
  <c r="V37" i="13"/>
  <c r="S33" i="13"/>
  <c r="Q26" i="13"/>
  <c r="T33" i="13"/>
  <c r="Q30" i="13"/>
  <c r="P33" i="13"/>
  <c r="U29" i="13"/>
  <c r="S34" i="13"/>
  <c r="Q33" i="13"/>
  <c r="T34" i="13"/>
  <c r="Q35" i="13"/>
  <c r="V34" i="13"/>
  <c r="Q36" i="13"/>
  <c r="S30" i="13"/>
  <c r="Q37" i="13"/>
  <c r="P34" i="13"/>
  <c r="Q38" i="13"/>
  <c r="R26" i="13"/>
  <c r="T35" i="13"/>
  <c r="T26" i="13"/>
  <c r="P30" i="13"/>
  <c r="P26" i="13"/>
  <c r="S27" i="13"/>
  <c r="T36" i="13"/>
  <c r="U27" i="13"/>
  <c r="R32" i="13"/>
  <c r="V36" i="13"/>
  <c r="V25" i="13"/>
  <c r="R25" i="13"/>
  <c r="Q25" i="13"/>
  <c r="S25" i="13"/>
  <c r="T25" i="13"/>
  <c r="U25" i="13"/>
  <c r="G8" i="13"/>
  <c r="H8" i="13"/>
  <c r="C9" i="13"/>
  <c r="C21" i="13"/>
  <c r="B14" i="13"/>
  <c r="Y46" i="13" l="1" a="1"/>
  <c r="Y46" i="13" s="1"/>
  <c r="Y49" i="13" a="1"/>
  <c r="Y49" i="13" s="1"/>
  <c r="Y48" i="13" a="1"/>
  <c r="Y48" i="13" s="1"/>
  <c r="Y47" i="13" a="1"/>
  <c r="Y47" i="13" s="1"/>
  <c r="AA49" i="13" a="1"/>
  <c r="AA49" i="13" s="1"/>
  <c r="AA47" i="13" a="1"/>
  <c r="AA47" i="13" s="1"/>
  <c r="AA46" i="13" a="1"/>
  <c r="AA46" i="13" s="1"/>
  <c r="AA48" i="13" a="1"/>
  <c r="AA48" i="13" s="1"/>
  <c r="Z47" i="13" a="1"/>
  <c r="Z47" i="13" s="1"/>
  <c r="Z49" i="13" a="1"/>
  <c r="Z49" i="13" s="1"/>
  <c r="Z46" i="13" a="1"/>
  <c r="Z46" i="13" s="1"/>
  <c r="Z48" i="13" a="1"/>
  <c r="Z48" i="13" s="1"/>
  <c r="X48" i="13" a="1"/>
  <c r="X48" i="13" s="1"/>
  <c r="X49" i="13" a="1"/>
  <c r="X49" i="13" s="1"/>
  <c r="X47" i="13" a="1"/>
  <c r="X47" i="13" s="1"/>
  <c r="X46" i="13" a="1"/>
  <c r="X46" i="13" s="1"/>
  <c r="W47" i="13" a="1"/>
  <c r="W47" i="13" s="1"/>
  <c r="W49" i="13" a="1"/>
  <c r="W49" i="13" s="1"/>
  <c r="W48" i="13" a="1"/>
  <c r="W48" i="13" s="1"/>
  <c r="W46" i="13" a="1"/>
  <c r="W46" i="13" s="1"/>
  <c r="P49" i="13" a="1"/>
  <c r="P49" i="13" s="1"/>
  <c r="P48" i="13" a="1"/>
  <c r="P48" i="13" s="1"/>
  <c r="P47" i="13" a="1"/>
  <c r="P47" i="13" s="1"/>
  <c r="P46" i="13" a="1"/>
  <c r="P46" i="13" s="1"/>
  <c r="V46" i="13" a="1"/>
  <c r="V46" i="13" s="1"/>
  <c r="V49" i="13" a="1"/>
  <c r="V49" i="13" s="1"/>
  <c r="V47" i="13" a="1"/>
  <c r="V47" i="13" s="1"/>
  <c r="V48" i="13" a="1"/>
  <c r="V48" i="13" s="1"/>
  <c r="S49" i="13" a="1"/>
  <c r="S49" i="13" s="1"/>
  <c r="S46" i="13" a="1"/>
  <c r="S46" i="13" s="1"/>
  <c r="S48" i="13" a="1"/>
  <c r="S48" i="13" s="1"/>
  <c r="S47" i="13" a="1"/>
  <c r="S47" i="13" s="1"/>
  <c r="Q46" i="13" a="1"/>
  <c r="Q46" i="13" s="1"/>
  <c r="Q47" i="13" a="1"/>
  <c r="Q47" i="13" s="1"/>
  <c r="Q49" i="13" a="1"/>
  <c r="Q49" i="13" s="1"/>
  <c r="Q48" i="13" a="1"/>
  <c r="Q48" i="13" s="1"/>
  <c r="U49" i="13" a="1"/>
  <c r="U49" i="13" s="1"/>
  <c r="U46" i="13" a="1"/>
  <c r="U46" i="13" s="1"/>
  <c r="U48" i="13" a="1"/>
  <c r="U48" i="13" s="1"/>
  <c r="U47" i="13" a="1"/>
  <c r="U47" i="13" s="1"/>
  <c r="AB49" i="13" a="1"/>
  <c r="AB49" i="13" s="1"/>
  <c r="AB47" i="13" a="1"/>
  <c r="AB47" i="13" s="1"/>
  <c r="AB48" i="13" a="1"/>
  <c r="AB48" i="13" s="1"/>
  <c r="AB46" i="13" a="1"/>
  <c r="AB46" i="13" s="1"/>
  <c r="R47" i="13" a="1"/>
  <c r="R47" i="13" s="1"/>
  <c r="R48" i="13" a="1"/>
  <c r="R48" i="13" s="1"/>
  <c r="R49" i="13" a="1"/>
  <c r="R49" i="13" s="1"/>
  <c r="R46" i="13" a="1"/>
  <c r="R46" i="13" s="1"/>
  <c r="T47" i="13" a="1"/>
  <c r="T47" i="13" s="1"/>
  <c r="T49" i="13" a="1"/>
  <c r="T49" i="13" s="1"/>
  <c r="T46" i="13" a="1"/>
  <c r="T46" i="13" s="1"/>
  <c r="T48" i="13" a="1"/>
  <c r="T48" i="13" s="1"/>
  <c r="C14" i="13"/>
  <c r="B20" i="13"/>
  <c r="X70" i="13" a="1"/>
  <c r="Y73" i="13" a="1"/>
  <c r="AB68" i="13" a="1"/>
  <c r="Y70" i="13" a="1"/>
  <c r="AB66" i="13" a="1"/>
  <c r="AB60" i="13" a="1"/>
  <c r="AB61" i="13" a="1"/>
  <c r="X73" i="13" a="1"/>
  <c r="AB76" i="13" a="1"/>
  <c r="Z67" i="13" a="1"/>
  <c r="X57" i="13" a="1"/>
  <c r="AB72" i="13" a="1"/>
  <c r="Z70" i="13" a="1"/>
  <c r="Z74" i="13" a="1"/>
  <c r="Y67" i="13" a="1"/>
  <c r="AA56" i="13" a="1"/>
  <c r="Z59" i="13" a="1"/>
  <c r="Y57" i="13" a="1"/>
  <c r="X67" i="13" a="1"/>
  <c r="AB56" i="13" a="1"/>
  <c r="X65" i="13" a="1"/>
  <c r="AB63" i="13" a="1"/>
  <c r="Z68" i="13" a="1"/>
  <c r="AB58" i="13" a="1"/>
  <c r="Z75" i="13" a="1"/>
  <c r="X59" i="13" a="1"/>
  <c r="AB65" i="13" a="1"/>
  <c r="Z66" i="13" a="1"/>
  <c r="AA62" i="13" a="1"/>
  <c r="X58" i="13" a="1"/>
  <c r="Y62" i="13" a="1"/>
  <c r="AA63" i="13" a="1"/>
  <c r="X66" i="13" a="1"/>
  <c r="X68" i="13" a="1"/>
  <c r="X60" i="13" a="1"/>
  <c r="AB71" i="13" a="1"/>
  <c r="Z58" i="13" a="1"/>
  <c r="AA68" i="13" a="1"/>
  <c r="Z56" i="13" a="1"/>
  <c r="AB62" i="13" a="1"/>
  <c r="AA75" i="13" a="1"/>
  <c r="Z76" i="13" a="1"/>
  <c r="X71" i="13" a="1"/>
  <c r="AA73" i="13" a="1"/>
  <c r="Z73" i="13" a="1"/>
  <c r="X62" i="13" a="1"/>
  <c r="Y76" i="13" a="1"/>
  <c r="AB75" i="13" a="1"/>
  <c r="X56" i="13" a="1"/>
  <c r="Y64" i="13" a="1"/>
  <c r="Z72" i="13" a="1"/>
  <c r="Y59" i="13" a="1"/>
  <c r="AA74" i="13" a="1"/>
  <c r="AB57" i="13" a="1"/>
  <c r="AA64" i="13" a="1"/>
  <c r="AB69" i="13" a="1"/>
  <c r="AA76" i="13" a="1"/>
  <c r="Z57" i="13" a="1"/>
  <c r="AA57" i="13" a="1"/>
  <c r="X63" i="13" a="1"/>
  <c r="Z65" i="13" a="1"/>
  <c r="X74" i="13" a="1"/>
  <c r="Z60" i="13" a="1"/>
  <c r="Y66" i="13" a="1"/>
  <c r="AA65" i="13" a="1"/>
  <c r="Z71" i="13" a="1"/>
  <c r="Z69" i="13" a="1"/>
  <c r="AA60" i="13" a="1"/>
  <c r="X76" i="13" a="1"/>
  <c r="AA61" i="13" a="1"/>
  <c r="Y72" i="13" a="1"/>
  <c r="Y60" i="13" a="1"/>
  <c r="AA70" i="13" a="1"/>
  <c r="Y61" i="13" a="1"/>
  <c r="AA71" i="13" a="1"/>
  <c r="Y68" i="13" a="1"/>
  <c r="X75" i="13" a="1"/>
  <c r="AB74" i="13" a="1"/>
  <c r="X64" i="13" a="1"/>
  <c r="Y74" i="13" a="1"/>
  <c r="AB70" i="13" a="1"/>
  <c r="Y75" i="13" a="1"/>
  <c r="AB59" i="13" a="1"/>
  <c r="X72" i="13" a="1"/>
  <c r="AA72" i="13" a="1"/>
  <c r="AB73" i="13" a="1"/>
  <c r="AA58" i="13" a="1"/>
  <c r="Z64" i="13" a="1"/>
  <c r="Y63" i="13" a="1"/>
  <c r="Y71" i="13" a="1"/>
  <c r="AA69" i="13" a="1"/>
  <c r="Z61" i="13" a="1"/>
  <c r="Z63" i="13" a="1"/>
  <c r="Y58" i="13" a="1"/>
  <c r="Y69" i="13" a="1"/>
  <c r="X69" i="13" a="1"/>
  <c r="Y65" i="13" a="1"/>
  <c r="AA67" i="13" a="1"/>
  <c r="Y56" i="13" a="1"/>
  <c r="AA59" i="13" a="1"/>
  <c r="Z62" i="13" a="1"/>
  <c r="X61" i="13" a="1"/>
  <c r="AB64" i="13" a="1"/>
  <c r="AA66" i="13" a="1"/>
  <c r="AB67" i="13" a="1"/>
  <c r="W58" i="13" a="1"/>
  <c r="W61" i="13" a="1"/>
  <c r="W73" i="13" a="1"/>
  <c r="W64" i="13" a="1"/>
  <c r="W56" i="13" a="1"/>
  <c r="W63" i="13" a="1"/>
  <c r="W60" i="13" a="1"/>
  <c r="W57" i="13" a="1"/>
  <c r="W59" i="13" a="1"/>
  <c r="W76" i="13" a="1"/>
  <c r="W75" i="13" a="1"/>
  <c r="W70" i="13" a="1"/>
  <c r="W66" i="13" a="1"/>
  <c r="W65" i="13" a="1"/>
  <c r="W71" i="13" a="1"/>
  <c r="W62" i="13" a="1"/>
  <c r="W68" i="13" a="1"/>
  <c r="W74" i="13" a="1"/>
  <c r="W72" i="13" a="1"/>
  <c r="W69" i="13" a="1"/>
  <c r="W67" i="13" a="1"/>
  <c r="V57" i="13" a="1"/>
  <c r="V56" i="13" a="1"/>
  <c r="V64" i="13" a="1"/>
  <c r="V76" i="13" a="1"/>
  <c r="V69" i="13" a="1"/>
  <c r="V59" i="13" a="1"/>
  <c r="V66" i="13" a="1"/>
  <c r="V60" i="13" a="1"/>
  <c r="V71" i="13" a="1"/>
  <c r="V65" i="13" a="1"/>
  <c r="V68" i="13" a="1"/>
  <c r="V70" i="13" a="1"/>
  <c r="V61" i="13" a="1"/>
  <c r="V74" i="13" a="1"/>
  <c r="V72" i="13" a="1"/>
  <c r="V63" i="13" a="1"/>
  <c r="V62" i="13" a="1"/>
  <c r="V75" i="13" a="1"/>
  <c r="V73" i="13" a="1"/>
  <c r="V67" i="13" a="1"/>
  <c r="V58" i="13" a="1"/>
  <c r="U61" i="13" a="1"/>
  <c r="U62" i="13" a="1"/>
  <c r="U76" i="13" a="1"/>
  <c r="U60" i="13" a="1"/>
  <c r="U59" i="13" a="1"/>
  <c r="U56" i="13" a="1"/>
  <c r="U57" i="13" a="1"/>
  <c r="U73" i="13" a="1"/>
  <c r="U58" i="13" a="1"/>
  <c r="U65" i="13" a="1"/>
  <c r="U71" i="13" a="1"/>
  <c r="U67" i="13" a="1"/>
  <c r="U75" i="13" a="1"/>
  <c r="U68" i="13" a="1"/>
  <c r="U64" i="13" a="1"/>
  <c r="U63" i="13" a="1"/>
  <c r="U72" i="13" a="1"/>
  <c r="U69" i="13" a="1"/>
  <c r="U74" i="13" a="1"/>
  <c r="U70" i="13" a="1"/>
  <c r="U66" i="13" a="1"/>
  <c r="T60" i="13" a="1"/>
  <c r="T59" i="13" a="1"/>
  <c r="T57" i="13" a="1"/>
  <c r="T66" i="13" a="1"/>
  <c r="T71" i="13" a="1"/>
  <c r="T72" i="13" a="1"/>
  <c r="T58" i="13" a="1"/>
  <c r="T63" i="13" a="1"/>
  <c r="T65" i="13" a="1"/>
  <c r="T64" i="13" a="1"/>
  <c r="T61" i="13" a="1"/>
  <c r="T73" i="13" a="1"/>
  <c r="T74" i="13" a="1"/>
  <c r="T67" i="13" a="1"/>
  <c r="T69" i="13" a="1"/>
  <c r="T68" i="13" a="1"/>
  <c r="T56" i="13" a="1"/>
  <c r="T76" i="13" a="1"/>
  <c r="T75" i="13" a="1"/>
  <c r="T62" i="13" a="1"/>
  <c r="T70" i="13" a="1"/>
  <c r="S59" i="13" a="1"/>
  <c r="S62" i="13" a="1"/>
  <c r="S65" i="13" a="1"/>
  <c r="S60" i="13" a="1"/>
  <c r="S56" i="13" a="1"/>
  <c r="S75" i="13" a="1"/>
  <c r="S61" i="13" a="1"/>
  <c r="S73" i="13" a="1"/>
  <c r="S71" i="13" a="1"/>
  <c r="S67" i="13" a="1"/>
  <c r="S69" i="13" a="1"/>
  <c r="S70" i="13" a="1"/>
  <c r="S66" i="13" a="1"/>
  <c r="S63" i="13" a="1"/>
  <c r="S64" i="13" a="1"/>
  <c r="S76" i="13" a="1"/>
  <c r="S72" i="13" a="1"/>
  <c r="S57" i="13" a="1"/>
  <c r="S58" i="13" a="1"/>
  <c r="S74" i="13" a="1"/>
  <c r="S68" i="13" a="1"/>
  <c r="R64" i="13" a="1"/>
  <c r="R63" i="13" a="1"/>
  <c r="R57" i="13" a="1"/>
  <c r="R73" i="13" a="1"/>
  <c r="R71" i="13" a="1"/>
  <c r="R62" i="13" a="1"/>
  <c r="R65" i="13" a="1"/>
  <c r="R56" i="13" a="1"/>
  <c r="R70" i="13" a="1"/>
  <c r="R59" i="13" a="1"/>
  <c r="R67" i="13" a="1"/>
  <c r="R72" i="13" a="1"/>
  <c r="R61" i="13" a="1"/>
  <c r="R69" i="13" a="1"/>
  <c r="R75" i="13" a="1"/>
  <c r="R74" i="13" a="1"/>
  <c r="R66" i="13" a="1"/>
  <c r="R58" i="13" a="1"/>
  <c r="R76" i="13" a="1"/>
  <c r="R60" i="13" a="1"/>
  <c r="R68" i="13" a="1"/>
  <c r="Q63" i="13" a="1"/>
  <c r="Q74" i="13" a="1"/>
  <c r="Q67" i="13" a="1"/>
  <c r="Q65" i="13" a="1"/>
  <c r="Q72" i="13" a="1"/>
  <c r="Q75" i="13" a="1"/>
  <c r="Q62" i="13" a="1"/>
  <c r="Q68" i="13" a="1"/>
  <c r="Q70" i="13" a="1"/>
  <c r="Q60" i="13" a="1"/>
  <c r="Q61" i="13" a="1"/>
  <c r="Q66" i="13" a="1"/>
  <c r="Q69" i="13" a="1"/>
  <c r="Q73" i="13" a="1"/>
  <c r="Q76" i="13" a="1"/>
  <c r="Q64" i="13" a="1"/>
  <c r="Q58" i="13" a="1"/>
  <c r="Q71" i="13" a="1"/>
  <c r="Q57" i="13" a="1"/>
  <c r="Q56" i="13" a="1"/>
  <c r="Q59" i="13" a="1"/>
  <c r="P60" i="13" a="1"/>
  <c r="P61" i="13" a="1"/>
  <c r="P63" i="13" a="1"/>
  <c r="P62" i="13" a="1"/>
  <c r="P58" i="13" a="1"/>
  <c r="P56" i="13" a="1"/>
  <c r="P73" i="13" a="1"/>
  <c r="P72" i="13" a="1"/>
  <c r="P59" i="13" a="1"/>
  <c r="P71" i="13" a="1"/>
  <c r="P69" i="13" a="1"/>
  <c r="P68" i="13" a="1"/>
  <c r="P76" i="13" a="1"/>
  <c r="P74" i="13" a="1"/>
  <c r="P65" i="13" a="1"/>
  <c r="P70" i="13" a="1"/>
  <c r="P75" i="13" a="1"/>
  <c r="P67" i="13" a="1"/>
  <c r="P64" i="13" a="1"/>
  <c r="P57" i="13" a="1"/>
  <c r="P66" i="13" a="1"/>
  <c r="Z73" i="13" l="1"/>
  <c r="Z76" i="13"/>
  <c r="Z63" i="13"/>
  <c r="Z62" i="13"/>
  <c r="Z61" i="13"/>
  <c r="Z69" i="13"/>
  <c r="Z64" i="13"/>
  <c r="Z59" i="13"/>
  <c r="Z71" i="13"/>
  <c r="Z72" i="13"/>
  <c r="Z56" i="13"/>
  <c r="Z57" i="13"/>
  <c r="Z60" i="13"/>
  <c r="Z66" i="13"/>
  <c r="Z75" i="13"/>
  <c r="Z58" i="13"/>
  <c r="Z65" i="13"/>
  <c r="Z68" i="13"/>
  <c r="Z74" i="13"/>
  <c r="Z70" i="13"/>
  <c r="Z67" i="13"/>
  <c r="W74" i="13"/>
  <c r="W68" i="13"/>
  <c r="W62" i="13"/>
  <c r="W71" i="13"/>
  <c r="W67" i="13"/>
  <c r="W69" i="13"/>
  <c r="W66" i="13"/>
  <c r="W70" i="13"/>
  <c r="W65" i="13"/>
  <c r="W72" i="13"/>
  <c r="W75" i="13"/>
  <c r="W76" i="13"/>
  <c r="W59" i="13"/>
  <c r="W57" i="13"/>
  <c r="W60" i="13"/>
  <c r="W63" i="13"/>
  <c r="W56" i="13"/>
  <c r="W64" i="13"/>
  <c r="W73" i="13"/>
  <c r="W61" i="13"/>
  <c r="W58" i="13"/>
  <c r="AA67" i="13"/>
  <c r="AA72" i="13"/>
  <c r="AA61" i="13"/>
  <c r="AA60" i="13"/>
  <c r="AA63" i="13"/>
  <c r="AA66" i="13"/>
  <c r="AA71" i="13"/>
  <c r="AA70" i="13"/>
  <c r="AA73" i="13"/>
  <c r="AA75" i="13"/>
  <c r="AA58" i="13"/>
  <c r="AA59" i="13"/>
  <c r="AA69" i="13"/>
  <c r="AA57" i="13"/>
  <c r="AA74" i="13"/>
  <c r="AA56" i="13"/>
  <c r="AA65" i="13"/>
  <c r="AA62" i="13"/>
  <c r="AA68" i="13"/>
  <c r="AA76" i="13"/>
  <c r="AA64" i="13"/>
  <c r="Y70" i="13"/>
  <c r="Y73" i="13"/>
  <c r="Y65" i="13"/>
  <c r="Y69" i="13"/>
  <c r="Y75" i="13"/>
  <c r="Y74" i="13"/>
  <c r="Y62" i="13"/>
  <c r="Y68" i="13"/>
  <c r="Y61" i="13"/>
  <c r="Y76" i="13"/>
  <c r="Y60" i="13"/>
  <c r="Y57" i="13"/>
  <c r="Y72" i="13"/>
  <c r="Y56" i="13"/>
  <c r="Y71" i="13"/>
  <c r="Y63" i="13"/>
  <c r="Y59" i="13"/>
  <c r="Y67" i="13"/>
  <c r="Y66" i="13"/>
  <c r="Y64" i="13"/>
  <c r="Y58" i="13"/>
  <c r="X74" i="13"/>
  <c r="X59" i="13"/>
  <c r="X56" i="13"/>
  <c r="X60" i="13"/>
  <c r="X63" i="13"/>
  <c r="X65" i="13"/>
  <c r="X68" i="13"/>
  <c r="X57" i="13"/>
  <c r="X73" i="13"/>
  <c r="X66" i="13"/>
  <c r="X67" i="13"/>
  <c r="X70" i="13"/>
  <c r="X69" i="13"/>
  <c r="X72" i="13"/>
  <c r="X76" i="13"/>
  <c r="X64" i="13"/>
  <c r="X75" i="13"/>
  <c r="X58" i="13"/>
  <c r="X61" i="13"/>
  <c r="X62" i="13"/>
  <c r="X71" i="13"/>
  <c r="U60" i="13"/>
  <c r="U71" i="13"/>
  <c r="U66" i="13"/>
  <c r="U75" i="13"/>
  <c r="U63" i="13"/>
  <c r="U65" i="13"/>
  <c r="U72" i="13"/>
  <c r="U69" i="13"/>
  <c r="U64" i="13"/>
  <c r="U57" i="13"/>
  <c r="U74" i="13"/>
  <c r="U58" i="13"/>
  <c r="U62" i="13"/>
  <c r="U73" i="13"/>
  <c r="U76" i="13"/>
  <c r="U59" i="13"/>
  <c r="U68" i="13"/>
  <c r="U67" i="13"/>
  <c r="U61" i="13"/>
  <c r="U70" i="13"/>
  <c r="U56" i="13"/>
  <c r="T72" i="13"/>
  <c r="T76" i="13"/>
  <c r="T68" i="13"/>
  <c r="T61" i="13"/>
  <c r="T56" i="13"/>
  <c r="T58" i="13"/>
  <c r="T71" i="13"/>
  <c r="T67" i="13"/>
  <c r="T60" i="13"/>
  <c r="T64" i="13"/>
  <c r="T59" i="13"/>
  <c r="T65" i="13"/>
  <c r="T69" i="13"/>
  <c r="T62" i="13"/>
  <c r="T75" i="13"/>
  <c r="T63" i="13"/>
  <c r="T74" i="13"/>
  <c r="T73" i="13"/>
  <c r="T57" i="13"/>
  <c r="T66" i="13"/>
  <c r="T70" i="13"/>
  <c r="AB70" i="13"/>
  <c r="AB74" i="13"/>
  <c r="AB67" i="13"/>
  <c r="AB64" i="13"/>
  <c r="AB61" i="13"/>
  <c r="AB68" i="13"/>
  <c r="AB72" i="13"/>
  <c r="AB76" i="13"/>
  <c r="AB60" i="13"/>
  <c r="AB62" i="13"/>
  <c r="AB73" i="13"/>
  <c r="AB65" i="13"/>
  <c r="AB58" i="13"/>
  <c r="AB71" i="13"/>
  <c r="AB57" i="13"/>
  <c r="AB75" i="13"/>
  <c r="AB59" i="13"/>
  <c r="AB63" i="13"/>
  <c r="AB56" i="13"/>
  <c r="AB69" i="13"/>
  <c r="AB66" i="13"/>
  <c r="S74" i="13"/>
  <c r="S68" i="13"/>
  <c r="S63" i="13"/>
  <c r="S67" i="13"/>
  <c r="S71" i="13"/>
  <c r="S66" i="13"/>
  <c r="S75" i="13"/>
  <c r="S72" i="13"/>
  <c r="S56" i="13"/>
  <c r="S58" i="13"/>
  <c r="S60" i="13"/>
  <c r="S69" i="13"/>
  <c r="S62" i="13"/>
  <c r="S73" i="13"/>
  <c r="S59" i="13"/>
  <c r="S65" i="13"/>
  <c r="S61" i="13"/>
  <c r="S70" i="13"/>
  <c r="S76" i="13"/>
  <c r="S64" i="13"/>
  <c r="S57" i="13"/>
  <c r="R56" i="13"/>
  <c r="R58" i="13"/>
  <c r="R69" i="13"/>
  <c r="R68" i="13"/>
  <c r="R70" i="13"/>
  <c r="R65" i="13"/>
  <c r="R62" i="13"/>
  <c r="R71" i="13"/>
  <c r="R57" i="13"/>
  <c r="R75" i="13"/>
  <c r="R67" i="13"/>
  <c r="R73" i="13"/>
  <c r="R63" i="13"/>
  <c r="R66" i="13"/>
  <c r="R59" i="13"/>
  <c r="R76" i="13"/>
  <c r="R64" i="13"/>
  <c r="R61" i="13"/>
  <c r="R72" i="13"/>
  <c r="R74" i="13"/>
  <c r="R60" i="13"/>
  <c r="V71" i="13"/>
  <c r="V57" i="13"/>
  <c r="V66" i="13"/>
  <c r="V74" i="13"/>
  <c r="V58" i="13"/>
  <c r="V64" i="13"/>
  <c r="V68" i="13"/>
  <c r="V60" i="13"/>
  <c r="V59" i="13"/>
  <c r="V72" i="13"/>
  <c r="V67" i="13"/>
  <c r="V69" i="13"/>
  <c r="V73" i="13"/>
  <c r="V75" i="13"/>
  <c r="V62" i="13"/>
  <c r="V61" i="13"/>
  <c r="V63" i="13"/>
  <c r="V76" i="13"/>
  <c r="V56" i="13"/>
  <c r="V65" i="13"/>
  <c r="V70" i="13"/>
  <c r="Q76" i="13"/>
  <c r="Q60" i="13"/>
  <c r="Q72" i="13"/>
  <c r="Q67" i="13"/>
  <c r="Q65" i="13"/>
  <c r="Q63" i="13"/>
  <c r="Q61" i="13"/>
  <c r="Q58" i="13"/>
  <c r="Q71" i="13"/>
  <c r="Q69" i="13"/>
  <c r="Q62" i="13"/>
  <c r="Q75" i="13"/>
  <c r="Q59" i="13"/>
  <c r="Q57" i="13"/>
  <c r="Q73" i="13"/>
  <c r="Q64" i="13"/>
  <c r="Q74" i="13"/>
  <c r="Q70" i="13"/>
  <c r="Q68" i="13"/>
  <c r="Q66" i="13"/>
  <c r="Q56" i="13"/>
  <c r="P76" i="13"/>
  <c r="P60" i="13"/>
  <c r="P61" i="13"/>
  <c r="P74" i="13"/>
  <c r="P58" i="13"/>
  <c r="P72" i="13"/>
  <c r="P67" i="13"/>
  <c r="P69" i="13"/>
  <c r="P64" i="13"/>
  <c r="P70" i="13"/>
  <c r="P56" i="13"/>
  <c r="P65" i="13"/>
  <c r="P73" i="13"/>
  <c r="P57" i="13"/>
  <c r="P75" i="13"/>
  <c r="P59" i="13"/>
  <c r="P62" i="13"/>
  <c r="P71" i="13"/>
  <c r="P66" i="13"/>
  <c r="P68" i="13"/>
  <c r="P63" i="13"/>
  <c r="D18" i="13"/>
  <c r="D19" i="13"/>
  <c r="E19" i="13" s="1"/>
  <c r="E21" i="13" a="1"/>
  <c r="E21" i="13" l="1"/>
  <c r="E18" i="13"/>
  <c r="AC38" i="13" a="1"/>
  <c r="AC33" i="13" a="1"/>
  <c r="AC26" i="13" a="1"/>
  <c r="AC30" i="13" a="1"/>
  <c r="AC35" i="13" a="1"/>
  <c r="AC34" i="13" a="1"/>
  <c r="AC29" i="13" a="1"/>
  <c r="AC27" i="13" a="1"/>
  <c r="AC28" i="13" a="1"/>
  <c r="AC32" i="13" a="1"/>
  <c r="AC25" i="13" a="1"/>
  <c r="AC31" i="13" a="1"/>
  <c r="AC36" i="13" a="1"/>
  <c r="AC37" i="13" a="1"/>
  <c r="AC25" i="13" l="1"/>
  <c r="AC36" i="13"/>
  <c r="AC34" i="13"/>
  <c r="AC37" i="13"/>
  <c r="AC38" i="13"/>
  <c r="AC35" i="13"/>
  <c r="AC32" i="13"/>
  <c r="AC30" i="13"/>
  <c r="AC28" i="13"/>
  <c r="AC26" i="13"/>
  <c r="AC27" i="13"/>
  <c r="AC31" i="13"/>
  <c r="AC29" i="13"/>
  <c r="AC3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<sst xmlns="http://schemas.openxmlformats.org/spreadsheetml/2006/main" count="169" uniqueCount="90">
  <si>
    <t>Shooting Angle(deg)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</si>
  <si>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</si>
  <si>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</si>
  <si>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</si>
  <si>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</si>
  <si>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</si>
  <si>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</si>
  <si>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</si>
  <si>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</si>
  <si>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</si>
  <si>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</si>
  <si>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</si>
  <si>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</si>
  <si>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</si>
  <si>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</si>
  <si>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</si>
  <si>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</si>
  <si>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</si>
  <si>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Energy(J)</t>
  </si>
  <si>
    <t>Measured Elevation Angle (scope units)</t>
  </si>
  <si>
    <t>Calculated Trajectory(cm)</t>
  </si>
  <si>
    <t>Scope Height(cm)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</si>
  <si>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</si>
  <si>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</si>
  <si>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</si>
  <si>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</si>
  <si>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</si>
  <si>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</si>
  <si>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</si>
  <si>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</si>
  <si>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</si>
  <si>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</si>
  <si>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</si>
  <si>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</si>
  <si>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</si>
  <si>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</si>
  <si>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</si>
  <si>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Rifle Precision(MOA)</t>
  </si>
  <si>
    <t>Rifle Precision(MILS), Error(MILS)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</si>
  <si>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</si>
  <si>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</si>
  <si>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</si>
  <si>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</si>
  <si>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</si>
  <si>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</si>
  <si>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</si>
  <si>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</si>
  <si>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</si>
  <si>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Bullet Weight(gr),(g)</t>
  </si>
  <si>
    <t>Caliber(in),(mm)</t>
  </si>
  <si>
    <t>Muzzle Energy(flb),(J)</t>
  </si>
  <si>
    <t>Muzzle Velocity(fps),(m/s)</t>
  </si>
  <si>
    <t>n/a</t>
  </si>
  <si>
    <t>Measured Wind Drift</t>
  </si>
  <si>
    <t>(scope units)</t>
  </si>
  <si>
    <t>Calculated Wind Drift</t>
  </si>
  <si>
    <t>50m Zero</t>
  </si>
  <si>
    <t>In-Game Data</t>
  </si>
  <si>
    <t>Bullet Name</t>
  </si>
  <si>
    <t>Bullet Type</t>
  </si>
  <si>
    <t>Manufacturer</t>
  </si>
  <si>
    <t>Ammunition Information</t>
  </si>
  <si>
    <t>Manufacturer's Data Sheet Specs</t>
  </si>
  <si>
    <t>Measured Muzzle Energy(J),(flb)</t>
  </si>
  <si>
    <t>Computed Muzzle Velocity(m/s),(ft/s)</t>
  </si>
  <si>
    <t>Wind (m/s),(km/hr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</si>
  <si>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</si>
  <si>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</si>
  <si>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</si>
  <si>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</si>
  <si>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</si>
  <si>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</si>
  <si>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</si>
  <si>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</si>
  <si>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</si>
  <si>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</si>
  <si>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</si>
  <si>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</si>
  <si>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</si>
  <si>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30-06 Springfield</t>
  </si>
  <si>
    <t>Federal</t>
  </si>
  <si>
    <t>Trophy Bonded</t>
  </si>
  <si>
    <t>Polymer Tip Hollow Point</t>
  </si>
  <si>
    <t>Hornady</t>
  </si>
  <si>
    <t xml:space="preserve"> Hornady 100m zero</t>
  </si>
  <si>
    <t xml:space="preserve"> Hornady 150m zero</t>
  </si>
  <si>
    <t xml:space="preserve"> Hornady 200m zero</t>
  </si>
  <si>
    <t xml:space="preserve"> Hornady 300m zero</t>
  </si>
  <si>
    <t xml:space="preserve"> Hornady 400m zero</t>
  </si>
  <si>
    <t xml:space="preserve"> Hornady 500m zero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</si>
</sst>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E+00"/>
    <numFmt numFmtId="166" formatCode="0.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6" fontId="0" fillId="0" borderId="0" xfId="0" applyNumberFormat="1"/>
    <xf numFmtId="0" fontId="1" fillId="5" borderId="0" xfId="0" applyFont="1" applyFill="1"/>
    <xf numFmtId="164" fontId="1" fillId="5" borderId="0" xfId="0" applyNumberFormat="1" applyFont="1" applyFill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1" xfId="0" applyNumberFormat="1" applyFill="1" applyBorder="1"/>
    <xf numFmtId="2" fontId="0" fillId="5" borderId="2" xfId="0" applyNumberFormat="1" applyFill="1" applyBorder="1"/>
    <xf numFmtId="164" fontId="0" fillId="5" borderId="3" xfId="0" applyNumberFormat="1" applyFill="1" applyBorder="1"/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49" fontId="1" fillId="0" borderId="0" xfId="0" applyNumberFormat="1" applyFont="1" applyAlignment="1">
      <alignment horizontal="right"/>
    </xf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1" fillId="0" borderId="0" xfId="0" applyFont="1" applyAlignment="1">
      <alignment horizontal="right" wrapText="1"/>
    </xf>
    <xf numFmtId="1" fontId="0" fillId="3" borderId="1" xfId="0" applyNumberFormat="1" applyFill="1" applyBorder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PHP'!$B$25:$B$38</c:f>
              <c:numCache>
                <c:formatCode>0.00</c:formatCode>
                <c:ptCount val="14"/>
                <c:pt idx="0">
                  <c:v>3949.8</c:v>
                </c:pt>
                <c:pt idx="1">
                  <c:v>3820.2</c:v>
                </c:pt>
                <c:pt idx="2">
                  <c:v>3685.1</c:v>
                </c:pt>
                <c:pt idx="3">
                  <c:v>3556.2</c:v>
                </c:pt>
                <c:pt idx="4">
                  <c:v>3412.7</c:v>
                </c:pt>
                <c:pt idx="5">
                  <c:v>3295.6</c:v>
                </c:pt>
                <c:pt idx="6">
                  <c:v>3165.3</c:v>
                </c:pt>
                <c:pt idx="7">
                  <c:v>2923.7</c:v>
                </c:pt>
                <c:pt idx="8">
                  <c:v>2705.1</c:v>
                </c:pt>
                <c:pt idx="9">
                  <c:v>2493.1999999999998</c:v>
                </c:pt>
                <c:pt idx="10">
                  <c:v>2289.8000000000002</c:v>
                </c:pt>
                <c:pt idx="11">
                  <c:v>2107.1999999999998</c:v>
                </c:pt>
                <c:pt idx="12">
                  <c:v>1933.7</c:v>
                </c:pt>
                <c:pt idx="13">
                  <c:v>1770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'Federal TrophyBonded PHP'!$A$121:$C$121</c:f>
              <c:strCache>
                <c:ptCount val="1"/>
                <c:pt idx="0">
                  <c:v>50m Zero BC: G1 0.5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PHP'!$A$123:$A$143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PHP'!$C$123:$C$143</c:f>
              <c:numCache>
                <c:formatCode>0.00</c:formatCode>
                <c:ptCount val="21"/>
                <c:pt idx="0">
                  <c:v>3950</c:v>
                </c:pt>
                <c:pt idx="1">
                  <c:v>3806</c:v>
                </c:pt>
                <c:pt idx="2">
                  <c:v>3666</c:v>
                </c:pt>
                <c:pt idx="3">
                  <c:v>3530</c:v>
                </c:pt>
                <c:pt idx="4">
                  <c:v>3399</c:v>
                </c:pt>
                <c:pt idx="5">
                  <c:v>3271</c:v>
                </c:pt>
                <c:pt idx="6">
                  <c:v>3147</c:v>
                </c:pt>
                <c:pt idx="7">
                  <c:v>3027</c:v>
                </c:pt>
                <c:pt idx="8">
                  <c:v>2910</c:v>
                </c:pt>
                <c:pt idx="9">
                  <c:v>2797</c:v>
                </c:pt>
                <c:pt idx="10">
                  <c:v>2687</c:v>
                </c:pt>
                <c:pt idx="11">
                  <c:v>2580</c:v>
                </c:pt>
                <c:pt idx="12">
                  <c:v>2477</c:v>
                </c:pt>
                <c:pt idx="13">
                  <c:v>2377</c:v>
                </c:pt>
                <c:pt idx="14">
                  <c:v>2281</c:v>
                </c:pt>
                <c:pt idx="15">
                  <c:v>2187</c:v>
                </c:pt>
                <c:pt idx="16">
                  <c:v>2096</c:v>
                </c:pt>
                <c:pt idx="17">
                  <c:v>2009</c:v>
                </c:pt>
                <c:pt idx="18">
                  <c:v>1924</c:v>
                </c:pt>
                <c:pt idx="19">
                  <c:v>1843</c:v>
                </c:pt>
                <c:pt idx="20">
                  <c:v>1767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24-49E7-BD92-95FB1B19E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TrophyBonded PHP'!$Q$24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PHP'!$Q$25:$Q$38</c:f>
              <c:numCache>
                <c:formatCode>0.00</c:formatCode>
                <c:ptCount val="14"/>
                <c:pt idx="0">
                  <c:v>-3.81</c:v>
                </c:pt>
                <c:pt idx="1">
                  <c:v>-3.5156273174304218</c:v>
                </c:pt>
                <c:pt idx="2">
                  <c:v>0</c:v>
                </c:pt>
                <c:pt idx="3">
                  <c:v>1.0462500067867622</c:v>
                </c:pt>
                <c:pt idx="4">
                  <c:v>2.8125000741577169</c:v>
                </c:pt>
                <c:pt idx="5">
                  <c:v>2.3456250275317916</c:v>
                </c:pt>
                <c:pt idx="6">
                  <c:v>0</c:v>
                </c:pt>
                <c:pt idx="7">
                  <c:v>-4.5000000759375016</c:v>
                </c:pt>
                <c:pt idx="8">
                  <c:v>-14.062501483154483</c:v>
                </c:pt>
                <c:pt idx="9">
                  <c:v>-44.955033648881447</c:v>
                </c:pt>
                <c:pt idx="10">
                  <c:v>-65.67757708912346</c:v>
                </c:pt>
                <c:pt idx="11">
                  <c:v>-99.000202146120301</c:v>
                </c:pt>
                <c:pt idx="12">
                  <c:v>-131.6253753793315</c:v>
                </c:pt>
                <c:pt idx="13">
                  <c:v>-196.87601745015741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ser>
          <c:idx val="1"/>
          <c:order val="1"/>
          <c:tx>
            <c:strRef>
              <c:f>'Federal TrophyBonded PHP'!$R$24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PHP'!$R$25:$R$38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-2.1250001279427178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-1.9890000116573696</c:v>
                </c:pt>
                <c:pt idx="7">
                  <c:v>-10.625000999552523</c:v>
                </c:pt>
                <c:pt idx="8">
                  <c:v>-26.562509995528604</c:v>
                </c:pt>
                <c:pt idx="9">
                  <c:v>-47.812540481913686</c:v>
                </c:pt>
                <c:pt idx="10">
                  <c:v>-74.375111950072011</c:v>
                </c:pt>
                <c:pt idx="11">
                  <c:v>-106.25024988880747</c:v>
                </c:pt>
                <c:pt idx="12">
                  <c:v>-143.43798578444495</c:v>
                </c:pt>
                <c:pt idx="13">
                  <c:v>-191.25093270780221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63-4C6F-8DD4-A492692A9A26}"/>
            </c:ext>
          </c:extLst>
        </c:ser>
        <c:ser>
          <c:idx val="2"/>
          <c:order val="2"/>
          <c:tx>
            <c:strRef>
              <c:f>'Federal TrophyBonded PHP'!$S$24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PHP'!$S$25:$S$38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2.0850000193364568</c:v>
                </c:pt>
                <c:pt idx="6">
                  <c:v>0</c:v>
                </c:pt>
                <c:pt idx="7">
                  <c:v>-5.0000001041666682</c:v>
                </c:pt>
                <c:pt idx="8">
                  <c:v>-16.700002483980715</c:v>
                </c:pt>
                <c:pt idx="9">
                  <c:v>-42.000027440021519</c:v>
                </c:pt>
                <c:pt idx="10">
                  <c:v>-63.000068040088173</c:v>
                </c:pt>
                <c:pt idx="11">
                  <c:v>-88.000141973608208</c:v>
                </c:pt>
                <c:pt idx="12">
                  <c:v>-123.75031195406865</c:v>
                </c:pt>
                <c:pt idx="13">
                  <c:v>-175.00071458683482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63-4C6F-8DD4-A492692A9A26}"/>
            </c:ext>
          </c:extLst>
        </c:ser>
        <c:ser>
          <c:idx val="3"/>
          <c:order val="3"/>
          <c:tx>
            <c:strRef>
              <c:f>'Federal TrophyBonded PHP'!$T$24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PHP'!$T$25:$T$38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-8.3000003049530804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-72.000077760100766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63-4C6F-8DD4-A492692A9A26}"/>
            </c:ext>
          </c:extLst>
        </c:ser>
        <c:ser>
          <c:idx val="4"/>
          <c:order val="4"/>
          <c:tx>
            <c:strRef>
              <c:f>'Federal TrophyBonded PHP'!$U$24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PHP'!$U$25:$U$38</c:f>
              <c:numCache>
                <c:formatCode>0.00</c:formatCode>
                <c:ptCount val="14"/>
                <c:pt idx="0">
                  <c:v>-3.81</c:v>
                </c:pt>
                <c:pt idx="1">
                  <c:v>0.50000000666666677</c:v>
                </c:pt>
                <c:pt idx="2">
                  <c:v>6.2500032552103679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19.98001181634023</c:v>
                </c:pt>
                <c:pt idx="7">
                  <c:v>15.000002812500634</c:v>
                </c:pt>
                <c:pt idx="8">
                  <c:v>10.000000533333367</c:v>
                </c:pt>
                <c:pt idx="9">
                  <c:v>0</c:v>
                </c:pt>
                <c:pt idx="10">
                  <c:v>-17.500001458333479</c:v>
                </c:pt>
                <c:pt idx="11">
                  <c:v>-50.000026041682943</c:v>
                </c:pt>
                <c:pt idx="12">
                  <c:v>-68.400052677168688</c:v>
                </c:pt>
                <c:pt idx="13">
                  <c:v>-120.00023040053082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'Federal TrophyBonded PHP'!$V$24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'Federal TrophyBonded PHP'!$A$25:$A$38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'Federal TrophyBonded PHP'!$V$25:$V$38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3.3300019693900382</c:v>
                      </c:pt>
                      <c:pt idx="2">
                        <c:v>11.000017746701026</c:v>
                      </c:pt>
                      <c:pt idx="3">
                        <c:v>18.750039062597658</c:v>
                      </c:pt>
                      <c:pt idx="4">
                        <c:v>25.000052083463544</c:v>
                      </c:pt>
                      <c:pt idx="5">
                        <c:v>31.250065104329426</c:v>
                      </c:pt>
                      <c:pt idx="6">
                        <c:v>33.000053240103078</c:v>
                      </c:pt>
                      <c:pt idx="7">
                        <c:v>40.000053333418663</c:v>
                      </c:pt>
                      <c:pt idx="8">
                        <c:v>37.500028125025317</c:v>
                      </c:pt>
                      <c:pt idx="9">
                        <c:v>37.500019531262211</c:v>
                      </c:pt>
                      <c:pt idx="10">
                        <c:v>17.500001458333479</c:v>
                      </c:pt>
                      <c:pt idx="11">
                        <c:v>0</c:v>
                      </c:pt>
                      <c:pt idx="12">
                        <c:v>-22.500001875000187</c:v>
                      </c:pt>
                      <c:pt idx="13">
                        <c:v>-75.000056250050633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TrophyBonded PHP'!$AB$24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TrophyBonded PHP'!$A$25:$A$38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TrophyBonded PHP'!$AB$25:$AB$38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626418898244793E-2"/>
          <c:y val="0.10021428571428571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PHP'!$D$24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 PHP'!$D$26:$D$35</c:f>
              <c:numCache>
                <c:formatCode>0.000</c:formatCode>
                <c:ptCount val="10"/>
                <c:pt idx="0">
                  <c:v>-0.3125</c:v>
                </c:pt>
                <c:pt idx="1">
                  <c:v>0</c:v>
                </c:pt>
                <c:pt idx="2">
                  <c:v>3.1E-2</c:v>
                </c:pt>
                <c:pt idx="3">
                  <c:v>6.25E-2</c:v>
                </c:pt>
                <c:pt idx="4">
                  <c:v>4.1700000000000001E-2</c:v>
                </c:pt>
                <c:pt idx="5">
                  <c:v>0</c:v>
                </c:pt>
                <c:pt idx="6">
                  <c:v>-0.05</c:v>
                </c:pt>
                <c:pt idx="7">
                  <c:v>-0.125</c:v>
                </c:pt>
                <c:pt idx="8">
                  <c:v>-0.33300000000000002</c:v>
                </c:pt>
                <c:pt idx="9">
                  <c:v>-0.41699999999999998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'Federal TrophyBonded PHP'!$E$24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 PHP'!$E$26:$E$38</c:f>
              <c:numCache>
                <c:formatCode>0.000</c:formatCode>
                <c:ptCount val="13"/>
                <c:pt idx="0">
                  <c:v>-0.375</c:v>
                </c:pt>
                <c:pt idx="1">
                  <c:v>-0.1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-3.1199999999999999E-2</c:v>
                </c:pt>
                <c:pt idx="6">
                  <c:v>-0.125</c:v>
                </c:pt>
                <c:pt idx="7">
                  <c:v>-0.25</c:v>
                </c:pt>
                <c:pt idx="8">
                  <c:v>-0.375</c:v>
                </c:pt>
                <c:pt idx="9">
                  <c:v>-0.5</c:v>
                </c:pt>
                <c:pt idx="10">
                  <c:v>-0.625</c:v>
                </c:pt>
                <c:pt idx="11">
                  <c:v>-0.75</c:v>
                </c:pt>
                <c:pt idx="12">
                  <c:v>-0.9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'Federal TrophyBonded PHP'!$F$24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 PHP'!$F$26:$F$38</c:f>
              <c:numCache>
                <c:formatCode>0.000</c:formatCode>
                <c:ptCount val="13"/>
                <c:pt idx="0">
                  <c:v>-0.3125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4.1700000000000001E-2</c:v>
                </c:pt>
                <c:pt idx="5">
                  <c:v>0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-0.35</c:v>
                </c:pt>
                <c:pt idx="9">
                  <c:v>-0.45</c:v>
                </c:pt>
                <c:pt idx="10">
                  <c:v>-0.55000000000000004</c:v>
                </c:pt>
                <c:pt idx="11">
                  <c:v>-0.6875</c:v>
                </c:pt>
                <c:pt idx="12">
                  <c:v>-0.875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'Federal TrophyBonded PHP'!$G$24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 PHP'!$G$26:$G$38</c:f>
              <c:numCache>
                <c:formatCode>0.000</c:formatCode>
                <c:ptCount val="13"/>
                <c:pt idx="0">
                  <c:v>-0.1875</c:v>
                </c:pt>
                <c:pt idx="1">
                  <c:v>6.25E-2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-0.25</c:v>
                </c:pt>
                <c:pt idx="9">
                  <c:v>-0.375</c:v>
                </c:pt>
                <c:pt idx="10">
                  <c:v>-0.45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'Federal TrophyBonded PHP'!$H$24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 PHP'!$H$26:$H$38</c:f>
              <c:numCache>
                <c:formatCode>0.000</c:formatCode>
                <c:ptCount val="13"/>
                <c:pt idx="0">
                  <c:v>0.05</c:v>
                </c:pt>
                <c:pt idx="1">
                  <c:v>0.3125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0.33300000000000002</c:v>
                </c:pt>
                <c:pt idx="6">
                  <c:v>0.1875</c:v>
                </c:pt>
                <c:pt idx="7">
                  <c:v>0.1</c:v>
                </c:pt>
                <c:pt idx="8">
                  <c:v>0</c:v>
                </c:pt>
                <c:pt idx="9">
                  <c:v>-0.125</c:v>
                </c:pt>
                <c:pt idx="10">
                  <c:v>-0.3125</c:v>
                </c:pt>
                <c:pt idx="11">
                  <c:v>-0.38</c:v>
                </c:pt>
                <c:pt idx="12">
                  <c:v>-0.6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'Federal TrophyBonded PHP'!$I$24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 PHP'!$I$26:$I$38</c:f>
              <c:numCache>
                <c:formatCode>0.000</c:formatCode>
                <c:ptCount val="13"/>
                <c:pt idx="0">
                  <c:v>0.33300000000000002</c:v>
                </c:pt>
                <c:pt idx="1">
                  <c:v>0.55000000000000004</c:v>
                </c:pt>
                <c:pt idx="2">
                  <c:v>0.625</c:v>
                </c:pt>
                <c:pt idx="3">
                  <c:v>0.625</c:v>
                </c:pt>
                <c:pt idx="4">
                  <c:v>0.625</c:v>
                </c:pt>
                <c:pt idx="5">
                  <c:v>0.55000000000000004</c:v>
                </c:pt>
                <c:pt idx="6">
                  <c:v>0.5</c:v>
                </c:pt>
                <c:pt idx="7">
                  <c:v>0.375</c:v>
                </c:pt>
                <c:pt idx="8">
                  <c:v>0.3125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'Federal TrophyBonded PHP'!$J$24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TrophyBonded PHP'!$J$26:$J$38</c:f>
              <c:numCache>
                <c:formatCode>0.000</c:formatCode>
                <c:ptCount val="13"/>
                <c:pt idx="0">
                  <c:v>0.6</c:v>
                </c:pt>
                <c:pt idx="1">
                  <c:v>0.77500000000000002</c:v>
                </c:pt>
                <c:pt idx="2">
                  <c:v>0.8125</c:v>
                </c:pt>
                <c:pt idx="3">
                  <c:v>0.8125</c:v>
                </c:pt>
                <c:pt idx="4">
                  <c:v>0.8125</c:v>
                </c:pt>
                <c:pt idx="5">
                  <c:v>0.8</c:v>
                </c:pt>
                <c:pt idx="6">
                  <c:v>0.76</c:v>
                </c:pt>
                <c:pt idx="7">
                  <c:v>0.7</c:v>
                </c:pt>
                <c:pt idx="8">
                  <c:v>0.6</c:v>
                </c:pt>
                <c:pt idx="9">
                  <c:v>0.45</c:v>
                </c:pt>
                <c:pt idx="10">
                  <c:v>0.33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PHP'!$Q$24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973732190278223"/>
                  <c:y val="-0.3112858337963229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PHP'!$Q$25:$Q$38</c:f>
              <c:numCache>
                <c:formatCode>0.00</c:formatCode>
                <c:ptCount val="14"/>
                <c:pt idx="0">
                  <c:v>-3.81</c:v>
                </c:pt>
                <c:pt idx="1">
                  <c:v>-3.5156273174304218</c:v>
                </c:pt>
                <c:pt idx="2">
                  <c:v>0</c:v>
                </c:pt>
                <c:pt idx="3">
                  <c:v>1.0462500067867622</c:v>
                </c:pt>
                <c:pt idx="4">
                  <c:v>2.8125000741577169</c:v>
                </c:pt>
                <c:pt idx="5">
                  <c:v>2.3456250275317916</c:v>
                </c:pt>
                <c:pt idx="6">
                  <c:v>0</c:v>
                </c:pt>
                <c:pt idx="7">
                  <c:v>-4.5000000759375016</c:v>
                </c:pt>
                <c:pt idx="8">
                  <c:v>-14.062501483154483</c:v>
                </c:pt>
                <c:pt idx="9">
                  <c:v>-44.955033648881447</c:v>
                </c:pt>
                <c:pt idx="10">
                  <c:v>-65.67757708912346</c:v>
                </c:pt>
                <c:pt idx="11">
                  <c:v>-99.000202146120301</c:v>
                </c:pt>
                <c:pt idx="12">
                  <c:v>-131.6253753793315</c:v>
                </c:pt>
                <c:pt idx="13">
                  <c:v>-196.87601745015741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'Federal TrophyBonded PHP'!$A$120:$A$121</c:f>
              <c:strCache>
                <c:ptCount val="2"/>
                <c:pt idx="0">
                  <c:v>Hornady</c:v>
                </c:pt>
                <c:pt idx="1">
                  <c:v>50m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PHP'!$A$123:$A$143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PHP'!$D$123:$D$143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0.4</c:v>
                </c:pt>
                <c:pt idx="4">
                  <c:v>-0.1</c:v>
                </c:pt>
                <c:pt idx="5">
                  <c:v>-1.8</c:v>
                </c:pt>
                <c:pt idx="6">
                  <c:v>-4.5999999999999996</c:v>
                </c:pt>
                <c:pt idx="7">
                  <c:v>-8.4</c:v>
                </c:pt>
                <c:pt idx="8">
                  <c:v>-13.7</c:v>
                </c:pt>
                <c:pt idx="9">
                  <c:v>-20</c:v>
                </c:pt>
                <c:pt idx="10">
                  <c:v>-27.7</c:v>
                </c:pt>
                <c:pt idx="11">
                  <c:v>-37</c:v>
                </c:pt>
                <c:pt idx="12">
                  <c:v>-47.4</c:v>
                </c:pt>
                <c:pt idx="13">
                  <c:v>-59.3</c:v>
                </c:pt>
                <c:pt idx="14">
                  <c:v>-73.3</c:v>
                </c:pt>
                <c:pt idx="15">
                  <c:v>-88.4</c:v>
                </c:pt>
                <c:pt idx="16">
                  <c:v>-105.3</c:v>
                </c:pt>
                <c:pt idx="17">
                  <c:v>-124.6</c:v>
                </c:pt>
                <c:pt idx="18">
                  <c:v>-145.1</c:v>
                </c:pt>
                <c:pt idx="19">
                  <c:v>-167.6</c:v>
                </c:pt>
                <c:pt idx="20">
                  <c:v>-192.1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C2-476C-BC35-244D98AEC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PHP'!$P$23</c:f>
              <c:strCache>
                <c:ptCount val="1"/>
                <c:pt idx="0">
                  <c:v>Calculated Wind Drift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0.19035499218762028"/>
                  <c:y val="-6.5930810846954934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PHP'!$P$25:$P$38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7C-4C30-9526-CF0AB949A2CB}"/>
            </c:ext>
          </c:extLst>
        </c:ser>
        <c:ser>
          <c:idx val="1"/>
          <c:order val="1"/>
          <c:tx>
            <c:strRef>
              <c:f>'Federal TrophyBonded PHP'!$A$121:$C$121</c:f>
              <c:strCache>
                <c:ptCount val="1"/>
                <c:pt idx="0">
                  <c:v>50m Zero BC: G1 0.5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TrophyBonded PHP'!$A$123:$A$143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PHP'!$G$123:$G$143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</c:scatterChart>
      <c:valAx>
        <c:axId val="113571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100m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PHP'!$E$24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PHP'!$R$25:$R$38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-2.1250001279427178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-1.9890000116573696</c:v>
                </c:pt>
                <c:pt idx="7">
                  <c:v>-10.625000999552523</c:v>
                </c:pt>
                <c:pt idx="8">
                  <c:v>-26.562509995528604</c:v>
                </c:pt>
                <c:pt idx="9">
                  <c:v>-47.812540481913686</c:v>
                </c:pt>
                <c:pt idx="10">
                  <c:v>-74.375111950072011</c:v>
                </c:pt>
                <c:pt idx="11">
                  <c:v>-106.25024988880747</c:v>
                </c:pt>
                <c:pt idx="12">
                  <c:v>-143.43798578444495</c:v>
                </c:pt>
                <c:pt idx="13">
                  <c:v>-191.25093270780221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5A-493C-91DB-8A72DE70DB3B}"/>
            </c:ext>
          </c:extLst>
        </c:ser>
        <c:ser>
          <c:idx val="1"/>
          <c:order val="1"/>
          <c:tx>
            <c:strRef>
              <c:f>'Federal TrophyBonded PHP'!$A$148</c:f>
              <c:strCache>
                <c:ptCount val="1"/>
                <c:pt idx="0">
                  <c:v> Hornady 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PHP'!$A$150:$A$170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PHP'!$D$150:$D$170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0.4</c:v>
                </c:pt>
                <c:pt idx="4">
                  <c:v>-0.1</c:v>
                </c:pt>
                <c:pt idx="5">
                  <c:v>-1.8</c:v>
                </c:pt>
                <c:pt idx="6">
                  <c:v>-4.5999999999999996</c:v>
                </c:pt>
                <c:pt idx="7">
                  <c:v>-8.4</c:v>
                </c:pt>
                <c:pt idx="8">
                  <c:v>-13.7</c:v>
                </c:pt>
                <c:pt idx="9">
                  <c:v>-20</c:v>
                </c:pt>
                <c:pt idx="10">
                  <c:v>-27.7</c:v>
                </c:pt>
                <c:pt idx="11">
                  <c:v>-37</c:v>
                </c:pt>
                <c:pt idx="12">
                  <c:v>-47.4</c:v>
                </c:pt>
                <c:pt idx="13">
                  <c:v>-59.3</c:v>
                </c:pt>
                <c:pt idx="14">
                  <c:v>-73.3</c:v>
                </c:pt>
                <c:pt idx="15">
                  <c:v>-88.4</c:v>
                </c:pt>
                <c:pt idx="16">
                  <c:v>-105.3</c:v>
                </c:pt>
                <c:pt idx="17">
                  <c:v>-124.6</c:v>
                </c:pt>
                <c:pt idx="18">
                  <c:v>-145.1</c:v>
                </c:pt>
                <c:pt idx="19">
                  <c:v>-167.6</c:v>
                </c:pt>
                <c:pt idx="20">
                  <c:v>-192.1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05A-493C-91DB-8A72DE70D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150m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PHP'!$F$24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PHP'!$S$25:$S$38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2.0850000193364568</c:v>
                </c:pt>
                <c:pt idx="6">
                  <c:v>0</c:v>
                </c:pt>
                <c:pt idx="7">
                  <c:v>-5.0000001041666682</c:v>
                </c:pt>
                <c:pt idx="8">
                  <c:v>-16.700002483980715</c:v>
                </c:pt>
                <c:pt idx="9">
                  <c:v>-42.000027440021519</c:v>
                </c:pt>
                <c:pt idx="10">
                  <c:v>-63.000068040088173</c:v>
                </c:pt>
                <c:pt idx="11">
                  <c:v>-88.000141973608208</c:v>
                </c:pt>
                <c:pt idx="12">
                  <c:v>-123.75031195406865</c:v>
                </c:pt>
                <c:pt idx="13">
                  <c:v>-175.00071458683482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CD-42EF-BA4A-029DD6909346}"/>
            </c:ext>
          </c:extLst>
        </c:ser>
        <c:ser>
          <c:idx val="1"/>
          <c:order val="1"/>
          <c:tx>
            <c:strRef>
              <c:f>'Federal TrophyBonded PHP'!$A$177</c:f>
              <c:strCache>
                <c:ptCount val="1"/>
                <c:pt idx="0">
                  <c:v> Hornady 150m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PHP'!$A$179:$A$199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PHP'!$D$179:$D$199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1.5</c:v>
                </c:pt>
                <c:pt idx="3">
                  <c:v>2.7</c:v>
                </c:pt>
                <c:pt idx="4">
                  <c:v>2.9</c:v>
                </c:pt>
                <c:pt idx="5">
                  <c:v>2</c:v>
                </c:pt>
                <c:pt idx="6">
                  <c:v>0</c:v>
                </c:pt>
                <c:pt idx="7">
                  <c:v>-3.1</c:v>
                </c:pt>
                <c:pt idx="8">
                  <c:v>-7.6</c:v>
                </c:pt>
                <c:pt idx="9">
                  <c:v>-13.2</c:v>
                </c:pt>
                <c:pt idx="10">
                  <c:v>-20</c:v>
                </c:pt>
                <c:pt idx="11">
                  <c:v>-28.6</c:v>
                </c:pt>
                <c:pt idx="12">
                  <c:v>-38.299999999999997</c:v>
                </c:pt>
                <c:pt idx="13">
                  <c:v>-49.4</c:v>
                </c:pt>
                <c:pt idx="14">
                  <c:v>-62.6</c:v>
                </c:pt>
                <c:pt idx="15">
                  <c:v>-77</c:v>
                </c:pt>
                <c:pt idx="16">
                  <c:v>-93</c:v>
                </c:pt>
                <c:pt idx="17">
                  <c:v>-111.6</c:v>
                </c:pt>
                <c:pt idx="18">
                  <c:v>-131.30000000000001</c:v>
                </c:pt>
                <c:pt idx="19">
                  <c:v>-153.1</c:v>
                </c:pt>
                <c:pt idx="20">
                  <c:v>-176.8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CD-42EF-BA4A-029DD6909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200m zero</a:t>
            </a:r>
            <a:endParaRPr lang="en-CA"/>
          </a:p>
        </c:rich>
      </c:tx>
      <c:layout>
        <c:manualLayout>
          <c:xMode val="edge"/>
          <c:yMode val="edge"/>
          <c:x val="0.2421368375548107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PHP'!$G$24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PHP'!$T$25:$T$38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-8.3000003049530804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-72.000077760100766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A-40FA-B146-710AED42DF38}"/>
            </c:ext>
          </c:extLst>
        </c:ser>
        <c:ser>
          <c:idx val="1"/>
          <c:order val="1"/>
          <c:tx>
            <c:strRef>
              <c:f>'Federal TrophyBonded PHP'!$A$206</c:f>
              <c:strCache>
                <c:ptCount val="1"/>
                <c:pt idx="0">
                  <c:v> Hornady 200m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PHP'!$A$208:$A$228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PHP'!$D$208:$D$228</c:f>
              <c:numCache>
                <c:formatCode>0.00</c:formatCode>
                <c:ptCount val="21"/>
                <c:pt idx="0">
                  <c:v>-3.8</c:v>
                </c:pt>
                <c:pt idx="1">
                  <c:v>0.2</c:v>
                </c:pt>
                <c:pt idx="2">
                  <c:v>3.4</c:v>
                </c:pt>
                <c:pt idx="3">
                  <c:v>5.6</c:v>
                </c:pt>
                <c:pt idx="4">
                  <c:v>6.7</c:v>
                </c:pt>
                <c:pt idx="5">
                  <c:v>6.7</c:v>
                </c:pt>
                <c:pt idx="6">
                  <c:v>5.7</c:v>
                </c:pt>
                <c:pt idx="7">
                  <c:v>3.5</c:v>
                </c:pt>
                <c:pt idx="8">
                  <c:v>0</c:v>
                </c:pt>
                <c:pt idx="9">
                  <c:v>-4.7</c:v>
                </c:pt>
                <c:pt idx="10">
                  <c:v>-10.6</c:v>
                </c:pt>
                <c:pt idx="11">
                  <c:v>-18.2</c:v>
                </c:pt>
                <c:pt idx="12">
                  <c:v>-27</c:v>
                </c:pt>
                <c:pt idx="13">
                  <c:v>-37.200000000000003</c:v>
                </c:pt>
                <c:pt idx="14">
                  <c:v>-49.4</c:v>
                </c:pt>
                <c:pt idx="15">
                  <c:v>-62.9</c:v>
                </c:pt>
                <c:pt idx="16">
                  <c:v>-78</c:v>
                </c:pt>
                <c:pt idx="17">
                  <c:v>-95.6</c:v>
                </c:pt>
                <c:pt idx="18">
                  <c:v>-114.4</c:v>
                </c:pt>
                <c:pt idx="19">
                  <c:v>-135.19999999999999</c:v>
                </c:pt>
                <c:pt idx="20">
                  <c:v>-158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7A-40FA-B146-710AED42D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300m zero</a:t>
            </a:r>
            <a:endParaRPr lang="en-CA"/>
          </a:p>
        </c:rich>
      </c:tx>
      <c:layout>
        <c:manualLayout>
          <c:xMode val="edge"/>
          <c:yMode val="edge"/>
          <c:x val="0.245930103939481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PHP'!$H$24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PHP'!$U$25:$U$38</c:f>
              <c:numCache>
                <c:formatCode>0.00</c:formatCode>
                <c:ptCount val="14"/>
                <c:pt idx="0">
                  <c:v>-3.81</c:v>
                </c:pt>
                <c:pt idx="1">
                  <c:v>0.50000000666666677</c:v>
                </c:pt>
                <c:pt idx="2">
                  <c:v>6.2500032552103679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19.98001181634023</c:v>
                </c:pt>
                <c:pt idx="7">
                  <c:v>15.000002812500634</c:v>
                </c:pt>
                <c:pt idx="8">
                  <c:v>10.000000533333367</c:v>
                </c:pt>
                <c:pt idx="9">
                  <c:v>0</c:v>
                </c:pt>
                <c:pt idx="10">
                  <c:v>-17.500001458333479</c:v>
                </c:pt>
                <c:pt idx="11">
                  <c:v>-50.000026041682943</c:v>
                </c:pt>
                <c:pt idx="12">
                  <c:v>-68.400052677168688</c:v>
                </c:pt>
                <c:pt idx="13">
                  <c:v>-120.00023040053082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ED-4DC8-B3C0-0DC2C927D6E8}"/>
            </c:ext>
          </c:extLst>
        </c:ser>
        <c:ser>
          <c:idx val="1"/>
          <c:order val="1"/>
          <c:tx>
            <c:strRef>
              <c:f>'Federal TrophyBonded PHP'!$A$238</c:f>
              <c:strCache>
                <c:ptCount val="1"/>
                <c:pt idx="0">
                  <c:v> Hornady 300m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PHP'!$A$240:$A$260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PHP'!$D$240:$D$260</c:f>
              <c:numCache>
                <c:formatCode>0.00</c:formatCode>
                <c:ptCount val="21"/>
                <c:pt idx="0">
                  <c:v>-3.8</c:v>
                </c:pt>
                <c:pt idx="1">
                  <c:v>2.5</c:v>
                </c:pt>
                <c:pt idx="2">
                  <c:v>8</c:v>
                </c:pt>
                <c:pt idx="3">
                  <c:v>12.3</c:v>
                </c:pt>
                <c:pt idx="4">
                  <c:v>15.6</c:v>
                </c:pt>
                <c:pt idx="5">
                  <c:v>18</c:v>
                </c:pt>
                <c:pt idx="6">
                  <c:v>19.2</c:v>
                </c:pt>
                <c:pt idx="7">
                  <c:v>19.2</c:v>
                </c:pt>
                <c:pt idx="8">
                  <c:v>18</c:v>
                </c:pt>
                <c:pt idx="9">
                  <c:v>15.5</c:v>
                </c:pt>
                <c:pt idx="10">
                  <c:v>11.8</c:v>
                </c:pt>
                <c:pt idx="11">
                  <c:v>6.5</c:v>
                </c:pt>
                <c:pt idx="12">
                  <c:v>0</c:v>
                </c:pt>
                <c:pt idx="13">
                  <c:v>-8</c:v>
                </c:pt>
                <c:pt idx="14">
                  <c:v>-17.899999999999999</c:v>
                </c:pt>
                <c:pt idx="15">
                  <c:v>-29.2</c:v>
                </c:pt>
                <c:pt idx="16">
                  <c:v>-42.1</c:v>
                </c:pt>
                <c:pt idx="17">
                  <c:v>-57.3</c:v>
                </c:pt>
                <c:pt idx="18">
                  <c:v>-74</c:v>
                </c:pt>
                <c:pt idx="19">
                  <c:v>-92.5</c:v>
                </c:pt>
                <c:pt idx="20">
                  <c:v>-113.1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ED-4DC8-B3C0-0DC2C927D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400m zero</a:t>
            </a:r>
            <a:endParaRPr lang="en-CA"/>
          </a:p>
        </c:rich>
      </c:tx>
      <c:layout>
        <c:manualLayout>
          <c:xMode val="edge"/>
          <c:yMode val="edge"/>
          <c:x val="0.2421368375548107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PHP'!$I$24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PHP'!$V$25:$V$38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11.000017746701026</c:v>
                </c:pt>
                <c:pt idx="3">
                  <c:v>18.750039062597658</c:v>
                </c:pt>
                <c:pt idx="4">
                  <c:v>25.000052083463544</c:v>
                </c:pt>
                <c:pt idx="5">
                  <c:v>31.250065104329426</c:v>
                </c:pt>
                <c:pt idx="6">
                  <c:v>33.000053240103078</c:v>
                </c:pt>
                <c:pt idx="7">
                  <c:v>40.000053333418663</c:v>
                </c:pt>
                <c:pt idx="8">
                  <c:v>37.500028125025317</c:v>
                </c:pt>
                <c:pt idx="9">
                  <c:v>37.500019531262211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-75.000056250050633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F7-4AAB-8797-ABE3CDB16593}"/>
            </c:ext>
          </c:extLst>
        </c:ser>
        <c:ser>
          <c:idx val="1"/>
          <c:order val="1"/>
          <c:tx>
            <c:strRef>
              <c:f>'Federal TrophyBonded PHP'!$A$265</c:f>
              <c:strCache>
                <c:ptCount val="1"/>
                <c:pt idx="0">
                  <c:v> Hornady 400m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PHP'!$A$267:$A$287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PHP'!$D$267:$D$287</c:f>
              <c:numCache>
                <c:formatCode>0.00</c:formatCode>
                <c:ptCount val="21"/>
                <c:pt idx="0">
                  <c:v>-3.8</c:v>
                </c:pt>
                <c:pt idx="1">
                  <c:v>5.0999999999999996</c:v>
                </c:pt>
                <c:pt idx="2">
                  <c:v>13.3</c:v>
                </c:pt>
                <c:pt idx="3">
                  <c:v>20.2</c:v>
                </c:pt>
                <c:pt idx="4">
                  <c:v>26.2</c:v>
                </c:pt>
                <c:pt idx="5">
                  <c:v>31.2</c:v>
                </c:pt>
                <c:pt idx="6">
                  <c:v>35</c:v>
                </c:pt>
                <c:pt idx="7">
                  <c:v>37.6</c:v>
                </c:pt>
                <c:pt idx="8">
                  <c:v>39.1</c:v>
                </c:pt>
                <c:pt idx="9">
                  <c:v>39.299999999999997</c:v>
                </c:pt>
                <c:pt idx="10">
                  <c:v>38.200000000000003</c:v>
                </c:pt>
                <c:pt idx="11">
                  <c:v>35.6</c:v>
                </c:pt>
                <c:pt idx="12">
                  <c:v>31.7</c:v>
                </c:pt>
                <c:pt idx="13">
                  <c:v>26.3</c:v>
                </c:pt>
                <c:pt idx="14">
                  <c:v>19</c:v>
                </c:pt>
                <c:pt idx="15">
                  <c:v>10.4</c:v>
                </c:pt>
                <c:pt idx="16">
                  <c:v>0.1</c:v>
                </c:pt>
                <c:pt idx="17">
                  <c:v>-12.5</c:v>
                </c:pt>
                <c:pt idx="18">
                  <c:v>-26.5</c:v>
                </c:pt>
                <c:pt idx="19">
                  <c:v>-42.5</c:v>
                </c:pt>
                <c:pt idx="20">
                  <c:v>-60.5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F7-4AAB-8797-ABE3CDB16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500m zero</a:t>
            </a:r>
            <a:endParaRPr lang="en-CA"/>
          </a:p>
        </c:rich>
      </c:tx>
      <c:layout>
        <c:manualLayout>
          <c:xMode val="edge"/>
          <c:yMode val="edge"/>
          <c:x val="0.2421368375548107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989935000737747E-2"/>
          <c:y val="0.13540502921005843"/>
          <c:w val="0.72057013058755004"/>
          <c:h val="0.853620287888962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TrophyBonded PHP'!$J$24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TrophyBonded PHP'!$A$25:$A$38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TrophyBonded PHP'!$W$25:$W$38</c:f>
              <c:numCache>
                <c:formatCode>0.00</c:formatCode>
                <c:ptCount val="14"/>
                <c:pt idx="0">
                  <c:v>-3.81</c:v>
                </c:pt>
                <c:pt idx="1">
                  <c:v>6.0000115200265416</c:v>
                </c:pt>
                <c:pt idx="2">
                  <c:v>15.500049651857529</c:v>
                </c:pt>
                <c:pt idx="3">
                  <c:v>24.375085820675089</c:v>
                </c:pt>
                <c:pt idx="4">
                  <c:v>32.500114427566785</c:v>
                </c:pt>
                <c:pt idx="5">
                  <c:v>40.625143034458482</c:v>
                </c:pt>
                <c:pt idx="6">
                  <c:v>48.000163840671092</c:v>
                </c:pt>
                <c:pt idx="7">
                  <c:v>60.800187297119045</c:v>
                </c:pt>
                <c:pt idx="8">
                  <c:v>70.000182933907013</c:v>
                </c:pt>
                <c:pt idx="9">
                  <c:v>72.000138240318506</c:v>
                </c:pt>
                <c:pt idx="10">
                  <c:v>63.000068040088173</c:v>
                </c:pt>
                <c:pt idx="11">
                  <c:v>52.800030666261364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80-4466-9165-12F94BDF9A61}"/>
            </c:ext>
          </c:extLst>
        </c:ser>
        <c:ser>
          <c:idx val="1"/>
          <c:order val="1"/>
          <c:tx>
            <c:strRef>
              <c:f>'Federal TrophyBonded PHP'!$A$291</c:f>
              <c:strCache>
                <c:ptCount val="1"/>
                <c:pt idx="0">
                  <c:v> Hornady 500m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TrophyBonded PHP'!$A$293:$A$313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TrophyBonded PHP'!$D$293:$D$313</c:f>
              <c:numCache>
                <c:formatCode>0.00</c:formatCode>
                <c:ptCount val="21"/>
                <c:pt idx="0">
                  <c:v>-3.8</c:v>
                </c:pt>
                <c:pt idx="1">
                  <c:v>8.1</c:v>
                </c:pt>
                <c:pt idx="2">
                  <c:v>19.399999999999999</c:v>
                </c:pt>
                <c:pt idx="3">
                  <c:v>29.4</c:v>
                </c:pt>
                <c:pt idx="4">
                  <c:v>38.299999999999997</c:v>
                </c:pt>
                <c:pt idx="5">
                  <c:v>46.5</c:v>
                </c:pt>
                <c:pt idx="6">
                  <c:v>53.2</c:v>
                </c:pt>
                <c:pt idx="7">
                  <c:v>58.9</c:v>
                </c:pt>
                <c:pt idx="8">
                  <c:v>63.5</c:v>
                </c:pt>
                <c:pt idx="9">
                  <c:v>66.599999999999994</c:v>
                </c:pt>
                <c:pt idx="10">
                  <c:v>68.5</c:v>
                </c:pt>
                <c:pt idx="11">
                  <c:v>69.099999999999994</c:v>
                </c:pt>
                <c:pt idx="12">
                  <c:v>68.099999999999994</c:v>
                </c:pt>
                <c:pt idx="13">
                  <c:v>65.7</c:v>
                </c:pt>
                <c:pt idx="14">
                  <c:v>61.6</c:v>
                </c:pt>
                <c:pt idx="15">
                  <c:v>56</c:v>
                </c:pt>
                <c:pt idx="16">
                  <c:v>48.7</c:v>
                </c:pt>
                <c:pt idx="17">
                  <c:v>39.200000000000003</c:v>
                </c:pt>
                <c:pt idx="18">
                  <c:v>28.2</c:v>
                </c:pt>
                <c:pt idx="19">
                  <c:v>15.2</c:v>
                </c:pt>
                <c:pt idx="2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80-4466-9165-12F94BDF9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695325</xdr:colOff>
      <xdr:row>79</xdr:row>
      <xdr:rowOff>47625</xdr:rowOff>
    </xdr:from>
    <xdr:to>
      <xdr:col>8</xdr:col>
      <xdr:colOff>381000</xdr:colOff>
      <xdr:row>109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771524</xdr:colOff>
      <xdr:row>78</xdr:row>
      <xdr:rowOff>161924</xdr:rowOff>
    </xdr:from>
    <xdr:to>
      <xdr:col>35</xdr:col>
      <xdr:colOff>161925</xdr:colOff>
      <xdr:row>106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57150</xdr:colOff>
      <xdr:row>79</xdr:row>
      <xdr:rowOff>66675</xdr:rowOff>
    </xdr:from>
    <xdr:to>
      <xdr:col>20</xdr:col>
      <xdr:colOff>128588</xdr:colOff>
      <xdr:row>107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995362</xdr:colOff>
      <xdr:row>115</xdr:row>
      <xdr:rowOff>9523</xdr:rowOff>
    </xdr:from>
    <xdr:to>
      <xdr:col>19</xdr:col>
      <xdr:colOff>857251</xdr:colOff>
      <xdr:row>140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523875</xdr:colOff>
      <xdr:row>78</xdr:row>
      <xdr:rowOff>28574</xdr:rowOff>
    </xdr:from>
    <xdr:to>
      <xdr:col>54</xdr:col>
      <xdr:colOff>461963</xdr:colOff>
      <xdr:row>111</xdr:row>
      <xdr:rowOff>142875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1019175</xdr:colOff>
      <xdr:row>148</xdr:row>
      <xdr:rowOff>9525</xdr:rowOff>
    </xdr:from>
    <xdr:to>
      <xdr:col>19</xdr:col>
      <xdr:colOff>881064</xdr:colOff>
      <xdr:row>170</xdr:row>
      <xdr:rowOff>38101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3778D48-D3A7-4BFF-BEFD-FC8A1BC382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981075</xdr:colOff>
      <xdr:row>177</xdr:row>
      <xdr:rowOff>28576</xdr:rowOff>
    </xdr:from>
    <xdr:to>
      <xdr:col>19</xdr:col>
      <xdr:colOff>842964</xdr:colOff>
      <xdr:row>198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88C5705-0142-40CD-BE3C-CBA8A4FEC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1009650</xdr:colOff>
      <xdr:row>206</xdr:row>
      <xdr:rowOff>9526</xdr:rowOff>
    </xdr:from>
    <xdr:to>
      <xdr:col>19</xdr:col>
      <xdr:colOff>871539</xdr:colOff>
      <xdr:row>227</xdr:row>
      <xdr:rowOff>180975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5A11491-5A68-45A6-A9B9-5765B99151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1028700</xdr:colOff>
      <xdr:row>238</xdr:row>
      <xdr:rowOff>9525</xdr:rowOff>
    </xdr:from>
    <xdr:to>
      <xdr:col>19</xdr:col>
      <xdr:colOff>890589</xdr:colOff>
      <xdr:row>260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582BF0C-08A6-47DC-B8E7-3347CB20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914400</xdr:colOff>
      <xdr:row>265</xdr:row>
      <xdr:rowOff>38101</xdr:rowOff>
    </xdr:from>
    <xdr:to>
      <xdr:col>19</xdr:col>
      <xdr:colOff>776289</xdr:colOff>
      <xdr:row>286</xdr:row>
      <xdr:rowOff>133351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1AC6B09-C2EA-41D8-95BA-C0DC1277C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819150</xdr:colOff>
      <xdr:row>289</xdr:row>
      <xdr:rowOff>133350</xdr:rowOff>
    </xdr:from>
    <xdr:to>
      <xdr:col>19</xdr:col>
      <xdr:colOff>681039</xdr:colOff>
      <xdr:row>312</xdr:row>
      <xdr:rowOff>47625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1762140-D4C6-4B9B-8B1A-E6FB32F49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eet3"/>
  <dimension ref="A1:AE313"/>
  <sheetViews>
    <sheetView tabSelected="1" topLeftCell="A101" workbookViewId="0">
      <selection activeCell="AC38" sqref="AC38"/>
    </sheetView>
  </sheetViews>
  <sheetFormatPr defaultRowHeight="15" x14ac:dyDescent="0.25"/>
  <cols>
    <col min="1" max="1" width="41.5703125" customWidth="1"/>
    <col min="2" max="2" width="22.5703125" customWidth="1"/>
    <col min="3" max="3" width="20.5703125" customWidth="1"/>
    <col min="4" max="4" width="16.42578125" customWidth="1"/>
    <col min="5" max="5" width="17.140625" customWidth="1"/>
    <col min="6" max="6" width="16.7109375" customWidth="1"/>
    <col min="7" max="7" width="15.28515625" customWidth="1"/>
    <col min="8" max="9" width="13.85546875" customWidth="1"/>
    <col min="10" max="10" width="15.7109375" customWidth="1"/>
    <col min="11" max="11" width="15.28515625" customWidth="1"/>
    <col min="12" max="12" width="15.7109375" customWidth="1"/>
    <col min="13" max="13" width="13.28515625" customWidth="1"/>
    <col min="14" max="14" width="14.28515625" customWidth="1"/>
    <col min="15" max="15" width="15.85546875" customWidth="1"/>
    <col min="16" max="16" width="21.140625" customWidth="1"/>
    <col min="17" max="17" width="14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4.28515625" customWidth="1"/>
    <col min="31" max="31" width="15.140625" customWidth="1"/>
    <col min="32" max="32" width="17" customWidth="1"/>
  </cols>
  <sheetData>
    <row r="1" spans="1:15" x14ac:dyDescent="0.25">
      <c r="A1" s="29" t="s">
        <v>57</v>
      </c>
      <c r="B1" s="29" t="s">
        <v>16</v>
      </c>
      <c r="C1" s="29" t="s">
        <v>60</v>
      </c>
      <c r="D1" s="29" t="s">
        <v>58</v>
      </c>
      <c r="E1" s="29" t="s">
        <v>59</v>
      </c>
      <c r="F1" s="43" t="s">
        <v>62</v>
      </c>
      <c r="G1" s="43"/>
      <c r="H1" s="43"/>
    </row>
    <row r="2" spans="1:15" x14ac:dyDescent="0.25">
      <c r="A2" t="s">
        <v>61</v>
      </c>
      <c r="B2" s="18" t="s">
        <v>79</v>
      </c>
      <c r="C2" s="18" t="s">
        <v>80</v>
      </c>
      <c r="D2" s="18" t="s">
        <v>81</v>
      </c>
      <c r="E2" s="18" t="s">
        <v>82</v>
      </c>
    </row>
    <row r="3" spans="1:15" x14ac:dyDescent="0.25"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30" t="s">
        <v>48</v>
      </c>
      <c r="B4" s="2">
        <v>180</v>
      </c>
      <c r="C4" s="2">
        <f>CONVERT($B$4,"grain","g")</f>
        <v>11.6638038</v>
      </c>
      <c r="F4" s="41" t="s">
        <v>48</v>
      </c>
      <c r="G4" s="2">
        <v>180</v>
      </c>
      <c r="H4" s="2">
        <f>CONVERT($G$4,"grain","g")</f>
        <v>11.6638038</v>
      </c>
    </row>
    <row r="5" spans="1:15" x14ac:dyDescent="0.25">
      <c r="A5" s="30" t="s">
        <v>49</v>
      </c>
      <c r="B5" s="2">
        <v>0.308</v>
      </c>
      <c r="C5" s="2">
        <f>CONVERT($B$5,"in","mm")</f>
        <v>7.8232000000000008</v>
      </c>
      <c r="F5" s="41" t="s">
        <v>49</v>
      </c>
      <c r="G5" s="2">
        <v>0.308</v>
      </c>
      <c r="H5" s="2">
        <f>CONVERT($G$5,"in","mm")</f>
        <v>7.8232000000000008</v>
      </c>
    </row>
    <row r="6" spans="1:15" x14ac:dyDescent="0.25">
      <c r="A6" s="30" t="s">
        <v>9</v>
      </c>
      <c r="B6" s="2" t="s">
        <v>52</v>
      </c>
      <c r="C6" s="2"/>
      <c r="F6" s="41" t="s">
        <v>9</v>
      </c>
      <c r="G6" s="2" t="s">
        <v>52</v>
      </c>
      <c r="H6" s="2"/>
    </row>
    <row r="7" spans="1:15" x14ac:dyDescent="0.25">
      <c r="A7" s="30" t="s">
        <v>17</v>
      </c>
      <c r="B7" s="2">
        <v>0.5</v>
      </c>
      <c r="C7" s="2"/>
      <c r="F7" s="41" t="s">
        <v>17</v>
      </c>
      <c r="G7" s="2">
        <v>0.5</v>
      </c>
      <c r="H7" s="2"/>
    </row>
    <row r="8" spans="1:15" ht="30" x14ac:dyDescent="0.25">
      <c r="A8" s="30" t="s">
        <v>63</v>
      </c>
      <c r="B8" s="2">
        <v>3949.8</v>
      </c>
      <c r="C8" s="2">
        <f>CONVERT($B$8,"J","flb")</f>
        <v>2913.2229772153428</v>
      </c>
      <c r="F8" s="41" t="s">
        <v>50</v>
      </c>
      <c r="G8" s="2" cm="1">
        <f t="array" ref="G8">MuzzleVelocityToMuzzleEnergyFtLb(G9,G4)</f>
        <v>2913.1730582236114</v>
      </c>
      <c r="H8" s="2" cm="1">
        <f t="array" ref="H8">MuzzleVelocityToMuzzleEnergyJoules(H9,H4)</f>
        <v>3949.7323189350477</v>
      </c>
    </row>
    <row r="9" spans="1:15" ht="30" x14ac:dyDescent="0.25">
      <c r="A9" s="30" t="s">
        <v>64</v>
      </c>
      <c r="B9" s="2" cm="1">
        <f t="array" ref="B9">MuzzleEnergyToMuzzleVelocityMPS(B8,C4)</f>
        <v>822.96705092979846</v>
      </c>
      <c r="C9" s="2" cm="1">
        <f t="array" ref="C9">MuzzleEnergyToMuzzleVelocityFPS(C8,B4)</f>
        <v>2700.0231329717794</v>
      </c>
      <c r="F9" s="41" t="s">
        <v>51</v>
      </c>
      <c r="G9" s="2">
        <v>2700</v>
      </c>
      <c r="H9" s="2">
        <f>CONVERT($G$9,"ft","m")</f>
        <v>822.96</v>
      </c>
    </row>
    <row r="10" spans="1:15" x14ac:dyDescent="0.25">
      <c r="A10" s="30" t="s">
        <v>0</v>
      </c>
      <c r="B10" s="2">
        <v>0</v>
      </c>
      <c r="C10" s="2"/>
    </row>
    <row r="11" spans="1:15" x14ac:dyDescent="0.25">
      <c r="A11" s="30" t="s">
        <v>65</v>
      </c>
      <c r="B11" s="2">
        <v>10</v>
      </c>
      <c r="C11" s="2">
        <f>CONVERT($B$11,"m/sec","km/hr")</f>
        <v>36</v>
      </c>
    </row>
    <row r="12" spans="1:15" x14ac:dyDescent="0.25">
      <c r="A12" s="31" t="s">
        <v>1</v>
      </c>
      <c r="B12" s="2">
        <v>0</v>
      </c>
      <c r="C12" s="2"/>
    </row>
    <row r="13" spans="1:15" x14ac:dyDescent="0.25">
      <c r="A13" s="32" t="s">
        <v>37</v>
      </c>
      <c r="B13" s="2">
        <v>1</v>
      </c>
      <c r="C13" s="20"/>
    </row>
    <row r="14" spans="1:15" x14ac:dyDescent="0.25">
      <c r="A14" s="32" t="s">
        <v>38</v>
      </c>
      <c r="B14" s="2" cm="1">
        <f t="array" ref="B14">MOAToMRAD($B$13)</f>
        <v>0.29088820866572157</v>
      </c>
      <c r="C14" s="20">
        <f>$B$14/2</f>
        <v>0.14544410433286079</v>
      </c>
    </row>
    <row r="15" spans="1:15" x14ac:dyDescent="0.25">
      <c r="A15" s="32" t="s">
        <v>21</v>
      </c>
      <c r="B15" s="2">
        <f>CONVERT(1.5,"in","cm")</f>
        <v>3.81</v>
      </c>
      <c r="D15" s="2">
        <f>CONVERT($B$15,"cm","in")</f>
        <v>1.5</v>
      </c>
    </row>
    <row r="16" spans="1:15" x14ac:dyDescent="0.25">
      <c r="A16" s="32" t="s">
        <v>3</v>
      </c>
    </row>
    <row r="17" spans="1:29" x14ac:dyDescent="0.25">
      <c r="A17" s="31" t="s">
        <v>39</v>
      </c>
      <c r="B17" s="29" t="s">
        <v>40</v>
      </c>
      <c r="C17" s="29" t="s">
        <v>41</v>
      </c>
      <c r="D17" s="29" t="s">
        <v>42</v>
      </c>
      <c r="E17" s="29" t="s">
        <v>43</v>
      </c>
    </row>
    <row r="18" spans="1:29" x14ac:dyDescent="0.25">
      <c r="A18" s="32" t="s">
        <v>44</v>
      </c>
      <c r="B18" s="2">
        <v>1.667</v>
      </c>
      <c r="C18">
        <f>$B18/2</f>
        <v>0.83350000000000002</v>
      </c>
      <c r="D18" s="2">
        <f>$B$18 * $B$20</f>
        <v>0.96982128769151577</v>
      </c>
      <c r="E18" s="19">
        <f>$D18/2</f>
        <v>0.48491064384575788</v>
      </c>
    </row>
    <row r="19" spans="1:29" x14ac:dyDescent="0.25">
      <c r="A19" s="32" t="s">
        <v>45</v>
      </c>
      <c r="B19" s="2">
        <v>0.5</v>
      </c>
      <c r="C19">
        <f>$B19/2</f>
        <v>0.25</v>
      </c>
      <c r="D19" s="2">
        <f>$B$19 * $B$20</f>
        <v>0.29088820866572157</v>
      </c>
      <c r="E19" s="19">
        <f>$D19/2</f>
        <v>0.14544410433286079</v>
      </c>
      <c r="P19" s="43" t="s">
        <v>66</v>
      </c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</row>
    <row r="20" spans="1:29" x14ac:dyDescent="0.25">
      <c r="A20" s="21" t="s">
        <v>46</v>
      </c>
      <c r="B20" s="22">
        <f>$B$14/$B$19</f>
        <v>0.58177641733144314</v>
      </c>
      <c r="C20" s="2"/>
      <c r="P20" s="2">
        <v>50</v>
      </c>
      <c r="Q20" s="2">
        <v>4.5</v>
      </c>
      <c r="R20" s="2">
        <v>4.25</v>
      </c>
      <c r="S20" s="2">
        <v>4</v>
      </c>
      <c r="T20" s="2">
        <v>4</v>
      </c>
      <c r="U20" s="2">
        <v>4</v>
      </c>
      <c r="V20" s="2">
        <v>4</v>
      </c>
      <c r="W20" s="2">
        <v>4</v>
      </c>
      <c r="X20" s="2">
        <v>4</v>
      </c>
      <c r="Y20" s="2">
        <v>4</v>
      </c>
      <c r="Z20" s="2">
        <v>4</v>
      </c>
      <c r="AA20" s="2">
        <v>4</v>
      </c>
      <c r="AB20" s="2">
        <v>4</v>
      </c>
    </row>
    <row r="21" spans="1:29" x14ac:dyDescent="0.25">
      <c r="A21" s="21" t="s">
        <v>47</v>
      </c>
      <c r="B21" s="22"/>
      <c r="C21" s="2" cm="1">
        <f t="array" ref="C21">ProbableAngularPOIError(C19,C18,B19,0.2)</f>
        <v>0.28522136534687753</v>
      </c>
      <c r="D21" s="2"/>
      <c r="E21" s="2" cm="1">
        <f t="array" ref="E21">ProbableAngularPOIError(D19,D18,B14,0.68)</f>
        <v>0.37365868432484539</v>
      </c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</row>
    <row r="22" spans="1:29" x14ac:dyDescent="0.25">
      <c r="A22" s="21"/>
      <c r="B22" s="22"/>
      <c r="C22" s="2"/>
      <c r="D22" s="2"/>
      <c r="E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</row>
    <row r="23" spans="1:29" x14ac:dyDescent="0.25">
      <c r="C23" s="29" t="s">
        <v>53</v>
      </c>
      <c r="D23" s="44" t="s">
        <v>19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34" t="s">
        <v>55</v>
      </c>
      <c r="Q23" s="44" t="s">
        <v>20</v>
      </c>
      <c r="R23" s="44"/>
      <c r="S23" s="44"/>
      <c r="T23" s="44"/>
      <c r="U23" s="44"/>
      <c r="V23" s="34"/>
      <c r="W23" s="34"/>
      <c r="X23" s="34"/>
      <c r="Y23" s="34"/>
      <c r="Z23" s="34"/>
      <c r="AA23" s="34"/>
      <c r="AB23" s="34"/>
      <c r="AC23" s="35" t="s">
        <v>22</v>
      </c>
    </row>
    <row r="24" spans="1:29" x14ac:dyDescent="0.25">
      <c r="A24" t="s">
        <v>2</v>
      </c>
      <c r="B24" t="s">
        <v>18</v>
      </c>
      <c r="C24" s="33" t="s">
        <v>54</v>
      </c>
      <c r="D24" s="33" t="s">
        <v>4</v>
      </c>
      <c r="E24" s="33" t="s">
        <v>5</v>
      </c>
      <c r="F24" s="33" t="s">
        <v>6</v>
      </c>
      <c r="G24" s="33" t="s">
        <v>7</v>
      </c>
      <c r="H24" s="33" t="s">
        <v>8</v>
      </c>
      <c r="I24" s="33" t="s">
        <v>24</v>
      </c>
      <c r="J24" s="33" t="s">
        <v>25</v>
      </c>
      <c r="K24" s="33" t="s">
        <v>69</v>
      </c>
      <c r="L24" s="33" t="s">
        <v>70</v>
      </c>
      <c r="M24" s="33" t="s">
        <v>71</v>
      </c>
      <c r="N24" s="33" t="s">
        <v>72</v>
      </c>
      <c r="O24" s="33" t="s">
        <v>73</v>
      </c>
      <c r="P24" s="37" t="s">
        <v>23</v>
      </c>
      <c r="Q24" s="36" t="s">
        <v>4</v>
      </c>
      <c r="R24" s="36" t="s">
        <v>5</v>
      </c>
      <c r="S24" s="36" t="s">
        <v>6</v>
      </c>
      <c r="T24" s="36" t="s">
        <v>7</v>
      </c>
      <c r="U24" s="36" t="s">
        <v>8</v>
      </c>
      <c r="V24" s="36" t="s">
        <v>24</v>
      </c>
      <c r="W24" s="37" t="s">
        <v>74</v>
      </c>
      <c r="X24" s="37" t="s">
        <v>69</v>
      </c>
      <c r="Y24" s="37" t="s">
        <v>70</v>
      </c>
      <c r="Z24" s="37" t="s">
        <v>71</v>
      </c>
      <c r="AA24" s="37" t="s">
        <v>72</v>
      </c>
      <c r="AB24" s="37" t="s">
        <v>73</v>
      </c>
      <c r="AC24" s="35" t="s">
        <v>23</v>
      </c>
    </row>
    <row r="25" spans="1:29" x14ac:dyDescent="0.25">
      <c r="A25" s="1">
        <v>0</v>
      </c>
      <c r="B25" s="1">
        <v>3949.8</v>
      </c>
      <c r="C25" s="28">
        <v>0</v>
      </c>
      <c r="D25" s="3"/>
      <c r="E25" s="4"/>
      <c r="F25" s="4"/>
      <c r="G25" s="4"/>
      <c r="H25" s="5"/>
      <c r="I25" s="5"/>
      <c r="J25" s="4"/>
      <c r="K25" s="4"/>
      <c r="L25" s="4"/>
      <c r="M25" s="4"/>
      <c r="N25" s="4"/>
      <c r="O25" s="4"/>
      <c r="P25" s="27" cm="1">
        <f t="array" ref="P25">TrajectoryInCM(C25,$A25,P$20)</f>
        <v>0</v>
      </c>
      <c r="Q25" s="8">
        <f t="shared" ref="Q25:AB25" si="0">$B$15*(-1)</f>
        <v>-3.81</v>
      </c>
      <c r="R25" s="8">
        <f t="shared" si="0"/>
        <v>-3.81</v>
      </c>
      <c r="S25" s="8">
        <f t="shared" si="0"/>
        <v>-3.81</v>
      </c>
      <c r="T25" s="8">
        <f t="shared" si="0"/>
        <v>-3.81</v>
      </c>
      <c r="U25" s="8">
        <f t="shared" si="0"/>
        <v>-3.81</v>
      </c>
      <c r="V25" s="8">
        <f t="shared" si="0"/>
        <v>-3.81</v>
      </c>
      <c r="W25" s="23">
        <f t="shared" si="0"/>
        <v>-3.81</v>
      </c>
      <c r="X25" s="23">
        <f t="shared" si="0"/>
        <v>-3.81</v>
      </c>
      <c r="Y25" s="23">
        <f t="shared" si="0"/>
        <v>-3.81</v>
      </c>
      <c r="Z25" s="23">
        <f t="shared" si="0"/>
        <v>-3.81</v>
      </c>
      <c r="AA25" s="23">
        <f t="shared" si="0"/>
        <v>-3.81</v>
      </c>
      <c r="AB25" s="23">
        <f t="shared" si="0"/>
        <v>-3.81</v>
      </c>
      <c r="AC25" s="24" cm="1">
        <f t="array" ref="AC25">TrajectoryErrorCM($E$21,1,$A25)</f>
        <v>0</v>
      </c>
    </row>
    <row r="26" spans="1:29" x14ac:dyDescent="0.25">
      <c r="A26" s="1">
        <v>25</v>
      </c>
      <c r="B26" s="1">
        <v>3820.2</v>
      </c>
      <c r="C26" s="11">
        <v>0</v>
      </c>
      <c r="D26" s="6">
        <v>-0.3125</v>
      </c>
      <c r="E26" s="6">
        <v>-0.375</v>
      </c>
      <c r="F26" s="6">
        <v>-0.3125</v>
      </c>
      <c r="G26" s="6">
        <v>-0.1875</v>
      </c>
      <c r="H26" s="6">
        <v>0.05</v>
      </c>
      <c r="I26" s="6">
        <v>0.33300000000000002</v>
      </c>
      <c r="J26" s="11">
        <v>0.6</v>
      </c>
      <c r="K26" s="11"/>
      <c r="L26" s="11"/>
      <c r="M26" s="11"/>
      <c r="N26" s="11"/>
      <c r="O26" s="11"/>
      <c r="P26" s="25" cm="1">
        <f t="array" ref="P26">TrajectoryInCM(C26,$A26,P$20)</f>
        <v>0</v>
      </c>
      <c r="Q26" s="9" cm="1">
        <f t="array" ref="Q26">TrajectoryInCM(D26,$A26,Q$20)</f>
        <v>-3.5156273174304218</v>
      </c>
      <c r="R26" s="9" cm="1">
        <f t="array" ref="R26">TrajectoryInCM(E26,$A26,R$20)</f>
        <v>-3.9843783734928069</v>
      </c>
      <c r="S26" s="9" cm="1">
        <f t="array" ref="S26">TrajectoryInCM(F26,$A26,S$20)</f>
        <v>-3.125001627605184</v>
      </c>
      <c r="T26" s="9" cm="1">
        <f t="array" ref="T26">TrajectoryInCM(G26,$A26,T$20)</f>
        <v>-1.8750003515625793</v>
      </c>
      <c r="U26" s="9" cm="1">
        <f t="array" ref="U26">TrajectoryInCM(H26,$A26,U$20)</f>
        <v>0.50000000666666677</v>
      </c>
      <c r="V26" s="9" cm="1">
        <f t="array" ref="V26">TrajectoryInCM(I26,$A26,V$20)</f>
        <v>3.3300019693900382</v>
      </c>
      <c r="W26" s="25" cm="1">
        <f t="array" ref="W26">TrajectoryInCM(J26,$A26,W$20)</f>
        <v>6.0000115200265416</v>
      </c>
      <c r="X26" s="25" cm="1">
        <f t="array" ref="X26">TrajectoryInCM(K26,$A26,X$20)</f>
        <v>0</v>
      </c>
      <c r="Y26" s="25" cm="1">
        <f t="array" ref="Y26">TrajectoryInCM(L26,$A26,Y$20)</f>
        <v>0</v>
      </c>
      <c r="Z26" s="25" cm="1">
        <f t="array" ref="Z26">TrajectoryInCM(M26,$A26,Z$20)</f>
        <v>0</v>
      </c>
      <c r="AA26" s="25" cm="1">
        <f t="array" ref="AA26">TrajectoryInCM(N26,$A26,AA$20)</f>
        <v>0</v>
      </c>
      <c r="AB26" s="25" cm="1">
        <f t="array" ref="AB26">TrajectoryInCM(O26,$A26,AB$20)</f>
        <v>0</v>
      </c>
      <c r="AC26" s="24" cm="1">
        <f t="array" ref="AC26">TrajectoryErrorCM($E$21,1,$A26)</f>
        <v>0.93414671081211353</v>
      </c>
    </row>
    <row r="27" spans="1:29" x14ac:dyDescent="0.25">
      <c r="A27" s="1">
        <v>50</v>
      </c>
      <c r="B27" s="1">
        <v>3685.1</v>
      </c>
      <c r="C27" s="11">
        <v>0</v>
      </c>
      <c r="D27" s="7">
        <v>0</v>
      </c>
      <c r="E27" s="6">
        <v>-0.1</v>
      </c>
      <c r="F27" s="6">
        <v>0</v>
      </c>
      <c r="G27" s="6">
        <v>6.25E-2</v>
      </c>
      <c r="H27" s="6">
        <v>0.3125</v>
      </c>
      <c r="I27" s="6">
        <v>0.55000000000000004</v>
      </c>
      <c r="J27" s="11">
        <v>0.77500000000000002</v>
      </c>
      <c r="K27" s="11"/>
      <c r="L27" s="11"/>
      <c r="M27" s="11"/>
      <c r="N27" s="11"/>
      <c r="O27" s="11"/>
      <c r="P27" s="25" cm="1">
        <f t="array" ref="P27">TrajectoryInCM(C27,$A27,P$20)</f>
        <v>0</v>
      </c>
      <c r="Q27" s="9" cm="1">
        <f t="array" ref="Q27">TrajectoryInCM(D27,$A27,Q$20)</f>
        <v>0</v>
      </c>
      <c r="R27" s="9" cm="1">
        <f t="array" ref="R27">TrajectoryInCM(E27,$A27,R$20)</f>
        <v>-2.1250001279427178</v>
      </c>
      <c r="S27" s="9" cm="1">
        <f t="array" ref="S27">TrajectoryInCM(F27,$A27,S$20)</f>
        <v>0</v>
      </c>
      <c r="T27" s="9" cm="1">
        <f t="array" ref="T27">TrajectoryInCM(G27,$A27,T$20)</f>
        <v>1.250000026041667</v>
      </c>
      <c r="U27" s="9" cm="1">
        <f t="array" ref="U27">TrajectoryInCM(H27,$A27,U$20)</f>
        <v>6.2500032552103679</v>
      </c>
      <c r="V27" s="9" cm="1">
        <f t="array" ref="V27">TrajectoryInCM(I27,$A27,V$20)</f>
        <v>11.000017746701026</v>
      </c>
      <c r="W27" s="25" cm="1">
        <f t="array" ref="W27">TrajectoryInCM(J27,$A27,W$20)</f>
        <v>15.500049651857529</v>
      </c>
      <c r="X27" s="25" cm="1">
        <f t="array" ref="X27">TrajectoryInCM(K27,$A27,X$20)</f>
        <v>0</v>
      </c>
      <c r="Y27" s="25" cm="1">
        <f t="array" ref="Y27">TrajectoryInCM(L27,$A27,Y$20)</f>
        <v>0</v>
      </c>
      <c r="Z27" s="25" cm="1">
        <f t="array" ref="Z27">TrajectoryInCM(M27,$A27,Z$20)</f>
        <v>0</v>
      </c>
      <c r="AA27" s="25" cm="1">
        <f t="array" ref="AA27">TrajectoryInCM(N27,$A27,AA$20)</f>
        <v>0</v>
      </c>
      <c r="AB27" s="25" cm="1">
        <f t="array" ref="AB27">TrajectoryInCM(O27,$A27,AB$20)</f>
        <v>0</v>
      </c>
      <c r="AC27" s="24" cm="1">
        <f t="array" ref="AC27">TrajectoryErrorCM($E$21,1,$A27)</f>
        <v>1.8682934216242271</v>
      </c>
    </row>
    <row r="28" spans="1:29" x14ac:dyDescent="0.25">
      <c r="A28" s="1">
        <v>75</v>
      </c>
      <c r="B28" s="1">
        <v>3556.2</v>
      </c>
      <c r="C28" s="11">
        <v>0</v>
      </c>
      <c r="D28" s="6">
        <v>3.1E-2</v>
      </c>
      <c r="E28" s="6">
        <v>0</v>
      </c>
      <c r="F28" s="6">
        <v>8.3000000000000004E-2</v>
      </c>
      <c r="G28" s="6">
        <v>0.125</v>
      </c>
      <c r="H28" s="6">
        <v>0.375</v>
      </c>
      <c r="I28" s="6">
        <v>0.625</v>
      </c>
      <c r="J28" s="11">
        <v>0.8125</v>
      </c>
      <c r="K28" s="11"/>
      <c r="L28" s="11"/>
      <c r="M28" s="11"/>
      <c r="N28" s="11"/>
      <c r="O28" s="11"/>
      <c r="P28" s="25" cm="1">
        <f t="array" ref="P28">TrajectoryInCM(C28,$A28,P$20)</f>
        <v>0</v>
      </c>
      <c r="Q28" s="9" cm="1">
        <f t="array" ref="Q28">TrajectoryInCM(D28,$A28,Q$20)</f>
        <v>1.0462500067867622</v>
      </c>
      <c r="R28" s="9" cm="1">
        <f t="array" ref="R28">TrajectoryInCM(E28,$A28,R$20)</f>
        <v>0</v>
      </c>
      <c r="S28" s="9" cm="1">
        <f t="array" ref="S28">TrajectoryInCM(F28,$A28,S$20)</f>
        <v>2.4900000914859239</v>
      </c>
      <c r="T28" s="9" cm="1">
        <f t="array" ref="T28">TrajectoryInCM(G28,$A28,T$20)</f>
        <v>3.7500003125000307</v>
      </c>
      <c r="U28" s="9" cm="1">
        <f t="array" ref="U28">TrajectoryInCM(H28,$A28,U$20)</f>
        <v>11.250008437507594</v>
      </c>
      <c r="V28" s="9" cm="1">
        <f t="array" ref="V28">TrajectoryInCM(I28,$A28,V$20)</f>
        <v>18.750039062597658</v>
      </c>
      <c r="W28" s="25" cm="1">
        <f t="array" ref="W28">TrajectoryInCM(J28,$A28,W$20)</f>
        <v>24.375085820675089</v>
      </c>
      <c r="X28" s="25" cm="1">
        <f t="array" ref="X28">TrajectoryInCM(K28,$A28,X$20)</f>
        <v>0</v>
      </c>
      <c r="Y28" s="25" cm="1">
        <f t="array" ref="Y28">TrajectoryInCM(L28,$A28,Y$20)</f>
        <v>0</v>
      </c>
      <c r="Z28" s="25" cm="1">
        <f t="array" ref="Z28">TrajectoryInCM(M28,$A28,Z$20)</f>
        <v>0</v>
      </c>
      <c r="AA28" s="25" cm="1">
        <f t="array" ref="AA28">TrajectoryInCM(N28,$A28,AA$20)</f>
        <v>0</v>
      </c>
      <c r="AB28" s="25" cm="1">
        <f t="array" ref="AB28">TrajectoryInCM(O28,$A28,AB$20)</f>
        <v>0</v>
      </c>
      <c r="AC28" s="24" cm="1">
        <f t="array" ref="AC28">TrajectoryErrorCM($E$21,1,$A28)</f>
        <v>2.8024401324363404</v>
      </c>
    </row>
    <row r="29" spans="1:29" x14ac:dyDescent="0.25">
      <c r="A29" s="1">
        <v>100</v>
      </c>
      <c r="B29" s="1">
        <v>3412.7</v>
      </c>
      <c r="C29" s="11">
        <v>0</v>
      </c>
      <c r="D29" s="6">
        <v>6.25E-2</v>
      </c>
      <c r="E29" s="7">
        <v>0</v>
      </c>
      <c r="F29" s="6">
        <v>8.3000000000000004E-2</v>
      </c>
      <c r="G29" s="6">
        <v>0.125</v>
      </c>
      <c r="H29" s="6">
        <v>0.375</v>
      </c>
      <c r="I29" s="6">
        <v>0.625</v>
      </c>
      <c r="J29" s="11">
        <v>0.8125</v>
      </c>
      <c r="K29" s="11"/>
      <c r="L29" s="11"/>
      <c r="M29" s="11"/>
      <c r="N29" s="11"/>
      <c r="O29" s="11"/>
      <c r="P29" s="25" cm="1">
        <f t="array" ref="P29">TrajectoryInCM(C29,$A29,P$20)</f>
        <v>0</v>
      </c>
      <c r="Q29" s="9" cm="1">
        <f t="array" ref="Q29">TrajectoryInCM(D29,$A29,Q$20)</f>
        <v>2.8125000741577169</v>
      </c>
      <c r="R29" s="9" cm="1">
        <f t="array" ref="R29">TrajectoryInCM(E29,$A29,R$20)</f>
        <v>0</v>
      </c>
      <c r="S29" s="9" cm="1">
        <f t="array" ref="S29">TrajectoryInCM(F29,$A29,S$20)</f>
        <v>3.3200001219812321</v>
      </c>
      <c r="T29" s="9" cm="1">
        <f t="array" ref="T29">TrajectoryInCM(G29,$A29,T$20)</f>
        <v>5.0000004166667074</v>
      </c>
      <c r="U29" s="9" cm="1">
        <f t="array" ref="U29">TrajectoryInCM(H29,$A29,U$20)</f>
        <v>15.000011250010125</v>
      </c>
      <c r="V29" s="9" cm="1">
        <f t="array" ref="V29">TrajectoryInCM(I29,$A29,V$20)</f>
        <v>25.000052083463544</v>
      </c>
      <c r="W29" s="25" cm="1">
        <f t="array" ref="W29">TrajectoryInCM(J29,$A29,W$20)</f>
        <v>32.500114427566785</v>
      </c>
      <c r="X29" s="25" cm="1">
        <f t="array" ref="X29">TrajectoryInCM(K29,$A29,X$20)</f>
        <v>0</v>
      </c>
      <c r="Y29" s="25" cm="1">
        <f t="array" ref="Y29">TrajectoryInCM(L29,$A29,Y$20)</f>
        <v>0</v>
      </c>
      <c r="Z29" s="25" cm="1">
        <f t="array" ref="Z29">TrajectoryInCM(M29,$A29,Z$20)</f>
        <v>0</v>
      </c>
      <c r="AA29" s="25" cm="1">
        <f t="array" ref="AA29">TrajectoryInCM(N29,$A29,AA$20)</f>
        <v>0</v>
      </c>
      <c r="AB29" s="25" cm="1">
        <f t="array" ref="AB29">TrajectoryInCM(O29,$A29,AB$20)</f>
        <v>0</v>
      </c>
      <c r="AC29" s="24" cm="1">
        <f t="array" ref="AC29">TrajectoryErrorCM($E$21,1,$A29)</f>
        <v>3.7365868432484541</v>
      </c>
    </row>
    <row r="30" spans="1:29" x14ac:dyDescent="0.25">
      <c r="A30" s="1">
        <v>125</v>
      </c>
      <c r="B30" s="1">
        <v>3295.6</v>
      </c>
      <c r="C30" s="11">
        <v>0</v>
      </c>
      <c r="D30" s="6">
        <v>4.1700000000000001E-2</v>
      </c>
      <c r="E30" s="6">
        <v>0</v>
      </c>
      <c r="F30" s="6">
        <v>4.1700000000000001E-2</v>
      </c>
      <c r="G30" s="6">
        <v>0.125</v>
      </c>
      <c r="H30" s="6">
        <v>0.375</v>
      </c>
      <c r="I30" s="6">
        <v>0.625</v>
      </c>
      <c r="J30" s="11">
        <v>0.8125</v>
      </c>
      <c r="K30" s="11"/>
      <c r="L30" s="11"/>
      <c r="M30" s="11"/>
      <c r="N30" s="11"/>
      <c r="O30" s="11"/>
      <c r="P30" s="25" cm="1">
        <f t="array" ref="P30">TrajectoryInCM(C30,$A30,P$20)</f>
        <v>0</v>
      </c>
      <c r="Q30" s="9" cm="1">
        <f t="array" ref="Q30">TrajectoryInCM(D30,$A30,Q$20)</f>
        <v>2.3456250275317916</v>
      </c>
      <c r="R30" s="9" cm="1">
        <f t="array" ref="R30">TrajectoryInCM(E30,$A30,R$20)</f>
        <v>0</v>
      </c>
      <c r="S30" s="9" cm="1">
        <f t="array" ref="S30">TrajectoryInCM(F30,$A30,S$20)</f>
        <v>2.0850000193364568</v>
      </c>
      <c r="T30" s="9" cm="1">
        <f t="array" ref="T30">TrajectoryInCM(G30,$A30,T$20)</f>
        <v>6.2500005208333844</v>
      </c>
      <c r="U30" s="9" cm="1">
        <f t="array" ref="U30">TrajectoryInCM(H30,$A30,U$20)</f>
        <v>18.750014062512658</v>
      </c>
      <c r="V30" s="9" cm="1">
        <f t="array" ref="V30">TrajectoryInCM(I30,$A30,V$20)</f>
        <v>31.250065104329426</v>
      </c>
      <c r="W30" s="25" cm="1">
        <f t="array" ref="W30">TrajectoryInCM(J30,$A30,W$20)</f>
        <v>40.625143034458482</v>
      </c>
      <c r="X30" s="25" cm="1">
        <f t="array" ref="X30">TrajectoryInCM(K30,$A30,X$20)</f>
        <v>0</v>
      </c>
      <c r="Y30" s="25" cm="1">
        <f t="array" ref="Y30">TrajectoryInCM(L30,$A30,Y$20)</f>
        <v>0</v>
      </c>
      <c r="Z30" s="25" cm="1">
        <f t="array" ref="Z30">TrajectoryInCM(M30,$A30,Z$20)</f>
        <v>0</v>
      </c>
      <c r="AA30" s="25" cm="1">
        <f t="array" ref="AA30">TrajectoryInCM(N30,$A30,AA$20)</f>
        <v>0</v>
      </c>
      <c r="AB30" s="25" cm="1">
        <f t="array" ref="AB30">TrajectoryInCM(O30,$A30,AB$20)</f>
        <v>0</v>
      </c>
      <c r="AC30" s="24" cm="1">
        <f t="array" ref="AC30">TrajectoryErrorCM($E$21,1,$A30)</f>
        <v>4.6707335540605674</v>
      </c>
    </row>
    <row r="31" spans="1:29" x14ac:dyDescent="0.25">
      <c r="A31" s="1">
        <v>150</v>
      </c>
      <c r="B31" s="1">
        <v>3165.3</v>
      </c>
      <c r="C31" s="11">
        <v>0</v>
      </c>
      <c r="D31" s="6">
        <v>0</v>
      </c>
      <c r="E31" s="6">
        <v>-3.1199999999999999E-2</v>
      </c>
      <c r="F31" s="7">
        <v>0</v>
      </c>
      <c r="G31" s="6">
        <v>0.125</v>
      </c>
      <c r="H31" s="6">
        <v>0.33300000000000002</v>
      </c>
      <c r="I31" s="6">
        <v>0.55000000000000004</v>
      </c>
      <c r="J31" s="11">
        <v>0.8</v>
      </c>
      <c r="K31" s="11"/>
      <c r="L31" s="11"/>
      <c r="M31" s="11"/>
      <c r="N31" s="11"/>
      <c r="O31" s="11"/>
      <c r="P31" s="25" cm="1">
        <f t="array" ref="P31">TrajectoryInCM(C31,$A31,P$20)</f>
        <v>0</v>
      </c>
      <c r="Q31" s="9" cm="1">
        <f t="array" ref="Q31">TrajectoryInCM(D31,$A31,Q$20)</f>
        <v>0</v>
      </c>
      <c r="R31" s="9" cm="1">
        <f t="array" ref="R31">TrajectoryInCM(E31,$A31,R$20)</f>
        <v>-1.9890000116573696</v>
      </c>
      <c r="S31" s="9" cm="1">
        <f t="array" ref="S31">TrajectoryInCM(F31,$A31,S$20)</f>
        <v>0</v>
      </c>
      <c r="T31" s="9" cm="1">
        <f t="array" ref="T31">TrajectoryInCM(G31,$A31,T$20)</f>
        <v>7.5000006250000615</v>
      </c>
      <c r="U31" s="9" cm="1">
        <f t="array" ref="U31">TrajectoryInCM(H31,$A31,U$20)</f>
        <v>19.98001181634023</v>
      </c>
      <c r="V31" s="9" cm="1">
        <f t="array" ref="V31">TrajectoryInCM(I31,$A31,V$20)</f>
        <v>33.000053240103078</v>
      </c>
      <c r="W31" s="25" cm="1">
        <f t="array" ref="W31">TrajectoryInCM(J31,$A31,W$20)</f>
        <v>48.000163840671092</v>
      </c>
      <c r="X31" s="25" cm="1">
        <f t="array" ref="X31">TrajectoryInCM(K31,$A31,X$20)</f>
        <v>0</v>
      </c>
      <c r="Y31" s="25" cm="1">
        <f t="array" ref="Y31">TrajectoryInCM(L31,$A31,Y$20)</f>
        <v>0</v>
      </c>
      <c r="Z31" s="25" cm="1">
        <f t="array" ref="Z31">TrajectoryInCM(M31,$A31,Z$20)</f>
        <v>0</v>
      </c>
      <c r="AA31" s="25" cm="1">
        <f t="array" ref="AA31">TrajectoryInCM(N31,$A31,AA$20)</f>
        <v>0</v>
      </c>
      <c r="AB31" s="25" cm="1">
        <f t="array" ref="AB31">TrajectoryInCM(O31,$A31,AB$20)</f>
        <v>0</v>
      </c>
      <c r="AC31" s="24" cm="1">
        <f t="array" ref="AC31">TrajectoryErrorCM($E$21,1,$A31)</f>
        <v>5.6048802648726808</v>
      </c>
    </row>
    <row r="32" spans="1:29" x14ac:dyDescent="0.25">
      <c r="A32" s="1">
        <v>200</v>
      </c>
      <c r="B32" s="1">
        <v>2923.7</v>
      </c>
      <c r="C32" s="11">
        <v>0</v>
      </c>
      <c r="D32" s="6">
        <v>-0.05</v>
      </c>
      <c r="E32" s="6">
        <v>-0.125</v>
      </c>
      <c r="F32" s="6">
        <v>-6.25E-2</v>
      </c>
      <c r="G32" s="7">
        <v>0</v>
      </c>
      <c r="H32" s="6">
        <v>0.1875</v>
      </c>
      <c r="I32" s="6">
        <v>0.5</v>
      </c>
      <c r="J32" s="11">
        <v>0.76</v>
      </c>
      <c r="K32" s="11"/>
      <c r="L32" s="11"/>
      <c r="M32" s="11"/>
      <c r="N32" s="11"/>
      <c r="O32" s="11"/>
      <c r="P32" s="25" cm="1">
        <f t="array" ref="P32">TrajectoryInCM(C32,$A32,P$20)</f>
        <v>0</v>
      </c>
      <c r="Q32" s="9" cm="1">
        <f t="array" ref="Q32">TrajectoryInCM(D32,$A32,Q$20)</f>
        <v>-4.5000000759375016</v>
      </c>
      <c r="R32" s="9" cm="1">
        <f t="array" ref="R32">TrajectoryInCM(E32,$A32,R$20)</f>
        <v>-10.625000999552523</v>
      </c>
      <c r="S32" s="9" cm="1">
        <f t="array" ref="S32">TrajectoryInCM(F32,$A32,S$20)</f>
        <v>-5.0000001041666682</v>
      </c>
      <c r="T32" s="9" cm="1">
        <f t="array" ref="T32">TrajectoryInCM(G32,$A32,T$20)</f>
        <v>0</v>
      </c>
      <c r="U32" s="9" cm="1">
        <f t="array" ref="U32">TrajectoryInCM(H32,$A32,U$20)</f>
        <v>15.000002812500634</v>
      </c>
      <c r="V32" s="9" cm="1">
        <f t="array" ref="V32">TrajectoryInCM(I32,$A32,V$20)</f>
        <v>40.000053333418663</v>
      </c>
      <c r="W32" s="25" cm="1">
        <f t="array" ref="W32">TrajectoryInCM(J32,$A32,W$20)</f>
        <v>60.800187297119045</v>
      </c>
      <c r="X32" s="25" cm="1">
        <f t="array" ref="X32">TrajectoryInCM(K32,$A32,X$20)</f>
        <v>0</v>
      </c>
      <c r="Y32" s="25" cm="1">
        <f t="array" ref="Y32">TrajectoryInCM(L32,$A32,Y$20)</f>
        <v>0</v>
      </c>
      <c r="Z32" s="25" cm="1">
        <f t="array" ref="Z32">TrajectoryInCM(M32,$A32,Z$20)</f>
        <v>0</v>
      </c>
      <c r="AA32" s="25" cm="1">
        <f t="array" ref="AA32">TrajectoryInCM(N32,$A32,AA$20)</f>
        <v>0</v>
      </c>
      <c r="AB32" s="25" cm="1">
        <f t="array" ref="AB32">TrajectoryInCM(O32,$A32,AB$20)</f>
        <v>0</v>
      </c>
      <c r="AC32" s="24" cm="1">
        <f t="array" ref="AC32">TrajectoryErrorCM($E$21,1,$A32)</f>
        <v>7.4731736864969083</v>
      </c>
    </row>
    <row r="33" spans="1:29" x14ac:dyDescent="0.25">
      <c r="A33" s="1">
        <v>250</v>
      </c>
      <c r="B33" s="1">
        <v>2705.1</v>
      </c>
      <c r="C33" s="11">
        <v>0</v>
      </c>
      <c r="D33" s="6">
        <v>-0.125</v>
      </c>
      <c r="E33" s="6">
        <v>-0.25</v>
      </c>
      <c r="F33" s="6">
        <v>-0.16700000000000001</v>
      </c>
      <c r="G33" s="6">
        <v>-8.3000000000000004E-2</v>
      </c>
      <c r="H33" s="6">
        <v>0.1</v>
      </c>
      <c r="I33" s="6">
        <v>0.375</v>
      </c>
      <c r="J33" s="11">
        <v>0.7</v>
      </c>
      <c r="K33" s="11"/>
      <c r="L33" s="11"/>
      <c r="M33" s="11"/>
      <c r="N33" s="11"/>
      <c r="O33" s="11"/>
      <c r="P33" s="25" cm="1">
        <f t="array" ref="P33">TrajectoryInCM(C33,$A33,P$20)</f>
        <v>0</v>
      </c>
      <c r="Q33" s="9" cm="1">
        <f t="array" ref="Q33">TrajectoryInCM(D33,$A33,Q$20)</f>
        <v>-14.062501483154483</v>
      </c>
      <c r="R33" s="9" cm="1">
        <f t="array" ref="R33">TrajectoryInCM(E33,$A33,R$20)</f>
        <v>-26.562509995528604</v>
      </c>
      <c r="S33" s="9" cm="1">
        <f t="array" ref="S33">TrajectoryInCM(F33,$A33,S$20)</f>
        <v>-16.700002483980715</v>
      </c>
      <c r="T33" s="9" cm="1">
        <f t="array" ref="T33">TrajectoryInCM(G33,$A33,T$20)</f>
        <v>-8.3000003049530804</v>
      </c>
      <c r="U33" s="9" cm="1">
        <f t="array" ref="U33">TrajectoryInCM(H33,$A33,U$20)</f>
        <v>10.000000533333367</v>
      </c>
      <c r="V33" s="9" cm="1">
        <f t="array" ref="V33">TrajectoryInCM(I33,$A33,V$20)</f>
        <v>37.500028125025317</v>
      </c>
      <c r="W33" s="25" cm="1">
        <f t="array" ref="W33">TrajectoryInCM(J33,$A33,W$20)</f>
        <v>70.000182933907013</v>
      </c>
      <c r="X33" s="25" cm="1">
        <f t="array" ref="X33">TrajectoryInCM(K33,$A33,X$20)</f>
        <v>0</v>
      </c>
      <c r="Y33" s="25" cm="1">
        <f t="array" ref="Y33">TrajectoryInCM(L33,$A33,Y$20)</f>
        <v>0</v>
      </c>
      <c r="Z33" s="25" cm="1">
        <f t="array" ref="Z33">TrajectoryInCM(M33,$A33,Z$20)</f>
        <v>0</v>
      </c>
      <c r="AA33" s="25" cm="1">
        <f t="array" ref="AA33">TrajectoryInCM(N33,$A33,AA$20)</f>
        <v>0</v>
      </c>
      <c r="AB33" s="25" cm="1">
        <f t="array" ref="AB33">TrajectoryInCM(O33,$A33,AB$20)</f>
        <v>0</v>
      </c>
      <c r="AC33" s="24" cm="1">
        <f t="array" ref="AC33">TrajectoryErrorCM($E$21,1,$A33)</f>
        <v>9.3414671081211349</v>
      </c>
    </row>
    <row r="34" spans="1:29" x14ac:dyDescent="0.25">
      <c r="A34" s="1">
        <v>300</v>
      </c>
      <c r="B34" s="1">
        <v>2493.1999999999998</v>
      </c>
      <c r="C34" s="14">
        <v>0</v>
      </c>
      <c r="D34" s="6">
        <v>-0.33300000000000002</v>
      </c>
      <c r="E34" s="6">
        <v>-0.375</v>
      </c>
      <c r="F34" s="6">
        <v>-0.35</v>
      </c>
      <c r="G34" s="6">
        <v>-0.25</v>
      </c>
      <c r="H34" s="7">
        <v>0</v>
      </c>
      <c r="I34" s="13">
        <v>0.3125</v>
      </c>
      <c r="J34" s="14">
        <v>0.6</v>
      </c>
      <c r="K34" s="14"/>
      <c r="L34" s="14"/>
      <c r="M34" s="14"/>
      <c r="N34" s="14"/>
      <c r="O34" s="14"/>
      <c r="P34" s="25" cm="1">
        <f t="array" ref="P34">TrajectoryInCM(C34,$A34,P$20)</f>
        <v>0</v>
      </c>
      <c r="Q34" s="9" cm="1">
        <f t="array" ref="Q34">TrajectoryInCM(D34,$A34,Q$20)</f>
        <v>-44.955033648881447</v>
      </c>
      <c r="R34" s="9" cm="1">
        <f t="array" ref="R34">TrajectoryInCM(E34,$A34,R$20)</f>
        <v>-47.812540481913686</v>
      </c>
      <c r="S34" s="9" cm="1">
        <f t="array" ref="S34">TrajectoryInCM(F34,$A34,S$20)</f>
        <v>-42.000027440021519</v>
      </c>
      <c r="T34" s="9" cm="1">
        <f t="array" ref="T34">TrajectoryInCM(G34,$A34,T$20)</f>
        <v>-30.000010000004</v>
      </c>
      <c r="U34" s="9" cm="1">
        <f t="array" ref="U34">TrajectoryInCM(H34,$A34,U$20)</f>
        <v>0</v>
      </c>
      <c r="V34" s="9" cm="1">
        <f t="array" ref="V34">TrajectoryInCM(I34,$A34,V$20)</f>
        <v>37.500019531262211</v>
      </c>
      <c r="W34" s="25" cm="1">
        <f t="array" ref="W34">TrajectoryInCM(J34,$A34,W$20)</f>
        <v>72.000138240318506</v>
      </c>
      <c r="X34" s="25" cm="1">
        <f t="array" ref="X34">TrajectoryInCM(K34,$A34,X$20)</f>
        <v>0</v>
      </c>
      <c r="Y34" s="25" cm="1">
        <f t="array" ref="Y34">TrajectoryInCM(L34,$A34,Y$20)</f>
        <v>0</v>
      </c>
      <c r="Z34" s="25" cm="1">
        <f t="array" ref="Z34">TrajectoryInCM(M34,$A34,Z$20)</f>
        <v>0</v>
      </c>
      <c r="AA34" s="25" cm="1">
        <f t="array" ref="AA34">TrajectoryInCM(N34,$A34,AA$20)</f>
        <v>0</v>
      </c>
      <c r="AB34" s="25" cm="1">
        <f t="array" ref="AB34">TrajectoryInCM(O34,$A34,AB$20)</f>
        <v>0</v>
      </c>
      <c r="AC34" s="24" cm="1">
        <f t="array" ref="AC34">TrajectoryErrorCM($E$21,1,$A34)</f>
        <v>11.209760529745362</v>
      </c>
    </row>
    <row r="35" spans="1:29" x14ac:dyDescent="0.25">
      <c r="A35" s="1">
        <v>350</v>
      </c>
      <c r="B35" s="1">
        <v>2289.8000000000002</v>
      </c>
      <c r="C35" s="14">
        <v>0</v>
      </c>
      <c r="D35" s="13">
        <v>-0.41699999999999998</v>
      </c>
      <c r="E35" s="13">
        <v>-0.5</v>
      </c>
      <c r="F35" s="13">
        <v>-0.45</v>
      </c>
      <c r="G35" s="13">
        <v>-0.375</v>
      </c>
      <c r="H35" s="13">
        <v>-0.125</v>
      </c>
      <c r="I35" s="13">
        <v>0.125</v>
      </c>
      <c r="J35" s="14">
        <v>0.45</v>
      </c>
      <c r="K35" s="14"/>
      <c r="L35" s="14"/>
      <c r="M35" s="14"/>
      <c r="N35" s="14"/>
      <c r="O35" s="14"/>
      <c r="P35" s="27" cm="1">
        <f t="array" ref="P35">TrajectoryInCM(C35,$A35,P$20)</f>
        <v>0</v>
      </c>
      <c r="Q35" s="26" cm="1">
        <f t="array" ref="Q35">TrajectoryInCM(D35,$A35,Q$20)</f>
        <v>-65.67757708912346</v>
      </c>
      <c r="R35" s="26" cm="1">
        <f t="array" ref="R35">TrajectoryInCM(E35,$A35,R$20)</f>
        <v>-74.375111950072011</v>
      </c>
      <c r="S35" s="26" cm="1">
        <f t="array" ref="S35">TrajectoryInCM(F35,$A35,S$20)</f>
        <v>-63.000068040088173</v>
      </c>
      <c r="T35" s="26" cm="1">
        <f t="array" ref="T35">TrajectoryInCM(G35,$A35,T$20)</f>
        <v>-52.500039375035435</v>
      </c>
      <c r="U35" s="26" cm="1">
        <f t="array" ref="U35">TrajectoryInCM(H35,$A35,U$20)</f>
        <v>-17.500001458333479</v>
      </c>
      <c r="V35" s="26" cm="1">
        <f t="array" ref="V35">TrajectoryInCM(I35,$A35,V$20)</f>
        <v>17.500001458333479</v>
      </c>
      <c r="W35" s="27" cm="1">
        <f t="array" ref="W35">TrajectoryInCM(J35,$A35,W$20)</f>
        <v>63.000068040088173</v>
      </c>
      <c r="X35" s="27" cm="1">
        <f t="array" ref="X35">TrajectoryInCM(K35,$A35,X$20)</f>
        <v>0</v>
      </c>
      <c r="Y35" s="27" cm="1">
        <f t="array" ref="Y35">TrajectoryInCM(L35,$A35,Y$20)</f>
        <v>0</v>
      </c>
      <c r="Z35" s="27" cm="1">
        <f t="array" ref="Z35">TrajectoryInCM(M35,$A35,Z$20)</f>
        <v>0</v>
      </c>
      <c r="AA35" s="27" cm="1">
        <f t="array" ref="AA35">TrajectoryInCM(N35,$A35,AA$20)</f>
        <v>0</v>
      </c>
      <c r="AB35" s="27" cm="1">
        <f t="array" ref="AB35">TrajectoryInCM(O35,$A35,AB$20)</f>
        <v>0</v>
      </c>
      <c r="AC35" s="24" cm="1">
        <f t="array" ref="AC35">TrajectoryErrorCM($E$21,1,$A35)</f>
        <v>13.078053951369588</v>
      </c>
    </row>
    <row r="36" spans="1:29" x14ac:dyDescent="0.25">
      <c r="A36" s="1">
        <v>400</v>
      </c>
      <c r="B36" s="1">
        <v>2107.1999999999998</v>
      </c>
      <c r="C36" s="14">
        <v>0</v>
      </c>
      <c r="D36" s="13">
        <v>-0.55000000000000004</v>
      </c>
      <c r="E36" s="13">
        <v>-0.625</v>
      </c>
      <c r="F36" s="13">
        <v>-0.55000000000000004</v>
      </c>
      <c r="G36" s="13">
        <v>-0.45</v>
      </c>
      <c r="H36" s="13">
        <v>-0.3125</v>
      </c>
      <c r="I36" s="7">
        <v>0</v>
      </c>
      <c r="J36" s="14">
        <v>0.33</v>
      </c>
      <c r="K36" s="14"/>
      <c r="L36" s="14"/>
      <c r="M36" s="14"/>
      <c r="N36" s="14"/>
      <c r="O36" s="14"/>
      <c r="P36" s="27" cm="1">
        <f t="array" ref="P36">TrajectoryInCM(C36,$A36,P$20)</f>
        <v>0</v>
      </c>
      <c r="Q36" s="26" cm="1">
        <f t="array" ref="Q36">TrajectoryInCM(D36,$A36,Q$20)</f>
        <v>-99.000202146120301</v>
      </c>
      <c r="R36" s="26" cm="1">
        <f t="array" ref="R36">TrajectoryInCM(E36,$A36,R$20)</f>
        <v>-106.25024988880747</v>
      </c>
      <c r="S36" s="26" cm="1">
        <f t="array" ref="S36">TrajectoryInCM(F36,$A36,S$20)</f>
        <v>-88.000141973608208</v>
      </c>
      <c r="T36" s="26" cm="1">
        <f t="array" ref="T36">TrajectoryInCM(G36,$A36,T$20)</f>
        <v>-72.000077760100766</v>
      </c>
      <c r="U36" s="26" cm="1">
        <f t="array" ref="U36">TrajectoryInCM(H36,$A36,U$20)</f>
        <v>-50.000026041682943</v>
      </c>
      <c r="V36" s="26" cm="1">
        <f t="array" ref="V36">TrajectoryInCM(I36,$A36,V$20)</f>
        <v>0</v>
      </c>
      <c r="W36" s="27" cm="1">
        <f t="array" ref="W36">TrajectoryInCM(J36,$A36,W$20)</f>
        <v>52.800030666261364</v>
      </c>
      <c r="X36" s="27" cm="1">
        <f t="array" ref="X36">TrajectoryInCM(K36,$A36,X$20)</f>
        <v>0</v>
      </c>
      <c r="Y36" s="27" cm="1">
        <f t="array" ref="Y36">TrajectoryInCM(L36,$A36,Y$20)</f>
        <v>0</v>
      </c>
      <c r="Z36" s="27" cm="1">
        <f t="array" ref="Z36">TrajectoryInCM(M36,$A36,Z$20)</f>
        <v>0</v>
      </c>
      <c r="AA36" s="27" cm="1">
        <f t="array" ref="AA36">TrajectoryInCM(N36,$A36,AA$20)</f>
        <v>0</v>
      </c>
      <c r="AB36" s="27" cm="1">
        <f t="array" ref="AB36">TrajectoryInCM(O36,$A36,AB$20)</f>
        <v>0</v>
      </c>
      <c r="AC36" s="24" cm="1">
        <f t="array" ref="AC36">TrajectoryErrorCM($E$21,1,$A36)</f>
        <v>14.946347372993817</v>
      </c>
    </row>
    <row r="37" spans="1:29" x14ac:dyDescent="0.25">
      <c r="A37" s="1">
        <v>450</v>
      </c>
      <c r="B37" s="1">
        <v>1933.7</v>
      </c>
      <c r="C37" s="14">
        <v>0</v>
      </c>
      <c r="D37" s="13">
        <v>-0.65</v>
      </c>
      <c r="E37" s="13">
        <v>-0.75</v>
      </c>
      <c r="F37" s="13">
        <v>-0.6875</v>
      </c>
      <c r="G37" s="13">
        <v>-0.625</v>
      </c>
      <c r="H37" s="13">
        <v>-0.38</v>
      </c>
      <c r="I37" s="13">
        <v>-0.125</v>
      </c>
      <c r="J37" s="14">
        <v>0.125</v>
      </c>
      <c r="K37" s="14"/>
      <c r="L37" s="14"/>
      <c r="M37" s="14"/>
      <c r="N37" s="14"/>
      <c r="O37" s="14"/>
      <c r="P37" s="27" cm="1">
        <f t="array" ref="P37">TrajectoryInCM(C37,$A37,P$20)</f>
        <v>0</v>
      </c>
      <c r="Q37" s="26" cm="1">
        <f t="array" ref="Q37">TrajectoryInCM(D37,$A37,Q$20)</f>
        <v>-131.6253753793315</v>
      </c>
      <c r="R37" s="26" cm="1">
        <f t="array" ref="R37">TrajectoryInCM(E37,$A37,R$20)</f>
        <v>-143.43798578444495</v>
      </c>
      <c r="S37" s="26" cm="1">
        <f t="array" ref="S37">TrajectoryInCM(F37,$A37,S$20)</f>
        <v>-123.75031195406865</v>
      </c>
      <c r="T37" s="26" cm="1">
        <f t="array" ref="T37">TrajectoryInCM(G37,$A37,T$20)</f>
        <v>-112.50023437558593</v>
      </c>
      <c r="U37" s="26" cm="1">
        <f t="array" ref="U37">TrajectoryInCM(H37,$A37,U$20)</f>
        <v>-68.400052677168688</v>
      </c>
      <c r="V37" s="26" cm="1">
        <f t="array" ref="V37">TrajectoryInCM(I37,$A37,V$20)</f>
        <v>-22.500001875000187</v>
      </c>
      <c r="W37" s="27" cm="1">
        <f t="array" ref="W37">TrajectoryInCM(J37,$A37,W$20)</f>
        <v>22.500001875000187</v>
      </c>
      <c r="X37" s="27" cm="1">
        <f t="array" ref="X37">TrajectoryInCM(K37,$A37,X$20)</f>
        <v>0</v>
      </c>
      <c r="Y37" s="27" cm="1">
        <f t="array" ref="Y37">TrajectoryInCM(L37,$A37,Y$20)</f>
        <v>0</v>
      </c>
      <c r="Z37" s="27" cm="1">
        <f t="array" ref="Z37">TrajectoryInCM(M37,$A37,Z$20)</f>
        <v>0</v>
      </c>
      <c r="AA37" s="27" cm="1">
        <f t="array" ref="AA37">TrajectoryInCM(N37,$A37,AA$20)</f>
        <v>0</v>
      </c>
      <c r="AB37" s="27" cm="1">
        <f t="array" ref="AB37">TrajectoryInCM(O37,$A37,AB$20)</f>
        <v>0</v>
      </c>
      <c r="AC37" s="24" cm="1">
        <f t="array" ref="AC37">TrajectoryErrorCM($E$21,1,$A37)</f>
        <v>16.814640794618043</v>
      </c>
    </row>
    <row r="38" spans="1:29" x14ac:dyDescent="0.25">
      <c r="A38" s="1">
        <v>500</v>
      </c>
      <c r="B38" s="1">
        <v>1770</v>
      </c>
      <c r="C38" s="14">
        <v>0</v>
      </c>
      <c r="D38" s="13">
        <v>-0.875</v>
      </c>
      <c r="E38" s="13">
        <v>-0.9</v>
      </c>
      <c r="F38" s="13">
        <v>-0.875</v>
      </c>
      <c r="G38" s="13">
        <v>-0.75</v>
      </c>
      <c r="H38" s="13">
        <v>-0.6</v>
      </c>
      <c r="I38" s="13">
        <v>-0.375</v>
      </c>
      <c r="J38" s="12">
        <v>0</v>
      </c>
      <c r="K38" s="12"/>
      <c r="L38" s="12"/>
      <c r="M38" s="12"/>
      <c r="N38" s="12"/>
      <c r="O38" s="12"/>
      <c r="P38" s="27" cm="1">
        <f t="array" ref="P38">TrajectoryInCM(C38,$A38,P$20)</f>
        <v>0</v>
      </c>
      <c r="Q38" s="26" cm="1">
        <f t="array" ref="Q38">TrajectoryInCM(D38,$A38,Q$20)</f>
        <v>-196.87601745015741</v>
      </c>
      <c r="R38" s="26" cm="1">
        <f t="array" ref="R38">TrajectoryInCM(E38,$A38,R$20)</f>
        <v>-191.25093270780221</v>
      </c>
      <c r="S38" s="26" cm="1">
        <f t="array" ref="S38">TrajectoryInCM(F38,$A38,S$20)</f>
        <v>-175.00071458683482</v>
      </c>
      <c r="T38" s="26" cm="1">
        <f t="array" ref="T38">TrajectoryInCM(G38,$A38,T$20)</f>
        <v>-150.00045000162001</v>
      </c>
      <c r="U38" s="26" cm="1">
        <f t="array" ref="U38">TrajectoryInCM(H38,$A38,U$20)</f>
        <v>-120.00023040053082</v>
      </c>
      <c r="V38" s="26" cm="1">
        <f t="array" ref="V38">TrajectoryInCM(I38,$A38,V$20)</f>
        <v>-75.000056250050633</v>
      </c>
      <c r="W38" s="27" cm="1">
        <f t="array" ref="W38">TrajectoryInCM(J38,$A38,W$20)</f>
        <v>0</v>
      </c>
      <c r="X38" s="27" cm="1">
        <f t="array" ref="X38">TrajectoryInCM(K38,$A38,X$20)</f>
        <v>0</v>
      </c>
      <c r="Y38" s="27" cm="1">
        <f t="array" ref="Y38">TrajectoryInCM(L38,$A38,Y$20)</f>
        <v>0</v>
      </c>
      <c r="Z38" s="27" cm="1">
        <f t="array" ref="Z38">TrajectoryInCM(M38,$A38,Z$20)</f>
        <v>0</v>
      </c>
      <c r="AA38" s="27" cm="1">
        <f t="array" ref="AA38">TrajectoryInCM(N38,$A38,AA$20)</f>
        <v>0</v>
      </c>
      <c r="AB38" s="27" cm="1">
        <f t="array" ref="AB38">TrajectoryInCM(O38,$A38,AB$20)</f>
        <v>0</v>
      </c>
      <c r="AC38" s="24" cm="1">
        <f t="array" ref="AC38">TrajectoryErrorCM($E$21,1,$A38)</f>
        <v>18.68293421624227</v>
      </c>
    </row>
    <row r="45" spans="1:29" x14ac:dyDescent="0.25">
      <c r="A45" s="38" t="s">
        <v>78</v>
      </c>
      <c r="B45" s="42">
        <v>3</v>
      </c>
      <c r="C45" s="42">
        <v>3</v>
      </c>
      <c r="D45" s="42">
        <v>3</v>
      </c>
      <c r="E45" s="42">
        <v>3</v>
      </c>
      <c r="F45" s="42">
        <v>3</v>
      </c>
      <c r="G45" s="42">
        <v>3</v>
      </c>
      <c r="H45" s="42">
        <v>3</v>
      </c>
      <c r="I45" s="42">
        <v>3</v>
      </c>
      <c r="J45" s="42">
        <v>3</v>
      </c>
      <c r="K45" s="42">
        <v>3</v>
      </c>
      <c r="L45" s="42">
        <v>3</v>
      </c>
      <c r="M45" s="42">
        <v>3</v>
      </c>
      <c r="N45" s="42">
        <v>3</v>
      </c>
      <c r="O45" s="42">
        <v>3</v>
      </c>
      <c r="P45" s="42">
        <v>3</v>
      </c>
      <c r="Q45" s="42">
        <v>3</v>
      </c>
      <c r="R45" s="42">
        <v>3</v>
      </c>
      <c r="S45" s="42">
        <v>3</v>
      </c>
      <c r="T45" s="42">
        <v>3</v>
      </c>
      <c r="U45" s="42">
        <v>3</v>
      </c>
      <c r="V45" s="42">
        <v>3</v>
      </c>
      <c r="W45" s="42">
        <v>3</v>
      </c>
      <c r="X45" s="42">
        <v>3</v>
      </c>
      <c r="Y45" s="42">
        <v>3</v>
      </c>
      <c r="Z45" s="42">
        <v>3</v>
      </c>
      <c r="AA45" s="42">
        <v>3</v>
      </c>
      <c r="AB45" s="42">
        <v>3</v>
      </c>
    </row>
    <row r="46" spans="1:29" x14ac:dyDescent="0.25">
      <c r="A46" s="38" t="s">
        <v>29</v>
      </c>
      <c r="B46" s="38" cm="1">
        <f t="array" ref="B46">INDEX(LINEST(B$25:B$38,$A$25:$A$38^{1,2,3}), 1,4)</f>
        <v>3956.1017811345491</v>
      </c>
      <c r="C46" s="38" cm="1">
        <f t="array" ref="C46">INDEX(LINEST(C$25:C$38,$A$25:$A$38^{1,2,3}), 1,4)</f>
        <v>0</v>
      </c>
      <c r="D46" s="39" cm="1">
        <f t="array" ref="D46">INDEX(LINEST(D$26:D$38,$A$26:$A$38^{1,2,3}), 1,4)</f>
        <v>-0.31907309461984756</v>
      </c>
      <c r="E46" s="39" cm="1">
        <f t="array" ref="E46">INDEX(LINEST(E$26:E$38,$A$26:$A$38^{1,2,3}), 1,4)</f>
        <v>-0.40873308369715622</v>
      </c>
      <c r="F46" s="39" cm="1">
        <f t="array" ref="F46">INDEX(LINEST(F$26:F$38,$A$26:$A$38^{1,2,3}), 1,4)</f>
        <v>-0.30804233913950019</v>
      </c>
      <c r="G46" s="39" cm="1">
        <f t="array" ref="G46">INDEX(LINEST(G$26:G$38,$A$26:$A$38^{1,2,3}), 1,4)</f>
        <v>-0.21974976388402689</v>
      </c>
      <c r="H46" s="39" cm="1">
        <f t="array" ref="H46">INDEX(LINEST(H$26:H$38,$A$26:$A$38^{1,2,3}), 1,4)</f>
        <v>5.2868403219461846E-2</v>
      </c>
      <c r="I46" s="39" cm="1">
        <f t="array" ref="I46">INDEX(LINEST(I$26:I$38,$A$26:$A$38^{1,2,3}), 1,4)</f>
        <v>0.33146475148230325</v>
      </c>
      <c r="J46" s="39" cm="1">
        <f t="array" ref="J46">INDEX(LINEST(J$26:J$38,$A$26:$A$38^{1,2,3}), 1,4)</f>
        <v>0.56987061626617042</v>
      </c>
      <c r="K46" s="39"/>
      <c r="L46" s="39"/>
      <c r="M46" s="39"/>
      <c r="N46" s="39"/>
      <c r="O46" s="39"/>
      <c r="P46" s="39" cm="1">
        <f t="array" ref="P46">INDEX(LINEST(P$25:P$38,$A$25:$A$38^{1,2,3}), 1,4)</f>
        <v>0</v>
      </c>
      <c r="Q46" s="39" cm="1">
        <f t="array" ref="Q46">INDEX(LINEST(Q$25:Q$38,$A$25:$A$38^{1,2,3}), 1,4)</f>
        <v>-4.9945465816875441</v>
      </c>
      <c r="R46" s="40" cm="1">
        <f t="array" ref="R46">INDEX(LINEST(R$25:R$38,$A$25:$A$38^{1,2,3}), 1,4)</f>
        <v>-6.05678336090015</v>
      </c>
      <c r="S46" s="40" cm="1">
        <f t="array" ref="S46">INDEX(LINEST(S$25:S$38,$A$25:$A$38^{1,2,3}), 1,4)</f>
        <v>-4.7836173739263472</v>
      </c>
      <c r="T46" s="39" cm="1">
        <f t="array" ref="T46">INDEX(LINEST(T$25:T$38,$A$25:$A$38^{1,2,3}), 1,4)</f>
        <v>-5.6295571455278584</v>
      </c>
      <c r="U46" s="39" cm="1">
        <f t="array" ref="U46">INDEX(LINEST(U$25:U$38,$A$25:$A$38^{1,2,3}), 1,4)</f>
        <v>-4.3341139229258161</v>
      </c>
      <c r="V46" s="39" cm="1">
        <f t="array" ref="V46">INDEX(LINEST(V$25:V$38,$A$25:$A$38^{1,2,3}), 1,4)</f>
        <v>-3.4218047001436389</v>
      </c>
      <c r="W46" s="39" cm="1">
        <f t="array" ref="W46">INDEX(LINEST(W$25:W$38,$A$25:$A$38^{1,2,3}), 1,4)</f>
        <v>-4.3461265723216798</v>
      </c>
      <c r="X46" s="39" cm="1">
        <f t="array" ref="X46">INDEX(LINEST(X$25:X$38,$A$25:$A$38^{1,2,3}), 1,4)</f>
        <v>-2.1836250735032161</v>
      </c>
      <c r="Y46" s="39" cm="1">
        <f t="array" ref="Y46">INDEX(LINEST(Y$25:Y$38,$A$25:$A$38^{1,2,3}), 1,4)</f>
        <v>-2.1836250735032161</v>
      </c>
      <c r="Z46" s="39" cm="1">
        <f t="array" ref="Z46">INDEX(LINEST(Z$25:Z$38,$A$25:$A$38^{1,2,3}), 1,4)</f>
        <v>-2.1836250735032161</v>
      </c>
      <c r="AA46" s="39" cm="1">
        <f t="array" ref="AA46">INDEX(LINEST(AA$25:AA$38,$A$25:$A$38^{1,2,3}), 1,4)</f>
        <v>-2.1836250735032161</v>
      </c>
      <c r="AB46" s="39" cm="1">
        <f t="array" ref="AB46">INDEX(LINEST(AB$25:AB$38,$A$25:$A$38^{1,2,3}), 1,4)</f>
        <v>-2.1836250735032161</v>
      </c>
      <c r="AC46" s="16"/>
    </row>
    <row r="47" spans="1:29" x14ac:dyDescent="0.25">
      <c r="A47" s="38" t="s">
        <v>30</v>
      </c>
      <c r="B47" s="38" cm="1">
        <f t="array" ref="B47">INDEX(LINEST(B$25:B$38,$A$25:$A$38^{1,2,3}), 1,3)</f>
        <v>-5.6112635641520647</v>
      </c>
      <c r="C47" s="38" cm="1">
        <f t="array" ref="C47">INDEX(LINEST(C$25:C$38,$A$25:$A$38^{1,2,3}), 1,3)</f>
        <v>0</v>
      </c>
      <c r="D47" s="39" cm="1">
        <f t="array" ref="D47">INDEX(LINEST(D$26:D$38,$A$26:$A$38^{1,2,3}), 1,3)</f>
        <v>5.7342402852769763E-3</v>
      </c>
      <c r="E47" s="39" cm="1">
        <f t="array" ref="E47">INDEX(LINEST(E$26:E$38,$A$26:$A$38^{1,2,3}), 1,3)</f>
        <v>6.4392932841137859E-3</v>
      </c>
      <c r="F47" s="39" cm="1">
        <f t="array" ref="F47">INDEX(LINEST(F$26:F$38,$A$26:$A$38^{1,2,3}), 1,3)</f>
        <v>5.8698972091244346E-3</v>
      </c>
      <c r="G47" s="39" cm="1">
        <f t="array" ref="G47">INDEX(LINEST(G$26:G$38,$A$26:$A$38^{1,2,3}), 1,3)</f>
        <v>5.6932097298092836E-3</v>
      </c>
      <c r="H47" s="39" cm="1">
        <f t="array" ref="H47">INDEX(LINEST(H$26:H$38,$A$26:$A$38^{1,2,3}), 1,3)</f>
        <v>5.0609323152390716E-3</v>
      </c>
      <c r="I47" s="39" cm="1">
        <f t="array" ref="I47">INDEX(LINEST(I$26:I$38,$A$26:$A$38^{1,2,3}), 1,3)</f>
        <v>4.4053551478412155E-3</v>
      </c>
      <c r="J47" s="39" cm="1">
        <f t="array" ref="J47">INDEX(LINEST(J$26:J$38,$A$26:$A$38^{1,2,3}), 1,3)</f>
        <v>3.8983519688059035E-3</v>
      </c>
      <c r="K47" s="39"/>
      <c r="L47" s="39"/>
      <c r="M47" s="39"/>
      <c r="N47" s="39"/>
      <c r="O47" s="39"/>
      <c r="P47" s="39" cm="1">
        <f t="array" ref="P47">INDEX(LINEST(P$25:P$38,$A$25:$A$38^{1,2,3}), 1,3)</f>
        <v>0</v>
      </c>
      <c r="Q47" s="39" cm="1">
        <f t="array" ref="Q47">INDEX(LINEST(Q$25:Q$38,$A$25:$A$38^{1,2,3}), 1,3)</f>
        <v>0.13339979469877492</v>
      </c>
      <c r="R47" s="39" cm="1">
        <f t="array" ref="R47">INDEX(LINEST(R$25:R$38,$A$25:$A$38^{1,2,3}), 1,3)</f>
        <v>0.15805089343816406</v>
      </c>
      <c r="S47" s="40" cm="1">
        <f t="array" ref="S47">INDEX(LINEST(S$25:S$38,$A$25:$A$38^{1,2,3}), 1,3)</f>
        <v>0.14501029464433868</v>
      </c>
      <c r="T47" s="39" cm="1">
        <f t="array" ref="T47">INDEX(LINEST(T$25:T$38,$A$25:$A$38^{1,2,3}), 1,3)</f>
        <v>0.20238955489249369</v>
      </c>
      <c r="U47" s="39" cm="1">
        <f t="array" ref="U47">INDEX(LINEST(U$25:U$38,$A$25:$A$38^{1,2,3}), 1,3)</f>
        <v>0.25558466549291542</v>
      </c>
      <c r="V47" s="39" cm="1">
        <f t="array" ref="V47">INDEX(LINEST(V$25:V$38,$A$25:$A$38^{1,2,3}), 1,3)</f>
        <v>0.30510601083856925</v>
      </c>
      <c r="W47" s="39" cm="1">
        <f t="array" ref="W47">INDEX(LINEST(W$25:W$38,$A$25:$A$38^{1,2,3}), 1,3)</f>
        <v>0.40124044596008718</v>
      </c>
      <c r="X47" s="39" cm="1">
        <f t="array" ref="X47">INDEX(LINEST(X$25:X$38,$A$25:$A$38^{1,2,3}), 1,3)</f>
        <v>3.4091504765681027E-2</v>
      </c>
      <c r="Y47" s="39" cm="1">
        <f t="array" ref="Y47">INDEX(LINEST(Y$25:Y$38,$A$25:$A$38^{1,2,3}), 1,3)</f>
        <v>3.4091504765681027E-2</v>
      </c>
      <c r="Z47" s="39" cm="1">
        <f t="array" ref="Z47">INDEX(LINEST(Z$25:Z$38,$A$25:$A$38^{1,2,3}), 1,3)</f>
        <v>3.4091504765681027E-2</v>
      </c>
      <c r="AA47" s="39" cm="1">
        <f t="array" ref="AA47">INDEX(LINEST(AA$25:AA$38,$A$25:$A$38^{1,2,3}), 1,3)</f>
        <v>3.4091504765681027E-2</v>
      </c>
      <c r="AB47" s="39" cm="1">
        <f t="array" ref="AB47">INDEX(LINEST(AB$25:AB$38,$A$25:$A$38^{1,2,3}), 1,3)</f>
        <v>3.4091504765681027E-2</v>
      </c>
      <c r="AC47" s="16"/>
    </row>
    <row r="48" spans="1:29" x14ac:dyDescent="0.25">
      <c r="A48" s="38" t="s">
        <v>31</v>
      </c>
      <c r="B48" s="38" cm="1">
        <f t="array" ref="B48">INDEX(LINEST(B$25:B$38,$A$25:$A$38^{1,2,3}), 1,2)</f>
        <v>2.3423062299629052E-3</v>
      </c>
      <c r="C48" s="38" cm="1">
        <f t="array" ref="C48">INDEX(LINEST(C$25:C$38,$A$25:$A$38^{1,2,3}), 1,2)</f>
        <v>0</v>
      </c>
      <c r="D48" s="39" cm="1">
        <f t="array" ref="D48">INDEX(LINEST(D$26:D$38,$A$26:$A$38^{1,2,3}), 1,2)</f>
        <v>-2.6166799981220288E-5</v>
      </c>
      <c r="E48" s="39" cm="1">
        <f t="array" ref="E48">INDEX(LINEST(E$26:E$38,$A$26:$A$38^{1,2,3}), 1,2)</f>
        <v>-3.0082210744007092E-5</v>
      </c>
      <c r="F48" s="39" cm="1">
        <f t="array" ref="F48">INDEX(LINEST(F$26:F$38,$A$26:$A$38^{1,2,3}), 1,2)</f>
        <v>-2.7846121645275501E-5</v>
      </c>
      <c r="G48" s="39" cm="1">
        <f t="array" ref="G48">INDEX(LINEST(G$26:G$38,$A$26:$A$38^{1,2,3}), 1,2)</f>
        <v>-2.7171053660167419E-5</v>
      </c>
      <c r="H48" s="39" cm="1">
        <f t="array" ref="H48">INDEX(LINEST(H$26:H$38,$A$26:$A$38^{1,2,3}), 1,2)</f>
        <v>-2.4749689619117836E-5</v>
      </c>
      <c r="I48" s="39" cm="1">
        <f t="array" ref="I48">INDEX(LINEST(I$26:I$38,$A$26:$A$38^{1,2,3}), 1,2)</f>
        <v>-2.0545478002470383E-5</v>
      </c>
      <c r="J48" s="39" cm="1">
        <f t="array" ref="J48">INDEX(LINEST(J$26:J$38,$A$26:$A$38^{1,2,3}), 1,2)</f>
        <v>-1.6817666898267206E-5</v>
      </c>
      <c r="K48" s="39"/>
      <c r="L48" s="39"/>
      <c r="M48" s="39"/>
      <c r="N48" s="39"/>
      <c r="O48" s="39"/>
      <c r="P48" s="39" cm="1">
        <f t="array" ref="P48">INDEX(LINEST(P$25:P$38,$A$25:$A$38^{1,2,3}), 1,2)</f>
        <v>0</v>
      </c>
      <c r="Q48" s="39" cm="1">
        <f t="array" ref="Q48">INDEX(LINEST(Q$25:Q$38,$A$25:$A$38^{1,2,3}), 1,2)</f>
        <v>-4.9462489128125847E-4</v>
      </c>
      <c r="R48" s="39" cm="1">
        <f t="array" ref="R48">INDEX(LINEST(R$25:R$38,$A$25:$A$38^{1,2,3}), 1,2)</f>
        <v>-8.7112408915102741E-4</v>
      </c>
      <c r="S48" s="39" cm="1">
        <f t="array" ref="S48">INDEX(LINEST(S$25:S$38,$A$25:$A$38^{1,2,3}), 1,2)</f>
        <v>-6.5440896932282403E-4</v>
      </c>
      <c r="T48" s="39" cm="1">
        <f t="array" ref="T48">INDEX(LINEST(T$25:T$38,$A$25:$A$38^{1,2,3}), 1,2)</f>
        <v>-8.1273596436806433E-4</v>
      </c>
      <c r="U48" s="39" cm="1">
        <f t="array" ref="U48">INDEX(LINEST(U$25:U$38,$A$25:$A$38^{1,2,3}), 1,2)</f>
        <v>-5.8690242811938438E-4</v>
      </c>
      <c r="V48" s="39" cm="1">
        <f t="array" ref="V48">INDEX(LINEST(V$25:V$38,$A$25:$A$38^{1,2,3}), 1,2)</f>
        <v>-1.593914281207983E-4</v>
      </c>
      <c r="W48" s="39" cm="1">
        <f t="array" ref="W48">INDEX(LINEST(W$25:W$38,$A$25:$A$38^{1,2,3}), 1,2)</f>
        <v>-9.365145942904124E-5</v>
      </c>
      <c r="X48" s="39" cm="1">
        <f t="array" ref="X48">INDEX(LINEST(X$25:X$38,$A$25:$A$38^{1,2,3}), 1,2)</f>
        <v>-1.3620351366067259E-4</v>
      </c>
      <c r="Y48" s="39" cm="1">
        <f t="array" ref="Y48">INDEX(LINEST(Y$25:Y$38,$A$25:$A$38^{1,2,3}), 1,2)</f>
        <v>-1.3620351366067259E-4</v>
      </c>
      <c r="Z48" s="39" cm="1">
        <f t="array" ref="Z48">INDEX(LINEST(Z$25:Z$38,$A$25:$A$38^{1,2,3}), 1,2)</f>
        <v>-1.3620351366067259E-4</v>
      </c>
      <c r="AA48" s="39" cm="1">
        <f t="array" ref="AA48">INDEX(LINEST(AA$25:AA$38,$A$25:$A$38^{1,2,3}), 1,2)</f>
        <v>-1.3620351366067259E-4</v>
      </c>
      <c r="AB48" s="39" cm="1">
        <f t="array" ref="AB48">INDEX(LINEST(AB$25:AB$38,$A$25:$A$38^{1,2,3}), 1,2)</f>
        <v>-1.3620351366067259E-4</v>
      </c>
      <c r="AC48" s="16"/>
    </row>
    <row r="49" spans="1:29" x14ac:dyDescent="0.25">
      <c r="A49" s="38" t="s">
        <v>32</v>
      </c>
      <c r="B49" s="38" cm="1">
        <f t="array" ref="B49">INDEX(LINEST(B$25:B$38,$A$25:$A$38^{1,2,3}), 1)</f>
        <v>2.890195963673243E-7</v>
      </c>
      <c r="C49" s="38" cm="1">
        <f t="array" ref="C49">INDEX(LINEST(C$25:C$38,$A$25:$A$38^{1,2,3}), 1)</f>
        <v>0</v>
      </c>
      <c r="D49" s="39" cm="1">
        <f t="array" ref="D49">INDEX(LINEST(D$26:D$38,$A$26:$A$38^{1,2,3}), 1)</f>
        <v>2.5410859574748694E-8</v>
      </c>
      <c r="E49" s="39" cm="1">
        <f t="array" ref="E49">INDEX(LINEST(E$26:E$38,$A$26:$A$38^{1,2,3}), 1)</f>
        <v>3.0846588149846666E-8</v>
      </c>
      <c r="F49" s="39" cm="1">
        <f t="array" ref="F49">INDEX(LINEST(F$26:F$38,$A$26:$A$38^{1,2,3}), 1)</f>
        <v>2.8135065954877362E-8</v>
      </c>
      <c r="G49" s="39" cm="1">
        <f t="array" ref="G49">INDEX(LINEST(G$26:G$38,$A$26:$A$38^{1,2,3}), 1)</f>
        <v>2.7615039280021775E-8</v>
      </c>
      <c r="H49" s="39" cm="1">
        <f t="array" ref="H49">INDEX(LINEST(H$26:H$38,$A$26:$A$38^{1,2,3}), 1)</f>
        <v>2.4466571744931313E-8</v>
      </c>
      <c r="I49" s="39" cm="1">
        <f t="array" ref="I49">INDEX(LINEST(I$26:I$38,$A$26:$A$38^{1,2,3}), 1)</f>
        <v>1.8212081500159751E-8</v>
      </c>
      <c r="J49" s="39" cm="1">
        <f t="array" ref="J49">INDEX(LINEST(J$26:J$38,$A$26:$A$38^{1,2,3}), 1)</f>
        <v>1.3472444749999433E-8</v>
      </c>
      <c r="K49" s="39"/>
      <c r="L49" s="39"/>
      <c r="M49" s="39"/>
      <c r="N49" s="39"/>
      <c r="O49" s="39"/>
      <c r="P49" s="39" cm="1">
        <f t="array" ref="P49">INDEX(LINEST(P$25:P$38,$A$25:$A$38^{1,2,3}), 1)</f>
        <v>0</v>
      </c>
      <c r="Q49" s="39" cm="1">
        <f t="array" ref="Q49">INDEX(LINEST(Q$25:Q$38,$A$25:$A$38^{1,2,3}), 1)</f>
        <v>-1.0455873374763554E-6</v>
      </c>
      <c r="R49" s="40" cm="1">
        <f t="array" ref="R49">INDEX(LINEST(R$25:R$38,$A$25:$A$38^{1,2,3}), 1)</f>
        <v>-3.6822765422341804E-7</v>
      </c>
      <c r="S49" s="40" cm="1">
        <f t="array" ref="S49">INDEX(LINEST(S$25:S$38,$A$25:$A$38^{1,2,3}), 1)</f>
        <v>-6.1165010538622199E-7</v>
      </c>
      <c r="T49" s="39" cm="1">
        <f t="array" ref="T49">INDEX(LINEST(T$25:T$38,$A$25:$A$38^{1,2,3}), 1)</f>
        <v>-3.4293984934465009E-7</v>
      </c>
      <c r="U49" s="39" cm="1">
        <f t="array" ref="U49">INDEX(LINEST(U$25:U$38,$A$25:$A$38^{1,2,3}), 1)</f>
        <v>-7.4881278697577067E-7</v>
      </c>
      <c r="V49" s="39" cm="1">
        <f t="array" ref="V49">INDEX(LINEST(V$25:V$38,$A$25:$A$38^{1,2,3}), 1)</f>
        <v>-1.4437354730354325E-6</v>
      </c>
      <c r="W49" s="39" cm="1">
        <f t="array" ref="W49">INDEX(LINEST(W$25:W$38,$A$25:$A$38^{1,2,3}), 1)</f>
        <v>-1.409574763179156E-6</v>
      </c>
      <c r="X49" s="39" cm="1">
        <f t="array" ref="X49">INDEX(LINEST(X$25:X$38,$A$25:$A$38^{1,2,3}), 1)</f>
        <v>1.5614039005853851E-7</v>
      </c>
      <c r="Y49" s="39" cm="1">
        <f t="array" ref="Y49">INDEX(LINEST(Y$25:Y$38,$A$25:$A$38^{1,2,3}), 1)</f>
        <v>1.5614039005853851E-7</v>
      </c>
      <c r="Z49" s="39" cm="1">
        <f t="array" ref="Z49">INDEX(LINEST(Z$25:Z$38,$A$25:$A$38^{1,2,3}), 1)</f>
        <v>1.5614039005853851E-7</v>
      </c>
      <c r="AA49" s="39" cm="1">
        <f t="array" ref="AA49">INDEX(LINEST(AA$25:AA$38,$A$25:$A$38^{1,2,3}), 1)</f>
        <v>1.5614039005853851E-7</v>
      </c>
      <c r="AB49" s="39" cm="1">
        <f t="array" ref="AB49">INDEX(LINEST(AB$25:AB$38,$A$25:$A$38^{1,2,3}), 1)</f>
        <v>1.5614039005853851E-7</v>
      </c>
      <c r="AC49" s="16"/>
    </row>
    <row r="50" spans="1:29" x14ac:dyDescent="0.25">
      <c r="A50" s="38" t="s">
        <v>33</v>
      </c>
      <c r="B50" s="38"/>
      <c r="C50" s="39"/>
      <c r="D50" s="40"/>
      <c r="E50" s="40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40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16"/>
    </row>
    <row r="51" spans="1:29" x14ac:dyDescent="0.25">
      <c r="A51" s="38" t="s">
        <v>34</v>
      </c>
      <c r="B51" s="38"/>
      <c r="C51" s="39"/>
      <c r="D51" s="40"/>
      <c r="E51" s="40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40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16"/>
    </row>
    <row r="52" spans="1:29" x14ac:dyDescent="0.25">
      <c r="A52" s="38" t="s">
        <v>35</v>
      </c>
      <c r="B52" s="38"/>
      <c r="C52" s="39"/>
      <c r="D52" s="40"/>
      <c r="E52" s="40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40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16"/>
    </row>
    <row r="53" spans="1:29" x14ac:dyDescent="0.25"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5" spans="1:29" x14ac:dyDescent="0.25">
      <c r="A55" s="17" t="s">
        <v>2</v>
      </c>
      <c r="C55" t="s">
        <v>76</v>
      </c>
      <c r="D55" s="43" t="s">
        <v>77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29" t="s">
        <v>75</v>
      </c>
      <c r="Q55" s="43" t="s">
        <v>36</v>
      </c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</row>
    <row r="56" spans="1:29" x14ac:dyDescent="0.25">
      <c r="A56" s="1">
        <v>0</v>
      </c>
      <c r="B56" s="1" cm="1">
        <f t="array" ref="B56">EvaluatePolynomial(B$46:B$49,$A56)</f>
        <v>3956.1017811345491</v>
      </c>
      <c r="C56" s="2" cm="1">
        <f t="array" ref="C56">EvaluatePolynomial(C$46:C$49,$A56)</f>
        <v>0</v>
      </c>
      <c r="D56" s="2" cm="1">
        <f t="array" ref="D56">EvaluatePolynomial(D$46:D$49,$A56)</f>
        <v>-0.31907309461984756</v>
      </c>
      <c r="E56" s="2" cm="1">
        <f t="array" ref="E56">EvaluatePolynomial(E$46:E$49,$A56)</f>
        <v>-0.40873308369715622</v>
      </c>
      <c r="F56" s="2" cm="1">
        <f t="array" ref="F56">EvaluatePolynomial(F$46:F$49,$A56)</f>
        <v>-0.30804233913950019</v>
      </c>
      <c r="G56" s="2" cm="1">
        <f t="array" ref="G56">EvaluatePolynomial(G$46:G$49,$A56)</f>
        <v>-0.21974976388402689</v>
      </c>
      <c r="H56" s="2" cm="1">
        <f t="array" ref="H56">EvaluatePolynomial(H$46:H$49,$A56)</f>
        <v>5.2868403219461846E-2</v>
      </c>
      <c r="I56" s="2" cm="1">
        <f t="array" ref="I56">EvaluatePolynomial(I$46:I$49,$A56)</f>
        <v>0.33146475148230325</v>
      </c>
      <c r="J56" s="2" cm="1">
        <f t="array" ref="J56">EvaluatePolynomial(J$46:J$49,$A56)</f>
        <v>0.56987061626617042</v>
      </c>
      <c r="K56" s="2" cm="1">
        <f t="array" ref="K56">EvaluatePolynomial(K$46:K$49,$A56)</f>
        <v>0</v>
      </c>
      <c r="L56" s="2" cm="1">
        <f t="array" ref="L56">EvaluatePolynomial(L$46:L$49,$A56)</f>
        <v>0</v>
      </c>
      <c r="M56" s="2" cm="1">
        <f t="array" ref="M56">EvaluatePolynomial(M$46:M$49,$A56)</f>
        <v>0</v>
      </c>
      <c r="N56" s="2" cm="1">
        <f t="array" ref="N56">EvaluatePolynomial(N$46:N$49,$A56)</f>
        <v>0</v>
      </c>
      <c r="O56" s="2" cm="1">
        <f t="array" ref="O56">EvaluatePolynomial(O$46:O$49,$A56)</f>
        <v>0</v>
      </c>
      <c r="P56" s="2" cm="1">
        <f t="array" ref="P56">TrajectoryToComeUp(P$46:P$49,$A56)</f>
        <v>0</v>
      </c>
      <c r="Q56" s="2" cm="1">
        <f t="array" ref="Q56">TrajectoryToComeUp(Q$46:Q$49,$A56)</f>
        <v>0</v>
      </c>
      <c r="R56" s="2" cm="1">
        <f t="array" ref="R56">TrajectoryToComeUp(R$46:R$49,$A56)</f>
        <v>0</v>
      </c>
      <c r="S56" s="2" cm="1">
        <f t="array" ref="S56">TrajectoryToComeUp(S$46:S$49,$A56)</f>
        <v>0</v>
      </c>
      <c r="T56" s="2" cm="1">
        <f t="array" ref="T56">TrajectoryToComeUp(T$46:T$49,$A56)</f>
        <v>0</v>
      </c>
      <c r="U56" s="2" cm="1">
        <f t="array" ref="U56">TrajectoryToComeUp(U$46:U$49,$A56)</f>
        <v>0</v>
      </c>
      <c r="V56" s="2" cm="1">
        <f t="array" ref="V56">TrajectoryToComeUp(V$46:V$49,$A56)</f>
        <v>0</v>
      </c>
      <c r="W56" s="2" cm="1">
        <f t="array" ref="W56">TrajectoryToComeUp(W$46:W$49,$A56)</f>
        <v>0</v>
      </c>
      <c r="X56" s="2" cm="1">
        <f t="array" ref="X56">TrajectoryToComeUp(X$46:X$49,$A56)</f>
        <v>0</v>
      </c>
      <c r="Y56" s="2" cm="1">
        <f t="array" ref="Y56">TrajectoryToComeUp(Y$46:Y$49,$A56)</f>
        <v>0</v>
      </c>
      <c r="Z56" s="2" cm="1">
        <f t="array" ref="Z56">TrajectoryToComeUp(Z$46:Z$49,$A56)</f>
        <v>0</v>
      </c>
      <c r="AA56" s="2" cm="1">
        <f t="array" ref="AA56">TrajectoryToComeUp(AA$46:AA$49,$A56)</f>
        <v>0</v>
      </c>
      <c r="AB56" s="2" cm="1">
        <f t="array" ref="AB56">TrajectoryToComeUp(AB$46:AB$49,$A56)</f>
        <v>0</v>
      </c>
      <c r="AC56" s="2"/>
    </row>
    <row r="57" spans="1:29" x14ac:dyDescent="0.25">
      <c r="A57" s="1">
        <v>25</v>
      </c>
      <c r="B57" s="1" cm="1">
        <f t="array" ref="B57">EvaluatePolynomial(B$46:B$49,$A57)</f>
        <v>3817.2886493556675</v>
      </c>
      <c r="C57" s="2" cm="1">
        <f t="array" ref="C57">EvaluatePolynomial(C$46:C$49,$A57)</f>
        <v>0</v>
      </c>
      <c r="D57" s="2" cm="1">
        <f t="array" ref="D57">EvaluatePolynomial(D$46:D$49,$A57)</f>
        <v>-0.19167429279533038</v>
      </c>
      <c r="E57" s="2" cm="1">
        <f t="array" ref="E57">EvaluatePolynomial(E$46:E$49,$A57)</f>
        <v>-0.26607015536947465</v>
      </c>
      <c r="F57" s="2" cm="1">
        <f t="array" ref="F57">EvaluatePolynomial(F$46:F$49,$A57)</f>
        <v>-0.17825912453414156</v>
      </c>
      <c r="G57" s="2" cm="1">
        <f t="array" ref="G57">EvaluatePolynomial(G$46:G$49,$A57)</f>
        <v>-9.3969944187649118E-2</v>
      </c>
      <c r="H57" s="2" cm="1">
        <f t="array" ref="H57">EvaluatePolynomial(H$46:H$49,$A57)</f>
        <v>0.16430544527200452</v>
      </c>
      <c r="I57" s="2" cm="1">
        <f t="array" ref="I57">EvaluatePolynomial(I$46:I$49,$A57)</f>
        <v>0.42904227020022967</v>
      </c>
      <c r="J57" s="2" cm="1">
        <f t="array" ref="J57">EvaluatePolynomial(J$46:J$49,$A57)</f>
        <v>0.65702888062411979</v>
      </c>
      <c r="K57" s="2" cm="1">
        <f t="array" ref="K57">EvaluatePolynomial(K$46:K$49,$A57)</f>
        <v>0</v>
      </c>
      <c r="L57" s="2" cm="1">
        <f t="array" ref="L57">EvaluatePolynomial(L$46:L$49,$A57)</f>
        <v>0</v>
      </c>
      <c r="M57" s="2" cm="1">
        <f t="array" ref="M57">EvaluatePolynomial(M$46:M$49,$A57)</f>
        <v>0</v>
      </c>
      <c r="N57" s="2" cm="1">
        <f t="array" ref="N57">EvaluatePolynomial(N$46:N$49,$A57)</f>
        <v>0</v>
      </c>
      <c r="O57" s="2" cm="1">
        <f t="array" ref="O57">EvaluatePolynomial(O$46:O$49,$A57)</f>
        <v>0</v>
      </c>
      <c r="P57" s="2" cm="1">
        <f t="array" ref="P57">TrajectoryToComeUp(P$46:P$49,$A57)</f>
        <v>0</v>
      </c>
      <c r="Q57" s="2" cm="1">
        <f t="array" ref="Q57">TrajectoryToComeUp(Q$46:Q$49,$A57)</f>
        <v>0.79401182936681025</v>
      </c>
      <c r="R57" s="2" cm="1">
        <f t="array" ref="R57">TrajectoryToComeUp(R$46:R$49,$A57)</f>
        <v>1.0622868551050726</v>
      </c>
      <c r="S57" s="2" cm="1">
        <f t="array" ref="S57">TrajectoryToComeUp(S$46:S$49,$A57)</f>
        <v>0.6307690586165221</v>
      </c>
      <c r="T57" s="2" cm="1">
        <f t="array" ref="T57">TrajectoryToComeUp(T$46:T$49,$A57)</f>
        <v>0.43325467443662657</v>
      </c>
      <c r="U57" s="2" cm="1">
        <f t="array" ref="U57">TrajectoryToComeUp(U$46:U$49,$A57)</f>
        <v>-0.67079539881038319</v>
      </c>
      <c r="V57" s="2" cm="1">
        <f t="array" ref="V57">TrajectoryToComeUp(V$46:V$49,$A57)</f>
        <v>-1.6334670245915657</v>
      </c>
      <c r="W57" s="2" cm="1">
        <f t="array" ref="W57">TrajectoryToComeUp(W$46:W$49,$A57)</f>
        <v>-2.2417311235450694</v>
      </c>
      <c r="X57" s="2" cm="1">
        <f t="array" ref="X57">TrajectoryToComeUp(X$46:X$49,$A57)</f>
        <v>0.56560998272177843</v>
      </c>
      <c r="Y57" s="2" cm="1">
        <f t="array" ref="Y57">TrajectoryToComeUp(Y$46:Y$49,$A57)</f>
        <v>0.56560998272177843</v>
      </c>
      <c r="Z57" s="2" cm="1">
        <f t="array" ref="Z57">TrajectoryToComeUp(Z$46:Z$49,$A57)</f>
        <v>0.56560998272177843</v>
      </c>
      <c r="AA57" s="2" cm="1">
        <f t="array" ref="AA57">TrajectoryToComeUp(AA$46:AA$49,$A57)</f>
        <v>0.56560998272177843</v>
      </c>
      <c r="AB57" s="2" cm="1">
        <f t="array" ref="AB57">TrajectoryToComeUp(AB$46:AB$49,$A57)</f>
        <v>0.56560998272177843</v>
      </c>
      <c r="AC57" s="2"/>
    </row>
    <row r="58" spans="1:29" x14ac:dyDescent="0.25">
      <c r="A58" s="1">
        <v>50</v>
      </c>
      <c r="B58" s="1" cm="1">
        <f t="array" ref="B58">EvaluatePolynomial(B$46:B$49,$A58)</f>
        <v>3681.4304959513993</v>
      </c>
      <c r="C58" s="2" cm="1">
        <f t="array" ref="C58">EvaluatePolynomial(C$46:C$49,$A58)</f>
        <v>0</v>
      </c>
      <c r="D58" s="2" cm="1">
        <f t="array" ref="D58">EvaluatePolynomial(D$46:D$49,$A58)</f>
        <v>-9.4601722862205875E-2</v>
      </c>
      <c r="E58" s="2" cm="1">
        <f t="array" ref="E58">EvaluatePolynomial(E$46:E$49,$A58)</f>
        <v>-0.15811812283275381</v>
      </c>
      <c r="F58" s="2" cm="1">
        <f t="array" ref="F58">EvaluatePolynomial(F$46:F$49,$A58)</f>
        <v>-8.0645899552107547E-2</v>
      </c>
      <c r="G58" s="2" cm="1">
        <f t="array" ref="G58">EvaluatePolynomial(G$46:G$49,$A58)</f>
        <v>4.3496836602146746E-4</v>
      </c>
      <c r="H58" s="2" cm="1">
        <f t="array" ref="H58">EvaluatePolynomial(H$46:H$49,$A58)</f>
        <v>0.24709911640173723</v>
      </c>
      <c r="I58" s="2" cm="1">
        <f t="array" ref="I58">EvaluatePolynomial(I$46:I$49,$A58)</f>
        <v>0.50264532405570805</v>
      </c>
      <c r="J58" s="2" cm="1">
        <f t="array" ref="J58">EvaluatePolynomial(J$46:J$49,$A58)</f>
        <v>0.72442810305454752</v>
      </c>
      <c r="K58" s="2" cm="1">
        <f t="array" ref="K58">EvaluatePolynomial(K$46:K$49,$A58)</f>
        <v>0</v>
      </c>
      <c r="L58" s="2" cm="1">
        <f t="array" ref="L58">EvaluatePolynomial(L$46:L$49,$A58)</f>
        <v>0</v>
      </c>
      <c r="M58" s="2" cm="1">
        <f t="array" ref="M58">EvaluatePolynomial(M$46:M$49,$A58)</f>
        <v>0</v>
      </c>
      <c r="N58" s="2" cm="1">
        <f t="array" ref="N58">EvaluatePolynomial(N$46:N$49,$A58)</f>
        <v>0</v>
      </c>
      <c r="O58" s="2" cm="1">
        <f t="array" ref="O58">EvaluatePolynomial(O$46:O$49,$A58)</f>
        <v>0</v>
      </c>
      <c r="P58" s="2" cm="1">
        <f t="array" ref="P58">TrajectoryToComeUp(P$46:P$49,$A58)</f>
        <v>0</v>
      </c>
      <c r="Q58" s="2" cm="1">
        <f t="array" ref="Q58">TrajectoryToComeUp(Q$46:Q$49,$A58)</f>
        <v>-6.1636501572702243E-2</v>
      </c>
      <c r="R58" s="2" cm="1">
        <f t="array" ref="R58">TrajectoryToComeUp(R$46:R$49,$A58)</f>
        <v>7.5615473729488611E-2</v>
      </c>
      <c r="S58" s="2" cm="1">
        <f t="array" ref="S58">TrajectoryToComeUp(S$46:S$49,$A58)</f>
        <v>-0.1508837343620498</v>
      </c>
      <c r="T58" s="2" cm="1">
        <f t="array" ref="T58">TrajectoryToComeUp(T$46:T$49,$A58)</f>
        <v>-0.48304264140171693</v>
      </c>
      <c r="U58" s="2" cm="1">
        <f t="array" ref="U58">TrajectoryToComeUp(U$46:U$49,$A58)</f>
        <v>-1.3768523366099048</v>
      </c>
      <c r="V58" s="2" cm="1">
        <f t="array" ref="V58">TrajectoryToComeUp(V$46:V$49,$A58)</f>
        <v>-2.2509100674706799</v>
      </c>
      <c r="W58" s="2" cm="1">
        <f t="array" ref="W58">TrajectoryToComeUp(W$46:W$49,$A58)</f>
        <v>-3.0611140463425364</v>
      </c>
      <c r="X58" s="2" cm="1">
        <f t="array" ref="X58">TrajectoryToComeUp(X$46:X$49,$A58)</f>
        <v>0.1600082141227058</v>
      </c>
      <c r="Y58" s="2" cm="1">
        <f t="array" ref="Y58">TrajectoryToComeUp(Y$46:Y$49,$A58)</f>
        <v>0.1600082141227058</v>
      </c>
      <c r="Z58" s="2" cm="1">
        <f t="array" ref="Z58">TrajectoryToComeUp(Z$46:Z$49,$A58)</f>
        <v>0.1600082141227058</v>
      </c>
      <c r="AA58" s="2" cm="1">
        <f t="array" ref="AA58">TrajectoryToComeUp(AA$46:AA$49,$A58)</f>
        <v>0.1600082141227058</v>
      </c>
      <c r="AB58" s="2" cm="1">
        <f t="array" ref="AB58">TrajectoryToComeUp(AB$46:AB$49,$A58)</f>
        <v>0.1600082141227058</v>
      </c>
      <c r="AC58" s="2"/>
    </row>
    <row r="59" spans="1:29" x14ac:dyDescent="0.25">
      <c r="A59" s="1">
        <v>75</v>
      </c>
      <c r="B59" s="1" cm="1">
        <f t="array" ref="B59">EvaluatePolynomial(B$46:B$49,$A59)</f>
        <v>3548.5544165089032</v>
      </c>
      <c r="C59" s="2" cm="1">
        <f t="array" ref="C59">EvaluatePolynomial(C$46:C$49,$A59)</f>
        <v>0</v>
      </c>
      <c r="D59" s="2" cm="1">
        <f t="array" ref="D59">EvaluatePolynomial(D$46:D$49,$A59)</f>
        <v>-2.5473116735341351E-2</v>
      </c>
      <c r="E59" s="2" cm="1">
        <f t="array" ref="E59">EvaluatePolynomial(E$46:E$49,$A59)</f>
        <v>-8.1985118447945621E-2</v>
      </c>
      <c r="F59" s="2" cm="1">
        <f t="array" ref="F59">EvaluatePolynomial(F$46:F$49,$A59)</f>
        <v>-1.2565001760128416E-2</v>
      </c>
      <c r="G59" s="2" cm="1">
        <f t="array" ref="G59">EvaluatePolynomial(G$46:G$49,$A59)</f>
        <v>6.6053883709486824E-2</v>
      </c>
      <c r="H59" s="2" cm="1">
        <f t="array" ref="H59">EvaluatePolynomial(H$46:H$49,$A59)</f>
        <v>0.30354315770974732</v>
      </c>
      <c r="I59" s="2" cm="1">
        <f t="array" ref="I59">EvaluatePolynomial(I$46:I$49,$A59)</f>
        <v>0.55398129568937837</v>
      </c>
      <c r="J59" s="2" cm="1">
        <f t="array" ref="J59">EvaluatePolynomial(J$46:J$49,$A59)</f>
        <v>0.77333132525276616</v>
      </c>
      <c r="K59" s="2" cm="1">
        <f t="array" ref="K59">EvaluatePolynomial(K$46:K$49,$A59)</f>
        <v>0</v>
      </c>
      <c r="L59" s="2" cm="1">
        <f t="array" ref="L59">EvaluatePolynomial(L$46:L$49,$A59)</f>
        <v>0</v>
      </c>
      <c r="M59" s="2" cm="1">
        <f t="array" ref="M59">EvaluatePolynomial(M$46:M$49,$A59)</f>
        <v>0</v>
      </c>
      <c r="N59" s="2" cm="1">
        <f t="array" ref="N59">EvaluatePolynomial(N$46:N$49,$A59)</f>
        <v>0</v>
      </c>
      <c r="O59" s="2" cm="1">
        <f t="array" ref="O59">EvaluatePolynomial(O$46:O$49,$A59)</f>
        <v>0</v>
      </c>
      <c r="P59" s="2" cm="1">
        <f t="array" ref="P59">TrajectoryToComeUp(P$46:P$49,$A59)</f>
        <v>0</v>
      </c>
      <c r="Q59" s="2" cm="1">
        <f t="array" ref="Q59">TrajectoryToComeUp(Q$46:Q$49,$A59)</f>
        <v>-0.23827544656875449</v>
      </c>
      <c r="R59" s="2" cm="1">
        <f t="array" ref="R59">TrajectoryToComeUp(R$46:R$49,$A59)</f>
        <v>-9.8881947181616026E-2</v>
      </c>
      <c r="S59" s="2" cm="1">
        <f t="array" ref="S59">TrajectoryToComeUp(S$46:S$49,$A59)</f>
        <v>-0.28707525116644744</v>
      </c>
      <c r="T59" s="2" cm="1">
        <f t="array" ref="T59">TrajectoryToComeUp(T$46:T$49,$A59)</f>
        <v>-0.64444558971953758</v>
      </c>
      <c r="U59" s="2" cm="1">
        <f t="array" ref="U59">TrajectoryToComeUp(U$46:U$49,$A59)</f>
        <v>-1.49566725818212</v>
      </c>
      <c r="V59" s="2" cm="1">
        <f t="array" ref="V59">TrajectoryToComeUp(V$46:V$49,$A59)</f>
        <v>-2.3940657902510325</v>
      </c>
      <c r="W59" s="2" cm="1">
        <f t="array" ref="W59">TrajectoryToComeUp(W$46:W$49,$A59)</f>
        <v>-3.2833937416240393</v>
      </c>
      <c r="X59" s="2" cm="1">
        <f t="array" ref="X59">TrajectoryToComeUp(X$46:X$49,$A59)</f>
        <v>4.3604700448330203E-2</v>
      </c>
      <c r="Y59" s="2" cm="1">
        <f t="array" ref="Y59">TrajectoryToComeUp(Y$46:Y$49,$A59)</f>
        <v>4.3604700448330203E-2</v>
      </c>
      <c r="Z59" s="2" cm="1">
        <f t="array" ref="Z59">TrajectoryToComeUp(Z$46:Z$49,$A59)</f>
        <v>4.3604700448330203E-2</v>
      </c>
      <c r="AA59" s="2" cm="1">
        <f t="array" ref="AA59">TrajectoryToComeUp(AA$46:AA$49,$A59)</f>
        <v>4.3604700448330203E-2</v>
      </c>
      <c r="AB59" s="2" cm="1">
        <f t="array" ref="AB59">TrajectoryToComeUp(AB$46:AB$49,$A59)</f>
        <v>4.3604700448330203E-2</v>
      </c>
      <c r="AC59" s="2"/>
    </row>
    <row r="60" spans="1:29" x14ac:dyDescent="0.25">
      <c r="A60" s="1">
        <v>100</v>
      </c>
      <c r="B60" s="1" cm="1">
        <f t="array" ref="B60">EvaluatePolynomial(B$46:B$49,$A60)</f>
        <v>3418.6875066153389</v>
      </c>
      <c r="C60" s="2" cm="1">
        <f t="array" ref="C60">EvaluatePolynomial(C$46:C$49,$A60)</f>
        <v>0</v>
      </c>
      <c r="D60" s="2" cm="1">
        <f t="array" ref="D60">EvaluatePolynomial(D$46:D$49,$A60)</f>
        <v>1.8093793670395909E-2</v>
      </c>
      <c r="E60" s="2" cm="1">
        <f t="array" ref="E60">EvaluatePolynomial(E$46:E$49,$A60)</f>
        <v>-3.4779274576001898E-2</v>
      </c>
      <c r="F60" s="2" cm="1">
        <f t="array" ref="F60">EvaluatePolynomial(F$46:F$49,$A60)</f>
        <v>2.8621231275065634E-2</v>
      </c>
      <c r="G60" s="2" cm="1">
        <f t="array" ref="G60">EvaluatePolynomial(G$46:G$49,$A60)</f>
        <v>0.10547571177524905</v>
      </c>
      <c r="H60" s="2" cm="1">
        <f t="array" ref="H60">EvaluatePolynomial(H$46:H$49,$A60)</f>
        <v>0.33593131029712198</v>
      </c>
      <c r="I60" s="2" cm="1">
        <f t="array" ref="I60">EvaluatePolynomial(I$46:I$49,$A60)</f>
        <v>0.5847575677418807</v>
      </c>
      <c r="J60" s="2" cm="1">
        <f t="array" ref="J60">EvaluatePolynomial(J$46:J$49,$A60)</f>
        <v>0.80500158891408813</v>
      </c>
      <c r="K60" s="2" cm="1">
        <f t="array" ref="K60">EvaluatePolynomial(K$46:K$49,$A60)</f>
        <v>0</v>
      </c>
      <c r="L60" s="2" cm="1">
        <f t="array" ref="L60">EvaluatePolynomial(L$46:L$49,$A60)</f>
        <v>0</v>
      </c>
      <c r="M60" s="2" cm="1">
        <f t="array" ref="M60">EvaluatePolynomial(M$46:M$49,$A60)</f>
        <v>0</v>
      </c>
      <c r="N60" s="2" cm="1">
        <f t="array" ref="N60">EvaluatePolynomial(N$46:N$49,$A60)</f>
        <v>0</v>
      </c>
      <c r="O60" s="2" cm="1">
        <f t="array" ref="O60">EvaluatePolynomial(O$46:O$49,$A60)</f>
        <v>0</v>
      </c>
      <c r="P60" s="2" cm="1">
        <f t="array" ref="P60">TrajectoryToComeUp(P$46:P$49,$A60)</f>
        <v>0</v>
      </c>
      <c r="Q60" s="2" cm="1">
        <f t="array" ref="Q60">TrajectoryToComeUp(Q$46:Q$49,$A60)</f>
        <v>-0.23535966379010076</v>
      </c>
      <c r="R60" s="2" cm="1">
        <f t="array" ref="R60">TrajectoryToComeUp(R$46:R$49,$A60)</f>
        <v>-6.6883743718256394E-2</v>
      </c>
      <c r="S60" s="2" cm="1">
        <f t="array" ref="S60">TrajectoryToComeUp(S$46:S$49,$A60)</f>
        <v>-0.25616722918930568</v>
      </c>
      <c r="T60" s="2" cm="1">
        <f t="array" ref="T60">TrajectoryToComeUp(T$46:T$49,$A60)</f>
        <v>-0.61390988506962174</v>
      </c>
      <c r="U60" s="2" cm="1">
        <f t="array" ref="U60">TrajectoryToComeUp(U$46:U$49,$A60)</f>
        <v>-1.4606515558196109</v>
      </c>
      <c r="V60" s="2" cm="1">
        <f t="array" ref="V60">TrajectoryToComeUp(V$46:V$49,$A60)</f>
        <v>-2.4051146629469868</v>
      </c>
      <c r="W60" s="2" cm="1">
        <f t="array" ref="W60">TrajectoryToComeUp(W$46:W$49,$A60)</f>
        <v>-3.3431828666217474</v>
      </c>
      <c r="X60" s="2" cm="1">
        <f t="array" ref="X60">TrajectoryToComeUp(X$46:X$49,$A60)</f>
        <v>-1.9630656516699384E-3</v>
      </c>
      <c r="Y60" s="2" cm="1">
        <f t="array" ref="Y60">TrajectoryToComeUp(Y$46:Y$49,$A60)</f>
        <v>-1.9630656516699384E-3</v>
      </c>
      <c r="Z60" s="2" cm="1">
        <f t="array" ref="Z60">TrajectoryToComeUp(Z$46:Z$49,$A60)</f>
        <v>-1.9630656516699384E-3</v>
      </c>
      <c r="AA60" s="2" cm="1">
        <f t="array" ref="AA60">TrajectoryToComeUp(AA$46:AA$49,$A60)</f>
        <v>-1.9630656516699384E-3</v>
      </c>
      <c r="AB60" s="2" cm="1">
        <f t="array" ref="AB60">TrajectoryToComeUp(AB$46:AB$49,$A60)</f>
        <v>-1.9630656516699384E-3</v>
      </c>
      <c r="AC60" s="2"/>
    </row>
    <row r="61" spans="1:29" x14ac:dyDescent="0.25">
      <c r="A61" s="1">
        <v>125</v>
      </c>
      <c r="B61" s="1" cm="1">
        <f t="array" ref="B61">EvaluatePolynomial(B$46:B$49,$A61)</f>
        <v>3291.8568618578665</v>
      </c>
      <c r="C61" s="2" cm="1">
        <f t="array" ref="C61">EvaluatePolynomial(C$46:C$49,$A61)</f>
        <v>0</v>
      </c>
      <c r="D61" s="2" cm="1">
        <f t="array" ref="D61">EvaluatePolynomial(D$46:D$49,$A61)</f>
        <v>3.8481276440138504E-2</v>
      </c>
      <c r="E61" s="2" cm="1">
        <f t="array" ref="E61">EvaluatePolynomial(E$46:E$49,$A61)</f>
        <v>-1.3608723577874486E-2</v>
      </c>
      <c r="F61" s="2" cm="1">
        <f t="array" ref="F61">EvaluatePolynomial(F$46:F$49,$A61)</f>
        <v>4.555046198674427E-2</v>
      </c>
      <c r="G61" s="2" cm="1">
        <f t="array" ref="G61">EvaluatePolynomial(G$46:G$49,$A61)</f>
        <v>0.12128936249581015</v>
      </c>
      <c r="H61" s="2" cm="1">
        <f t="array" ref="H61">EvaluatePolynomial(H$46:H$49,$A61)</f>
        <v>0.34655731526494865</v>
      </c>
      <c r="I61" s="2" cm="1">
        <f t="array" ref="I61">EvaluatePolynomial(I$46:I$49,$A61)</f>
        <v>0.5966815228538549</v>
      </c>
      <c r="J61" s="2" cm="1">
        <f t="array" ref="J61">EvaluatePolynomial(J$46:J$49,$A61)</f>
        <v>0.82070193573382588</v>
      </c>
      <c r="K61" s="2" cm="1">
        <f t="array" ref="K61">EvaluatePolynomial(K$46:K$49,$A61)</f>
        <v>0</v>
      </c>
      <c r="L61" s="2" cm="1">
        <f t="array" ref="L61">EvaluatePolynomial(L$46:L$49,$A61)</f>
        <v>0</v>
      </c>
      <c r="M61" s="2" cm="1">
        <f t="array" ref="M61">EvaluatePolynomial(M$46:M$49,$A61)</f>
        <v>0</v>
      </c>
      <c r="N61" s="2" cm="1">
        <f t="array" ref="N61">EvaluatePolynomial(N$46:N$49,$A61)</f>
        <v>0</v>
      </c>
      <c r="O61" s="2" cm="1">
        <f t="array" ref="O61">EvaluatePolynomial(O$46:O$49,$A61)</f>
        <v>0</v>
      </c>
      <c r="P61" s="2" cm="1">
        <f t="array" ref="P61">TrajectoryToComeUp(P$46:P$49,$A61)</f>
        <v>0</v>
      </c>
      <c r="Q61" s="2" cm="1">
        <f t="array" ref="Q61">TrajectoryToComeUp(Q$46:Q$49,$A61)</f>
        <v>-0.15278008487049197</v>
      </c>
      <c r="R61" s="2" cm="1">
        <f t="array" ref="R61">TrajectoryToComeUp(R$46:R$49,$A61)</f>
        <v>5.0474416901564761E-2</v>
      </c>
      <c r="S61" s="2" cm="1">
        <f t="array" ref="S61">TrajectoryToComeUp(S$46:S$49,$A61)</f>
        <v>-0.15383201590915174</v>
      </c>
      <c r="T61" s="2" cm="1">
        <f t="array" ref="T61">TrajectoryToComeUp(T$46:T$49,$A61)</f>
        <v>-0.50402667036252635</v>
      </c>
      <c r="U61" s="2" cm="1">
        <f t="array" ref="U61">TrajectoryToComeUp(U$46:U$49,$A61)</f>
        <v>-1.358487507980894</v>
      </c>
      <c r="V61" s="2" cm="1">
        <f t="array" ref="V61">TrajectoryToComeUp(V$46:V$49,$A61)</f>
        <v>-2.352492779561417</v>
      </c>
      <c r="W61" s="2" cm="1">
        <f t="array" ref="W61">TrajectoryToComeUp(W$46:W$49,$A61)</f>
        <v>-3.3274039527820931</v>
      </c>
      <c r="X61" s="2" cm="1">
        <f t="array" ref="X61">TrajectoryToComeUp(X$46:X$49,$A61)</f>
        <v>-2.0367585647358882E-2</v>
      </c>
      <c r="Y61" s="2" cm="1">
        <f t="array" ref="Y61">TrajectoryToComeUp(Y$46:Y$49,$A61)</f>
        <v>-2.0367585647358882E-2</v>
      </c>
      <c r="Z61" s="2" cm="1">
        <f t="array" ref="Z61">TrajectoryToComeUp(Z$46:Z$49,$A61)</f>
        <v>-2.0367585647358882E-2</v>
      </c>
      <c r="AA61" s="2" cm="1">
        <f t="array" ref="AA61">TrajectoryToComeUp(AA$46:AA$49,$A61)</f>
        <v>-2.0367585647358882E-2</v>
      </c>
      <c r="AB61" s="2" cm="1">
        <f t="array" ref="AB61">TrajectoryToComeUp(AB$46:AB$49,$A61)</f>
        <v>-2.0367585647358882E-2</v>
      </c>
      <c r="AC61" s="2"/>
    </row>
    <row r="62" spans="1:29" x14ac:dyDescent="0.25">
      <c r="A62" s="1">
        <v>150</v>
      </c>
      <c r="B62" s="1" cm="1">
        <f t="array" ref="B62">EvaluatePolynomial(B$46:B$49,$A62)</f>
        <v>3168.0895778236445</v>
      </c>
      <c r="C62" s="2" cm="1">
        <f t="array" ref="C62">EvaluatePolynomial(C$46:C$49,$A62)</f>
        <v>0</v>
      </c>
      <c r="D62" s="2" cm="1">
        <f t="array" ref="D62">EvaluatePolynomial(D$46:D$49,$A62)</f>
        <v>3.8071599659019274E-2</v>
      </c>
      <c r="E62" s="2" cm="1">
        <f t="array" ref="E62">EvaluatePolynomial(E$46:E$49,$A62)</f>
        <v>-1.5581597814515388E-2</v>
      </c>
      <c r="F62" s="2" cm="1">
        <f t="array" ref="F62">EvaluatePolynomial(F$46:F$49,$A62)</f>
        <v>4.0860352808177271E-2</v>
      </c>
      <c r="G62" s="2" cm="1">
        <f t="array" ref="G62">EvaluatePolynomial(G$46:G$49,$A62)</f>
        <v>0.11608374580367223</v>
      </c>
      <c r="H62" s="2" cm="1">
        <f t="array" ref="H62">EvaluatePolynomial(H$46:H$49,$A62)</f>
        <v>0.33771491371431445</v>
      </c>
      <c r="I62" s="2" cm="1">
        <f t="array" ref="I62">EvaluatePolynomial(I$46:I$49,$A62)</f>
        <v>0.59146054366594114</v>
      </c>
      <c r="J62" s="2" cm="1">
        <f t="array" ref="J62">EvaluatePolynomial(J$46:J$49,$A62)</f>
        <v>0.82169540740729197</v>
      </c>
      <c r="K62" s="2" cm="1">
        <f t="array" ref="K62">EvaluatePolynomial(K$46:K$49,$A62)</f>
        <v>0</v>
      </c>
      <c r="L62" s="2" cm="1">
        <f t="array" ref="L62">EvaluatePolynomial(L$46:L$49,$A62)</f>
        <v>0</v>
      </c>
      <c r="M62" s="2" cm="1">
        <f t="array" ref="M62">EvaluatePolynomial(M$46:M$49,$A62)</f>
        <v>0</v>
      </c>
      <c r="N62" s="2" cm="1">
        <f t="array" ref="N62">EvaluatePolynomial(N$46:N$49,$A62)</f>
        <v>0</v>
      </c>
      <c r="O62" s="2" cm="1">
        <f t="array" ref="O62">EvaluatePolynomial(O$46:O$49,$A62)</f>
        <v>0</v>
      </c>
      <c r="P62" s="2" cm="1">
        <f t="array" ref="P62">TrajectoryToComeUp(P$46:P$49,$A62)</f>
        <v>0</v>
      </c>
      <c r="Q62" s="2" cm="1">
        <f t="array" ref="Q62">TrajectoryToComeUp(Q$46:Q$49,$A62)</f>
        <v>-2.383368702117853E-2</v>
      </c>
      <c r="R62" s="2" cm="1">
        <f t="array" ref="R62">TrajectoryToComeUp(R$46:R$49,$A62)</f>
        <v>0.21281397893851287</v>
      </c>
      <c r="S62" s="2" cm="1">
        <f t="array" ref="S62">TrajectoryToComeUp(S$46:S$49,$A62)</f>
        <v>-1.1960393818827715E-2</v>
      </c>
      <c r="T62" s="2" cm="1">
        <f t="array" ref="T62">TrajectoryToComeUp(T$46:T$49,$A62)</f>
        <v>-0.35232632656843693</v>
      </c>
      <c r="U62" s="2" cm="1">
        <f t="array" ref="U62">TrajectoryToComeUp(U$46:U$49,$A62)</f>
        <v>-1.2180692074854749</v>
      </c>
      <c r="V62" s="2" cm="1">
        <f t="array" ref="V62">TrajectoryToComeUp(V$46:V$49,$A62)</f>
        <v>-2.2590121714286138</v>
      </c>
      <c r="W62" s="2" cm="1">
        <f t="array" ref="W62">TrajectoryToComeUp(W$46:W$49,$A62)</f>
        <v>-3.265031177253888</v>
      </c>
      <c r="X62" s="2" cm="1">
        <f t="array" ref="X62">TrajectoryToComeUp(X$46:X$49,$A62)</f>
        <v>-2.6166360028758169E-2</v>
      </c>
      <c r="Y62" s="2" cm="1">
        <f t="array" ref="Y62">TrajectoryToComeUp(Y$46:Y$49,$A62)</f>
        <v>-2.6166360028758169E-2</v>
      </c>
      <c r="Z62" s="2" cm="1">
        <f t="array" ref="Z62">TrajectoryToComeUp(Z$46:Z$49,$A62)</f>
        <v>-2.6166360028758169E-2</v>
      </c>
      <c r="AA62" s="2" cm="1">
        <f t="array" ref="AA62">TrajectoryToComeUp(AA$46:AA$49,$A62)</f>
        <v>-2.6166360028758169E-2</v>
      </c>
      <c r="AB62" s="2" cm="1">
        <f t="array" ref="AB62">TrajectoryToComeUp(AB$46:AB$49,$A62)</f>
        <v>-2.6166360028758169E-2</v>
      </c>
      <c r="AC62" s="2"/>
    </row>
    <row r="63" spans="1:29" x14ac:dyDescent="0.25">
      <c r="A63" s="1">
        <v>175</v>
      </c>
      <c r="B63" s="1" cm="1">
        <f t="array" ref="B63">EvaluatePolynomial(B$46:B$49,$A63)</f>
        <v>3047.4127500998329</v>
      </c>
      <c r="C63" s="2" cm="1">
        <f t="array" ref="C63">EvaluatePolynomial(C$46:C$49,$A63)</f>
        <v>0</v>
      </c>
      <c r="D63" s="2" cm="1">
        <f t="array" ref="D63">EvaluatePolynomial(D$46:D$49,$A63)</f>
        <v>1.9247031412170726E-2</v>
      </c>
      <c r="E63" s="2" cm="1">
        <f t="array" ref="E63">EvaluatePolynomial(E$46:E$49,$A63)</f>
        <v>-3.7806029646876439E-2</v>
      </c>
      <c r="F63" s="2" cm="1">
        <f t="array" ref="F63">EvaluatePolynomial(F$46:F$49,$A63)</f>
        <v>1.7188566172634527E-2</v>
      </c>
      <c r="G63" s="2" cm="1">
        <f t="array" ref="G63">EvaluatePolynomial(G$46:G$49,$A63)</f>
        <v>9.2447771631337244E-2</v>
      </c>
      <c r="H63" s="2" cm="1">
        <f t="array" ref="H63">EvaluatePolynomial(H$46:H$49,$A63)</f>
        <v>0.31169784674630696</v>
      </c>
      <c r="I63" s="2" cm="1">
        <f t="array" ref="I63">EvaluatePolynomial(I$46:I$49,$A63)</f>
        <v>0.57080201281877907</v>
      </c>
      <c r="J63" s="2" cm="1">
        <f t="array" ref="J63">EvaluatePolynomial(J$46:J$49,$A63)</f>
        <v>0.8092450456297986</v>
      </c>
      <c r="K63" s="2" cm="1">
        <f t="array" ref="K63">EvaluatePolynomial(K$46:K$49,$A63)</f>
        <v>0</v>
      </c>
      <c r="L63" s="2" cm="1">
        <f t="array" ref="L63">EvaluatePolynomial(L$46:L$49,$A63)</f>
        <v>0</v>
      </c>
      <c r="M63" s="2" cm="1">
        <f t="array" ref="M63">EvaluatePolynomial(M$46:M$49,$A63)</f>
        <v>0</v>
      </c>
      <c r="N63" s="2" cm="1">
        <f t="array" ref="N63">EvaluatePolynomial(N$46:N$49,$A63)</f>
        <v>0</v>
      </c>
      <c r="O63" s="2" cm="1">
        <f t="array" ref="O63">EvaluatePolynomial(O$46:O$49,$A63)</f>
        <v>0</v>
      </c>
      <c r="P63" s="2" cm="1">
        <f t="array" ref="P63">TrajectoryToComeUp(P$46:P$49,$A63)</f>
        <v>0</v>
      </c>
      <c r="Q63" s="2" cm="1">
        <f t="array" ref="Q63">TrajectoryToComeUp(Q$46:Q$49,$A63)</f>
        <v>0.13720939666730372</v>
      </c>
      <c r="R63" s="2" cm="1">
        <f t="array" ref="R63">TrajectoryToComeUp(R$46:R$49,$A63)</f>
        <v>0.40282984707573061</v>
      </c>
      <c r="S63" s="2" cm="1">
        <f t="array" ref="S63">TrajectoryToComeUp(S$46:S$49,$A63)</f>
        <v>0.15578015887044838</v>
      </c>
      <c r="T63" s="2" cm="1">
        <f t="array" ref="T63">TrajectoryToComeUp(T$46:T$49,$A63)</f>
        <v>-0.1748933026745762</v>
      </c>
      <c r="U63" s="2" cm="1">
        <f t="array" ref="U63">TrajectoryToComeUp(U$46:U$49,$A63)</f>
        <v>-1.0517798369702835</v>
      </c>
      <c r="V63" s="2" cm="1">
        <f t="array" ref="V63">TrajectoryToComeUp(V$46:V$49,$A63)</f>
        <v>-2.1344494234061293</v>
      </c>
      <c r="W63" s="2" cm="1">
        <f t="array" ref="W63">TrajectoryToComeUp(W$46:W$49,$A63)</f>
        <v>-3.1684820445294801</v>
      </c>
      <c r="X63" s="2" cm="1">
        <f t="array" ref="X63">TrajectoryToComeUp(X$46:X$49,$A63)</f>
        <v>-2.5598317577305456E-2</v>
      </c>
      <c r="Y63" s="2" cm="1">
        <f t="array" ref="Y63">TrajectoryToComeUp(Y$46:Y$49,$A63)</f>
        <v>-2.5598317577305456E-2</v>
      </c>
      <c r="Z63" s="2" cm="1">
        <f t="array" ref="Z63">TrajectoryToComeUp(Z$46:Z$49,$A63)</f>
        <v>-2.5598317577305456E-2</v>
      </c>
      <c r="AA63" s="2" cm="1">
        <f t="array" ref="AA63">TrajectoryToComeUp(AA$46:AA$49,$A63)</f>
        <v>-2.5598317577305456E-2</v>
      </c>
      <c r="AB63" s="2" cm="1">
        <f t="array" ref="AB63">TrajectoryToComeUp(AB$46:AB$49,$A63)</f>
        <v>-2.5598317577305456E-2</v>
      </c>
      <c r="AC63" s="2"/>
    </row>
    <row r="64" spans="1:29" x14ac:dyDescent="0.25">
      <c r="A64" s="1">
        <v>200</v>
      </c>
      <c r="B64" s="1" cm="1">
        <f t="array" ref="B64">EvaluatePolynomial(B$46:B$49,$A64)</f>
        <v>2929.853474273591</v>
      </c>
      <c r="C64" s="2" cm="1">
        <f t="array" ref="C64">EvaluatePolynomial(C$46:C$49,$A64)</f>
        <v>0</v>
      </c>
      <c r="D64" s="2" cm="1">
        <f t="array" ref="D64">EvaluatePolynomial(D$46:D$49,$A64)</f>
        <v>-1.5610160215274357E-2</v>
      </c>
      <c r="E64" s="2" cm="1">
        <f t="array" ref="E64">EvaluatePolynomial(E$46:E$49,$A64)</f>
        <v>-7.7390151435909452E-2</v>
      </c>
      <c r="F64" s="2" cm="1">
        <f t="array" ref="F64">EvaluatePolynomial(F$46:F$49,$A64)</f>
        <v>-2.2827235486614486E-2</v>
      </c>
      <c r="G64" s="2" cm="1">
        <f t="array" ref="G64">EvaluatePolynomial(G$46:G$49,$A64)</f>
        <v>5.2970349911307238E-2</v>
      </c>
      <c r="H64" s="2" cm="1">
        <f t="array" ref="H64">EvaluatePolynomial(H$46:H$49,$A64)</f>
        <v>0.27079985546201324</v>
      </c>
      <c r="I64" s="2" cm="1">
        <f t="array" ref="I64">EvaluatePolynomial(I$46:I$49,$A64)</f>
        <v>0.53641331295300898</v>
      </c>
      <c r="J64" s="2" cm="1">
        <f t="array" ref="J64">EvaluatePolynomial(J$46:J$49,$A64)</f>
        <v>0.78461389209665833</v>
      </c>
      <c r="K64" s="2" cm="1">
        <f t="array" ref="K64">EvaluatePolynomial(K$46:K$49,$A64)</f>
        <v>0</v>
      </c>
      <c r="L64" s="2" cm="1">
        <f t="array" ref="L64">EvaluatePolynomial(L$46:L$49,$A64)</f>
        <v>0</v>
      </c>
      <c r="M64" s="2" cm="1">
        <f t="array" ref="M64">EvaluatePolynomial(M$46:M$49,$A64)</f>
        <v>0</v>
      </c>
      <c r="N64" s="2" cm="1">
        <f t="array" ref="N64">EvaluatePolynomial(N$46:N$49,$A64)</f>
        <v>0</v>
      </c>
      <c r="O64" s="2" cm="1">
        <f t="array" ref="O64">EvaluatePolynomial(O$46:O$49,$A64)</f>
        <v>0</v>
      </c>
      <c r="P64" s="2" cm="1">
        <f t="array" ref="P64">TrajectoryToComeUp(P$46:P$49,$A64)</f>
        <v>0</v>
      </c>
      <c r="Q64" s="2" cm="1">
        <f t="array" ref="Q64">TrajectoryToComeUp(Q$46:Q$49,$A64)</f>
        <v>0.32321409964968717</v>
      </c>
      <c r="R64" s="2" cm="1">
        <f t="array" ref="R64">TrajectoryToComeUp(R$46:R$49,$A64)</f>
        <v>0.61186947365478894</v>
      </c>
      <c r="S64" s="2" cm="1">
        <f t="array" ref="S64">TrajectoryToComeUp(S$46:S$49,$A64)</f>
        <v>0.34255590305306738</v>
      </c>
      <c r="T64" s="2" cm="1">
        <f t="array" ref="T64">TrajectoryToComeUp(T$46:T$49,$A64)</f>
        <v>2.0230176825444715E-2</v>
      </c>
      <c r="U64" s="2" cm="1">
        <f t="array" ref="U64">TrajectoryToComeUp(U$46:U$49,$A64)</f>
        <v>-0.86581098775378651</v>
      </c>
      <c r="V64" s="2" cm="1">
        <f t="array" ref="V64">TrajectoryToComeUp(V$46:V$49,$A64)</f>
        <v>-1.983692827922741</v>
      </c>
      <c r="W64" s="2" cm="1">
        <f t="array" ref="W64">TrajectoryToComeUp(W$46:W$49,$A64)</f>
        <v>-3.0439653068550427</v>
      </c>
      <c r="X64" s="2" cm="1">
        <f t="array" ref="X64">TrajectoryToComeUp(X$46:X$49,$A64)</f>
        <v>-2.1782922683719692E-2</v>
      </c>
      <c r="Y64" s="2" cm="1">
        <f t="array" ref="Y64">TrajectoryToComeUp(Y$46:Y$49,$A64)</f>
        <v>-2.1782922683719692E-2</v>
      </c>
      <c r="Z64" s="2" cm="1">
        <f t="array" ref="Z64">TrajectoryToComeUp(Z$46:Z$49,$A64)</f>
        <v>-2.1782922683719692E-2</v>
      </c>
      <c r="AA64" s="2" cm="1">
        <f t="array" ref="AA64">TrajectoryToComeUp(AA$46:AA$49,$A64)</f>
        <v>-2.1782922683719692E-2</v>
      </c>
      <c r="AB64" s="2" cm="1">
        <f t="array" ref="AB64">TrajectoryToComeUp(AB$46:AB$49,$A64)</f>
        <v>-2.1782922683719692E-2</v>
      </c>
      <c r="AC64" s="2"/>
    </row>
    <row r="65" spans="1:29" x14ac:dyDescent="0.25">
      <c r="A65" s="1">
        <v>225</v>
      </c>
      <c r="B65" s="1" cm="1">
        <f t="array" ref="B65">EvaluatePolynomial(B$46:B$49,$A65)</f>
        <v>2815.438845932078</v>
      </c>
      <c r="C65" s="2" cm="1">
        <f t="array" ref="C65">EvaluatePolynomial(C$46:C$49,$A65)</f>
        <v>0</v>
      </c>
      <c r="D65" s="2" cm="1">
        <f t="array" ref="D65">EvaluatePolynomial(D$46:D$49,$A65)</f>
        <v>-6.4117707138183141E-2</v>
      </c>
      <c r="E65" s="2" cm="1">
        <f t="array" ref="E65">EvaluatePolynomial(E$46:E$49,$A65)</f>
        <v>-0.13144209554256622</v>
      </c>
      <c r="F65" s="2" cm="1">
        <f t="array" ref="F65">EvaluatePolynomial(F$46:F$49,$A65)</f>
        <v>-7.6549389736299711E-2</v>
      </c>
      <c r="G65" s="2" cm="1">
        <f t="array" ref="G65">EvaluatePolynomial(G$46:G$49,$A65)</f>
        <v>2.4039057608430791E-4</v>
      </c>
      <c r="H65" s="2" cm="1">
        <f t="array" ref="H65">EvaluatePolynomial(H$46:H$49,$A65)</f>
        <v>0.21731468096252082</v>
      </c>
      <c r="I65" s="2" cm="1">
        <f t="array" ref="I65">EvaluatePolynomial(I$46:I$49,$A65)</f>
        <v>0.49000182670927073</v>
      </c>
      <c r="J65" s="2" cm="1">
        <f t="array" ref="J65">EvaluatePolynomial(J$46:J$49,$A65)</f>
        <v>0.7490649885031837</v>
      </c>
      <c r="K65" s="2" cm="1">
        <f t="array" ref="K65">EvaluatePolynomial(K$46:K$49,$A65)</f>
        <v>0</v>
      </c>
      <c r="L65" s="2" cm="1">
        <f t="array" ref="L65">EvaluatePolynomial(L$46:L$49,$A65)</f>
        <v>0</v>
      </c>
      <c r="M65" s="2" cm="1">
        <f t="array" ref="M65">EvaluatePolynomial(M$46:M$49,$A65)</f>
        <v>0</v>
      </c>
      <c r="N65" s="2" cm="1">
        <f t="array" ref="N65">EvaluatePolynomial(N$46:N$49,$A65)</f>
        <v>0</v>
      </c>
      <c r="O65" s="2" cm="1">
        <f t="array" ref="O65">EvaluatePolynomial(O$46:O$49,$A65)</f>
        <v>0</v>
      </c>
      <c r="P65" s="2" cm="1">
        <f t="array" ref="P65">TrajectoryToComeUp(P$46:P$49,$A65)</f>
        <v>0</v>
      </c>
      <c r="Q65" s="2" cm="1">
        <f t="array" ref="Q65">TrajectoryToComeUp(Q$46:Q$49,$A65)</f>
        <v>0.53021649606748922</v>
      </c>
      <c r="R65" s="2" cm="1">
        <f t="array" ref="R65">TrajectoryToComeUp(R$46:R$49,$A65)</f>
        <v>0.83512588775433871</v>
      </c>
      <c r="S65" s="2" cm="1">
        <f t="array" ref="S65">TrajectoryToComeUp(S$46:S$49,$A65)</f>
        <v>0.54457031700369096</v>
      </c>
      <c r="T65" s="2" cm="1">
        <f t="array" ref="T65">TrajectoryToComeUp(T$46:T$49,$A65)</f>
        <v>0.22857620943517512</v>
      </c>
      <c r="U65" s="2" cm="1">
        <f t="array" ref="U65">TrajectoryToComeUp(U$46:U$49,$A65)</f>
        <v>-0.66360243279068598</v>
      </c>
      <c r="V65" s="2" cm="1">
        <f t="array" ref="V65">TrajectoryToComeUp(V$46:V$49,$A65)</f>
        <v>-1.8094581029944359</v>
      </c>
      <c r="W65" s="2" cm="1">
        <f t="array" ref="W65">TrajectoryToComeUp(W$46:W$49,$A65)</f>
        <v>-2.8949302710340064</v>
      </c>
      <c r="X65" s="2" cm="1">
        <f t="array" ref="X65">TrajectoryToComeUp(X$46:X$49,$A65)</f>
        <v>-1.645321112062248E-2</v>
      </c>
      <c r="Y65" s="2" cm="1">
        <f t="array" ref="Y65">TrajectoryToComeUp(Y$46:Y$49,$A65)</f>
        <v>-1.645321112062248E-2</v>
      </c>
      <c r="Z65" s="2" cm="1">
        <f t="array" ref="Z65">TrajectoryToComeUp(Z$46:Z$49,$A65)</f>
        <v>-1.645321112062248E-2</v>
      </c>
      <c r="AA65" s="2" cm="1">
        <f t="array" ref="AA65">TrajectoryToComeUp(AA$46:AA$49,$A65)</f>
        <v>-1.645321112062248E-2</v>
      </c>
      <c r="AB65" s="2" cm="1">
        <f t="array" ref="AB65">TrajectoryToComeUp(AB$46:AB$49,$A65)</f>
        <v>-1.645321112062248E-2</v>
      </c>
      <c r="AC65" s="2"/>
    </row>
    <row r="66" spans="1:29" x14ac:dyDescent="0.25">
      <c r="A66" s="1">
        <v>250</v>
      </c>
      <c r="B66" s="1" cm="1">
        <f t="array" ref="B66">EvaluatePolynomial(B$46:B$49,$A66)</f>
        <v>2704.1959606624541</v>
      </c>
      <c r="C66" s="2" cm="1">
        <f t="array" ref="C66">EvaluatePolynomial(C$46:C$49,$A66)</f>
        <v>0</v>
      </c>
      <c r="D66" s="2" cm="1">
        <f t="array" ref="D66">EvaluatePolynomial(D$46:D$49,$A66)</f>
        <v>-0.12389334127142324</v>
      </c>
      <c r="E66" s="2" cm="1">
        <f t="array" ref="E66">EvaluatePolynomial(E$46:E$49,$A66)</f>
        <v>-0.19706999432779887</v>
      </c>
      <c r="F66" s="2" cm="1">
        <f t="array" ref="F66">EvaluatePolynomial(F$46:F$49,$A66)</f>
        <v>-0.14134023414315169</v>
      </c>
      <c r="G66" s="2" cm="1">
        <f t="array" ref="G66">EvaluatePolynomial(G$46:G$49,$A66)</f>
        <v>-6.3153196441829387E-2</v>
      </c>
      <c r="H66" s="2" cm="1">
        <f t="array" ref="H66">EvaluatePolynomial(H$46:H$49,$A66)</f>
        <v>0.15353606434891676</v>
      </c>
      <c r="I66" s="2" cm="1">
        <f t="array" ref="I66">EvaluatePolynomial(I$46:I$49,$A66)</f>
        <v>0.43327493672820427</v>
      </c>
      <c r="J66" s="2" cm="1">
        <f t="array" ref="J66">EvaluatePolynomial(J$46:J$49,$A66)</f>
        <v>0.70386137654468706</v>
      </c>
      <c r="K66" s="2" cm="1">
        <f t="array" ref="K66">EvaluatePolynomial(K$46:K$49,$A66)</f>
        <v>0</v>
      </c>
      <c r="L66" s="2" cm="1">
        <f t="array" ref="L66">EvaluatePolynomial(L$46:L$49,$A66)</f>
        <v>0</v>
      </c>
      <c r="M66" s="2" cm="1">
        <f t="array" ref="M66">EvaluatePolynomial(M$46:M$49,$A66)</f>
        <v>0</v>
      </c>
      <c r="N66" s="2" cm="1">
        <f t="array" ref="N66">EvaluatePolynomial(N$46:N$49,$A66)</f>
        <v>0</v>
      </c>
      <c r="O66" s="2" cm="1">
        <f t="array" ref="O66">EvaluatePolynomial(O$46:O$49,$A66)</f>
        <v>0</v>
      </c>
      <c r="P66" s="2" cm="1">
        <f t="array" ref="P66">TrajectoryToComeUp(P$46:P$49,$A66)</f>
        <v>0</v>
      </c>
      <c r="Q66" s="2" cm="1">
        <f t="array" ref="Q66">TrajectoryToComeUp(Q$46:Q$49,$A66)</f>
        <v>0.75583823040562081</v>
      </c>
      <c r="R66" s="2" cm="1">
        <f t="array" ref="R66">TrajectoryToComeUp(R$46:R$49,$A66)</f>
        <v>1.0697149068215703</v>
      </c>
      <c r="S66" s="2" cm="1">
        <f t="array" ref="S66">TrajectoryToComeUp(S$46:S$49,$A66)</f>
        <v>0.75954548768711594</v>
      </c>
      <c r="T66" s="2" cm="1">
        <f t="array" ref="T66">TrajectoryToComeUp(T$46:T$49,$A66)</f>
        <v>0.44746405365674463</v>
      </c>
      <c r="U66" s="2" cm="1">
        <f t="array" ref="U66">TrajectoryToComeUp(U$46:U$49,$A66)</f>
        <v>-0.44721803585380387</v>
      </c>
      <c r="V66" s="2" cm="1">
        <f t="array" ref="V66">TrajectoryToComeUp(V$46:V$49,$A66)</f>
        <v>-1.6133746794308055</v>
      </c>
      <c r="W66" s="2" cm="1">
        <f t="array" ref="W66">TrajectoryToComeUp(W$46:W$49,$A66)</f>
        <v>-2.7234465211484284</v>
      </c>
      <c r="X66" s="2" cm="1">
        <f t="array" ref="X66">TrajectoryToComeUp(X$46:X$49,$A66)</f>
        <v>-1.0649004351586729E-2</v>
      </c>
      <c r="Y66" s="2" cm="1">
        <f t="array" ref="Y66">TrajectoryToComeUp(Y$46:Y$49,$A66)</f>
        <v>-1.0649004351586729E-2</v>
      </c>
      <c r="Z66" s="2" cm="1">
        <f t="array" ref="Z66">TrajectoryToComeUp(Z$46:Z$49,$A66)</f>
        <v>-1.0649004351586729E-2</v>
      </c>
      <c r="AA66" s="2" cm="1">
        <f t="array" ref="AA66">TrajectoryToComeUp(AA$46:AA$49,$A66)</f>
        <v>-1.0649004351586729E-2</v>
      </c>
      <c r="AB66" s="2" cm="1">
        <f t="array" ref="AB66">TrajectoryToComeUp(AB$46:AB$49,$A66)</f>
        <v>-1.0649004351586729E-2</v>
      </c>
      <c r="AC66" s="2"/>
    </row>
    <row r="67" spans="1:29" x14ac:dyDescent="0.25">
      <c r="A67" s="1">
        <v>275</v>
      </c>
      <c r="B67" s="1" cm="1">
        <f t="array" ref="B67">EvaluatePolynomial(B$46:B$49,$A67)</f>
        <v>2596.1519140518776</v>
      </c>
      <c r="C67" s="2" cm="1">
        <f t="array" ref="C67">EvaluatePolynomial(C$46:C$49,$A67)</f>
        <v>0</v>
      </c>
      <c r="D67" s="2" cm="1">
        <f t="array" ref="D67">EvaluatePolynomial(D$46:D$49,$A67)</f>
        <v>-0.1925547945298616</v>
      </c>
      <c r="E67" s="2" cm="1">
        <f t="array" ref="E67">EvaluatePolynomial(E$46:E$49,$A67)</f>
        <v>-0.27138198015255915</v>
      </c>
      <c r="F67" s="2" cm="1">
        <f t="array" ref="F67">EvaluatePolynomial(F$46:F$49,$A67)</f>
        <v>-0.21456210627390032</v>
      </c>
      <c r="G67" s="2" cm="1">
        <f t="array" ref="G67">EvaluatePolynomial(G$46:G$49,$A67)</f>
        <v>-0.1346215012099321</v>
      </c>
      <c r="H67" s="2" cm="1">
        <f t="array" ref="H67">EvaluatePolynomial(H$46:H$49,$A67)</f>
        <v>8.1757746722288707E-2</v>
      </c>
      <c r="I67" s="2" cm="1">
        <f t="array" ref="I67">EvaluatePolynomial(I$46:I$49,$A67)</f>
        <v>0.36794002565044964</v>
      </c>
      <c r="J67" s="2" cm="1">
        <f t="array" ref="J67">EvaluatePolynomial(J$46:J$49,$A67)</f>
        <v>0.65026609791648082</v>
      </c>
      <c r="K67" s="2" cm="1">
        <f t="array" ref="K67">EvaluatePolynomial(K$46:K$49,$A67)</f>
        <v>0</v>
      </c>
      <c r="L67" s="2" cm="1">
        <f t="array" ref="L67">EvaluatePolynomial(L$46:L$49,$A67)</f>
        <v>0</v>
      </c>
      <c r="M67" s="2" cm="1">
        <f t="array" ref="M67">EvaluatePolynomial(M$46:M$49,$A67)</f>
        <v>0</v>
      </c>
      <c r="N67" s="2" cm="1">
        <f t="array" ref="N67">EvaluatePolynomial(N$46:N$49,$A67)</f>
        <v>0</v>
      </c>
      <c r="O67" s="2" cm="1">
        <f t="array" ref="O67">EvaluatePolynomial(O$46:O$49,$A67)</f>
        <v>0</v>
      </c>
      <c r="P67" s="2" cm="1">
        <f t="array" ref="P67">TrajectoryToComeUp(P$46:P$49,$A67)</f>
        <v>0</v>
      </c>
      <c r="Q67" s="2" cm="1">
        <f t="array" ref="Q67">TrajectoryToComeUp(Q$46:Q$49,$A67)</f>
        <v>0.99856580369993442</v>
      </c>
      <c r="R67" s="2" cm="1">
        <f t="array" ref="R67">TrajectoryToComeUp(R$46:R$49,$A67)</f>
        <v>1.313801141959241</v>
      </c>
      <c r="S67" s="2" cm="1">
        <f t="array" ref="S67">TrajectoryToComeUp(S$46:S$49,$A67)</f>
        <v>0.98603183408094042</v>
      </c>
      <c r="T67" s="2" cm="1">
        <f t="array" ref="T67">TrajectoryToComeUp(T$46:T$49,$A67)</f>
        <v>0.67518778308241745</v>
      </c>
      <c r="U67" s="2" cm="1">
        <f t="array" ref="U67">TrajectoryToComeUp(U$46:U$49,$A67)</f>
        <v>-0.21797116479857276</v>
      </c>
      <c r="V67" s="2" cm="1">
        <f t="array" ref="V67">TrajectoryToComeUp(V$46:V$49,$A67)</f>
        <v>-1.3964794677470462</v>
      </c>
      <c r="W67" s="2" cm="1">
        <f t="array" ref="W67">TrajectoryToComeUp(W$46:W$49,$A67)</f>
        <v>-2.530831065250529</v>
      </c>
      <c r="X67" s="2" cm="1">
        <f t="array" ref="X67">TrajectoryToComeUp(X$46:X$49,$A67)</f>
        <v>-5.0320069443407153E-3</v>
      </c>
      <c r="Y67" s="2" cm="1">
        <f t="array" ref="Y67">TrajectoryToComeUp(Y$46:Y$49,$A67)</f>
        <v>-5.0320069443407153E-3</v>
      </c>
      <c r="Z67" s="2" cm="1">
        <f t="array" ref="Z67">TrajectoryToComeUp(Z$46:Z$49,$A67)</f>
        <v>-5.0320069443407153E-3</v>
      </c>
      <c r="AA67" s="2" cm="1">
        <f t="array" ref="AA67">TrajectoryToComeUp(AA$46:AA$49,$A67)</f>
        <v>-5.0320069443407153E-3</v>
      </c>
      <c r="AB67" s="2" cm="1">
        <f t="array" ref="AB67">TrajectoryToComeUp(AB$46:AB$49,$A67)</f>
        <v>-5.0320069443407153E-3</v>
      </c>
      <c r="AC67" s="2"/>
    </row>
    <row r="68" spans="1:29" x14ac:dyDescent="0.25">
      <c r="A68" s="1">
        <v>300</v>
      </c>
      <c r="B68" s="1" cm="1">
        <f t="array" ref="B68">EvaluatePolynomial(B$46:B$49,$A68)</f>
        <v>2491.3338016875086</v>
      </c>
      <c r="C68" s="2" cm="1">
        <f t="array" ref="C68">EvaluatePolynomial(C$46:C$49,$A68)</f>
        <v>0</v>
      </c>
      <c r="D68" s="2" cm="1">
        <f t="array" ref="D68">EvaluatePolynomial(D$46:D$49,$A68)</f>
        <v>-0.26771979882836594</v>
      </c>
      <c r="E68" s="2" cm="1">
        <f t="array" ref="E68">EvaluatePolynomial(E$46:E$49,$A68)</f>
        <v>-0.35148618537779863</v>
      </c>
      <c r="F68" s="2" cm="1">
        <f t="array" ref="F68">EvaluatePolynomial(F$46:F$49,$A68)</f>
        <v>-0.29357734369527633</v>
      </c>
      <c r="G68" s="2" cm="1">
        <f t="array" ref="G68">EvaluatePolynomial(G$46:G$49,$A68)</f>
        <v>-0.21157561379572168</v>
      </c>
      <c r="H68" s="2" cm="1">
        <f t="array" ref="H68">EvaluatePolynomial(H$46:H$49,$A68)</f>
        <v>4.2734691837235201E-3</v>
      </c>
      <c r="I68" s="2" cm="1">
        <f t="array" ref="I68">EvaluatePolynomial(I$46:I$49,$A68)</f>
        <v>0.29570447611664674</v>
      </c>
      <c r="J68" s="2" cm="1">
        <f t="array" ref="J68">EvaluatePolynomial(J$46:J$49,$A68)</f>
        <v>0.58954219431387755</v>
      </c>
      <c r="K68" s="2" cm="1">
        <f t="array" ref="K68">EvaluatePolynomial(K$46:K$49,$A68)</f>
        <v>0</v>
      </c>
      <c r="L68" s="2" cm="1">
        <f t="array" ref="L68">EvaluatePolynomial(L$46:L$49,$A68)</f>
        <v>0</v>
      </c>
      <c r="M68" s="2" cm="1">
        <f t="array" ref="M68">EvaluatePolynomial(M$46:M$49,$A68)</f>
        <v>0</v>
      </c>
      <c r="N68" s="2" cm="1">
        <f t="array" ref="N68">EvaluatePolynomial(N$46:N$49,$A68)</f>
        <v>0</v>
      </c>
      <c r="O68" s="2" cm="1">
        <f t="array" ref="O68">EvaluatePolynomial(O$46:O$49,$A68)</f>
        <v>0</v>
      </c>
      <c r="P68" s="2" cm="1">
        <f t="array" ref="P68">TrajectoryToComeUp(P$46:P$49,$A68)</f>
        <v>0</v>
      </c>
      <c r="Q68" s="2" cm="1">
        <f t="array" ref="Q68">TrajectoryToComeUp(Q$46:Q$49,$A68)</f>
        <v>1.2573902166409974</v>
      </c>
      <c r="R68" s="2" cm="1">
        <f t="array" ref="R68">TrajectoryToComeUp(R$46:R$49,$A68)</f>
        <v>1.5661610005691895</v>
      </c>
      <c r="S68" s="2" cm="1">
        <f t="array" ref="S68">TrajectoryToComeUp(S$46:S$49,$A68)</f>
        <v>1.2230629688368966</v>
      </c>
      <c r="T68" s="2" cm="1">
        <f t="array" ref="T68">TrajectoryToComeUp(T$46:T$49,$A68)</f>
        <v>0.91061011344037013</v>
      </c>
      <c r="U68" s="2" cm="1">
        <f t="array" ref="U68">TrajectoryToComeUp(U$46:U$49,$A68)</f>
        <v>2.326260180471991E-2</v>
      </c>
      <c r="V68" s="2" cm="1">
        <f t="array" ref="V68">TrajectoryToComeUp(V$46:V$49,$A68)</f>
        <v>-1.159463741619954</v>
      </c>
      <c r="W68" s="2" cm="1">
        <f t="array" ref="W68">TrajectoryToComeUp(W$46:W$49,$A68)</f>
        <v>-2.3179619087084511</v>
      </c>
      <c r="X68" s="2" cm="1">
        <f t="array" ref="X68">TrajectoryToComeUp(X$46:X$49,$A68)</f>
        <v>-4.3355277369977925E-5</v>
      </c>
      <c r="Y68" s="2" cm="1">
        <f t="array" ref="Y68">TrajectoryToComeUp(Y$46:Y$49,$A68)</f>
        <v>-4.3355277369977925E-5</v>
      </c>
      <c r="Z68" s="2" cm="1">
        <f t="array" ref="Z68">TrajectoryToComeUp(Z$46:Z$49,$A68)</f>
        <v>-4.3355277369977925E-5</v>
      </c>
      <c r="AA68" s="2" cm="1">
        <f t="array" ref="AA68">TrajectoryToComeUp(AA$46:AA$49,$A68)</f>
        <v>-4.3355277369977925E-5</v>
      </c>
      <c r="AB68" s="2" cm="1">
        <f t="array" ref="AB68">TrajectoryToComeUp(AB$46:AB$49,$A68)</f>
        <v>-4.3355277369977925E-5</v>
      </c>
      <c r="AC68" s="2"/>
    </row>
    <row r="69" spans="1:29" x14ac:dyDescent="0.25">
      <c r="A69" s="1">
        <v>325</v>
      </c>
      <c r="B69" s="1" cm="1">
        <f t="array" ref="B69">EvaluatePolynomial(B$46:B$49,$A69)</f>
        <v>2389.7687191565069</v>
      </c>
      <c r="C69" s="2" cm="1">
        <f t="array" ref="C69">EvaluatePolynomial(C$46:C$49,$A69)</f>
        <v>0</v>
      </c>
      <c r="D69" s="2" cm="1">
        <f t="array" ref="D69">EvaluatePolynomial(D$46:D$49,$A69)</f>
        <v>-0.34700608608180311</v>
      </c>
      <c r="E69" s="2" cm="1">
        <f t="array" ref="E69">EvaluatePolynomial(E$46:E$49,$A69)</f>
        <v>-0.43449074236446983</v>
      </c>
      <c r="F69" s="2" cm="1">
        <f t="array" ref="F69">EvaluatePolynomial(F$46:F$49,$A69)</f>
        <v>-0.37574828397400933</v>
      </c>
      <c r="G69" s="2" cm="1">
        <f t="array" ref="G69">EvaluatePolynomial(G$46:G$49,$A69)</f>
        <v>-0.29142662426669602</v>
      </c>
      <c r="H69" s="2" cm="1">
        <f t="array" ref="H69">EvaluatePolynomial(H$46:H$49,$A69)</f>
        <v>-7.662302716569093E-2</v>
      </c>
      <c r="I69" s="2" cm="1">
        <f t="array" ref="I69">EvaluatePolynomial(I$46:I$49,$A69)</f>
        <v>0.21827567076743545</v>
      </c>
      <c r="J69" s="2" cm="1">
        <f t="array" ref="J69">EvaluatePolynomial(J$46:J$49,$A69)</f>
        <v>0.5229527074321898</v>
      </c>
      <c r="K69" s="2" cm="1">
        <f t="array" ref="K69">EvaluatePolynomial(K$46:K$49,$A69)</f>
        <v>0</v>
      </c>
      <c r="L69" s="2" cm="1">
        <f t="array" ref="L69">EvaluatePolynomial(L$46:L$49,$A69)</f>
        <v>0</v>
      </c>
      <c r="M69" s="2" cm="1">
        <f t="array" ref="M69">EvaluatePolynomial(M$46:M$49,$A69)</f>
        <v>0</v>
      </c>
      <c r="N69" s="2" cm="1">
        <f t="array" ref="N69">EvaluatePolynomial(N$46:N$49,$A69)</f>
        <v>0</v>
      </c>
      <c r="O69" s="2" cm="1">
        <f t="array" ref="O69">EvaluatePolynomial(O$46:O$49,$A69)</f>
        <v>0</v>
      </c>
      <c r="P69" s="2" cm="1">
        <f t="array" ref="P69">TrajectoryToComeUp(P$46:P$49,$A69)</f>
        <v>0</v>
      </c>
      <c r="Q69" s="2" cm="1">
        <f t="array" ref="Q69">TrajectoryToComeUp(Q$46:Q$49,$A69)</f>
        <v>1.5316129312453577</v>
      </c>
      <c r="R69" s="2" cm="1">
        <f t="array" ref="R69">TrajectoryToComeUp(R$46:R$49,$A69)</f>
        <v>1.8259473800834574</v>
      </c>
      <c r="S69" s="2" cm="1">
        <f t="array" ref="S69">TrajectoryToComeUp(S$46:S$49,$A69)</f>
        <v>1.4699698545600297</v>
      </c>
      <c r="T69" s="2" cm="1">
        <f t="array" ref="T69">TrajectoryToComeUp(T$46:T$49,$A69)</f>
        <v>1.1529436940808775</v>
      </c>
      <c r="U69" s="2" cm="1">
        <f t="array" ref="U69">TrajectoryToComeUp(U$46:U$49,$A69)</f>
        <v>0.27587709417664336</v>
      </c>
      <c r="V69" s="2" cm="1">
        <f t="array" ref="V69">TrajectoryToComeUp(V$46:V$49,$A69)</f>
        <v>-0.90280607513346434</v>
      </c>
      <c r="W69" s="2" cm="1">
        <f t="array" ref="W69">TrajectoryToComeUp(W$46:W$49,$A69)</f>
        <v>-2.0854469013924524</v>
      </c>
      <c r="X69" s="2" cm="1">
        <f t="array" ref="X69">TrajectoryToComeUp(X$46:X$49,$A69)</f>
        <v>4.0115485411432875E-3</v>
      </c>
      <c r="Y69" s="2" cm="1">
        <f t="array" ref="Y69">TrajectoryToComeUp(Y$46:Y$49,$A69)</f>
        <v>4.0115485411432875E-3</v>
      </c>
      <c r="Z69" s="2" cm="1">
        <f t="array" ref="Z69">TrajectoryToComeUp(Z$46:Z$49,$A69)</f>
        <v>4.0115485411432875E-3</v>
      </c>
      <c r="AA69" s="2" cm="1">
        <f t="array" ref="AA69">TrajectoryToComeUp(AA$46:AA$49,$A69)</f>
        <v>4.0115485411432875E-3</v>
      </c>
      <c r="AB69" s="2" cm="1">
        <f t="array" ref="AB69">TrajectoryToComeUp(AB$46:AB$49,$A69)</f>
        <v>4.0115485411432875E-3</v>
      </c>
      <c r="AC69" s="2"/>
    </row>
    <row r="70" spans="1:29" x14ac:dyDescent="0.25">
      <c r="A70" s="1">
        <v>350</v>
      </c>
      <c r="B70" s="1" cm="1">
        <f t="array" ref="B70">EvaluatePolynomial(B$46:B$49,$A70)</f>
        <v>2291.4837620460312</v>
      </c>
      <c r="C70" s="2" cm="1">
        <f t="array" ref="C70">EvaluatePolynomial(C$46:C$49,$A70)</f>
        <v>0</v>
      </c>
      <c r="D70" s="2" cm="1">
        <f t="array" ref="D70">EvaluatePolynomial(D$46:D$49,$A70)</f>
        <v>-0.42803138820504094</v>
      </c>
      <c r="E70" s="2" cm="1">
        <f t="array" ref="E70">EvaluatePolynomial(E$46:E$49,$A70)</f>
        <v>-0.51750378347352421</v>
      </c>
      <c r="F70" s="2" cm="1">
        <f t="array" ref="F70">EvaluatePolynomial(F$46:F$49,$A70)</f>
        <v>-0.45843726467682994</v>
      </c>
      <c r="G70" s="2" cm="1">
        <f t="array" ref="G70">EvaluatePolynomial(G$46:G$49,$A70)</f>
        <v>-0.37158562269035278</v>
      </c>
      <c r="H70" s="2" cm="1">
        <f t="array" ref="H70">EvaluatePolynomial(H$46:H$49,$A70)</f>
        <v>-0.15863800122486799</v>
      </c>
      <c r="I70" s="2" cm="1">
        <f t="array" ref="I70">EvaluatePolynomial(I$46:I$49,$A70)</f>
        <v>0.13736099224345599</v>
      </c>
      <c r="J70" s="2" cm="1">
        <f t="array" ref="J70">EvaluatePolynomial(J$46:J$49,$A70)</f>
        <v>0.45176067896672972</v>
      </c>
      <c r="K70" s="2" cm="1">
        <f t="array" ref="K70">EvaluatePolynomial(K$46:K$49,$A70)</f>
        <v>0</v>
      </c>
      <c r="L70" s="2" cm="1">
        <f t="array" ref="L70">EvaluatePolynomial(L$46:L$49,$A70)</f>
        <v>0</v>
      </c>
      <c r="M70" s="2" cm="1">
        <f t="array" ref="M70">EvaluatePolynomial(M$46:M$49,$A70)</f>
        <v>0</v>
      </c>
      <c r="N70" s="2" cm="1">
        <f t="array" ref="N70">EvaluatePolynomial(N$46:N$49,$A70)</f>
        <v>0</v>
      </c>
      <c r="O70" s="2" cm="1">
        <f t="array" ref="O70">EvaluatePolynomial(O$46:O$49,$A70)</f>
        <v>0</v>
      </c>
      <c r="P70" s="2" cm="1">
        <f t="array" ref="P70">TrajectoryToComeUp(P$46:P$49,$A70)</f>
        <v>0</v>
      </c>
      <c r="Q70" s="2" cm="1">
        <f t="array" ref="Q70">TrajectoryToComeUp(Q$46:Q$49,$A70)</f>
        <v>1.8207349918105495</v>
      </c>
      <c r="R70" s="2" cm="1">
        <f t="array" ref="R70">TrajectoryToComeUp(R$46:R$49,$A70)</f>
        <v>2.0925552072392182</v>
      </c>
      <c r="S70" s="2" cm="1">
        <f t="array" ref="S70">TrajectoryToComeUp(S$46:S$49,$A70)</f>
        <v>1.7262746073968007</v>
      </c>
      <c r="T70" s="2" cm="1">
        <f t="array" ref="T70">TrajectoryToComeUp(T$46:T$49,$A70)</f>
        <v>1.401626131682709</v>
      </c>
      <c r="U70" s="2" cm="1">
        <f t="array" ref="U70">TrajectoryToComeUp(U$46:U$49,$A70)</f>
        <v>0.53943933390331922</v>
      </c>
      <c r="V70" s="2" cm="1">
        <f t="array" ref="V70">TrajectoryToComeUp(V$46:V$49,$A70)</f>
        <v>-0.62684830691896098</v>
      </c>
      <c r="W70" s="2" cm="1">
        <f t="array" ref="W70">TrajectoryToComeUp(W$46:W$49,$A70)</f>
        <v>-1.8337202217812847</v>
      </c>
      <c r="X70" s="2" cm="1">
        <f t="array" ref="X70">TrajectoryToComeUp(X$46:X$49,$A70)</f>
        <v>6.9145601482117208E-3</v>
      </c>
      <c r="Y70" s="2" cm="1">
        <f t="array" ref="Y70">TrajectoryToComeUp(Y$46:Y$49,$A70)</f>
        <v>6.9145601482117208E-3</v>
      </c>
      <c r="Z70" s="2" cm="1">
        <f t="array" ref="Z70">TrajectoryToComeUp(Z$46:Z$49,$A70)</f>
        <v>6.9145601482117208E-3</v>
      </c>
      <c r="AA70" s="2" cm="1">
        <f t="array" ref="AA70">TrajectoryToComeUp(AA$46:AA$49,$A70)</f>
        <v>6.9145601482117208E-3</v>
      </c>
      <c r="AB70" s="2" cm="1">
        <f t="array" ref="AB70">TrajectoryToComeUp(AB$46:AB$49,$A70)</f>
        <v>6.9145601482117208E-3</v>
      </c>
      <c r="AC70" s="2"/>
    </row>
    <row r="71" spans="1:29" x14ac:dyDescent="0.25">
      <c r="A71" s="1">
        <v>375</v>
      </c>
      <c r="B71" s="1" cm="1">
        <f t="array" ref="B71">EvaluatePolynomial(B$46:B$49,$A71)</f>
        <v>2196.5060259432416</v>
      </c>
      <c r="C71" s="2" cm="1">
        <f t="array" ref="C71">EvaluatePolynomial(C$46:C$49,$A71)</f>
        <v>0</v>
      </c>
      <c r="D71" s="2" cm="1">
        <f t="array" ref="D71">EvaluatePolynomial(D$46:D$49,$A71)</f>
        <v>-0.50841343711294606</v>
      </c>
      <c r="E71" s="2" cm="1">
        <f t="array" ref="E71">EvaluatePolynomial(E$46:E$49,$A71)</f>
        <v>-0.59763344106591332</v>
      </c>
      <c r="F71" s="2" cm="1">
        <f t="array" ref="F71">EvaluatePolynomial(F$46:F$49,$A71)</f>
        <v>-0.53900662337046878</v>
      </c>
      <c r="G71" s="2" cm="1">
        <f t="array" ref="G71">EvaluatePolynomial(G$46:G$49,$A71)</f>
        <v>-0.4494636991341906</v>
      </c>
      <c r="H71" s="2" cm="1">
        <f t="array" ref="H71">EvaluatePolynomial(H$46:H$49,$A71)</f>
        <v>-0.23947771189271955</v>
      </c>
      <c r="I71" s="2" cm="1">
        <f t="array" ref="I71">EvaluatePolynomial(I$46:I$49,$A71)</f>
        <v>5.466782318534829E-2</v>
      </c>
      <c r="J71" s="2" cm="1">
        <f t="array" ref="J71">EvaluatePolynomial(J$46:J$49,$A71)</f>
        <v>0.37722915061280982</v>
      </c>
      <c r="K71" s="2" cm="1">
        <f t="array" ref="K71">EvaluatePolynomial(K$46:K$49,$A71)</f>
        <v>0</v>
      </c>
      <c r="L71" s="2" cm="1">
        <f t="array" ref="L71">EvaluatePolynomial(L$46:L$49,$A71)</f>
        <v>0</v>
      </c>
      <c r="M71" s="2" cm="1">
        <f t="array" ref="M71">EvaluatePolynomial(M$46:M$49,$A71)</f>
        <v>0</v>
      </c>
      <c r="N71" s="2" cm="1">
        <f t="array" ref="N71">EvaluatePolynomial(N$46:N$49,$A71)</f>
        <v>0</v>
      </c>
      <c r="O71" s="2" cm="1">
        <f t="array" ref="O71">EvaluatePolynomial(O$46:O$49,$A71)</f>
        <v>0</v>
      </c>
      <c r="P71" s="2" cm="1">
        <f t="array" ref="P71">TrajectoryToComeUp(P$46:P$49,$A71)</f>
        <v>0</v>
      </c>
      <c r="Q71" s="2" cm="1">
        <f t="array" ref="Q71">TrajectoryToComeUp(Q$46:Q$49,$A71)</f>
        <v>2.1243904974880961</v>
      </c>
      <c r="R71" s="2" cm="1">
        <f t="array" ref="R71">TrajectoryToComeUp(R$46:R$49,$A71)</f>
        <v>2.3655407616437314</v>
      </c>
      <c r="S71" s="2" cm="1">
        <f t="array" ref="S71">TrajectoryToComeUp(S$46:S$49,$A71)</f>
        <v>1.9916267791879474</v>
      </c>
      <c r="T71" s="2" cm="1">
        <f t="array" ref="T71">TrajectoryToComeUp(T$46:T$49,$A71)</f>
        <v>1.6562450044769612</v>
      </c>
      <c r="U71" s="2" cm="1">
        <f t="array" ref="U71">TrajectoryToComeUp(U$46:U$49,$A71)</f>
        <v>0.81363180348123665</v>
      </c>
      <c r="V71" s="2" cm="1">
        <f t="array" ref="V71">TrajectoryToComeUp(V$46:V$49,$A71)</f>
        <v>-0.33184111863945848</v>
      </c>
      <c r="W71" s="2" cm="1">
        <f t="array" ref="W71">TrajectoryToComeUp(W$46:W$49,$A71)</f>
        <v>-1.5631002674260344</v>
      </c>
      <c r="X71" s="2" cm="1">
        <f t="array" ref="X71">TrajectoryToComeUp(X$46:X$49,$A71)</f>
        <v>8.505707010977942E-3</v>
      </c>
      <c r="Y71" s="2" cm="1">
        <f t="array" ref="Y71">TrajectoryToComeUp(Y$46:Y$49,$A71)</f>
        <v>8.505707010977942E-3</v>
      </c>
      <c r="Z71" s="2" cm="1">
        <f t="array" ref="Z71">TrajectoryToComeUp(Z$46:Z$49,$A71)</f>
        <v>8.505707010977942E-3</v>
      </c>
      <c r="AA71" s="2" cm="1">
        <f t="array" ref="AA71">TrajectoryToComeUp(AA$46:AA$49,$A71)</f>
        <v>8.505707010977942E-3</v>
      </c>
      <c r="AB71" s="2" cm="1">
        <f t="array" ref="AB71">TrajectoryToComeUp(AB$46:AB$49,$A71)</f>
        <v>8.505707010977942E-3</v>
      </c>
      <c r="AC71" s="2"/>
    </row>
    <row r="72" spans="1:29" x14ac:dyDescent="0.25">
      <c r="A72" s="1">
        <v>400</v>
      </c>
      <c r="B72" s="1" cm="1">
        <f t="array" ref="B72">EvaluatePolynomial(B$46:B$49,$A72)</f>
        <v>2104.8626064352966</v>
      </c>
      <c r="C72" s="2" cm="1">
        <f t="array" ref="C72">EvaluatePolynomial(C$46:C$49,$A72)</f>
        <v>0</v>
      </c>
      <c r="D72" s="2" cm="1">
        <f t="array" ref="D72">EvaluatePolynomial(D$46:D$49,$A72)</f>
        <v>-0.58576996472038678</v>
      </c>
      <c r="E72" s="2" cm="1">
        <f t="array" ref="E72">EvaluatePolynomial(E$46:E$49,$A72)</f>
        <v>-0.67198784750258989</v>
      </c>
      <c r="F72" s="2" cm="1">
        <f t="array" ref="F72">EvaluatePolynomial(F$46:F$49,$A72)</f>
        <v>-0.6148186976216552</v>
      </c>
      <c r="G72" s="2" cm="1">
        <f t="array" ref="G72">EvaluatePolynomial(G$46:G$49,$A72)</f>
        <v>-0.52247194366570704</v>
      </c>
      <c r="H72" s="2" cm="1">
        <f t="array" ref="H72">EvaluatePolynomial(H$46:H$49,$A72)</f>
        <v>-0.31684841806815928</v>
      </c>
      <c r="I72" s="2" cm="1">
        <f t="array" ref="I72">EvaluatePolynomial(I$46:I$49,$A72)</f>
        <v>-2.8096453766247753E-2</v>
      </c>
      <c r="J72" s="2" cm="1">
        <f t="array" ref="J72">EvaluatePolynomial(J$46:J$49,$A72)</f>
        <v>0.30062116406574263</v>
      </c>
      <c r="K72" s="2" cm="1">
        <f t="array" ref="K72">EvaluatePolynomial(K$46:K$49,$A72)</f>
        <v>0</v>
      </c>
      <c r="L72" s="2" cm="1">
        <f t="array" ref="L72">EvaluatePolynomial(L$46:L$49,$A72)</f>
        <v>0</v>
      </c>
      <c r="M72" s="2" cm="1">
        <f t="array" ref="M72">EvaluatePolynomial(M$46:M$49,$A72)</f>
        <v>0</v>
      </c>
      <c r="N72" s="2" cm="1">
        <f t="array" ref="N72">EvaluatePolynomial(N$46:N$49,$A72)</f>
        <v>0</v>
      </c>
      <c r="O72" s="2" cm="1">
        <f t="array" ref="O72">EvaluatePolynomial(O$46:O$49,$A72)</f>
        <v>0</v>
      </c>
      <c r="P72" s="2" cm="1">
        <f t="array" ref="P72">TrajectoryToComeUp(P$46:P$49,$A72)</f>
        <v>0</v>
      </c>
      <c r="Q72" s="2" cm="1">
        <f t="array" ref="Q72">TrajectoryToComeUp(Q$46:Q$49,$A72)</f>
        <v>2.4423050226416416</v>
      </c>
      <c r="R72" s="2" cm="1">
        <f t="array" ref="R72">TrajectoryToComeUp(R$46:R$49,$A72)</f>
        <v>2.6445712530024417</v>
      </c>
      <c r="S72" s="2" cm="1">
        <f t="array" ref="S72">TrajectoryToComeUp(S$46:S$49,$A72)</f>
        <v>2.2657635338140238</v>
      </c>
      <c r="T72" s="2" cm="1">
        <f t="array" ref="T72">TrajectoryToComeUp(T$46:T$49,$A72)</f>
        <v>1.9164909961369569</v>
      </c>
      <c r="U72" s="2" cm="1">
        <f t="array" ref="U72">TrajectoryToComeUp(U$46:U$49,$A72)</f>
        <v>1.0982163647827616</v>
      </c>
      <c r="V72" s="2" cm="1">
        <f t="array" ref="V72">TrajectoryToComeUp(V$46:V$49,$A72)</f>
        <v>-1.7972521542216409E-2</v>
      </c>
      <c r="W72" s="2" cm="1">
        <f t="array" ref="W72">TrajectoryToComeUp(W$46:W$49,$A72)</f>
        <v>-1.2738258364900148</v>
      </c>
      <c r="X72" s="2" cm="1">
        <f t="array" ref="X72">TrajectoryToComeUp(X$46:X$49,$A72)</f>
        <v>8.6650097297988581E-3</v>
      </c>
      <c r="Y72" s="2" cm="1">
        <f t="array" ref="Y72">TrajectoryToComeUp(Y$46:Y$49,$A72)</f>
        <v>8.6650097297988581E-3</v>
      </c>
      <c r="Z72" s="2" cm="1">
        <f t="array" ref="Z72">TrajectoryToComeUp(Z$46:Z$49,$A72)</f>
        <v>8.6650097297988581E-3</v>
      </c>
      <c r="AA72" s="2" cm="1">
        <f t="array" ref="AA72">TrajectoryToComeUp(AA$46:AA$49,$A72)</f>
        <v>8.6650097297988581E-3</v>
      </c>
      <c r="AB72" s="2" cm="1">
        <f t="array" ref="AB72">TrajectoryToComeUp(AB$46:AB$49,$A72)</f>
        <v>8.6650097297988581E-3</v>
      </c>
      <c r="AC72" s="2"/>
    </row>
    <row r="73" spans="1:29" x14ac:dyDescent="0.25">
      <c r="A73" s="1">
        <v>425</v>
      </c>
      <c r="B73" s="1" cm="1">
        <f t="array" ref="B73">EvaluatePolynomial(B$46:B$49,$A73)</f>
        <v>2016.5805991093569</v>
      </c>
      <c r="C73" s="2" cm="1">
        <f t="array" ref="C73">EvaluatePolynomial(C$46:C$49,$A73)</f>
        <v>0</v>
      </c>
      <c r="D73" s="2" cm="1">
        <f t="array" ref="D73">EvaluatePolynomial(D$46:D$49,$A73)</f>
        <v>-0.65771870294222978</v>
      </c>
      <c r="E73" s="2" cm="1">
        <f t="array" ref="E73">EvaluatePolynomial(E$46:E$49,$A73)</f>
        <v>-0.73767513514450533</v>
      </c>
      <c r="F73" s="2" cm="1">
        <f t="array" ref="F73">EvaluatePolynomial(F$46:F$49,$A73)</f>
        <v>-0.68323582499712054</v>
      </c>
      <c r="G73" s="2" cm="1">
        <f t="array" ref="G73">EvaluatePolynomial(G$46:G$49,$A73)</f>
        <v>-0.58802144635239961</v>
      </c>
      <c r="H73" s="2" cm="1">
        <f t="array" ref="H73">EvaluatePolynomial(H$46:H$49,$A73)</f>
        <v>-0.38845637865009902</v>
      </c>
      <c r="I73" s="2" cm="1">
        <f t="array" ref="I73">EvaluatePolynomial(I$46:I$49,$A73)</f>
        <v>-0.10922445597069214</v>
      </c>
      <c r="J73" s="2" cm="1">
        <f t="array" ref="J73">EvaluatePolynomial(J$46:J$49,$A73)</f>
        <v>0.22319976102084058</v>
      </c>
      <c r="K73" s="2" cm="1">
        <f t="array" ref="K73">EvaluatePolynomial(K$46:K$49,$A73)</f>
        <v>0</v>
      </c>
      <c r="L73" s="2" cm="1">
        <f t="array" ref="L73">EvaluatePolynomial(L$46:L$49,$A73)</f>
        <v>0</v>
      </c>
      <c r="M73" s="2" cm="1">
        <f t="array" ref="M73">EvaluatePolynomial(M$46:M$49,$A73)</f>
        <v>0</v>
      </c>
      <c r="N73" s="2" cm="1">
        <f t="array" ref="N73">EvaluatePolynomial(N$46:N$49,$A73)</f>
        <v>0</v>
      </c>
      <c r="O73" s="2" cm="1">
        <f t="array" ref="O73">EvaluatePolynomial(O$46:O$49,$A73)</f>
        <v>0</v>
      </c>
      <c r="P73" s="2" cm="1">
        <f t="array" ref="P73">TrajectoryToComeUp(P$46:P$49,$A73)</f>
        <v>0</v>
      </c>
      <c r="Q73" s="2" cm="1">
        <f t="array" ref="Q73">TrajectoryToComeUp(Q$46:Q$49,$A73)</f>
        <v>2.7742687123727965</v>
      </c>
      <c r="R73" s="2" cm="1">
        <f t="array" ref="R73">TrajectoryToComeUp(R$46:R$49,$A73)</f>
        <v>2.9293921946195134</v>
      </c>
      <c r="S73" s="2" cm="1">
        <f t="array" ref="S73">TrajectoryToComeUp(S$46:S$49,$A73)</f>
        <v>2.5484838789483928</v>
      </c>
      <c r="T73" s="2" cm="1">
        <f t="array" ref="T73">TrajectoryToComeUp(T$46:T$49,$A73)</f>
        <v>2.182127570648178</v>
      </c>
      <c r="U73" s="2" cm="1">
        <f t="array" ref="U73">TrajectoryToComeUp(U$46:U$49,$A73)</f>
        <v>1.3930109121808814</v>
      </c>
      <c r="V73" s="2" cm="1">
        <f t="array" ref="V73">TrajectoryToComeUp(V$46:V$49,$A73)</f>
        <v>0.31461371106603592</v>
      </c>
      <c r="W73" s="2" cm="1">
        <f t="array" ref="W73">TrajectoryToComeUp(W$46:W$49,$A73)</f>
        <v>-0.96607953933340951</v>
      </c>
      <c r="X73" s="2" cm="1">
        <f t="array" ref="X73">TrajectoryToComeUp(X$46:X$49,$A73)</f>
        <v>7.30071935200637E-3</v>
      </c>
      <c r="Y73" s="2" cm="1">
        <f t="array" ref="Y73">TrajectoryToComeUp(Y$46:Y$49,$A73)</f>
        <v>7.30071935200637E-3</v>
      </c>
      <c r="Z73" s="2" cm="1">
        <f t="array" ref="Z73">TrajectoryToComeUp(Z$46:Z$49,$A73)</f>
        <v>7.30071935200637E-3</v>
      </c>
      <c r="AA73" s="2" cm="1">
        <f t="array" ref="AA73">TrajectoryToComeUp(AA$46:AA$49,$A73)</f>
        <v>7.30071935200637E-3</v>
      </c>
      <c r="AB73" s="2" cm="1">
        <f t="array" ref="AB73">TrajectoryToComeUp(AB$46:AB$49,$A73)</f>
        <v>7.30071935200637E-3</v>
      </c>
      <c r="AC73" s="2"/>
    </row>
    <row r="74" spans="1:29" x14ac:dyDescent="0.25">
      <c r="A74" s="1">
        <v>450</v>
      </c>
      <c r="B74" s="1" cm="1">
        <f t="array" ref="B74">EvaluatePolynomial(B$46:B$49,$A74)</f>
        <v>1931.687099552581</v>
      </c>
      <c r="C74" s="2" cm="1">
        <f t="array" ref="C74">EvaluatePolynomial(C$46:C$49,$A74)</f>
        <v>0</v>
      </c>
      <c r="D74" s="2" cm="1">
        <f t="array" ref="D74">EvaluatePolynomial(D$46:D$49,$A74)</f>
        <v>-0.72187738369334176</v>
      </c>
      <c r="E74" s="2" cm="1">
        <f t="array" ref="E74">EvaluatePolynomial(E$46:E$49,$A74)</f>
        <v>-0.79180343635261163</v>
      </c>
      <c r="F74" s="2" cm="1">
        <f t="array" ref="F74">EvaluatePolynomial(F$46:F$49,$A74)</f>
        <v>-0.74162034306359426</v>
      </c>
      <c r="G74" s="2" cm="1">
        <f t="array" ref="G74">EvaluatePolynomial(G$46:G$49,$A74)</f>
        <v>-0.64352329726176727</v>
      </c>
      <c r="H74" s="2" cm="1">
        <f t="array" ref="H74">EvaluatePolynomial(H$46:H$49,$A74)</f>
        <v>-0.45200785253745185</v>
      </c>
      <c r="I74" s="2" cm="1">
        <f t="array" ref="I74">EvaluatePolynomial(I$46:I$49,$A74)</f>
        <v>-0.18700880078734519</v>
      </c>
      <c r="J74" s="2" cm="1">
        <f t="array" ref="J74">EvaluatePolynomial(J$46:J$49,$A74)</f>
        <v>0.14622798317341609</v>
      </c>
      <c r="K74" s="2" cm="1">
        <f t="array" ref="K74">EvaluatePolynomial(K$46:K$49,$A74)</f>
        <v>0</v>
      </c>
      <c r="L74" s="2" cm="1">
        <f t="array" ref="L74">EvaluatePolynomial(L$46:L$49,$A74)</f>
        <v>0</v>
      </c>
      <c r="M74" s="2" cm="1">
        <f t="array" ref="M74">EvaluatePolynomial(M$46:M$49,$A74)</f>
        <v>0</v>
      </c>
      <c r="N74" s="2" cm="1">
        <f t="array" ref="N74">EvaluatePolynomial(N$46:N$49,$A74)</f>
        <v>0</v>
      </c>
      <c r="O74" s="2" cm="1">
        <f t="array" ref="O74">EvaluatePolynomial(O$46:O$49,$A74)</f>
        <v>0</v>
      </c>
      <c r="P74" s="2" cm="1">
        <f t="array" ref="P74">TrajectoryToComeUp(P$46:P$49,$A74)</f>
        <v>0</v>
      </c>
      <c r="Q74" s="2" cm="1">
        <f t="array" ref="Q74">TrajectoryToComeUp(Q$46:Q$49,$A74)</f>
        <v>3.1201183462050341</v>
      </c>
      <c r="R74" s="2" cm="1">
        <f t="array" ref="R74">TrajectoryToComeUp(R$46:R$49,$A74)</f>
        <v>3.2198056523981853</v>
      </c>
      <c r="S74" s="2" cm="1">
        <f t="array" ref="S74">TrajectoryToComeUp(S$46:S$49,$A74)</f>
        <v>2.8396314872258945</v>
      </c>
      <c r="T74" s="2" cm="1">
        <f t="array" ref="T74">TrajectoryToComeUp(T$46:T$49,$A74)</f>
        <v>2.4529707555548885</v>
      </c>
      <c r="U74" s="2" cm="1">
        <f t="array" ref="U74">TrajectoryToComeUp(U$46:U$49,$A74)</f>
        <v>1.6978738079656959</v>
      </c>
      <c r="V74" s="2" cm="1">
        <f t="array" ref="V74">TrajectoryToComeUp(V$46:V$49,$A74)</f>
        <v>0.66580575550228716</v>
      </c>
      <c r="W74" s="2" cm="1">
        <f t="array" ref="W74">TrajectoryToComeUp(W$46:W$49,$A74)</f>
        <v>-0.64000340623635776</v>
      </c>
      <c r="X74" s="2" cm="1">
        <f t="array" ref="X74">TrajectoryToComeUp(X$46:X$49,$A74)</f>
        <v>4.3414755810807226E-3</v>
      </c>
      <c r="Y74" s="2" cm="1">
        <f t="array" ref="Y74">TrajectoryToComeUp(Y$46:Y$49,$A74)</f>
        <v>4.3414755810807226E-3</v>
      </c>
      <c r="Z74" s="2" cm="1">
        <f t="array" ref="Z74">TrajectoryToComeUp(Z$46:Z$49,$A74)</f>
        <v>4.3414755810807226E-3</v>
      </c>
      <c r="AA74" s="2" cm="1">
        <f t="array" ref="AA74">TrajectoryToComeUp(AA$46:AA$49,$A74)</f>
        <v>4.3414755810807226E-3</v>
      </c>
      <c r="AB74" s="2" cm="1">
        <f t="array" ref="AB74">TrajectoryToComeUp(AB$46:AB$49,$A74)</f>
        <v>4.3414755810807226E-3</v>
      </c>
      <c r="AC74" s="2"/>
    </row>
    <row r="75" spans="1:29" x14ac:dyDescent="0.25">
      <c r="A75" s="1">
        <v>475</v>
      </c>
      <c r="B75" s="1" cm="1">
        <f t="array" ref="B75">EvaluatePolynomial(B$46:B$49,$A75)</f>
        <v>1850.209203352128</v>
      </c>
      <c r="C75" s="2" cm="1">
        <f t="array" ref="C75">EvaluatePolynomial(C$46:C$49,$A75)</f>
        <v>0</v>
      </c>
      <c r="D75" s="2" cm="1">
        <f t="array" ref="D75">EvaluatePolynomial(D$46:D$49,$A75)</f>
        <v>-0.77586373888859139</v>
      </c>
      <c r="E75" s="2" cm="1">
        <f t="array" ref="E75">EvaluatePolynomial(E$46:E$49,$A75)</f>
        <v>-0.83148088348785976</v>
      </c>
      <c r="F75" s="2" cm="1">
        <f t="array" ref="F75">EvaluatePolynomial(F$46:F$49,$A75)</f>
        <v>-0.78733458938780665</v>
      </c>
      <c r="G75" s="2" cm="1">
        <f t="array" ref="G75">EvaluatePolynomial(G$46:G$49,$A75)</f>
        <v>-0.6863885864613074</v>
      </c>
      <c r="H75" s="2" cm="1">
        <f t="array" ref="H75">EvaluatePolynomial(H$46:H$49,$A75)</f>
        <v>-0.50520909862913044</v>
      </c>
      <c r="I75" s="2" cm="1">
        <f t="array" ref="I75">EvaluatePolynomial(I$46:I$49,$A75)</f>
        <v>-0.25974210557556643</v>
      </c>
      <c r="J75" s="2" cm="1">
        <f t="array" ref="J75">EvaluatePolynomial(J$46:J$49,$A75)</f>
        <v>7.0968872218781662E-2</v>
      </c>
      <c r="K75" s="2" cm="1">
        <f t="array" ref="K75">EvaluatePolynomial(K$46:K$49,$A75)</f>
        <v>0</v>
      </c>
      <c r="L75" s="2" cm="1">
        <f t="array" ref="L75">EvaluatePolynomial(L$46:L$49,$A75)</f>
        <v>0</v>
      </c>
      <c r="M75" s="2" cm="1">
        <f t="array" ref="M75">EvaluatePolynomial(M$46:M$49,$A75)</f>
        <v>0</v>
      </c>
      <c r="N75" s="2" cm="1">
        <f t="array" ref="N75">EvaluatePolynomial(N$46:N$49,$A75)</f>
        <v>0</v>
      </c>
      <c r="O75" s="2" cm="1">
        <f t="array" ref="O75">EvaluatePolynomial(O$46:O$49,$A75)</f>
        <v>0</v>
      </c>
      <c r="P75" s="2" cm="1">
        <f t="array" ref="P75">TrajectoryToComeUp(P$46:P$49,$A75)</f>
        <v>0</v>
      </c>
      <c r="Q75" s="2" cm="1">
        <f t="array" ref="Q75">TrajectoryToComeUp(Q$46:Q$49,$A75)</f>
        <v>3.4797250658674135</v>
      </c>
      <c r="R75" s="2" cm="1">
        <f t="array" ref="R75">TrajectoryToComeUp(R$46:R$49,$A75)</f>
        <v>3.5156553625778559</v>
      </c>
      <c r="S75" s="2" cm="1">
        <f t="array" ref="S75">TrajectoryToComeUp(S$46:S$49,$A75)</f>
        <v>3.1390829423056137</v>
      </c>
      <c r="T75" s="2" cm="1">
        <f t="array" ref="T75">TrajectoryToComeUp(T$46:T$49,$A75)</f>
        <v>2.7288753094446636</v>
      </c>
      <c r="U75" s="2" cm="1">
        <f t="array" ref="U75">TrajectoryToComeUp(U$46:U$49,$A75)</f>
        <v>2.0126932328925475</v>
      </c>
      <c r="V75" s="2" cm="1">
        <f t="array" ref="V75">TrajectoryToComeUp(V$46:V$49,$A75)</f>
        <v>1.0355153299115287</v>
      </c>
      <c r="W75" s="2" cm="1">
        <f t="array" ref="W75">TrajectoryToComeUp(W$46:W$49,$A75)</f>
        <v>-0.29570956636739354</v>
      </c>
      <c r="X75" s="2" cm="1">
        <f t="array" ref="X75">TrajectoryToComeUp(X$46:X$49,$A75)</f>
        <v>-2.6905865917793719E-4</v>
      </c>
      <c r="Y75" s="2" cm="1">
        <f t="array" ref="Y75">TrajectoryToComeUp(Y$46:Y$49,$A75)</f>
        <v>-2.6905865917793719E-4</v>
      </c>
      <c r="Z75" s="2" cm="1">
        <f t="array" ref="Z75">TrajectoryToComeUp(Z$46:Z$49,$A75)</f>
        <v>-2.6905865917793719E-4</v>
      </c>
      <c r="AA75" s="2" cm="1">
        <f t="array" ref="AA75">TrajectoryToComeUp(AA$46:AA$49,$A75)</f>
        <v>-2.6905865917793719E-4</v>
      </c>
      <c r="AB75" s="2" cm="1">
        <f t="array" ref="AB75">TrajectoryToComeUp(AB$46:AB$49,$A75)</f>
        <v>-2.6905865917793719E-4</v>
      </c>
      <c r="AC75" s="2"/>
    </row>
    <row r="76" spans="1:29" x14ac:dyDescent="0.25">
      <c r="A76" s="10">
        <v>500</v>
      </c>
      <c r="B76" s="1" cm="1">
        <f t="array" ref="B76">EvaluatePolynomial(B$46:B$49,$A76)</f>
        <v>1772.1740060951586</v>
      </c>
      <c r="C76" s="2" cm="1">
        <f t="array" ref="C76">EvaluatePolynomial(C$46:C$49,$A76)</f>
        <v>0</v>
      </c>
      <c r="D76" s="2" cm="1">
        <f t="array" ref="D76">EvaluatePolynomial(D$46:D$49,$A76)</f>
        <v>-0.81729550044284494</v>
      </c>
      <c r="E76" s="2" cm="1">
        <f t="array" ref="E76">EvaluatePolynomial(E$46:E$49,$A76)</f>
        <v>-0.85381560891120312</v>
      </c>
      <c r="F76" s="2" cm="1">
        <f t="array" ref="F76">EvaluatePolynomial(F$46:F$49,$A76)</f>
        <v>-0.81774090153648826</v>
      </c>
      <c r="G76" s="2" cm="1">
        <f t="array" ref="G76">EvaluatePolynomial(G$46:G$49,$A76)</f>
        <v>-0.71402840401851786</v>
      </c>
      <c r="H76" s="2" cm="1">
        <f t="array" ref="H76">EvaluatePolynomial(H$46:H$49,$A76)</f>
        <v>-0.5457663758240473</v>
      </c>
      <c r="I76" s="2" cm="1">
        <f t="array" ref="I76">EvaluatePolynomial(I$46:I$49,$A76)</f>
        <v>-0.32571698769471585</v>
      </c>
      <c r="J76" s="2" cm="1">
        <f t="array" ref="J76">EvaluatePolynomial(J$46:J$49,$A76)</f>
        <v>-1.3145301477502725E-3</v>
      </c>
      <c r="K76" s="2" cm="1">
        <f t="array" ref="K76">EvaluatePolynomial(K$46:K$49,$A76)</f>
        <v>0</v>
      </c>
      <c r="L76" s="2" cm="1">
        <f t="array" ref="L76">EvaluatePolynomial(L$46:L$49,$A76)</f>
        <v>0</v>
      </c>
      <c r="M76" s="2" cm="1">
        <f t="array" ref="M76">EvaluatePolynomial(M$46:M$49,$A76)</f>
        <v>0</v>
      </c>
      <c r="N76" s="2" cm="1">
        <f t="array" ref="N76">EvaluatePolynomial(N$46:N$49,$A76)</f>
        <v>0</v>
      </c>
      <c r="O76" s="2" cm="1">
        <f t="array" ref="O76">EvaluatePolynomial(O$46:O$49,$A76)</f>
        <v>0</v>
      </c>
      <c r="P76" s="2" cm="1">
        <f t="array" ref="P76">TrajectoryToComeUp(P$46:P$49,$A76)</f>
        <v>0</v>
      </c>
      <c r="Q76" s="2" cm="1">
        <f t="array" ref="Q76">TrajectoryToComeUp(Q$46:Q$49,$A76)</f>
        <v>3.8529857847431823</v>
      </c>
      <c r="R76" s="2" cm="1">
        <f t="array" ref="R76">TrajectoryToComeUp(R$46:R$49,$A76)</f>
        <v>3.8168163141500444</v>
      </c>
      <c r="S76" s="2" cm="1">
        <f t="array" ref="S76">TrajectoryToComeUp(S$46:S$49,$A76)</f>
        <v>3.4467395111148154</v>
      </c>
      <c r="T76" s="2" cm="1">
        <f t="array" ref="T76">TrajectoryToComeUp(T$46:T$49,$A76)</f>
        <v>3.0097250391875678</v>
      </c>
      <c r="U76" s="2" cm="1">
        <f t="array" ref="U76">TrajectoryToComeUp(U$46:U$49,$A76)</f>
        <v>2.337379731565711</v>
      </c>
      <c r="V76" s="2" cm="1">
        <f t="array" ref="V76">TrajectoryToComeUp(V$46:V$49,$A76)</f>
        <v>1.4236718088097531</v>
      </c>
      <c r="W76" s="2" cm="1">
        <f t="array" ref="W76">TrajectoryToComeUp(W$46:W$49,$A76)</f>
        <v>6.6712276938658208E-2</v>
      </c>
      <c r="X76" s="2" cm="1">
        <f t="array" ref="X76">TrajectoryToComeUp(X$46:X$49,$A76)</f>
        <v>-6.5759530297292805E-3</v>
      </c>
      <c r="Y76" s="2" cm="1">
        <f t="array" ref="Y76">TrajectoryToComeUp(Y$46:Y$49,$A76)</f>
        <v>-6.5759530297292805E-3</v>
      </c>
      <c r="Z76" s="2" cm="1">
        <f t="array" ref="Z76">TrajectoryToComeUp(Z$46:Z$49,$A76)</f>
        <v>-6.5759530297292805E-3</v>
      </c>
      <c r="AA76" s="2" cm="1">
        <f t="array" ref="AA76">TrajectoryToComeUp(AA$46:AA$49,$A76)</f>
        <v>-6.5759530297292805E-3</v>
      </c>
      <c r="AB76" s="2" cm="1">
        <f t="array" ref="AB76">TrajectoryToComeUp(AB$46:AB$49,$A76)</f>
        <v>-6.5759530297292805E-3</v>
      </c>
      <c r="AC76" s="2"/>
    </row>
    <row r="83" spans="10:31" x14ac:dyDescent="0.25"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0:31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0:31" x14ac:dyDescent="0.25"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0:31" x14ac:dyDescent="0.25"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0:31" x14ac:dyDescent="0.25"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0:31" x14ac:dyDescent="0.25"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0:31" x14ac:dyDescent="0.25"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0:31" x14ac:dyDescent="0.25"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0:31" x14ac:dyDescent="0.25"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0:31" x14ac:dyDescent="0.25"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0:31" x14ac:dyDescent="0.25"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0:31" x14ac:dyDescent="0.25"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0:31" x14ac:dyDescent="0.25"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0:31" x14ac:dyDescent="0.25"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0:31" x14ac:dyDescent="0.25"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0:31" x14ac:dyDescent="0.25"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0:31" x14ac:dyDescent="0.25"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0:31" x14ac:dyDescent="0.25"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0:31" x14ac:dyDescent="0.25"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0:31" x14ac:dyDescent="0.25"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0:31" x14ac:dyDescent="0.25"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7" spans="10:31" x14ac:dyDescent="0.25"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0:31" x14ac:dyDescent="0.25"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0:31" x14ac:dyDescent="0.25"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0:31" x14ac:dyDescent="0.25"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0:31" x14ac:dyDescent="0.25"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0:31" x14ac:dyDescent="0.25"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x14ac:dyDescent="0.25"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x14ac:dyDescent="0.25"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x14ac:dyDescent="0.25"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x14ac:dyDescent="0.25"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x14ac:dyDescent="0.25"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x14ac:dyDescent="0.25"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x14ac:dyDescent="0.25"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x14ac:dyDescent="0.25">
      <c r="A120" s="29" t="s">
        <v>83</v>
      </c>
      <c r="B120" s="29" t="s">
        <v>67</v>
      </c>
      <c r="C120" s="29" t="s">
        <v>68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x14ac:dyDescent="0.25">
      <c r="A121" t="s">
        <v>56</v>
      </c>
      <c r="B121" t="s">
        <v>17</v>
      </c>
      <c r="C121">
        <f>IF(ISBLANK($B121),"",VLOOKUP($B121,A6:B7,2,FALSE))</f>
        <v>0.5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x14ac:dyDescent="0.25">
      <c r="A122" t="s">
        <v>10</v>
      </c>
      <c r="B122" t="s">
        <v>11</v>
      </c>
      <c r="C122" t="s">
        <v>12</v>
      </c>
      <c r="D122" t="s">
        <v>13</v>
      </c>
      <c r="E122" t="s">
        <v>14</v>
      </c>
      <c r="F122" t="s">
        <v>15</v>
      </c>
      <c r="G122" t="s">
        <v>26</v>
      </c>
      <c r="H122" t="s">
        <v>27</v>
      </c>
      <c r="I122" t="s">
        <v>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x14ac:dyDescent="0.25">
      <c r="A123" s="1">
        <v>0</v>
      </c>
      <c r="B123" s="1">
        <v>823</v>
      </c>
      <c r="C123" s="1">
        <v>3950</v>
      </c>
      <c r="D123" s="1">
        <v>-3.8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x14ac:dyDescent="0.25">
      <c r="A124" s="1">
        <v>25</v>
      </c>
      <c r="B124" s="1">
        <v>808</v>
      </c>
      <c r="C124" s="1">
        <v>3806</v>
      </c>
      <c r="D124" s="1">
        <v>-1.5</v>
      </c>
      <c r="E124" s="1">
        <v>2</v>
      </c>
      <c r="F124" s="1">
        <v>0.6</v>
      </c>
      <c r="G124" s="1">
        <v>0</v>
      </c>
      <c r="H124" s="1">
        <v>0</v>
      </c>
      <c r="I124" s="1">
        <v>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x14ac:dyDescent="0.25">
      <c r="A125" s="10">
        <v>50</v>
      </c>
      <c r="B125" s="10">
        <v>793</v>
      </c>
      <c r="C125" s="10">
        <v>3666</v>
      </c>
      <c r="D125" s="10">
        <v>0</v>
      </c>
      <c r="E125" s="10">
        <v>0</v>
      </c>
      <c r="F125" s="10">
        <v>0</v>
      </c>
      <c r="G125" s="1">
        <v>0</v>
      </c>
      <c r="H125" s="10">
        <v>0</v>
      </c>
      <c r="I125" s="10">
        <v>0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x14ac:dyDescent="0.25">
      <c r="A126" s="1">
        <v>75</v>
      </c>
      <c r="B126" s="1">
        <v>778</v>
      </c>
      <c r="C126" s="1">
        <v>3530</v>
      </c>
      <c r="D126" s="1">
        <v>0.4</v>
      </c>
      <c r="E126" s="1">
        <v>-0.2</v>
      </c>
      <c r="F126" s="1">
        <v>-0.1</v>
      </c>
      <c r="G126" s="1">
        <v>0</v>
      </c>
      <c r="H126" s="1">
        <v>0</v>
      </c>
      <c r="I126" s="1">
        <v>0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x14ac:dyDescent="0.25">
      <c r="A127" s="1">
        <v>100</v>
      </c>
      <c r="B127" s="1">
        <v>763</v>
      </c>
      <c r="C127" s="1">
        <v>3399</v>
      </c>
      <c r="D127" s="1">
        <v>-0.1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x14ac:dyDescent="0.25">
      <c r="A128" s="1">
        <v>125</v>
      </c>
      <c r="B128" s="1">
        <v>749</v>
      </c>
      <c r="C128" s="1">
        <v>3271</v>
      </c>
      <c r="D128" s="1">
        <v>-1.8</v>
      </c>
      <c r="E128" s="1">
        <v>0.5</v>
      </c>
      <c r="F128" s="1">
        <v>0.1</v>
      </c>
      <c r="G128" s="1">
        <v>0</v>
      </c>
      <c r="H128" s="1">
        <v>0</v>
      </c>
      <c r="I128" s="1">
        <v>0</v>
      </c>
    </row>
    <row r="129" spans="1:31" x14ac:dyDescent="0.25">
      <c r="A129" s="1">
        <v>150</v>
      </c>
      <c r="B129" s="1">
        <v>735</v>
      </c>
      <c r="C129" s="1">
        <v>3147</v>
      </c>
      <c r="D129" s="1">
        <v>-4.5999999999999996</v>
      </c>
      <c r="E129" s="1">
        <v>1</v>
      </c>
      <c r="F129" s="1">
        <v>0.3</v>
      </c>
      <c r="G129" s="1">
        <v>0</v>
      </c>
      <c r="H129" s="1">
        <v>0</v>
      </c>
      <c r="I129" s="1">
        <v>0</v>
      </c>
    </row>
    <row r="130" spans="1:31" x14ac:dyDescent="0.25">
      <c r="A130" s="1">
        <v>175</v>
      </c>
      <c r="B130" s="1">
        <v>720</v>
      </c>
      <c r="C130" s="1">
        <v>3027</v>
      </c>
      <c r="D130" s="1">
        <v>-8.4</v>
      </c>
      <c r="E130" s="1">
        <v>1.7</v>
      </c>
      <c r="F130" s="1">
        <v>0.5</v>
      </c>
      <c r="G130" s="1">
        <v>0</v>
      </c>
      <c r="H130" s="1">
        <v>0</v>
      </c>
      <c r="I130" s="1">
        <v>0</v>
      </c>
    </row>
    <row r="131" spans="1:31" x14ac:dyDescent="0.25">
      <c r="A131" s="1">
        <v>200</v>
      </c>
      <c r="B131" s="1">
        <v>706</v>
      </c>
      <c r="C131" s="1">
        <v>2910</v>
      </c>
      <c r="D131" s="1">
        <v>-13.7</v>
      </c>
      <c r="E131" s="1">
        <v>2.4</v>
      </c>
      <c r="F131" s="1">
        <v>0.7</v>
      </c>
      <c r="G131" s="1">
        <v>0</v>
      </c>
      <c r="H131" s="1">
        <v>0</v>
      </c>
      <c r="I131" s="1">
        <v>0</v>
      </c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x14ac:dyDescent="0.25">
      <c r="A132" s="1">
        <v>225</v>
      </c>
      <c r="B132" s="1">
        <v>692</v>
      </c>
      <c r="C132" s="1">
        <v>2797</v>
      </c>
      <c r="D132" s="1">
        <v>-20</v>
      </c>
      <c r="E132" s="1">
        <v>3.1</v>
      </c>
      <c r="F132" s="1">
        <v>0.9</v>
      </c>
      <c r="G132" s="1">
        <v>0</v>
      </c>
      <c r="H132" s="1">
        <v>0</v>
      </c>
      <c r="I132" s="1">
        <v>0</v>
      </c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x14ac:dyDescent="0.25">
      <c r="A133" s="1">
        <v>250</v>
      </c>
      <c r="B133" s="1">
        <v>679</v>
      </c>
      <c r="C133" s="1">
        <v>2687</v>
      </c>
      <c r="D133" s="1">
        <v>-27.7</v>
      </c>
      <c r="E133" s="1">
        <v>3.8</v>
      </c>
      <c r="F133" s="1">
        <v>1.1000000000000001</v>
      </c>
      <c r="G133" s="1">
        <v>0</v>
      </c>
      <c r="H133" s="1">
        <v>0</v>
      </c>
      <c r="I133" s="1">
        <v>0</v>
      </c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x14ac:dyDescent="0.25">
      <c r="A134" s="1">
        <v>275</v>
      </c>
      <c r="B134" s="1">
        <v>665</v>
      </c>
      <c r="C134" s="1">
        <v>2580</v>
      </c>
      <c r="D134" s="1">
        <v>-37</v>
      </c>
      <c r="E134" s="1">
        <v>4.5999999999999996</v>
      </c>
      <c r="F134" s="1">
        <v>1.3</v>
      </c>
      <c r="G134" s="1">
        <v>0</v>
      </c>
      <c r="H134" s="1">
        <v>0</v>
      </c>
      <c r="I134" s="1">
        <v>0</v>
      </c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x14ac:dyDescent="0.25">
      <c r="A135" s="1">
        <v>300</v>
      </c>
      <c r="B135" s="1">
        <v>652</v>
      </c>
      <c r="C135" s="1">
        <v>2477</v>
      </c>
      <c r="D135" s="1">
        <v>-47.4</v>
      </c>
      <c r="E135" s="1">
        <v>5.4</v>
      </c>
      <c r="F135" s="1">
        <v>1.6</v>
      </c>
      <c r="G135" s="1">
        <v>0</v>
      </c>
      <c r="H135" s="1">
        <v>0</v>
      </c>
      <c r="I135" s="1">
        <v>0</v>
      </c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x14ac:dyDescent="0.25">
      <c r="A136" s="1">
        <v>325</v>
      </c>
      <c r="B136" s="1">
        <v>638</v>
      </c>
      <c r="C136" s="1">
        <v>2377</v>
      </c>
      <c r="D136" s="1">
        <v>-59.3</v>
      </c>
      <c r="E136" s="1">
        <v>6.3</v>
      </c>
      <c r="F136" s="1">
        <v>1.8</v>
      </c>
      <c r="G136" s="1">
        <v>0</v>
      </c>
      <c r="H136" s="1">
        <v>0</v>
      </c>
      <c r="I136" s="1">
        <v>0</v>
      </c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x14ac:dyDescent="0.25">
      <c r="A137" s="1">
        <v>350</v>
      </c>
      <c r="B137" s="1">
        <v>625</v>
      </c>
      <c r="C137" s="1">
        <v>2281</v>
      </c>
      <c r="D137" s="1">
        <v>-73.3</v>
      </c>
      <c r="E137" s="1">
        <v>7.2</v>
      </c>
      <c r="F137" s="1">
        <v>2.1</v>
      </c>
      <c r="G137" s="1">
        <v>0</v>
      </c>
      <c r="H137" s="1">
        <v>0</v>
      </c>
      <c r="I137" s="1">
        <v>0</v>
      </c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x14ac:dyDescent="0.25">
      <c r="A138" s="1">
        <v>375</v>
      </c>
      <c r="B138" s="1">
        <v>612</v>
      </c>
      <c r="C138" s="1">
        <v>2187</v>
      </c>
      <c r="D138" s="1">
        <v>-88.4</v>
      </c>
      <c r="E138" s="1">
        <v>8.1</v>
      </c>
      <c r="F138" s="1">
        <v>2.4</v>
      </c>
      <c r="G138" s="1">
        <v>0</v>
      </c>
      <c r="H138" s="1">
        <v>0</v>
      </c>
      <c r="I138" s="1">
        <v>0</v>
      </c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x14ac:dyDescent="0.25">
      <c r="A139" s="1">
        <v>400</v>
      </c>
      <c r="B139" s="1">
        <v>600</v>
      </c>
      <c r="C139" s="1">
        <v>2096</v>
      </c>
      <c r="D139" s="1">
        <v>-105.3</v>
      </c>
      <c r="E139" s="1">
        <v>9.1</v>
      </c>
      <c r="F139" s="1">
        <v>2.6</v>
      </c>
      <c r="G139" s="1">
        <v>0</v>
      </c>
      <c r="H139" s="1">
        <v>0</v>
      </c>
      <c r="I139" s="1">
        <v>0</v>
      </c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x14ac:dyDescent="0.25">
      <c r="A140" s="1">
        <v>425</v>
      </c>
      <c r="B140" s="1">
        <v>587</v>
      </c>
      <c r="C140" s="1">
        <v>2009</v>
      </c>
      <c r="D140" s="1">
        <v>-124.6</v>
      </c>
      <c r="E140" s="1">
        <v>10.1</v>
      </c>
      <c r="F140" s="1">
        <v>2.9</v>
      </c>
      <c r="G140" s="1">
        <v>0</v>
      </c>
      <c r="H140" s="1">
        <v>0</v>
      </c>
      <c r="I140" s="1">
        <v>0</v>
      </c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x14ac:dyDescent="0.25">
      <c r="A141" s="1">
        <v>450</v>
      </c>
      <c r="B141" s="1">
        <v>574</v>
      </c>
      <c r="C141" s="1">
        <v>1924</v>
      </c>
      <c r="D141" s="1">
        <v>-145.1</v>
      </c>
      <c r="E141" s="1">
        <v>11.1</v>
      </c>
      <c r="F141" s="1">
        <v>3.2</v>
      </c>
      <c r="G141" s="1">
        <v>0</v>
      </c>
      <c r="H141" s="1">
        <v>0</v>
      </c>
      <c r="I141" s="1">
        <v>0</v>
      </c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x14ac:dyDescent="0.25">
      <c r="A142" s="1">
        <v>475</v>
      </c>
      <c r="B142" s="1">
        <v>562</v>
      </c>
      <c r="C142" s="1">
        <v>1843</v>
      </c>
      <c r="D142" s="1">
        <v>-167.6</v>
      </c>
      <c r="E142" s="1">
        <v>12.1</v>
      </c>
      <c r="F142" s="1">
        <v>3.5</v>
      </c>
      <c r="G142" s="1">
        <v>0</v>
      </c>
      <c r="H142" s="1">
        <v>0</v>
      </c>
      <c r="I142" s="1">
        <v>0</v>
      </c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x14ac:dyDescent="0.25">
      <c r="A143" s="1">
        <v>500</v>
      </c>
      <c r="B143" s="1">
        <v>550</v>
      </c>
      <c r="C143" s="1">
        <v>1767</v>
      </c>
      <c r="D143" s="1">
        <v>-192.1</v>
      </c>
      <c r="E143" s="1">
        <v>13.2</v>
      </c>
      <c r="F143" s="1">
        <v>3.8</v>
      </c>
      <c r="G143" s="1">
        <v>0</v>
      </c>
      <c r="H143" s="1">
        <v>0</v>
      </c>
      <c r="I143" s="1">
        <v>0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x14ac:dyDescent="0.25">
      <c r="A144" s="1"/>
      <c r="B144" s="1"/>
      <c r="C144" s="1"/>
      <c r="D144" s="1"/>
      <c r="E144" s="1"/>
      <c r="F144" s="1"/>
      <c r="G144" s="1"/>
      <c r="H144" s="1"/>
      <c r="I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x14ac:dyDescent="0.25">
      <c r="A145" s="1"/>
      <c r="B145" s="1"/>
      <c r="C145" s="1"/>
      <c r="D145" s="1"/>
      <c r="E145" s="1"/>
      <c r="F145" s="1"/>
      <c r="G145" s="1"/>
      <c r="H145" s="1"/>
      <c r="I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x14ac:dyDescent="0.25">
      <c r="A146" s="1"/>
      <c r="B146" s="1"/>
      <c r="C146" s="1"/>
      <c r="D146" s="1"/>
      <c r="E146" s="1"/>
      <c r="F146" s="1"/>
      <c r="G146" s="1"/>
      <c r="H146" s="1"/>
      <c r="I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t="s">
        <v>84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t="s">
        <v>10</v>
      </c>
      <c r="B149" t="s">
        <v>11</v>
      </c>
      <c r="C149" t="s">
        <v>12</v>
      </c>
      <c r="D149" t="s">
        <v>13</v>
      </c>
      <c r="E149" t="s">
        <v>14</v>
      </c>
      <c r="F149" t="s">
        <v>15</v>
      </c>
      <c r="G149" t="s">
        <v>26</v>
      </c>
      <c r="H149" t="s">
        <v>27</v>
      </c>
      <c r="I149" t="s">
        <v>28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1">
        <v>0</v>
      </c>
      <c r="B150" s="1">
        <v>823</v>
      </c>
      <c r="C150" s="1">
        <v>3950</v>
      </c>
      <c r="D150" s="1">
        <v>-3.8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1">
        <v>25</v>
      </c>
      <c r="B151" s="1">
        <v>808</v>
      </c>
      <c r="C151" s="1">
        <v>3806</v>
      </c>
      <c r="D151" s="1">
        <v>-1.5</v>
      </c>
      <c r="E151" s="1">
        <v>2</v>
      </c>
      <c r="F151" s="1">
        <v>0.6</v>
      </c>
      <c r="G151" s="1">
        <v>0</v>
      </c>
      <c r="H151" s="1">
        <v>0</v>
      </c>
      <c r="I151" s="1">
        <v>0</v>
      </c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1">
        <v>50</v>
      </c>
      <c r="B152" s="1">
        <v>793</v>
      </c>
      <c r="C152" s="1">
        <v>3666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1">
        <v>75</v>
      </c>
      <c r="B153" s="1">
        <v>778</v>
      </c>
      <c r="C153" s="1">
        <v>3530</v>
      </c>
      <c r="D153" s="1">
        <v>0.4</v>
      </c>
      <c r="E153" s="1">
        <v>-0.2</v>
      </c>
      <c r="F153" s="1">
        <v>-0.1</v>
      </c>
      <c r="G153" s="1">
        <v>0</v>
      </c>
      <c r="H153" s="1">
        <v>0</v>
      </c>
      <c r="I153" s="1">
        <v>0</v>
      </c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1">
        <v>100</v>
      </c>
      <c r="B154" s="1">
        <v>763</v>
      </c>
      <c r="C154" s="1">
        <v>3399</v>
      </c>
      <c r="D154" s="1">
        <v>-0.1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1">
        <v>125</v>
      </c>
      <c r="B155" s="1">
        <v>749</v>
      </c>
      <c r="C155" s="1">
        <v>3271</v>
      </c>
      <c r="D155" s="1">
        <v>-1.8</v>
      </c>
      <c r="E155" s="1">
        <v>0.5</v>
      </c>
      <c r="F155" s="1">
        <v>0.1</v>
      </c>
      <c r="G155" s="1">
        <v>0</v>
      </c>
      <c r="H155" s="1">
        <v>0</v>
      </c>
      <c r="I155" s="1">
        <v>0</v>
      </c>
    </row>
    <row r="156" spans="1:31" x14ac:dyDescent="0.25">
      <c r="A156" s="1">
        <v>150</v>
      </c>
      <c r="B156" s="1">
        <v>735</v>
      </c>
      <c r="C156" s="1">
        <v>3147</v>
      </c>
      <c r="D156" s="1">
        <v>-4.5999999999999996</v>
      </c>
      <c r="E156" s="1">
        <v>1</v>
      </c>
      <c r="F156" s="1">
        <v>0.3</v>
      </c>
      <c r="G156" s="1">
        <v>0</v>
      </c>
      <c r="H156" s="1">
        <v>0</v>
      </c>
      <c r="I156" s="1">
        <v>0</v>
      </c>
    </row>
    <row r="157" spans="1:31" x14ac:dyDescent="0.25">
      <c r="A157" s="1">
        <v>175</v>
      </c>
      <c r="B157" s="1">
        <v>720</v>
      </c>
      <c r="C157" s="1">
        <v>3027</v>
      </c>
      <c r="D157" s="1">
        <v>-8.4</v>
      </c>
      <c r="E157" s="1">
        <v>1.7</v>
      </c>
      <c r="F157" s="1">
        <v>0.5</v>
      </c>
      <c r="G157" s="1">
        <v>0</v>
      </c>
      <c r="H157" s="1">
        <v>0</v>
      </c>
      <c r="I157" s="1">
        <v>0</v>
      </c>
    </row>
    <row r="158" spans="1:31" x14ac:dyDescent="0.25">
      <c r="A158" s="1">
        <v>200</v>
      </c>
      <c r="B158" s="1">
        <v>706</v>
      </c>
      <c r="C158" s="1">
        <v>2910</v>
      </c>
      <c r="D158" s="1">
        <v>-13.7</v>
      </c>
      <c r="E158" s="1">
        <v>2.4</v>
      </c>
      <c r="F158" s="1">
        <v>0.7</v>
      </c>
      <c r="G158" s="1">
        <v>0</v>
      </c>
      <c r="H158" s="1">
        <v>0</v>
      </c>
      <c r="I158" s="1">
        <v>0</v>
      </c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1">
        <v>225</v>
      </c>
      <c r="B159" s="1">
        <v>692</v>
      </c>
      <c r="C159" s="1">
        <v>2797</v>
      </c>
      <c r="D159" s="1">
        <v>-20</v>
      </c>
      <c r="E159" s="1">
        <v>3.1</v>
      </c>
      <c r="F159" s="1">
        <v>0.9</v>
      </c>
      <c r="G159" s="1">
        <v>0</v>
      </c>
      <c r="H159" s="1">
        <v>0</v>
      </c>
      <c r="I159" s="1">
        <v>0</v>
      </c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1">
        <v>250</v>
      </c>
      <c r="B160" s="1">
        <v>679</v>
      </c>
      <c r="C160" s="1">
        <v>2687</v>
      </c>
      <c r="D160" s="1">
        <v>-27.7</v>
      </c>
      <c r="E160" s="1">
        <v>3.8</v>
      </c>
      <c r="F160" s="1">
        <v>1.1000000000000001</v>
      </c>
      <c r="G160" s="1">
        <v>0</v>
      </c>
      <c r="H160" s="1">
        <v>0</v>
      </c>
      <c r="I160" s="1">
        <v>0</v>
      </c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1">
        <v>275</v>
      </c>
      <c r="B161" s="1">
        <v>665</v>
      </c>
      <c r="C161" s="1">
        <v>2580</v>
      </c>
      <c r="D161" s="1">
        <v>-37</v>
      </c>
      <c r="E161" s="1">
        <v>4.5999999999999996</v>
      </c>
      <c r="F161" s="1">
        <v>1.3</v>
      </c>
      <c r="G161" s="1">
        <v>0</v>
      </c>
      <c r="H161" s="1">
        <v>0</v>
      </c>
      <c r="I161" s="1">
        <v>0</v>
      </c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1">
        <v>300</v>
      </c>
      <c r="B162" s="1">
        <v>652</v>
      </c>
      <c r="C162" s="1">
        <v>2477</v>
      </c>
      <c r="D162" s="1">
        <v>-47.4</v>
      </c>
      <c r="E162" s="1">
        <v>5.4</v>
      </c>
      <c r="F162" s="1">
        <v>1.6</v>
      </c>
      <c r="G162" s="1">
        <v>0</v>
      </c>
      <c r="H162" s="1">
        <v>0</v>
      </c>
      <c r="I162" s="1">
        <v>0</v>
      </c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1">
        <v>325</v>
      </c>
      <c r="B163" s="1">
        <v>638</v>
      </c>
      <c r="C163" s="1">
        <v>2377</v>
      </c>
      <c r="D163" s="1">
        <v>-59.3</v>
      </c>
      <c r="E163" s="1">
        <v>6.3</v>
      </c>
      <c r="F163" s="1">
        <v>1.8</v>
      </c>
      <c r="G163" s="1">
        <v>0</v>
      </c>
      <c r="H163" s="1">
        <v>0</v>
      </c>
      <c r="I163" s="1">
        <v>0</v>
      </c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1">
        <v>350</v>
      </c>
      <c r="B164" s="1">
        <v>625</v>
      </c>
      <c r="C164" s="1">
        <v>2281</v>
      </c>
      <c r="D164" s="1">
        <v>-73.3</v>
      </c>
      <c r="E164" s="1">
        <v>7.2</v>
      </c>
      <c r="F164" s="1">
        <v>2.1</v>
      </c>
      <c r="G164" s="1">
        <v>0</v>
      </c>
      <c r="H164" s="1">
        <v>0</v>
      </c>
      <c r="I164" s="1">
        <v>0</v>
      </c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1">
        <v>375</v>
      </c>
      <c r="B165" s="1">
        <v>612</v>
      </c>
      <c r="C165" s="1">
        <v>2187</v>
      </c>
      <c r="D165" s="1">
        <v>-88.4</v>
      </c>
      <c r="E165" s="1">
        <v>8.1</v>
      </c>
      <c r="F165" s="1">
        <v>2.4</v>
      </c>
      <c r="G165" s="1">
        <v>0</v>
      </c>
      <c r="H165" s="1">
        <v>0</v>
      </c>
      <c r="I165" s="1">
        <v>0</v>
      </c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1">
        <v>400</v>
      </c>
      <c r="B166" s="1">
        <v>600</v>
      </c>
      <c r="C166" s="1">
        <v>2096</v>
      </c>
      <c r="D166" s="1">
        <v>-105.3</v>
      </c>
      <c r="E166" s="1">
        <v>9.1</v>
      </c>
      <c r="F166" s="1">
        <v>2.6</v>
      </c>
      <c r="G166" s="1">
        <v>0</v>
      </c>
      <c r="H166" s="1">
        <v>0</v>
      </c>
      <c r="I166" s="1">
        <v>0</v>
      </c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1">
        <v>425</v>
      </c>
      <c r="B167" s="1">
        <v>587</v>
      </c>
      <c r="C167" s="1">
        <v>2009</v>
      </c>
      <c r="D167" s="1">
        <v>-124.6</v>
      </c>
      <c r="E167" s="1">
        <v>10.1</v>
      </c>
      <c r="F167" s="1">
        <v>2.9</v>
      </c>
      <c r="G167" s="1">
        <v>0</v>
      </c>
      <c r="H167" s="1">
        <v>0</v>
      </c>
      <c r="I167" s="1">
        <v>0</v>
      </c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1">
        <v>450</v>
      </c>
      <c r="B168" s="1">
        <v>574</v>
      </c>
      <c r="C168" s="1">
        <v>1924</v>
      </c>
      <c r="D168" s="1">
        <v>-145.1</v>
      </c>
      <c r="E168" s="1">
        <v>11.1</v>
      </c>
      <c r="F168" s="1">
        <v>3.2</v>
      </c>
      <c r="G168" s="1">
        <v>0</v>
      </c>
      <c r="H168" s="1">
        <v>0</v>
      </c>
      <c r="I168" s="1">
        <v>0</v>
      </c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1">
        <v>475</v>
      </c>
      <c r="B169" s="1">
        <v>562</v>
      </c>
      <c r="C169" s="1">
        <v>1843</v>
      </c>
      <c r="D169" s="1">
        <v>-167.6</v>
      </c>
      <c r="E169" s="1">
        <v>12.1</v>
      </c>
      <c r="F169" s="1">
        <v>3.5</v>
      </c>
      <c r="G169" s="1">
        <v>0</v>
      </c>
      <c r="H169" s="1">
        <v>0</v>
      </c>
      <c r="I169" s="1">
        <v>0</v>
      </c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1">
        <v>500</v>
      </c>
      <c r="B170" s="1">
        <v>550</v>
      </c>
      <c r="C170" s="1">
        <v>1767</v>
      </c>
      <c r="D170" s="1">
        <v>-192.1</v>
      </c>
      <c r="E170" s="1">
        <v>13.2</v>
      </c>
      <c r="F170" s="1">
        <v>3.8</v>
      </c>
      <c r="G170" s="1">
        <v>0</v>
      </c>
      <c r="H170" s="1">
        <v>0</v>
      </c>
      <c r="I170" s="1">
        <v>0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1"/>
      <c r="B171" s="1"/>
      <c r="C171" s="1"/>
      <c r="D171" s="1"/>
      <c r="E171" s="1"/>
      <c r="F171" s="1"/>
      <c r="G171" s="1"/>
      <c r="H171" s="1"/>
      <c r="I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1"/>
      <c r="B172" s="1"/>
      <c r="C172" s="1"/>
      <c r="D172" s="1"/>
      <c r="E172" s="1"/>
      <c r="F172" s="1"/>
      <c r="G172" s="1"/>
      <c r="H172" s="1"/>
      <c r="I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1"/>
      <c r="B173" s="1"/>
      <c r="C173" s="1"/>
      <c r="D173" s="1"/>
      <c r="E173" s="1"/>
      <c r="F173" s="1"/>
      <c r="G173" s="1"/>
      <c r="H173" s="1"/>
      <c r="I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1"/>
      <c r="B174" s="1"/>
      <c r="C174" s="1"/>
      <c r="D174" s="1"/>
      <c r="E174" s="1"/>
      <c r="F174" s="1"/>
      <c r="G174" s="1"/>
      <c r="H174" s="1"/>
      <c r="I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t="s">
        <v>85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t="s">
        <v>10</v>
      </c>
      <c r="B178" t="s">
        <v>11</v>
      </c>
      <c r="C178" t="s">
        <v>12</v>
      </c>
      <c r="D178" t="s">
        <v>13</v>
      </c>
      <c r="E178" t="s">
        <v>14</v>
      </c>
      <c r="F178" t="s">
        <v>15</v>
      </c>
      <c r="G178" t="s">
        <v>26</v>
      </c>
      <c r="H178" t="s">
        <v>27</v>
      </c>
      <c r="I178" t="s">
        <v>28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1">
        <v>0</v>
      </c>
      <c r="B179" s="1">
        <v>823</v>
      </c>
      <c r="C179" s="1">
        <v>3950</v>
      </c>
      <c r="D179" s="1">
        <v>-3.8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1">
        <v>25</v>
      </c>
      <c r="B180" s="1">
        <v>808</v>
      </c>
      <c r="C180" s="1">
        <v>3806</v>
      </c>
      <c r="D180" s="1">
        <v>-0.7</v>
      </c>
      <c r="E180" s="1">
        <v>1</v>
      </c>
      <c r="F180" s="1">
        <v>0.3</v>
      </c>
      <c r="G180" s="1">
        <v>0</v>
      </c>
      <c r="H180" s="1">
        <v>0</v>
      </c>
      <c r="I180" s="1">
        <v>0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1">
        <v>50</v>
      </c>
      <c r="B181" s="1">
        <v>793</v>
      </c>
      <c r="C181" s="1">
        <v>3666</v>
      </c>
      <c r="D181" s="1">
        <v>1.5</v>
      </c>
      <c r="E181" s="1">
        <v>-1.1000000000000001</v>
      </c>
      <c r="F181" s="1">
        <v>-0.3</v>
      </c>
      <c r="G181" s="1">
        <v>0</v>
      </c>
      <c r="H181" s="1">
        <v>0</v>
      </c>
      <c r="I181" s="1">
        <v>0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1">
        <v>75</v>
      </c>
      <c r="B182" s="1">
        <v>778</v>
      </c>
      <c r="C182" s="1">
        <v>3530</v>
      </c>
      <c r="D182" s="1">
        <v>2.7</v>
      </c>
      <c r="E182" s="1">
        <v>-1.2</v>
      </c>
      <c r="F182" s="1">
        <v>-0.4</v>
      </c>
      <c r="G182" s="1">
        <v>0</v>
      </c>
      <c r="H182" s="1">
        <v>0</v>
      </c>
      <c r="I182" s="1">
        <v>0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1">
        <v>100</v>
      </c>
      <c r="B183" s="1">
        <v>763</v>
      </c>
      <c r="C183" s="1">
        <v>3399</v>
      </c>
      <c r="D183" s="1">
        <v>2.9</v>
      </c>
      <c r="E183" s="1">
        <v>-1</v>
      </c>
      <c r="F183" s="1">
        <v>-0.3</v>
      </c>
      <c r="G183" s="1">
        <v>0</v>
      </c>
      <c r="H183" s="1">
        <v>0</v>
      </c>
      <c r="I183" s="1">
        <v>0</v>
      </c>
    </row>
    <row r="184" spans="1:31" x14ac:dyDescent="0.25">
      <c r="A184" s="1">
        <v>125</v>
      </c>
      <c r="B184" s="1">
        <v>749</v>
      </c>
      <c r="C184" s="1">
        <v>3271</v>
      </c>
      <c r="D184" s="1">
        <v>2</v>
      </c>
      <c r="E184" s="1">
        <v>-0.5</v>
      </c>
      <c r="F184" s="1">
        <v>-0.2</v>
      </c>
      <c r="G184" s="1">
        <v>0</v>
      </c>
      <c r="H184" s="1">
        <v>0</v>
      </c>
      <c r="I184" s="1">
        <v>0</v>
      </c>
    </row>
    <row r="185" spans="1:31" x14ac:dyDescent="0.25">
      <c r="A185" s="1">
        <v>150</v>
      </c>
      <c r="B185" s="1">
        <v>735</v>
      </c>
      <c r="C185" s="1">
        <v>3147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</row>
    <row r="186" spans="1:31" x14ac:dyDescent="0.25">
      <c r="A186" s="1">
        <v>175</v>
      </c>
      <c r="B186" s="1">
        <v>720</v>
      </c>
      <c r="C186" s="1">
        <v>3027</v>
      </c>
      <c r="D186" s="1">
        <v>-3.1</v>
      </c>
      <c r="E186" s="1">
        <v>0.6</v>
      </c>
      <c r="F186" s="1">
        <v>0.2</v>
      </c>
      <c r="G186" s="1">
        <v>0</v>
      </c>
      <c r="H186" s="1">
        <v>0</v>
      </c>
      <c r="I186" s="1">
        <v>0</v>
      </c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1">
        <v>200</v>
      </c>
      <c r="B187" s="1">
        <v>706</v>
      </c>
      <c r="C187" s="1">
        <v>2910</v>
      </c>
      <c r="D187" s="1">
        <v>-7.6</v>
      </c>
      <c r="E187" s="1">
        <v>1.3</v>
      </c>
      <c r="F187" s="1">
        <v>0.4</v>
      </c>
      <c r="G187" s="1">
        <v>0</v>
      </c>
      <c r="H187" s="1">
        <v>0</v>
      </c>
      <c r="I187" s="1">
        <v>0</v>
      </c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1">
        <v>225</v>
      </c>
      <c r="B188" s="1">
        <v>692</v>
      </c>
      <c r="C188" s="1">
        <v>2797</v>
      </c>
      <c r="D188" s="1">
        <v>-13.2</v>
      </c>
      <c r="E188" s="1">
        <v>2</v>
      </c>
      <c r="F188" s="1">
        <v>0.6</v>
      </c>
      <c r="G188" s="1">
        <v>0</v>
      </c>
      <c r="H188" s="1">
        <v>0</v>
      </c>
      <c r="I188" s="1">
        <v>0</v>
      </c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1">
        <v>250</v>
      </c>
      <c r="B189" s="1">
        <v>679</v>
      </c>
      <c r="C189" s="1">
        <v>2687</v>
      </c>
      <c r="D189" s="1">
        <v>-20</v>
      </c>
      <c r="E189" s="1">
        <v>2.8</v>
      </c>
      <c r="F189" s="1">
        <v>0.8</v>
      </c>
      <c r="G189" s="1">
        <v>0</v>
      </c>
      <c r="H189" s="1">
        <v>0</v>
      </c>
      <c r="I189" s="1">
        <v>0</v>
      </c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1">
        <v>275</v>
      </c>
      <c r="B190" s="1">
        <v>665</v>
      </c>
      <c r="C190" s="1">
        <v>2580</v>
      </c>
      <c r="D190" s="1">
        <v>-28.6</v>
      </c>
      <c r="E190" s="1">
        <v>3.6</v>
      </c>
      <c r="F190" s="1">
        <v>1</v>
      </c>
      <c r="G190" s="1">
        <v>0</v>
      </c>
      <c r="H190" s="1">
        <v>0</v>
      </c>
      <c r="I190" s="1">
        <v>0</v>
      </c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1">
        <v>300</v>
      </c>
      <c r="B191" s="1">
        <v>652</v>
      </c>
      <c r="C191" s="1">
        <v>2477</v>
      </c>
      <c r="D191" s="1">
        <v>-38.299999999999997</v>
      </c>
      <c r="E191" s="1">
        <v>4.4000000000000004</v>
      </c>
      <c r="F191" s="1">
        <v>1.3</v>
      </c>
      <c r="G191" s="1">
        <v>0</v>
      </c>
      <c r="H191" s="1">
        <v>0</v>
      </c>
      <c r="I191" s="1">
        <v>0</v>
      </c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1">
        <v>325</v>
      </c>
      <c r="B192" s="1">
        <v>638</v>
      </c>
      <c r="C192" s="1">
        <v>2377</v>
      </c>
      <c r="D192" s="1">
        <v>-49.4</v>
      </c>
      <c r="E192" s="1">
        <v>5.2</v>
      </c>
      <c r="F192" s="1">
        <v>1.5</v>
      </c>
      <c r="G192" s="1">
        <v>0</v>
      </c>
      <c r="H192" s="1">
        <v>0</v>
      </c>
      <c r="I192" s="1">
        <v>0</v>
      </c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1">
        <v>350</v>
      </c>
      <c r="B193" s="1">
        <v>625</v>
      </c>
      <c r="C193" s="1">
        <v>2281</v>
      </c>
      <c r="D193" s="1">
        <v>-62.6</v>
      </c>
      <c r="E193" s="1">
        <v>6.1</v>
      </c>
      <c r="F193" s="1">
        <v>1.8</v>
      </c>
      <c r="G193" s="1">
        <v>0</v>
      </c>
      <c r="H193" s="1">
        <v>0</v>
      </c>
      <c r="I193" s="1">
        <v>0</v>
      </c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1">
        <v>375</v>
      </c>
      <c r="B194" s="1">
        <v>612</v>
      </c>
      <c r="C194" s="1">
        <v>2187</v>
      </c>
      <c r="D194" s="1">
        <v>-77</v>
      </c>
      <c r="E194" s="1">
        <v>7.1</v>
      </c>
      <c r="F194" s="1">
        <v>2.1</v>
      </c>
      <c r="G194" s="1">
        <v>0</v>
      </c>
      <c r="H194" s="1">
        <v>0</v>
      </c>
      <c r="I194" s="1">
        <v>0</v>
      </c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1">
        <v>400</v>
      </c>
      <c r="B195" s="1">
        <v>600</v>
      </c>
      <c r="C195" s="1">
        <v>2096</v>
      </c>
      <c r="D195" s="1">
        <v>-93</v>
      </c>
      <c r="E195" s="1">
        <v>8</v>
      </c>
      <c r="F195" s="1">
        <v>2.2999999999999998</v>
      </c>
      <c r="G195" s="1">
        <v>0</v>
      </c>
      <c r="H195" s="1">
        <v>0</v>
      </c>
      <c r="I195" s="1">
        <v>0</v>
      </c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1">
        <v>425</v>
      </c>
      <c r="B196" s="1">
        <v>587</v>
      </c>
      <c r="C196" s="1">
        <v>2009</v>
      </c>
      <c r="D196" s="1">
        <v>-111.6</v>
      </c>
      <c r="E196" s="1">
        <v>9</v>
      </c>
      <c r="F196" s="1">
        <v>2.6</v>
      </c>
      <c r="G196" s="1">
        <v>0</v>
      </c>
      <c r="H196" s="1">
        <v>0</v>
      </c>
      <c r="I196" s="1">
        <v>0</v>
      </c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1">
        <v>450</v>
      </c>
      <c r="B197" s="1">
        <v>574</v>
      </c>
      <c r="C197" s="1">
        <v>1924</v>
      </c>
      <c r="D197" s="1">
        <v>-131.30000000000001</v>
      </c>
      <c r="E197" s="1">
        <v>10</v>
      </c>
      <c r="F197" s="1">
        <v>2.9</v>
      </c>
      <c r="G197" s="1">
        <v>0</v>
      </c>
      <c r="H197" s="1">
        <v>0</v>
      </c>
      <c r="I197" s="1">
        <v>0</v>
      </c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1">
        <v>475</v>
      </c>
      <c r="B198" s="1">
        <v>562</v>
      </c>
      <c r="C198" s="1">
        <v>1843</v>
      </c>
      <c r="D198" s="1">
        <v>-153.1</v>
      </c>
      <c r="E198" s="1">
        <v>11.1</v>
      </c>
      <c r="F198" s="1">
        <v>3.2</v>
      </c>
      <c r="G198" s="1">
        <v>0</v>
      </c>
      <c r="H198" s="1">
        <v>0</v>
      </c>
      <c r="I198" s="1">
        <v>0</v>
      </c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1">
        <v>500</v>
      </c>
      <c r="B199" s="1">
        <v>550</v>
      </c>
      <c r="C199" s="1">
        <v>1767</v>
      </c>
      <c r="D199" s="1">
        <v>-176.8</v>
      </c>
      <c r="E199" s="1">
        <v>12.2</v>
      </c>
      <c r="F199" s="1">
        <v>3.5</v>
      </c>
      <c r="G199" s="1">
        <v>0</v>
      </c>
      <c r="H199" s="1">
        <v>0</v>
      </c>
      <c r="I199" s="1">
        <v>0</v>
      </c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t="s">
        <v>86</v>
      </c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t="s">
        <v>10</v>
      </c>
      <c r="B207" t="s">
        <v>11</v>
      </c>
      <c r="C207" t="s">
        <v>12</v>
      </c>
      <c r="D207" t="s">
        <v>13</v>
      </c>
      <c r="E207" t="s">
        <v>14</v>
      </c>
      <c r="F207" t="s">
        <v>15</v>
      </c>
      <c r="G207" t="s">
        <v>26</v>
      </c>
      <c r="H207" t="s">
        <v>27</v>
      </c>
      <c r="I207" t="s">
        <v>28</v>
      </c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1">
        <v>0</v>
      </c>
      <c r="B208" s="1">
        <v>823</v>
      </c>
      <c r="C208" s="1">
        <v>3950</v>
      </c>
      <c r="D208" s="1">
        <v>-3.8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1">
        <v>25</v>
      </c>
      <c r="B209" s="1">
        <v>808</v>
      </c>
      <c r="C209" s="1">
        <v>3806</v>
      </c>
      <c r="D209" s="1">
        <v>0.2</v>
      </c>
      <c r="E209" s="1">
        <v>-0.3</v>
      </c>
      <c r="F209" s="1">
        <v>-0.1</v>
      </c>
      <c r="G209" s="1">
        <v>0</v>
      </c>
      <c r="H209" s="1">
        <v>0</v>
      </c>
      <c r="I209" s="1">
        <v>0</v>
      </c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s="1">
        <v>50</v>
      </c>
      <c r="B210" s="1">
        <v>793</v>
      </c>
      <c r="C210" s="1">
        <v>3666</v>
      </c>
      <c r="D210" s="1">
        <v>3.4</v>
      </c>
      <c r="E210" s="1">
        <v>-2.2999999999999998</v>
      </c>
      <c r="F210" s="1">
        <v>-0.7</v>
      </c>
      <c r="G210" s="1">
        <v>0</v>
      </c>
      <c r="H210" s="1">
        <v>0</v>
      </c>
      <c r="I210" s="1">
        <v>0</v>
      </c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s="1">
        <v>75</v>
      </c>
      <c r="B211" s="1">
        <v>778</v>
      </c>
      <c r="C211" s="1">
        <v>3530</v>
      </c>
      <c r="D211" s="1">
        <v>5.6</v>
      </c>
      <c r="E211" s="1">
        <v>-2.5</v>
      </c>
      <c r="F211" s="1">
        <v>-0.7</v>
      </c>
      <c r="G211" s="1">
        <v>0</v>
      </c>
      <c r="H211" s="1">
        <v>0</v>
      </c>
      <c r="I211" s="1">
        <v>0</v>
      </c>
    </row>
    <row r="212" spans="1:31" x14ac:dyDescent="0.25">
      <c r="A212" s="1">
        <v>100</v>
      </c>
      <c r="B212" s="1">
        <v>763</v>
      </c>
      <c r="C212" s="1">
        <v>3399</v>
      </c>
      <c r="D212" s="1">
        <v>6.7</v>
      </c>
      <c r="E212" s="1">
        <v>-2.2999999999999998</v>
      </c>
      <c r="F212" s="1">
        <v>-0.7</v>
      </c>
      <c r="G212" s="1">
        <v>0</v>
      </c>
      <c r="H212" s="1">
        <v>0</v>
      </c>
      <c r="I212" s="1">
        <v>0</v>
      </c>
    </row>
    <row r="213" spans="1:31" x14ac:dyDescent="0.25">
      <c r="A213" s="1">
        <v>125</v>
      </c>
      <c r="B213" s="1">
        <v>749</v>
      </c>
      <c r="C213" s="1">
        <v>3271</v>
      </c>
      <c r="D213" s="1">
        <v>6.7</v>
      </c>
      <c r="E213" s="1">
        <v>-1.8</v>
      </c>
      <c r="F213" s="1">
        <v>-0.5</v>
      </c>
      <c r="G213" s="1">
        <v>0</v>
      </c>
      <c r="H213" s="1">
        <v>0</v>
      </c>
      <c r="I213" s="1">
        <v>0</v>
      </c>
    </row>
    <row r="214" spans="1:31" x14ac:dyDescent="0.25">
      <c r="A214" s="1">
        <v>150</v>
      </c>
      <c r="B214" s="1">
        <v>735</v>
      </c>
      <c r="C214" s="1">
        <v>3147</v>
      </c>
      <c r="D214" s="1">
        <v>5.7</v>
      </c>
      <c r="E214" s="1">
        <v>-1.3</v>
      </c>
      <c r="F214" s="1">
        <v>-0.4</v>
      </c>
      <c r="G214" s="1">
        <v>0</v>
      </c>
      <c r="H214" s="1">
        <v>0</v>
      </c>
      <c r="I214" s="1">
        <v>0</v>
      </c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x14ac:dyDescent="0.25">
      <c r="A215" s="1">
        <v>175</v>
      </c>
      <c r="B215" s="1">
        <v>720</v>
      </c>
      <c r="C215" s="1">
        <v>3027</v>
      </c>
      <c r="D215" s="1">
        <v>3.5</v>
      </c>
      <c r="E215" s="1">
        <v>-0.7</v>
      </c>
      <c r="F215" s="1">
        <v>-0.2</v>
      </c>
      <c r="G215" s="1">
        <v>0</v>
      </c>
      <c r="H215" s="1">
        <v>0</v>
      </c>
      <c r="I215" s="1">
        <v>0</v>
      </c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x14ac:dyDescent="0.25">
      <c r="A216" s="1">
        <v>200</v>
      </c>
      <c r="B216" s="1">
        <v>706</v>
      </c>
      <c r="C216" s="1">
        <v>2910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1">
        <v>225</v>
      </c>
      <c r="B217" s="1">
        <v>692</v>
      </c>
      <c r="C217" s="1">
        <v>2797</v>
      </c>
      <c r="D217" s="1">
        <v>-4.7</v>
      </c>
      <c r="E217" s="1">
        <v>0.7</v>
      </c>
      <c r="F217" s="1">
        <v>0.2</v>
      </c>
      <c r="G217" s="1">
        <v>0</v>
      </c>
      <c r="H217" s="1">
        <v>0</v>
      </c>
      <c r="I217" s="1">
        <v>0</v>
      </c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1">
        <v>250</v>
      </c>
      <c r="B218" s="1">
        <v>679</v>
      </c>
      <c r="C218" s="1">
        <v>2687</v>
      </c>
      <c r="D218" s="1">
        <v>-10.6</v>
      </c>
      <c r="E218" s="1">
        <v>1.5</v>
      </c>
      <c r="F218" s="1">
        <v>0.4</v>
      </c>
      <c r="G218" s="1">
        <v>0</v>
      </c>
      <c r="H218" s="1">
        <v>0</v>
      </c>
      <c r="I218" s="1">
        <v>0</v>
      </c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1">
        <v>275</v>
      </c>
      <c r="B219" s="1">
        <v>665</v>
      </c>
      <c r="C219" s="1">
        <v>2580</v>
      </c>
      <c r="D219" s="1">
        <v>-18.2</v>
      </c>
      <c r="E219" s="1">
        <v>2.2999999999999998</v>
      </c>
      <c r="F219" s="1">
        <v>0.7</v>
      </c>
      <c r="G219" s="1">
        <v>0</v>
      </c>
      <c r="H219" s="1">
        <v>0</v>
      </c>
      <c r="I219" s="1">
        <v>0</v>
      </c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1">
        <v>300</v>
      </c>
      <c r="B220" s="1">
        <v>652</v>
      </c>
      <c r="C220" s="1">
        <v>2477</v>
      </c>
      <c r="D220" s="1">
        <v>-27</v>
      </c>
      <c r="E220" s="1">
        <v>3.1</v>
      </c>
      <c r="F220" s="1">
        <v>0.9</v>
      </c>
      <c r="G220" s="1">
        <v>0</v>
      </c>
      <c r="H220" s="1">
        <v>0</v>
      </c>
      <c r="I220" s="1">
        <v>0</v>
      </c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1">
        <v>325</v>
      </c>
      <c r="B221" s="1">
        <v>638</v>
      </c>
      <c r="C221" s="1">
        <v>2377</v>
      </c>
      <c r="D221" s="1">
        <v>-37.200000000000003</v>
      </c>
      <c r="E221" s="1">
        <v>3.9</v>
      </c>
      <c r="F221" s="1">
        <v>1.1000000000000001</v>
      </c>
      <c r="G221" s="1">
        <v>0</v>
      </c>
      <c r="H221" s="1">
        <v>0</v>
      </c>
      <c r="I221" s="1">
        <v>0</v>
      </c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1">
        <v>350</v>
      </c>
      <c r="B222" s="1">
        <v>625</v>
      </c>
      <c r="C222" s="1">
        <v>2280</v>
      </c>
      <c r="D222" s="1">
        <v>-49.4</v>
      </c>
      <c r="E222" s="1">
        <v>4.8</v>
      </c>
      <c r="F222" s="1">
        <v>1.4</v>
      </c>
      <c r="G222" s="1">
        <v>0</v>
      </c>
      <c r="H222" s="1">
        <v>0</v>
      </c>
      <c r="I222" s="1">
        <v>0</v>
      </c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1">
        <v>375</v>
      </c>
      <c r="B223" s="1">
        <v>612</v>
      </c>
      <c r="C223" s="1">
        <v>2187</v>
      </c>
      <c r="D223" s="1">
        <v>-62.9</v>
      </c>
      <c r="E223" s="1">
        <v>5.8</v>
      </c>
      <c r="F223" s="1">
        <v>1.7</v>
      </c>
      <c r="G223" s="1">
        <v>0</v>
      </c>
      <c r="H223" s="1">
        <v>0</v>
      </c>
      <c r="I223" s="1">
        <v>0</v>
      </c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>
        <v>400</v>
      </c>
      <c r="B224" s="1">
        <v>600</v>
      </c>
      <c r="C224" s="1">
        <v>2096</v>
      </c>
      <c r="D224" s="1">
        <v>-78</v>
      </c>
      <c r="E224" s="1">
        <v>6.7</v>
      </c>
      <c r="F224" s="1">
        <v>2</v>
      </c>
      <c r="G224" s="1">
        <v>0</v>
      </c>
      <c r="H224" s="1">
        <v>0</v>
      </c>
      <c r="I224" s="1">
        <v>0</v>
      </c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A225" s="1">
        <v>425</v>
      </c>
      <c r="B225" s="1">
        <v>587</v>
      </c>
      <c r="C225" s="1">
        <v>2009</v>
      </c>
      <c r="D225" s="1">
        <v>-95.6</v>
      </c>
      <c r="E225" s="1">
        <v>7.7</v>
      </c>
      <c r="F225" s="1">
        <v>2.2000000000000002</v>
      </c>
      <c r="G225" s="1">
        <v>0</v>
      </c>
      <c r="H225" s="1">
        <v>0</v>
      </c>
      <c r="I225" s="1">
        <v>0</v>
      </c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A226" s="1">
        <v>450</v>
      </c>
      <c r="B226" s="1">
        <v>574</v>
      </c>
      <c r="C226" s="1">
        <v>1924</v>
      </c>
      <c r="D226" s="1">
        <v>-114.4</v>
      </c>
      <c r="E226" s="1">
        <v>8.6999999999999993</v>
      </c>
      <c r="F226" s="1">
        <v>2.5</v>
      </c>
      <c r="G226" s="1">
        <v>0</v>
      </c>
      <c r="H226" s="1">
        <v>0</v>
      </c>
      <c r="I226" s="1">
        <v>0</v>
      </c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1">
        <v>475</v>
      </c>
      <c r="B227" s="1">
        <v>562</v>
      </c>
      <c r="C227" s="1">
        <v>1843</v>
      </c>
      <c r="D227" s="1">
        <v>-135.19999999999999</v>
      </c>
      <c r="E227" s="1">
        <v>9.8000000000000007</v>
      </c>
      <c r="F227" s="1">
        <v>2.8</v>
      </c>
      <c r="G227" s="1">
        <v>0</v>
      </c>
      <c r="H227" s="1">
        <v>0</v>
      </c>
      <c r="I227" s="1">
        <v>0</v>
      </c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s="1">
        <v>500</v>
      </c>
      <c r="B228" s="1">
        <v>550</v>
      </c>
      <c r="C228" s="1">
        <v>1767</v>
      </c>
      <c r="D228" s="1">
        <v>-158</v>
      </c>
      <c r="E228" s="1">
        <v>10.9</v>
      </c>
      <c r="F228" s="1">
        <v>3.2</v>
      </c>
      <c r="G228" s="1">
        <v>0</v>
      </c>
      <c r="H228" s="1">
        <v>0</v>
      </c>
      <c r="I228" s="1">
        <v>0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x14ac:dyDescent="0.25">
      <c r="A229" s="1"/>
      <c r="B229" s="1"/>
      <c r="C229" s="1"/>
      <c r="D229" s="1"/>
      <c r="E229" s="1"/>
      <c r="F229" s="1"/>
      <c r="G229" s="1"/>
      <c r="H229" s="1"/>
      <c r="I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F230" s="1"/>
      <c r="G230" s="1"/>
      <c r="H230" s="1"/>
      <c r="I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t="s">
        <v>87</v>
      </c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t="s">
        <v>10</v>
      </c>
      <c r="B239" t="s">
        <v>11</v>
      </c>
      <c r="C239" t="s">
        <v>12</v>
      </c>
      <c r="D239" t="s">
        <v>13</v>
      </c>
      <c r="E239" t="s">
        <v>14</v>
      </c>
      <c r="F239" t="s">
        <v>15</v>
      </c>
      <c r="G239" t="s">
        <v>26</v>
      </c>
      <c r="H239" t="s">
        <v>27</v>
      </c>
      <c r="I239" t="s">
        <v>28</v>
      </c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x14ac:dyDescent="0.25">
      <c r="A240" s="1">
        <v>0</v>
      </c>
      <c r="B240" s="1">
        <v>823</v>
      </c>
      <c r="C240" s="1">
        <v>3950</v>
      </c>
      <c r="D240" s="1">
        <v>-3.8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x14ac:dyDescent="0.25">
      <c r="A241" s="1">
        <v>25</v>
      </c>
      <c r="B241" s="1">
        <v>808</v>
      </c>
      <c r="C241" s="1">
        <v>3806</v>
      </c>
      <c r="D241" s="1">
        <v>2.5</v>
      </c>
      <c r="E241" s="1">
        <v>-3.4</v>
      </c>
      <c r="F241" s="1">
        <v>-1</v>
      </c>
      <c r="G241" s="1">
        <v>0</v>
      </c>
      <c r="H241" s="1">
        <v>0</v>
      </c>
      <c r="I241" s="1">
        <v>0</v>
      </c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x14ac:dyDescent="0.25">
      <c r="A242" s="1">
        <v>50</v>
      </c>
      <c r="B242" s="1">
        <v>793</v>
      </c>
      <c r="C242" s="1">
        <v>3666</v>
      </c>
      <c r="D242" s="1">
        <v>8</v>
      </c>
      <c r="E242" s="1">
        <v>-5.4</v>
      </c>
      <c r="F242" s="1">
        <v>-1.6</v>
      </c>
      <c r="G242" s="1">
        <v>0</v>
      </c>
      <c r="H242" s="1">
        <v>0</v>
      </c>
      <c r="I242" s="1">
        <v>0</v>
      </c>
    </row>
    <row r="243" spans="1:31" x14ac:dyDescent="0.25">
      <c r="A243" s="1">
        <v>75</v>
      </c>
      <c r="B243" s="1">
        <v>778</v>
      </c>
      <c r="C243" s="1">
        <v>3530</v>
      </c>
      <c r="D243" s="1">
        <v>12.3</v>
      </c>
      <c r="E243" s="1">
        <v>-5.6</v>
      </c>
      <c r="F243" s="1">
        <v>-1.6</v>
      </c>
      <c r="G243" s="1">
        <v>0</v>
      </c>
      <c r="H243" s="1">
        <v>0</v>
      </c>
      <c r="I243" s="1">
        <v>0</v>
      </c>
    </row>
    <row r="244" spans="1:31" x14ac:dyDescent="0.25">
      <c r="A244" s="1">
        <v>100</v>
      </c>
      <c r="B244" s="1">
        <v>763</v>
      </c>
      <c r="C244" s="1">
        <v>3399</v>
      </c>
      <c r="D244" s="1">
        <v>15.6</v>
      </c>
      <c r="E244" s="1">
        <v>-5.4</v>
      </c>
      <c r="F244" s="1">
        <v>-1.6</v>
      </c>
      <c r="G244" s="1">
        <v>0</v>
      </c>
      <c r="H244" s="1">
        <v>0</v>
      </c>
      <c r="I244" s="1">
        <v>0</v>
      </c>
    </row>
    <row r="245" spans="1:31" x14ac:dyDescent="0.25">
      <c r="A245" s="1">
        <v>125</v>
      </c>
      <c r="B245" s="1">
        <v>749</v>
      </c>
      <c r="C245" s="1">
        <v>3271</v>
      </c>
      <c r="D245" s="1">
        <v>18</v>
      </c>
      <c r="E245" s="1">
        <v>-4.9000000000000004</v>
      </c>
      <c r="F245" s="1">
        <v>-1.4</v>
      </c>
      <c r="G245" s="1">
        <v>0</v>
      </c>
      <c r="H245" s="1">
        <v>0</v>
      </c>
      <c r="I245" s="1">
        <v>0</v>
      </c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1">
        <v>150</v>
      </c>
      <c r="B246" s="1">
        <v>735</v>
      </c>
      <c r="C246" s="1">
        <v>3147</v>
      </c>
      <c r="D246" s="1">
        <v>19.2</v>
      </c>
      <c r="E246" s="1">
        <v>-4.4000000000000004</v>
      </c>
      <c r="F246" s="1">
        <v>-1.3</v>
      </c>
      <c r="G246" s="1">
        <v>0</v>
      </c>
      <c r="H246" s="1">
        <v>0</v>
      </c>
      <c r="I246" s="1">
        <v>0</v>
      </c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1">
        <v>175</v>
      </c>
      <c r="B247" s="1">
        <v>720</v>
      </c>
      <c r="C247" s="1">
        <v>3027</v>
      </c>
      <c r="D247" s="1">
        <v>19.2</v>
      </c>
      <c r="E247" s="1">
        <v>-3.8</v>
      </c>
      <c r="F247" s="1">
        <v>-1.1000000000000001</v>
      </c>
      <c r="G247" s="1">
        <v>0</v>
      </c>
      <c r="H247" s="1">
        <v>0</v>
      </c>
      <c r="I247" s="1">
        <v>0</v>
      </c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1">
        <v>200</v>
      </c>
      <c r="B248" s="1">
        <v>706</v>
      </c>
      <c r="C248" s="1">
        <v>2910</v>
      </c>
      <c r="D248" s="1">
        <v>18</v>
      </c>
      <c r="E248" s="1">
        <v>-3.1</v>
      </c>
      <c r="F248" s="1">
        <v>-0.9</v>
      </c>
      <c r="G248" s="1">
        <v>0</v>
      </c>
      <c r="H248" s="1">
        <v>0</v>
      </c>
      <c r="I248" s="1">
        <v>0</v>
      </c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1">
        <v>225</v>
      </c>
      <c r="B249" s="1">
        <v>692</v>
      </c>
      <c r="C249" s="1">
        <v>2797</v>
      </c>
      <c r="D249" s="1">
        <v>15.5</v>
      </c>
      <c r="E249" s="1">
        <v>-2.4</v>
      </c>
      <c r="F249" s="1">
        <v>-0.7</v>
      </c>
      <c r="G249" s="1">
        <v>0</v>
      </c>
      <c r="H249" s="1">
        <v>0</v>
      </c>
      <c r="I249" s="1">
        <v>0</v>
      </c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1">
        <v>250</v>
      </c>
      <c r="B250" s="1">
        <v>679</v>
      </c>
      <c r="C250" s="1">
        <v>2687</v>
      </c>
      <c r="D250" s="1">
        <v>11.8</v>
      </c>
      <c r="E250" s="1">
        <v>-1.6</v>
      </c>
      <c r="F250" s="1">
        <v>-0.5</v>
      </c>
      <c r="G250" s="1">
        <v>0</v>
      </c>
      <c r="H250" s="1">
        <v>0</v>
      </c>
      <c r="I250" s="1">
        <v>0</v>
      </c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1">
        <v>275</v>
      </c>
      <c r="B251" s="1">
        <v>665</v>
      </c>
      <c r="C251" s="1">
        <v>2580</v>
      </c>
      <c r="D251" s="1">
        <v>6.5</v>
      </c>
      <c r="E251" s="1">
        <v>-0.8</v>
      </c>
      <c r="F251" s="1">
        <v>-0.2</v>
      </c>
      <c r="G251" s="1">
        <v>0</v>
      </c>
      <c r="H251" s="1">
        <v>0</v>
      </c>
      <c r="I251" s="1">
        <v>0</v>
      </c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>
        <v>300</v>
      </c>
      <c r="B252" s="1">
        <v>652</v>
      </c>
      <c r="C252" s="1">
        <v>2477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1">
        <v>325</v>
      </c>
      <c r="B253" s="1">
        <v>638</v>
      </c>
      <c r="C253" s="1">
        <v>2377</v>
      </c>
      <c r="D253" s="1">
        <v>-8</v>
      </c>
      <c r="E253" s="1">
        <v>0.8</v>
      </c>
      <c r="F253" s="1">
        <v>0.2</v>
      </c>
      <c r="G253" s="1">
        <v>0</v>
      </c>
      <c r="H253" s="1">
        <v>0</v>
      </c>
      <c r="I253" s="1">
        <v>0</v>
      </c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1">
        <v>350</v>
      </c>
      <c r="B254" s="1">
        <v>625</v>
      </c>
      <c r="C254" s="1">
        <v>2280</v>
      </c>
      <c r="D254" s="1">
        <v>-17.899999999999999</v>
      </c>
      <c r="E254" s="1">
        <v>1.8</v>
      </c>
      <c r="F254" s="1">
        <v>0.5</v>
      </c>
      <c r="G254" s="1">
        <v>0</v>
      </c>
      <c r="H254" s="1">
        <v>0</v>
      </c>
      <c r="I254" s="1">
        <v>0</v>
      </c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1">
        <v>375</v>
      </c>
      <c r="B255" s="1">
        <v>612</v>
      </c>
      <c r="C255" s="1">
        <v>2187</v>
      </c>
      <c r="D255" s="1">
        <v>-29.2</v>
      </c>
      <c r="E255" s="1">
        <v>2.7</v>
      </c>
      <c r="F255" s="1">
        <v>0.8</v>
      </c>
      <c r="G255" s="1">
        <v>0</v>
      </c>
      <c r="H255" s="1">
        <v>0</v>
      </c>
      <c r="I255" s="1">
        <v>0</v>
      </c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1">
        <v>400</v>
      </c>
      <c r="B256" s="1">
        <v>600</v>
      </c>
      <c r="C256" s="1">
        <v>2096</v>
      </c>
      <c r="D256" s="1">
        <v>-42.1</v>
      </c>
      <c r="E256" s="1">
        <v>3.6</v>
      </c>
      <c r="F256" s="1">
        <v>1.1000000000000001</v>
      </c>
      <c r="G256" s="1">
        <v>0</v>
      </c>
      <c r="H256" s="1">
        <v>0</v>
      </c>
      <c r="I256" s="1">
        <v>0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1">
        <v>425</v>
      </c>
      <c r="B257" s="1">
        <v>587</v>
      </c>
      <c r="C257" s="1">
        <v>2009</v>
      </c>
      <c r="D257" s="1">
        <v>-57.3</v>
      </c>
      <c r="E257" s="1">
        <v>4.5999999999999996</v>
      </c>
      <c r="F257" s="1">
        <v>1.3</v>
      </c>
      <c r="G257" s="1">
        <v>0</v>
      </c>
      <c r="H257" s="1">
        <v>0</v>
      </c>
      <c r="I257" s="1">
        <v>0</v>
      </c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1">
        <v>450</v>
      </c>
      <c r="B258" s="1">
        <v>574</v>
      </c>
      <c r="C258" s="1">
        <v>1924</v>
      </c>
      <c r="D258" s="1">
        <v>-74</v>
      </c>
      <c r="E258" s="1">
        <v>5.7</v>
      </c>
      <c r="F258" s="1">
        <v>1.6</v>
      </c>
      <c r="G258" s="1">
        <v>0</v>
      </c>
      <c r="H258" s="1">
        <v>0</v>
      </c>
      <c r="I258" s="1">
        <v>0</v>
      </c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>
        <v>475</v>
      </c>
      <c r="B259" s="1">
        <v>562</v>
      </c>
      <c r="C259" s="1">
        <v>1843</v>
      </c>
      <c r="D259" s="1">
        <v>-92.5</v>
      </c>
      <c r="E259" s="1">
        <v>6.7</v>
      </c>
      <c r="F259" s="1">
        <v>1.9</v>
      </c>
      <c r="G259" s="1">
        <v>0</v>
      </c>
      <c r="H259" s="1">
        <v>0</v>
      </c>
      <c r="I259" s="1">
        <v>0</v>
      </c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>
        <v>500</v>
      </c>
      <c r="B260" s="1">
        <v>550</v>
      </c>
      <c r="C260" s="1">
        <v>1767</v>
      </c>
      <c r="D260" s="1">
        <v>-113.1</v>
      </c>
      <c r="E260" s="1">
        <v>7.8</v>
      </c>
      <c r="F260" s="1">
        <v>2.2999999999999998</v>
      </c>
      <c r="G260" s="1">
        <v>0</v>
      </c>
      <c r="H260" s="1">
        <v>0</v>
      </c>
      <c r="I260" s="1">
        <v>0</v>
      </c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x14ac:dyDescent="0.25">
      <c r="A265" t="s">
        <v>88</v>
      </c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x14ac:dyDescent="0.25">
      <c r="A266" t="s">
        <v>10</v>
      </c>
      <c r="B266" t="s">
        <v>11</v>
      </c>
      <c r="C266" t="s">
        <v>12</v>
      </c>
      <c r="D266" t="s">
        <v>13</v>
      </c>
      <c r="E266" t="s">
        <v>14</v>
      </c>
      <c r="F266" t="s">
        <v>15</v>
      </c>
      <c r="G266" t="s">
        <v>26</v>
      </c>
      <c r="H266" t="s">
        <v>27</v>
      </c>
      <c r="I266" t="s">
        <v>28</v>
      </c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>
        <v>0</v>
      </c>
      <c r="B267" s="1">
        <v>823</v>
      </c>
      <c r="C267" s="1">
        <v>3950</v>
      </c>
      <c r="D267" s="1">
        <v>-3.8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>
        <v>25</v>
      </c>
      <c r="B268" s="1">
        <v>808</v>
      </c>
      <c r="C268" s="1">
        <v>3806</v>
      </c>
      <c r="D268" s="1">
        <v>5.0999999999999996</v>
      </c>
      <c r="E268" s="1">
        <v>-7.1</v>
      </c>
      <c r="F268" s="1">
        <v>-2.1</v>
      </c>
      <c r="G268" s="1">
        <v>0</v>
      </c>
      <c r="H268" s="1">
        <v>0</v>
      </c>
      <c r="I268" s="1">
        <v>0</v>
      </c>
    </row>
    <row r="269" spans="1:31" x14ac:dyDescent="0.25">
      <c r="A269" s="1">
        <v>50</v>
      </c>
      <c r="B269" s="1">
        <v>793</v>
      </c>
      <c r="C269" s="1">
        <v>3666</v>
      </c>
      <c r="D269" s="1">
        <v>13.3</v>
      </c>
      <c r="E269" s="1">
        <v>-9.1</v>
      </c>
      <c r="F269" s="1">
        <v>-2.6</v>
      </c>
      <c r="G269" s="1">
        <v>0</v>
      </c>
      <c r="H269" s="1">
        <v>0</v>
      </c>
      <c r="I269" s="1">
        <v>0</v>
      </c>
    </row>
    <row r="270" spans="1:31" x14ac:dyDescent="0.25">
      <c r="A270" s="1">
        <v>75</v>
      </c>
      <c r="B270" s="1">
        <v>778</v>
      </c>
      <c r="C270" s="1">
        <v>3530</v>
      </c>
      <c r="D270" s="1">
        <v>20.2</v>
      </c>
      <c r="E270" s="1">
        <v>-9.3000000000000007</v>
      </c>
      <c r="F270" s="1">
        <v>-2.7</v>
      </c>
      <c r="G270" s="1">
        <v>0</v>
      </c>
      <c r="H270" s="1">
        <v>0</v>
      </c>
      <c r="I270" s="1">
        <v>0</v>
      </c>
    </row>
    <row r="271" spans="1:31" x14ac:dyDescent="0.25">
      <c r="A271" s="1">
        <v>100</v>
      </c>
      <c r="B271" s="1">
        <v>763</v>
      </c>
      <c r="C271" s="1">
        <v>3399</v>
      </c>
      <c r="D271" s="1">
        <v>26.2</v>
      </c>
      <c r="E271" s="1">
        <v>-9</v>
      </c>
      <c r="F271" s="1">
        <v>-2.6</v>
      </c>
      <c r="G271" s="1">
        <v>0</v>
      </c>
      <c r="H271" s="1">
        <v>0</v>
      </c>
      <c r="I271" s="1">
        <v>0</v>
      </c>
    </row>
    <row r="272" spans="1:31" x14ac:dyDescent="0.25">
      <c r="A272" s="1">
        <v>125</v>
      </c>
      <c r="B272" s="1">
        <v>749</v>
      </c>
      <c r="C272" s="1">
        <v>3271</v>
      </c>
      <c r="D272" s="1">
        <v>31.2</v>
      </c>
      <c r="E272" s="1">
        <v>-8.6</v>
      </c>
      <c r="F272" s="1">
        <v>-2.5</v>
      </c>
      <c r="G272" s="1">
        <v>0</v>
      </c>
      <c r="H272" s="1">
        <v>0</v>
      </c>
      <c r="I272" s="1">
        <v>0</v>
      </c>
    </row>
    <row r="273" spans="1:9" x14ac:dyDescent="0.25">
      <c r="A273" s="1">
        <v>150</v>
      </c>
      <c r="B273" s="1">
        <v>735</v>
      </c>
      <c r="C273" s="1">
        <v>3147</v>
      </c>
      <c r="D273" s="1">
        <v>35</v>
      </c>
      <c r="E273" s="1">
        <v>-8</v>
      </c>
      <c r="F273" s="1">
        <v>-2.2999999999999998</v>
      </c>
      <c r="G273" s="1">
        <v>0</v>
      </c>
      <c r="H273" s="1">
        <v>0</v>
      </c>
      <c r="I273" s="1">
        <v>0</v>
      </c>
    </row>
    <row r="274" spans="1:9" x14ac:dyDescent="0.25">
      <c r="A274" s="1">
        <v>175</v>
      </c>
      <c r="B274" s="1">
        <v>720</v>
      </c>
      <c r="C274" s="1">
        <v>3027</v>
      </c>
      <c r="D274" s="1">
        <v>37.6</v>
      </c>
      <c r="E274" s="1">
        <v>-7.4</v>
      </c>
      <c r="F274" s="1">
        <v>-2.2000000000000002</v>
      </c>
      <c r="G274" s="1">
        <v>0</v>
      </c>
      <c r="H274" s="1">
        <v>0</v>
      </c>
      <c r="I274" s="1">
        <v>0</v>
      </c>
    </row>
    <row r="275" spans="1:9" x14ac:dyDescent="0.25">
      <c r="A275" s="1">
        <v>200</v>
      </c>
      <c r="B275" s="1">
        <v>706</v>
      </c>
      <c r="C275" s="1">
        <v>2910</v>
      </c>
      <c r="D275" s="1">
        <v>39.1</v>
      </c>
      <c r="E275" s="1">
        <v>-6.7</v>
      </c>
      <c r="F275" s="1">
        <v>-2</v>
      </c>
      <c r="G275" s="1">
        <v>0</v>
      </c>
      <c r="H275" s="1">
        <v>0</v>
      </c>
      <c r="I275" s="1">
        <v>0</v>
      </c>
    </row>
    <row r="276" spans="1:9" x14ac:dyDescent="0.25">
      <c r="A276" s="1">
        <v>225</v>
      </c>
      <c r="B276" s="1">
        <v>692</v>
      </c>
      <c r="C276" s="1">
        <v>2797</v>
      </c>
      <c r="D276" s="1">
        <v>39.299999999999997</v>
      </c>
      <c r="E276" s="1">
        <v>-6</v>
      </c>
      <c r="F276" s="1">
        <v>-1.7</v>
      </c>
      <c r="G276" s="1">
        <v>0</v>
      </c>
      <c r="H276" s="1">
        <v>0</v>
      </c>
      <c r="I276" s="1">
        <v>0</v>
      </c>
    </row>
    <row r="277" spans="1:9" x14ac:dyDescent="0.25">
      <c r="A277" s="1">
        <v>250</v>
      </c>
      <c r="B277" s="1">
        <v>679</v>
      </c>
      <c r="C277" s="1">
        <v>2687</v>
      </c>
      <c r="D277" s="1">
        <v>38.200000000000003</v>
      </c>
      <c r="E277" s="1">
        <v>-5.3</v>
      </c>
      <c r="F277" s="1">
        <v>-1.5</v>
      </c>
      <c r="G277" s="1">
        <v>0</v>
      </c>
      <c r="H277" s="1">
        <v>0</v>
      </c>
      <c r="I277" s="1">
        <v>0</v>
      </c>
    </row>
    <row r="278" spans="1:9" x14ac:dyDescent="0.25">
      <c r="A278" s="1">
        <v>275</v>
      </c>
      <c r="B278" s="1">
        <v>665</v>
      </c>
      <c r="C278" s="1">
        <v>2580</v>
      </c>
      <c r="D278" s="1">
        <v>35.6</v>
      </c>
      <c r="E278" s="1">
        <v>-4.4000000000000004</v>
      </c>
      <c r="F278" s="1">
        <v>-1.3</v>
      </c>
      <c r="G278" s="1">
        <v>0</v>
      </c>
      <c r="H278" s="1">
        <v>0</v>
      </c>
      <c r="I278" s="1">
        <v>0</v>
      </c>
    </row>
    <row r="279" spans="1:9" x14ac:dyDescent="0.25">
      <c r="A279" s="1">
        <v>300</v>
      </c>
      <c r="B279" s="1">
        <v>652</v>
      </c>
      <c r="C279" s="1">
        <v>2477</v>
      </c>
      <c r="D279" s="1">
        <v>31.7</v>
      </c>
      <c r="E279" s="1">
        <v>-3.6</v>
      </c>
      <c r="F279" s="1">
        <v>-1.1000000000000001</v>
      </c>
      <c r="G279" s="1">
        <v>0</v>
      </c>
      <c r="H279" s="1">
        <v>0</v>
      </c>
      <c r="I279" s="1">
        <v>0</v>
      </c>
    </row>
    <row r="280" spans="1:9" x14ac:dyDescent="0.25">
      <c r="A280" s="1">
        <v>325</v>
      </c>
      <c r="B280" s="1">
        <v>638</v>
      </c>
      <c r="C280" s="1">
        <v>2377</v>
      </c>
      <c r="D280" s="1">
        <v>26.3</v>
      </c>
      <c r="E280" s="1">
        <v>-2.8</v>
      </c>
      <c r="F280" s="1">
        <v>-0.8</v>
      </c>
      <c r="G280" s="1">
        <v>0</v>
      </c>
      <c r="H280" s="1">
        <v>0</v>
      </c>
      <c r="I280" s="1">
        <v>0</v>
      </c>
    </row>
    <row r="281" spans="1:9" x14ac:dyDescent="0.25">
      <c r="A281" s="1">
        <v>350</v>
      </c>
      <c r="B281" s="1">
        <v>625</v>
      </c>
      <c r="C281" s="1">
        <v>2280</v>
      </c>
      <c r="D281" s="1">
        <v>19</v>
      </c>
      <c r="E281" s="1">
        <v>-1.9</v>
      </c>
      <c r="F281" s="1">
        <v>-0.5</v>
      </c>
      <c r="G281" s="1">
        <v>0</v>
      </c>
      <c r="H281" s="1">
        <v>0</v>
      </c>
      <c r="I281" s="1">
        <v>0</v>
      </c>
    </row>
    <row r="282" spans="1:9" x14ac:dyDescent="0.25">
      <c r="A282" s="1">
        <v>375</v>
      </c>
      <c r="B282" s="1">
        <v>612</v>
      </c>
      <c r="C282" s="1">
        <v>2187</v>
      </c>
      <c r="D282" s="1">
        <v>10.4</v>
      </c>
      <c r="E282" s="1">
        <v>-1</v>
      </c>
      <c r="F282" s="1">
        <v>-0.3</v>
      </c>
      <c r="G282" s="1">
        <v>0</v>
      </c>
      <c r="H282" s="1">
        <v>0</v>
      </c>
      <c r="I282" s="1">
        <v>0</v>
      </c>
    </row>
    <row r="283" spans="1:9" x14ac:dyDescent="0.25">
      <c r="A283" s="1">
        <v>400</v>
      </c>
      <c r="B283" s="1">
        <v>599</v>
      </c>
      <c r="C283" s="1">
        <v>2096</v>
      </c>
      <c r="D283" s="1">
        <v>0.1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</row>
    <row r="284" spans="1:9" x14ac:dyDescent="0.25">
      <c r="A284" s="1">
        <v>425</v>
      </c>
      <c r="B284" s="1">
        <v>587</v>
      </c>
      <c r="C284" s="1">
        <v>2009</v>
      </c>
      <c r="D284" s="1">
        <v>-12.5</v>
      </c>
      <c r="E284" s="1">
        <v>1</v>
      </c>
      <c r="F284" s="1">
        <v>0.3</v>
      </c>
      <c r="G284" s="1">
        <v>0</v>
      </c>
      <c r="H284" s="1">
        <v>0</v>
      </c>
      <c r="I284" s="1">
        <v>0</v>
      </c>
    </row>
    <row r="285" spans="1:9" x14ac:dyDescent="0.25">
      <c r="A285" s="1">
        <v>450</v>
      </c>
      <c r="B285" s="1">
        <v>574</v>
      </c>
      <c r="C285" s="1">
        <v>1924</v>
      </c>
      <c r="D285" s="1">
        <v>-26.5</v>
      </c>
      <c r="E285" s="1">
        <v>2</v>
      </c>
      <c r="F285" s="1">
        <v>0.6</v>
      </c>
      <c r="G285" s="1">
        <v>0</v>
      </c>
      <c r="H285" s="1">
        <v>0</v>
      </c>
      <c r="I285" s="1">
        <v>0</v>
      </c>
    </row>
    <row r="286" spans="1:9" x14ac:dyDescent="0.25">
      <c r="A286" s="1">
        <v>475</v>
      </c>
      <c r="B286" s="1">
        <v>562</v>
      </c>
      <c r="C286" s="1">
        <v>1843</v>
      </c>
      <c r="D286" s="1">
        <v>-42.5</v>
      </c>
      <c r="E286" s="1">
        <v>3.1</v>
      </c>
      <c r="F286" s="1">
        <v>0.9</v>
      </c>
      <c r="G286" s="1">
        <v>0</v>
      </c>
      <c r="H286" s="1">
        <v>0</v>
      </c>
      <c r="I286" s="1">
        <v>0</v>
      </c>
    </row>
    <row r="287" spans="1:9" x14ac:dyDescent="0.25">
      <c r="A287" s="1">
        <v>500</v>
      </c>
      <c r="B287" s="1">
        <v>550</v>
      </c>
      <c r="C287" s="1">
        <v>1767</v>
      </c>
      <c r="D287" s="1">
        <v>-60.5</v>
      </c>
      <c r="E287" s="1">
        <v>4.2</v>
      </c>
      <c r="F287" s="1">
        <v>1.2</v>
      </c>
      <c r="G287" s="1">
        <v>0</v>
      </c>
      <c r="H287" s="1">
        <v>0</v>
      </c>
      <c r="I287" s="1">
        <v>0</v>
      </c>
    </row>
    <row r="288" spans="1:9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9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9" x14ac:dyDescent="0.25">
      <c r="A290" s="1"/>
      <c r="B290" s="1"/>
      <c r="C290" s="1"/>
      <c r="D290" s="1"/>
      <c r="E290" s="1"/>
      <c r="F290" s="1"/>
      <c r="G290" s="1"/>
      <c r="H290" s="1"/>
      <c r="I290" s="1"/>
    </row>
    <row r="291" spans="1:9" x14ac:dyDescent="0.25">
      <c r="A291" t="s">
        <v>89</v>
      </c>
    </row>
    <row r="292" spans="1:9" x14ac:dyDescent="0.25">
      <c r="A292" t="s">
        <v>10</v>
      </c>
      <c r="B292" t="s">
        <v>11</v>
      </c>
      <c r="C292" t="s">
        <v>12</v>
      </c>
      <c r="D292" t="s">
        <v>13</v>
      </c>
      <c r="E292" t="s">
        <v>14</v>
      </c>
      <c r="F292" t="s">
        <v>15</v>
      </c>
      <c r="G292" t="s">
        <v>26</v>
      </c>
      <c r="H292" t="s">
        <v>27</v>
      </c>
      <c r="I292" t="s">
        <v>28</v>
      </c>
    </row>
    <row r="293" spans="1:9" x14ac:dyDescent="0.25">
      <c r="A293" s="1">
        <v>0</v>
      </c>
      <c r="B293" s="1">
        <v>823</v>
      </c>
      <c r="C293" s="1">
        <v>3950</v>
      </c>
      <c r="D293" s="1">
        <v>-3.8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</row>
    <row r="294" spans="1:9" x14ac:dyDescent="0.25">
      <c r="A294" s="1">
        <v>25</v>
      </c>
      <c r="B294" s="1">
        <v>808</v>
      </c>
      <c r="C294" s="1">
        <v>3806</v>
      </c>
      <c r="D294" s="1">
        <v>8.1</v>
      </c>
      <c r="E294" s="1">
        <v>-11.2</v>
      </c>
      <c r="F294" s="1">
        <v>-3.3</v>
      </c>
      <c r="G294" s="1">
        <v>0</v>
      </c>
      <c r="H294" s="1">
        <v>0</v>
      </c>
      <c r="I294" s="1">
        <v>0</v>
      </c>
    </row>
    <row r="295" spans="1:9" x14ac:dyDescent="0.25">
      <c r="A295" s="1">
        <v>50</v>
      </c>
      <c r="B295" s="1">
        <v>793</v>
      </c>
      <c r="C295" s="1">
        <v>3666</v>
      </c>
      <c r="D295" s="1">
        <v>19.399999999999999</v>
      </c>
      <c r="E295" s="1">
        <v>-13.2</v>
      </c>
      <c r="F295" s="1">
        <v>-3.9</v>
      </c>
      <c r="G295" s="1">
        <v>0</v>
      </c>
      <c r="H295" s="1">
        <v>0</v>
      </c>
      <c r="I295" s="1">
        <v>0</v>
      </c>
    </row>
    <row r="296" spans="1:9" x14ac:dyDescent="0.25">
      <c r="A296" s="1">
        <v>75</v>
      </c>
      <c r="B296" s="1">
        <v>778</v>
      </c>
      <c r="C296" s="1">
        <v>3530</v>
      </c>
      <c r="D296" s="1">
        <v>29.4</v>
      </c>
      <c r="E296" s="1">
        <v>-13.4</v>
      </c>
      <c r="F296" s="1">
        <v>-3.9</v>
      </c>
      <c r="G296" s="1">
        <v>0</v>
      </c>
      <c r="H296" s="1">
        <v>0</v>
      </c>
      <c r="I296" s="1">
        <v>0</v>
      </c>
    </row>
    <row r="297" spans="1:9" x14ac:dyDescent="0.25">
      <c r="A297" s="1">
        <v>100</v>
      </c>
      <c r="B297" s="1">
        <v>763</v>
      </c>
      <c r="C297" s="1">
        <v>3399</v>
      </c>
      <c r="D297" s="1">
        <v>38.299999999999997</v>
      </c>
      <c r="E297" s="1">
        <v>-13.2</v>
      </c>
      <c r="F297" s="1">
        <v>-3.8</v>
      </c>
      <c r="G297" s="1">
        <v>0</v>
      </c>
      <c r="H297" s="1">
        <v>0</v>
      </c>
      <c r="I297" s="1">
        <v>0</v>
      </c>
    </row>
    <row r="298" spans="1:9" x14ac:dyDescent="0.25">
      <c r="A298" s="1">
        <v>125</v>
      </c>
      <c r="B298" s="1">
        <v>749</v>
      </c>
      <c r="C298" s="1">
        <v>3271</v>
      </c>
      <c r="D298" s="1">
        <v>46.5</v>
      </c>
      <c r="E298" s="1">
        <v>-12.7</v>
      </c>
      <c r="F298" s="1">
        <v>-3.7</v>
      </c>
      <c r="G298" s="1">
        <v>0</v>
      </c>
      <c r="H298" s="1">
        <v>0</v>
      </c>
      <c r="I298" s="1">
        <v>0</v>
      </c>
    </row>
    <row r="299" spans="1:9" x14ac:dyDescent="0.25">
      <c r="A299" s="1">
        <v>150</v>
      </c>
      <c r="B299" s="1">
        <v>735</v>
      </c>
      <c r="C299" s="1">
        <v>3147</v>
      </c>
      <c r="D299" s="1">
        <v>53.2</v>
      </c>
      <c r="E299" s="1">
        <v>-12.2</v>
      </c>
      <c r="F299" s="1">
        <v>-3.5</v>
      </c>
      <c r="G299" s="1">
        <v>0</v>
      </c>
      <c r="H299" s="1">
        <v>0</v>
      </c>
      <c r="I299" s="1">
        <v>0</v>
      </c>
    </row>
    <row r="300" spans="1:9" x14ac:dyDescent="0.25">
      <c r="A300" s="1">
        <v>175</v>
      </c>
      <c r="B300" s="1">
        <v>720</v>
      </c>
      <c r="C300" s="1">
        <v>3027</v>
      </c>
      <c r="D300" s="1">
        <v>58.9</v>
      </c>
      <c r="E300" s="1">
        <v>-11.6</v>
      </c>
      <c r="F300" s="1">
        <v>-3.4</v>
      </c>
      <c r="G300" s="1">
        <v>0</v>
      </c>
      <c r="H300" s="1">
        <v>0</v>
      </c>
      <c r="I300" s="1">
        <v>0</v>
      </c>
    </row>
    <row r="301" spans="1:9" x14ac:dyDescent="0.25">
      <c r="A301" s="1">
        <v>200</v>
      </c>
      <c r="B301" s="1">
        <v>706</v>
      </c>
      <c r="C301" s="1">
        <v>2910</v>
      </c>
      <c r="D301" s="1">
        <v>63.5</v>
      </c>
      <c r="E301" s="1">
        <v>-10.9</v>
      </c>
      <c r="F301" s="1">
        <v>-3.2</v>
      </c>
      <c r="G301" s="1">
        <v>0</v>
      </c>
      <c r="H301" s="1">
        <v>0</v>
      </c>
      <c r="I301" s="1">
        <v>0</v>
      </c>
    </row>
    <row r="302" spans="1:9" x14ac:dyDescent="0.25">
      <c r="A302" s="1">
        <v>225</v>
      </c>
      <c r="B302" s="1">
        <v>692</v>
      </c>
      <c r="C302" s="1">
        <v>2797</v>
      </c>
      <c r="D302" s="1">
        <v>66.599999999999994</v>
      </c>
      <c r="E302" s="1">
        <v>-10.199999999999999</v>
      </c>
      <c r="F302" s="1">
        <v>-3</v>
      </c>
      <c r="G302" s="1">
        <v>0</v>
      </c>
      <c r="H302" s="1">
        <v>0</v>
      </c>
      <c r="I302" s="1">
        <v>0</v>
      </c>
    </row>
    <row r="303" spans="1:9" x14ac:dyDescent="0.25">
      <c r="A303" s="1">
        <v>250</v>
      </c>
      <c r="B303" s="1">
        <v>679</v>
      </c>
      <c r="C303" s="1">
        <v>2687</v>
      </c>
      <c r="D303" s="1">
        <v>68.5</v>
      </c>
      <c r="E303" s="1">
        <v>-9.4</v>
      </c>
      <c r="F303" s="1">
        <v>-2.7</v>
      </c>
      <c r="G303" s="1">
        <v>0</v>
      </c>
      <c r="H303" s="1">
        <v>0</v>
      </c>
      <c r="I303" s="1">
        <v>0</v>
      </c>
    </row>
    <row r="304" spans="1:9" x14ac:dyDescent="0.25">
      <c r="A304" s="1">
        <v>275</v>
      </c>
      <c r="B304" s="1">
        <v>665</v>
      </c>
      <c r="C304" s="1">
        <v>2580</v>
      </c>
      <c r="D304" s="1">
        <v>69.099999999999994</v>
      </c>
      <c r="E304" s="1">
        <v>-8.6</v>
      </c>
      <c r="F304" s="1">
        <v>-2.5</v>
      </c>
      <c r="G304" s="1">
        <v>0</v>
      </c>
      <c r="H304" s="1">
        <v>0</v>
      </c>
      <c r="I304" s="1">
        <v>0</v>
      </c>
    </row>
    <row r="305" spans="1:9" x14ac:dyDescent="0.25">
      <c r="A305" s="1">
        <v>300</v>
      </c>
      <c r="B305" s="1">
        <v>652</v>
      </c>
      <c r="C305" s="1">
        <v>2477</v>
      </c>
      <c r="D305" s="1">
        <v>68.099999999999994</v>
      </c>
      <c r="E305" s="1">
        <v>-7.8</v>
      </c>
      <c r="F305" s="1">
        <v>-2.2999999999999998</v>
      </c>
      <c r="G305" s="1">
        <v>0</v>
      </c>
      <c r="H305" s="1">
        <v>0</v>
      </c>
      <c r="I305" s="1">
        <v>0</v>
      </c>
    </row>
    <row r="306" spans="1:9" x14ac:dyDescent="0.25">
      <c r="A306" s="1">
        <v>325</v>
      </c>
      <c r="B306" s="1">
        <v>638</v>
      </c>
      <c r="C306" s="1">
        <v>2377</v>
      </c>
      <c r="D306" s="1">
        <v>65.7</v>
      </c>
      <c r="E306" s="1">
        <v>-7</v>
      </c>
      <c r="F306" s="1">
        <v>-2</v>
      </c>
      <c r="G306" s="1">
        <v>0</v>
      </c>
      <c r="H306" s="1">
        <v>0</v>
      </c>
      <c r="I306" s="1">
        <v>0</v>
      </c>
    </row>
    <row r="307" spans="1:9" x14ac:dyDescent="0.25">
      <c r="A307" s="1">
        <v>350</v>
      </c>
      <c r="B307" s="1">
        <v>625</v>
      </c>
      <c r="C307" s="1">
        <v>2280</v>
      </c>
      <c r="D307" s="1">
        <v>61.6</v>
      </c>
      <c r="E307" s="1">
        <v>-6</v>
      </c>
      <c r="F307" s="1">
        <v>-1.8</v>
      </c>
      <c r="G307" s="1">
        <v>0</v>
      </c>
      <c r="H307" s="1">
        <v>0</v>
      </c>
      <c r="I307" s="1">
        <v>0</v>
      </c>
    </row>
    <row r="308" spans="1:9" x14ac:dyDescent="0.25">
      <c r="A308" s="1">
        <v>375</v>
      </c>
      <c r="B308" s="1">
        <v>612</v>
      </c>
      <c r="C308" s="1">
        <v>2187</v>
      </c>
      <c r="D308" s="1">
        <v>56</v>
      </c>
      <c r="E308" s="1">
        <v>-5.0999999999999996</v>
      </c>
      <c r="F308" s="1">
        <v>-1.5</v>
      </c>
      <c r="G308" s="1">
        <v>0</v>
      </c>
      <c r="H308" s="1">
        <v>0</v>
      </c>
      <c r="I308" s="1">
        <v>0</v>
      </c>
    </row>
    <row r="309" spans="1:9" x14ac:dyDescent="0.25">
      <c r="A309" s="1">
        <v>400</v>
      </c>
      <c r="B309" s="1">
        <v>599</v>
      </c>
      <c r="C309" s="1">
        <v>2096</v>
      </c>
      <c r="D309" s="1">
        <v>48.7</v>
      </c>
      <c r="E309" s="1">
        <v>-4.2</v>
      </c>
      <c r="F309" s="1">
        <v>-1.2</v>
      </c>
      <c r="G309" s="1">
        <v>0</v>
      </c>
      <c r="H309" s="1">
        <v>0</v>
      </c>
      <c r="I309" s="1">
        <v>0</v>
      </c>
    </row>
    <row r="310" spans="1:9" x14ac:dyDescent="0.25">
      <c r="A310" s="1">
        <v>425</v>
      </c>
      <c r="B310" s="1">
        <v>587</v>
      </c>
      <c r="C310" s="1">
        <v>2009</v>
      </c>
      <c r="D310" s="1">
        <v>39.200000000000003</v>
      </c>
      <c r="E310" s="1">
        <v>-3.2</v>
      </c>
      <c r="F310" s="1">
        <v>-0.9</v>
      </c>
      <c r="G310" s="1">
        <v>0</v>
      </c>
      <c r="H310" s="1">
        <v>0</v>
      </c>
      <c r="I310" s="1">
        <v>0</v>
      </c>
    </row>
    <row r="311" spans="1:9" x14ac:dyDescent="0.25">
      <c r="A311" s="1">
        <v>450</v>
      </c>
      <c r="B311" s="1">
        <v>574</v>
      </c>
      <c r="C311" s="1">
        <v>1924</v>
      </c>
      <c r="D311" s="1">
        <v>28.2</v>
      </c>
      <c r="E311" s="1">
        <v>-2.2000000000000002</v>
      </c>
      <c r="F311" s="1">
        <v>-0.6</v>
      </c>
      <c r="G311" s="1">
        <v>0</v>
      </c>
      <c r="H311" s="1">
        <v>0</v>
      </c>
      <c r="I311" s="1">
        <v>0</v>
      </c>
    </row>
    <row r="312" spans="1:9" x14ac:dyDescent="0.25">
      <c r="A312" s="1">
        <v>475</v>
      </c>
      <c r="B312" s="1">
        <v>562</v>
      </c>
      <c r="C312" s="1">
        <v>1843</v>
      </c>
      <c r="D312" s="1">
        <v>15.2</v>
      </c>
      <c r="E312" s="1">
        <v>-1.1000000000000001</v>
      </c>
      <c r="F312" s="1">
        <v>-0.3</v>
      </c>
      <c r="G312" s="1">
        <v>0</v>
      </c>
      <c r="H312" s="1">
        <v>0</v>
      </c>
      <c r="I312" s="1">
        <v>0</v>
      </c>
    </row>
    <row r="313" spans="1:9" x14ac:dyDescent="0.25">
      <c r="A313" s="1">
        <v>500</v>
      </c>
      <c r="B313" s="1">
        <v>550</v>
      </c>
      <c r="C313" s="1">
        <v>1767</v>
      </c>
      <c r="D313" s="1">
        <v>0.2</v>
      </c>
      <c r="E313" s="1">
        <v>0</v>
      </c>
      <c r="F313" s="1">
        <v>0</v>
      </c>
      <c r="G313" s="1">
        <v>0</v>
      </c>
      <c r="H313" s="1">
        <v>0</v>
      </c>
      <c r="I313" s="1">
        <v>0</v>
      </c>
    </row>
  </sheetData>
  <mergeCells count="6">
    <mergeCell ref="Q55:AB55"/>
    <mergeCell ref="D55:O55"/>
    <mergeCell ref="Q23:U23"/>
    <mergeCell ref="F1:H1"/>
    <mergeCell ref="P19:AB19"/>
    <mergeCell ref="D23:O23"/>
  </mergeCells>
  <dataValidations count="2">
    <dataValidation type="list" allowBlank="1" showInputMessage="1" showErrorMessage="1" sqref="B121" xr:uid="{262933F1-ECA3-4BA1-A923-C138B050469A}">
      <formula1>$A$6:$A$7</formula1>
    </dataValidation>
    <dataValidation type="list" allowBlank="1" showInputMessage="1" showErrorMessage="1" sqref="B45:AB45" xr:uid="{6995E572-FF85-45C8-85F6-31BC090BCD87}">
      <formula1>"0,1,2,3,4,5,6"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482DF-E598-4A3E-A48A-36E58904C6D5}">
  <sheetPr codeName="Sheet1"/>
  <dimension ref="A1:I38"/>
  <sheetViews>
    <sheetView workbookViewId="0">
      <selection activeCell="A6" sqref="A6:J37"/>
    </sheetView>
  </sheetViews>
  <sheetFormatPr defaultRowHeight="15" x14ac:dyDescent="0.25"/>
  <cols>
    <col min="1" max="1" width="35.28515625" customWidth="1"/>
    <col min="2" max="2" width="44.5703125" customWidth="1"/>
    <col min="3" max="3" width="45.85546875" customWidth="1"/>
    <col min="4" max="4" width="37.85546875" customWidth="1"/>
    <col min="5" max="5" width="38" customWidth="1"/>
    <col min="6" max="6" width="26.85546875" customWidth="1"/>
    <col min="7" max="7" width="19.7109375" customWidth="1"/>
    <col min="8" max="8" width="20.140625" customWidth="1"/>
    <col min="9" max="9" width="20.85546875" customWidth="1"/>
    <col min="10" max="10" width="35.42578125" customWidth="1"/>
  </cols>
  <sheetData>
    <row r="1" spans="1:5" x14ac:dyDescent="0.25">
      <c r="A1" s="29" t="s">
        <v>57</v>
      </c>
      <c r="B1" s="29" t="s">
        <v>16</v>
      </c>
      <c r="C1" s="29" t="s">
        <v>60</v>
      </c>
      <c r="D1" s="29" t="s">
        <v>58</v>
      </c>
      <c r="E1" s="29" t="s">
        <v>59</v>
      </c>
    </row>
    <row r="2" spans="1:5" x14ac:dyDescent="0.25">
      <c r="A2" t="s">
        <v>61</v>
      </c>
      <c r="B2" s="18"/>
      <c r="C2" s="18"/>
      <c r="D2" s="18"/>
      <c r="E2" s="18"/>
    </row>
    <row r="38" spans="1:9" x14ac:dyDescent="0.25">
      <c r="A38" s="1"/>
      <c r="B38" s="1"/>
      <c r="C38" s="1"/>
      <c r="D38" s="1"/>
      <c r="E38" s="1"/>
      <c r="F38" s="1"/>
      <c r="G38" s="1"/>
      <c r="H38" s="1"/>
      <c r="I3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Federal TrophyBonded PHP</vt:lpstr>
      <vt:lpstr>Ammunition Analysis 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2024-08-26T21:25:49Z</dcterms:modified>
</cp:coreProperties>
</file>