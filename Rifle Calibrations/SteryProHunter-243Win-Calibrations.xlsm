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6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ProHunter-243Win\"/>
    </mc:Choice>
  </mc:AlternateContent>
  <xr:revisionPtr revIDLastSave="0" documentId="13_ncr:1_{8A0696CE-22F8-47E7-A3E4-686A9A3D6123}" xr6:coauthVersionLast="47" xr6:coauthVersionMax="47" xr10:uidLastSave="{00000000-0000-0000-0000-000000000000}"/>
  <bookViews>
    <workbookView xWindow="-120" yWindow="-120" windowWidth="51840" windowHeight="21120" activeTab="3" xr2:uid="{2F0FA23F-61CC-43E6-AF0F-86720E5DCFA1}"/>
  </bookViews>
  <sheets>
    <sheet name="Rem Premier AccuTip-V PHP" sheetId="7" r:id="rId1"/>
    <sheet name="Federal Fusion Rifle SP" sheetId="4" r:id="rId2"/>
    <sheet name="Rem Core-Lokt Copper HP" sheetId="9" r:id="rId3"/>
    <sheet name="Bullet Comparisons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9" l="1"/>
  <c r="H3" i="9"/>
  <c r="H2" i="9"/>
  <c r="H7" i="4"/>
  <c r="H3" i="4"/>
  <c r="H2" i="4"/>
  <c r="H7" i="7"/>
  <c r="H3" i="7"/>
  <c r="H2" i="7"/>
  <c r="I250" i="9" a="1"/>
  <c r="I250" i="9" s="1"/>
  <c r="I249" i="9" a="1"/>
  <c r="I249" i="9" s="1"/>
  <c r="I248" i="9" a="1"/>
  <c r="I248" i="9" s="1"/>
  <c r="I247" i="9" a="1"/>
  <c r="I247" i="9" s="1"/>
  <c r="P22" i="9"/>
  <c r="O22" i="9"/>
  <c r="N22" i="9"/>
  <c r="M22" i="9"/>
  <c r="L22" i="9"/>
  <c r="K22" i="9"/>
  <c r="J22" i="9"/>
  <c r="C17" i="9"/>
  <c r="C16" i="9"/>
  <c r="B13" i="9"/>
  <c r="D13" i="9" s="1"/>
  <c r="I250" i="4" a="1"/>
  <c r="I250" i="4" s="1"/>
  <c r="I249" i="4" a="1"/>
  <c r="I249" i="4" s="1"/>
  <c r="I248" i="4" a="1"/>
  <c r="I248" i="4" s="1"/>
  <c r="I247" i="4" a="1"/>
  <c r="I247" i="4" s="1"/>
  <c r="P22" i="4"/>
  <c r="O22" i="4"/>
  <c r="N22" i="4"/>
  <c r="M22" i="4"/>
  <c r="L22" i="4"/>
  <c r="K22" i="4"/>
  <c r="J22" i="4"/>
  <c r="C17" i="4"/>
  <c r="C16" i="4"/>
  <c r="C19" i="4" s="1"/>
  <c r="B13" i="4"/>
  <c r="D13" i="4" s="1"/>
  <c r="I250" i="7" a="1"/>
  <c r="I250" i="7" s="1"/>
  <c r="I249" i="7" a="1"/>
  <c r="I249" i="7" s="1"/>
  <c r="I248" i="7"/>
  <c r="I248" i="7" a="1"/>
  <c r="I247" i="7" a="1"/>
  <c r="I247" i="7" s="1"/>
  <c r="P22" i="7"/>
  <c r="O22" i="7"/>
  <c r="N22" i="7"/>
  <c r="M22" i="7"/>
  <c r="L22" i="7"/>
  <c r="K22" i="7"/>
  <c r="J22" i="7"/>
  <c r="C17" i="7"/>
  <c r="C16" i="7"/>
  <c r="C19" i="7" s="1"/>
  <c r="B13" i="7"/>
  <c r="D13" i="7" s="1"/>
  <c r="C2" i="7"/>
  <c r="C3" i="9"/>
  <c r="C3" i="7"/>
  <c r="C9" i="4"/>
  <c r="C3" i="4"/>
  <c r="C9" i="9"/>
  <c r="B7" i="9"/>
  <c r="C7" i="9" s="1"/>
  <c r="C6" i="9"/>
  <c r="C2" i="9"/>
  <c r="C9" i="7"/>
  <c r="C6" i="7"/>
  <c r="C6" i="4"/>
  <c r="C2" i="4"/>
  <c r="B7" i="4"/>
  <c r="C7" i="4" s="1"/>
  <c r="M28" i="4" a="1"/>
  <c r="O26" i="4" a="1"/>
  <c r="L34" i="4" a="1"/>
  <c r="B12" i="4" a="1"/>
  <c r="I268" i="9" a="1"/>
  <c r="K26" i="4" a="1"/>
  <c r="I264" i="7" a="1"/>
  <c r="L26" i="4" a="1"/>
  <c r="P33" i="4" a="1"/>
  <c r="K30" i="4" a="1"/>
  <c r="P25" i="4" a="1"/>
  <c r="O23" i="4" a="1"/>
  <c r="N33" i="4" a="1"/>
  <c r="N25" i="4" a="1"/>
  <c r="I266" i="7" a="1"/>
  <c r="I274" i="4" a="1"/>
  <c r="P27" i="4" a="1"/>
  <c r="O29" i="4" a="1"/>
  <c r="N29" i="4" a="1"/>
  <c r="L30" i="4" a="1"/>
  <c r="O24" i="4" a="1"/>
  <c r="L28" i="4" a="1"/>
  <c r="I258" i="7" a="1"/>
  <c r="N26" i="4" a="1"/>
  <c r="J30" i="4" a="1"/>
  <c r="I263" i="7" a="1"/>
  <c r="I271" i="4" a="1"/>
  <c r="M26" i="4" a="1"/>
  <c r="I269" i="4" a="1"/>
  <c r="I261" i="7" a="1"/>
  <c r="B12" i="7" a="1"/>
  <c r="I277" i="7" a="1"/>
  <c r="J32" i="4" a="1"/>
  <c r="I269" i="9" a="1"/>
  <c r="I276" i="4" a="1"/>
  <c r="I276" i="7" a="1"/>
  <c r="M33" i="4" a="1"/>
  <c r="P29" i="4" a="1"/>
  <c r="M27" i="4" a="1"/>
  <c r="I272" i="7" a="1"/>
  <c r="I272" i="4" a="1"/>
  <c r="I272" i="9" a="1"/>
  <c r="B12" i="9" a="1"/>
  <c r="L24" i="4" a="1"/>
  <c r="N34" i="4" a="1"/>
  <c r="K34" i="4" a="1"/>
  <c r="I257" i="7" a="1"/>
  <c r="J34" i="4" a="1"/>
  <c r="I266" i="9" a="1"/>
  <c r="M32" i="4" a="1"/>
  <c r="I265" i="4" a="1"/>
  <c r="I263" i="4" a="1"/>
  <c r="O31" i="4" a="1"/>
  <c r="I261" i="4" a="1"/>
  <c r="O25" i="4" a="1"/>
  <c r="I274" i="7" a="1"/>
  <c r="I274" i="9" a="1"/>
  <c r="J26" i="4" a="1"/>
  <c r="I268" i="7" a="1"/>
  <c r="I266" i="4" a="1"/>
  <c r="I270" i="9" a="1"/>
  <c r="I277" i="4" a="1"/>
  <c r="K32" i="4" a="1"/>
  <c r="N28" i="4" a="1"/>
  <c r="K28" i="4" a="1"/>
  <c r="I267" i="7" a="1"/>
  <c r="I275" i="4" a="1"/>
  <c r="I273" i="4" a="1"/>
  <c r="J28" i="4" a="1"/>
  <c r="I262" i="9" a="1"/>
  <c r="J24" i="4" a="1"/>
  <c r="I262" i="7" a="1"/>
  <c r="I259" i="7" a="1"/>
  <c r="K24" i="4" a="1"/>
  <c r="O33" i="4" a="1"/>
  <c r="I260" i="9" a="1"/>
  <c r="I257" i="4" a="1"/>
  <c r="N27" i="4" a="1"/>
  <c r="M29" i="4" a="1"/>
  <c r="M25" i="4" a="1"/>
  <c r="L29" i="4" a="1"/>
  <c r="L32" i="4" a="1"/>
  <c r="I267" i="4" a="1"/>
  <c r="P31" i="4" a="1"/>
  <c r="I260" i="7" a="1"/>
  <c r="P23" i="4" a="1"/>
  <c r="I259" i="4" a="1"/>
  <c r="N31" i="4" a="1"/>
  <c r="I277" i="9" a="1"/>
  <c r="K23" i="4" a="1"/>
  <c r="O27" i="4" a="1"/>
  <c r="L23" i="4" a="1"/>
  <c r="L25" i="4" a="1"/>
  <c r="L31" i="4" a="1"/>
  <c r="I275" i="7" a="1"/>
  <c r="I265" i="7" a="1"/>
  <c r="I270" i="4" a="1"/>
  <c r="I268" i="4" a="1"/>
  <c r="K33" i="4" a="1"/>
  <c r="I275" i="9" a="1"/>
  <c r="I262" i="4" a="1"/>
  <c r="J29" i="4" a="1"/>
  <c r="M31" i="4" a="1"/>
  <c r="J27" i="4" a="1"/>
  <c r="I270" i="7" a="1"/>
  <c r="I273" i="9" a="1"/>
  <c r="I260" i="4" a="1"/>
  <c r="J25" i="4" a="1"/>
  <c r="M23" i="4" a="1"/>
  <c r="I271" i="9" a="1"/>
  <c r="I258" i="4" a="1"/>
  <c r="L27" i="4" a="1"/>
  <c r="L33" i="4" a="1"/>
  <c r="I265" i="9" a="1"/>
  <c r="I267" i="9" a="1"/>
  <c r="P34" i="4" a="1"/>
  <c r="K29" i="4" a="1"/>
  <c r="L35" i="4" a="1"/>
  <c r="P32" i="4" a="1"/>
  <c r="K25" i="4" a="1"/>
  <c r="I263" i="9" a="1"/>
  <c r="P30" i="4" a="1"/>
  <c r="J31" i="4" a="1"/>
  <c r="M35" i="4" a="1"/>
  <c r="P26" i="4" a="1"/>
  <c r="O32" i="4" a="1"/>
  <c r="P35" i="4" a="1"/>
  <c r="I276" i="9" a="1"/>
  <c r="P24" i="4" a="1"/>
  <c r="N30" i="4" a="1"/>
  <c r="M34" i="4" a="1"/>
  <c r="I273" i="7" a="1"/>
  <c r="I261" i="9" a="1"/>
  <c r="P28" i="4" a="1"/>
  <c r="J23" i="4" a="1"/>
  <c r="K35" i="4" a="1"/>
  <c r="O30" i="4" a="1"/>
  <c r="N32" i="4" a="1"/>
  <c r="O35" i="4" a="1"/>
  <c r="I264" i="9" a="1"/>
  <c r="N24" i="4" a="1"/>
  <c r="O34" i="4" a="1"/>
  <c r="J35" i="4" a="1"/>
  <c r="I259" i="9" a="1"/>
  <c r="K27" i="4" a="1"/>
  <c r="N23" i="4" a="1"/>
  <c r="J33" i="4" a="1"/>
  <c r="I269" i="7" a="1"/>
  <c r="I257" i="9" a="1"/>
  <c r="I264" i="4" a="1"/>
  <c r="I271" i="7" a="1"/>
  <c r="I258" i="9" a="1"/>
  <c r="M30" i="4" a="1"/>
  <c r="O28" i="4" a="1"/>
  <c r="M24" i="4" a="1"/>
  <c r="N35" i="4" a="1"/>
  <c r="K31" i="4" a="1"/>
  <c r="P32" i="9" a="1"/>
  <c r="P24" i="9" a="1"/>
  <c r="P29" i="9" a="1"/>
  <c r="P23" i="9" a="1"/>
  <c r="P27" i="9" a="1"/>
  <c r="P25" i="9" a="1"/>
  <c r="P30" i="9" a="1"/>
  <c r="P26" i="9" a="1"/>
  <c r="P31" i="9" a="1"/>
  <c r="P28" i="9" a="1"/>
  <c r="O27" i="9" a="1"/>
  <c r="O23" i="9" a="1"/>
  <c r="O29" i="9" a="1"/>
  <c r="O30" i="9" a="1"/>
  <c r="O24" i="9" a="1"/>
  <c r="O32" i="9" a="1"/>
  <c r="O31" i="9" a="1"/>
  <c r="O26" i="9" a="1"/>
  <c r="O25" i="9" a="1"/>
  <c r="O28" i="9" a="1"/>
  <c r="N27" i="9" a="1"/>
  <c r="N32" i="9" a="1"/>
  <c r="N26" i="9" a="1"/>
  <c r="N25" i="9" a="1"/>
  <c r="N30" i="9" a="1"/>
  <c r="N24" i="9" a="1"/>
  <c r="N29" i="9" a="1"/>
  <c r="N23" i="9" a="1"/>
  <c r="N31" i="9" a="1"/>
  <c r="N28" i="9" a="1"/>
  <c r="M26" i="9" a="1"/>
  <c r="M25" i="9" a="1"/>
  <c r="M30" i="9" a="1"/>
  <c r="M24" i="9" a="1"/>
  <c r="M29" i="9" a="1"/>
  <c r="M23" i="9" a="1"/>
  <c r="M32" i="9" a="1"/>
  <c r="M28" i="9" a="1"/>
  <c r="M27" i="9" a="1"/>
  <c r="M31" i="9" a="1"/>
  <c r="L25" i="9" a="1"/>
  <c r="L24" i="9" a="1"/>
  <c r="L27" i="9" a="1"/>
  <c r="L31" i="9" a="1"/>
  <c r="L29" i="9" a="1"/>
  <c r="L26" i="9" a="1"/>
  <c r="L28" i="9" a="1"/>
  <c r="L30" i="9" a="1"/>
  <c r="L23" i="9" a="1"/>
  <c r="L32" i="9" a="1"/>
  <c r="K23" i="9" a="1"/>
  <c r="K25" i="9" a="1"/>
  <c r="K30" i="9" a="1"/>
  <c r="K26" i="9" a="1"/>
  <c r="K31" i="9" a="1"/>
  <c r="K27" i="9" a="1"/>
  <c r="K29" i="9" a="1"/>
  <c r="K24" i="9" a="1"/>
  <c r="K28" i="9" a="1"/>
  <c r="K32" i="9" a="1"/>
  <c r="J31" i="9" a="1"/>
  <c r="J29" i="9" a="1"/>
  <c r="J24" i="9" a="1"/>
  <c r="J30" i="9" a="1"/>
  <c r="J32" i="9" a="1"/>
  <c r="J23" i="9" a="1"/>
  <c r="J28" i="9" a="1"/>
  <c r="J26" i="9" a="1"/>
  <c r="J25" i="9" a="1"/>
  <c r="J27" i="9" a="1"/>
  <c r="J23" i="7" a="1"/>
  <c r="J24" i="7" a="1"/>
  <c r="J32" i="7" a="1"/>
  <c r="J26" i="7" a="1"/>
  <c r="J27" i="7" a="1"/>
  <c r="J28" i="7" a="1"/>
  <c r="J33" i="7" a="1"/>
  <c r="J29" i="7" a="1"/>
  <c r="J34" i="7" a="1"/>
  <c r="J35" i="7" a="1"/>
  <c r="J31" i="7" a="1"/>
  <c r="J30" i="7" a="1"/>
  <c r="J25" i="7" a="1"/>
  <c r="P34" i="7" a="1"/>
  <c r="P24" i="7" a="1"/>
  <c r="P29" i="7" a="1"/>
  <c r="P31" i="7" a="1"/>
  <c r="P26" i="7" a="1"/>
  <c r="P23" i="7" a="1"/>
  <c r="P28" i="7" a="1"/>
  <c r="P25" i="7" a="1"/>
  <c r="P32" i="7" a="1"/>
  <c r="P27" i="7" a="1"/>
  <c r="P30" i="7" a="1"/>
  <c r="P33" i="7" a="1"/>
  <c r="P35" i="7" a="1"/>
  <c r="O31" i="7" a="1"/>
  <c r="O32" i="7" a="1"/>
  <c r="O30" i="7" a="1"/>
  <c r="O23" i="7" a="1"/>
  <c r="O28" i="7" a="1"/>
  <c r="O35" i="7" a="1"/>
  <c r="O34" i="7" a="1"/>
  <c r="O25" i="7" a="1"/>
  <c r="O29" i="7" a="1"/>
  <c r="O33" i="7" a="1"/>
  <c r="O26" i="7" a="1"/>
  <c r="O24" i="7" a="1"/>
  <c r="O27" i="7" a="1"/>
  <c r="N31" i="7" a="1"/>
  <c r="N26" i="7" a="1"/>
  <c r="N30" i="7" a="1"/>
  <c r="N28" i="7" a="1"/>
  <c r="N32" i="7" a="1"/>
  <c r="N27" i="7" a="1"/>
  <c r="N23" i="7" a="1"/>
  <c r="N24" i="7" a="1"/>
  <c r="N34" i="7" a="1"/>
  <c r="N29" i="7" a="1"/>
  <c r="N25" i="7" a="1"/>
  <c r="N35" i="7" a="1"/>
  <c r="N33" i="7" a="1"/>
  <c r="M27" i="7" a="1"/>
  <c r="M24" i="7" a="1"/>
  <c r="M23" i="7" a="1"/>
  <c r="M34" i="7" a="1"/>
  <c r="M32" i="7" a="1"/>
  <c r="M26" i="7" a="1"/>
  <c r="M33" i="7" a="1"/>
  <c r="M30" i="7" a="1"/>
  <c r="M28" i="7" a="1"/>
  <c r="M29" i="7" a="1"/>
  <c r="M31" i="7" a="1"/>
  <c r="M25" i="7" a="1"/>
  <c r="M35" i="7" a="1"/>
  <c r="L31" i="7" a="1"/>
  <c r="L29" i="7" a="1"/>
  <c r="L33" i="7" a="1"/>
  <c r="L24" i="7" a="1"/>
  <c r="L30" i="7" a="1"/>
  <c r="L34" i="7" a="1"/>
  <c r="L23" i="7" a="1"/>
  <c r="L26" i="7" a="1"/>
  <c r="L28" i="7" a="1"/>
  <c r="L32" i="7" a="1"/>
  <c r="L25" i="7" a="1"/>
  <c r="L35" i="7" a="1"/>
  <c r="L27" i="7" a="1"/>
  <c r="K27" i="7" a="1"/>
  <c r="K24" i="7" a="1"/>
  <c r="K29" i="7" a="1"/>
  <c r="K25" i="7" a="1"/>
  <c r="K30" i="7" a="1"/>
  <c r="K33" i="7" a="1"/>
  <c r="K28" i="7" a="1"/>
  <c r="K23" i="7" a="1"/>
  <c r="K34" i="7" a="1"/>
  <c r="K26" i="7" a="1"/>
  <c r="K35" i="7" a="1"/>
  <c r="K32" i="7" a="1"/>
  <c r="K31" i="7" a="1"/>
  <c r="H6" i="9" a="1"/>
  <c r="G6" i="9" a="1"/>
  <c r="E19" i="4" a="1"/>
  <c r="E19" i="7" a="1"/>
  <c r="H6" i="4" a="1"/>
  <c r="G6" i="4" a="1"/>
  <c r="G6" i="7" a="1"/>
  <c r="H6" i="7" a="1"/>
  <c r="B7" i="7" a="1"/>
  <c r="C7" i="7" a="1"/>
  <c r="G6" i="9" l="1"/>
  <c r="H6" i="9"/>
  <c r="C19" i="9"/>
  <c r="E19" i="4"/>
  <c r="E19" i="7"/>
  <c r="G6" i="4"/>
  <c r="H6" i="4"/>
  <c r="G6" i="7"/>
  <c r="H6" i="7"/>
  <c r="C7" i="7"/>
  <c r="B7" i="7"/>
  <c r="I258" i="9"/>
  <c r="I264" i="9"/>
  <c r="I276" i="9"/>
  <c r="I262" i="9"/>
  <c r="I266" i="9"/>
  <c r="I268" i="9"/>
  <c r="I270" i="9"/>
  <c r="I272" i="9"/>
  <c r="I269" i="9"/>
  <c r="I260" i="9"/>
  <c r="I274" i="9"/>
  <c r="I257" i="9"/>
  <c r="I259" i="9"/>
  <c r="I261" i="9"/>
  <c r="I263" i="9"/>
  <c r="I265" i="9"/>
  <c r="I267" i="9"/>
  <c r="I271" i="9"/>
  <c r="I273" i="9"/>
  <c r="I275" i="9"/>
  <c r="I277" i="9"/>
  <c r="J28" i="9"/>
  <c r="K26" i="9"/>
  <c r="L26" i="9"/>
  <c r="M32" i="9"/>
  <c r="N32" i="9"/>
  <c r="O26" i="9"/>
  <c r="P24" i="9"/>
  <c r="P30" i="9"/>
  <c r="J27" i="9"/>
  <c r="K29" i="9"/>
  <c r="L29" i="9"/>
  <c r="M27" i="9"/>
  <c r="O31" i="9"/>
  <c r="J32" i="9"/>
  <c r="K24" i="9"/>
  <c r="K32" i="9"/>
  <c r="L24" i="9"/>
  <c r="L28" i="9"/>
  <c r="M26" i="9"/>
  <c r="N24" i="9"/>
  <c r="N28" i="9"/>
  <c r="O32" i="9"/>
  <c r="K23" i="9"/>
  <c r="M25" i="9"/>
  <c r="N27" i="9"/>
  <c r="O25" i="9"/>
  <c r="J26" i="9"/>
  <c r="K28" i="9"/>
  <c r="M28" i="9"/>
  <c r="P32" i="9"/>
  <c r="J23" i="9"/>
  <c r="K25" i="9"/>
  <c r="L25" i="9"/>
  <c r="L31" i="9"/>
  <c r="M23" i="9"/>
  <c r="M29" i="9"/>
  <c r="N25" i="9"/>
  <c r="N31" i="9"/>
  <c r="O23" i="9"/>
  <c r="O29" i="9"/>
  <c r="P25" i="9"/>
  <c r="P27" i="9"/>
  <c r="P31" i="9"/>
  <c r="J24" i="9"/>
  <c r="J30" i="9"/>
  <c r="K30" i="9"/>
  <c r="L30" i="9"/>
  <c r="O24" i="9"/>
  <c r="O30" i="9"/>
  <c r="P26" i="9"/>
  <c r="J25" i="9"/>
  <c r="J29" i="9"/>
  <c r="K31" i="9"/>
  <c r="L23" i="9"/>
  <c r="M31" i="9"/>
  <c r="N23" i="9"/>
  <c r="N29" i="9"/>
  <c r="O27" i="9"/>
  <c r="P23" i="9"/>
  <c r="P29" i="9"/>
  <c r="L32" i="9"/>
  <c r="M24" i="9"/>
  <c r="M30" i="9"/>
  <c r="N26" i="9"/>
  <c r="N30" i="9"/>
  <c r="O28" i="9"/>
  <c r="P28" i="9"/>
  <c r="J31" i="9"/>
  <c r="K27" i="9"/>
  <c r="L27" i="9"/>
  <c r="B12" i="9"/>
  <c r="I258" i="4"/>
  <c r="I260" i="4"/>
  <c r="I262" i="4"/>
  <c r="I264" i="4"/>
  <c r="I266" i="4"/>
  <c r="I268" i="4"/>
  <c r="I270" i="4"/>
  <c r="I272" i="4"/>
  <c r="I274" i="4"/>
  <c r="I276" i="4"/>
  <c r="I257" i="4"/>
  <c r="I259" i="4"/>
  <c r="I261" i="4"/>
  <c r="I263" i="4"/>
  <c r="I265" i="4"/>
  <c r="I267" i="4"/>
  <c r="I269" i="4"/>
  <c r="I271" i="4"/>
  <c r="I273" i="4"/>
  <c r="I275" i="4"/>
  <c r="I277" i="4"/>
  <c r="L33" i="4"/>
  <c r="J27" i="4"/>
  <c r="J33" i="4"/>
  <c r="K27" i="4"/>
  <c r="K31" i="4"/>
  <c r="L25" i="4"/>
  <c r="L31" i="4"/>
  <c r="M27" i="4"/>
  <c r="M29" i="4"/>
  <c r="N25" i="4"/>
  <c r="N31" i="4"/>
  <c r="O25" i="4"/>
  <c r="O31" i="4"/>
  <c r="P25" i="4"/>
  <c r="P31" i="4"/>
  <c r="J28" i="4"/>
  <c r="J34" i="4"/>
  <c r="K28" i="4"/>
  <c r="K34" i="4"/>
  <c r="L28" i="4"/>
  <c r="L34" i="4"/>
  <c r="M24" i="4"/>
  <c r="M34" i="4"/>
  <c r="N30" i="4"/>
  <c r="O32" i="4"/>
  <c r="J23" i="4"/>
  <c r="J31" i="4"/>
  <c r="K25" i="4"/>
  <c r="K29" i="4"/>
  <c r="L27" i="4"/>
  <c r="M23" i="4"/>
  <c r="M31" i="4"/>
  <c r="N23" i="4"/>
  <c r="N29" i="4"/>
  <c r="O27" i="4"/>
  <c r="O29" i="4"/>
  <c r="P27" i="4"/>
  <c r="P29" i="4"/>
  <c r="J26" i="4"/>
  <c r="J32" i="4"/>
  <c r="K24" i="4"/>
  <c r="K30" i="4"/>
  <c r="L26" i="4"/>
  <c r="L32" i="4"/>
  <c r="M26" i="4"/>
  <c r="M32" i="4"/>
  <c r="N26" i="4"/>
  <c r="N28" i="4"/>
  <c r="N34" i="4"/>
  <c r="O24" i="4"/>
  <c r="O26" i="4"/>
  <c r="O28" i="4"/>
  <c r="O34" i="4"/>
  <c r="P24" i="4"/>
  <c r="P26" i="4"/>
  <c r="P28" i="4"/>
  <c r="P30" i="4"/>
  <c r="P32" i="4"/>
  <c r="P34" i="4"/>
  <c r="J25" i="4"/>
  <c r="J29" i="4"/>
  <c r="K23" i="4"/>
  <c r="K33" i="4"/>
  <c r="L23" i="4"/>
  <c r="L29" i="4"/>
  <c r="M25" i="4"/>
  <c r="M33" i="4"/>
  <c r="N27" i="4"/>
  <c r="N33" i="4"/>
  <c r="O23" i="4"/>
  <c r="O33" i="4"/>
  <c r="P23" i="4"/>
  <c r="P33" i="4"/>
  <c r="J24" i="4"/>
  <c r="J30" i="4"/>
  <c r="K26" i="4"/>
  <c r="K32" i="4"/>
  <c r="L24" i="4"/>
  <c r="L30" i="4"/>
  <c r="M28" i="4"/>
  <c r="M30" i="4"/>
  <c r="N24" i="4"/>
  <c r="N32" i="4"/>
  <c r="O30" i="4"/>
  <c r="N35" i="4"/>
  <c r="J35" i="4"/>
  <c r="O35" i="4"/>
  <c r="P35" i="4"/>
  <c r="K35" i="4"/>
  <c r="M35" i="4"/>
  <c r="L35" i="4"/>
  <c r="B12" i="4"/>
  <c r="I258" i="7"/>
  <c r="I270" i="7"/>
  <c r="I269" i="7"/>
  <c r="I271" i="7"/>
  <c r="I273" i="7"/>
  <c r="I275" i="7"/>
  <c r="I265" i="7"/>
  <c r="I272" i="7"/>
  <c r="I276" i="7"/>
  <c r="I266" i="7"/>
  <c r="I268" i="7"/>
  <c r="I274" i="7"/>
  <c r="I277" i="7"/>
  <c r="I259" i="7"/>
  <c r="I260" i="7"/>
  <c r="I261" i="7"/>
  <c r="I262" i="7"/>
  <c r="I263" i="7"/>
  <c r="I264" i="7"/>
  <c r="I267" i="7"/>
  <c r="I257" i="7"/>
  <c r="J32" i="7"/>
  <c r="O27" i="7"/>
  <c r="N32" i="7"/>
  <c r="O23" i="7"/>
  <c r="M28" i="7"/>
  <c r="J24" i="7"/>
  <c r="K24" i="7"/>
  <c r="N33" i="7"/>
  <c r="N24" i="7"/>
  <c r="O24" i="7"/>
  <c r="P24" i="7"/>
  <c r="N29" i="7"/>
  <c r="P29" i="7"/>
  <c r="O34" i="7"/>
  <c r="P25" i="7"/>
  <c r="J26" i="7"/>
  <c r="K26" i="7"/>
  <c r="M35" i="7"/>
  <c r="M26" i="7"/>
  <c r="J31" i="7"/>
  <c r="N35" i="7"/>
  <c r="O31" i="7"/>
  <c r="M27" i="7"/>
  <c r="K23" i="7"/>
  <c r="P27" i="7"/>
  <c r="J28" i="7"/>
  <c r="P32" i="7"/>
  <c r="K33" i="7"/>
  <c r="L24" i="7"/>
  <c r="M24" i="7"/>
  <c r="P33" i="7"/>
  <c r="J25" i="7"/>
  <c r="O29" i="7"/>
  <c r="N34" i="7"/>
  <c r="O25" i="7"/>
  <c r="M30" i="7"/>
  <c r="L35" i="7"/>
  <c r="N26" i="7"/>
  <c r="K31" i="7"/>
  <c r="O35" i="7"/>
  <c r="K27" i="7"/>
  <c r="K32" i="7"/>
  <c r="M32" i="7"/>
  <c r="K28" i="7"/>
  <c r="J33" i="7"/>
  <c r="O28" i="7"/>
  <c r="P28" i="7"/>
  <c r="O33" i="7"/>
  <c r="J34" i="7"/>
  <c r="K25" i="7"/>
  <c r="J30" i="7"/>
  <c r="P34" i="7"/>
  <c r="N30" i="7"/>
  <c r="P30" i="7"/>
  <c r="O26" i="7"/>
  <c r="L31" i="7"/>
  <c r="P35" i="7"/>
  <c r="L27" i="7"/>
  <c r="L32" i="7"/>
  <c r="M23" i="7"/>
  <c r="N23" i="7"/>
  <c r="L28" i="7"/>
  <c r="N28" i="7"/>
  <c r="M33" i="7"/>
  <c r="K29" i="7"/>
  <c r="M29" i="7"/>
  <c r="L34" i="7"/>
  <c r="L25" i="7"/>
  <c r="M25" i="7"/>
  <c r="K30" i="7"/>
  <c r="J35" i="7"/>
  <c r="O30" i="7"/>
  <c r="P26" i="7"/>
  <c r="M31" i="7"/>
  <c r="P31" i="7"/>
  <c r="N27" i="7"/>
  <c r="L23" i="7"/>
  <c r="O32" i="7"/>
  <c r="P23" i="7"/>
  <c r="L33" i="7"/>
  <c r="J29" i="7"/>
  <c r="L29" i="7"/>
  <c r="K34" i="7"/>
  <c r="M34" i="7"/>
  <c r="N25" i="7"/>
  <c r="L30" i="7"/>
  <c r="K35" i="7"/>
  <c r="L26" i="7"/>
  <c r="J27" i="7"/>
  <c r="N31" i="7"/>
  <c r="J23" i="7"/>
  <c r="B12" i="7"/>
  <c r="B18" i="7"/>
  <c r="C12" i="7"/>
  <c r="B250" i="9" l="1" a="1"/>
  <c r="B250" i="9" s="1"/>
  <c r="B249" i="9" a="1"/>
  <c r="B249" i="9" s="1"/>
  <c r="B248" i="9" a="1"/>
  <c r="B248" i="9" s="1"/>
  <c r="B247" i="9" a="1"/>
  <c r="B247" i="9" s="1"/>
  <c r="C250" i="9" a="1"/>
  <c r="C250" i="9" s="1"/>
  <c r="C248" i="9" a="1"/>
  <c r="C248" i="9" s="1"/>
  <c r="C249" i="9" a="1"/>
  <c r="C249" i="9" s="1"/>
  <c r="C247" i="9" a="1"/>
  <c r="C247" i="9" s="1"/>
  <c r="D249" i="9" a="1"/>
  <c r="D249" i="9" s="1"/>
  <c r="D248" i="9" a="1"/>
  <c r="D248" i="9" s="1"/>
  <c r="D250" i="9" a="1"/>
  <c r="D250" i="9" s="1"/>
  <c r="D247" i="9" a="1"/>
  <c r="D247" i="9" s="1"/>
  <c r="E250" i="9" a="1"/>
  <c r="E250" i="9" s="1"/>
  <c r="E248" i="9" a="1"/>
  <c r="E248" i="9" s="1"/>
  <c r="E249" i="9" a="1"/>
  <c r="E249" i="9" s="1"/>
  <c r="E247" i="9" a="1"/>
  <c r="E247" i="9" s="1"/>
  <c r="G250" i="7" a="1"/>
  <c r="G250" i="7" s="1"/>
  <c r="G249" i="7" a="1"/>
  <c r="G249" i="7" s="1"/>
  <c r="G248" i="7" a="1"/>
  <c r="G248" i="7" s="1"/>
  <c r="G247" i="7" a="1"/>
  <c r="G247" i="7" s="1"/>
  <c r="F249" i="9" a="1"/>
  <c r="F249" i="9" s="1"/>
  <c r="F250" i="9" a="1"/>
  <c r="F250" i="9" s="1"/>
  <c r="F248" i="9" a="1"/>
  <c r="F248" i="9" s="1"/>
  <c r="F247" i="9" a="1"/>
  <c r="F247" i="9" s="1"/>
  <c r="H249" i="9" a="1"/>
  <c r="H249" i="9" s="1"/>
  <c r="H250" i="9" a="1"/>
  <c r="H250" i="9" s="1"/>
  <c r="H248" i="9" a="1"/>
  <c r="H248" i="9" s="1"/>
  <c r="H247" i="9" a="1"/>
  <c r="H247" i="9" s="1"/>
  <c r="G249" i="9" a="1"/>
  <c r="G249" i="9" s="1"/>
  <c r="G250" i="9" a="1"/>
  <c r="G250" i="9" s="1"/>
  <c r="G248" i="9" a="1"/>
  <c r="G248" i="9" s="1"/>
  <c r="G247" i="9" a="1"/>
  <c r="G247" i="9" s="1"/>
  <c r="B18" i="9"/>
  <c r="C12" i="9"/>
  <c r="H250" i="4" a="1"/>
  <c r="H250" i="4" s="1"/>
  <c r="H249" i="4" a="1"/>
  <c r="H249" i="4" s="1"/>
  <c r="H248" i="4" a="1"/>
  <c r="H248" i="4" s="1"/>
  <c r="H247" i="4" a="1"/>
  <c r="H247" i="4" s="1"/>
  <c r="G250" i="4" a="1"/>
  <c r="G250" i="4" s="1"/>
  <c r="G249" i="4" a="1"/>
  <c r="G249" i="4" s="1"/>
  <c r="G247" i="4" a="1"/>
  <c r="G247" i="4" s="1"/>
  <c r="G248" i="4" a="1"/>
  <c r="G248" i="4" s="1"/>
  <c r="F250" i="4" a="1"/>
  <c r="F250" i="4" s="1"/>
  <c r="F248" i="4" a="1"/>
  <c r="F248" i="4" s="1"/>
  <c r="F247" i="4" a="1"/>
  <c r="F247" i="4" s="1"/>
  <c r="F249" i="4" a="1"/>
  <c r="F249" i="4" s="1"/>
  <c r="E250" i="4" a="1"/>
  <c r="E250" i="4" s="1"/>
  <c r="E247" i="4" a="1"/>
  <c r="E247" i="4" s="1"/>
  <c r="E249" i="4" a="1"/>
  <c r="E249" i="4" s="1"/>
  <c r="E248" i="4" a="1"/>
  <c r="E248" i="4" s="1"/>
  <c r="D250" i="4" a="1"/>
  <c r="D250" i="4" s="1"/>
  <c r="D247" i="4" a="1"/>
  <c r="D247" i="4" s="1"/>
  <c r="D249" i="4" a="1"/>
  <c r="D249" i="4" s="1"/>
  <c r="D248" i="4" a="1"/>
  <c r="D248" i="4" s="1"/>
  <c r="C250" i="4" a="1"/>
  <c r="C250" i="4" s="1"/>
  <c r="C249" i="4" a="1"/>
  <c r="C249" i="4" s="1"/>
  <c r="C248" i="4" a="1"/>
  <c r="C248" i="4" s="1"/>
  <c r="C247" i="4" a="1"/>
  <c r="C247" i="4" s="1"/>
  <c r="B250" i="4" a="1"/>
  <c r="B250" i="4" s="1"/>
  <c r="B247" i="4" a="1"/>
  <c r="B247" i="4" s="1"/>
  <c r="B249" i="4" a="1"/>
  <c r="B249" i="4" s="1"/>
  <c r="B248" i="4" a="1"/>
  <c r="B248" i="4" s="1"/>
  <c r="B18" i="4"/>
  <c r="C12" i="4"/>
  <c r="H249" i="7" a="1"/>
  <c r="H249" i="7" s="1"/>
  <c r="H250" i="7" a="1"/>
  <c r="H250" i="7" s="1"/>
  <c r="H248" i="7" a="1"/>
  <c r="H248" i="7" s="1"/>
  <c r="H247" i="7" a="1"/>
  <c r="H247" i="7" s="1"/>
  <c r="F247" i="7" a="1"/>
  <c r="F247" i="7" s="1"/>
  <c r="F250" i="7" a="1"/>
  <c r="F250" i="7" s="1"/>
  <c r="F249" i="7" a="1"/>
  <c r="F249" i="7" s="1"/>
  <c r="F248" i="7" a="1"/>
  <c r="F248" i="7" s="1"/>
  <c r="E249" i="7" a="1"/>
  <c r="E249" i="7" s="1"/>
  <c r="E247" i="7" a="1"/>
  <c r="E247" i="7" s="1"/>
  <c r="E250" i="7" a="1"/>
  <c r="E250" i="7" s="1"/>
  <c r="E248" i="7" a="1"/>
  <c r="E248" i="7" s="1"/>
  <c r="D250" i="7" a="1"/>
  <c r="D250" i="7" s="1"/>
  <c r="D249" i="7" a="1"/>
  <c r="D249" i="7" s="1"/>
  <c r="D248" i="7" a="1"/>
  <c r="D248" i="7" s="1"/>
  <c r="D247" i="7" a="1"/>
  <c r="D247" i="7" s="1"/>
  <c r="C250" i="7" a="1"/>
  <c r="C250" i="7" s="1"/>
  <c r="C249" i="7" a="1"/>
  <c r="C249" i="7" s="1"/>
  <c r="C248" i="7" a="1"/>
  <c r="C248" i="7" s="1"/>
  <c r="C247" i="7" a="1"/>
  <c r="C247" i="7" s="1"/>
  <c r="B247" i="7" a="1"/>
  <c r="B247" i="7" s="1"/>
  <c r="B250" i="7" a="1"/>
  <c r="B250" i="7" s="1"/>
  <c r="B249" i="7" a="1"/>
  <c r="B249" i="7" s="1"/>
  <c r="B248" i="7" a="1"/>
  <c r="B248" i="7" s="1"/>
  <c r="D16" i="7"/>
  <c r="E16" i="7" s="1"/>
  <c r="D17" i="7"/>
  <c r="E17" i="7" s="1"/>
  <c r="G276" i="4" a="1"/>
  <c r="F264" i="4" a="1"/>
  <c r="D265" i="4" a="1"/>
  <c r="C266" i="4" a="1"/>
  <c r="D269" i="4" a="1"/>
  <c r="B258" i="4" a="1"/>
  <c r="D263" i="4" a="1"/>
  <c r="B264" i="4" a="1"/>
  <c r="D264" i="4" a="1"/>
  <c r="D270" i="4" a="1"/>
  <c r="G257" i="4" a="1"/>
  <c r="F276" i="4" a="1"/>
  <c r="D267" i="4" a="1"/>
  <c r="C272" i="4" a="1"/>
  <c r="F273" i="4" a="1"/>
  <c r="H268" i="4" a="1"/>
  <c r="G277" i="4" a="1"/>
  <c r="E266" i="4" a="1"/>
  <c r="D268" i="4" a="1"/>
  <c r="B262" i="4" a="1"/>
  <c r="H261" i="4" a="1"/>
  <c r="C259" i="4" a="1"/>
  <c r="C261" i="4" a="1"/>
  <c r="H271" i="4" a="1"/>
  <c r="C277" i="4" a="1"/>
  <c r="F269" i="4" a="1"/>
  <c r="G259" i="4" a="1"/>
  <c r="H274" i="4" a="1"/>
  <c r="G262" i="4" a="1"/>
  <c r="E276" i="4" a="1"/>
  <c r="C258" i="4" a="1"/>
  <c r="B276" i="4" a="1"/>
  <c r="F261" i="4" a="1"/>
  <c r="F268" i="4" a="1"/>
  <c r="G266" i="4" a="1"/>
  <c r="G272" i="4" a="1"/>
  <c r="G274" i="4" a="1"/>
  <c r="C262" i="4" a="1"/>
  <c r="G261" i="4" a="1"/>
  <c r="E258" i="4" a="1"/>
  <c r="D271" i="4" a="1"/>
  <c r="B268" i="4" a="1"/>
  <c r="H262" i="4" a="1"/>
  <c r="G273" i="4" a="1"/>
  <c r="E261" i="4" a="1"/>
  <c r="D262" i="4" a="1"/>
  <c r="B273" i="4" a="1"/>
  <c r="H257" i="4" a="1"/>
  <c r="F260" i="4" a="1"/>
  <c r="E259" i="4" a="1"/>
  <c r="C274" i="4" a="1"/>
  <c r="B261" i="4" a="1"/>
  <c r="E273" i="4" a="1"/>
  <c r="F262" i="4" a="1"/>
  <c r="C270" i="4" a="1"/>
  <c r="D276" i="4" a="1"/>
  <c r="G268" i="4" a="1"/>
  <c r="H260" i="4" a="1"/>
  <c r="G263" i="4" a="1"/>
  <c r="E262" i="4" a="1"/>
  <c r="D273" i="4" a="1"/>
  <c r="B260" i="4" a="1"/>
  <c r="G269" i="4" a="1"/>
  <c r="H258" i="4" a="1"/>
  <c r="G271" i="4" a="1"/>
  <c r="E270" i="4" a="1"/>
  <c r="D258" i="4" a="1"/>
  <c r="B270" i="4" a="1"/>
  <c r="H259" i="4" a="1"/>
  <c r="B259" i="4" a="1"/>
  <c r="E267" i="4" a="1"/>
  <c r="C269" i="4" a="1"/>
  <c r="B271" i="4" a="1"/>
  <c r="G258" i="4" a="1"/>
  <c r="G264" i="4" a="1"/>
  <c r="F257" i="4" a="1"/>
  <c r="H266" i="4" a="1"/>
  <c r="G265" i="4" a="1"/>
  <c r="E264" i="4" a="1"/>
  <c r="D275" i="4" a="1"/>
  <c r="B272" i="4" a="1"/>
  <c r="B274" i="4" a="1"/>
  <c r="H276" i="4" a="1"/>
  <c r="H270" i="4" a="1"/>
  <c r="G260" i="4" a="1"/>
  <c r="E274" i="4" a="1"/>
  <c r="D272" i="4" a="1"/>
  <c r="B266" i="4" a="1"/>
  <c r="F275" i="4" a="1"/>
  <c r="H272" i="4" a="1"/>
  <c r="G267" i="4" a="1"/>
  <c r="E268" i="4" a="1"/>
  <c r="D277" i="4" a="1"/>
  <c r="E272" i="4" a="1"/>
  <c r="H264" i="4" a="1"/>
  <c r="G275" i="4" a="1"/>
  <c r="E260" i="4" a="1"/>
  <c r="D266" i="4" a="1"/>
  <c r="B267" i="4" a="1"/>
  <c r="H269" i="4" a="1"/>
  <c r="C260" i="4" a="1"/>
  <c r="D274" i="4" a="1"/>
  <c r="H267" i="4" a="1"/>
  <c r="F265" i="4" a="1"/>
  <c r="E263" i="4" a="1"/>
  <c r="C267" i="4" a="1"/>
  <c r="B269" i="4" a="1"/>
  <c r="F270" i="4" a="1"/>
  <c r="F259" i="4" a="1"/>
  <c r="B257" i="4" a="1"/>
  <c r="C276" i="4" a="1"/>
  <c r="E265" i="4" a="1"/>
  <c r="H263" i="4" a="1"/>
  <c r="B275" i="4" a="1"/>
  <c r="H265" i="4" a="1"/>
  <c r="F274" i="4" a="1"/>
  <c r="E275" i="4" a="1"/>
  <c r="C268" i="4" a="1"/>
  <c r="F266" i="4" a="1"/>
  <c r="E269" i="4" a="1"/>
  <c r="B265" i="4" a="1"/>
  <c r="C263" i="4" a="1"/>
  <c r="E257" i="4" a="1"/>
  <c r="C265" i="4" a="1"/>
  <c r="B263" i="4" a="1"/>
  <c r="G270" i="4" a="1"/>
  <c r="C257" i="4" a="1"/>
  <c r="D261" i="4" a="1"/>
  <c r="F267" i="4" a="1"/>
  <c r="D259" i="4" a="1"/>
  <c r="H273" i="4" a="1"/>
  <c r="F271" i="4" a="1"/>
  <c r="E271" i="4" a="1"/>
  <c r="C271" i="4" a="1"/>
  <c r="B277" i="4" a="1"/>
  <c r="H277" i="4" a="1"/>
  <c r="F258" i="4" a="1"/>
  <c r="D260" i="4" a="1"/>
  <c r="C275" i="4" a="1"/>
  <c r="F272" i="4" a="1"/>
  <c r="F263" i="4" a="1"/>
  <c r="H275" i="4" a="1"/>
  <c r="F277" i="4" a="1"/>
  <c r="E277" i="4" a="1"/>
  <c r="C273" i="4" a="1"/>
  <c r="C264" i="4" a="1"/>
  <c r="D257" i="4" a="1"/>
  <c r="H268" i="9" a="1"/>
  <c r="H267" i="9" a="1"/>
  <c r="H277" i="9" a="1"/>
  <c r="H273" i="9" a="1"/>
  <c r="H264" i="9" a="1"/>
  <c r="H275" i="9" a="1"/>
  <c r="H262" i="9" a="1"/>
  <c r="H261" i="9" a="1"/>
  <c r="H258" i="9" a="1"/>
  <c r="H265" i="9" a="1"/>
  <c r="H272" i="9" a="1"/>
  <c r="H271" i="9" a="1"/>
  <c r="H260" i="9" a="1"/>
  <c r="H266" i="9" a="1"/>
  <c r="H263" i="9" a="1"/>
  <c r="H274" i="9" a="1"/>
  <c r="H269" i="9" a="1"/>
  <c r="H276" i="9" a="1"/>
  <c r="H259" i="9" a="1"/>
  <c r="H270" i="9" a="1"/>
  <c r="H257" i="9" a="1"/>
  <c r="G272" i="9" a="1"/>
  <c r="G260" i="9" a="1"/>
  <c r="G266" i="9" a="1"/>
  <c r="G276" i="9" a="1"/>
  <c r="G270" i="9" a="1"/>
  <c r="G257" i="9" a="1"/>
  <c r="G259" i="9" a="1"/>
  <c r="G269" i="9" a="1"/>
  <c r="G263" i="9" a="1"/>
  <c r="G264" i="9" a="1"/>
  <c r="G271" i="9" a="1"/>
  <c r="G265" i="9" a="1"/>
  <c r="G273" i="9" a="1"/>
  <c r="G274" i="9" a="1"/>
  <c r="G277" i="9" a="1"/>
  <c r="G258" i="9" a="1"/>
  <c r="G261" i="9" a="1"/>
  <c r="G268" i="9" a="1"/>
  <c r="G267" i="9" a="1"/>
  <c r="G275" i="9" a="1"/>
  <c r="G262" i="9" a="1"/>
  <c r="F260" i="9" a="1"/>
  <c r="F264" i="9" a="1"/>
  <c r="F257" i="9" a="1"/>
  <c r="F275" i="9" a="1"/>
  <c r="F277" i="9" a="1"/>
  <c r="F263" i="9" a="1"/>
  <c r="F271" i="9" a="1"/>
  <c r="F270" i="9" a="1"/>
  <c r="F272" i="9" a="1"/>
  <c r="F265" i="9" a="1"/>
  <c r="F267" i="9" a="1"/>
  <c r="F269" i="9" a="1"/>
  <c r="F262" i="9" a="1"/>
  <c r="F266" i="9" a="1"/>
  <c r="F274" i="9" a="1"/>
  <c r="F259" i="9" a="1"/>
  <c r="F261" i="9" a="1"/>
  <c r="F258" i="9" a="1"/>
  <c r="F273" i="9" a="1"/>
  <c r="F268" i="9" a="1"/>
  <c r="F276" i="9" a="1"/>
  <c r="E263" i="9" a="1"/>
  <c r="E274" i="9" a="1"/>
  <c r="E277" i="9" a="1"/>
  <c r="E260" i="9" a="1"/>
  <c r="E262" i="9" a="1"/>
  <c r="E264" i="9" a="1"/>
  <c r="E266" i="9" a="1"/>
  <c r="E275" i="9" a="1"/>
  <c r="E258" i="9" a="1"/>
  <c r="E273" i="9" a="1"/>
  <c r="E276" i="9" a="1"/>
  <c r="E259" i="9" a="1"/>
  <c r="E271" i="9" a="1"/>
  <c r="E272" i="9" a="1"/>
  <c r="E267" i="9" a="1"/>
  <c r="E268" i="9" a="1"/>
  <c r="E270" i="9" a="1"/>
  <c r="E257" i="9" a="1"/>
  <c r="E261" i="9" a="1"/>
  <c r="E265" i="9" a="1"/>
  <c r="E269" i="9" a="1"/>
  <c r="D261" i="9" a="1"/>
  <c r="D259" i="9" a="1"/>
  <c r="D262" i="9" a="1"/>
  <c r="D271" i="9" a="1"/>
  <c r="D273" i="9" a="1"/>
  <c r="D277" i="9" a="1"/>
  <c r="D274" i="9" a="1"/>
  <c r="D272" i="9" a="1"/>
  <c r="D266" i="9" a="1"/>
  <c r="D270" i="9" a="1"/>
  <c r="D269" i="9" a="1"/>
  <c r="D267" i="9" a="1"/>
  <c r="D265" i="9" a="1"/>
  <c r="D264" i="9" a="1"/>
  <c r="D268" i="9" a="1"/>
  <c r="D276" i="9" a="1"/>
  <c r="D258" i="9" a="1"/>
  <c r="D257" i="9" a="1"/>
  <c r="D263" i="9" a="1"/>
  <c r="D275" i="9" a="1"/>
  <c r="D260" i="9" a="1"/>
  <c r="C259" i="9" a="1"/>
  <c r="C266" i="9" a="1"/>
  <c r="C263" i="9" a="1"/>
  <c r="C267" i="9" a="1"/>
  <c r="C264" i="9" a="1"/>
  <c r="C257" i="9" a="1"/>
  <c r="C274" i="9" a="1"/>
  <c r="C275" i="9" a="1"/>
  <c r="C258" i="9" a="1"/>
  <c r="C265" i="9" a="1"/>
  <c r="C260" i="9" a="1"/>
  <c r="C277" i="9" a="1"/>
  <c r="C261" i="9" a="1"/>
  <c r="C270" i="9" a="1"/>
  <c r="C272" i="9" a="1"/>
  <c r="C268" i="9" a="1"/>
  <c r="C262" i="9" a="1"/>
  <c r="C271" i="9" a="1"/>
  <c r="C269" i="9" a="1"/>
  <c r="C273" i="9" a="1"/>
  <c r="C276" i="9" a="1"/>
  <c r="B267" i="9" a="1"/>
  <c r="B259" i="9" a="1"/>
  <c r="B261" i="9" a="1"/>
  <c r="B274" i="9" a="1"/>
  <c r="B265" i="9" a="1"/>
  <c r="B268" i="9" a="1"/>
  <c r="B260" i="9" a="1"/>
  <c r="B264" i="9" a="1"/>
  <c r="B271" i="9" a="1"/>
  <c r="B273" i="9" a="1"/>
  <c r="B275" i="9" a="1"/>
  <c r="B276" i="9" a="1"/>
  <c r="B263" i="9" a="1"/>
  <c r="B277" i="9" a="1"/>
  <c r="B257" i="9" a="1"/>
  <c r="B272" i="9" a="1"/>
  <c r="B269" i="9" a="1"/>
  <c r="B266" i="9" a="1"/>
  <c r="B262" i="9" a="1"/>
  <c r="B258" i="9" a="1"/>
  <c r="B270" i="9" a="1"/>
  <c r="B260" i="7" a="1"/>
  <c r="B270" i="7" a="1"/>
  <c r="B271" i="7" a="1"/>
  <c r="B273" i="7" a="1"/>
  <c r="B266" i="7" a="1"/>
  <c r="B268" i="7" a="1"/>
  <c r="B272" i="7" a="1"/>
  <c r="B276" i="7" a="1"/>
  <c r="B265" i="7" a="1"/>
  <c r="B261" i="7" a="1"/>
  <c r="B262" i="7" a="1"/>
  <c r="B277" i="7" a="1"/>
  <c r="B259" i="7" a="1"/>
  <c r="B263" i="7" a="1"/>
  <c r="B275" i="7" a="1"/>
  <c r="B258" i="7" a="1"/>
  <c r="B274" i="7" a="1"/>
  <c r="B269" i="7" a="1"/>
  <c r="B264" i="7" a="1"/>
  <c r="B267" i="7" a="1"/>
  <c r="B257" i="7" a="1"/>
  <c r="H266" i="7" a="1"/>
  <c r="H270" i="7" a="1"/>
  <c r="H269" i="7" a="1"/>
  <c r="H268" i="7" a="1"/>
  <c r="H262" i="7" a="1"/>
  <c r="H273" i="7" a="1"/>
  <c r="H259" i="7" a="1"/>
  <c r="H275" i="7" a="1"/>
  <c r="H267" i="7" a="1"/>
  <c r="H276" i="7" a="1"/>
  <c r="H264" i="7" a="1"/>
  <c r="H272" i="7" a="1"/>
  <c r="H263" i="7" a="1"/>
  <c r="H258" i="7" a="1"/>
  <c r="H271" i="7" a="1"/>
  <c r="H257" i="7" a="1"/>
  <c r="H260" i="7" a="1"/>
  <c r="H274" i="7" a="1"/>
  <c r="H265" i="7" a="1"/>
  <c r="H261" i="7" a="1"/>
  <c r="H277" i="7" a="1"/>
  <c r="G259" i="7" a="1"/>
  <c r="G274" i="7" a="1"/>
  <c r="G268" i="7" a="1"/>
  <c r="G261" i="7" a="1"/>
  <c r="G273" i="7" a="1"/>
  <c r="G267" i="7" a="1"/>
  <c r="G265" i="7" a="1"/>
  <c r="G263" i="7" a="1"/>
  <c r="G270" i="7" a="1"/>
  <c r="G260" i="7" a="1"/>
  <c r="G262" i="7" a="1"/>
  <c r="G266" i="7" a="1"/>
  <c r="G271" i="7" a="1"/>
  <c r="G258" i="7" a="1"/>
  <c r="G257" i="7" a="1"/>
  <c r="G272" i="7" a="1"/>
  <c r="G276" i="7" a="1"/>
  <c r="G269" i="7" a="1"/>
  <c r="G277" i="7" a="1"/>
  <c r="G275" i="7" a="1"/>
  <c r="G264" i="7" a="1"/>
  <c r="F268" i="7" a="1"/>
  <c r="F260" i="7" a="1"/>
  <c r="F267" i="7" a="1"/>
  <c r="F272" i="7" a="1"/>
  <c r="F258" i="7" a="1"/>
  <c r="F271" i="7" a="1"/>
  <c r="F270" i="7" a="1"/>
  <c r="F277" i="7" a="1"/>
  <c r="F257" i="7" a="1"/>
  <c r="F265" i="7" a="1"/>
  <c r="F259" i="7" a="1"/>
  <c r="F276" i="7" a="1"/>
  <c r="F263" i="7" a="1"/>
  <c r="F273" i="7" a="1"/>
  <c r="F262" i="7" a="1"/>
  <c r="F264" i="7" a="1"/>
  <c r="F269" i="7" a="1"/>
  <c r="F275" i="7" a="1"/>
  <c r="F261" i="7" a="1"/>
  <c r="F266" i="7" a="1"/>
  <c r="F274" i="7" a="1"/>
  <c r="E276" i="7" a="1"/>
  <c r="E259" i="7" a="1"/>
  <c r="E269" i="7" a="1"/>
  <c r="E277" i="7" a="1"/>
  <c r="E266" i="7" a="1"/>
  <c r="E258" i="7" a="1"/>
  <c r="E268" i="7" a="1"/>
  <c r="E272" i="7" a="1"/>
  <c r="E261" i="7" a="1"/>
  <c r="E264" i="7" a="1"/>
  <c r="E262" i="7" a="1"/>
  <c r="E270" i="7" a="1"/>
  <c r="E263" i="7" a="1"/>
  <c r="E274" i="7" a="1"/>
  <c r="E267" i="7" a="1"/>
  <c r="E271" i="7" a="1"/>
  <c r="E273" i="7" a="1"/>
  <c r="E260" i="7" a="1"/>
  <c r="E257" i="7" a="1"/>
  <c r="E265" i="7" a="1"/>
  <c r="E275" i="7" a="1"/>
  <c r="D257" i="7" a="1"/>
  <c r="D273" i="7" a="1"/>
  <c r="D266" i="7" a="1"/>
  <c r="D268" i="7" a="1"/>
  <c r="D260" i="7" a="1"/>
  <c r="D276" i="7" a="1"/>
  <c r="D265" i="7" a="1"/>
  <c r="D274" i="7" a="1"/>
  <c r="D262" i="7" a="1"/>
  <c r="D267" i="7" a="1"/>
  <c r="D271" i="7" a="1"/>
  <c r="D263" i="7" a="1"/>
  <c r="D259" i="7" a="1"/>
  <c r="D275" i="7" a="1"/>
  <c r="D269" i="7" a="1"/>
  <c r="D270" i="7" a="1"/>
  <c r="D272" i="7" a="1"/>
  <c r="D264" i="7" a="1"/>
  <c r="D261" i="7" a="1"/>
  <c r="D277" i="7" a="1"/>
  <c r="D258" i="7" a="1"/>
  <c r="C272" i="7" a="1"/>
  <c r="C277" i="7" a="1"/>
  <c r="C269" i="7" a="1"/>
  <c r="C268" i="7" a="1"/>
  <c r="C267" i="7" a="1"/>
  <c r="C259" i="7" a="1"/>
  <c r="C271" i="7" a="1"/>
  <c r="C262" i="7" a="1"/>
  <c r="C261" i="7" a="1"/>
  <c r="C274" i="7" a="1"/>
  <c r="C257" i="7" a="1"/>
  <c r="C273" i="7" a="1"/>
  <c r="C263" i="7" a="1"/>
  <c r="C264" i="7" a="1"/>
  <c r="C276" i="7" a="1"/>
  <c r="C266" i="7" a="1"/>
  <c r="C275" i="7" a="1"/>
  <c r="C258" i="7" a="1"/>
  <c r="C265" i="7" a="1"/>
  <c r="C260" i="7" a="1"/>
  <c r="C270" i="7" a="1"/>
  <c r="G261" i="7" l="1"/>
  <c r="G268" i="7"/>
  <c r="G274" i="7"/>
  <c r="G259" i="7"/>
  <c r="G264" i="7"/>
  <c r="G275" i="7"/>
  <c r="G277" i="7"/>
  <c r="G269" i="7"/>
  <c r="G276" i="7"/>
  <c r="G272" i="7"/>
  <c r="G257" i="7"/>
  <c r="G258" i="7"/>
  <c r="G271" i="7"/>
  <c r="G266" i="7"/>
  <c r="G262" i="7"/>
  <c r="G265" i="7"/>
  <c r="G263" i="7"/>
  <c r="G260" i="7"/>
  <c r="G267" i="7"/>
  <c r="G270" i="7"/>
  <c r="G273" i="7"/>
  <c r="C275" i="9"/>
  <c r="C269" i="9"/>
  <c r="C274" i="9"/>
  <c r="C260" i="9"/>
  <c r="C271" i="9"/>
  <c r="C276" i="9"/>
  <c r="C262" i="9"/>
  <c r="C265" i="9"/>
  <c r="C257" i="9"/>
  <c r="C258" i="9"/>
  <c r="C268" i="9"/>
  <c r="C272" i="9"/>
  <c r="C264" i="9"/>
  <c r="C270" i="9"/>
  <c r="C261" i="9"/>
  <c r="C273" i="9"/>
  <c r="C277" i="9"/>
  <c r="C267" i="9"/>
  <c r="C263" i="9"/>
  <c r="C266" i="9"/>
  <c r="C259" i="9"/>
  <c r="D270" i="9"/>
  <c r="D258" i="9"/>
  <c r="D260" i="9"/>
  <c r="D266" i="9"/>
  <c r="D276" i="9"/>
  <c r="D268" i="9"/>
  <c r="D272" i="9"/>
  <c r="D274" i="9"/>
  <c r="D264" i="9"/>
  <c r="D277" i="9"/>
  <c r="D265" i="9"/>
  <c r="D273" i="9"/>
  <c r="D271" i="9"/>
  <c r="D267" i="9"/>
  <c r="D275" i="9"/>
  <c r="D262" i="9"/>
  <c r="D263" i="9"/>
  <c r="D257" i="9"/>
  <c r="D259" i="9"/>
  <c r="D269" i="9"/>
  <c r="D261" i="9"/>
  <c r="F276" i="9"/>
  <c r="F268" i="9"/>
  <c r="F273" i="9"/>
  <c r="F258" i="9"/>
  <c r="F261" i="9"/>
  <c r="F259" i="9"/>
  <c r="F274" i="9"/>
  <c r="F266" i="9"/>
  <c r="F264" i="9"/>
  <c r="F262" i="9"/>
  <c r="F269" i="9"/>
  <c r="F267" i="9"/>
  <c r="F265" i="9"/>
  <c r="F272" i="9"/>
  <c r="F270" i="9"/>
  <c r="F271" i="9"/>
  <c r="F263" i="9"/>
  <c r="F277" i="9"/>
  <c r="F275" i="9"/>
  <c r="F260" i="9"/>
  <c r="F257" i="9"/>
  <c r="E271" i="9"/>
  <c r="E269" i="9"/>
  <c r="E259" i="9"/>
  <c r="E276" i="9"/>
  <c r="E273" i="9"/>
  <c r="E258" i="9"/>
  <c r="E275" i="9"/>
  <c r="E266" i="9"/>
  <c r="E264" i="9"/>
  <c r="E262" i="9"/>
  <c r="E260" i="9"/>
  <c r="E277" i="9"/>
  <c r="E274" i="9"/>
  <c r="E263" i="9"/>
  <c r="E265" i="9"/>
  <c r="E261" i="9"/>
  <c r="E257" i="9"/>
  <c r="E270" i="9"/>
  <c r="E268" i="9"/>
  <c r="E267" i="9"/>
  <c r="E272" i="9"/>
  <c r="B269" i="9"/>
  <c r="B272" i="9"/>
  <c r="B257" i="9"/>
  <c r="B277" i="9"/>
  <c r="B273" i="9"/>
  <c r="B271" i="9"/>
  <c r="B264" i="9"/>
  <c r="B260" i="9"/>
  <c r="B268" i="9"/>
  <c r="B265" i="9"/>
  <c r="B274" i="9"/>
  <c r="B261" i="9"/>
  <c r="B259" i="9"/>
  <c r="B275" i="9"/>
  <c r="B267" i="9"/>
  <c r="B258" i="9"/>
  <c r="B262" i="9"/>
  <c r="B263" i="9"/>
  <c r="B276" i="9"/>
  <c r="B266" i="9"/>
  <c r="B270" i="9"/>
  <c r="H277" i="9"/>
  <c r="H275" i="9"/>
  <c r="H273" i="9"/>
  <c r="H271" i="9"/>
  <c r="H269" i="9"/>
  <c r="H267" i="9"/>
  <c r="H265" i="9"/>
  <c r="H263" i="9"/>
  <c r="H261" i="9"/>
  <c r="H259" i="9"/>
  <c r="H257" i="9"/>
  <c r="H274" i="9"/>
  <c r="H262" i="9"/>
  <c r="H272" i="9"/>
  <c r="H264" i="9"/>
  <c r="H258" i="9"/>
  <c r="H276" i="9"/>
  <c r="H270" i="9"/>
  <c r="H268" i="9"/>
  <c r="H266" i="9"/>
  <c r="H260" i="9"/>
  <c r="G277" i="9"/>
  <c r="G275" i="9"/>
  <c r="G273" i="9"/>
  <c r="G271" i="9"/>
  <c r="G269" i="9"/>
  <c r="G267" i="9"/>
  <c r="G265" i="9"/>
  <c r="G263" i="9"/>
  <c r="G261" i="9"/>
  <c r="G259" i="9"/>
  <c r="G257" i="9"/>
  <c r="G276" i="9"/>
  <c r="G274" i="9"/>
  <c r="G272" i="9"/>
  <c r="G270" i="9"/>
  <c r="G268" i="9"/>
  <c r="G266" i="9"/>
  <c r="G264" i="9"/>
  <c r="G262" i="9"/>
  <c r="G260" i="9"/>
  <c r="G258" i="9"/>
  <c r="D16" i="9"/>
  <c r="D17" i="9"/>
  <c r="E17" i="9" s="1"/>
  <c r="H277" i="4"/>
  <c r="H275" i="4"/>
  <c r="H273" i="4"/>
  <c r="H271" i="4"/>
  <c r="H269" i="4"/>
  <c r="H267" i="4"/>
  <c r="H265" i="4"/>
  <c r="H263" i="4"/>
  <c r="H261" i="4"/>
  <c r="H259" i="4"/>
  <c r="H257" i="4"/>
  <c r="H274" i="4"/>
  <c r="H270" i="4"/>
  <c r="H268" i="4"/>
  <c r="H264" i="4"/>
  <c r="H262" i="4"/>
  <c r="H258" i="4"/>
  <c r="H276" i="4"/>
  <c r="H272" i="4"/>
  <c r="H266" i="4"/>
  <c r="H260" i="4"/>
  <c r="G262" i="4"/>
  <c r="G260" i="4"/>
  <c r="G277" i="4"/>
  <c r="G275" i="4"/>
  <c r="G273" i="4"/>
  <c r="G271" i="4"/>
  <c r="G269" i="4"/>
  <c r="G267" i="4"/>
  <c r="G265" i="4"/>
  <c r="G263" i="4"/>
  <c r="G261" i="4"/>
  <c r="G259" i="4"/>
  <c r="G257" i="4"/>
  <c r="G276" i="4"/>
  <c r="G274" i="4"/>
  <c r="G272" i="4"/>
  <c r="G270" i="4"/>
  <c r="G268" i="4"/>
  <c r="G266" i="4"/>
  <c r="G264" i="4"/>
  <c r="G258" i="4"/>
  <c r="F273" i="4"/>
  <c r="F276" i="4"/>
  <c r="F264" i="4"/>
  <c r="F275" i="4"/>
  <c r="F269" i="4"/>
  <c r="F263" i="4"/>
  <c r="F257" i="4"/>
  <c r="F272" i="4"/>
  <c r="F268" i="4"/>
  <c r="F262" i="4"/>
  <c r="F258" i="4"/>
  <c r="F277" i="4"/>
  <c r="F271" i="4"/>
  <c r="F267" i="4"/>
  <c r="F265" i="4"/>
  <c r="F261" i="4"/>
  <c r="F259" i="4"/>
  <c r="F270" i="4"/>
  <c r="F274" i="4"/>
  <c r="F266" i="4"/>
  <c r="F260" i="4"/>
  <c r="E277" i="4"/>
  <c r="E271" i="4"/>
  <c r="E267" i="4"/>
  <c r="E263" i="4"/>
  <c r="E257" i="4"/>
  <c r="E275" i="4"/>
  <c r="E273" i="4"/>
  <c r="E269" i="4"/>
  <c r="E265" i="4"/>
  <c r="E259" i="4"/>
  <c r="E276" i="4"/>
  <c r="E274" i="4"/>
  <c r="E266" i="4"/>
  <c r="E260" i="4"/>
  <c r="E261" i="4"/>
  <c r="E270" i="4"/>
  <c r="E272" i="4"/>
  <c r="E268" i="4"/>
  <c r="E264" i="4"/>
  <c r="E262" i="4"/>
  <c r="E258" i="4"/>
  <c r="D272" i="4"/>
  <c r="D268" i="4"/>
  <c r="D266" i="4"/>
  <c r="D262" i="4"/>
  <c r="D258" i="4"/>
  <c r="D263" i="4"/>
  <c r="D277" i="4"/>
  <c r="D275" i="4"/>
  <c r="D273" i="4"/>
  <c r="D271" i="4"/>
  <c r="D269" i="4"/>
  <c r="D267" i="4"/>
  <c r="D265" i="4"/>
  <c r="D261" i="4"/>
  <c r="D259" i="4"/>
  <c r="D257" i="4"/>
  <c r="D274" i="4"/>
  <c r="D276" i="4"/>
  <c r="D270" i="4"/>
  <c r="D264" i="4"/>
  <c r="D260" i="4"/>
  <c r="C272" i="4"/>
  <c r="C266" i="4"/>
  <c r="C262" i="4"/>
  <c r="C276" i="4"/>
  <c r="C268" i="4"/>
  <c r="C264" i="4"/>
  <c r="C260" i="4"/>
  <c r="C270" i="4"/>
  <c r="C277" i="4"/>
  <c r="C275" i="4"/>
  <c r="C273" i="4"/>
  <c r="C271" i="4"/>
  <c r="C269" i="4"/>
  <c r="C267" i="4"/>
  <c r="C265" i="4"/>
  <c r="C263" i="4"/>
  <c r="C261" i="4"/>
  <c r="C259" i="4"/>
  <c r="C257" i="4"/>
  <c r="C274" i="4"/>
  <c r="C258" i="4"/>
  <c r="B277" i="4"/>
  <c r="B271" i="4"/>
  <c r="B269" i="4"/>
  <c r="B263" i="4"/>
  <c r="B257" i="4"/>
  <c r="B275" i="4"/>
  <c r="B265" i="4"/>
  <c r="B259" i="4"/>
  <c r="B261" i="4"/>
  <c r="B276" i="4"/>
  <c r="B266" i="4"/>
  <c r="B262" i="4"/>
  <c r="B267" i="4"/>
  <c r="B273" i="4"/>
  <c r="B270" i="4"/>
  <c r="B264" i="4"/>
  <c r="B274" i="4"/>
  <c r="B272" i="4"/>
  <c r="B260" i="4"/>
  <c r="B268" i="4"/>
  <c r="B258" i="4"/>
  <c r="D17" i="4"/>
  <c r="E17" i="4" s="1"/>
  <c r="D16" i="4"/>
  <c r="E16" i="4" s="1"/>
  <c r="H270" i="7"/>
  <c r="H266" i="7"/>
  <c r="H277" i="7"/>
  <c r="H265" i="7"/>
  <c r="H275" i="7"/>
  <c r="H267" i="7"/>
  <c r="H263" i="7"/>
  <c r="H262" i="7"/>
  <c r="H258" i="7"/>
  <c r="H269" i="7"/>
  <c r="H260" i="7"/>
  <c r="H274" i="7"/>
  <c r="H259" i="7"/>
  <c r="H273" i="7"/>
  <c r="H261" i="7"/>
  <c r="H271" i="7"/>
  <c r="H276" i="7"/>
  <c r="H272" i="7"/>
  <c r="H257" i="7"/>
  <c r="H268" i="7"/>
  <c r="H264" i="7"/>
  <c r="F275" i="7"/>
  <c r="F271" i="7"/>
  <c r="F258" i="7"/>
  <c r="F265" i="7"/>
  <c r="F264" i="7"/>
  <c r="F260" i="7"/>
  <c r="F266" i="7"/>
  <c r="F273" i="7"/>
  <c r="F267" i="7"/>
  <c r="F263" i="7"/>
  <c r="F274" i="7"/>
  <c r="F259" i="7"/>
  <c r="F270" i="7"/>
  <c r="F262" i="7"/>
  <c r="F277" i="7"/>
  <c r="F269" i="7"/>
  <c r="F261" i="7"/>
  <c r="F276" i="7"/>
  <c r="F272" i="7"/>
  <c r="F257" i="7"/>
  <c r="F268" i="7"/>
  <c r="E275" i="7"/>
  <c r="E258" i="7"/>
  <c r="E271" i="7"/>
  <c r="E270" i="7"/>
  <c r="E273" i="7"/>
  <c r="E269" i="7"/>
  <c r="E265" i="7"/>
  <c r="E267" i="7"/>
  <c r="E263" i="7"/>
  <c r="E274" i="7"/>
  <c r="E259" i="7"/>
  <c r="E266" i="7"/>
  <c r="E262" i="7"/>
  <c r="E277" i="7"/>
  <c r="E264" i="7"/>
  <c r="E261" i="7"/>
  <c r="E276" i="7"/>
  <c r="E272" i="7"/>
  <c r="E257" i="7"/>
  <c r="E268" i="7"/>
  <c r="E260" i="7"/>
  <c r="D260" i="7"/>
  <c r="D263" i="7"/>
  <c r="D274" i="7"/>
  <c r="D273" i="7"/>
  <c r="D257" i="7"/>
  <c r="D275" i="7"/>
  <c r="D271" i="7"/>
  <c r="D267" i="7"/>
  <c r="D259" i="7"/>
  <c r="D262" i="7"/>
  <c r="D270" i="7"/>
  <c r="D266" i="7"/>
  <c r="D277" i="7"/>
  <c r="D258" i="7"/>
  <c r="D264" i="7"/>
  <c r="D269" i="7"/>
  <c r="D265" i="7"/>
  <c r="D261" i="7"/>
  <c r="D276" i="7"/>
  <c r="D272" i="7"/>
  <c r="D268" i="7"/>
  <c r="C263" i="7"/>
  <c r="C266" i="7"/>
  <c r="C276" i="7"/>
  <c r="C264" i="7"/>
  <c r="C260" i="7"/>
  <c r="C275" i="7"/>
  <c r="C267" i="7"/>
  <c r="C262" i="7"/>
  <c r="C273" i="7"/>
  <c r="C258" i="7"/>
  <c r="C268" i="7"/>
  <c r="C271" i="7"/>
  <c r="C274" i="7"/>
  <c r="C259" i="7"/>
  <c r="C270" i="7"/>
  <c r="C277" i="7"/>
  <c r="C272" i="7"/>
  <c r="C269" i="7"/>
  <c r="C265" i="7"/>
  <c r="C261" i="7"/>
  <c r="C257" i="7"/>
  <c r="B257" i="7"/>
  <c r="B268" i="7"/>
  <c r="B264" i="7"/>
  <c r="B271" i="7"/>
  <c r="B263" i="7"/>
  <c r="B274" i="7"/>
  <c r="B270" i="7"/>
  <c r="B277" i="7"/>
  <c r="B273" i="7"/>
  <c r="B258" i="7"/>
  <c r="B276" i="7"/>
  <c r="B272" i="7"/>
  <c r="B275" i="7"/>
  <c r="B260" i="7"/>
  <c r="B267" i="7"/>
  <c r="B259" i="7"/>
  <c r="B266" i="7"/>
  <c r="B262" i="7"/>
  <c r="B269" i="7"/>
  <c r="B265" i="7"/>
  <c r="B261" i="7"/>
  <c r="E19" i="9" a="1"/>
  <c r="Q29" i="7" a="1"/>
  <c r="Q27" i="7" a="1"/>
  <c r="Q24" i="7" a="1"/>
  <c r="Q30" i="7" a="1"/>
  <c r="Q33" i="7" a="1"/>
  <c r="Q32" i="7" a="1"/>
  <c r="Q26" i="7" a="1"/>
  <c r="Q23" i="7" a="1"/>
  <c r="Q25" i="7" a="1"/>
  <c r="Q28" i="7" a="1"/>
  <c r="Q34" i="7" a="1"/>
  <c r="Q31" i="7" a="1"/>
  <c r="Q35" i="7" a="1"/>
  <c r="E19" i="9" l="1"/>
  <c r="E16" i="9"/>
  <c r="Q35" i="7"/>
  <c r="Q31" i="7"/>
  <c r="Q34" i="7"/>
  <c r="Q28" i="7"/>
  <c r="Q25" i="7"/>
  <c r="Q23" i="7"/>
  <c r="Q26" i="7"/>
  <c r="Q32" i="7"/>
  <c r="Q33" i="7"/>
  <c r="Q30" i="7"/>
  <c r="Q24" i="7"/>
  <c r="Q27" i="7"/>
  <c r="Q29" i="7"/>
  <c r="Q30" i="9" a="1"/>
  <c r="Q28" i="9" a="1"/>
  <c r="Q27" i="9" a="1"/>
  <c r="Q31" i="9" a="1"/>
  <c r="Q25" i="9" a="1"/>
  <c r="Q26" i="9" a="1"/>
  <c r="Q32" i="9" a="1"/>
  <c r="Q29" i="9" a="1"/>
  <c r="Q24" i="9" a="1"/>
  <c r="Q23" i="9" a="1"/>
  <c r="Q35" i="4" a="1"/>
  <c r="Q31" i="4" a="1"/>
  <c r="Q32" i="4" a="1"/>
  <c r="Q29" i="4" a="1"/>
  <c r="Q26" i="4" a="1"/>
  <c r="Q25" i="4" a="1"/>
  <c r="Q28" i="4" a="1"/>
  <c r="Q27" i="4" a="1"/>
  <c r="Q34" i="4" a="1"/>
  <c r="Q23" i="4" a="1"/>
  <c r="Q24" i="4" a="1"/>
  <c r="Q33" i="4" a="1"/>
  <c r="Q30" i="4" a="1"/>
  <c r="Q23" i="9" l="1"/>
  <c r="Q24" i="9"/>
  <c r="Q29" i="9"/>
  <c r="Q32" i="9"/>
  <c r="Q26" i="9"/>
  <c r="Q25" i="9"/>
  <c r="Q31" i="9"/>
  <c r="Q27" i="9"/>
  <c r="Q28" i="9"/>
  <c r="Q30" i="9"/>
  <c r="Q30" i="4"/>
  <c r="Q33" i="4"/>
  <c r="Q24" i="4"/>
  <c r="Q23" i="4"/>
  <c r="Q34" i="4"/>
  <c r="Q27" i="4"/>
  <c r="Q28" i="4"/>
  <c r="Q25" i="4"/>
  <c r="Q26" i="4"/>
  <c r="Q29" i="4"/>
  <c r="Q32" i="4"/>
  <c r="Q31" i="4"/>
  <c r="Q3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tc={95E642CE-17C8-4C9C-B2FA-6977CC844EF8}</author>
  </authors>
  <commentList>
    <comment ref="B5" authorId="0" shapeId="0" xr:uid="{95E642CE-17C8-4C9C-B2FA-6977CC844EF8}">
      <text>
        <t>[Threaded comment]
Your version of Excel allows you to read this threaded comment; however, any edits to it will get removed if the file is opened in a newer version of Excel. Learn more: https://go.microsoft.com/fwlink/?linkid=870924
Comment:
    Ballistic coefficient is uncertain
Remington data for this cartridge lists the weight as 75gr, BC of 0.33
A 100gr bullet has a BC of 0.356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<sst xmlns="http://schemas.openxmlformats.org/spreadsheetml/2006/main" count="530" uniqueCount="99">
  <si>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</si>
  <si>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</si>
  <si>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</si>
  <si>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</si>
  <si>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</si>
  <si>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</si>
  <si>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</si>
  <si>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</si>
  <si>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</si>
  <si>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</si>
  <si>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</si>
  <si>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</si>
  <si>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</si>
  <si>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</si>
  <si>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</si>
  <si>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</si>
  <si>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</si>
  <si>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</si>
  <si>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</si>
  <si>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</si>
  <si>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</si>
  <si>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</si>
  <si>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</si>
  <si>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</si>
  <si>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</si>
  <si>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</si>
  <si>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</si>
  <si>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</si>
  <si>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Soft Point</t>
  </si>
  <si>
    <t>Estimated Error</t>
  </si>
  <si>
    <t>(cm)</t>
  </si>
  <si>
    <t>400m zero</t>
  </si>
  <si>
    <t>500m zero</t>
  </si>
  <si>
    <t>50m zero(G1 BC)</t>
  </si>
  <si>
    <t>Wind Drift</t>
  </si>
  <si>
    <t>Wind Drift (MOA)</t>
  </si>
  <si>
    <t>Wind Drift (MILS)</t>
  </si>
  <si>
    <t>Hollow Point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</si>
  <si>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</si>
  <si>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</si>
  <si>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</si>
  <si>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</si>
  <si>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</si>
  <si>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</si>
  <si>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</si>
  <si>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</si>
  <si>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-</t>
  </si>
  <si>
    <t>Federal(100m Zero)</t>
  </si>
  <si>
    <t>Federal(150m Zero)</t>
  </si>
  <si>
    <t>Federal(300m Zero)</t>
  </si>
  <si>
    <t>Federal(400m Zero)</t>
  </si>
  <si>
    <t>Federal(500m Zero)</t>
  </si>
  <si>
    <t>Hornady 50m zero(G1 BC)</t>
  </si>
  <si>
    <t>Hornady 100m zero</t>
  </si>
  <si>
    <t>Hornady(150m zero)</t>
  </si>
  <si>
    <t>Hornady(200m zero)</t>
  </si>
  <si>
    <t>Hornady(300m zero)</t>
  </si>
  <si>
    <t>Hornday(400m zero)</t>
  </si>
  <si>
    <t>Hornady(500m Zero)</t>
  </si>
  <si>
    <t>Hornady 150m zero</t>
  </si>
  <si>
    <t>Polymer-Tipped Hollow Point</t>
  </si>
  <si>
    <t>Federal (50m Zero)</t>
  </si>
  <si>
    <t>Federal(200m Zero</t>
  </si>
  <si>
    <t>243 Winchester</t>
  </si>
  <si>
    <t>Remington Premier AccuTip-V</t>
  </si>
  <si>
    <t>Federal Fusion Rifle</t>
  </si>
  <si>
    <t>Remington Core-Lokt Copper</t>
  </si>
  <si>
    <t>Measured Muzzle Energy(J), (flb)</t>
  </si>
  <si>
    <t>Computed Muzzle Velocity(m/s), (ft/s)</t>
  </si>
  <si>
    <t>Bullet Weight(gr),(gm)</t>
  </si>
  <si>
    <t>Caliber(in),(mm)</t>
  </si>
  <si>
    <t>Wind (m/s),(km/hr)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</si>
  <si>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</si>
  <si>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</si>
  <si>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</si>
  <si>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</si>
  <si>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</si>
  <si>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</si>
  <si>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</si>
  <si>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</si>
  <si>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</si>
  <si>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</si>
  <si>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</si>
  <si>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</si>
  <si>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</si>
  <si>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</si>
  <si>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</si>
  <si>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</si>
  <si>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</si>
  <si>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</si>
  <si>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</si>
  <si>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</si>
  <si>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</si>
  <si>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</si>
  <si>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Manufacturer's Data Sheet</t>
  </si>
  <si>
    <t>Bullet Weight(gr),(g)</t>
  </si>
  <si>
    <t>n/a</t>
  </si>
  <si>
    <t>Muzzle Energy(flb),(J)</t>
  </si>
  <si>
    <t>Muzzle Velocity(fps),(m/s)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</si>
</sst>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0E+00"/>
    <numFmt numFmtId="167" formatCode="#,##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Down">
        <bgColor theme="0" tint="-0.14996795556505021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7" borderId="5" xfId="0" applyNumberFormat="1" applyFill="1" applyBorder="1"/>
    <xf numFmtId="2" fontId="0" fillId="7" borderId="6" xfId="0" applyNumberFormat="1" applyFill="1" applyBorder="1"/>
    <xf numFmtId="49" fontId="0" fillId="0" borderId="0" xfId="0" applyNumberFormat="1" applyAlignment="1">
      <alignment horizontal="right"/>
    </xf>
    <xf numFmtId="165" fontId="0" fillId="0" borderId="0" xfId="0" applyNumberFormat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0" fillId="0" borderId="0" xfId="0" applyNumberFormat="1" applyAlignment="1">
      <alignment horizontal="center" wrapText="1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4" fontId="0" fillId="3" borderId="0" xfId="0" applyNumberFormat="1" applyFill="1"/>
    <xf numFmtId="167" fontId="0" fillId="0" borderId="0" xfId="0" applyNumberFormat="1"/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64" fontId="0" fillId="8" borderId="1" xfId="0" applyNumberFormat="1" applyFill="1" applyBorder="1"/>
    <xf numFmtId="164" fontId="0" fillId="8" borderId="2" xfId="0" applyNumberFormat="1" applyFill="1" applyBorder="1"/>
    <xf numFmtId="2" fontId="0" fillId="8" borderId="1" xfId="0" applyNumberFormat="1" applyFill="1" applyBorder="1"/>
    <xf numFmtId="2" fontId="0" fillId="8" borderId="2" xfId="0" applyNumberFormat="1" applyFill="1" applyBorder="1"/>
    <xf numFmtId="2" fontId="1" fillId="8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PHP'!$B$22:$B$35</c:f>
              <c:numCache>
                <c:formatCode>0.00</c:formatCode>
                <c:ptCount val="14"/>
                <c:pt idx="0">
                  <c:v>3086.3</c:v>
                </c:pt>
                <c:pt idx="1">
                  <c:v>2924.8</c:v>
                </c:pt>
                <c:pt idx="2">
                  <c:v>2758.4</c:v>
                </c:pt>
                <c:pt idx="3">
                  <c:v>2575.4</c:v>
                </c:pt>
                <c:pt idx="4">
                  <c:v>2435.5</c:v>
                </c:pt>
                <c:pt idx="5">
                  <c:v>2278.9</c:v>
                </c:pt>
                <c:pt idx="6">
                  <c:v>2135</c:v>
                </c:pt>
                <c:pt idx="7">
                  <c:v>1861.9</c:v>
                </c:pt>
                <c:pt idx="8">
                  <c:v>1616.1</c:v>
                </c:pt>
                <c:pt idx="9">
                  <c:v>1410.2</c:v>
                </c:pt>
                <c:pt idx="10">
                  <c:v>1214.5</c:v>
                </c:pt>
                <c:pt idx="11">
                  <c:v>1043.5999999999999</c:v>
                </c:pt>
                <c:pt idx="12">
                  <c:v>889.2</c:v>
                </c:pt>
                <c:pt idx="13">
                  <c:v>763.9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'Rem Premier AccuTip-V PHP'!$A$78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PHP'!$C$80:$C$100</c:f>
              <c:numCache>
                <c:formatCode>0.00</c:formatCode>
                <c:ptCount val="21"/>
                <c:pt idx="0">
                  <c:v>3086</c:v>
                </c:pt>
                <c:pt idx="1">
                  <c:v>2901</c:v>
                </c:pt>
                <c:pt idx="2">
                  <c:v>2727</c:v>
                </c:pt>
                <c:pt idx="3">
                  <c:v>2561</c:v>
                </c:pt>
                <c:pt idx="4">
                  <c:v>2405</c:v>
                </c:pt>
                <c:pt idx="5">
                  <c:v>2256</c:v>
                </c:pt>
                <c:pt idx="6">
                  <c:v>2115</c:v>
                </c:pt>
                <c:pt idx="7">
                  <c:v>1980</c:v>
                </c:pt>
                <c:pt idx="8">
                  <c:v>1853</c:v>
                </c:pt>
                <c:pt idx="9">
                  <c:v>1732</c:v>
                </c:pt>
                <c:pt idx="10">
                  <c:v>1618</c:v>
                </c:pt>
                <c:pt idx="11">
                  <c:v>1509</c:v>
                </c:pt>
                <c:pt idx="12">
                  <c:v>1406</c:v>
                </c:pt>
                <c:pt idx="13">
                  <c:v>1308</c:v>
                </c:pt>
                <c:pt idx="14">
                  <c:v>1216</c:v>
                </c:pt>
                <c:pt idx="15">
                  <c:v>1130</c:v>
                </c:pt>
                <c:pt idx="16">
                  <c:v>1048</c:v>
                </c:pt>
                <c:pt idx="17">
                  <c:v>971</c:v>
                </c:pt>
                <c:pt idx="18">
                  <c:v>900</c:v>
                </c:pt>
                <c:pt idx="19">
                  <c:v>833</c:v>
                </c:pt>
                <c:pt idx="20">
                  <c:v>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762107683510532E-2"/>
          <c:y val="9.1242312423124236E-2"/>
          <c:w val="0.79369939194398886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'Rem Premier AccuTip-V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-3.3750020503139937</c:v>
                </c:pt>
                <c:pt idx="2">
                  <c:v>0</c:v>
                </c:pt>
                <c:pt idx="3">
                  <c:v>4.0500003936600466</c:v>
                </c:pt>
                <c:pt idx="4">
                  <c:v>5.6250005932617935</c:v>
                </c:pt>
                <c:pt idx="5">
                  <c:v>7.0312507415772414</c:v>
                </c:pt>
                <c:pt idx="6">
                  <c:v>6.7500004556250364</c:v>
                </c:pt>
                <c:pt idx="7">
                  <c:v>0</c:v>
                </c:pt>
                <c:pt idx="8">
                  <c:v>-9.3375004342007788</c:v>
                </c:pt>
                <c:pt idx="9">
                  <c:v>-22.545004244114121</c:v>
                </c:pt>
                <c:pt idx="10">
                  <c:v>-40.950018685495237</c:v>
                </c:pt>
                <c:pt idx="11">
                  <c:v>-75.060088101855399</c:v>
                </c:pt>
                <c:pt idx="12">
                  <c:v>-113.90649327500701</c:v>
                </c:pt>
                <c:pt idx="13">
                  <c:v>-168.75064072557558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'Rem Premier AccuTip-V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-2.1250001279427178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-32.512512728802136</c:v>
                </c:pt>
                <c:pt idx="10">
                  <c:v>-55.781297228899298</c:v>
                </c:pt>
                <c:pt idx="11">
                  <c:v>-85.000127942939443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'Rem Premier AccuTip-V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-1.250000026041667</c:v>
                </c:pt>
                <c:pt idx="3">
                  <c:v>0.46800000060742664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-5.0000001041666682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'Rem Premier AccuTip-V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-36.400013123419015</c:v>
                </c:pt>
                <c:pt idx="11">
                  <c:v>-66.720061876730625</c:v>
                </c:pt>
                <c:pt idx="12">
                  <c:v>-104.94019022948933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'Rem Premier AccuTip-V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7.8000028121612175</c:v>
                </c:pt>
                <c:pt idx="4">
                  <c:v>12.500006510420736</c:v>
                </c:pt>
                <c:pt idx="5">
                  <c:v>13.000004686935362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-40.000013333338671</c:v>
                </c:pt>
                <c:pt idx="12">
                  <c:v>-72.000061440062922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'Rem Premier AccuTip-V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8.7500089323026096</c:v>
                </c:pt>
                <c:pt idx="3">
                  <c:v>15.000020000031999</c:v>
                </c:pt>
                <c:pt idx="4">
                  <c:v>22.500037968826884</c:v>
                </c:pt>
                <c:pt idx="5">
                  <c:v>25.500035373658886</c:v>
                </c:pt>
                <c:pt idx="6">
                  <c:v>30.000040000063997</c:v>
                </c:pt>
                <c:pt idx="7">
                  <c:v>33.360030938365313</c:v>
                </c:pt>
                <c:pt idx="8">
                  <c:v>37.000027014957006</c:v>
                </c:pt>
                <c:pt idx="9">
                  <c:v>30.000010000004</c:v>
                </c:pt>
                <c:pt idx="10">
                  <c:v>23.380003477572998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-62.500032552103676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'Rem Premier AccuTip-V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4.5000048600062978</c:v>
                </c:pt>
                <c:pt idx="2">
                  <c:v>15.000045000162002</c:v>
                </c:pt>
                <c:pt idx="3">
                  <c:v>24.990092481936625</c:v>
                </c:pt>
                <c:pt idx="4">
                  <c:v>34.000131013939146</c:v>
                </c:pt>
                <c:pt idx="5">
                  <c:v>42.500163767423935</c:v>
                </c:pt>
                <c:pt idx="6">
                  <c:v>49.980184963873249</c:v>
                </c:pt>
                <c:pt idx="7">
                  <c:v>60.000180000648008</c:v>
                </c:pt>
                <c:pt idx="8">
                  <c:v>66.700158262297563</c:v>
                </c:pt>
                <c:pt idx="9">
                  <c:v>67.500113906480649</c:v>
                </c:pt>
                <c:pt idx="10">
                  <c:v>63.000068040088173</c:v>
                </c:pt>
                <c:pt idx="11">
                  <c:v>53.280031510240612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11575902687069"/>
                  <c:y val="-0.77916872890888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PHP'!$C$23:$C$35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0.12</c:v>
                </c:pt>
                <c:pt idx="3">
                  <c:v>0.125</c:v>
                </c:pt>
                <c:pt idx="4">
                  <c:v>0.125</c:v>
                </c:pt>
                <c:pt idx="5">
                  <c:v>0.1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-0.26</c:v>
                </c:pt>
                <c:pt idx="10">
                  <c:v>-0.41699999999999998</c:v>
                </c:pt>
                <c:pt idx="11">
                  <c:v>-0.5625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'Rem Premier AccuTip-V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418478386860055"/>
                  <c:y val="-0.682221784776902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-0.255</c:v>
                </c:pt>
                <c:pt idx="9">
                  <c:v>-0.375</c:v>
                </c:pt>
                <c:pt idx="10">
                  <c:v>-0.5</c:v>
                </c:pt>
                <c:pt idx="11">
                  <c:v>-0.66700000000000004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'Rem Premier AccuTip-V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556241266907912"/>
                  <c:y val="-0.5209098237720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-6.25E-2</c:v>
                </c:pt>
                <c:pt idx="2">
                  <c:v>1.5599999999999999E-2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-0.5</c:v>
                </c:pt>
                <c:pt idx="11">
                  <c:v>-0.625</c:v>
                </c:pt>
                <c:pt idx="12">
                  <c:v>-0.8125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'Rem Premier AccuTip-V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514065778916419"/>
                  <c:y val="-0.398186539182602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PHP'!$F$23:$F$35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-0.26</c:v>
                </c:pt>
                <c:pt idx="10">
                  <c:v>-0.41699999999999998</c:v>
                </c:pt>
                <c:pt idx="11">
                  <c:v>-0.58299999999999996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'Rem Premier AccuTip-V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165425458911104"/>
                  <c:y val="-0.12591394825646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0.26</c:v>
                </c:pt>
                <c:pt idx="3">
                  <c:v>0.3125</c:v>
                </c:pt>
                <c:pt idx="4">
                  <c:v>0.26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-0.25</c:v>
                </c:pt>
                <c:pt idx="11">
                  <c:v>-0.4</c:v>
                </c:pt>
                <c:pt idx="12">
                  <c:v>-0.55000000000000004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'Rem Premier AccuTip-V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753119499985537"/>
                  <c:y val="0.206924821897262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0.4375</c:v>
                </c:pt>
                <c:pt idx="2">
                  <c:v>0.5</c:v>
                </c:pt>
                <c:pt idx="3">
                  <c:v>0.5625</c:v>
                </c:pt>
                <c:pt idx="4">
                  <c:v>0.51</c:v>
                </c:pt>
                <c:pt idx="5">
                  <c:v>0.5</c:v>
                </c:pt>
                <c:pt idx="6">
                  <c:v>0.41699999999999998</c:v>
                </c:pt>
                <c:pt idx="7">
                  <c:v>0.37</c:v>
                </c:pt>
                <c:pt idx="8">
                  <c:v>0.25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-0.125</c:v>
                </c:pt>
                <c:pt idx="12">
                  <c:v>-0.3125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'Rem Premier AccuTip-V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082870184118355"/>
                  <c:y val="0.4013008998875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Premier AccuTip-V PHP'!$I$23:$I$35</c:f>
              <c:numCache>
                <c:formatCode>0.000</c:formatCode>
                <c:ptCount val="13"/>
                <c:pt idx="0">
                  <c:v>0.45</c:v>
                </c:pt>
                <c:pt idx="1">
                  <c:v>0.75</c:v>
                </c:pt>
                <c:pt idx="2">
                  <c:v>0.83299999999999996</c:v>
                </c:pt>
                <c:pt idx="3">
                  <c:v>0.85</c:v>
                </c:pt>
                <c:pt idx="4">
                  <c:v>0.85</c:v>
                </c:pt>
                <c:pt idx="5">
                  <c:v>0.83299999999999996</c:v>
                </c:pt>
                <c:pt idx="6">
                  <c:v>0.75</c:v>
                </c:pt>
                <c:pt idx="7">
                  <c:v>0.66700000000000004</c:v>
                </c:pt>
                <c:pt idx="8">
                  <c:v>0.5625</c:v>
                </c:pt>
                <c:pt idx="9">
                  <c:v>0.45</c:v>
                </c:pt>
                <c:pt idx="10">
                  <c:v>0.33300000000000002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-3.3750020503139937</c:v>
                </c:pt>
                <c:pt idx="2">
                  <c:v>0</c:v>
                </c:pt>
                <c:pt idx="3">
                  <c:v>4.0500003936600466</c:v>
                </c:pt>
                <c:pt idx="4">
                  <c:v>5.6250005932617935</c:v>
                </c:pt>
                <c:pt idx="5">
                  <c:v>7.0312507415772414</c:v>
                </c:pt>
                <c:pt idx="6">
                  <c:v>6.7500004556250364</c:v>
                </c:pt>
                <c:pt idx="7">
                  <c:v>0</c:v>
                </c:pt>
                <c:pt idx="8">
                  <c:v>-9.3375004342007788</c:v>
                </c:pt>
                <c:pt idx="9">
                  <c:v>-22.545004244114121</c:v>
                </c:pt>
                <c:pt idx="10">
                  <c:v>-40.950018685495237</c:v>
                </c:pt>
                <c:pt idx="11">
                  <c:v>-75.060088101855399</c:v>
                </c:pt>
                <c:pt idx="12">
                  <c:v>-113.90649327500701</c:v>
                </c:pt>
                <c:pt idx="13">
                  <c:v>-168.75064072557558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352653775759186"/>
                  <c:y val="-0.263315260774884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</c:v>
                </c:pt>
                <c:pt idx="6">
                  <c:v>-1.8</c:v>
                </c:pt>
                <c:pt idx="7">
                  <c:v>-4.4000000000000004</c:v>
                </c:pt>
                <c:pt idx="8">
                  <c:v>-8.3000000000000007</c:v>
                </c:pt>
                <c:pt idx="9">
                  <c:v>-13.1</c:v>
                </c:pt>
                <c:pt idx="10">
                  <c:v>-19.100000000000001</c:v>
                </c:pt>
                <c:pt idx="11">
                  <c:v>-26.7</c:v>
                </c:pt>
                <c:pt idx="12">
                  <c:v>-35.4</c:v>
                </c:pt>
                <c:pt idx="13">
                  <c:v>-45.7</c:v>
                </c:pt>
                <c:pt idx="14">
                  <c:v>-58</c:v>
                </c:pt>
                <c:pt idx="15">
                  <c:v>-71.599999999999994</c:v>
                </c:pt>
                <c:pt idx="16">
                  <c:v>-87.2</c:v>
                </c:pt>
                <c:pt idx="17">
                  <c:v>-105.6</c:v>
                </c:pt>
                <c:pt idx="18">
                  <c:v>-125.5</c:v>
                </c:pt>
                <c:pt idx="19">
                  <c:v>-148</c:v>
                </c:pt>
                <c:pt idx="20">
                  <c:v>-173.1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'Rem Premier AccuTip-V PHP'!$K$78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Premier AccuTip-V PHP'!$K$80:$K$100</c:f>
              <c:numCache>
                <c:formatCode>0.00</c:formatCode>
                <c:ptCount val="21"/>
              </c:numCache>
            </c:numRef>
          </c:xVal>
          <c:yVal>
            <c:numRef>
              <c:f>'Rem Premier AccuTip-V PHP'!$L$80:$L$100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B6-4C0D-A8EA-C134232AA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-2.1250001279427178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-32.512512728802136</c:v>
                </c:pt>
                <c:pt idx="10">
                  <c:v>-55.781297228899298</c:v>
                </c:pt>
                <c:pt idx="11">
                  <c:v>-85.000127942939443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</c:v>
                </c:pt>
                <c:pt idx="7">
                  <c:v>-5.9</c:v>
                </c:pt>
                <c:pt idx="8">
                  <c:v>-9.9</c:v>
                </c:pt>
                <c:pt idx="9">
                  <c:v>-15</c:v>
                </c:pt>
                <c:pt idx="10">
                  <c:v>-21.2</c:v>
                </c:pt>
                <c:pt idx="11">
                  <c:v>-29</c:v>
                </c:pt>
                <c:pt idx="12">
                  <c:v>-37.9</c:v>
                </c:pt>
                <c:pt idx="13">
                  <c:v>-48.3</c:v>
                </c:pt>
                <c:pt idx="14">
                  <c:v>-60.9</c:v>
                </c:pt>
                <c:pt idx="15">
                  <c:v>-74.7</c:v>
                </c:pt>
                <c:pt idx="16">
                  <c:v>-90.5</c:v>
                </c:pt>
                <c:pt idx="17">
                  <c:v>-109</c:v>
                </c:pt>
                <c:pt idx="18">
                  <c:v>-129.19999999999999</c:v>
                </c:pt>
                <c:pt idx="19">
                  <c:v>-151.9</c:v>
                </c:pt>
                <c:pt idx="20">
                  <c:v>-177.2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-1.250000026041667</c:v>
                </c:pt>
                <c:pt idx="3">
                  <c:v>0.46800000060742664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-5.0000001041666682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0.6</c:v>
                </c:pt>
                <c:pt idx="3">
                  <c:v>1.7</c:v>
                </c:pt>
                <c:pt idx="4">
                  <c:v>2</c:v>
                </c:pt>
                <c:pt idx="5">
                  <c:v>1.5</c:v>
                </c:pt>
                <c:pt idx="6">
                  <c:v>0</c:v>
                </c:pt>
                <c:pt idx="7">
                  <c:v>-2.2999999999999998</c:v>
                </c:pt>
                <c:pt idx="8">
                  <c:v>-5.9</c:v>
                </c:pt>
                <c:pt idx="9">
                  <c:v>-10.4</c:v>
                </c:pt>
                <c:pt idx="10">
                  <c:v>-16.100000000000001</c:v>
                </c:pt>
                <c:pt idx="11">
                  <c:v>-23.4</c:v>
                </c:pt>
                <c:pt idx="12">
                  <c:v>-31.9</c:v>
                </c:pt>
                <c:pt idx="13">
                  <c:v>-41.8</c:v>
                </c:pt>
                <c:pt idx="14">
                  <c:v>-53.8</c:v>
                </c:pt>
                <c:pt idx="15">
                  <c:v>-67.2</c:v>
                </c:pt>
                <c:pt idx="16">
                  <c:v>-82.4</c:v>
                </c:pt>
                <c:pt idx="17">
                  <c:v>-100.5</c:v>
                </c:pt>
                <c:pt idx="18">
                  <c:v>-120.2</c:v>
                </c:pt>
                <c:pt idx="19">
                  <c:v>-142.30000000000001</c:v>
                </c:pt>
                <c:pt idx="20">
                  <c:v>-167.1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'Rem Premier AccuTip-V PHP'!$K$126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Premier AccuTip-V PHP'!$K$128:$K$148</c:f>
              <c:numCache>
                <c:formatCode>0.00</c:formatCode>
                <c:ptCount val="21"/>
              </c:numCache>
            </c:numRef>
          </c:xVal>
          <c:yVal>
            <c:numRef>
              <c:f>'Rem Premier AccuTip-V PHP'!$L$128:$L$148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0F-418E-A3F3-0B60D5F0A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'Rem Premier AccuTip-V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-36.400013123419015</c:v>
                </c:pt>
                <c:pt idx="11">
                  <c:v>-66.720061876730625</c:v>
                </c:pt>
                <c:pt idx="12">
                  <c:v>-104.94019022948933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2.1</c:v>
                </c:pt>
                <c:pt idx="3">
                  <c:v>3.9</c:v>
                </c:pt>
                <c:pt idx="4">
                  <c:v>4.9000000000000004</c:v>
                </c:pt>
                <c:pt idx="5">
                  <c:v>5.0999999999999996</c:v>
                </c:pt>
                <c:pt idx="6">
                  <c:v>4.4000000000000004</c:v>
                </c:pt>
                <c:pt idx="7">
                  <c:v>2.7</c:v>
                </c:pt>
                <c:pt idx="8">
                  <c:v>-0.1</c:v>
                </c:pt>
                <c:pt idx="9">
                  <c:v>-3.9</c:v>
                </c:pt>
                <c:pt idx="10">
                  <c:v>-8.9</c:v>
                </c:pt>
                <c:pt idx="11">
                  <c:v>-15.4</c:v>
                </c:pt>
                <c:pt idx="12">
                  <c:v>-23.1</c:v>
                </c:pt>
                <c:pt idx="13">
                  <c:v>-32.4</c:v>
                </c:pt>
                <c:pt idx="14">
                  <c:v>-43.6</c:v>
                </c:pt>
                <c:pt idx="15">
                  <c:v>-56.3</c:v>
                </c:pt>
                <c:pt idx="16">
                  <c:v>-70.8</c:v>
                </c:pt>
                <c:pt idx="17">
                  <c:v>-88.1</c:v>
                </c:pt>
                <c:pt idx="18">
                  <c:v>-107.1</c:v>
                </c:pt>
                <c:pt idx="19">
                  <c:v>-128.5</c:v>
                </c:pt>
                <c:pt idx="20">
                  <c:v>-152.6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7.8000028121612175</c:v>
                </c:pt>
                <c:pt idx="4">
                  <c:v>12.500006510420736</c:v>
                </c:pt>
                <c:pt idx="5">
                  <c:v>13.000004686935362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-40.000013333338671</c:v>
                </c:pt>
                <c:pt idx="12">
                  <c:v>-72.000061440062922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1.4</c:v>
                </c:pt>
                <c:pt idx="2">
                  <c:v>6</c:v>
                </c:pt>
                <c:pt idx="3">
                  <c:v>9.6999999999999993</c:v>
                </c:pt>
                <c:pt idx="4">
                  <c:v>12.6</c:v>
                </c:pt>
                <c:pt idx="5">
                  <c:v>14.8</c:v>
                </c:pt>
                <c:pt idx="6">
                  <c:v>16</c:v>
                </c:pt>
                <c:pt idx="7">
                  <c:v>16.2</c:v>
                </c:pt>
                <c:pt idx="8">
                  <c:v>15.4</c:v>
                </c:pt>
                <c:pt idx="9">
                  <c:v>13.5</c:v>
                </c:pt>
                <c:pt idx="10">
                  <c:v>10.4</c:v>
                </c:pt>
                <c:pt idx="11">
                  <c:v>5.8</c:v>
                </c:pt>
                <c:pt idx="12">
                  <c:v>0</c:v>
                </c:pt>
                <c:pt idx="13">
                  <c:v>-7.3</c:v>
                </c:pt>
                <c:pt idx="14">
                  <c:v>-16.600000000000001</c:v>
                </c:pt>
                <c:pt idx="15">
                  <c:v>-27.3</c:v>
                </c:pt>
                <c:pt idx="16">
                  <c:v>-40</c:v>
                </c:pt>
                <c:pt idx="17">
                  <c:v>-55.3</c:v>
                </c:pt>
                <c:pt idx="18">
                  <c:v>-72.3</c:v>
                </c:pt>
                <c:pt idx="19">
                  <c:v>-91.9</c:v>
                </c:pt>
                <c:pt idx="20">
                  <c:v>-114.1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8.7500089323026096</c:v>
                </c:pt>
                <c:pt idx="3">
                  <c:v>15.000020000031999</c:v>
                </c:pt>
                <c:pt idx="4">
                  <c:v>22.500037968826884</c:v>
                </c:pt>
                <c:pt idx="5">
                  <c:v>25.500035373658886</c:v>
                </c:pt>
                <c:pt idx="6">
                  <c:v>30.000040000063997</c:v>
                </c:pt>
                <c:pt idx="7">
                  <c:v>33.360030938365313</c:v>
                </c:pt>
                <c:pt idx="8">
                  <c:v>37.000027014957006</c:v>
                </c:pt>
                <c:pt idx="9">
                  <c:v>30.000010000004</c:v>
                </c:pt>
                <c:pt idx="10">
                  <c:v>23.380003477572998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-62.500032552103676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</c:v>
                </c:pt>
                <c:pt idx="3">
                  <c:v>17.2</c:v>
                </c:pt>
                <c:pt idx="4">
                  <c:v>22.7</c:v>
                </c:pt>
                <c:pt idx="5">
                  <c:v>27.4</c:v>
                </c:pt>
                <c:pt idx="6">
                  <c:v>31.1</c:v>
                </c:pt>
                <c:pt idx="7">
                  <c:v>33.799999999999997</c:v>
                </c:pt>
                <c:pt idx="8">
                  <c:v>35.6</c:v>
                </c:pt>
                <c:pt idx="9">
                  <c:v>36.200000000000003</c:v>
                </c:pt>
                <c:pt idx="10">
                  <c:v>35.5</c:v>
                </c:pt>
                <c:pt idx="11">
                  <c:v>33.5</c:v>
                </c:pt>
                <c:pt idx="12">
                  <c:v>30.2</c:v>
                </c:pt>
                <c:pt idx="13">
                  <c:v>25.4</c:v>
                </c:pt>
                <c:pt idx="14">
                  <c:v>18.7</c:v>
                </c:pt>
                <c:pt idx="15">
                  <c:v>10.4</c:v>
                </c:pt>
                <c:pt idx="16">
                  <c:v>0.3</c:v>
                </c:pt>
                <c:pt idx="17">
                  <c:v>-12.5</c:v>
                </c:pt>
                <c:pt idx="18">
                  <c:v>-27.1</c:v>
                </c:pt>
                <c:pt idx="19">
                  <c:v>-44.1</c:v>
                </c:pt>
                <c:pt idx="20">
                  <c:v>-63.8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'Rem Premier AccuTip-V PHP'!$K$198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Premier AccuTip-V PHP'!$K$200:$K$220</c:f>
              <c:numCache>
                <c:formatCode>0.00</c:formatCode>
                <c:ptCount val="21"/>
              </c:numCache>
            </c:numRef>
          </c:xVal>
          <c:yVal>
            <c:numRef>
              <c:f>'Rem Premier AccuTip-V PHP'!$L$200:$L$220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D4-4EF2-A380-2904394E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Premier AccuTip-V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4.5000048600062978</c:v>
                </c:pt>
                <c:pt idx="2">
                  <c:v>15.000045000162002</c:v>
                </c:pt>
                <c:pt idx="3">
                  <c:v>24.990092481936625</c:v>
                </c:pt>
                <c:pt idx="4">
                  <c:v>34.000131013939146</c:v>
                </c:pt>
                <c:pt idx="5">
                  <c:v>42.500163767423935</c:v>
                </c:pt>
                <c:pt idx="6">
                  <c:v>49.980184963873249</c:v>
                </c:pt>
                <c:pt idx="7">
                  <c:v>60.000180000648008</c:v>
                </c:pt>
                <c:pt idx="8">
                  <c:v>66.700158262297563</c:v>
                </c:pt>
                <c:pt idx="9">
                  <c:v>67.500113906480649</c:v>
                </c:pt>
                <c:pt idx="10">
                  <c:v>63.000068040088173</c:v>
                </c:pt>
                <c:pt idx="11">
                  <c:v>53.280031510240612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'Rem Premier AccuTip-V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Premier AccuTip-V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7.1</c:v>
                </c:pt>
                <c:pt idx="2">
                  <c:v>17.5</c:v>
                </c:pt>
                <c:pt idx="3">
                  <c:v>26.9</c:v>
                </c:pt>
                <c:pt idx="4">
                  <c:v>35.5</c:v>
                </c:pt>
                <c:pt idx="5">
                  <c:v>43.6</c:v>
                </c:pt>
                <c:pt idx="6">
                  <c:v>50.5</c:v>
                </c:pt>
                <c:pt idx="7">
                  <c:v>56.4</c:v>
                </c:pt>
                <c:pt idx="8">
                  <c:v>61.4</c:v>
                </c:pt>
                <c:pt idx="9">
                  <c:v>65.2</c:v>
                </c:pt>
                <c:pt idx="10">
                  <c:v>67.8</c:v>
                </c:pt>
                <c:pt idx="11">
                  <c:v>69.099999999999994</c:v>
                </c:pt>
                <c:pt idx="12">
                  <c:v>68.900000000000006</c:v>
                </c:pt>
                <c:pt idx="13">
                  <c:v>67.3</c:v>
                </c:pt>
                <c:pt idx="14">
                  <c:v>63.9</c:v>
                </c:pt>
                <c:pt idx="15">
                  <c:v>58.8</c:v>
                </c:pt>
                <c:pt idx="16">
                  <c:v>51.8</c:v>
                </c:pt>
                <c:pt idx="17">
                  <c:v>42.4</c:v>
                </c:pt>
                <c:pt idx="18">
                  <c:v>31</c:v>
                </c:pt>
                <c:pt idx="19">
                  <c:v>17.100000000000001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SP'!$B$22:$B$35</c:f>
              <c:numCache>
                <c:formatCode>0.00</c:formatCode>
                <c:ptCount val="14"/>
                <c:pt idx="0">
                  <c:v>2539.4</c:v>
                </c:pt>
                <c:pt idx="1">
                  <c:v>2444.5</c:v>
                </c:pt>
                <c:pt idx="2">
                  <c:v>2326.6</c:v>
                </c:pt>
                <c:pt idx="3">
                  <c:v>2214.5</c:v>
                </c:pt>
                <c:pt idx="4">
                  <c:v>2109.3000000000002</c:v>
                </c:pt>
                <c:pt idx="5">
                  <c:v>2010.4</c:v>
                </c:pt>
                <c:pt idx="6">
                  <c:v>1916.7</c:v>
                </c:pt>
                <c:pt idx="7">
                  <c:v>1733.8</c:v>
                </c:pt>
                <c:pt idx="8">
                  <c:v>1561</c:v>
                </c:pt>
                <c:pt idx="9">
                  <c:v>1409.6</c:v>
                </c:pt>
                <c:pt idx="10">
                  <c:v>1268.4000000000001</c:v>
                </c:pt>
                <c:pt idx="11">
                  <c:v>1136.5</c:v>
                </c:pt>
                <c:pt idx="12">
                  <c:v>1015.5</c:v>
                </c:pt>
                <c:pt idx="13">
                  <c:v>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'Federal Fusion Rifle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SP'!$C$80:$C$100</c:f>
              <c:numCache>
                <c:formatCode>0.00</c:formatCode>
                <c:ptCount val="21"/>
                <c:pt idx="0">
                  <c:v>2539</c:v>
                </c:pt>
                <c:pt idx="1">
                  <c:v>2422</c:v>
                </c:pt>
                <c:pt idx="2">
                  <c:v>2310</c:v>
                </c:pt>
                <c:pt idx="3">
                  <c:v>2202</c:v>
                </c:pt>
                <c:pt idx="4">
                  <c:v>2098</c:v>
                </c:pt>
                <c:pt idx="5">
                  <c:v>1999</c:v>
                </c:pt>
                <c:pt idx="6">
                  <c:v>1903</c:v>
                </c:pt>
                <c:pt idx="7">
                  <c:v>1810</c:v>
                </c:pt>
                <c:pt idx="8">
                  <c:v>1722</c:v>
                </c:pt>
                <c:pt idx="9">
                  <c:v>1637</c:v>
                </c:pt>
                <c:pt idx="10">
                  <c:v>1555</c:v>
                </c:pt>
                <c:pt idx="11">
                  <c:v>1476</c:v>
                </c:pt>
                <c:pt idx="12">
                  <c:v>1400</c:v>
                </c:pt>
                <c:pt idx="13">
                  <c:v>1328</c:v>
                </c:pt>
                <c:pt idx="14">
                  <c:v>1258</c:v>
                </c:pt>
                <c:pt idx="15">
                  <c:v>1192</c:v>
                </c:pt>
                <c:pt idx="16">
                  <c:v>1128</c:v>
                </c:pt>
                <c:pt idx="17">
                  <c:v>1067</c:v>
                </c:pt>
                <c:pt idx="18">
                  <c:v>1009</c:v>
                </c:pt>
                <c:pt idx="19">
                  <c:v>953</c:v>
                </c:pt>
                <c:pt idx="20">
                  <c:v>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'Federal Fusion Rifle SP'!$K$78</c:f>
              <c:strCache>
                <c:ptCount val="1"/>
                <c:pt idx="0">
                  <c:v>Federal (50m Zero)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SP'!$S$80:$S$100</c:f>
              <c:numCache>
                <c:formatCode>0.00</c:formatCode>
                <c:ptCount val="21"/>
                <c:pt idx="0">
                  <c:v>2538</c:v>
                </c:pt>
                <c:pt idx="1">
                  <c:v>2421</c:v>
                </c:pt>
                <c:pt idx="2">
                  <c:v>2306</c:v>
                </c:pt>
                <c:pt idx="3">
                  <c:v>2199</c:v>
                </c:pt>
                <c:pt idx="4">
                  <c:v>2096</c:v>
                </c:pt>
                <c:pt idx="5">
                  <c:v>1993</c:v>
                </c:pt>
                <c:pt idx="6">
                  <c:v>1898</c:v>
                </c:pt>
                <c:pt idx="7">
                  <c:v>1806</c:v>
                </c:pt>
                <c:pt idx="8">
                  <c:v>1715</c:v>
                </c:pt>
                <c:pt idx="9">
                  <c:v>1630</c:v>
                </c:pt>
                <c:pt idx="10">
                  <c:v>1548</c:v>
                </c:pt>
                <c:pt idx="11">
                  <c:v>1467</c:v>
                </c:pt>
                <c:pt idx="12">
                  <c:v>1392</c:v>
                </c:pt>
                <c:pt idx="13">
                  <c:v>1321</c:v>
                </c:pt>
                <c:pt idx="14">
                  <c:v>1250</c:v>
                </c:pt>
                <c:pt idx="15">
                  <c:v>1184</c:v>
                </c:pt>
                <c:pt idx="16">
                  <c:v>1120</c:v>
                </c:pt>
                <c:pt idx="17">
                  <c:v>1056</c:v>
                </c:pt>
                <c:pt idx="18">
                  <c:v>999</c:v>
                </c:pt>
                <c:pt idx="19">
                  <c:v>944</c:v>
                </c:pt>
                <c:pt idx="20">
                  <c:v>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28-4C2E-9B1C-506C1B0E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-2.8687512591488269</c:v>
                </c:pt>
                <c:pt idx="2">
                  <c:v>0.22500000015187499</c:v>
                </c:pt>
                <c:pt idx="3">
                  <c:v>2.8012501302602333</c:v>
                </c:pt>
                <c:pt idx="4">
                  <c:v>5.6250005932617935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-0.90000000060749996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-55.125045581529605</c:v>
                </c:pt>
                <c:pt idx="11">
                  <c:v>-81.000110717056614</c:v>
                </c:pt>
                <c:pt idx="12">
                  <c:v>-118.05777085425362</c:v>
                </c:pt>
                <c:pt idx="13">
                  <c:v>-168.75064072557558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'Federal Fusion Rifle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-1.3281250312360138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-8.500000511770871</c:v>
                </c:pt>
                <c:pt idx="8">
                  <c:v>-19.921879216862795</c:v>
                </c:pt>
                <c:pt idx="9">
                  <c:v>-39.843773427026107</c:v>
                </c:pt>
                <c:pt idx="10">
                  <c:v>-62.028814941496222</c:v>
                </c:pt>
                <c:pt idx="11">
                  <c:v>-93.500170292116977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'Federal Fusion Rifle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-1.0625000159928388</c:v>
                </c:pt>
                <c:pt idx="3">
                  <c:v>1.5937500239892586</c:v>
                </c:pt>
                <c:pt idx="4">
                  <c:v>2.1250000319856777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-55.781297228899298</c:v>
                </c:pt>
                <c:pt idx="11">
                  <c:v>-85.000127942939443</c:v>
                </c:pt>
                <c:pt idx="12">
                  <c:v>-119.5315311249084</c:v>
                </c:pt>
                <c:pt idx="13">
                  <c:v>-161.5005616401271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'Federal Fusion Rifle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1.0000000133333335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-43.750022786472577</c:v>
                </c:pt>
                <c:pt idx="11">
                  <c:v>-66.720061876730625</c:v>
                </c:pt>
                <c:pt idx="12">
                  <c:v>-101.25017085972097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'Federal Fusion Rifle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4.8000014745605428</c:v>
                </c:pt>
                <c:pt idx="3">
                  <c:v>9.3750048828155528</c:v>
                </c:pt>
                <c:pt idx="4">
                  <c:v>13.320007877560153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14.400002488320515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Fusion Rifle SP'!$O$21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Fusion Rifle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Fusion Rifle SP'!$O$22:$O$35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1.5000001800000258</c:v>
                      </c:pt>
                      <c:pt idx="2">
                        <c:v>9.9000129373402874</c:v>
                      </c:pt>
                      <c:pt idx="3">
                        <c:v>16.500026620051539</c:v>
                      </c:pt>
                      <c:pt idx="4">
                        <c:v>22.000035493402052</c:v>
                      </c:pt>
                      <c:pt idx="5">
                        <c:v>28.125047461033603</c:v>
                      </c:pt>
                      <c:pt idx="6">
                        <c:v>30.000040000063997</c:v>
                      </c:pt>
                      <c:pt idx="7">
                        <c:v>35.000035729210438</c:v>
                      </c:pt>
                      <c:pt idx="8">
                        <c:v>33.300019693900381</c:v>
                      </c:pt>
                      <c:pt idx="9">
                        <c:v>30.000010000004</c:v>
                      </c:pt>
                      <c:pt idx="10">
                        <c:v>17.500001458333479</c:v>
                      </c:pt>
                      <c:pt idx="11">
                        <c:v>0</c:v>
                      </c:pt>
                      <c:pt idx="12">
                        <c:v>-22.500001875000187</c:v>
                      </c:pt>
                      <c:pt idx="13">
                        <c:v>-50.000016666673339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C58-4D06-8D06-CB901B32B0F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Fusion Rifle SP'!$P$21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Fusion Rifle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Fusion Rifle SP'!$P$22:$P$35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4.5000048600062978</c:v>
                      </c:pt>
                      <c:pt idx="2">
                        <c:v>15.000045000162002</c:v>
                      </c:pt>
                      <c:pt idx="3">
                        <c:v>24.990092481936625</c:v>
                      </c:pt>
                      <c:pt idx="4">
                        <c:v>33.320123309248828</c:v>
                      </c:pt>
                      <c:pt idx="5">
                        <c:v>41.650154136561042</c:v>
                      </c:pt>
                      <c:pt idx="6">
                        <c:v>48.750171641350178</c:v>
                      </c:pt>
                      <c:pt idx="7">
                        <c:v>60.000180000648008</c:v>
                      </c:pt>
                      <c:pt idx="8">
                        <c:v>65.00014646706272</c:v>
                      </c:pt>
                      <c:pt idx="9">
                        <c:v>66.000106480206156</c:v>
                      </c:pt>
                      <c:pt idx="10">
                        <c:v>58.380054142139294</c:v>
                      </c:pt>
                      <c:pt idx="11">
                        <c:v>50.000026041682943</c:v>
                      </c:pt>
                      <c:pt idx="12">
                        <c:v>30.060004471165279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58-4D06-8D06-CB901B32B0F2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SP'!$C$23:$C$35</c:f>
              <c:numCache>
                <c:formatCode>0.000</c:formatCode>
                <c:ptCount val="13"/>
                <c:pt idx="0">
                  <c:v>-0.255</c:v>
                </c:pt>
                <c:pt idx="1">
                  <c:v>0.01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8.3000000000000004E-2</c:v>
                </c:pt>
                <c:pt idx="5">
                  <c:v>6.25E-2</c:v>
                </c:pt>
                <c:pt idx="6">
                  <c:v>-0.01</c:v>
                </c:pt>
                <c:pt idx="7">
                  <c:v>-0.125</c:v>
                </c:pt>
                <c:pt idx="8">
                  <c:v>-0.1875</c:v>
                </c:pt>
                <c:pt idx="9">
                  <c:v>-0.35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'Federal Fusion Rifle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</c:v>
                </c:pt>
                <c:pt idx="7">
                  <c:v>-0.1875</c:v>
                </c:pt>
                <c:pt idx="8">
                  <c:v>-0.3125</c:v>
                </c:pt>
                <c:pt idx="9">
                  <c:v>-0.41699999999999998</c:v>
                </c:pt>
                <c:pt idx="10">
                  <c:v>-0.55000000000000004</c:v>
                </c:pt>
                <c:pt idx="11">
                  <c:v>-0.66700000000000004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'Federal Fusion Rifle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-0.05</c:v>
                </c:pt>
                <c:pt idx="2">
                  <c:v>0.05</c:v>
                </c:pt>
                <c:pt idx="3">
                  <c:v>0.05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'Federal Fusion Rifle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0.05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-0.3125</c:v>
                </c:pt>
                <c:pt idx="10">
                  <c:v>-0.41699999999999998</c:v>
                </c:pt>
                <c:pt idx="11">
                  <c:v>-0.5625</c:v>
                </c:pt>
                <c:pt idx="12">
                  <c:v>-0.74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'Federal Fusion Rifle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SP'!$G$23:$G$35</c:f>
              <c:numCache>
                <c:formatCode>0.000</c:formatCode>
                <c:ptCount val="13"/>
                <c:pt idx="0">
                  <c:v>-8.3000000000000004E-2</c:v>
                </c:pt>
                <c:pt idx="1">
                  <c:v>0.24</c:v>
                </c:pt>
                <c:pt idx="2">
                  <c:v>0.3125</c:v>
                </c:pt>
                <c:pt idx="3">
                  <c:v>0.33300000000000002</c:v>
                </c:pt>
                <c:pt idx="4">
                  <c:v>0.3125</c:v>
                </c:pt>
                <c:pt idx="5">
                  <c:v>0.25</c:v>
                </c:pt>
                <c:pt idx="6">
                  <c:v>0.18</c:v>
                </c:pt>
                <c:pt idx="7">
                  <c:v>0.125</c:v>
                </c:pt>
                <c:pt idx="8">
                  <c:v>0</c:v>
                </c:pt>
                <c:pt idx="9">
                  <c:v>-0.12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'Federal Fusion Rifle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SP'!$H$23:$H$35</c:f>
              <c:numCache>
                <c:formatCode>0.000</c:formatCode>
                <c:ptCount val="13"/>
                <c:pt idx="0">
                  <c:v>0.15</c:v>
                </c:pt>
                <c:pt idx="1">
                  <c:v>0.495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0.5625</c:v>
                </c:pt>
                <c:pt idx="5">
                  <c:v>0.5</c:v>
                </c:pt>
                <c:pt idx="6">
                  <c:v>0.4375</c:v>
                </c:pt>
                <c:pt idx="7">
                  <c:v>0.33300000000000002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'Federal Fusion Rifle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Fusion Rifle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Fusion Rifle SP'!$I$23:$I$35</c:f>
              <c:numCache>
                <c:formatCode>0.000</c:formatCode>
                <c:ptCount val="13"/>
                <c:pt idx="0">
                  <c:v>0.45</c:v>
                </c:pt>
                <c:pt idx="1">
                  <c:v>0.75</c:v>
                </c:pt>
                <c:pt idx="2">
                  <c:v>0.83299999999999996</c:v>
                </c:pt>
                <c:pt idx="3">
                  <c:v>0.83299999999999996</c:v>
                </c:pt>
                <c:pt idx="4">
                  <c:v>0.83299999999999996</c:v>
                </c:pt>
                <c:pt idx="5">
                  <c:v>0.8125</c:v>
                </c:pt>
                <c:pt idx="6">
                  <c:v>0.75</c:v>
                </c:pt>
                <c:pt idx="7">
                  <c:v>0.65</c:v>
                </c:pt>
                <c:pt idx="8">
                  <c:v>0.55000000000000004</c:v>
                </c:pt>
                <c:pt idx="9">
                  <c:v>0.41699999999999998</c:v>
                </c:pt>
                <c:pt idx="10">
                  <c:v>0.3125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Fusion Rifle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-2.8687512591488269</c:v>
                </c:pt>
                <c:pt idx="2">
                  <c:v>0.22500000015187499</c:v>
                </c:pt>
                <c:pt idx="3">
                  <c:v>2.8012501302602333</c:v>
                </c:pt>
                <c:pt idx="4">
                  <c:v>5.6250005932617935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-0.90000000060749996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-55.125045581529605</c:v>
                </c:pt>
                <c:pt idx="11">
                  <c:v>-81.000110717056614</c:v>
                </c:pt>
                <c:pt idx="12">
                  <c:v>-118.05777085425362</c:v>
                </c:pt>
                <c:pt idx="13">
                  <c:v>-168.75064072557558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0.5</c:v>
                </c:pt>
                <c:pt idx="5">
                  <c:v>-0.6</c:v>
                </c:pt>
                <c:pt idx="6">
                  <c:v>-2.7</c:v>
                </c:pt>
                <c:pt idx="7">
                  <c:v>-5.7</c:v>
                </c:pt>
                <c:pt idx="8">
                  <c:v>-10</c:v>
                </c:pt>
                <c:pt idx="9">
                  <c:v>-15.3</c:v>
                </c:pt>
                <c:pt idx="10">
                  <c:v>-21.7</c:v>
                </c:pt>
                <c:pt idx="11">
                  <c:v>-29.7</c:v>
                </c:pt>
                <c:pt idx="12">
                  <c:v>-38.700000000000003</c:v>
                </c:pt>
                <c:pt idx="13">
                  <c:v>-49.1</c:v>
                </c:pt>
                <c:pt idx="14">
                  <c:v>-61.5</c:v>
                </c:pt>
                <c:pt idx="15">
                  <c:v>-75</c:v>
                </c:pt>
                <c:pt idx="16">
                  <c:v>-90.2</c:v>
                </c:pt>
                <c:pt idx="17">
                  <c:v>-107.9</c:v>
                </c:pt>
                <c:pt idx="18">
                  <c:v>-126.8</c:v>
                </c:pt>
                <c:pt idx="19">
                  <c:v>-147.80000000000001</c:v>
                </c:pt>
                <c:pt idx="20">
                  <c:v>-170.8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'Federal Fusion Rifle SP'!$K$78</c:f>
              <c:strCache>
                <c:ptCount val="1"/>
                <c:pt idx="0">
                  <c:v>Federal (50m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SP'!$L$80:$L$100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0.5</c:v>
                </c:pt>
                <c:pt idx="5">
                  <c:v>-0.6</c:v>
                </c:pt>
                <c:pt idx="6">
                  <c:v>-2.6</c:v>
                </c:pt>
                <c:pt idx="7">
                  <c:v>-5.6</c:v>
                </c:pt>
                <c:pt idx="8">
                  <c:v>-9.6999999999999993</c:v>
                </c:pt>
                <c:pt idx="9">
                  <c:v>-14.7</c:v>
                </c:pt>
                <c:pt idx="10">
                  <c:v>-21</c:v>
                </c:pt>
                <c:pt idx="11">
                  <c:v>-28.7</c:v>
                </c:pt>
                <c:pt idx="12">
                  <c:v>-37.5</c:v>
                </c:pt>
                <c:pt idx="13">
                  <c:v>-47.6</c:v>
                </c:pt>
                <c:pt idx="14">
                  <c:v>-59.5</c:v>
                </c:pt>
                <c:pt idx="15">
                  <c:v>-72.3</c:v>
                </c:pt>
                <c:pt idx="16">
                  <c:v>-86.9</c:v>
                </c:pt>
                <c:pt idx="17">
                  <c:v>-103.3</c:v>
                </c:pt>
                <c:pt idx="18">
                  <c:v>-121.1</c:v>
                </c:pt>
                <c:pt idx="19">
                  <c:v>-141.1</c:v>
                </c:pt>
                <c:pt idx="20">
                  <c:v>-163.9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B40-4265-A3B4-70D2063DE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-1.3281250312360138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-8.500000511770871</c:v>
                </c:pt>
                <c:pt idx="8">
                  <c:v>-19.921879216862795</c:v>
                </c:pt>
                <c:pt idx="9">
                  <c:v>-39.843773427026107</c:v>
                </c:pt>
                <c:pt idx="10">
                  <c:v>-62.028814941496222</c:v>
                </c:pt>
                <c:pt idx="11">
                  <c:v>-93.500170292116977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-3.4</c:v>
                </c:pt>
                <c:pt idx="7">
                  <c:v>-6.6</c:v>
                </c:pt>
                <c:pt idx="8">
                  <c:v>-11</c:v>
                </c:pt>
                <c:pt idx="9">
                  <c:v>-16.3</c:v>
                </c:pt>
                <c:pt idx="10">
                  <c:v>-22.9</c:v>
                </c:pt>
                <c:pt idx="11">
                  <c:v>-31</c:v>
                </c:pt>
                <c:pt idx="12">
                  <c:v>-40.1</c:v>
                </c:pt>
                <c:pt idx="13">
                  <c:v>-50.7</c:v>
                </c:pt>
                <c:pt idx="14">
                  <c:v>-63.2</c:v>
                </c:pt>
                <c:pt idx="15">
                  <c:v>-76.8</c:v>
                </c:pt>
                <c:pt idx="16">
                  <c:v>-92.2</c:v>
                </c:pt>
                <c:pt idx="17">
                  <c:v>-109.9</c:v>
                </c:pt>
                <c:pt idx="18">
                  <c:v>-129</c:v>
                </c:pt>
                <c:pt idx="19">
                  <c:v>-150.1</c:v>
                </c:pt>
                <c:pt idx="20">
                  <c:v>-173.3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'Federal Fusion Rifle SP'!$K$102</c:f>
              <c:strCache>
                <c:ptCount val="1"/>
                <c:pt idx="0">
                  <c:v>Federal(100m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SP'!$L$104:$L$124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-3.4</c:v>
                </c:pt>
                <c:pt idx="7">
                  <c:v>-6.4</c:v>
                </c:pt>
                <c:pt idx="8">
                  <c:v>-10.7</c:v>
                </c:pt>
                <c:pt idx="9">
                  <c:v>-15.9</c:v>
                </c:pt>
                <c:pt idx="10">
                  <c:v>-22.2</c:v>
                </c:pt>
                <c:pt idx="11">
                  <c:v>-30.1</c:v>
                </c:pt>
                <c:pt idx="12">
                  <c:v>-39</c:v>
                </c:pt>
                <c:pt idx="13">
                  <c:v>-49.2</c:v>
                </c:pt>
                <c:pt idx="14">
                  <c:v>-61.2</c:v>
                </c:pt>
                <c:pt idx="15">
                  <c:v>-74.2</c:v>
                </c:pt>
                <c:pt idx="16">
                  <c:v>-88.9</c:v>
                </c:pt>
                <c:pt idx="17">
                  <c:v>-105.4</c:v>
                </c:pt>
                <c:pt idx="18">
                  <c:v>-123.4</c:v>
                </c:pt>
                <c:pt idx="19">
                  <c:v>-143.4</c:v>
                </c:pt>
                <c:pt idx="20">
                  <c:v>-166.4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07-433B-8C13-B34B56AD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-1.0625000159928388</c:v>
                </c:pt>
                <c:pt idx="3">
                  <c:v>1.5937500239892586</c:v>
                </c:pt>
                <c:pt idx="4">
                  <c:v>2.1250000319856777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-55.781297228899298</c:v>
                </c:pt>
                <c:pt idx="11">
                  <c:v>-85.000127942939443</c:v>
                </c:pt>
                <c:pt idx="12">
                  <c:v>-119.5315311249084</c:v>
                </c:pt>
                <c:pt idx="13">
                  <c:v>-161.5005616401271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-1.1000000000000001</c:v>
                </c:pt>
                <c:pt idx="2">
                  <c:v>0.9</c:v>
                </c:pt>
                <c:pt idx="3">
                  <c:v>2</c:v>
                </c:pt>
                <c:pt idx="4">
                  <c:v>2.2999999999999998</c:v>
                </c:pt>
                <c:pt idx="5">
                  <c:v>1.7</c:v>
                </c:pt>
                <c:pt idx="6">
                  <c:v>0.1</c:v>
                </c:pt>
                <c:pt idx="7">
                  <c:v>-2.5</c:v>
                </c:pt>
                <c:pt idx="8">
                  <c:v>-6.3</c:v>
                </c:pt>
                <c:pt idx="9">
                  <c:v>-11.1</c:v>
                </c:pt>
                <c:pt idx="10">
                  <c:v>-17.100000000000001</c:v>
                </c:pt>
                <c:pt idx="11">
                  <c:v>-24.6</c:v>
                </c:pt>
                <c:pt idx="12">
                  <c:v>-33.200000000000003</c:v>
                </c:pt>
                <c:pt idx="13">
                  <c:v>-43.2</c:v>
                </c:pt>
                <c:pt idx="14">
                  <c:v>-55.1</c:v>
                </c:pt>
                <c:pt idx="15">
                  <c:v>-68.2</c:v>
                </c:pt>
                <c:pt idx="16">
                  <c:v>-82.9</c:v>
                </c:pt>
                <c:pt idx="17">
                  <c:v>-100.1</c:v>
                </c:pt>
                <c:pt idx="18">
                  <c:v>-118.6</c:v>
                </c:pt>
                <c:pt idx="19">
                  <c:v>-139.1</c:v>
                </c:pt>
                <c:pt idx="20">
                  <c:v>-161.69999999999999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'Federal Fusion Rifle SP'!$K$126</c:f>
              <c:strCache>
                <c:ptCount val="1"/>
                <c:pt idx="0">
                  <c:v>Federal(150m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SP'!$L$128:$L$148</c:f>
              <c:numCache>
                <c:formatCode>0.00</c:formatCode>
                <c:ptCount val="21"/>
                <c:pt idx="0">
                  <c:v>-3.8</c:v>
                </c:pt>
                <c:pt idx="1">
                  <c:v>-1.1000000000000001</c:v>
                </c:pt>
                <c:pt idx="2">
                  <c:v>0.9</c:v>
                </c:pt>
                <c:pt idx="3">
                  <c:v>2</c:v>
                </c:pt>
                <c:pt idx="4">
                  <c:v>2.2000000000000002</c:v>
                </c:pt>
                <c:pt idx="5">
                  <c:v>1.6</c:v>
                </c:pt>
                <c:pt idx="6">
                  <c:v>0</c:v>
                </c:pt>
                <c:pt idx="7">
                  <c:v>-2.5</c:v>
                </c:pt>
                <c:pt idx="8">
                  <c:v>-6.2</c:v>
                </c:pt>
                <c:pt idx="9">
                  <c:v>-10.8</c:v>
                </c:pt>
                <c:pt idx="10">
                  <c:v>-16.600000000000001</c:v>
                </c:pt>
                <c:pt idx="11">
                  <c:v>-23.9</c:v>
                </c:pt>
                <c:pt idx="12">
                  <c:v>-32.299999999999997</c:v>
                </c:pt>
                <c:pt idx="13">
                  <c:v>-41.9</c:v>
                </c:pt>
                <c:pt idx="14">
                  <c:v>-53.4</c:v>
                </c:pt>
                <c:pt idx="15">
                  <c:v>-65.8</c:v>
                </c:pt>
                <c:pt idx="16">
                  <c:v>-79.900000000000006</c:v>
                </c:pt>
                <c:pt idx="17">
                  <c:v>-95.9</c:v>
                </c:pt>
                <c:pt idx="18">
                  <c:v>-113.3</c:v>
                </c:pt>
                <c:pt idx="19">
                  <c:v>-132.80000000000001</c:v>
                </c:pt>
                <c:pt idx="20">
                  <c:v>-155.19999999999999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44-41BC-AA04-7A4A796F3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1.0000000133333335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-43.750022786472577</c:v>
                </c:pt>
                <c:pt idx="11">
                  <c:v>-66.720061876730625</c:v>
                </c:pt>
                <c:pt idx="12">
                  <c:v>-101.25017085972097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-0.3</c:v>
                </c:pt>
                <c:pt idx="2">
                  <c:v>2.5</c:v>
                </c:pt>
                <c:pt idx="3">
                  <c:v>4.4000000000000004</c:v>
                </c:pt>
                <c:pt idx="4">
                  <c:v>5.5</c:v>
                </c:pt>
                <c:pt idx="5">
                  <c:v>5.6</c:v>
                </c:pt>
                <c:pt idx="6">
                  <c:v>4.8</c:v>
                </c:pt>
                <c:pt idx="7">
                  <c:v>3</c:v>
                </c:pt>
                <c:pt idx="8">
                  <c:v>0</c:v>
                </c:pt>
                <c:pt idx="9">
                  <c:v>-4</c:v>
                </c:pt>
                <c:pt idx="10">
                  <c:v>-9.1999999999999993</c:v>
                </c:pt>
                <c:pt idx="11">
                  <c:v>-15.9</c:v>
                </c:pt>
                <c:pt idx="12">
                  <c:v>-23.7</c:v>
                </c:pt>
                <c:pt idx="13">
                  <c:v>-32.9</c:v>
                </c:pt>
                <c:pt idx="14">
                  <c:v>-44</c:v>
                </c:pt>
                <c:pt idx="15">
                  <c:v>-56.3</c:v>
                </c:pt>
                <c:pt idx="16">
                  <c:v>-70.3</c:v>
                </c:pt>
                <c:pt idx="17">
                  <c:v>-86.6</c:v>
                </c:pt>
                <c:pt idx="18">
                  <c:v>-104.3</c:v>
                </c:pt>
                <c:pt idx="19">
                  <c:v>-124</c:v>
                </c:pt>
                <c:pt idx="20">
                  <c:v>-145.9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'Federal Fusion Rifle SP'!$K$150</c:f>
              <c:strCache>
                <c:ptCount val="1"/>
                <c:pt idx="0">
                  <c:v>Federal(200m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SP'!$L$152:$L$172</c:f>
              <c:numCache>
                <c:formatCode>0.00</c:formatCode>
                <c:ptCount val="21"/>
                <c:pt idx="0">
                  <c:v>-3.8</c:v>
                </c:pt>
                <c:pt idx="1">
                  <c:v>-0.4</c:v>
                </c:pt>
                <c:pt idx="2">
                  <c:v>2.4</c:v>
                </c:pt>
                <c:pt idx="3">
                  <c:v>4.3</c:v>
                </c:pt>
                <c:pt idx="4">
                  <c:v>5.3</c:v>
                </c:pt>
                <c:pt idx="5">
                  <c:v>5.4</c:v>
                </c:pt>
                <c:pt idx="6">
                  <c:v>4.5999999999999996</c:v>
                </c:pt>
                <c:pt idx="7">
                  <c:v>2.9</c:v>
                </c:pt>
                <c:pt idx="8">
                  <c:v>0</c:v>
                </c:pt>
                <c:pt idx="9">
                  <c:v>-3.9</c:v>
                </c:pt>
                <c:pt idx="10">
                  <c:v>-8.9</c:v>
                </c:pt>
                <c:pt idx="11">
                  <c:v>-15.4</c:v>
                </c:pt>
                <c:pt idx="12">
                  <c:v>-23</c:v>
                </c:pt>
                <c:pt idx="13">
                  <c:v>-31.9</c:v>
                </c:pt>
                <c:pt idx="14">
                  <c:v>-42.5</c:v>
                </c:pt>
                <c:pt idx="15">
                  <c:v>-54.2</c:v>
                </c:pt>
                <c:pt idx="16">
                  <c:v>-67.599999999999994</c:v>
                </c:pt>
                <c:pt idx="17">
                  <c:v>-82.7</c:v>
                </c:pt>
                <c:pt idx="18">
                  <c:v>-99.4</c:v>
                </c:pt>
                <c:pt idx="19">
                  <c:v>-118.1</c:v>
                </c:pt>
                <c:pt idx="20">
                  <c:v>-139.69999999999999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4F-4D08-9B8C-7BADD93F2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4.8000014745605428</c:v>
                </c:pt>
                <c:pt idx="3">
                  <c:v>9.3750048828155528</c:v>
                </c:pt>
                <c:pt idx="4">
                  <c:v>13.320007877560153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14.400002488320515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1.7</c:v>
                </c:pt>
                <c:pt idx="2">
                  <c:v>6.6</c:v>
                </c:pt>
                <c:pt idx="3">
                  <c:v>10.4</c:v>
                </c:pt>
                <c:pt idx="4">
                  <c:v>13.4</c:v>
                </c:pt>
                <c:pt idx="5">
                  <c:v>15.6</c:v>
                </c:pt>
                <c:pt idx="6">
                  <c:v>16.8</c:v>
                </c:pt>
                <c:pt idx="7">
                  <c:v>16.899999999999999</c:v>
                </c:pt>
                <c:pt idx="8">
                  <c:v>16</c:v>
                </c:pt>
                <c:pt idx="9">
                  <c:v>13.9</c:v>
                </c:pt>
                <c:pt idx="10">
                  <c:v>10.7</c:v>
                </c:pt>
                <c:pt idx="11">
                  <c:v>6.1</c:v>
                </c:pt>
                <c:pt idx="12">
                  <c:v>0.2</c:v>
                </c:pt>
                <c:pt idx="13">
                  <c:v>-7</c:v>
                </c:pt>
                <c:pt idx="14">
                  <c:v>-16</c:v>
                </c:pt>
                <c:pt idx="15">
                  <c:v>-26.4</c:v>
                </c:pt>
                <c:pt idx="16">
                  <c:v>-38.4</c:v>
                </c:pt>
                <c:pt idx="17">
                  <c:v>-52.7</c:v>
                </c:pt>
                <c:pt idx="18">
                  <c:v>-68.400000000000006</c:v>
                </c:pt>
                <c:pt idx="19">
                  <c:v>-86.2</c:v>
                </c:pt>
                <c:pt idx="20">
                  <c:v>-106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'Federal Fusion Rifle SP'!$K$174</c:f>
              <c:strCache>
                <c:ptCount val="1"/>
                <c:pt idx="0">
                  <c:v>Federal(300m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SP'!$L$176:$L$196</c:f>
              <c:numCache>
                <c:formatCode>0.00</c:formatCode>
                <c:ptCount val="21"/>
                <c:pt idx="0">
                  <c:v>-3.8</c:v>
                </c:pt>
                <c:pt idx="1">
                  <c:v>1.5</c:v>
                </c:pt>
                <c:pt idx="2">
                  <c:v>6.3</c:v>
                </c:pt>
                <c:pt idx="3">
                  <c:v>10</c:v>
                </c:pt>
                <c:pt idx="4">
                  <c:v>13</c:v>
                </c:pt>
                <c:pt idx="5">
                  <c:v>15</c:v>
                </c:pt>
                <c:pt idx="6">
                  <c:v>16.100000000000001</c:v>
                </c:pt>
                <c:pt idx="7">
                  <c:v>16.3</c:v>
                </c:pt>
                <c:pt idx="8">
                  <c:v>15.3</c:v>
                </c:pt>
                <c:pt idx="9">
                  <c:v>13.4</c:v>
                </c:pt>
                <c:pt idx="10">
                  <c:v>10.199999999999999</c:v>
                </c:pt>
                <c:pt idx="11">
                  <c:v>5.7</c:v>
                </c:pt>
                <c:pt idx="12">
                  <c:v>0</c:v>
                </c:pt>
                <c:pt idx="13">
                  <c:v>-7</c:v>
                </c:pt>
                <c:pt idx="14">
                  <c:v>-15.7</c:v>
                </c:pt>
                <c:pt idx="15">
                  <c:v>-25.5</c:v>
                </c:pt>
                <c:pt idx="16">
                  <c:v>-36.9</c:v>
                </c:pt>
                <c:pt idx="17">
                  <c:v>-50.1</c:v>
                </c:pt>
                <c:pt idx="18">
                  <c:v>-64.900000000000006</c:v>
                </c:pt>
                <c:pt idx="19">
                  <c:v>-81.7</c:v>
                </c:pt>
                <c:pt idx="20">
                  <c:v>-101.4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BF-4588-9DDC-8A79C435F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1.5000001800000258</c:v>
                </c:pt>
                <c:pt idx="2">
                  <c:v>9.9000129373402874</c:v>
                </c:pt>
                <c:pt idx="3">
                  <c:v>16.500026620051539</c:v>
                </c:pt>
                <c:pt idx="4">
                  <c:v>22.000035493402052</c:v>
                </c:pt>
                <c:pt idx="5">
                  <c:v>28.125047461033603</c:v>
                </c:pt>
                <c:pt idx="6">
                  <c:v>30.000040000063997</c:v>
                </c:pt>
                <c:pt idx="7">
                  <c:v>35.000035729210438</c:v>
                </c:pt>
                <c:pt idx="8">
                  <c:v>33.300019693900381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4.0999999999999996</c:v>
                </c:pt>
                <c:pt idx="2">
                  <c:v>11.5</c:v>
                </c:pt>
                <c:pt idx="3">
                  <c:v>17.8</c:v>
                </c:pt>
                <c:pt idx="4">
                  <c:v>23.2</c:v>
                </c:pt>
                <c:pt idx="5">
                  <c:v>27.9</c:v>
                </c:pt>
                <c:pt idx="6">
                  <c:v>31.5</c:v>
                </c:pt>
                <c:pt idx="7">
                  <c:v>34</c:v>
                </c:pt>
                <c:pt idx="8">
                  <c:v>35.6</c:v>
                </c:pt>
                <c:pt idx="9">
                  <c:v>35.9</c:v>
                </c:pt>
                <c:pt idx="10">
                  <c:v>35.1</c:v>
                </c:pt>
                <c:pt idx="11">
                  <c:v>33</c:v>
                </c:pt>
                <c:pt idx="12">
                  <c:v>29.6</c:v>
                </c:pt>
                <c:pt idx="13">
                  <c:v>24.7</c:v>
                </c:pt>
                <c:pt idx="14">
                  <c:v>18.2</c:v>
                </c:pt>
                <c:pt idx="15">
                  <c:v>10.3</c:v>
                </c:pt>
                <c:pt idx="16">
                  <c:v>0.7</c:v>
                </c:pt>
                <c:pt idx="17">
                  <c:v>-11.1</c:v>
                </c:pt>
                <c:pt idx="18">
                  <c:v>-24.5</c:v>
                </c:pt>
                <c:pt idx="19">
                  <c:v>-39.799999999999997</c:v>
                </c:pt>
                <c:pt idx="20">
                  <c:v>-57.3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'Federal Fusion Rifle SP'!$K$198</c:f>
              <c:strCache>
                <c:ptCount val="1"/>
                <c:pt idx="0">
                  <c:v>Federal(400m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SP'!$L$200:$L$220</c:f>
              <c:numCache>
                <c:formatCode>0.00</c:formatCode>
                <c:ptCount val="21"/>
                <c:pt idx="0">
                  <c:v>-3.8</c:v>
                </c:pt>
                <c:pt idx="1">
                  <c:v>3.8</c:v>
                </c:pt>
                <c:pt idx="2">
                  <c:v>10.9</c:v>
                </c:pt>
                <c:pt idx="3">
                  <c:v>17</c:v>
                </c:pt>
                <c:pt idx="4">
                  <c:v>22.2</c:v>
                </c:pt>
                <c:pt idx="5">
                  <c:v>26.6</c:v>
                </c:pt>
                <c:pt idx="6">
                  <c:v>30</c:v>
                </c:pt>
                <c:pt idx="7">
                  <c:v>32.4</c:v>
                </c:pt>
                <c:pt idx="8">
                  <c:v>33.9</c:v>
                </c:pt>
                <c:pt idx="9">
                  <c:v>34.200000000000003</c:v>
                </c:pt>
                <c:pt idx="10">
                  <c:v>33.299999999999997</c:v>
                </c:pt>
                <c:pt idx="11">
                  <c:v>31.1</c:v>
                </c:pt>
                <c:pt idx="12">
                  <c:v>27.7</c:v>
                </c:pt>
                <c:pt idx="13">
                  <c:v>23</c:v>
                </c:pt>
                <c:pt idx="14">
                  <c:v>16.7</c:v>
                </c:pt>
                <c:pt idx="15">
                  <c:v>9.1999999999999993</c:v>
                </c:pt>
                <c:pt idx="16">
                  <c:v>0</c:v>
                </c:pt>
                <c:pt idx="17">
                  <c:v>-10.8</c:v>
                </c:pt>
                <c:pt idx="18">
                  <c:v>-23.3</c:v>
                </c:pt>
                <c:pt idx="19">
                  <c:v>-37.9</c:v>
                </c:pt>
                <c:pt idx="20">
                  <c:v>-55.2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47-407D-A98E-8C5BB8E1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4.5000048600062978</c:v>
                </c:pt>
                <c:pt idx="2">
                  <c:v>15.000045000162002</c:v>
                </c:pt>
                <c:pt idx="3">
                  <c:v>24.990092481936625</c:v>
                </c:pt>
                <c:pt idx="4">
                  <c:v>33.320123309248828</c:v>
                </c:pt>
                <c:pt idx="5">
                  <c:v>41.650154136561042</c:v>
                </c:pt>
                <c:pt idx="6">
                  <c:v>48.750171641350178</c:v>
                </c:pt>
                <c:pt idx="7">
                  <c:v>60.000180000648008</c:v>
                </c:pt>
                <c:pt idx="8">
                  <c:v>65.00014646706272</c:v>
                </c:pt>
                <c:pt idx="9">
                  <c:v>66.000106480206156</c:v>
                </c:pt>
                <c:pt idx="10">
                  <c:v>58.380054142139294</c:v>
                </c:pt>
                <c:pt idx="11">
                  <c:v>50.000026041682943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'Federal Fusion Rifle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Fusion Rifle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</c:v>
                </c:pt>
                <c:pt idx="2">
                  <c:v>17.399999999999999</c:v>
                </c:pt>
                <c:pt idx="3">
                  <c:v>26.6</c:v>
                </c:pt>
                <c:pt idx="4">
                  <c:v>35</c:v>
                </c:pt>
                <c:pt idx="5">
                  <c:v>42.7</c:v>
                </c:pt>
                <c:pt idx="6">
                  <c:v>49.1</c:v>
                </c:pt>
                <c:pt idx="7">
                  <c:v>54.6</c:v>
                </c:pt>
                <c:pt idx="8">
                  <c:v>59.2</c:v>
                </c:pt>
                <c:pt idx="9">
                  <c:v>62.5</c:v>
                </c:pt>
                <c:pt idx="10">
                  <c:v>64.599999999999994</c:v>
                </c:pt>
                <c:pt idx="11">
                  <c:v>65.400000000000006</c:v>
                </c:pt>
                <c:pt idx="12">
                  <c:v>64.900000000000006</c:v>
                </c:pt>
                <c:pt idx="13">
                  <c:v>63</c:v>
                </c:pt>
                <c:pt idx="14">
                  <c:v>59.5</c:v>
                </c:pt>
                <c:pt idx="15">
                  <c:v>54.4</c:v>
                </c:pt>
                <c:pt idx="16">
                  <c:v>47.8</c:v>
                </c:pt>
                <c:pt idx="17">
                  <c:v>39</c:v>
                </c:pt>
                <c:pt idx="18">
                  <c:v>28.5</c:v>
                </c:pt>
                <c:pt idx="19">
                  <c:v>16.100000000000001</c:v>
                </c:pt>
                <c:pt idx="20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'Federal Fusion Rifle SP'!$K$222</c:f>
              <c:strCache>
                <c:ptCount val="1"/>
                <c:pt idx="0">
                  <c:v>Federal(500m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Fusion Rifle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SP'!$L$224:$L$244</c:f>
              <c:numCache>
                <c:formatCode>0.00</c:formatCode>
                <c:ptCount val="21"/>
                <c:pt idx="0">
                  <c:v>-3.8</c:v>
                </c:pt>
                <c:pt idx="1">
                  <c:v>6.5</c:v>
                </c:pt>
                <c:pt idx="2">
                  <c:v>16.5</c:v>
                </c:pt>
                <c:pt idx="3">
                  <c:v>25.2</c:v>
                </c:pt>
                <c:pt idx="4">
                  <c:v>33.200000000000003</c:v>
                </c:pt>
                <c:pt idx="5">
                  <c:v>40.4</c:v>
                </c:pt>
                <c:pt idx="6">
                  <c:v>46.5</c:v>
                </c:pt>
                <c:pt idx="7">
                  <c:v>51.7</c:v>
                </c:pt>
                <c:pt idx="8">
                  <c:v>55.9</c:v>
                </c:pt>
                <c:pt idx="9">
                  <c:v>59</c:v>
                </c:pt>
                <c:pt idx="10">
                  <c:v>60.8</c:v>
                </c:pt>
                <c:pt idx="11">
                  <c:v>61.5</c:v>
                </c:pt>
                <c:pt idx="12">
                  <c:v>60.8</c:v>
                </c:pt>
                <c:pt idx="13">
                  <c:v>58.8</c:v>
                </c:pt>
                <c:pt idx="14">
                  <c:v>55.3</c:v>
                </c:pt>
                <c:pt idx="15">
                  <c:v>50.5</c:v>
                </c:pt>
                <c:pt idx="16">
                  <c:v>44.1</c:v>
                </c:pt>
                <c:pt idx="17">
                  <c:v>36.1</c:v>
                </c:pt>
                <c:pt idx="18">
                  <c:v>26.3</c:v>
                </c:pt>
                <c:pt idx="19">
                  <c:v>14.5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08-4F43-997D-0F74FD3EE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5.397785962238591E-2"/>
                  <c:y val="-0.20010064725996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HP'!$B$22:$B$35</c:f>
              <c:numCache>
                <c:formatCode>0.00</c:formatCode>
                <c:ptCount val="14"/>
                <c:pt idx="0">
                  <c:v>2620</c:v>
                </c:pt>
                <c:pt idx="1">
                  <c:v>2456.6999999999998</c:v>
                </c:pt>
                <c:pt idx="2">
                  <c:v>2291.5</c:v>
                </c:pt>
                <c:pt idx="3">
                  <c:v>2111.8000000000002</c:v>
                </c:pt>
                <c:pt idx="4">
                  <c:v>1950</c:v>
                </c:pt>
                <c:pt idx="5">
                  <c:v>1803.3</c:v>
                </c:pt>
                <c:pt idx="6">
                  <c:v>1669.6</c:v>
                </c:pt>
                <c:pt idx="7">
                  <c:v>1424.6</c:v>
                </c:pt>
                <c:pt idx="8">
                  <c:v>1195.5999999999999</c:v>
                </c:pt>
                <c:pt idx="9">
                  <c:v>1002.8</c:v>
                </c:pt>
                <c:pt idx="10">
                  <c:v>839.6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'Rem Core-Lokt Copper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058504783676232E-2"/>
                  <c:y val="9.559563153528512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HP'!$C$80:$C$100</c:f>
              <c:numCache>
                <c:formatCode>0.00</c:formatCode>
                <c:ptCount val="21"/>
                <c:pt idx="0">
                  <c:v>2620</c:v>
                </c:pt>
                <c:pt idx="1">
                  <c:v>2429</c:v>
                </c:pt>
                <c:pt idx="2">
                  <c:v>2251</c:v>
                </c:pt>
                <c:pt idx="3">
                  <c:v>2084</c:v>
                </c:pt>
                <c:pt idx="4">
                  <c:v>1928</c:v>
                </c:pt>
                <c:pt idx="5">
                  <c:v>1781</c:v>
                </c:pt>
                <c:pt idx="6">
                  <c:v>1644</c:v>
                </c:pt>
                <c:pt idx="7">
                  <c:v>1514</c:v>
                </c:pt>
                <c:pt idx="8">
                  <c:v>1393</c:v>
                </c:pt>
                <c:pt idx="9">
                  <c:v>1280</c:v>
                </c:pt>
                <c:pt idx="10">
                  <c:v>1173</c:v>
                </c:pt>
                <c:pt idx="11">
                  <c:v>1074</c:v>
                </c:pt>
                <c:pt idx="12">
                  <c:v>982</c:v>
                </c:pt>
                <c:pt idx="13">
                  <c:v>896</c:v>
                </c:pt>
                <c:pt idx="14">
                  <c:v>816</c:v>
                </c:pt>
                <c:pt idx="15">
                  <c:v>743</c:v>
                </c:pt>
                <c:pt idx="16">
                  <c:v>676</c:v>
                </c:pt>
                <c:pt idx="17">
                  <c:v>614</c:v>
                </c:pt>
                <c:pt idx="18">
                  <c:v>558</c:v>
                </c:pt>
                <c:pt idx="19">
                  <c:v>507</c:v>
                </c:pt>
                <c:pt idx="20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'Rem Core-Lokt Copper HP'!$K$78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Core-Lokt Copper HP'!$K$80:$K$100</c:f>
              <c:numCache>
                <c:formatCode>0.00</c:formatCode>
                <c:ptCount val="21"/>
              </c:numCache>
            </c:numRef>
          </c:xVal>
          <c:yVal>
            <c:numRef>
              <c:f>'Rem Core-Lokt Copper HP'!$S$71:$S$78</c:f>
              <c:numCache>
                <c:formatCode>0.00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FA-4479-B5EB-341726232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6.2500005208333844</c:v>
                </c:pt>
                <c:pt idx="6">
                  <c:v>4.687500152587897</c:v>
                </c:pt>
                <c:pt idx="7">
                  <c:v>0</c:v>
                </c:pt>
                <c:pt idx="8">
                  <c:v>-15.625002034505526</c:v>
                </c:pt>
                <c:pt idx="9">
                  <c:v>-28.12500823974899</c:v>
                </c:pt>
                <c:pt idx="10">
                  <c:v>-61.250062526118263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'Rem Core-Lokt Copper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-4.2187540045211627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-3.3750000569531267</c:v>
                </c:pt>
                <c:pt idx="7">
                  <c:v>-9.0000006075000485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-65.67757708912346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'Rem Core-Lokt Copper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-1.3281250312360138</c:v>
                </c:pt>
                <c:pt idx="3">
                  <c:v>0.31875000019191407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-15.937502159033553</c:v>
                </c:pt>
                <c:pt idx="9">
                  <c:v>-33.150013492332846</c:v>
                </c:pt>
                <c:pt idx="10">
                  <c:v>-59.500057318399598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'Rem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1.0625000159928388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5.2912502194679423</c:v>
                </c:pt>
                <c:pt idx="7">
                  <c:v>0</c:v>
                </c:pt>
                <c:pt idx="8">
                  <c:v>-8.8187503657799056</c:v>
                </c:pt>
                <c:pt idx="9">
                  <c:v>-30.600010612084422</c:v>
                </c:pt>
                <c:pt idx="10">
                  <c:v>-49.533783070946775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'Rem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5.0000016666673339</c:v>
                </c:pt>
                <c:pt idx="3">
                  <c:v>9.5250051209608042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18.000008640004971</c:v>
                </c:pt>
                <c:pt idx="7">
                  <c:v>19.200005898242171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'Rem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2.4000007372802714</c:v>
                </c:pt>
                <c:pt idx="2">
                  <c:v>10.000013333354666</c:v>
                </c:pt>
                <c:pt idx="3">
                  <c:v>17.490031704914887</c:v>
                </c:pt>
                <c:pt idx="4">
                  <c:v>24.000046080106166</c:v>
                </c:pt>
                <c:pt idx="5">
                  <c:v>33.350079131148782</c:v>
                </c:pt>
                <c:pt idx="6">
                  <c:v>33.750056953240325</c:v>
                </c:pt>
                <c:pt idx="7">
                  <c:v>40.000053333418663</c:v>
                </c:pt>
                <c:pt idx="8">
                  <c:v>41.700038672956637</c:v>
                </c:pt>
                <c:pt idx="9">
                  <c:v>37.500019531262211</c:v>
                </c:pt>
                <c:pt idx="10">
                  <c:v>23.380003477572998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'Rem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6.7500164025478284</c:v>
                </c:pt>
                <c:pt idx="2">
                  <c:v>15.007545067696162</c:v>
                </c:pt>
                <c:pt idx="3">
                  <c:v>33.581474414169584</c:v>
                </c:pt>
                <c:pt idx="4">
                  <c:v>45.000303752460397</c:v>
                </c:pt>
                <c:pt idx="5">
                  <c:v>56.250379690575492</c:v>
                </c:pt>
                <c:pt idx="6">
                  <c:v>64.125390644340058</c:v>
                </c:pt>
                <c:pt idx="7">
                  <c:v>78.750406980062976</c:v>
                </c:pt>
                <c:pt idx="8">
                  <c:v>85.500333348959586</c:v>
                </c:pt>
                <c:pt idx="9">
                  <c:v>78.705180569502403</c:v>
                </c:pt>
                <c:pt idx="10">
                  <c:v>80.718893108972665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4802754953975E-2"/>
          <c:y val="8.8309523809523824E-2"/>
          <c:w val="0.78159981733207584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'Rem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2644337714915357"/>
                  <c:y val="-0.6214778777652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'Rem Core-Lokt Copper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'Rem Core-Lokt Copper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</c:v>
                </c:pt>
                <c:pt idx="5">
                  <c:v>6.25E-2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'Rem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2253521906918548"/>
                  <c:y val="-6.33380202474690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'Rem Core-Lokt Copper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'Rem Core-Lokt Copper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-0.1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'Rem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2176337323484091"/>
                  <c:y val="-0.35607649043869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-6.25E-2</c:v>
                </c:pt>
                <c:pt idx="2">
                  <c:v>0.01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-0.15</c:v>
                </c:pt>
                <c:pt idx="8">
                  <c:v>-0.26</c:v>
                </c:pt>
                <c:pt idx="9">
                  <c:v>-0.4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'Rem Core-Lokt Copper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0690258674931309"/>
                  <c:y val="-0.275610048743906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0.05</c:v>
                </c:pt>
                <c:pt idx="2">
                  <c:v>0.1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-0.24</c:v>
                </c:pt>
                <c:pt idx="9">
                  <c:v>-0.33300000000000002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'Rem Core-Lokt Copper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7912534806712349"/>
                  <c:y val="-5.47277840269966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HP'!$G$23:$G$35</c:f>
              <c:numCache>
                <c:formatCode>0.000</c:formatCode>
                <c:ptCount val="13"/>
                <c:pt idx="0">
                  <c:v>-6.25E-2</c:v>
                </c:pt>
                <c:pt idx="1">
                  <c:v>0.25</c:v>
                </c:pt>
                <c:pt idx="2">
                  <c:v>0.3175</c:v>
                </c:pt>
                <c:pt idx="3">
                  <c:v>0.33300000000000002</c:v>
                </c:pt>
                <c:pt idx="4">
                  <c:v>0.33300000000000002</c:v>
                </c:pt>
                <c:pt idx="5">
                  <c:v>0.3</c:v>
                </c:pt>
                <c:pt idx="6">
                  <c:v>0.24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'Rem Core-Lokt Copper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9653624360154512"/>
                  <c:y val="0.1669086989126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HP'!$H$23:$H$35</c:f>
              <c:numCache>
                <c:formatCode>0.000</c:formatCode>
                <c:ptCount val="13"/>
                <c:pt idx="0">
                  <c:v>0.24</c:v>
                </c:pt>
                <c:pt idx="1">
                  <c:v>0.5</c:v>
                </c:pt>
                <c:pt idx="2">
                  <c:v>0.58299999999999996</c:v>
                </c:pt>
                <c:pt idx="3">
                  <c:v>0.6</c:v>
                </c:pt>
                <c:pt idx="4">
                  <c:v>0.66700000000000004</c:v>
                </c:pt>
                <c:pt idx="5">
                  <c:v>0.5625</c:v>
                </c:pt>
                <c:pt idx="6">
                  <c:v>0.5</c:v>
                </c:pt>
                <c:pt idx="7">
                  <c:v>0.41699999999999998</c:v>
                </c:pt>
                <c:pt idx="8">
                  <c:v>0.3125</c:v>
                </c:pt>
                <c:pt idx="9">
                  <c:v>0.16700000000000001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'Rem Core-Lokt Copper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5615194344187483"/>
                  <c:y val="0.479256655418072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 Core-Lokt Copper HP'!$I$23:$I$35</c:f>
              <c:numCache>
                <c:formatCode>0.000</c:formatCode>
                <c:ptCount val="13"/>
                <c:pt idx="0">
                  <c:v>0.6</c:v>
                </c:pt>
                <c:pt idx="1">
                  <c:v>0.66700000000000004</c:v>
                </c:pt>
                <c:pt idx="2">
                  <c:v>0.995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0.875</c:v>
                </c:pt>
                <c:pt idx="7">
                  <c:v>0.76</c:v>
                </c:pt>
                <c:pt idx="8">
                  <c:v>0.58299999999999996</c:v>
                </c:pt>
                <c:pt idx="9">
                  <c:v>0.51249999999999996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0.7</c:v>
                </c:pt>
                <c:pt idx="5">
                  <c:v>-0.3</c:v>
                </c:pt>
                <c:pt idx="6">
                  <c:v>-2.2000000000000002</c:v>
                </c:pt>
                <c:pt idx="7">
                  <c:v>-5.0999999999999996</c:v>
                </c:pt>
                <c:pt idx="8">
                  <c:v>-9.4</c:v>
                </c:pt>
                <c:pt idx="9">
                  <c:v>-14.9</c:v>
                </c:pt>
                <c:pt idx="10">
                  <c:v>-21.7</c:v>
                </c:pt>
                <c:pt idx="11">
                  <c:v>-30.3</c:v>
                </c:pt>
                <c:pt idx="12">
                  <c:v>-40.4</c:v>
                </c:pt>
                <c:pt idx="13">
                  <c:v>-52.3</c:v>
                </c:pt>
                <c:pt idx="14">
                  <c:v>-66.900000000000006</c:v>
                </c:pt>
                <c:pt idx="15">
                  <c:v>-83.3</c:v>
                </c:pt>
                <c:pt idx="16">
                  <c:v>-102.2</c:v>
                </c:pt>
                <c:pt idx="17">
                  <c:v>-124.7</c:v>
                </c:pt>
                <c:pt idx="18">
                  <c:v>-149.69999999999999</c:v>
                </c:pt>
                <c:pt idx="19">
                  <c:v>-178.1</c:v>
                </c:pt>
                <c:pt idx="20">
                  <c:v>-210.3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8-4832-8EF2-D5952CF0686A}"/>
            </c:ext>
          </c:extLst>
        </c:ser>
        <c:ser>
          <c:idx val="2"/>
          <c:order val="1"/>
          <c:tx>
            <c:strRef>
              <c:f>'Rem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6.2500005208333844</c:v>
                </c:pt>
                <c:pt idx="6">
                  <c:v>4.687500152587897</c:v>
                </c:pt>
                <c:pt idx="7">
                  <c:v>0</c:v>
                </c:pt>
                <c:pt idx="8">
                  <c:v>-15.625002034505526</c:v>
                </c:pt>
                <c:pt idx="9">
                  <c:v>-28.12500823974899</c:v>
                </c:pt>
                <c:pt idx="10">
                  <c:v>-61.250062526118263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8-4832-8EF2-D5952CF06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-4.2187540045211627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-3.3750000569531267</c:v>
                </c:pt>
                <c:pt idx="7">
                  <c:v>-9.0000006075000485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-65.67757708912346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'Rem Core-Lokt Copper HP'!$A$102</c:f>
              <c:strCache>
                <c:ptCount val="1"/>
                <c:pt idx="0">
                  <c:v>Hornady 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-3.2</c:v>
                </c:pt>
                <c:pt idx="7">
                  <c:v>-6.4</c:v>
                </c:pt>
                <c:pt idx="8">
                  <c:v>-10.8</c:v>
                </c:pt>
                <c:pt idx="9">
                  <c:v>-16.399999999999999</c:v>
                </c:pt>
                <c:pt idx="10">
                  <c:v>-23.4</c:v>
                </c:pt>
                <c:pt idx="11">
                  <c:v>-32.299999999999997</c:v>
                </c:pt>
                <c:pt idx="12">
                  <c:v>-42.5</c:v>
                </c:pt>
                <c:pt idx="13">
                  <c:v>-54.6</c:v>
                </c:pt>
                <c:pt idx="14">
                  <c:v>-69.400000000000006</c:v>
                </c:pt>
                <c:pt idx="15">
                  <c:v>-85.9</c:v>
                </c:pt>
                <c:pt idx="16">
                  <c:v>-105</c:v>
                </c:pt>
                <c:pt idx="17">
                  <c:v>-127.7</c:v>
                </c:pt>
                <c:pt idx="18">
                  <c:v>-152.9</c:v>
                </c:pt>
                <c:pt idx="19">
                  <c:v>-181.4</c:v>
                </c:pt>
                <c:pt idx="20">
                  <c:v>-213.9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-1.3281250312360138</c:v>
                </c:pt>
                <c:pt idx="3">
                  <c:v>0.31875000019191407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-15.937502159033553</c:v>
                </c:pt>
                <c:pt idx="9">
                  <c:v>-33.150013492332846</c:v>
                </c:pt>
                <c:pt idx="10">
                  <c:v>-59.500057318399598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'Rem Core-Lokt Copper HP'!$A$126</c:f>
              <c:strCache>
                <c:ptCount val="1"/>
                <c:pt idx="0">
                  <c:v>Hornady(150m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1.9</c:v>
                </c:pt>
                <c:pt idx="4">
                  <c:v>2.2000000000000002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-6.5</c:v>
                </c:pt>
                <c:pt idx="9">
                  <c:v>-11.6</c:v>
                </c:pt>
                <c:pt idx="10">
                  <c:v>-18</c:v>
                </c:pt>
                <c:pt idx="11">
                  <c:v>-26.3</c:v>
                </c:pt>
                <c:pt idx="12">
                  <c:v>-36</c:v>
                </c:pt>
                <c:pt idx="13">
                  <c:v>-47.6</c:v>
                </c:pt>
                <c:pt idx="14">
                  <c:v>-61.8</c:v>
                </c:pt>
                <c:pt idx="15">
                  <c:v>-77.8</c:v>
                </c:pt>
                <c:pt idx="16">
                  <c:v>-96.3</c:v>
                </c:pt>
                <c:pt idx="17">
                  <c:v>-118.5</c:v>
                </c:pt>
                <c:pt idx="18">
                  <c:v>-143.1</c:v>
                </c:pt>
                <c:pt idx="19">
                  <c:v>-171.2</c:v>
                </c:pt>
                <c:pt idx="20">
                  <c:v>-203.1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1.0625000159928388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5.2912502194679423</c:v>
                </c:pt>
                <c:pt idx="7">
                  <c:v>0</c:v>
                </c:pt>
                <c:pt idx="8">
                  <c:v>-8.8187503657799056</c:v>
                </c:pt>
                <c:pt idx="9">
                  <c:v>-30.600010612084422</c:v>
                </c:pt>
                <c:pt idx="10">
                  <c:v>-49.533783070946775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'Rem Core-Lokt Copper HP'!$A$150</c:f>
              <c:strCache>
                <c:ptCount val="1"/>
                <c:pt idx="0">
                  <c:v>Hornady(200m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-0.4</c:v>
                </c:pt>
                <c:pt idx="2">
                  <c:v>2.4</c:v>
                </c:pt>
                <c:pt idx="3">
                  <c:v>4.3</c:v>
                </c:pt>
                <c:pt idx="4">
                  <c:v>5.4</c:v>
                </c:pt>
                <c:pt idx="5">
                  <c:v>5.6</c:v>
                </c:pt>
                <c:pt idx="6">
                  <c:v>4.9000000000000004</c:v>
                </c:pt>
                <c:pt idx="7">
                  <c:v>3.1</c:v>
                </c:pt>
                <c:pt idx="8">
                  <c:v>0</c:v>
                </c:pt>
                <c:pt idx="9">
                  <c:v>-4.3</c:v>
                </c:pt>
                <c:pt idx="10">
                  <c:v>-9.9</c:v>
                </c:pt>
                <c:pt idx="11">
                  <c:v>-17.399999999999999</c:v>
                </c:pt>
                <c:pt idx="12">
                  <c:v>-26.3</c:v>
                </c:pt>
                <c:pt idx="13">
                  <c:v>-37.1</c:v>
                </c:pt>
                <c:pt idx="14">
                  <c:v>-50.4</c:v>
                </c:pt>
                <c:pt idx="15">
                  <c:v>-65.599999999999994</c:v>
                </c:pt>
                <c:pt idx="16">
                  <c:v>-83.4</c:v>
                </c:pt>
                <c:pt idx="17">
                  <c:v>-104.8</c:v>
                </c:pt>
                <c:pt idx="18">
                  <c:v>-128.5</c:v>
                </c:pt>
                <c:pt idx="19">
                  <c:v>-155.80000000000001</c:v>
                </c:pt>
                <c:pt idx="20">
                  <c:v>-186.9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5.0000016666673339</c:v>
                </c:pt>
                <c:pt idx="3">
                  <c:v>9.5250051209608042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18.000008640004971</c:v>
                </c:pt>
                <c:pt idx="7">
                  <c:v>19.200005898242171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'Rem Core-Lokt Copper HP'!$A$174</c:f>
              <c:strCache>
                <c:ptCount val="1"/>
                <c:pt idx="0">
                  <c:v>Hornady(300m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1.8</c:v>
                </c:pt>
                <c:pt idx="2">
                  <c:v>6.8</c:v>
                </c:pt>
                <c:pt idx="3">
                  <c:v>10.9</c:v>
                </c:pt>
                <c:pt idx="4">
                  <c:v>14.2</c:v>
                </c:pt>
                <c:pt idx="5">
                  <c:v>16.7</c:v>
                </c:pt>
                <c:pt idx="6">
                  <c:v>18.100000000000001</c:v>
                </c:pt>
                <c:pt idx="7">
                  <c:v>18.5</c:v>
                </c:pt>
                <c:pt idx="8">
                  <c:v>17.600000000000001</c:v>
                </c:pt>
                <c:pt idx="9">
                  <c:v>15.5</c:v>
                </c:pt>
                <c:pt idx="10">
                  <c:v>12</c:v>
                </c:pt>
                <c:pt idx="11">
                  <c:v>6.8</c:v>
                </c:pt>
                <c:pt idx="12">
                  <c:v>0.1</c:v>
                </c:pt>
                <c:pt idx="13">
                  <c:v>-8.5</c:v>
                </c:pt>
                <c:pt idx="14">
                  <c:v>-19.600000000000001</c:v>
                </c:pt>
                <c:pt idx="15">
                  <c:v>-32.700000000000003</c:v>
                </c:pt>
                <c:pt idx="16">
                  <c:v>-48.2</c:v>
                </c:pt>
                <c:pt idx="17">
                  <c:v>-67.3</c:v>
                </c:pt>
                <c:pt idx="18">
                  <c:v>-88.9</c:v>
                </c:pt>
                <c:pt idx="19">
                  <c:v>-114</c:v>
                </c:pt>
                <c:pt idx="20">
                  <c:v>-142.9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2.4000007372802714</c:v>
                </c:pt>
                <c:pt idx="2">
                  <c:v>10.000013333354666</c:v>
                </c:pt>
                <c:pt idx="3">
                  <c:v>17.490031704914887</c:v>
                </c:pt>
                <c:pt idx="4">
                  <c:v>24.000046080106166</c:v>
                </c:pt>
                <c:pt idx="5">
                  <c:v>33.350079131148782</c:v>
                </c:pt>
                <c:pt idx="6">
                  <c:v>33.750056953240325</c:v>
                </c:pt>
                <c:pt idx="7">
                  <c:v>40.000053333418663</c:v>
                </c:pt>
                <c:pt idx="8">
                  <c:v>41.700038672956637</c:v>
                </c:pt>
                <c:pt idx="9">
                  <c:v>37.500019531262211</c:v>
                </c:pt>
                <c:pt idx="10">
                  <c:v>23.380003477572998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'Rem Core-Lokt Copper HP'!$A$198</c:f>
              <c:strCache>
                <c:ptCount val="1"/>
                <c:pt idx="0">
                  <c:v>Hornday(400m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4.8</c:v>
                </c:pt>
                <c:pt idx="2">
                  <c:v>12.9</c:v>
                </c:pt>
                <c:pt idx="3">
                  <c:v>20</c:v>
                </c:pt>
                <c:pt idx="4">
                  <c:v>26.3</c:v>
                </c:pt>
                <c:pt idx="5">
                  <c:v>31.9</c:v>
                </c:pt>
                <c:pt idx="6">
                  <c:v>36.299999999999997</c:v>
                </c:pt>
                <c:pt idx="7">
                  <c:v>39.6</c:v>
                </c:pt>
                <c:pt idx="8">
                  <c:v>41.9</c:v>
                </c:pt>
                <c:pt idx="9">
                  <c:v>42.8</c:v>
                </c:pt>
                <c:pt idx="10">
                  <c:v>42.3</c:v>
                </c:pt>
                <c:pt idx="11">
                  <c:v>40.200000000000003</c:v>
                </c:pt>
                <c:pt idx="12">
                  <c:v>36.4</c:v>
                </c:pt>
                <c:pt idx="13">
                  <c:v>30.8</c:v>
                </c:pt>
                <c:pt idx="14">
                  <c:v>22.8</c:v>
                </c:pt>
                <c:pt idx="15">
                  <c:v>12.8</c:v>
                </c:pt>
                <c:pt idx="16">
                  <c:v>0.2</c:v>
                </c:pt>
                <c:pt idx="17">
                  <c:v>-15.8</c:v>
                </c:pt>
                <c:pt idx="18">
                  <c:v>-34.4</c:v>
                </c:pt>
                <c:pt idx="19">
                  <c:v>-56.5</c:v>
                </c:pt>
                <c:pt idx="20">
                  <c:v>-82.4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6.7500164025478284</c:v>
                </c:pt>
                <c:pt idx="2">
                  <c:v>15.007545067696162</c:v>
                </c:pt>
                <c:pt idx="3">
                  <c:v>33.581474414169584</c:v>
                </c:pt>
                <c:pt idx="4">
                  <c:v>45.000303752460397</c:v>
                </c:pt>
                <c:pt idx="5">
                  <c:v>56.250379690575492</c:v>
                </c:pt>
                <c:pt idx="6">
                  <c:v>64.125390644340058</c:v>
                </c:pt>
                <c:pt idx="7">
                  <c:v>78.750406980062976</c:v>
                </c:pt>
                <c:pt idx="8">
                  <c:v>85.500333348959586</c:v>
                </c:pt>
                <c:pt idx="9">
                  <c:v>78.705180569502403</c:v>
                </c:pt>
                <c:pt idx="10">
                  <c:v>80.718893108972665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'Rem Core-Lokt Copper HP'!$A$222</c:f>
              <c:strCache>
                <c:ptCount val="1"/>
                <c:pt idx="0">
                  <c:v>Hornady(500m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 Core-Lokt Copper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8.9</c:v>
                </c:pt>
                <c:pt idx="2">
                  <c:v>21.3</c:v>
                </c:pt>
                <c:pt idx="3">
                  <c:v>32.5</c:v>
                </c:pt>
                <c:pt idx="4">
                  <c:v>42.9</c:v>
                </c:pt>
                <c:pt idx="5">
                  <c:v>52.8</c:v>
                </c:pt>
                <c:pt idx="6">
                  <c:v>61.3</c:v>
                </c:pt>
                <c:pt idx="7">
                  <c:v>68.8</c:v>
                </c:pt>
                <c:pt idx="8">
                  <c:v>75.3</c:v>
                </c:pt>
                <c:pt idx="9">
                  <c:v>80.3</c:v>
                </c:pt>
                <c:pt idx="10">
                  <c:v>83.9</c:v>
                </c:pt>
                <c:pt idx="11">
                  <c:v>86.1</c:v>
                </c:pt>
                <c:pt idx="12">
                  <c:v>86.4</c:v>
                </c:pt>
                <c:pt idx="13">
                  <c:v>84.9</c:v>
                </c:pt>
                <c:pt idx="14">
                  <c:v>81.2</c:v>
                </c:pt>
                <c:pt idx="15">
                  <c:v>75.3</c:v>
                </c:pt>
                <c:pt idx="16">
                  <c:v>66.8</c:v>
                </c:pt>
                <c:pt idx="17">
                  <c:v>55.1</c:v>
                </c:pt>
                <c:pt idx="18">
                  <c:v>40.6</c:v>
                </c:pt>
                <c:pt idx="19">
                  <c:v>22.6</c:v>
                </c:pt>
                <c:pt idx="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Measured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SP'!$B$1:$C$1</c:f>
              <c:strCache>
                <c:ptCount val="1"/>
                <c:pt idx="0">
                  <c:v>243 Winchester Federal Fusion Rifle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SP'!$B$22:$B$35</c:f>
              <c:numCache>
                <c:formatCode>0.00</c:formatCode>
                <c:ptCount val="14"/>
                <c:pt idx="0">
                  <c:v>2539.4</c:v>
                </c:pt>
                <c:pt idx="1">
                  <c:v>2444.5</c:v>
                </c:pt>
                <c:pt idx="2">
                  <c:v>2326.6</c:v>
                </c:pt>
                <c:pt idx="3">
                  <c:v>2214.5</c:v>
                </c:pt>
                <c:pt idx="4">
                  <c:v>2109.3000000000002</c:v>
                </c:pt>
                <c:pt idx="5">
                  <c:v>2010.4</c:v>
                </c:pt>
                <c:pt idx="6">
                  <c:v>1916.7</c:v>
                </c:pt>
                <c:pt idx="7">
                  <c:v>1733.8</c:v>
                </c:pt>
                <c:pt idx="8">
                  <c:v>1561</c:v>
                </c:pt>
                <c:pt idx="9">
                  <c:v>1409.6</c:v>
                </c:pt>
                <c:pt idx="10">
                  <c:v>1268.4000000000001</c:v>
                </c:pt>
                <c:pt idx="11">
                  <c:v>1136.5</c:v>
                </c:pt>
                <c:pt idx="12">
                  <c:v>1015.5</c:v>
                </c:pt>
                <c:pt idx="13">
                  <c:v>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1"/>
          <c:order val="1"/>
          <c:tx>
            <c:strRef>
              <c:f>'Rem Premier AccuTip-V PHP'!$B$1:$C$1</c:f>
              <c:strCache>
                <c:ptCount val="1"/>
                <c:pt idx="0">
                  <c:v>243 Winchester Remington Premier AccuTip-V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PHP'!$B$22:$B$35</c:f>
              <c:numCache>
                <c:formatCode>0.00</c:formatCode>
                <c:ptCount val="14"/>
                <c:pt idx="0">
                  <c:v>3086.3</c:v>
                </c:pt>
                <c:pt idx="1">
                  <c:v>2924.8</c:v>
                </c:pt>
                <c:pt idx="2">
                  <c:v>2758.4</c:v>
                </c:pt>
                <c:pt idx="3">
                  <c:v>2575.4</c:v>
                </c:pt>
                <c:pt idx="4">
                  <c:v>2435.5</c:v>
                </c:pt>
                <c:pt idx="5">
                  <c:v>2278.9</c:v>
                </c:pt>
                <c:pt idx="6">
                  <c:v>2135</c:v>
                </c:pt>
                <c:pt idx="7">
                  <c:v>1861.9</c:v>
                </c:pt>
                <c:pt idx="8">
                  <c:v>1616.1</c:v>
                </c:pt>
                <c:pt idx="9">
                  <c:v>1410.2</c:v>
                </c:pt>
                <c:pt idx="10">
                  <c:v>1214.5</c:v>
                </c:pt>
                <c:pt idx="11">
                  <c:v>1043.5999999999999</c:v>
                </c:pt>
                <c:pt idx="12">
                  <c:v>889.2</c:v>
                </c:pt>
                <c:pt idx="13">
                  <c:v>763.9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4C-4E6E-B777-EB70836EE91E}"/>
            </c:ext>
          </c:extLst>
        </c:ser>
        <c:ser>
          <c:idx val="2"/>
          <c:order val="2"/>
          <c:tx>
            <c:strRef>
              <c:f>'Rem Core-Lokt Copper HP'!$B$1:$C$1</c:f>
              <c:strCache>
                <c:ptCount val="1"/>
                <c:pt idx="0">
                  <c:v>243 Winchester Remington Core-Lokt Copper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HP'!$B$22:$B$35</c:f>
              <c:numCache>
                <c:formatCode>0.00</c:formatCode>
                <c:ptCount val="14"/>
                <c:pt idx="0">
                  <c:v>2620</c:v>
                </c:pt>
                <c:pt idx="1">
                  <c:v>2456.6999999999998</c:v>
                </c:pt>
                <c:pt idx="2">
                  <c:v>2291.5</c:v>
                </c:pt>
                <c:pt idx="3">
                  <c:v>2111.8000000000002</c:v>
                </c:pt>
                <c:pt idx="4">
                  <c:v>1950</c:v>
                </c:pt>
                <c:pt idx="5">
                  <c:v>1803.3</c:v>
                </c:pt>
                <c:pt idx="6">
                  <c:v>1669.6</c:v>
                </c:pt>
                <c:pt idx="7">
                  <c:v>1424.6</c:v>
                </c:pt>
                <c:pt idx="8">
                  <c:v>1195.5999999999999</c:v>
                </c:pt>
                <c:pt idx="9">
                  <c:v>1002.8</c:v>
                </c:pt>
                <c:pt idx="10">
                  <c:v>839.6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C-4E6E-B777-EB70836EE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SP'!$B$1:$C$1</c:f>
              <c:strCache>
                <c:ptCount val="1"/>
                <c:pt idx="0">
                  <c:v>243 Winchester Federal Fusion Rifle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-1.3281250312360138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-8.500000511770871</c:v>
                </c:pt>
                <c:pt idx="8">
                  <c:v>-19.921879216862795</c:v>
                </c:pt>
                <c:pt idx="9">
                  <c:v>-39.843773427026107</c:v>
                </c:pt>
                <c:pt idx="10">
                  <c:v>-62.028814941496222</c:v>
                </c:pt>
                <c:pt idx="11">
                  <c:v>-93.500170292116977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'Rem Premier AccuTip-V PHP'!$B$1:$C$1</c:f>
              <c:strCache>
                <c:ptCount val="1"/>
                <c:pt idx="0">
                  <c:v>243 Winchester Remington Premier AccuTip-V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Premier AccuTip-V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Premier AccuTip-V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-2.1250001279427178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-32.512512728802136</c:v>
                </c:pt>
                <c:pt idx="10">
                  <c:v>-55.781297228899298</c:v>
                </c:pt>
                <c:pt idx="11">
                  <c:v>-85.000127942939443</c:v>
                </c:pt>
                <c:pt idx="12">
                  <c:v>-127.56409169368061</c:v>
                </c:pt>
                <c:pt idx="13">
                  <c:v>-177.01323952476355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39F-BC07-2778BF632C71}"/>
            </c:ext>
          </c:extLst>
        </c:ser>
        <c:ser>
          <c:idx val="2"/>
          <c:order val="2"/>
          <c:tx>
            <c:strRef>
              <c:f>'Rem Core-Lokt Copper HP'!$B$1:$C$1</c:f>
              <c:strCache>
                <c:ptCount val="1"/>
                <c:pt idx="0">
                  <c:v>243 Winchester Remington Core-Lokt Copper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-4.2187540045211627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-3.3750000569531267</c:v>
                </c:pt>
                <c:pt idx="7">
                  <c:v>-9.0000006075000485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-65.67757708912346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39F-BC07-2778BF63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Energy vs Range: Hornady Standard Calc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Fusion Rifle SP'!$B$1:$C$1</c:f>
              <c:strCache>
                <c:ptCount val="1"/>
                <c:pt idx="0">
                  <c:v>243 Winchester Federal Fusion Rifle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Fusion Rifle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Fusion Rifle SP'!$C$80:$C$100</c:f>
              <c:numCache>
                <c:formatCode>0.00</c:formatCode>
                <c:ptCount val="21"/>
                <c:pt idx="0">
                  <c:v>2539</c:v>
                </c:pt>
                <c:pt idx="1">
                  <c:v>2422</c:v>
                </c:pt>
                <c:pt idx="2">
                  <c:v>2310</c:v>
                </c:pt>
                <c:pt idx="3">
                  <c:v>2202</c:v>
                </c:pt>
                <c:pt idx="4">
                  <c:v>2098</c:v>
                </c:pt>
                <c:pt idx="5">
                  <c:v>1999</c:v>
                </c:pt>
                <c:pt idx="6">
                  <c:v>1903</c:v>
                </c:pt>
                <c:pt idx="7">
                  <c:v>1810</c:v>
                </c:pt>
                <c:pt idx="8">
                  <c:v>1722</c:v>
                </c:pt>
                <c:pt idx="9">
                  <c:v>1637</c:v>
                </c:pt>
                <c:pt idx="10">
                  <c:v>1555</c:v>
                </c:pt>
                <c:pt idx="11">
                  <c:v>1476</c:v>
                </c:pt>
                <c:pt idx="12">
                  <c:v>1400</c:v>
                </c:pt>
                <c:pt idx="13">
                  <c:v>1328</c:v>
                </c:pt>
                <c:pt idx="14">
                  <c:v>1258</c:v>
                </c:pt>
                <c:pt idx="15">
                  <c:v>1192</c:v>
                </c:pt>
                <c:pt idx="16">
                  <c:v>1128</c:v>
                </c:pt>
                <c:pt idx="17">
                  <c:v>1067</c:v>
                </c:pt>
                <c:pt idx="18">
                  <c:v>1009</c:v>
                </c:pt>
                <c:pt idx="19">
                  <c:v>953</c:v>
                </c:pt>
                <c:pt idx="20">
                  <c:v>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83-4BEF-8C4B-12CEA867745B}"/>
            </c:ext>
          </c:extLst>
        </c:ser>
        <c:ser>
          <c:idx val="1"/>
          <c:order val="1"/>
          <c:tx>
            <c:strRef>
              <c:f>'Rem Premier AccuTip-V PHP'!$B$1:$C$1</c:f>
              <c:strCache>
                <c:ptCount val="1"/>
                <c:pt idx="0">
                  <c:v>243 Winchester Remington Premier AccuTip-V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'Rem Premier AccuTip-V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Premier AccuTip-V PHP'!$C$80:$C$100</c:f>
              <c:numCache>
                <c:formatCode>0.00</c:formatCode>
                <c:ptCount val="21"/>
                <c:pt idx="0">
                  <c:v>3086</c:v>
                </c:pt>
                <c:pt idx="1">
                  <c:v>2901</c:v>
                </c:pt>
                <c:pt idx="2">
                  <c:v>2727</c:v>
                </c:pt>
                <c:pt idx="3">
                  <c:v>2561</c:v>
                </c:pt>
                <c:pt idx="4">
                  <c:v>2405</c:v>
                </c:pt>
                <c:pt idx="5">
                  <c:v>2256</c:v>
                </c:pt>
                <c:pt idx="6">
                  <c:v>2115</c:v>
                </c:pt>
                <c:pt idx="7">
                  <c:v>1980</c:v>
                </c:pt>
                <c:pt idx="8">
                  <c:v>1853</c:v>
                </c:pt>
                <c:pt idx="9">
                  <c:v>1732</c:v>
                </c:pt>
                <c:pt idx="10">
                  <c:v>1618</c:v>
                </c:pt>
                <c:pt idx="11">
                  <c:v>1509</c:v>
                </c:pt>
                <c:pt idx="12">
                  <c:v>1406</c:v>
                </c:pt>
                <c:pt idx="13">
                  <c:v>1308</c:v>
                </c:pt>
                <c:pt idx="14">
                  <c:v>1216</c:v>
                </c:pt>
                <c:pt idx="15">
                  <c:v>1130</c:v>
                </c:pt>
                <c:pt idx="16">
                  <c:v>1048</c:v>
                </c:pt>
                <c:pt idx="17">
                  <c:v>971</c:v>
                </c:pt>
                <c:pt idx="18">
                  <c:v>900</c:v>
                </c:pt>
                <c:pt idx="19">
                  <c:v>833</c:v>
                </c:pt>
                <c:pt idx="20">
                  <c:v>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83-4BEF-8C4B-12CEA867745B}"/>
            </c:ext>
          </c:extLst>
        </c:ser>
        <c:ser>
          <c:idx val="2"/>
          <c:order val="2"/>
          <c:tx>
            <c:strRef>
              <c:f>'Rem Core-Lokt Copper HP'!$B$1:$C$1</c:f>
              <c:strCache>
                <c:ptCount val="1"/>
                <c:pt idx="0">
                  <c:v>243 Winchester Remington Core-Lokt Copper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 Core-Lokt Copper HP'!$C$80:$C$100</c:f>
              <c:numCache>
                <c:formatCode>0.00</c:formatCode>
                <c:ptCount val="21"/>
                <c:pt idx="0">
                  <c:v>2620</c:v>
                </c:pt>
                <c:pt idx="1">
                  <c:v>2429</c:v>
                </c:pt>
                <c:pt idx="2">
                  <c:v>2251</c:v>
                </c:pt>
                <c:pt idx="3">
                  <c:v>2084</c:v>
                </c:pt>
                <c:pt idx="4">
                  <c:v>1928</c:v>
                </c:pt>
                <c:pt idx="5">
                  <c:v>1781</c:v>
                </c:pt>
                <c:pt idx="6">
                  <c:v>1644</c:v>
                </c:pt>
                <c:pt idx="7">
                  <c:v>1514</c:v>
                </c:pt>
                <c:pt idx="8">
                  <c:v>1393</c:v>
                </c:pt>
                <c:pt idx="9">
                  <c:v>1280</c:v>
                </c:pt>
                <c:pt idx="10">
                  <c:v>1173</c:v>
                </c:pt>
                <c:pt idx="11">
                  <c:v>1074</c:v>
                </c:pt>
                <c:pt idx="12">
                  <c:v>982</c:v>
                </c:pt>
                <c:pt idx="13">
                  <c:v>896</c:v>
                </c:pt>
                <c:pt idx="14">
                  <c:v>816</c:v>
                </c:pt>
                <c:pt idx="15">
                  <c:v>743</c:v>
                </c:pt>
                <c:pt idx="16">
                  <c:v>676</c:v>
                </c:pt>
                <c:pt idx="17">
                  <c:v>614</c:v>
                </c:pt>
                <c:pt idx="18">
                  <c:v>558</c:v>
                </c:pt>
                <c:pt idx="19">
                  <c:v>507</c:v>
                </c:pt>
                <c:pt idx="20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83-4BEF-8C4B-12CEA8677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10</xdr:row>
      <xdr:rowOff>0</xdr:rowOff>
    </xdr:from>
    <xdr:to>
      <xdr:col>31</xdr:col>
      <xdr:colOff>438150</xdr:colOff>
      <xdr:row>33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119061</xdr:colOff>
      <xdr:row>77</xdr:row>
      <xdr:rowOff>152399</xdr:rowOff>
    </xdr:from>
    <xdr:to>
      <xdr:col>23</xdr:col>
      <xdr:colOff>66674</xdr:colOff>
      <xdr:row>98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166687</xdr:colOff>
      <xdr:row>102</xdr:row>
      <xdr:rowOff>38100</xdr:rowOff>
    </xdr:from>
    <xdr:to>
      <xdr:col>23</xdr:col>
      <xdr:colOff>514350</xdr:colOff>
      <xdr:row>123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1190625</xdr:colOff>
      <xdr:row>127</xdr:row>
      <xdr:rowOff>28575</xdr:rowOff>
    </xdr:from>
    <xdr:to>
      <xdr:col>23</xdr:col>
      <xdr:colOff>280988</xdr:colOff>
      <xdr:row>148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38100</xdr:colOff>
      <xdr:row>151</xdr:row>
      <xdr:rowOff>47625</xdr:rowOff>
    </xdr:from>
    <xdr:to>
      <xdr:col>27</xdr:col>
      <xdr:colOff>395288</xdr:colOff>
      <xdr:row>172</xdr:row>
      <xdr:rowOff>161925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76200</xdr:colOff>
      <xdr:row>175</xdr:row>
      <xdr:rowOff>38100</xdr:rowOff>
    </xdr:from>
    <xdr:to>
      <xdr:col>23</xdr:col>
      <xdr:colOff>423863</xdr:colOff>
      <xdr:row>196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9525</xdr:colOff>
      <xdr:row>198</xdr:row>
      <xdr:rowOff>57150</xdr:rowOff>
    </xdr:from>
    <xdr:to>
      <xdr:col>23</xdr:col>
      <xdr:colOff>357188</xdr:colOff>
      <xdr:row>219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1209675</xdr:colOff>
      <xdr:row>222</xdr:row>
      <xdr:rowOff>57150</xdr:rowOff>
    </xdr:from>
    <xdr:to>
      <xdr:col>23</xdr:col>
      <xdr:colOff>300038</xdr:colOff>
      <xdr:row>243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533400</xdr:colOff>
      <xdr:row>8</xdr:row>
      <xdr:rowOff>52386</xdr:rowOff>
    </xdr:from>
    <xdr:to>
      <xdr:col>32</xdr:col>
      <xdr:colOff>504825</xdr:colOff>
      <xdr:row>35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1038224</xdr:colOff>
      <xdr:row>39</xdr:row>
      <xdr:rowOff>180975</xdr:rowOff>
    </xdr:from>
    <xdr:to>
      <xdr:col>20</xdr:col>
      <xdr:colOff>495300</xdr:colOff>
      <xdr:row>67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223836</xdr:colOff>
      <xdr:row>69</xdr:row>
      <xdr:rowOff>76199</xdr:rowOff>
    </xdr:from>
    <xdr:to>
      <xdr:col>42</xdr:col>
      <xdr:colOff>304799</xdr:colOff>
      <xdr:row>89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261937</xdr:colOff>
      <xdr:row>91</xdr:row>
      <xdr:rowOff>66675</xdr:rowOff>
    </xdr:from>
    <xdr:to>
      <xdr:col>43</xdr:col>
      <xdr:colOff>133350</xdr:colOff>
      <xdr:row>112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285750</xdr:colOff>
      <xdr:row>114</xdr:row>
      <xdr:rowOff>76200</xdr:rowOff>
    </xdr:from>
    <xdr:to>
      <xdr:col>43</xdr:col>
      <xdr:colOff>157163</xdr:colOff>
      <xdr:row>136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95250</xdr:colOff>
      <xdr:row>138</xdr:row>
      <xdr:rowOff>9525</xdr:rowOff>
    </xdr:from>
    <xdr:to>
      <xdr:col>46</xdr:col>
      <xdr:colOff>585788</xdr:colOff>
      <xdr:row>159</xdr:row>
      <xdr:rowOff>123825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133350</xdr:colOff>
      <xdr:row>161</xdr:row>
      <xdr:rowOff>152400</xdr:rowOff>
    </xdr:from>
    <xdr:to>
      <xdr:col>43</xdr:col>
      <xdr:colOff>4763</xdr:colOff>
      <xdr:row>183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47626</xdr:colOff>
      <xdr:row>185</xdr:row>
      <xdr:rowOff>57150</xdr:rowOff>
    </xdr:from>
    <xdr:to>
      <xdr:col>45</xdr:col>
      <xdr:colOff>104776</xdr:colOff>
      <xdr:row>206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76200</xdr:colOff>
      <xdr:row>212</xdr:row>
      <xdr:rowOff>9525</xdr:rowOff>
    </xdr:from>
    <xdr:to>
      <xdr:col>42</xdr:col>
      <xdr:colOff>557213</xdr:colOff>
      <xdr:row>233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371475</xdr:colOff>
      <xdr:row>10</xdr:row>
      <xdr:rowOff>0</xdr:rowOff>
    </xdr:from>
    <xdr:to>
      <xdr:col>37</xdr:col>
      <xdr:colOff>66675</xdr:colOff>
      <xdr:row>35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33336</xdr:colOff>
      <xdr:row>78</xdr:row>
      <xdr:rowOff>171449</xdr:rowOff>
    </xdr:from>
    <xdr:to>
      <xdr:col>22</xdr:col>
      <xdr:colOff>590549</xdr:colOff>
      <xdr:row>99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</xdr:colOff>
      <xdr:row>102</xdr:row>
      <xdr:rowOff>142875</xdr:rowOff>
    </xdr:from>
    <xdr:to>
      <xdr:col>23</xdr:col>
      <xdr:colOff>419100</xdr:colOff>
      <xdr:row>124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1209675</xdr:colOff>
      <xdr:row>127</xdr:row>
      <xdr:rowOff>171450</xdr:rowOff>
    </xdr:from>
    <xdr:to>
      <xdr:col>23</xdr:col>
      <xdr:colOff>300038</xdr:colOff>
      <xdr:row>149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1247775</xdr:colOff>
      <xdr:row>152</xdr:row>
      <xdr:rowOff>142875</xdr:rowOff>
    </xdr:from>
    <xdr:to>
      <xdr:col>27</xdr:col>
      <xdr:colOff>347663</xdr:colOff>
      <xdr:row>174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175</xdr:row>
      <xdr:rowOff>123825</xdr:rowOff>
    </xdr:from>
    <xdr:to>
      <xdr:col>23</xdr:col>
      <xdr:colOff>366713</xdr:colOff>
      <xdr:row>197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1209675</xdr:colOff>
      <xdr:row>199</xdr:row>
      <xdr:rowOff>57150</xdr:rowOff>
    </xdr:from>
    <xdr:to>
      <xdr:col>23</xdr:col>
      <xdr:colOff>300038</xdr:colOff>
      <xdr:row>220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1228725</xdr:colOff>
      <xdr:row>223</xdr:row>
      <xdr:rowOff>47625</xdr:rowOff>
    </xdr:from>
    <xdr:to>
      <xdr:col>23</xdr:col>
      <xdr:colOff>319088</xdr:colOff>
      <xdr:row>244</xdr:row>
      <xdr:rowOff>161925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71435</xdr:colOff>
      <xdr:row>2</xdr:row>
      <xdr:rowOff>114299</xdr:rowOff>
    </xdr:from>
    <xdr:to>
      <xdr:col>20</xdr:col>
      <xdr:colOff>504824</xdr:colOff>
      <xdr:row>41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309561</xdr:colOff>
      <xdr:row>2</xdr:row>
      <xdr:rowOff>180975</xdr:rowOff>
    </xdr:from>
    <xdr:to>
      <xdr:col>61</xdr:col>
      <xdr:colOff>371474</xdr:colOff>
      <xdr:row>35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161925</xdr:colOff>
      <xdr:row>2</xdr:row>
      <xdr:rowOff>104775</xdr:rowOff>
    </xdr:from>
    <xdr:to>
      <xdr:col>42</xdr:col>
      <xdr:colOff>171450</xdr:colOff>
      <xdr:row>41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99E038-EC1D-4C64-9583-19F2D44E5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Victoria Dassen" id="{6C01BB12-09E6-4D74-A57D-021EC2BAB7AD}" userId="9c2067bac6330f4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4-08-13T18:16:02.45" personId="{6C01BB12-09E6-4D74-A57D-021EC2BAB7AD}" id="{95E642CE-17C8-4C9C-B2FA-6977CC844EF8}">
    <text>Ballistic coefficient is uncertain
Remington data for this cartridge lists the weight as 75gr, BC of 0.33
A 100gr bullet has a BC of 0.356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1"/>
  <dimension ref="A1:S297"/>
  <sheetViews>
    <sheetView topLeftCell="F1" workbookViewId="0">
      <selection activeCell="K19" sqref="K19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4.85546875" customWidth="1"/>
    <col min="7" max="7" width="17.28515625" customWidth="1"/>
    <col min="8" max="8" width="23.57031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s="25" t="s">
        <v>18</v>
      </c>
      <c r="B1" t="s">
        <v>63</v>
      </c>
      <c r="C1" t="s">
        <v>64</v>
      </c>
      <c r="D1" t="s">
        <v>60</v>
      </c>
      <c r="F1" s="44" t="s">
        <v>94</v>
      </c>
      <c r="G1" s="44"/>
      <c r="H1" s="44"/>
      <c r="I1" s="44"/>
    </row>
    <row r="2" spans="1:9" x14ac:dyDescent="0.25">
      <c r="A2" s="25" t="s">
        <v>69</v>
      </c>
      <c r="B2" s="2">
        <v>100</v>
      </c>
      <c r="C2" s="2">
        <f>CONVERT($B$2,"grain","g")</f>
        <v>6.4798910000000003</v>
      </c>
      <c r="F2" t="s">
        <v>95</v>
      </c>
      <c r="G2" s="2">
        <v>75</v>
      </c>
      <c r="H2" s="2">
        <f>CONVERT($G$2,"grain","g")</f>
        <v>4.8599182499999998</v>
      </c>
    </row>
    <row r="3" spans="1:9" x14ac:dyDescent="0.25">
      <c r="A3" s="25" t="s">
        <v>70</v>
      </c>
      <c r="B3" s="2">
        <v>0.24299999999999999</v>
      </c>
      <c r="C3" s="2">
        <f>CONVERT($B$3,"in","mm")</f>
        <v>6.1722000000000001</v>
      </c>
      <c r="F3" t="s">
        <v>70</v>
      </c>
      <c r="G3" s="2">
        <v>0.24299999999999999</v>
      </c>
      <c r="H3" s="2">
        <f>CONVERT($G$3,"in","mm")</f>
        <v>6.1722000000000001</v>
      </c>
    </row>
    <row r="4" spans="1:9" x14ac:dyDescent="0.25">
      <c r="A4" s="25" t="s">
        <v>11</v>
      </c>
      <c r="B4" s="2"/>
      <c r="C4" s="2"/>
      <c r="F4" t="s">
        <v>11</v>
      </c>
      <c r="G4" s="2" t="s">
        <v>96</v>
      </c>
      <c r="H4" s="2"/>
    </row>
    <row r="5" spans="1:9" x14ac:dyDescent="0.25">
      <c r="A5" s="25" t="s">
        <v>21</v>
      </c>
      <c r="B5" s="2">
        <v>0.28499999999999998</v>
      </c>
      <c r="C5" s="2"/>
      <c r="F5" t="s">
        <v>21</v>
      </c>
      <c r="G5" s="2">
        <v>0.33</v>
      </c>
      <c r="H5" s="2"/>
    </row>
    <row r="6" spans="1:9" x14ac:dyDescent="0.25">
      <c r="A6" s="25" t="s">
        <v>67</v>
      </c>
      <c r="B6" s="2">
        <v>3086</v>
      </c>
      <c r="C6" s="2">
        <f>CONVERT($B$6,"J","flb")</f>
        <v>2276.1167926696407</v>
      </c>
      <c r="F6" t="s">
        <v>97</v>
      </c>
      <c r="G6" s="2" cm="1">
        <f t="array" ref="G6">MuzzleVelocityToMuzzleEnergyFtLb(G7,G2)</f>
        <v>1896.5970431143298</v>
      </c>
      <c r="H6" s="2" cm="1">
        <f t="array" ref="H6">MuzzleVelocityToMuzzleEnergyJoules(H7,H2)</f>
        <v>2571.4403118066712</v>
      </c>
    </row>
    <row r="7" spans="1:9" x14ac:dyDescent="0.25">
      <c r="A7" s="25" t="s">
        <v>68</v>
      </c>
      <c r="B7" s="2" cm="1">
        <f t="array" ref="B7">MuzzleEnergyToMuzzleVelocityMPS(B6,C2)</f>
        <v>975.9534607467433</v>
      </c>
      <c r="C7" s="2" cm="1">
        <f t="array" ref="C7">MuzzleEnergyToMuzzleVelocityFPS(C6,B2)</f>
        <v>3201.9470496940394</v>
      </c>
      <c r="F7" t="s">
        <v>98</v>
      </c>
      <c r="G7" s="2">
        <v>3375</v>
      </c>
      <c r="H7" s="2">
        <f>CONVERT($G$7,"ft","m")</f>
        <v>1028.7</v>
      </c>
    </row>
    <row r="8" spans="1:9" x14ac:dyDescent="0.25">
      <c r="A8" s="25" t="s">
        <v>1</v>
      </c>
      <c r="B8" s="2">
        <v>0</v>
      </c>
      <c r="C8" s="2"/>
    </row>
    <row r="9" spans="1:9" x14ac:dyDescent="0.25">
      <c r="A9" s="25" t="s">
        <v>71</v>
      </c>
      <c r="B9" s="2">
        <v>7.5</v>
      </c>
      <c r="C9" s="2">
        <f>CONVERT($B$9,"m/sec","km/hr")</f>
        <v>27</v>
      </c>
    </row>
    <row r="10" spans="1:9" x14ac:dyDescent="0.25">
      <c r="A10" s="25" t="s">
        <v>3</v>
      </c>
      <c r="B10" s="2">
        <v>60</v>
      </c>
      <c r="C10" s="2"/>
    </row>
    <row r="11" spans="1:9" x14ac:dyDescent="0.25">
      <c r="A11" s="25" t="s">
        <v>72</v>
      </c>
      <c r="B11" s="2">
        <v>0.5</v>
      </c>
      <c r="C11" s="26"/>
    </row>
    <row r="12" spans="1:9" x14ac:dyDescent="0.25">
      <c r="A12" s="25" t="s">
        <v>73</v>
      </c>
      <c r="B12" s="2" cm="1">
        <f t="array" ref="B12">MOAToMRAD($B$11)</f>
        <v>0.14544410433286079</v>
      </c>
      <c r="C12" s="26">
        <f>$B$12/2</f>
        <v>7.2722052166430393E-2</v>
      </c>
    </row>
    <row r="13" spans="1:9" x14ac:dyDescent="0.25">
      <c r="A13" s="25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5" t="s">
        <v>5</v>
      </c>
      <c r="B14" t="s">
        <v>74</v>
      </c>
    </row>
    <row r="15" spans="1:9" x14ac:dyDescent="0.25">
      <c r="A15" t="s">
        <v>75</v>
      </c>
      <c r="B15" s="27" t="s">
        <v>76</v>
      </c>
      <c r="C15" s="27" t="s">
        <v>77</v>
      </c>
      <c r="D15" s="27" t="s">
        <v>78</v>
      </c>
      <c r="E15" s="27" t="s">
        <v>79</v>
      </c>
    </row>
    <row r="16" spans="1:9" x14ac:dyDescent="0.25">
      <c r="A16" s="25" t="s">
        <v>80</v>
      </c>
      <c r="B16" s="2">
        <v>0.625</v>
      </c>
      <c r="C16">
        <f>$B16/2</f>
        <v>0.3125</v>
      </c>
      <c r="D16" s="2">
        <f>$B$16 * $B$18</f>
        <v>0.36361026083215198</v>
      </c>
      <c r="E16" s="28">
        <f>$D16/2</f>
        <v>0.18180513041607599</v>
      </c>
    </row>
    <row r="17" spans="1:17" x14ac:dyDescent="0.25">
      <c r="A17" s="25" t="s">
        <v>81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8">
        <f>$D17/2</f>
        <v>7.2722052166430393E-2</v>
      </c>
    </row>
    <row r="18" spans="1:17" x14ac:dyDescent="0.25">
      <c r="A18" s="11" t="s">
        <v>82</v>
      </c>
      <c r="B18" s="12">
        <f>$B$12/$B$17</f>
        <v>0.58177641733144314</v>
      </c>
      <c r="C18" s="2"/>
      <c r="J18" s="2">
        <v>4.5</v>
      </c>
      <c r="K18" s="2">
        <v>4.25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9" t="s">
        <v>83</v>
      </c>
      <c r="B19" s="30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42" t="s">
        <v>24</v>
      </c>
      <c r="D20" s="42"/>
      <c r="E20" s="42"/>
      <c r="F20" s="42"/>
      <c r="G20" s="42"/>
      <c r="H20" s="13"/>
      <c r="I20" s="13"/>
      <c r="J20" s="42" t="s">
        <v>25</v>
      </c>
      <c r="K20" s="42"/>
      <c r="L20" s="42"/>
      <c r="M20" s="42"/>
      <c r="N20" s="42"/>
      <c r="O20" s="13"/>
      <c r="P20" s="13"/>
      <c r="Q20" s="31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32" t="s">
        <v>32</v>
      </c>
      <c r="Q21" s="31" t="s">
        <v>30</v>
      </c>
    </row>
    <row r="22" spans="1:17" x14ac:dyDescent="0.25">
      <c r="A22" s="1">
        <v>0</v>
      </c>
      <c r="B22" s="1">
        <v>3086.3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3">
        <f t="shared" si="1"/>
        <v>-3.81</v>
      </c>
      <c r="Q22" s="34">
        <v>0</v>
      </c>
    </row>
    <row r="23" spans="1:17" x14ac:dyDescent="0.25">
      <c r="A23" s="1">
        <v>25</v>
      </c>
      <c r="B23" s="1">
        <v>2924.8</v>
      </c>
      <c r="C23" s="6">
        <v>-0.3</v>
      </c>
      <c r="D23" s="6">
        <v>-0.375</v>
      </c>
      <c r="E23" s="6">
        <v>-0.33300000000000002</v>
      </c>
      <c r="F23" s="6">
        <v>-0.3125</v>
      </c>
      <c r="G23" s="6">
        <v>-0.125</v>
      </c>
      <c r="H23" s="6">
        <v>0.16700000000000001</v>
      </c>
      <c r="I23" s="14">
        <v>0.45</v>
      </c>
      <c r="J23" s="9" cm="1">
        <f t="array" ref="J23">TrajectoryDropInCM(C23,$A23,J$18)</f>
        <v>-3.3750020503139937</v>
      </c>
      <c r="K23" s="9" cm="1">
        <f t="array" ref="K23">TrajectoryDropInCM(D23,$A23,K$18)</f>
        <v>-3.9843783734928069</v>
      </c>
      <c r="L23" s="9" cm="1">
        <f t="array" ref="L23">TrajectoryDropInCM(E23,$A23,L$18)</f>
        <v>-3.3300019693900382</v>
      </c>
      <c r="M23" s="9" cm="1">
        <f t="array" ref="M23">TrajectoryDropInCM(F23,$A23,M$18)</f>
        <v>-3.125001627605184</v>
      </c>
      <c r="N23" s="9" cm="1">
        <f t="array" ref="N23">TrajectoryDropInCM(G23,$A23,N$18)</f>
        <v>-1.2500001041666768</v>
      </c>
      <c r="O23" s="9" cm="1">
        <f t="array" ref="O23">TrajectoryDropInCM(H23,$A23,O$18)</f>
        <v>1.6700002483980712</v>
      </c>
      <c r="P23" s="35" cm="1">
        <f t="array" ref="P23">TrajectoryDropInCM(I23,$A23,P$18)</f>
        <v>4.5000048600062978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2758.4</v>
      </c>
      <c r="C24" s="7">
        <v>0</v>
      </c>
      <c r="D24" s="6">
        <v>-0.1</v>
      </c>
      <c r="E24" s="6">
        <v>-6.25E-2</v>
      </c>
      <c r="F24" s="6">
        <v>0</v>
      </c>
      <c r="G24" s="6">
        <v>0.16700000000000001</v>
      </c>
      <c r="H24" s="6">
        <v>0.4375</v>
      </c>
      <c r="I24" s="14">
        <v>0.75</v>
      </c>
      <c r="J24" s="9" cm="1">
        <f t="array" ref="J24">TrajectoryDropInCM(C24,$A24,J$18)</f>
        <v>0</v>
      </c>
      <c r="K24" s="9" cm="1">
        <f t="array" ref="K24">TrajectoryDropInCM(D24,$A24,K$18)</f>
        <v>-2.1250001279427178</v>
      </c>
      <c r="L24" s="9" cm="1">
        <f t="array" ref="L24">TrajectoryDropInCM(E24,$A24,L$18)</f>
        <v>-1.250000026041667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8.7500089323026096</v>
      </c>
      <c r="P24" s="35" cm="1">
        <f t="array" ref="P24">TrajectoryDropInCM(I24,$A24,P$18)</f>
        <v>15.000045000162002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2575.4</v>
      </c>
      <c r="C25" s="6">
        <v>0.12</v>
      </c>
      <c r="D25" s="6">
        <v>0</v>
      </c>
      <c r="E25" s="6">
        <v>1.5599999999999999E-2</v>
      </c>
      <c r="F25" s="6">
        <v>8.3000000000000004E-2</v>
      </c>
      <c r="G25" s="6">
        <v>0.26</v>
      </c>
      <c r="H25" s="6">
        <v>0.5</v>
      </c>
      <c r="I25" s="14">
        <v>0.83299999999999996</v>
      </c>
      <c r="J25" s="9" cm="1">
        <f t="array" ref="J25">TrajectoryDropInCM(C25,$A25,J$18)</f>
        <v>4.0500003936600466</v>
      </c>
      <c r="K25" s="9" cm="1">
        <f t="array" ref="K25">TrajectoryDropInCM(D25,$A25,K$18)</f>
        <v>0</v>
      </c>
      <c r="L25" s="9" cm="1">
        <f t="array" ref="L25">TrajectoryDropInCM(E25,$A25,L$18)</f>
        <v>0.46800000060742664</v>
      </c>
      <c r="M25" s="9" cm="1">
        <f t="array" ref="M25">TrajectoryDropInCM(F25,$A25,M$18)</f>
        <v>2.4900000914859239</v>
      </c>
      <c r="N25" s="9" cm="1">
        <f t="array" ref="N25">TrajectoryDropInCM(G25,$A25,N$18)</f>
        <v>7.8000028121612175</v>
      </c>
      <c r="O25" s="9" cm="1">
        <f t="array" ref="O25">TrajectoryDropInCM(H25,$A25,O$18)</f>
        <v>15.000020000031999</v>
      </c>
      <c r="P25" s="35" cm="1">
        <f t="array" ref="P25">TrajectoryDropInCM(I25,$A25,P$18)</f>
        <v>24.990092481936625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2435.5</v>
      </c>
      <c r="C26" s="6">
        <v>0.125</v>
      </c>
      <c r="D26" s="7">
        <v>0</v>
      </c>
      <c r="E26" s="6">
        <v>6.25E-2</v>
      </c>
      <c r="F26" s="6">
        <v>0.125</v>
      </c>
      <c r="G26" s="6">
        <v>0.3125</v>
      </c>
      <c r="H26" s="6">
        <v>0.5625</v>
      </c>
      <c r="I26" s="14">
        <v>0.85</v>
      </c>
      <c r="J26" s="9" cm="1">
        <f t="array" ref="J26">TrajectoryDropInCM(C26,$A26,J$18)</f>
        <v>5.6250005932617935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5.0000004166667074</v>
      </c>
      <c r="N26" s="9" cm="1">
        <f t="array" ref="N26">TrajectoryDropInCM(G26,$A26,N$18)</f>
        <v>12.500006510420736</v>
      </c>
      <c r="O26" s="9" cm="1">
        <f t="array" ref="O26">TrajectoryDropInCM(H26,$A26,O$18)</f>
        <v>22.500037968826884</v>
      </c>
      <c r="P26" s="35" cm="1">
        <f t="array" ref="P26">TrajectoryDropInCM(I26,$A26,P$18)</f>
        <v>34.000131013939146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2278.9</v>
      </c>
      <c r="C27" s="6">
        <v>0.125</v>
      </c>
      <c r="D27" s="6">
        <v>0</v>
      </c>
      <c r="E27" s="6">
        <v>6.25E-2</v>
      </c>
      <c r="F27" s="6">
        <v>0.125</v>
      </c>
      <c r="G27" s="6">
        <v>0.26</v>
      </c>
      <c r="H27" s="6">
        <v>0.51</v>
      </c>
      <c r="I27" s="14">
        <v>0.85</v>
      </c>
      <c r="J27" s="9" cm="1">
        <f t="array" ref="J27">TrajectoryDropInCM(C27,$A27,J$18)</f>
        <v>7.0312507415772414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13.000004686935362</v>
      </c>
      <c r="O27" s="9" cm="1">
        <f t="array" ref="O27">TrajectoryDropInCM(H27,$A27,O$18)</f>
        <v>25.500035373658886</v>
      </c>
      <c r="P27" s="35" cm="1">
        <f t="array" ref="P27">TrajectoryDropInCM(I27,$A27,P$18)</f>
        <v>42.500163767423935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2135</v>
      </c>
      <c r="C28" s="6">
        <v>0.1</v>
      </c>
      <c r="D28" s="6">
        <v>0</v>
      </c>
      <c r="E28" s="7">
        <v>0</v>
      </c>
      <c r="F28" s="6">
        <v>8.3000000000000004E-2</v>
      </c>
      <c r="G28" s="6">
        <v>0.25</v>
      </c>
      <c r="H28" s="6">
        <v>0.5</v>
      </c>
      <c r="I28" s="14">
        <v>0.83299999999999996</v>
      </c>
      <c r="J28" s="9" cm="1">
        <f t="array" ref="J28">TrajectoryDropInCM(C28,$A28,J$18)</f>
        <v>6.7500004556250364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30.000040000063997</v>
      </c>
      <c r="P28" s="35" cm="1">
        <f t="array" ref="P28">TrajectoryDropInCM(I28,$A28,P$18)</f>
        <v>49.980184963873249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1861.9</v>
      </c>
      <c r="C29" s="6">
        <v>0</v>
      </c>
      <c r="D29" s="6">
        <v>-8.3000000000000004E-2</v>
      </c>
      <c r="E29" s="6">
        <v>-6.25E-2</v>
      </c>
      <c r="F29" s="7">
        <v>0</v>
      </c>
      <c r="G29" s="6">
        <v>0.16700000000000001</v>
      </c>
      <c r="H29" s="6">
        <v>0.41699999999999998</v>
      </c>
      <c r="I29" s="14">
        <v>0.75</v>
      </c>
      <c r="J29" s="9" cm="1">
        <f t="array" ref="J29">TrajectoryDropInCM(C29,$A29,J$18)</f>
        <v>0</v>
      </c>
      <c r="K29" s="9" cm="1">
        <f t="array" ref="K29">TrajectoryDropInCM(D29,$A29,K$18)</f>
        <v>-7.0550002926239239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33.360030938365313</v>
      </c>
      <c r="P29" s="35" cm="1">
        <f t="array" ref="P29">TrajectoryDropInCM(I29,$A29,P$18)</f>
        <v>60.000180000648008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1616.1</v>
      </c>
      <c r="C30" s="6">
        <v>-8.3000000000000004E-2</v>
      </c>
      <c r="D30" s="6">
        <v>-0.1875</v>
      </c>
      <c r="E30" s="6">
        <v>-0.125</v>
      </c>
      <c r="F30" s="6">
        <v>-8.3000000000000004E-2</v>
      </c>
      <c r="G30" s="6">
        <v>0.125</v>
      </c>
      <c r="H30" s="6">
        <v>0.37</v>
      </c>
      <c r="I30" s="14">
        <v>0.66700000000000004</v>
      </c>
      <c r="J30" s="9" cm="1">
        <f t="array" ref="J30">TrajectoryDropInCM(C30,$A30,J$18)</f>
        <v>-9.3375004342007788</v>
      </c>
      <c r="K30" s="9" cm="1">
        <f t="array" ref="K30">TrajectoryDropInCM(D30,$A30,K$18)</f>
        <v>-19.921879216862795</v>
      </c>
      <c r="L30" s="9" cm="1">
        <f t="array" ref="L30">TrajectoryDropInCM(E30,$A30,L$18)</f>
        <v>-12.500001041666769</v>
      </c>
      <c r="M30" s="9" cm="1">
        <f t="array" ref="M30">TrajectoryDropInCM(F30,$A30,M$18)</f>
        <v>-8.3000003049530804</v>
      </c>
      <c r="N30" s="9" cm="1">
        <f t="array" ref="N30">TrajectoryDropInCM(G30,$A30,N$18)</f>
        <v>12.500001041666769</v>
      </c>
      <c r="O30" s="9" cm="1">
        <f t="array" ref="O30">TrajectoryDropInCM(H30,$A30,O$18)</f>
        <v>37.000027014957006</v>
      </c>
      <c r="P30" s="35" cm="1">
        <f t="array" ref="P30">TrajectoryDropInCM(I30,$A30,P$18)</f>
        <v>66.700158262297563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1410.2</v>
      </c>
      <c r="C31" s="6">
        <v>-0.16700000000000001</v>
      </c>
      <c r="D31" s="6">
        <v>-0.255</v>
      </c>
      <c r="E31" s="6">
        <v>-0.25</v>
      </c>
      <c r="F31" s="6">
        <v>-0.16700000000000001</v>
      </c>
      <c r="G31" s="7">
        <v>0</v>
      </c>
      <c r="H31" s="17">
        <v>0.25</v>
      </c>
      <c r="I31" s="18">
        <v>0.5625</v>
      </c>
      <c r="J31" s="9" cm="1">
        <f t="array" ref="J31">TrajectoryDropInCM(C31,$A31,J$18)</f>
        <v>-22.545004244114121</v>
      </c>
      <c r="K31" s="9" cm="1">
        <f t="array" ref="K31">TrajectoryDropInCM(D31,$A31,K$18)</f>
        <v>-32.512512728802136</v>
      </c>
      <c r="L31" s="9" cm="1">
        <f t="array" ref="L31">TrajectoryDropInCM(E31,$A31,L$18)</f>
        <v>-30.000010000004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5" cm="1">
        <f t="array" ref="P31">TrajectoryDropInCM(I31,$A31,P$18)</f>
        <v>67.500113906480649</v>
      </c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1">
        <v>1214.5</v>
      </c>
      <c r="C32" s="6">
        <v>-0.26</v>
      </c>
      <c r="D32" s="6">
        <v>-0.375</v>
      </c>
      <c r="E32" s="6">
        <v>-0.33300000000000002</v>
      </c>
      <c r="F32" s="6">
        <v>-0.26</v>
      </c>
      <c r="G32" s="6">
        <v>-0.1</v>
      </c>
      <c r="H32" s="6">
        <v>0.16700000000000001</v>
      </c>
      <c r="I32" s="14">
        <v>0.45</v>
      </c>
      <c r="J32" s="9" cm="1">
        <f t="array" ref="J32">TrajectoryDropInCM(C32,$A32,J$18)</f>
        <v>-40.950018685495237</v>
      </c>
      <c r="K32" s="9" cm="1">
        <f t="array" ref="K32">TrajectoryDropInCM(D32,$A32,K$18)</f>
        <v>-55.781297228899298</v>
      </c>
      <c r="L32" s="9" cm="1">
        <f t="array" ref="L32">TrajectoryDropInCM(E32,$A32,L$18)</f>
        <v>-46.620027571460533</v>
      </c>
      <c r="M32" s="9" cm="1">
        <f t="array" ref="M32">TrajectoryDropInCM(F32,$A32,M$18)</f>
        <v>-36.400013123419015</v>
      </c>
      <c r="N32" s="9" cm="1">
        <f t="array" ref="N32">TrajectoryDropInCM(G32,$A32,N$18)</f>
        <v>-14.000000746666712</v>
      </c>
      <c r="O32" s="9" cm="1">
        <f t="array" ref="O32">TrajectoryDropInCM(H32,$A32,O$18)</f>
        <v>23.380003477572998</v>
      </c>
      <c r="P32" s="35" cm="1">
        <f t="array" ref="P32">TrajectoryDropInCM(I32,$A32,P$18)</f>
        <v>63.000068040088173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1043.5999999999999</v>
      </c>
      <c r="C33" s="6">
        <v>-0.41699999999999998</v>
      </c>
      <c r="D33" s="6">
        <v>-0.5</v>
      </c>
      <c r="E33" s="6">
        <v>-0.5</v>
      </c>
      <c r="F33" s="6">
        <v>-0.41699999999999998</v>
      </c>
      <c r="G33" s="6">
        <v>-0.25</v>
      </c>
      <c r="H33" s="7">
        <v>0</v>
      </c>
      <c r="I33" s="14">
        <v>0.33300000000000002</v>
      </c>
      <c r="J33" s="9" cm="1">
        <f t="array" ref="J33">TrajectoryDropInCM(C33,$A33,J$18)</f>
        <v>-75.060088101855399</v>
      </c>
      <c r="K33" s="9" cm="1">
        <f t="array" ref="K33">TrajectoryDropInCM(D33,$A33,K$18)</f>
        <v>-85.000127942939443</v>
      </c>
      <c r="L33" s="9" cm="1">
        <f t="array" ref="L33">TrajectoryDropInCM(E33,$A33,L$18)</f>
        <v>-80.000106666837326</v>
      </c>
      <c r="M33" s="9" cm="1">
        <f t="array" ref="M33">TrajectoryDropInCM(F33,$A33,M$18)</f>
        <v>-66.720061876730625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5" cm="1">
        <f t="array" ref="P33">TrajectoryDropInCM(I33,$A33,P$18)</f>
        <v>53.280031510240612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889.2</v>
      </c>
      <c r="C34" s="6">
        <v>-0.5625</v>
      </c>
      <c r="D34" s="6">
        <v>-0.66700000000000004</v>
      </c>
      <c r="E34" s="6">
        <v>-0.625</v>
      </c>
      <c r="F34" s="6">
        <v>-0.58299999999999996</v>
      </c>
      <c r="G34" s="6">
        <v>-0.4</v>
      </c>
      <c r="H34" s="6">
        <v>-0.125</v>
      </c>
      <c r="I34" s="14">
        <v>0.16700000000000001</v>
      </c>
      <c r="J34" s="9" cm="1">
        <f t="array" ref="J34">TrajectoryDropInCM(C34,$A34,J$18)</f>
        <v>-113.90649327500701</v>
      </c>
      <c r="K34" s="9" cm="1">
        <f t="array" ref="K34">TrajectoryDropInCM(D34,$A34,K$18)</f>
        <v>-127.56409169368061</v>
      </c>
      <c r="L34" s="9" cm="1">
        <f t="array" ref="L34">TrajectoryDropInCM(E34,$A34,L$18)</f>
        <v>-112.50023437558593</v>
      </c>
      <c r="M34" s="9" cm="1">
        <f t="array" ref="M34">TrajectoryDropInCM(F34,$A34,M$18)</f>
        <v>-104.94019022948933</v>
      </c>
      <c r="N34" s="9" cm="1">
        <f t="array" ref="N34">TrajectoryDropInCM(G34,$A34,N$18)</f>
        <v>-72.000061440062922</v>
      </c>
      <c r="O34" s="9" cm="1">
        <f t="array" ref="O34">TrajectoryDropInCM(H34,$A34,O$18)</f>
        <v>-22.500001875000187</v>
      </c>
      <c r="P34" s="35" cm="1">
        <f t="array" ref="P34">TrajectoryDropInCM(I34,$A34,P$18)</f>
        <v>30.060004471165279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>
        <v>763.9</v>
      </c>
      <c r="C35" s="6">
        <v>-0.75</v>
      </c>
      <c r="D35" s="6">
        <v>-0.83299999999999996</v>
      </c>
      <c r="E35" s="6">
        <v>-0.8125</v>
      </c>
      <c r="F35" s="6">
        <v>-0.75</v>
      </c>
      <c r="G35" s="6">
        <v>-0.55000000000000004</v>
      </c>
      <c r="H35" s="6">
        <v>-0.3125</v>
      </c>
      <c r="I35" s="15">
        <v>0</v>
      </c>
      <c r="J35" s="9" cm="1">
        <f t="array" ref="J35">TrajectoryDropInCM(C35,$A35,J$18)</f>
        <v>-168.75064072557558</v>
      </c>
      <c r="K35" s="9" cm="1">
        <f t="array" ref="K35">TrajectoryDropInCM(D35,$A35,K$18)</f>
        <v>-177.01323952476355</v>
      </c>
      <c r="L35" s="9" cm="1">
        <f t="array" ref="L35">TrajectoryDropInCM(E35,$A35,L$18)</f>
        <v>-162.50057213783393</v>
      </c>
      <c r="M35" s="9" cm="1">
        <f t="array" ref="M35">TrajectoryDropInCM(F35,$A35,M$18)</f>
        <v>-150.00045000162001</v>
      </c>
      <c r="N35" s="9" cm="1">
        <f t="array" ref="N35">TrajectoryDropInCM(G35,$A35,N$18)</f>
        <v>-110.00017746701025</v>
      </c>
      <c r="O35" s="9" cm="1">
        <f t="array" ref="O35">TrajectoryDropInCM(H35,$A35,O$18)</f>
        <v>-62.500032552103676</v>
      </c>
      <c r="P35" s="35" cm="1">
        <f t="array" ref="P35">TrajectoryDropInCM(I35,$A35,P$18)</f>
        <v>0</v>
      </c>
      <c r="Q35" s="34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52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</row>
    <row r="80" spans="1:19" x14ac:dyDescent="0.25">
      <c r="A80" s="1">
        <v>0</v>
      </c>
      <c r="B80" s="1">
        <v>976</v>
      </c>
      <c r="C80" s="1">
        <v>3086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946</v>
      </c>
      <c r="C81" s="1">
        <v>2901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917</v>
      </c>
      <c r="C82" s="10">
        <v>2727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889</v>
      </c>
      <c r="C83" s="1">
        <v>2561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861</v>
      </c>
      <c r="C84" s="1">
        <v>2405</v>
      </c>
      <c r="D84" s="1">
        <v>0.8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834</v>
      </c>
      <c r="C85" s="1">
        <v>2256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808</v>
      </c>
      <c r="C86" s="1">
        <v>2115</v>
      </c>
      <c r="D86" s="1">
        <v>-1.8</v>
      </c>
      <c r="E86" s="1">
        <v>0.4</v>
      </c>
      <c r="F86" s="1">
        <v>0.1</v>
      </c>
      <c r="G86" s="1">
        <v>0</v>
      </c>
      <c r="H86" s="1">
        <v>0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782</v>
      </c>
      <c r="C87" s="1">
        <v>1980</v>
      </c>
      <c r="D87" s="1">
        <v>-4.4000000000000004</v>
      </c>
      <c r="E87" s="1">
        <v>0.9</v>
      </c>
      <c r="F87" s="1">
        <v>0.3</v>
      </c>
      <c r="G87" s="1">
        <v>0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756</v>
      </c>
      <c r="C88" s="1">
        <v>1853</v>
      </c>
      <c r="D88" s="1">
        <v>-8.3000000000000007</v>
      </c>
      <c r="E88" s="1">
        <v>1.4</v>
      </c>
      <c r="F88" s="1">
        <v>0.4</v>
      </c>
      <c r="G88" s="1">
        <v>0</v>
      </c>
      <c r="H88" s="1">
        <v>0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731</v>
      </c>
      <c r="C89" s="1">
        <v>1732</v>
      </c>
      <c r="D89" s="1">
        <v>-13.1</v>
      </c>
      <c r="E89" s="1">
        <v>2</v>
      </c>
      <c r="F89" s="1">
        <v>0.6</v>
      </c>
      <c r="G89" s="1">
        <v>0</v>
      </c>
      <c r="H89" s="1">
        <v>0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707</v>
      </c>
      <c r="C90" s="1">
        <v>1618</v>
      </c>
      <c r="D90" s="1">
        <v>-19.100000000000001</v>
      </c>
      <c r="E90" s="1">
        <v>2.6</v>
      </c>
      <c r="F90" s="1">
        <v>0.8</v>
      </c>
      <c r="G90" s="1">
        <v>0</v>
      </c>
      <c r="H90" s="1">
        <v>0</v>
      </c>
      <c r="I90" s="1">
        <v>0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682</v>
      </c>
      <c r="C91" s="1">
        <v>1509</v>
      </c>
      <c r="D91" s="1">
        <v>-26.7</v>
      </c>
      <c r="E91" s="1">
        <v>3.3</v>
      </c>
      <c r="F91" s="1">
        <v>1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659</v>
      </c>
      <c r="C92" s="1">
        <v>1406</v>
      </c>
      <c r="D92" s="1">
        <v>-35.4</v>
      </c>
      <c r="E92" s="1">
        <v>4.0999999999999996</v>
      </c>
      <c r="F92" s="1">
        <v>1.2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635</v>
      </c>
      <c r="C93" s="1">
        <v>1308</v>
      </c>
      <c r="D93" s="1">
        <v>-45.7</v>
      </c>
      <c r="E93" s="1">
        <v>4.8</v>
      </c>
      <c r="F93" s="1">
        <v>1.4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613</v>
      </c>
      <c r="C94" s="1">
        <v>1216</v>
      </c>
      <c r="D94" s="1">
        <v>-58</v>
      </c>
      <c r="E94" s="1">
        <v>5.7</v>
      </c>
      <c r="F94" s="1">
        <v>1.7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590</v>
      </c>
      <c r="C95" s="1">
        <v>1130</v>
      </c>
      <c r="D95" s="1">
        <v>-71.599999999999994</v>
      </c>
      <c r="E95" s="1">
        <v>6.6</v>
      </c>
      <c r="F95" s="1">
        <v>1.9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569</v>
      </c>
      <c r="C96" s="1">
        <v>1048</v>
      </c>
      <c r="D96" s="1">
        <v>-87.2</v>
      </c>
      <c r="E96" s="1">
        <v>7.5</v>
      </c>
      <c r="F96" s="1">
        <v>2.2000000000000002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547</v>
      </c>
      <c r="C97" s="1">
        <v>971</v>
      </c>
      <c r="D97" s="1">
        <v>-105.6</v>
      </c>
      <c r="E97" s="1">
        <v>8.5</v>
      </c>
      <c r="F97" s="1">
        <v>2.5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527</v>
      </c>
      <c r="C98" s="1">
        <v>900</v>
      </c>
      <c r="D98" s="1">
        <v>-125.5</v>
      </c>
      <c r="E98" s="1">
        <v>9.6</v>
      </c>
      <c r="F98" s="1">
        <v>2.8</v>
      </c>
      <c r="G98" s="1">
        <v>0</v>
      </c>
      <c r="H98" s="1">
        <v>0</v>
      </c>
      <c r="I98" s="1">
        <v>0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507</v>
      </c>
      <c r="C99" s="1">
        <v>833</v>
      </c>
      <c r="D99" s="1">
        <v>-148</v>
      </c>
      <c r="E99" s="1">
        <v>10.7</v>
      </c>
      <c r="F99" s="1">
        <v>3.1</v>
      </c>
      <c r="G99" s="1">
        <v>0</v>
      </c>
      <c r="H99" s="1">
        <v>0</v>
      </c>
      <c r="I99" s="1">
        <v>0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488</v>
      </c>
      <c r="C100" s="1">
        <v>773</v>
      </c>
      <c r="D100" s="1">
        <v>-173.1</v>
      </c>
      <c r="E100" s="1">
        <v>11.9</v>
      </c>
      <c r="F100" s="1">
        <v>3.5</v>
      </c>
      <c r="G100" s="1">
        <v>0</v>
      </c>
      <c r="H100" s="1">
        <v>0</v>
      </c>
      <c r="I100" s="1">
        <v>0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53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</row>
    <row r="104" spans="1:19" x14ac:dyDescent="0.25">
      <c r="A104" s="1">
        <v>0</v>
      </c>
      <c r="B104" s="1">
        <v>976</v>
      </c>
      <c r="C104" s="1">
        <v>3086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946</v>
      </c>
      <c r="C105" s="1">
        <v>2901</v>
      </c>
      <c r="D105" s="1">
        <v>-1.8</v>
      </c>
      <c r="E105" s="1">
        <v>2.5</v>
      </c>
      <c r="F105" s="1">
        <v>0.7</v>
      </c>
      <c r="G105">
        <v>0</v>
      </c>
      <c r="H105">
        <v>0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917</v>
      </c>
      <c r="C106" s="1">
        <v>2727</v>
      </c>
      <c r="D106" s="1">
        <v>-0.4</v>
      </c>
      <c r="E106" s="1">
        <v>0.3</v>
      </c>
      <c r="F106" s="1">
        <v>0.1</v>
      </c>
      <c r="G106">
        <v>0</v>
      </c>
      <c r="H106">
        <v>0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889</v>
      </c>
      <c r="C107" s="1">
        <v>2561</v>
      </c>
      <c r="D107" s="1">
        <v>0.2</v>
      </c>
      <c r="E107" s="1">
        <v>-0.1</v>
      </c>
      <c r="F107" s="1">
        <v>0</v>
      </c>
      <c r="G107">
        <v>0</v>
      </c>
      <c r="H107">
        <v>0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861</v>
      </c>
      <c r="C108" s="10">
        <v>2405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834</v>
      </c>
      <c r="C109" s="1">
        <v>2256</v>
      </c>
      <c r="D109" s="1">
        <v>-1.1000000000000001</v>
      </c>
      <c r="E109" s="1">
        <v>0.3</v>
      </c>
      <c r="F109" s="1">
        <v>0.1</v>
      </c>
      <c r="G109">
        <v>0</v>
      </c>
      <c r="H109">
        <v>0</v>
      </c>
      <c r="I109">
        <v>0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808</v>
      </c>
      <c r="C110" s="1">
        <v>2115</v>
      </c>
      <c r="D110" s="1">
        <v>-3</v>
      </c>
      <c r="E110" s="1">
        <v>0.7</v>
      </c>
      <c r="F110" s="1">
        <v>0.2</v>
      </c>
      <c r="G110">
        <v>0</v>
      </c>
      <c r="H110">
        <v>0</v>
      </c>
      <c r="I110">
        <v>0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782</v>
      </c>
      <c r="C111" s="1">
        <v>1980</v>
      </c>
      <c r="D111" s="1">
        <v>-5.9</v>
      </c>
      <c r="E111" s="1">
        <v>1.2</v>
      </c>
      <c r="F111" s="1">
        <v>0.3</v>
      </c>
      <c r="G111">
        <v>0</v>
      </c>
      <c r="H111">
        <v>0</v>
      </c>
      <c r="I111">
        <v>0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756</v>
      </c>
      <c r="C112" s="1">
        <v>1853</v>
      </c>
      <c r="D112" s="1">
        <v>-9.9</v>
      </c>
      <c r="E112" s="1">
        <v>1.7</v>
      </c>
      <c r="F112" s="1">
        <v>0.5</v>
      </c>
      <c r="G112">
        <v>0</v>
      </c>
      <c r="H112">
        <v>0</v>
      </c>
      <c r="I112">
        <v>0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731</v>
      </c>
      <c r="C113" s="1">
        <v>1732</v>
      </c>
      <c r="D113" s="1">
        <v>-15</v>
      </c>
      <c r="E113" s="1">
        <v>2.2999999999999998</v>
      </c>
      <c r="F113" s="1">
        <v>0.7</v>
      </c>
      <c r="G113">
        <v>0</v>
      </c>
      <c r="H113">
        <v>0</v>
      </c>
      <c r="I113">
        <v>0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707</v>
      </c>
      <c r="C114" s="1">
        <v>1618</v>
      </c>
      <c r="D114" s="1">
        <v>-21.2</v>
      </c>
      <c r="E114" s="1">
        <v>2.9</v>
      </c>
      <c r="F114" s="1">
        <v>0.8</v>
      </c>
      <c r="G114">
        <v>0</v>
      </c>
      <c r="H114">
        <v>0</v>
      </c>
      <c r="I114">
        <v>0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682</v>
      </c>
      <c r="C115" s="1">
        <v>1509</v>
      </c>
      <c r="D115" s="1">
        <v>-29</v>
      </c>
      <c r="E115" s="1">
        <v>3.6</v>
      </c>
      <c r="F115" s="1">
        <v>1.1000000000000001</v>
      </c>
      <c r="G115">
        <v>0</v>
      </c>
      <c r="H115">
        <v>0</v>
      </c>
      <c r="I115">
        <v>0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659</v>
      </c>
      <c r="C116" s="1">
        <v>1406</v>
      </c>
      <c r="D116" s="1">
        <v>-37.9</v>
      </c>
      <c r="E116" s="1">
        <v>4.3</v>
      </c>
      <c r="F116" s="1">
        <v>1.3</v>
      </c>
      <c r="G116">
        <v>0</v>
      </c>
      <c r="H116">
        <v>0</v>
      </c>
      <c r="I116">
        <v>0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635</v>
      </c>
      <c r="C117" s="1">
        <v>1308</v>
      </c>
      <c r="D117" s="1">
        <v>-48.3</v>
      </c>
      <c r="E117" s="1">
        <v>5.0999999999999996</v>
      </c>
      <c r="F117" s="1">
        <v>1.5</v>
      </c>
      <c r="G117">
        <v>0</v>
      </c>
      <c r="H117">
        <v>0</v>
      </c>
      <c r="I117">
        <v>0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613</v>
      </c>
      <c r="C118" s="1">
        <v>1216</v>
      </c>
      <c r="D118" s="1">
        <v>-60.9</v>
      </c>
      <c r="E118" s="1">
        <v>6</v>
      </c>
      <c r="F118" s="1">
        <v>1.7</v>
      </c>
      <c r="G118">
        <v>0</v>
      </c>
      <c r="H118">
        <v>0</v>
      </c>
      <c r="I118">
        <v>0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590</v>
      </c>
      <c r="C119" s="1">
        <v>1130</v>
      </c>
      <c r="D119" s="1">
        <v>-74.7</v>
      </c>
      <c r="E119" s="1">
        <v>6.8</v>
      </c>
      <c r="F119" s="1">
        <v>2</v>
      </c>
      <c r="G119">
        <v>0</v>
      </c>
      <c r="H119">
        <v>0</v>
      </c>
      <c r="I119">
        <v>0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569</v>
      </c>
      <c r="C120" s="1">
        <v>1048</v>
      </c>
      <c r="D120" s="1">
        <v>-90.5</v>
      </c>
      <c r="E120" s="1">
        <v>7.8</v>
      </c>
      <c r="F120" s="1">
        <v>2.2999999999999998</v>
      </c>
      <c r="G120">
        <v>0</v>
      </c>
      <c r="H120">
        <v>0</v>
      </c>
      <c r="I120">
        <v>0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547</v>
      </c>
      <c r="C121" s="1">
        <v>971</v>
      </c>
      <c r="D121" s="1">
        <v>-109</v>
      </c>
      <c r="E121" s="1">
        <v>8.8000000000000007</v>
      </c>
      <c r="F121" s="1">
        <v>2.6</v>
      </c>
      <c r="G121">
        <v>0</v>
      </c>
      <c r="H121">
        <v>0</v>
      </c>
      <c r="I121">
        <v>0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527</v>
      </c>
      <c r="C122" s="1">
        <v>900</v>
      </c>
      <c r="D122" s="1">
        <v>-129.19999999999999</v>
      </c>
      <c r="E122" s="1">
        <v>9.9</v>
      </c>
      <c r="F122" s="1">
        <v>2.9</v>
      </c>
      <c r="G122">
        <v>0</v>
      </c>
      <c r="H122">
        <v>0</v>
      </c>
      <c r="I122">
        <v>0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507</v>
      </c>
      <c r="C123" s="1">
        <v>833</v>
      </c>
      <c r="D123" s="1">
        <v>-151.9</v>
      </c>
      <c r="E123" s="1">
        <v>11</v>
      </c>
      <c r="F123" s="1">
        <v>3.2</v>
      </c>
      <c r="G123">
        <v>0</v>
      </c>
      <c r="H123">
        <v>0</v>
      </c>
      <c r="I123">
        <v>0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488</v>
      </c>
      <c r="C124" s="1">
        <v>773</v>
      </c>
      <c r="D124" s="1">
        <v>-177.2</v>
      </c>
      <c r="E124" s="1">
        <v>12.2</v>
      </c>
      <c r="F124" s="1">
        <v>3.5</v>
      </c>
      <c r="G124">
        <v>0</v>
      </c>
      <c r="H124">
        <v>0</v>
      </c>
      <c r="I124">
        <v>0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59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</row>
    <row r="128" spans="1:19" x14ac:dyDescent="0.25">
      <c r="A128" s="1">
        <v>0</v>
      </c>
      <c r="B128" s="1">
        <v>976</v>
      </c>
      <c r="C128" s="1">
        <v>3086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946</v>
      </c>
      <c r="C129" s="1">
        <v>2901</v>
      </c>
      <c r="D129" s="1">
        <v>-1.3</v>
      </c>
      <c r="E129" s="1">
        <v>1.8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917</v>
      </c>
      <c r="C130" s="1">
        <v>2727</v>
      </c>
      <c r="D130" s="1">
        <v>0.6</v>
      </c>
      <c r="E130" s="1">
        <v>-0.4</v>
      </c>
      <c r="F130" s="1">
        <v>-0.1</v>
      </c>
      <c r="G130">
        <v>0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889</v>
      </c>
      <c r="C131" s="1">
        <v>2561</v>
      </c>
      <c r="D131" s="1">
        <v>1.7</v>
      </c>
      <c r="E131" s="1">
        <v>-0.8</v>
      </c>
      <c r="F131" s="1">
        <v>-0.2</v>
      </c>
      <c r="G131">
        <v>0</v>
      </c>
      <c r="H131">
        <v>0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861</v>
      </c>
      <c r="C132" s="1">
        <v>2405</v>
      </c>
      <c r="D132" s="1">
        <v>2</v>
      </c>
      <c r="E132" s="1">
        <v>-0.7</v>
      </c>
      <c r="F132" s="1">
        <v>-0.2</v>
      </c>
      <c r="G132">
        <v>0</v>
      </c>
      <c r="H132">
        <v>0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834</v>
      </c>
      <c r="C133" s="1">
        <v>2256</v>
      </c>
      <c r="D133" s="1">
        <v>1.5</v>
      </c>
      <c r="E133" s="1">
        <v>-0.4</v>
      </c>
      <c r="F133" s="1">
        <v>-0.1</v>
      </c>
      <c r="G133">
        <v>0</v>
      </c>
      <c r="H133">
        <v>0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808</v>
      </c>
      <c r="C134" s="10">
        <v>2115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782</v>
      </c>
      <c r="C135" s="1">
        <v>1980</v>
      </c>
      <c r="D135" s="1">
        <v>-2.2999999999999998</v>
      </c>
      <c r="E135" s="1">
        <v>0.5</v>
      </c>
      <c r="F135" s="1">
        <v>0.1</v>
      </c>
      <c r="G135">
        <v>0</v>
      </c>
      <c r="H135">
        <v>0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756</v>
      </c>
      <c r="C136" s="1">
        <v>1853</v>
      </c>
      <c r="D136" s="1">
        <v>-5.9</v>
      </c>
      <c r="E136" s="1">
        <v>1</v>
      </c>
      <c r="F136" s="1">
        <v>0.3</v>
      </c>
      <c r="G136">
        <v>0</v>
      </c>
      <c r="H136">
        <v>0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731</v>
      </c>
      <c r="C137" s="1">
        <v>1732</v>
      </c>
      <c r="D137" s="1">
        <v>-10.4</v>
      </c>
      <c r="E137" s="1">
        <v>1.6</v>
      </c>
      <c r="F137" s="1">
        <v>0.5</v>
      </c>
      <c r="G137">
        <v>0</v>
      </c>
      <c r="H137">
        <v>0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707</v>
      </c>
      <c r="C138" s="1">
        <v>1618</v>
      </c>
      <c r="D138" s="1">
        <v>-16.100000000000001</v>
      </c>
      <c r="E138" s="1">
        <v>2.2000000000000002</v>
      </c>
      <c r="F138" s="1">
        <v>0.6</v>
      </c>
      <c r="G138">
        <v>0</v>
      </c>
      <c r="H138">
        <v>0</v>
      </c>
      <c r="I138">
        <v>0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682</v>
      </c>
      <c r="C139" s="1">
        <v>1509</v>
      </c>
      <c r="D139" s="1">
        <v>-23.4</v>
      </c>
      <c r="E139" s="1">
        <v>2.9</v>
      </c>
      <c r="F139" s="1">
        <v>0.9</v>
      </c>
      <c r="G139">
        <v>0</v>
      </c>
      <c r="H139">
        <v>0</v>
      </c>
      <c r="I139">
        <v>0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659</v>
      </c>
      <c r="C140" s="1">
        <v>1406</v>
      </c>
      <c r="D140" s="1">
        <v>-31.9</v>
      </c>
      <c r="E140" s="1">
        <v>3.7</v>
      </c>
      <c r="F140" s="1">
        <v>1.1000000000000001</v>
      </c>
      <c r="G140">
        <v>0</v>
      </c>
      <c r="H140">
        <v>0</v>
      </c>
      <c r="I140">
        <v>0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635</v>
      </c>
      <c r="C141" s="1">
        <v>1308</v>
      </c>
      <c r="D141" s="1">
        <v>-41.8</v>
      </c>
      <c r="E141" s="1">
        <v>4.4000000000000004</v>
      </c>
      <c r="F141" s="1">
        <v>1.3</v>
      </c>
      <c r="G141">
        <v>0</v>
      </c>
      <c r="H141">
        <v>0</v>
      </c>
      <c r="I141">
        <v>0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613</v>
      </c>
      <c r="C142" s="1">
        <v>1216</v>
      </c>
      <c r="D142" s="1">
        <v>-53.8</v>
      </c>
      <c r="E142" s="1">
        <v>5.3</v>
      </c>
      <c r="F142" s="1">
        <v>1.5</v>
      </c>
      <c r="G142">
        <v>0</v>
      </c>
      <c r="H142">
        <v>0</v>
      </c>
      <c r="I142">
        <v>0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590</v>
      </c>
      <c r="C143" s="1">
        <v>1130</v>
      </c>
      <c r="D143" s="1">
        <v>-67.2</v>
      </c>
      <c r="E143" s="1">
        <v>6.2</v>
      </c>
      <c r="F143" s="1">
        <v>1.8</v>
      </c>
      <c r="G143">
        <v>0</v>
      </c>
      <c r="H143">
        <v>0</v>
      </c>
      <c r="I143">
        <v>0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569</v>
      </c>
      <c r="C144" s="1">
        <v>1048</v>
      </c>
      <c r="D144" s="1">
        <v>-82.4</v>
      </c>
      <c r="E144" s="1">
        <v>7.1</v>
      </c>
      <c r="F144" s="1">
        <v>2.1</v>
      </c>
      <c r="G144">
        <v>0</v>
      </c>
      <c r="H144">
        <v>0</v>
      </c>
      <c r="I144">
        <v>0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547</v>
      </c>
      <c r="C145" s="1">
        <v>971</v>
      </c>
      <c r="D145" s="1">
        <v>-100.5</v>
      </c>
      <c r="E145" s="1">
        <v>8.1</v>
      </c>
      <c r="F145" s="1">
        <v>2.4</v>
      </c>
      <c r="G145">
        <v>0</v>
      </c>
      <c r="H145">
        <v>0</v>
      </c>
      <c r="I145">
        <v>0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527</v>
      </c>
      <c r="C146" s="1">
        <v>899</v>
      </c>
      <c r="D146" s="1">
        <v>-120.2</v>
      </c>
      <c r="E146" s="1">
        <v>9.1999999999999993</v>
      </c>
      <c r="F146" s="1">
        <v>2.7</v>
      </c>
      <c r="G146">
        <v>0</v>
      </c>
      <c r="H146">
        <v>0</v>
      </c>
      <c r="I146">
        <v>0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507</v>
      </c>
      <c r="C147" s="1">
        <v>833</v>
      </c>
      <c r="D147" s="1">
        <v>-142.30000000000001</v>
      </c>
      <c r="E147" s="1">
        <v>10.3</v>
      </c>
      <c r="F147" s="1">
        <v>3</v>
      </c>
      <c r="G147">
        <v>0</v>
      </c>
      <c r="H147">
        <v>0</v>
      </c>
      <c r="I147">
        <v>0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488</v>
      </c>
      <c r="C148" s="1">
        <v>773</v>
      </c>
      <c r="D148" s="1">
        <v>-167.1</v>
      </c>
      <c r="E148" s="1">
        <v>11.5</v>
      </c>
      <c r="F148" s="1">
        <v>3.3</v>
      </c>
      <c r="G148">
        <v>0</v>
      </c>
      <c r="H148">
        <v>0</v>
      </c>
      <c r="I148">
        <v>0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9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</row>
    <row r="152" spans="1:19" x14ac:dyDescent="0.25">
      <c r="A152" s="1">
        <v>0</v>
      </c>
      <c r="B152" s="1">
        <v>976</v>
      </c>
      <c r="C152" s="1">
        <v>3086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946</v>
      </c>
      <c r="C153" s="1">
        <v>2901</v>
      </c>
      <c r="D153" s="1">
        <v>-0.6</v>
      </c>
      <c r="E153" s="1">
        <v>0.8</v>
      </c>
      <c r="F153" s="1">
        <v>0.2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917</v>
      </c>
      <c r="C154" s="1">
        <v>2727</v>
      </c>
      <c r="D154" s="1">
        <v>2.1</v>
      </c>
      <c r="E154" s="1">
        <v>-1.4</v>
      </c>
      <c r="F154" s="1">
        <v>-0.4</v>
      </c>
      <c r="G154">
        <v>0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889</v>
      </c>
      <c r="C155" s="1">
        <v>2561</v>
      </c>
      <c r="D155" s="1">
        <v>3.9</v>
      </c>
      <c r="E155" s="1">
        <v>-1.8</v>
      </c>
      <c r="F155" s="1">
        <v>-0.5</v>
      </c>
      <c r="G155">
        <v>0</v>
      </c>
      <c r="H155">
        <v>0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861</v>
      </c>
      <c r="C156" s="1">
        <v>2405</v>
      </c>
      <c r="D156" s="1">
        <v>4.9000000000000004</v>
      </c>
      <c r="E156" s="1">
        <v>-1.7</v>
      </c>
      <c r="F156" s="1">
        <v>-0.5</v>
      </c>
      <c r="G156">
        <v>0</v>
      </c>
      <c r="H156">
        <v>0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834</v>
      </c>
      <c r="C157" s="1">
        <v>2256</v>
      </c>
      <c r="D157" s="1">
        <v>5.0999999999999996</v>
      </c>
      <c r="E157" s="1">
        <v>-1.4</v>
      </c>
      <c r="F157" s="1">
        <v>-0.4</v>
      </c>
      <c r="G157">
        <v>0</v>
      </c>
      <c r="H157">
        <v>0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808</v>
      </c>
      <c r="C158" s="1">
        <v>2115</v>
      </c>
      <c r="D158" s="1">
        <v>4.4000000000000004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782</v>
      </c>
      <c r="C159" s="1">
        <v>1980</v>
      </c>
      <c r="D159" s="1">
        <v>2.7</v>
      </c>
      <c r="E159" s="1">
        <v>-0.5</v>
      </c>
      <c r="F159" s="1">
        <v>-0.2</v>
      </c>
      <c r="G159">
        <v>0</v>
      </c>
      <c r="H159">
        <v>0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756</v>
      </c>
      <c r="C160" s="10">
        <v>1853</v>
      </c>
      <c r="D160" s="10">
        <v>-0.1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731</v>
      </c>
      <c r="C161" s="1">
        <v>1732</v>
      </c>
      <c r="D161" s="1">
        <v>-3.9</v>
      </c>
      <c r="E161" s="1">
        <v>0.6</v>
      </c>
      <c r="F161" s="1">
        <v>0.2</v>
      </c>
      <c r="G161">
        <v>0</v>
      </c>
      <c r="H161">
        <v>0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707</v>
      </c>
      <c r="C162" s="1">
        <v>1618</v>
      </c>
      <c r="D162" s="1">
        <v>-8.9</v>
      </c>
      <c r="E162" s="1">
        <v>1.2</v>
      </c>
      <c r="F162" s="1">
        <v>0.4</v>
      </c>
      <c r="G162">
        <v>0</v>
      </c>
      <c r="H162">
        <v>0</v>
      </c>
      <c r="I162">
        <v>0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682</v>
      </c>
      <c r="C163" s="1">
        <v>1509</v>
      </c>
      <c r="D163" s="1">
        <v>-15.4</v>
      </c>
      <c r="E163" s="1">
        <v>1.9</v>
      </c>
      <c r="F163" s="1">
        <v>0.6</v>
      </c>
      <c r="G163">
        <v>0</v>
      </c>
      <c r="H163">
        <v>0</v>
      </c>
      <c r="I163">
        <v>0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659</v>
      </c>
      <c r="C164" s="1">
        <v>1406</v>
      </c>
      <c r="D164" s="1">
        <v>-23.1</v>
      </c>
      <c r="E164" s="1">
        <v>2.7</v>
      </c>
      <c r="F164" s="1">
        <v>0.8</v>
      </c>
      <c r="G164">
        <v>0</v>
      </c>
      <c r="H164">
        <v>0</v>
      </c>
      <c r="I164">
        <v>0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635</v>
      </c>
      <c r="C165" s="1">
        <v>1308</v>
      </c>
      <c r="D165" s="1">
        <v>-32.4</v>
      </c>
      <c r="E165" s="1">
        <v>3.4</v>
      </c>
      <c r="F165" s="1">
        <v>1</v>
      </c>
      <c r="G165">
        <v>0</v>
      </c>
      <c r="H165">
        <v>0</v>
      </c>
      <c r="I165">
        <v>0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613</v>
      </c>
      <c r="C166" s="1">
        <v>1216</v>
      </c>
      <c r="D166" s="1">
        <v>-43.6</v>
      </c>
      <c r="E166" s="1">
        <v>4.3</v>
      </c>
      <c r="F166" s="1">
        <v>1.2</v>
      </c>
      <c r="G166">
        <v>0</v>
      </c>
      <c r="H166">
        <v>0</v>
      </c>
      <c r="I166">
        <v>0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590</v>
      </c>
      <c r="C167" s="1">
        <v>1130</v>
      </c>
      <c r="D167" s="1">
        <v>-56.3</v>
      </c>
      <c r="E167" s="1">
        <v>5.2</v>
      </c>
      <c r="F167" s="1">
        <v>1.5</v>
      </c>
      <c r="G167">
        <v>0</v>
      </c>
      <c r="H167">
        <v>0</v>
      </c>
      <c r="I167">
        <v>0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569</v>
      </c>
      <c r="C168" s="1">
        <v>1048</v>
      </c>
      <c r="D168" s="1">
        <v>-70.8</v>
      </c>
      <c r="E168" s="1">
        <v>6.1</v>
      </c>
      <c r="F168" s="1">
        <v>1.8</v>
      </c>
      <c r="G168">
        <v>0</v>
      </c>
      <c r="H168">
        <v>0</v>
      </c>
      <c r="I168">
        <v>0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547</v>
      </c>
      <c r="C169" s="1">
        <v>971</v>
      </c>
      <c r="D169" s="1">
        <v>-88.1</v>
      </c>
      <c r="E169" s="1">
        <v>7.1</v>
      </c>
      <c r="F169" s="1">
        <v>2.1</v>
      </c>
      <c r="G169">
        <v>0</v>
      </c>
      <c r="H169">
        <v>0</v>
      </c>
      <c r="I169">
        <v>0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527</v>
      </c>
      <c r="C170" s="1">
        <v>899</v>
      </c>
      <c r="D170" s="1">
        <v>-107.1</v>
      </c>
      <c r="E170" s="1">
        <v>8.1999999999999993</v>
      </c>
      <c r="F170" s="1">
        <v>2.4</v>
      </c>
      <c r="G170">
        <v>0</v>
      </c>
      <c r="H170">
        <v>0</v>
      </c>
      <c r="I170">
        <v>0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507</v>
      </c>
      <c r="C171" s="1">
        <v>832</v>
      </c>
      <c r="D171" s="1">
        <v>-128.5</v>
      </c>
      <c r="E171" s="1">
        <v>9.3000000000000007</v>
      </c>
      <c r="F171" s="1">
        <v>2.7</v>
      </c>
      <c r="G171">
        <v>0</v>
      </c>
      <c r="H171">
        <v>0</v>
      </c>
      <c r="I171">
        <v>0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488</v>
      </c>
      <c r="C172" s="1">
        <v>773</v>
      </c>
      <c r="D172" s="1">
        <v>-152.6</v>
      </c>
      <c r="E172" s="1">
        <v>10.5</v>
      </c>
      <c r="F172" s="1">
        <v>3.1</v>
      </c>
      <c r="G172">
        <v>0</v>
      </c>
      <c r="H172">
        <v>0</v>
      </c>
      <c r="I172">
        <v>0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10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</row>
    <row r="176" spans="1:19" x14ac:dyDescent="0.25">
      <c r="A176" s="1">
        <v>0</v>
      </c>
      <c r="B176" s="1">
        <v>976</v>
      </c>
      <c r="C176" s="1">
        <v>3086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946</v>
      </c>
      <c r="C177" s="1">
        <v>2901</v>
      </c>
      <c r="D177" s="1">
        <v>1.4</v>
      </c>
      <c r="E177" s="1">
        <v>-1.9</v>
      </c>
      <c r="F177" s="1">
        <v>-0.5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917</v>
      </c>
      <c r="C178" s="1">
        <v>2727</v>
      </c>
      <c r="D178" s="1">
        <v>6</v>
      </c>
      <c r="E178" s="1">
        <v>-4.0999999999999996</v>
      </c>
      <c r="F178" s="1">
        <v>-1.2</v>
      </c>
      <c r="G178">
        <v>0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889</v>
      </c>
      <c r="C179" s="1">
        <v>2561</v>
      </c>
      <c r="D179" s="1">
        <v>9.6999999999999993</v>
      </c>
      <c r="E179" s="1">
        <v>-4.4000000000000004</v>
      </c>
      <c r="F179" s="1">
        <v>-1.3</v>
      </c>
      <c r="G179">
        <v>0</v>
      </c>
      <c r="H179">
        <v>0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861</v>
      </c>
      <c r="C180" s="1">
        <v>2405</v>
      </c>
      <c r="D180" s="1">
        <v>12.6</v>
      </c>
      <c r="E180" s="1">
        <v>-4.3</v>
      </c>
      <c r="F180" s="1">
        <v>-1.3</v>
      </c>
      <c r="G180">
        <v>0</v>
      </c>
      <c r="H180">
        <v>0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834</v>
      </c>
      <c r="C181" s="1">
        <v>2256</v>
      </c>
      <c r="D181" s="1">
        <v>14.8</v>
      </c>
      <c r="E181" s="1">
        <v>-4.0999999999999996</v>
      </c>
      <c r="F181" s="1">
        <v>-1.2</v>
      </c>
      <c r="G181">
        <v>0</v>
      </c>
      <c r="H181">
        <v>0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808</v>
      </c>
      <c r="C182" s="1">
        <v>2115</v>
      </c>
      <c r="D182" s="1">
        <v>16</v>
      </c>
      <c r="E182" s="1">
        <v>-3.7</v>
      </c>
      <c r="F182" s="1">
        <v>-1.1000000000000001</v>
      </c>
      <c r="G182">
        <v>0</v>
      </c>
      <c r="H182">
        <v>0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782</v>
      </c>
      <c r="C183" s="1">
        <v>1980</v>
      </c>
      <c r="D183" s="1">
        <v>16.2</v>
      </c>
      <c r="E183" s="1">
        <v>-3.2</v>
      </c>
      <c r="F183" s="1">
        <v>-0.9</v>
      </c>
      <c r="G183">
        <v>0</v>
      </c>
      <c r="H183">
        <v>0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756</v>
      </c>
      <c r="C184" s="1">
        <v>1853</v>
      </c>
      <c r="D184" s="1">
        <v>15.4</v>
      </c>
      <c r="E184" s="1">
        <v>-2.6</v>
      </c>
      <c r="F184" s="1">
        <v>-0.8</v>
      </c>
      <c r="G184">
        <v>0</v>
      </c>
      <c r="H184">
        <v>0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731</v>
      </c>
      <c r="C185" s="1">
        <v>1732</v>
      </c>
      <c r="D185" s="1">
        <v>13.5</v>
      </c>
      <c r="E185" s="1">
        <v>-2.1</v>
      </c>
      <c r="F185" s="1">
        <v>-0.6</v>
      </c>
      <c r="G185">
        <v>0</v>
      </c>
      <c r="H185">
        <v>0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707</v>
      </c>
      <c r="C186" s="1">
        <v>1618</v>
      </c>
      <c r="D186" s="1">
        <v>10.4</v>
      </c>
      <c r="E186" s="1">
        <v>-1.4</v>
      </c>
      <c r="F186" s="1">
        <v>-0.4</v>
      </c>
      <c r="G186">
        <v>0</v>
      </c>
      <c r="H186">
        <v>0</v>
      </c>
      <c r="I186">
        <v>0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682</v>
      </c>
      <c r="C187" s="1">
        <v>1509</v>
      </c>
      <c r="D187" s="1">
        <v>5.8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659</v>
      </c>
      <c r="C188" s="10">
        <v>1406</v>
      </c>
      <c r="D188" s="10">
        <v>0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635</v>
      </c>
      <c r="C189" s="1">
        <v>1308</v>
      </c>
      <c r="D189" s="1">
        <v>-7.3</v>
      </c>
      <c r="E189" s="1">
        <v>0.8</v>
      </c>
      <c r="F189" s="1">
        <v>0.2</v>
      </c>
      <c r="G189">
        <v>0</v>
      </c>
      <c r="H189">
        <v>0</v>
      </c>
      <c r="I189">
        <v>0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613</v>
      </c>
      <c r="C190" s="1">
        <v>1216</v>
      </c>
      <c r="D190" s="1">
        <v>-16.600000000000001</v>
      </c>
      <c r="E190" s="1">
        <v>1.6</v>
      </c>
      <c r="F190" s="1">
        <v>0.5</v>
      </c>
      <c r="G190">
        <v>0</v>
      </c>
      <c r="H190">
        <v>0</v>
      </c>
      <c r="I190">
        <v>0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590</v>
      </c>
      <c r="C191" s="1">
        <v>1130</v>
      </c>
      <c r="D191" s="1">
        <v>-27.3</v>
      </c>
      <c r="E191" s="1">
        <v>2.5</v>
      </c>
      <c r="F191" s="1">
        <v>0.7</v>
      </c>
      <c r="G191">
        <v>0</v>
      </c>
      <c r="H191">
        <v>0</v>
      </c>
      <c r="I191">
        <v>0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569</v>
      </c>
      <c r="C192" s="1">
        <v>1048</v>
      </c>
      <c r="D192" s="1">
        <v>-40</v>
      </c>
      <c r="E192" s="1">
        <v>3.4</v>
      </c>
      <c r="F192" s="1">
        <v>1</v>
      </c>
      <c r="G192">
        <v>0</v>
      </c>
      <c r="H192">
        <v>0</v>
      </c>
      <c r="I192">
        <v>0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547</v>
      </c>
      <c r="C193" s="1">
        <v>971</v>
      </c>
      <c r="D193" s="1">
        <v>-55.3</v>
      </c>
      <c r="E193" s="1">
        <v>4.5</v>
      </c>
      <c r="F193" s="1">
        <v>1.3</v>
      </c>
      <c r="G193">
        <v>0</v>
      </c>
      <c r="H193">
        <v>0</v>
      </c>
      <c r="I193">
        <v>0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527</v>
      </c>
      <c r="C194" s="1">
        <v>899</v>
      </c>
      <c r="D194" s="1">
        <v>-72.3</v>
      </c>
      <c r="E194" s="1">
        <v>5.5</v>
      </c>
      <c r="F194" s="1">
        <v>1.6</v>
      </c>
      <c r="G194">
        <v>0</v>
      </c>
      <c r="H194">
        <v>0</v>
      </c>
      <c r="I194">
        <v>0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507</v>
      </c>
      <c r="C195" s="1">
        <v>832</v>
      </c>
      <c r="D195" s="1">
        <v>-91.9</v>
      </c>
      <c r="E195" s="1">
        <v>6.7</v>
      </c>
      <c r="F195" s="1">
        <v>1.9</v>
      </c>
      <c r="G195">
        <v>0</v>
      </c>
      <c r="H195">
        <v>0</v>
      </c>
      <c r="I195">
        <v>0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488</v>
      </c>
      <c r="C196" s="1">
        <v>773</v>
      </c>
      <c r="D196" s="1">
        <v>-114.1</v>
      </c>
      <c r="E196" s="1">
        <v>7.9</v>
      </c>
      <c r="F196" s="1">
        <v>2.2999999999999998</v>
      </c>
      <c r="G196">
        <v>0</v>
      </c>
      <c r="H196">
        <v>0</v>
      </c>
      <c r="I196">
        <v>0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31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</row>
    <row r="200" spans="1:19" x14ac:dyDescent="0.25">
      <c r="A200" s="1">
        <v>0</v>
      </c>
      <c r="B200" s="1">
        <v>976</v>
      </c>
      <c r="C200" s="1">
        <v>3086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946</v>
      </c>
      <c r="C201" s="1">
        <v>2901</v>
      </c>
      <c r="D201" s="1">
        <v>3.9</v>
      </c>
      <c r="E201" s="1">
        <v>-5.3</v>
      </c>
      <c r="F201" s="1">
        <v>-1.6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917</v>
      </c>
      <c r="C202" s="1">
        <v>2727</v>
      </c>
      <c r="D202" s="1">
        <v>11</v>
      </c>
      <c r="E202" s="1">
        <v>-7.5</v>
      </c>
      <c r="F202" s="1">
        <v>-2.2000000000000002</v>
      </c>
      <c r="G202">
        <v>0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889</v>
      </c>
      <c r="C203" s="1">
        <v>2561</v>
      </c>
      <c r="D203" s="1">
        <v>17.2</v>
      </c>
      <c r="E203" s="1">
        <v>-7.9</v>
      </c>
      <c r="F203" s="1">
        <v>-2.2999999999999998</v>
      </c>
      <c r="G203">
        <v>0</v>
      </c>
      <c r="H203">
        <v>0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861</v>
      </c>
      <c r="C204" s="1">
        <v>2405</v>
      </c>
      <c r="D204" s="1">
        <v>22.7</v>
      </c>
      <c r="E204" s="1">
        <v>-7.8</v>
      </c>
      <c r="F204" s="1">
        <v>-2.2999999999999998</v>
      </c>
      <c r="G204">
        <v>0</v>
      </c>
      <c r="H204">
        <v>0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834</v>
      </c>
      <c r="C205" s="1">
        <v>2256</v>
      </c>
      <c r="D205" s="1">
        <v>27.4</v>
      </c>
      <c r="E205" s="1">
        <v>-7.5</v>
      </c>
      <c r="F205" s="1">
        <v>-2.2000000000000002</v>
      </c>
      <c r="G205">
        <v>0</v>
      </c>
      <c r="H205">
        <v>0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808</v>
      </c>
      <c r="C206" s="1">
        <v>2115</v>
      </c>
      <c r="D206" s="1">
        <v>31.1</v>
      </c>
      <c r="E206" s="1">
        <v>-7.1</v>
      </c>
      <c r="F206" s="1">
        <v>-2.1</v>
      </c>
      <c r="G206">
        <v>0</v>
      </c>
      <c r="H206">
        <v>0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782</v>
      </c>
      <c r="C207" s="1">
        <v>1980</v>
      </c>
      <c r="D207" s="1">
        <v>33.799999999999997</v>
      </c>
      <c r="E207" s="1">
        <v>-6.7</v>
      </c>
      <c r="F207" s="1">
        <v>-1.9</v>
      </c>
      <c r="G207">
        <v>0</v>
      </c>
      <c r="H207">
        <v>0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756</v>
      </c>
      <c r="C208" s="1">
        <v>1853</v>
      </c>
      <c r="D208" s="1">
        <v>35.6</v>
      </c>
      <c r="E208" s="1">
        <v>-6.1</v>
      </c>
      <c r="F208" s="1">
        <v>-1.8</v>
      </c>
      <c r="G208">
        <v>0</v>
      </c>
      <c r="H208">
        <v>0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731</v>
      </c>
      <c r="C209" s="1">
        <v>1732</v>
      </c>
      <c r="D209" s="1">
        <v>36.200000000000003</v>
      </c>
      <c r="E209" s="1">
        <v>-5.5</v>
      </c>
      <c r="F209" s="1">
        <v>-1.6</v>
      </c>
      <c r="G209">
        <v>0</v>
      </c>
      <c r="H209">
        <v>0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707</v>
      </c>
      <c r="C210" s="1">
        <v>1618</v>
      </c>
      <c r="D210" s="1">
        <v>35.5</v>
      </c>
      <c r="E210" s="1">
        <v>-4.9000000000000004</v>
      </c>
      <c r="F210" s="1">
        <v>-1.4</v>
      </c>
      <c r="G210">
        <v>0</v>
      </c>
      <c r="H210">
        <v>0</v>
      </c>
      <c r="I210">
        <v>0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682</v>
      </c>
      <c r="C211" s="1">
        <v>1509</v>
      </c>
      <c r="D211" s="1">
        <v>33.5</v>
      </c>
      <c r="E211" s="1">
        <v>-4.2</v>
      </c>
      <c r="F211" s="1">
        <v>-1.2</v>
      </c>
      <c r="G211">
        <v>0</v>
      </c>
      <c r="H211">
        <v>0</v>
      </c>
      <c r="I211">
        <v>0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659</v>
      </c>
      <c r="C212" s="1">
        <v>1406</v>
      </c>
      <c r="D212" s="1">
        <v>30.2</v>
      </c>
      <c r="E212" s="1">
        <v>-3.5</v>
      </c>
      <c r="F212" s="1">
        <v>-1</v>
      </c>
      <c r="G212">
        <v>0</v>
      </c>
      <c r="H212">
        <v>0</v>
      </c>
      <c r="I212">
        <v>0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635</v>
      </c>
      <c r="C213" s="1">
        <v>1308</v>
      </c>
      <c r="D213" s="1">
        <v>25.4</v>
      </c>
      <c r="E213" s="1">
        <v>-2.7</v>
      </c>
      <c r="F213" s="1">
        <v>-0.8</v>
      </c>
      <c r="G213">
        <v>0</v>
      </c>
      <c r="H213">
        <v>0</v>
      </c>
      <c r="I213">
        <v>0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613</v>
      </c>
      <c r="C214" s="1">
        <v>1216</v>
      </c>
      <c r="D214" s="1">
        <v>18.7</v>
      </c>
      <c r="E214" s="1">
        <v>-1.8</v>
      </c>
      <c r="F214" s="1">
        <v>-0.5</v>
      </c>
      <c r="G214">
        <v>0</v>
      </c>
      <c r="H214">
        <v>0</v>
      </c>
      <c r="I214">
        <v>0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590</v>
      </c>
      <c r="C215" s="1">
        <v>1130</v>
      </c>
      <c r="D215" s="1">
        <v>10.4</v>
      </c>
      <c r="E215" s="1">
        <v>-1</v>
      </c>
      <c r="F215" s="1">
        <v>-0.3</v>
      </c>
      <c r="G215">
        <v>0</v>
      </c>
      <c r="H215">
        <v>0</v>
      </c>
      <c r="I215">
        <v>0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569</v>
      </c>
      <c r="C216" s="10">
        <v>1048</v>
      </c>
      <c r="D216" s="10">
        <v>0.3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547</v>
      </c>
      <c r="C217" s="1">
        <v>971</v>
      </c>
      <c r="D217" s="1">
        <v>-12.5</v>
      </c>
      <c r="E217" s="1">
        <v>1</v>
      </c>
      <c r="F217" s="1">
        <v>0.3</v>
      </c>
      <c r="G217">
        <v>0</v>
      </c>
      <c r="H217">
        <v>0</v>
      </c>
      <c r="I217">
        <v>0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527</v>
      </c>
      <c r="C218" s="1">
        <v>899</v>
      </c>
      <c r="D218" s="1">
        <v>-27.1</v>
      </c>
      <c r="E218" s="1">
        <v>2.1</v>
      </c>
      <c r="F218" s="1">
        <v>0.6</v>
      </c>
      <c r="G218">
        <v>0</v>
      </c>
      <c r="H218">
        <v>0</v>
      </c>
      <c r="I218">
        <v>0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507</v>
      </c>
      <c r="C219" s="1">
        <v>832</v>
      </c>
      <c r="D219" s="1">
        <v>-44.1</v>
      </c>
      <c r="E219" s="1">
        <v>3.2</v>
      </c>
      <c r="F219" s="1">
        <v>0.9</v>
      </c>
      <c r="G219">
        <v>0</v>
      </c>
      <c r="H219">
        <v>0</v>
      </c>
      <c r="I219">
        <v>0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488</v>
      </c>
      <c r="C220" s="1">
        <v>772</v>
      </c>
      <c r="D220" s="1">
        <v>-63.8</v>
      </c>
      <c r="E220" s="1">
        <v>4.4000000000000004</v>
      </c>
      <c r="F220" s="1">
        <v>1.3</v>
      </c>
      <c r="G220">
        <v>0</v>
      </c>
      <c r="H220">
        <v>0</v>
      </c>
      <c r="I220">
        <v>0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32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</row>
    <row r="224" spans="1:19" x14ac:dyDescent="0.25">
      <c r="A224" s="1">
        <v>0</v>
      </c>
      <c r="B224" s="1">
        <v>976</v>
      </c>
      <c r="C224" s="1">
        <v>3086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946</v>
      </c>
      <c r="C225" s="1">
        <v>2901</v>
      </c>
      <c r="D225" s="1">
        <v>7.1</v>
      </c>
      <c r="E225" s="1">
        <v>-9.8000000000000007</v>
      </c>
      <c r="F225" s="1">
        <v>-2.8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917</v>
      </c>
      <c r="C226" s="1">
        <v>2727</v>
      </c>
      <c r="D226" s="1">
        <v>17.5</v>
      </c>
      <c r="E226" s="1">
        <v>-12</v>
      </c>
      <c r="F226" s="1">
        <v>-3.5</v>
      </c>
      <c r="G226" s="2">
        <v>0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889</v>
      </c>
      <c r="C227" s="1">
        <v>2561</v>
      </c>
      <c r="D227" s="1">
        <v>26.9</v>
      </c>
      <c r="E227" s="1">
        <v>-12.3</v>
      </c>
      <c r="F227" s="1">
        <v>-3.6</v>
      </c>
      <c r="G227" s="2">
        <v>0</v>
      </c>
      <c r="H227" s="2">
        <v>0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861</v>
      </c>
      <c r="C228" s="1">
        <v>2405</v>
      </c>
      <c r="D228" s="1">
        <v>35.5</v>
      </c>
      <c r="E228" s="1">
        <v>-12.2</v>
      </c>
      <c r="F228" s="1">
        <v>-3.6</v>
      </c>
      <c r="G228" s="2">
        <v>0</v>
      </c>
      <c r="H228" s="2">
        <v>0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834</v>
      </c>
      <c r="C229" s="1">
        <v>2256</v>
      </c>
      <c r="D229" s="1">
        <v>43.6</v>
      </c>
      <c r="E229" s="1">
        <v>-11.9</v>
      </c>
      <c r="F229" s="1">
        <v>-3.5</v>
      </c>
      <c r="G229" s="2">
        <v>0</v>
      </c>
      <c r="H229" s="2">
        <v>0</v>
      </c>
      <c r="I229" s="2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808</v>
      </c>
      <c r="C230" s="1">
        <v>2115</v>
      </c>
      <c r="D230" s="1">
        <v>50.5</v>
      </c>
      <c r="E230" s="1">
        <v>-11.6</v>
      </c>
      <c r="F230" s="1">
        <v>-3.4</v>
      </c>
      <c r="G230" s="2">
        <v>0</v>
      </c>
      <c r="H230" s="2">
        <v>0</v>
      </c>
      <c r="I230" s="2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782</v>
      </c>
      <c r="C231" s="1">
        <v>1980</v>
      </c>
      <c r="D231" s="1">
        <v>56.4</v>
      </c>
      <c r="E231" s="1">
        <v>-11.1</v>
      </c>
      <c r="F231" s="1">
        <v>-3.2</v>
      </c>
      <c r="G231" s="2">
        <v>0</v>
      </c>
      <c r="H231" s="2">
        <v>0</v>
      </c>
      <c r="I231" s="2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756</v>
      </c>
      <c r="C232" s="1">
        <v>1853</v>
      </c>
      <c r="D232" s="1">
        <v>61.4</v>
      </c>
      <c r="E232" s="1">
        <v>-10.5</v>
      </c>
      <c r="F232" s="1">
        <v>-3.1</v>
      </c>
      <c r="G232" s="2">
        <v>0</v>
      </c>
      <c r="H232" s="2">
        <v>0</v>
      </c>
      <c r="I232" s="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731</v>
      </c>
      <c r="C233" s="1">
        <v>1732</v>
      </c>
      <c r="D233" s="1">
        <v>65.2</v>
      </c>
      <c r="E233" s="1">
        <v>-10</v>
      </c>
      <c r="F233" s="1">
        <v>-2.9</v>
      </c>
      <c r="G233" s="2">
        <v>0</v>
      </c>
      <c r="H233" s="2">
        <v>0</v>
      </c>
      <c r="I233" s="2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707</v>
      </c>
      <c r="C234" s="1">
        <v>1617</v>
      </c>
      <c r="D234" s="1">
        <v>67.8</v>
      </c>
      <c r="E234" s="1">
        <v>-9.3000000000000007</v>
      </c>
      <c r="F234" s="1">
        <v>-2.7</v>
      </c>
      <c r="G234" s="2">
        <v>0</v>
      </c>
      <c r="H234" s="2">
        <v>0</v>
      </c>
      <c r="I234" s="2">
        <v>0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682</v>
      </c>
      <c r="C235" s="1">
        <v>1509</v>
      </c>
      <c r="D235" s="1">
        <v>69.099999999999994</v>
      </c>
      <c r="E235" s="1">
        <v>-8.6</v>
      </c>
      <c r="F235" s="1">
        <v>-2.5</v>
      </c>
      <c r="G235" s="2">
        <v>0</v>
      </c>
      <c r="H235" s="2">
        <v>0</v>
      </c>
      <c r="I235" s="2">
        <v>0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659</v>
      </c>
      <c r="C236" s="1">
        <v>1406</v>
      </c>
      <c r="D236" s="1">
        <v>68.900000000000006</v>
      </c>
      <c r="E236" s="1">
        <v>-7.9</v>
      </c>
      <c r="F236" s="1">
        <v>-2.2999999999999998</v>
      </c>
      <c r="G236" s="2">
        <v>0</v>
      </c>
      <c r="H236" s="2">
        <v>0</v>
      </c>
      <c r="I236" s="2">
        <v>0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635</v>
      </c>
      <c r="C237" s="1">
        <v>1308</v>
      </c>
      <c r="D237" s="1">
        <v>67.3</v>
      </c>
      <c r="E237" s="1">
        <v>-7.1</v>
      </c>
      <c r="F237" s="1">
        <v>-2.1</v>
      </c>
      <c r="G237" s="2">
        <v>0</v>
      </c>
      <c r="H237" s="2">
        <v>0</v>
      </c>
      <c r="I237" s="2">
        <v>0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613</v>
      </c>
      <c r="C238" s="1">
        <v>1216</v>
      </c>
      <c r="D238" s="1">
        <v>63.9</v>
      </c>
      <c r="E238" s="1">
        <v>-6.3</v>
      </c>
      <c r="F238" s="1">
        <v>-1.8</v>
      </c>
      <c r="G238" s="2">
        <v>0</v>
      </c>
      <c r="H238" s="2">
        <v>0</v>
      </c>
      <c r="I238" s="2">
        <v>0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590</v>
      </c>
      <c r="C239" s="1">
        <v>1130</v>
      </c>
      <c r="D239" s="1">
        <v>58.8</v>
      </c>
      <c r="E239" s="1">
        <v>-5.4</v>
      </c>
      <c r="F239" s="1">
        <v>-1.6</v>
      </c>
      <c r="G239" s="2">
        <v>0</v>
      </c>
      <c r="H239" s="2">
        <v>0</v>
      </c>
      <c r="I239" s="2">
        <v>0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569</v>
      </c>
      <c r="C240" s="1">
        <v>1048</v>
      </c>
      <c r="D240" s="1">
        <v>51.8</v>
      </c>
      <c r="E240" s="1">
        <v>-4.5</v>
      </c>
      <c r="F240" s="1">
        <v>-1.3</v>
      </c>
      <c r="G240" s="2">
        <v>0</v>
      </c>
      <c r="H240" s="2">
        <v>0</v>
      </c>
      <c r="I240" s="2">
        <v>0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547</v>
      </c>
      <c r="C241" s="1">
        <v>971</v>
      </c>
      <c r="D241" s="1">
        <v>42.4</v>
      </c>
      <c r="E241" s="1">
        <v>-3.4</v>
      </c>
      <c r="F241" s="1">
        <v>-1</v>
      </c>
      <c r="G241" s="2">
        <v>0</v>
      </c>
      <c r="H241" s="2">
        <v>0</v>
      </c>
      <c r="I241" s="2">
        <v>0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527</v>
      </c>
      <c r="C242" s="1">
        <v>899</v>
      </c>
      <c r="D242" s="1">
        <v>31</v>
      </c>
      <c r="E242" s="1">
        <v>-2.4</v>
      </c>
      <c r="F242" s="1">
        <v>-0.7</v>
      </c>
      <c r="G242" s="2">
        <v>0</v>
      </c>
      <c r="H242" s="2">
        <v>0</v>
      </c>
      <c r="I242" s="2">
        <v>0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507</v>
      </c>
      <c r="C243" s="1">
        <v>832</v>
      </c>
      <c r="D243" s="1">
        <v>17.100000000000001</v>
      </c>
      <c r="E243" s="1">
        <v>-1.2</v>
      </c>
      <c r="F243" s="1">
        <v>-0.4</v>
      </c>
      <c r="G243" s="2">
        <v>0</v>
      </c>
      <c r="H243" s="2">
        <v>0</v>
      </c>
      <c r="I243" s="2">
        <v>0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488</v>
      </c>
      <c r="C244" s="10">
        <v>772</v>
      </c>
      <c r="D244" s="10">
        <v>0.6</v>
      </c>
      <c r="E244" s="10">
        <v>0</v>
      </c>
      <c r="F244" s="10">
        <v>0</v>
      </c>
      <c r="G244" s="2">
        <v>0</v>
      </c>
      <c r="H244" s="2">
        <v>0</v>
      </c>
      <c r="I244" s="2">
        <v>0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t="s">
        <v>84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36" t="s">
        <v>85</v>
      </c>
    </row>
    <row r="247" spans="1:19" x14ac:dyDescent="0.25">
      <c r="A247" t="s">
        <v>86</v>
      </c>
      <c r="B247" s="37" cm="1">
        <f t="array" ref="B247">INDEX(LINEST(J$22:J$35,$A$22:$A$35^{1,2,3}), 1,4)</f>
        <v>-4.3299167583377312</v>
      </c>
      <c r="C247" s="37" cm="1">
        <f t="array" ref="C247">INDEX(LINEST(K$22:K$35,$A$22:$A$35^{1,2,3}), 1,4)</f>
        <v>-4.4396414521207745</v>
      </c>
      <c r="D247" s="38" cm="1">
        <f t="array" ref="D247">INDEX(LINEST(L$22:L$35,$A$22:$A$35^{1,2,3}), 1,4)</f>
        <v>-4.3922303274769305</v>
      </c>
      <c r="E247" s="38" cm="1">
        <f t="array" ref="E247">INDEX(LINEST(M$22:M$35,$A$22:$A$35^{1,2,3}), 1,4)</f>
        <v>-4.3172525944206939</v>
      </c>
      <c r="F247" s="38" cm="1">
        <f t="array" ref="F247">INDEX(LINEST(N$22:N$35,$A$22:$A$35^{1,2,3}), 1,4)</f>
        <v>-4.8833698757076611</v>
      </c>
      <c r="G247" s="38" cm="1">
        <f t="array" ref="G247">INDEX(LINEST(O$22:O$35,$A$22:$A$35^{1,2,3}), 1,4)</f>
        <v>-4.0345573070560832</v>
      </c>
      <c r="H247" s="38" cm="1">
        <f t="array" ref="H247">INDEX(LINEST(P$22:P$35,$A$22:$A$35^{1,2,3}), 1,4)</f>
        <v>-4.537107404101711</v>
      </c>
      <c r="I247" s="38" cm="1">
        <f t="array" ref="I247">INDEX(LINEST(B$22:B$35,$A$22:$A$35^{1,2,3}), 1,4)</f>
        <v>3095.304174857275</v>
      </c>
    </row>
    <row r="248" spans="1:19" x14ac:dyDescent="0.25">
      <c r="A248" t="s">
        <v>87</v>
      </c>
      <c r="B248" s="38" cm="1">
        <f t="array" ref="B248">INDEX(LINEST(J$22:J$35,$A$22:$A$35^{1,2,3}), 1,3)</f>
        <v>0.11411591289671461</v>
      </c>
      <c r="C248" s="37" cm="1">
        <f t="array" ref="C248">INDEX(LINEST(K$22:K$35,$A$22:$A$35^{1,2,3}), 1,3)</f>
        <v>6.9259478221375681E-2</v>
      </c>
      <c r="D248" s="38" cm="1">
        <f t="array" ref="D248">INDEX(LINEST(L$22:L$35,$A$22:$A$35^{1,2,3}), 1,3)</f>
        <v>8.7747664973319039E-2</v>
      </c>
      <c r="E248" s="38" cm="1">
        <f t="array" ref="E248">INDEX(LINEST(M$22:M$35,$A$22:$A$35^{1,2,3}), 1,3)</f>
        <v>0.10492926371862729</v>
      </c>
      <c r="F248" s="38" cm="1">
        <f t="array" ref="F248">INDEX(LINEST(N$22:N$35,$A$22:$A$35^{1,2,3}), 1,3)</f>
        <v>0.19528301017503447</v>
      </c>
      <c r="G248" s="38" cm="1">
        <f t="array" ref="G248">INDEX(LINEST(O$22:O$35,$A$22:$A$35^{1,2,3}), 1,3)</f>
        <v>0.26850059777735547</v>
      </c>
      <c r="H248" s="38" cm="1">
        <f t="array" ref="H248">INDEX(LINEST(P$22:P$35,$A$22:$A$35^{1,2,3}), 1,3)</f>
        <v>0.41486158484541003</v>
      </c>
      <c r="I248" s="38" cm="1">
        <f t="array" ref="I248">INDEX(LINEST(B$22:B$35,$A$22:$A$35^{1,2,3}), 1,3)</f>
        <v>-7.2127740653987695</v>
      </c>
    </row>
    <row r="249" spans="1:19" x14ac:dyDescent="0.25">
      <c r="A249" t="s">
        <v>88</v>
      </c>
      <c r="B249" s="38" cm="1">
        <f t="array" ref="B249">INDEX(LINEST(J$22:J$35,$A$22:$A$35^{1,2,3}), 1,2)</f>
        <v>-1.0259045793228578E-4</v>
      </c>
      <c r="C249" s="38" cm="1">
        <f t="array" ref="C249">INDEX(LINEST(K$22:K$35,$A$22:$A$35^{1,2,3}), 1,2)</f>
        <v>-1.271935966372909E-4</v>
      </c>
      <c r="D249" s="38" cm="1">
        <f t="array" ref="D249">INDEX(LINEST(L$22:L$35,$A$22:$A$35^{1,2,3}), 1,2)</f>
        <v>-1.7601506853067426E-4</v>
      </c>
      <c r="E249" s="38" cm="1">
        <f t="array" ref="E249">INDEX(LINEST(M$22:M$35,$A$22:$A$35^{1,2,3}), 1,2)</f>
        <v>-1.0151783604779554E-4</v>
      </c>
      <c r="F249" s="38" cm="1">
        <f t="array" ref="F249">INDEX(LINEST(N$22:N$35,$A$22:$A$35^{1,2,3}), 1,2)</f>
        <v>-2.5097614006455135E-4</v>
      </c>
      <c r="G249" s="38" cm="1">
        <f t="array" ref="G249">INDEX(LINEST(O$22:O$35,$A$22:$A$35^{1,2,3}), 1,2)</f>
        <v>-9.1004300565347755E-5</v>
      </c>
      <c r="H249" s="38" cm="1">
        <f t="array" ref="H249">INDEX(LINEST(P$22:P$35,$A$22:$A$35^{1,2,3}), 1,2)</f>
        <v>-2.0907324176929276E-4</v>
      </c>
      <c r="I249" s="38" cm="1">
        <f t="array" ref="I249">INDEX(LINEST(B$22:B$35,$A$22:$A$35^{1,2,3}), 1,2)</f>
        <v>5.5243952167487982E-3</v>
      </c>
    </row>
    <row r="250" spans="1:19" x14ac:dyDescent="0.25">
      <c r="A250" t="s">
        <v>89</v>
      </c>
      <c r="B250" s="37" cm="1">
        <f t="array" ref="B250">INDEX(LINEST(J$22:J$35,$A$22:$A$35^{1,2,3}), 1)</f>
        <v>-1.5562226112432098E-6</v>
      </c>
      <c r="C250" s="37" cm="1">
        <f t="array" ref="C250">INDEX(LINEST(K$22:K$35,$A$22:$A$35^{1,2,3}), 1)</f>
        <v>-1.401922188659338E-6</v>
      </c>
      <c r="D250" s="38" cm="1">
        <f t="array" ref="D250">INDEX(LINEST(L$22:L$35,$A$22:$A$35^{1,2,3}), 1)</f>
        <v>-1.255431230718204E-6</v>
      </c>
      <c r="E250" s="38" cm="1">
        <f t="array" ref="E250">INDEX(LINEST(M$22:M$35,$A$22:$A$35^{1,2,3}), 1)</f>
        <v>-1.3834047480024346E-6</v>
      </c>
      <c r="F250" s="38" cm="1">
        <f t="array" ref="F250">INDEX(LINEST(N$22:N$35,$A$22:$A$35^{1,2,3}), 1)</f>
        <v>-1.1276944795390621E-6</v>
      </c>
      <c r="G250" s="38" cm="1">
        <f t="array" ref="G250">INDEX(LINEST(O$22:O$35,$A$22:$A$35^{1,2,3}), 1)</f>
        <v>-1.3517787559781683E-6</v>
      </c>
      <c r="H250" s="38" cm="1">
        <f t="array" ref="H250">INDEX(LINEST(P$22:P$35,$A$22:$A$35^{1,2,3}), 1)</f>
        <v>-1.2014908996516548E-6</v>
      </c>
      <c r="I250" s="38" cm="1">
        <f t="array" ref="I250">INDEX(LINEST(B$22:B$35,$A$22:$A$35^{1,2,3}), 1)</f>
        <v>-8.4262543733285593E-7</v>
      </c>
    </row>
    <row r="251" spans="1:19" x14ac:dyDescent="0.25">
      <c r="A251" t="s">
        <v>90</v>
      </c>
      <c r="B251" s="37"/>
      <c r="C251" s="37"/>
      <c r="D251" s="38"/>
      <c r="E251" s="38"/>
      <c r="F251" s="38"/>
      <c r="G251" s="38"/>
      <c r="H251" s="38"/>
      <c r="I251" s="38"/>
    </row>
    <row r="252" spans="1:19" x14ac:dyDescent="0.25">
      <c r="A252" t="s">
        <v>91</v>
      </c>
      <c r="B252" s="37"/>
      <c r="C252" s="37"/>
      <c r="D252" s="38"/>
      <c r="E252" s="38"/>
      <c r="F252" s="38"/>
      <c r="G252" s="38"/>
      <c r="H252" s="38"/>
      <c r="I252" s="38"/>
    </row>
    <row r="253" spans="1:19" x14ac:dyDescent="0.25">
      <c r="A253" t="s">
        <v>92</v>
      </c>
      <c r="B253" s="37"/>
      <c r="C253" s="37"/>
      <c r="D253" s="38"/>
      <c r="E253" s="38"/>
      <c r="F253" s="38"/>
      <c r="G253" s="38"/>
      <c r="H253" s="38"/>
      <c r="I253" s="38"/>
    </row>
    <row r="254" spans="1:19" x14ac:dyDescent="0.25">
      <c r="B254" s="37"/>
      <c r="C254" s="37"/>
      <c r="D254" s="37"/>
      <c r="E254" s="37"/>
      <c r="F254" s="37"/>
      <c r="G254" s="37"/>
      <c r="H254" s="37"/>
      <c r="I254" s="37"/>
    </row>
    <row r="255" spans="1:19" x14ac:dyDescent="0.25">
      <c r="A255" t="s">
        <v>93</v>
      </c>
    </row>
    <row r="256" spans="1:19" x14ac:dyDescent="0.25">
      <c r="A256" s="25" t="s">
        <v>4</v>
      </c>
      <c r="B256" s="27"/>
      <c r="C256" s="27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3095.304174857275</v>
      </c>
    </row>
    <row r="258" spans="1:9" x14ac:dyDescent="0.25">
      <c r="A258" s="1">
        <v>25</v>
      </c>
      <c r="B258" s="2" cm="1">
        <f t="array" ref="B258">TrajectoryToComeUp(B$247:B$250,$A258)</f>
        <v>0.62618158017128789</v>
      </c>
      <c r="C258" s="2" cm="1">
        <f t="array" ref="C258">TrajectoryToComeUp(C$247:C$250,$A258)</f>
        <v>1.1238222114729965</v>
      </c>
      <c r="D258" s="28" cm="1">
        <f t="array" ref="D258">TrajectoryToComeUp(D$247:D$250,$A258)</f>
        <v>0.93126569358223932</v>
      </c>
      <c r="E258" s="28" cm="1">
        <f t="array" ref="E258">TrajectoryToComeUp(E$247:E$250,$A258)</f>
        <v>0.71163413926896868</v>
      </c>
      <c r="F258" s="28" cm="1">
        <f t="array" ref="F258">TrajectoryToComeUp(F$247:F$250,$A258)</f>
        <v>7.0309974045976706E-2</v>
      </c>
      <c r="G258" s="28" cm="1">
        <f t="array" ref="G258">TrajectoryToComeUp(G$247:G$250,$A258)</f>
        <v>-1.0399833625849209</v>
      </c>
      <c r="H258" s="28" cm="1">
        <f t="array" ref="H258">TrajectoryToComeUp(H$247:H$250,$A258)</f>
        <v>-2.2739952582482701</v>
      </c>
      <c r="I258" s="2" cm="1">
        <f t="array" ref="I258">EvaluatePolynomial(I$247:I$250,$A258)</f>
        <v>2918.4244042103155</v>
      </c>
    </row>
    <row r="259" spans="1:9" x14ac:dyDescent="0.25">
      <c r="A259" s="1">
        <v>50</v>
      </c>
      <c r="B259" s="2" cm="1">
        <f t="array" ref="B259">TrajectoryToComeUp(B$247:B$250,$A259)</f>
        <v>-0.1849749830523767</v>
      </c>
      <c r="C259" s="39" cm="1">
        <f t="array" ref="C259">TrajectoryToComeUp(C$247:C$250,$A259)</f>
        <v>0.29397836124552701</v>
      </c>
      <c r="D259" s="28" cm="1">
        <f t="array" ref="D259">TrajectoryToComeUp(D$247:D$250,$A259)</f>
        <v>0.12036273079548793</v>
      </c>
      <c r="E259" s="28" cm="1">
        <f t="array" ref="E259">TrajectoryToComeUp(E$247:E$250,$A259)</f>
        <v>-0.10049808157817557</v>
      </c>
      <c r="F259" s="28" cm="1">
        <f t="array" ref="F259">TrajectoryToComeUp(F$247:F$250,$A259)</f>
        <v>-0.82247569458806025</v>
      </c>
      <c r="G259" s="28" cm="1">
        <f t="array" ref="G259">TrajectoryToComeUp(G$247:G$250,$A259)</f>
        <v>-1.7987978971802099</v>
      </c>
      <c r="H259" s="28" cm="1">
        <f t="array" ref="H259">TrajectoryToComeUp(H$247:H$250,$A259)</f>
        <v>-3.1066204742578201</v>
      </c>
      <c r="I259" s="2" cm="1">
        <f t="array" ref="I259">EvaluatePolynomial(I$247:I$250,$A259)</f>
        <v>2748.3711314495417</v>
      </c>
    </row>
    <row r="260" spans="1:9" x14ac:dyDescent="0.25">
      <c r="A260" s="1">
        <v>75</v>
      </c>
      <c r="B260" s="2" cm="1">
        <f t="array" ref="B260">TrajectoryToComeUp(B$247:B$250,$A260)</f>
        <v>-0.39935652919047038</v>
      </c>
      <c r="C260" s="2" cm="1">
        <f t="array" ref="C260">TrajectoryToComeUp(C$247:C$250,$A260)</f>
        <v>7.3610731992402409E-2</v>
      </c>
      <c r="D260" s="28" cm="1">
        <f t="array" ref="D260">TrajectoryToComeUp(D$247:D$250,$A260)</f>
        <v>-8.9216631277028335E-2</v>
      </c>
      <c r="E260" s="28" cm="1">
        <f t="array" ref="E260">TrajectoryToComeUp(E$247:E$250,$A260)</f>
        <v>-0.3197040638191968</v>
      </c>
      <c r="F260" s="28" cm="1">
        <f t="array" ref="F260">TrajectoryToComeUp(F$247:F$250,$A260)</f>
        <v>-1.0500491988001708</v>
      </c>
      <c r="G260" s="28" cm="1">
        <f t="array" ref="G260">TrajectoryToComeUp(G$247:G$250,$A260)</f>
        <v>-2.0027742230516274</v>
      </c>
      <c r="H260" s="28" cm="1">
        <f t="array" ref="H260">TrajectoryToComeUp(H$247:H$250,$A260)</f>
        <v>-3.3192794001414967</v>
      </c>
      <c r="I260" s="2" cm="1">
        <f t="array" ref="I260">EvaluatePolynomial(I$247:I$250,$A260)</f>
        <v>2585.0653604402046</v>
      </c>
    </row>
    <row r="261" spans="1:9" x14ac:dyDescent="0.25">
      <c r="A261" s="1">
        <v>100</v>
      </c>
      <c r="B261" s="2" cm="1">
        <f t="array" ref="B261">TrajectoryToComeUp(B$247:B$250,$A261)</f>
        <v>-0.44995473407676617</v>
      </c>
      <c r="C261" s="2" cm="1">
        <f t="array" ref="C261">TrajectoryToComeUp(C$247:C$250,$A261)</f>
        <v>1.8755178501545369E-2</v>
      </c>
      <c r="D261" s="28" cm="1">
        <f t="array" ref="D261">TrajectoryToComeUp(D$247:D$250,$A261)</f>
        <v>-0.13669542538300267</v>
      </c>
      <c r="E261" s="28" cm="1">
        <f t="array" ref="E261">TrajectoryToComeUp(E$247:E$250,$A261)</f>
        <v>-0.37770906689616457</v>
      </c>
      <c r="F261" s="28" cm="1">
        <f t="array" ref="F261">TrajectoryToComeUp(F$247:F$250,$A261)</f>
        <v>-1.100747526161121</v>
      </c>
      <c r="G261" s="28" cm="1">
        <f t="array" ref="G261">TrajectoryToComeUp(G$247:G$250,$A261)</f>
        <v>-2.0553680709047817</v>
      </c>
      <c r="H261" s="28" cm="1">
        <f t="array" ref="H261">TrajectoryToComeUp(H$247:H$250,$A261)</f>
        <v>-3.365682776309471</v>
      </c>
      <c r="I261" s="2" cm="1">
        <f t="array" ref="I261">EvaluatePolynomial(I$247:I$250,$A261)</f>
        <v>2428.4280950475531</v>
      </c>
    </row>
    <row r="262" spans="1:9" x14ac:dyDescent="0.25">
      <c r="A262" s="1">
        <v>125</v>
      </c>
      <c r="B262" s="2" cm="1">
        <f t="array" ref="B262">TrajectoryToComeUp(B$247:B$250,$A262)</f>
        <v>-0.42336793287801888</v>
      </c>
      <c r="C262" s="2" cm="1">
        <f t="array" ref="C262">TrajectoryToComeUp(C$247:C$250,$A262)</f>
        <v>4.0618871730540324E-2</v>
      </c>
      <c r="D262" s="28" cm="1">
        <f t="array" ref="D262">TrajectoryToComeUp(D$247:D$250,$A262)</f>
        <v>-0.10991825807197377</v>
      </c>
      <c r="E262" s="28" cm="1">
        <f t="array" ref="E262">TrajectoryToComeUp(E$247:E$250,$A262)</f>
        <v>-0.36085814269749256</v>
      </c>
      <c r="F262" s="28" cm="1">
        <f t="array" ref="F262">TrajectoryToComeUp(F$247:F$250,$A262)</f>
        <v>-1.0722380741850643</v>
      </c>
      <c r="G262" s="28" cm="1">
        <f t="array" ref="G262">TrajectoryToComeUp(G$247:G$250,$A262)</f>
        <v>-2.0372705868807945</v>
      </c>
      <c r="H262" s="28" cm="1">
        <f t="array" ref="H262">TrajectoryToComeUp(H$247:H$250,$A262)</f>
        <v>-3.3365727508437768</v>
      </c>
      <c r="I262" s="2" cm="1">
        <f t="array" ref="I262">EvaluatePolynomial(I$247:I$250,$A262)</f>
        <v>2278.3803391368383</v>
      </c>
    </row>
    <row r="263" spans="1:9" x14ac:dyDescent="0.25">
      <c r="A263" s="1">
        <v>150</v>
      </c>
      <c r="B263" s="2" cm="1">
        <f t="array" ref="B263">TrajectoryToComeUp(B$247:B$250,$A263)</f>
        <v>-0.34846223731647985</v>
      </c>
      <c r="C263" s="2" cm="1">
        <f t="array" ref="C263">TrajectoryToComeUp(C$247:C$250,$A263)</f>
        <v>0.10960420199858223</v>
      </c>
      <c r="D263" s="28" cm="1">
        <f t="array" ref="D263">TrajectoryToComeUp(D$247:D$250,$A263)</f>
        <v>-3.8166664860454377E-2</v>
      </c>
      <c r="E263" s="28" cm="1">
        <f t="array" ref="E263">TrajectoryToComeUp(E$247:E$250,$A263)</f>
        <v>-0.2979329751859856</v>
      </c>
      <c r="F263" s="28" cm="1">
        <f t="array" ref="F263">TrajectoryToComeUp(F$247:F$250,$A263)</f>
        <v>-0.99707664204338464</v>
      </c>
      <c r="G263" s="28" cm="1">
        <f t="array" ref="G263">TrajectoryToComeUp(G$247:G$250,$A263)</f>
        <v>-1.975378819693373</v>
      </c>
      <c r="H263" s="28" cm="1">
        <f t="array" ref="H263">TrajectoryToComeUp(H$247:H$250,$A263)</f>
        <v>-3.262196706438425</v>
      </c>
      <c r="I263" s="2" cm="1">
        <f t="array" ref="I263">EvaluatePolynomial(I$247:I$250,$A263)</f>
        <v>2134.8430965733091</v>
      </c>
    </row>
    <row r="264" spans="1:9" x14ac:dyDescent="0.25">
      <c r="A264" s="1">
        <v>175</v>
      </c>
      <c r="B264" s="2" cm="1">
        <f t="array" ref="B264">TrajectoryToComeUp(B$247:B$250,$A264)</f>
        <v>-0.23760883813025682</v>
      </c>
      <c r="C264" s="2" cm="1">
        <f t="array" ref="C264">TrajectoryToComeUp(C$247:C$250,$A264)</f>
        <v>0.21302647944246875</v>
      </c>
      <c r="D264" s="28" cm="1">
        <f t="array" ref="D264">TrajectoryToComeUp(D$247:D$250,$A264)</f>
        <v>6.6010124744478441E-2</v>
      </c>
      <c r="E264" s="28" cm="1">
        <f t="array" ref="E264">TrajectoryToComeUp(E$247:E$250,$A264)</f>
        <v>-0.20126857177427412</v>
      </c>
      <c r="F264" s="28" cm="1">
        <f t="array" ref="F264">TrajectoryToComeUp(F$247:F$250,$A264)</f>
        <v>-0.88921571509524722</v>
      </c>
      <c r="G264" s="28" cm="1">
        <f t="array" ref="G264">TrajectoryToComeUp(G$247:G$250,$A264)</f>
        <v>-1.881220075934106</v>
      </c>
      <c r="H264" s="28" cm="1">
        <f t="array" ref="H264">TrajectoryToComeUp(H$247:H$250,$A264)</f>
        <v>-3.1555178071051353</v>
      </c>
      <c r="I264" s="2" cm="1">
        <f t="array" ref="I264">EvaluatePolynomial(I$247:I$250,$A264)</f>
        <v>1997.7373712222166</v>
      </c>
    </row>
    <row r="265" spans="1:9" x14ac:dyDescent="0.25">
      <c r="A265" s="1">
        <v>200</v>
      </c>
      <c r="B265" s="2" cm="1">
        <f t="array" ref="B265">TrajectoryToComeUp(B$247:B$250,$A265)</f>
        <v>-9.6993330688403989E-2</v>
      </c>
      <c r="C265" s="2" cm="1">
        <f t="array" ref="C265">TrajectoryToComeUp(C$247:C$250,$A265)</f>
        <v>0.34454335913059886</v>
      </c>
      <c r="D265" s="28" cm="1">
        <f t="array" ref="D265">TrajectoryToComeUp(D$247:D$250,$A265)</f>
        <v>0.19633749598928629</v>
      </c>
      <c r="E265" s="28" cm="1">
        <f t="array" ref="E265">TrajectoryToComeUp(E$247:E$250,$A265)</f>
        <v>-7.7032436168673252E-2</v>
      </c>
      <c r="F265" s="28" cm="1">
        <f t="array" ref="F265">TrajectoryToComeUp(F$247:F$250,$A265)</f>
        <v>-0.75563153602023414</v>
      </c>
      <c r="G265" s="28" cm="1">
        <f t="array" ref="G265">TrajectoryToComeUp(G$247:G$250,$A265)</f>
        <v>-1.7605580088987873</v>
      </c>
      <c r="H265" s="28" cm="1">
        <f t="array" ref="H265">TrajectoryToComeUp(H$247:H$250,$A265)</f>
        <v>-3.0230176348497673</v>
      </c>
      <c r="I265" s="2" cm="1">
        <f t="array" ref="I265">EvaluatePolynomial(I$247:I$250,$A265)</f>
        <v>1866.9841669488101</v>
      </c>
    </row>
    <row r="266" spans="1:9" x14ac:dyDescent="0.25">
      <c r="A266" s="1">
        <v>225</v>
      </c>
      <c r="B266" s="2" cm="1">
        <f t="array" ref="B266">TrajectoryToComeUp(B$247:B$250,$A266)</f>
        <v>6.9947843137382226E-2</v>
      </c>
      <c r="C266" s="2" cm="1">
        <f t="array" ref="C266">TrajectoryToComeUp(C$247:C$250,$A266)</f>
        <v>0.50063131610097189</v>
      </c>
      <c r="D266" s="28" cm="1">
        <f t="array" ref="D266">TrajectoryToComeUp(D$247:D$250,$A266)</f>
        <v>0.34932955178866998</v>
      </c>
      <c r="E266" s="28" cm="1">
        <f t="array" ref="E266">TrajectoryToComeUp(E$247:E$250,$A266)</f>
        <v>7.1349040682863768E-2</v>
      </c>
      <c r="F266" s="28" cm="1">
        <f t="array" ref="F266">TrajectoryToComeUp(F$247:F$250,$A266)</f>
        <v>-0.60019979519589117</v>
      </c>
      <c r="G266" s="28" cm="1">
        <f t="array" ref="G266">TrajectoryToComeUp(G$247:G$250,$A266)</f>
        <v>-1.616594648196193</v>
      </c>
      <c r="H266" s="28" cm="1">
        <f t="array" ref="H266">TrajectoryToComeUp(H$247:H$250,$A266)</f>
        <v>-2.8682970685644658</v>
      </c>
      <c r="I266" s="2" cm="1">
        <f t="array" ref="I266">EvaluatePolynomial(I$247:I$250,$A266)</f>
        <v>1742.5044876183404</v>
      </c>
    </row>
    <row r="267" spans="1:9" x14ac:dyDescent="0.25">
      <c r="A267" s="1">
        <v>250</v>
      </c>
      <c r="B267" s="2" cm="1">
        <f t="array" ref="B267">TrajectoryToComeUp(B$247:B$250,$A267)</f>
        <v>0.26115281822408365</v>
      </c>
      <c r="C267" s="2" cm="1">
        <f t="array" ref="C267">TrajectoryToComeUp(C$247:C$250,$A267)</f>
        <v>0.67917623537638772</v>
      </c>
      <c r="D267" s="28" cm="1">
        <f t="array" ref="D267">TrajectoryToComeUp(D$247:D$250,$A267)</f>
        <v>0.52289475389145001</v>
      </c>
      <c r="E267" s="28" cm="1">
        <f t="array" ref="E267">TrajectoryToComeUp(E$247:E$250,$A267)</f>
        <v>0.24182002421156537</v>
      </c>
      <c r="F267" s="28" cm="1">
        <f t="array" ref="F267">TrajectoryToComeUp(F$247:F$250,$A267)</f>
        <v>-0.42524590684874602</v>
      </c>
      <c r="G267" s="28" cm="1">
        <f t="array" ref="G267">TrajectoryToComeUp(G$247:G$250,$A267)</f>
        <v>-1.4512512115915868</v>
      </c>
      <c r="H267" s="28" cm="1">
        <f t="array" ref="H267">TrajectoryToComeUp(H$247:H$250,$A267)</f>
        <v>-2.6935166355845155</v>
      </c>
      <c r="I267" s="2" cm="1">
        <f t="array" ref="I267">EvaluatePolynomial(I$247:I$250,$A267)</f>
        <v>1624.2193370960565</v>
      </c>
    </row>
    <row r="268" spans="1:9" x14ac:dyDescent="0.25">
      <c r="A268" s="1">
        <v>275</v>
      </c>
      <c r="B268" s="2" cm="1">
        <f t="array" ref="B268">TrajectoryToComeUp(B$247:B$250,$A268)</f>
        <v>0.47530949858432564</v>
      </c>
      <c r="C268" s="2" cm="1">
        <f t="array" ref="C268">TrajectoryToComeUp(C$247:C$250,$A268)</f>
        <v>0.87883277106226376</v>
      </c>
      <c r="D268" s="28" cm="1">
        <f t="array" ref="D268">TrajectoryToComeUp(D$247:D$250,$A268)</f>
        <v>0.71570212341051209</v>
      </c>
      <c r="E268" s="28" cm="1">
        <f t="array" ref="E268">TrajectoryToComeUp(E$247:E$250,$A268)</f>
        <v>0.43307225605548577</v>
      </c>
      <c r="F268" s="28" cm="1">
        <f t="array" ref="F268">TrajectoryToComeUp(F$247:F$250,$A268)</f>
        <v>-0.23224968003204324</v>
      </c>
      <c r="G268" s="28" cm="1">
        <f t="array" ref="G268">TrajectoryToComeUp(G$247:G$250,$A268)</f>
        <v>-1.2657502922083192</v>
      </c>
      <c r="H268" s="28" cm="1">
        <f t="array" ref="H268">TrajectoryToComeUp(H$247:H$250,$A268)</f>
        <v>-2.5000512169414644</v>
      </c>
      <c r="I268" s="2" cm="1">
        <f t="array" ref="I268">EvaluatePolynomial(I$247:I$250,$A268)</f>
        <v>1512.0497192472096</v>
      </c>
    </row>
    <row r="269" spans="1:9" x14ac:dyDescent="0.25">
      <c r="A269" s="1">
        <v>300</v>
      </c>
      <c r="B269" s="2" cm="1">
        <f t="array" ref="B269">TrajectoryToComeUp(B$247:B$250,$A269)</f>
        <v>0.71154315355985798</v>
      </c>
      <c r="C269" s="2" cm="1">
        <f t="array" ref="C269">TrajectoryToComeUp(C$247:C$250,$A269)</f>
        <v>1.0987040258955456</v>
      </c>
      <c r="D269" s="28" cm="1">
        <f t="array" ref="D269">TrajectoryToComeUp(D$247:D$250,$A269)</f>
        <v>0.92686434108778049</v>
      </c>
      <c r="E269" s="28" cm="1">
        <f t="array" ref="E269">TrajectoryToComeUp(E$247:E$250,$A269)</f>
        <v>0.64423356397332787</v>
      </c>
      <c r="F269" s="28" cm="1">
        <f t="array" ref="F269">TrajectoryToComeUp(F$247:F$250,$A269)</f>
        <v>-2.2197654114612712E-2</v>
      </c>
      <c r="G269" s="28" cm="1">
        <f t="array" ref="G269">TrajectoryToComeUp(G$247:G$250,$A269)</f>
        <v>-1.0609069521286236</v>
      </c>
      <c r="H269" s="28" cm="1">
        <f t="array" ref="H269">TrajectoryToComeUp(H$247:H$250,$A269)</f>
        <v>-2.2888173999896755</v>
      </c>
      <c r="I269" s="2" cm="1">
        <f t="array" ref="I269">EvaluatePolynomial(I$247:I$250,$A269)</f>
        <v>1405.916637937049</v>
      </c>
    </row>
    <row r="270" spans="1:9" x14ac:dyDescent="0.25">
      <c r="A270" s="1">
        <v>325</v>
      </c>
      <c r="B270" s="2" cm="1">
        <f t="array" ref="B270">TrajectoryToComeUp(B$247:B$250,$A270)</f>
        <v>0.96924820038727633</v>
      </c>
      <c r="C270" s="2" cm="1">
        <f t="array" ref="C270">TrajectoryToComeUp(C$247:C$250,$A270)</f>
        <v>1.3381690710018113</v>
      </c>
      <c r="D270" s="28" cm="1">
        <f t="array" ref="D270">TrajectoryToComeUp(D$247:D$250,$A270)</f>
        <v>1.1557671089753556</v>
      </c>
      <c r="E270" s="28" cm="1">
        <f t="array" ref="E270">TrajectoryToComeUp(E$247:E$250,$A270)</f>
        <v>0.8747001364134247</v>
      </c>
      <c r="F270" s="28" cm="1">
        <f t="array" ref="F270">TrajectoryToComeUp(F$247:F$250,$A270)</f>
        <v>0.20422718210974028</v>
      </c>
      <c r="G270" s="28" cm="1">
        <f t="array" ref="G270">TrajectoryToComeUp(G$247:G$250,$A270)</f>
        <v>-0.8372854651017394</v>
      </c>
      <c r="H270" s="28" cm="1">
        <f t="array" ref="H270">TrajectoryToComeUp(H$247:H$250,$A270)</f>
        <v>-2.060449745205247</v>
      </c>
      <c r="I270" s="2" cm="1">
        <f t="array" ref="I270">EvaluatePolynomial(I$247:I$250,$A270)</f>
        <v>1305.7410970308249</v>
      </c>
    </row>
    <row r="271" spans="1:9" x14ac:dyDescent="0.25">
      <c r="A271" s="1">
        <v>350</v>
      </c>
      <c r="B271" s="2" cm="1">
        <f t="array" ref="B271">TrajectoryToComeUp(B$247:B$250,$A271)</f>
        <v>1.2479920799498643</v>
      </c>
      <c r="C271" s="2" cm="1">
        <f t="array" ref="C271">TrajectoryToComeUp(C$247:C$250,$A271)</f>
        <v>1.5967843857564727</v>
      </c>
      <c r="D271" s="28" cm="1">
        <f t="array" ref="D271">TrajectoryToComeUp(D$247:D$250,$A271)</f>
        <v>1.4019716428247389</v>
      </c>
      <c r="E271" s="28" cm="1">
        <f t="array" ref="E271">TrajectoryToComeUp(E$247:E$250,$A271)</f>
        <v>1.1240406794102993</v>
      </c>
      <c r="F271" s="28" cm="1">
        <f t="array" ref="F271">TrajectoryToComeUp(F$247:F$250,$A271)</f>
        <v>0.44653697950258381</v>
      </c>
      <c r="G271" s="28" cm="1">
        <f t="array" ref="G271">TrajectoryToComeUp(G$247:G$250,$A271)</f>
        <v>-0.59528888380569334</v>
      </c>
      <c r="H271" s="28" cm="1">
        <f t="array" ref="H271">TrajectoryToComeUp(H$247:H$250,$A271)</f>
        <v>-1.8154015100711065</v>
      </c>
      <c r="I271" s="2" cm="1">
        <f t="array" ref="I271">EvaluatePolynomial(I$247:I$250,$A271)</f>
        <v>1211.4441003937873</v>
      </c>
    </row>
    <row r="272" spans="1:9" x14ac:dyDescent="0.25">
      <c r="A272" s="1">
        <v>375</v>
      </c>
      <c r="B272" s="2" cm="1">
        <f t="array" ref="B272">TrajectoryToComeUp(B$247:B$250,$A272)</f>
        <v>1.5474575822286958</v>
      </c>
      <c r="C272" s="2" cm="1">
        <f t="array" ref="C272">TrajectoryToComeUp(C$247:C$250,$A272)</f>
        <v>1.8742247217014987</v>
      </c>
      <c r="D272" s="28" cm="1">
        <f t="array" ref="D272">TrajectoryToComeUp(D$247:D$250,$A272)</f>
        <v>1.6651561675203641</v>
      </c>
      <c r="E272" s="28" cm="1">
        <f t="array" ref="E272">TrajectoryToComeUp(E$247:E$250,$A272)</f>
        <v>1.3919389107226026</v>
      </c>
      <c r="F272" s="28" cm="1">
        <f t="array" ref="F272">TrajectoryToComeUp(F$247:F$250,$A272)</f>
        <v>0.70437398202906676</v>
      </c>
      <c r="G272" s="28" cm="1">
        <f t="array" ref="G272">TrajectoryToComeUp(G$247:G$250,$A272)</f>
        <v>-0.33521278020437245</v>
      </c>
      <c r="H272" s="28" cm="1">
        <f t="array" ref="H272">TrajectoryToComeUp(H$247:H$250,$A272)</f>
        <v>-1.5540050834080672</v>
      </c>
      <c r="I272" s="2" cm="1">
        <f t="array" ref="I272">EvaluatePolynomial(I$247:I$250,$A272)</f>
        <v>1122.9466518911863</v>
      </c>
    </row>
    <row r="273" spans="1:9" x14ac:dyDescent="0.25">
      <c r="A273" s="1">
        <v>400</v>
      </c>
      <c r="B273" s="2" cm="1">
        <f t="array" ref="B273">TrajectoryToComeUp(B$247:B$250,$A273)</f>
        <v>1.8674067997095762</v>
      </c>
      <c r="C273" s="2" cm="1">
        <f t="array" ref="C273">TrajectoryToComeUp(C$247:C$250,$A273)</f>
        <v>2.1702461424933666</v>
      </c>
      <c r="D273" s="28" cm="1">
        <f t="array" ref="D273">TrajectoryToComeUp(D$247:D$250,$A273)</f>
        <v>1.9450793517255565</v>
      </c>
      <c r="E273" s="28" cm="1">
        <f t="array" ref="E273">TrajectoryToComeUp(E$247:E$250,$A273)</f>
        <v>1.6781576186693217</v>
      </c>
      <c r="F273" s="28" cm="1">
        <f t="array" ref="F273">TrajectoryToComeUp(F$247:F$250,$A273)</f>
        <v>0.97746987266305174</v>
      </c>
      <c r="G273" s="28" cm="1">
        <f t="array" ref="G273">TrajectoryToComeUp(G$247:G$250,$A273)</f>
        <v>-5.7278833270692289E-2</v>
      </c>
      <c r="H273" s="28" cm="1">
        <f t="array" ref="H273">TrajectoryToComeUp(H$247:H$250,$A273)</f>
        <v>-1.2765097568317387</v>
      </c>
      <c r="I273" s="2" cm="1">
        <f t="array" ref="I273">EvaluatePolynomial(I$247:I$250,$A273)</f>
        <v>1040.1697553882723</v>
      </c>
    </row>
    <row r="274" spans="1:9" x14ac:dyDescent="0.25">
      <c r="A274" s="1">
        <v>425</v>
      </c>
      <c r="B274" s="2" cm="1">
        <f t="array" ref="B274">TrajectoryToComeUp(B$247:B$250,$A274)</f>
        <v>2.2076578031169451</v>
      </c>
      <c r="C274" s="2" cm="1">
        <f t="array" ref="C274">TrajectoryToComeUp(C$247:C$250,$A274)</f>
        <v>2.4846621085752654</v>
      </c>
      <c r="D274" s="28" cm="1">
        <f t="array" ref="D274">TrajectoryToComeUp(D$247:D$250,$A274)</f>
        <v>2.2415566479475646</v>
      </c>
      <c r="E274" s="28" cm="1">
        <f t="array" ref="E274">TrajectoryToComeUp(E$247:E$250,$A274)</f>
        <v>1.9825154060826247</v>
      </c>
      <c r="F274" s="28" cm="1">
        <f t="array" ref="F274">TrajectoryToComeUp(F$247:F$250,$A274)</f>
        <v>1.2656194677963157</v>
      </c>
      <c r="G274" s="28" cm="1">
        <f t="array" ref="G274">TrajectoryToComeUp(G$247:G$250,$A274)</f>
        <v>0.23834343778076514</v>
      </c>
      <c r="H274" s="28" cm="1">
        <f t="array" ref="H274">TrajectoryToComeUp(H$247:H$250,$A274)</f>
        <v>-0.98310616510699944</v>
      </c>
      <c r="I274" s="2" cm="1">
        <f t="array" ref="I274">EvaluatePolynomial(I$247:I$250,$A274)</f>
        <v>963.03441475029456</v>
      </c>
    </row>
    <row r="275" spans="1:9" x14ac:dyDescent="0.25">
      <c r="A275" s="1">
        <v>450</v>
      </c>
      <c r="B275" s="2" cm="1">
        <f t="array" ref="B275">TrajectoryToComeUp(B$247:B$250,$A275)</f>
        <v>2.568069091903145</v>
      </c>
      <c r="C275" s="2" cm="1">
        <f t="array" ref="C275">TrajectoryToComeUp(C$247:C$250,$A275)</f>
        <v>2.817327533625229</v>
      </c>
      <c r="D275" s="28" cm="1">
        <f t="array" ref="D275">TrajectoryToComeUp(D$247:D$250,$A275)</f>
        <v>2.5544445192475833</v>
      </c>
      <c r="E275" s="28" cm="1">
        <f t="array" ref="E275">TrajectoryToComeUp(E$247:E$250,$A275)</f>
        <v>2.3048711862764195</v>
      </c>
      <c r="F275" s="28" cm="1">
        <f t="array" ref="F275">TrajectoryToComeUp(F$247:F$250,$A275)</f>
        <v>1.5686631801780186</v>
      </c>
      <c r="G275" s="28" cm="1">
        <f t="array" ref="G275">TrajectoryToComeUp(G$247:G$250,$A275)</f>
        <v>0.55152218467199199</v>
      </c>
      <c r="H275" s="28" cm="1">
        <f t="array" ref="H275">TrajectoryToComeUp(H$247:H$250,$A275)</f>
        <v>-0.67394257971764382</v>
      </c>
      <c r="I275" s="2" cm="1">
        <f t="array" ref="I275">EvaluatePolynomial(I$247:I$250,$A275)</f>
        <v>891.46163384250383</v>
      </c>
    </row>
    <row r="276" spans="1:9" x14ac:dyDescent="0.25">
      <c r="A276" s="1">
        <v>475</v>
      </c>
      <c r="B276" s="2" cm="1">
        <f t="array" ref="B276">TrajectoryToComeUp(B$247:B$250,$A276)</f>
        <v>2.9485289551094978</v>
      </c>
      <c r="C276" s="2" cm="1">
        <f t="array" ref="C276">TrajectoryToComeUp(C$247:C$250,$A276)</f>
        <v>3.1681278758101272</v>
      </c>
      <c r="D276" s="28" cm="1">
        <f t="array" ref="D276">TrajectoryToComeUp(D$247:D$250,$A276)</f>
        <v>2.883629646989712</v>
      </c>
      <c r="E276" s="28" cm="1">
        <f t="array" ref="E276">TrajectoryToComeUp(E$247:E$250,$A276)</f>
        <v>2.6451135750248422</v>
      </c>
      <c r="F276" s="28" cm="1">
        <f t="array" ref="F276">TrajectoryToComeUp(F$247:F$250,$A276)</f>
        <v>1.8864750198732865</v>
      </c>
      <c r="G276" s="28" cm="1">
        <f t="array" ref="G276">TrajectoryToComeUp(G$247:G$250,$A276)</f>
        <v>0.8821533166571911</v>
      </c>
      <c r="H276" s="28" cm="1">
        <f t="array" ref="H276">TrajectoryToComeUp(H$247:H$250,$A276)</f>
        <v>-0.34913605709824586</v>
      </c>
      <c r="I276" s="2" cm="1">
        <f t="array" ref="I276">EvaluatePolynomial(I$247:I$250,$A276)</f>
        <v>825.37241653015008</v>
      </c>
    </row>
    <row r="277" spans="1:9" x14ac:dyDescent="0.25">
      <c r="A277" s="10">
        <v>500</v>
      </c>
      <c r="B277" s="2" cm="1">
        <f t="array" ref="B277">TrajectoryToComeUp(B$247:B$250,$A277)</f>
        <v>3.3489480239690619</v>
      </c>
      <c r="C277" s="2" cm="1">
        <f t="array" ref="C277">TrajectoryToComeUp(C$247:C$250,$A277)</f>
        <v>3.5369715016634573</v>
      </c>
      <c r="D277" s="28" cm="1">
        <f t="array" ref="D277">TrajectoryToComeUp(D$247:D$250,$A277)</f>
        <v>3.2290213762652291</v>
      </c>
      <c r="E277" s="28" cm="1">
        <f t="array" ref="E277">TrajectoryToComeUp(E$247:E$250,$A277)</f>
        <v>3.0031534649472054</v>
      </c>
      <c r="F277" s="28" cm="1">
        <f t="array" ref="F277">TrajectoryToComeUp(F$247:F$250,$A277)</f>
        <v>2.2189541949342204</v>
      </c>
      <c r="G277" s="28" cm="1">
        <f t="array" ref="G277">TrajectoryToComeUp(G$247:G$250,$A277)</f>
        <v>1.2301535611397265</v>
      </c>
      <c r="H277" s="28" cm="1">
        <f t="array" ref="H277">TrajectoryToComeUp(H$247:H$250,$A277)</f>
        <v>-8.7802423964652068E-3</v>
      </c>
      <c r="I277" s="2" cm="1">
        <f t="array" ref="I277">EvaluatePolynomial(I$247:I$250,$A277)</f>
        <v>764.68776667848294</v>
      </c>
    </row>
    <row r="278" spans="1:9" x14ac:dyDescent="0.25">
      <c r="A278" s="1"/>
      <c r="B278" s="40"/>
      <c r="C278" s="40"/>
      <c r="D278" s="40"/>
      <c r="E278" s="40"/>
      <c r="F278" s="40"/>
      <c r="G278" s="40"/>
      <c r="H278" s="40"/>
      <c r="I278" s="2"/>
    </row>
    <row r="279" spans="1:9" x14ac:dyDescent="0.25">
      <c r="A279" s="1"/>
      <c r="B279" s="40"/>
      <c r="C279" s="40"/>
      <c r="D279" s="40"/>
      <c r="E279" s="40"/>
      <c r="F279" s="40"/>
      <c r="G279" s="40"/>
      <c r="H279" s="40"/>
      <c r="I279" s="2"/>
    </row>
    <row r="280" spans="1:9" x14ac:dyDescent="0.25">
      <c r="A280" s="1"/>
      <c r="B280" s="40"/>
      <c r="C280" s="40"/>
      <c r="D280" s="40"/>
      <c r="E280" s="40"/>
      <c r="F280" s="40"/>
      <c r="G280" s="40"/>
      <c r="H280" s="40"/>
      <c r="I280" s="2"/>
    </row>
    <row r="281" spans="1:9" x14ac:dyDescent="0.25">
      <c r="A281" s="1"/>
      <c r="B281" s="40"/>
      <c r="C281" s="40"/>
      <c r="D281" s="40"/>
      <c r="E281" s="40"/>
      <c r="F281" s="40"/>
      <c r="G281" s="40"/>
      <c r="H281" s="40"/>
      <c r="I281" s="2"/>
    </row>
    <row r="282" spans="1:9" x14ac:dyDescent="0.25">
      <c r="A282" s="1"/>
      <c r="B282" s="40"/>
      <c r="C282" s="40"/>
      <c r="D282" s="40"/>
      <c r="E282" s="40"/>
      <c r="F282" s="40"/>
      <c r="G282" s="40"/>
      <c r="H282" s="40"/>
      <c r="I282" s="2"/>
    </row>
    <row r="283" spans="1:9" x14ac:dyDescent="0.25">
      <c r="A283" s="1"/>
      <c r="B283" s="40"/>
      <c r="C283" s="40"/>
      <c r="D283" s="40"/>
      <c r="E283" s="40"/>
      <c r="F283" s="40"/>
      <c r="G283" s="40"/>
      <c r="H283" s="40"/>
      <c r="I283" s="2"/>
    </row>
    <row r="284" spans="1:9" x14ac:dyDescent="0.25">
      <c r="A284" s="1"/>
      <c r="B284" s="40"/>
      <c r="C284" s="40"/>
      <c r="D284" s="40"/>
      <c r="E284" s="40"/>
      <c r="F284" s="40"/>
      <c r="G284" s="40"/>
      <c r="H284" s="40"/>
      <c r="I284" s="40"/>
    </row>
    <row r="285" spans="1:9" x14ac:dyDescent="0.25">
      <c r="A285" s="1"/>
      <c r="B285" s="40"/>
      <c r="C285" s="40"/>
      <c r="D285" s="40"/>
      <c r="E285" s="40"/>
      <c r="F285" s="40"/>
      <c r="G285" s="40"/>
      <c r="H285" s="40"/>
      <c r="I285" s="40"/>
    </row>
    <row r="286" spans="1:9" x14ac:dyDescent="0.25">
      <c r="A286" s="1"/>
      <c r="B286" s="40"/>
      <c r="C286" s="40"/>
      <c r="D286" s="40"/>
      <c r="E286" s="40"/>
      <c r="F286" s="40"/>
      <c r="G286" s="40"/>
      <c r="H286" s="40"/>
      <c r="I286" s="40"/>
    </row>
    <row r="287" spans="1:9" x14ac:dyDescent="0.25">
      <c r="A287" s="1"/>
      <c r="B287" s="40"/>
      <c r="C287" s="40"/>
      <c r="D287" s="40"/>
      <c r="E287" s="40"/>
      <c r="F287" s="40"/>
      <c r="G287" s="40"/>
      <c r="H287" s="40"/>
      <c r="I287" s="40"/>
    </row>
    <row r="288" spans="1:9" x14ac:dyDescent="0.25">
      <c r="A288" s="1"/>
      <c r="B288" s="40"/>
      <c r="C288" s="40"/>
      <c r="D288" s="40"/>
      <c r="E288" s="40"/>
      <c r="F288" s="40"/>
      <c r="G288" s="40"/>
      <c r="H288" s="40"/>
      <c r="I288" s="40"/>
    </row>
    <row r="289" spans="1:9" x14ac:dyDescent="0.25">
      <c r="A289" s="1"/>
      <c r="B289" s="40"/>
      <c r="C289" s="40"/>
      <c r="D289" s="40"/>
      <c r="E289" s="40"/>
      <c r="F289" s="40"/>
      <c r="G289" s="40"/>
      <c r="H289" s="40"/>
      <c r="I289" s="40"/>
    </row>
    <row r="290" spans="1:9" x14ac:dyDescent="0.25">
      <c r="A290" s="1"/>
      <c r="B290" s="40"/>
      <c r="C290" s="40"/>
      <c r="D290" s="40"/>
      <c r="E290" s="40"/>
      <c r="F290" s="40"/>
      <c r="G290" s="40"/>
      <c r="H290" s="40"/>
      <c r="I290" s="40"/>
    </row>
    <row r="291" spans="1:9" x14ac:dyDescent="0.25">
      <c r="A291" s="1"/>
      <c r="B291" s="40"/>
      <c r="C291" s="40"/>
      <c r="D291" s="40"/>
      <c r="E291" s="40"/>
      <c r="F291" s="40"/>
      <c r="G291" s="40"/>
      <c r="H291" s="40"/>
      <c r="I291" s="40"/>
    </row>
    <row r="292" spans="1:9" x14ac:dyDescent="0.25">
      <c r="A292" s="1"/>
      <c r="B292" s="40"/>
      <c r="C292" s="40"/>
      <c r="D292" s="40"/>
      <c r="E292" s="40"/>
      <c r="F292" s="40"/>
      <c r="G292" s="40"/>
      <c r="H292" s="40"/>
      <c r="I292" s="40"/>
    </row>
    <row r="293" spans="1:9" x14ac:dyDescent="0.25">
      <c r="A293" s="1"/>
      <c r="B293" s="40"/>
      <c r="C293" s="40"/>
      <c r="D293" s="40"/>
      <c r="E293" s="40"/>
      <c r="F293" s="40"/>
      <c r="G293" s="40"/>
      <c r="H293" s="40"/>
      <c r="I293" s="40"/>
    </row>
    <row r="294" spans="1:9" x14ac:dyDescent="0.25">
      <c r="A294" s="1"/>
      <c r="B294" s="40"/>
      <c r="C294" s="40"/>
      <c r="D294" s="40"/>
      <c r="E294" s="40"/>
      <c r="F294" s="40"/>
      <c r="G294" s="40"/>
      <c r="H294" s="40"/>
      <c r="I294" s="40"/>
    </row>
    <row r="295" spans="1:9" x14ac:dyDescent="0.25">
      <c r="A295" s="1"/>
      <c r="B295" s="40"/>
      <c r="C295" s="40"/>
      <c r="D295" s="40"/>
      <c r="E295" s="40"/>
      <c r="F295" s="40"/>
      <c r="G295" s="40"/>
      <c r="H295" s="40"/>
      <c r="I295" s="40"/>
    </row>
    <row r="296" spans="1:9" x14ac:dyDescent="0.25">
      <c r="A296" s="1"/>
      <c r="B296" s="40"/>
      <c r="C296" s="40"/>
      <c r="D296" s="40"/>
      <c r="E296" s="40"/>
      <c r="F296" s="40"/>
      <c r="G296" s="40"/>
      <c r="H296" s="40"/>
      <c r="I296" s="40"/>
    </row>
    <row r="297" spans="1:9" x14ac:dyDescent="0.25">
      <c r="A297" s="1"/>
      <c r="B297" s="40"/>
      <c r="C297" s="40"/>
      <c r="D297" s="40"/>
      <c r="E297" s="40"/>
      <c r="F297" s="40"/>
      <c r="G297" s="40"/>
      <c r="H297" s="40"/>
      <c r="I297" s="40"/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2"/>
  <dimension ref="A1:AE277"/>
  <sheetViews>
    <sheetView topLeftCell="A151" workbookViewId="0">
      <selection activeCell="F1" sqref="F1:I7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2.28515625" customWidth="1"/>
    <col min="19" max="19" width="9.5703125" customWidth="1"/>
    <col min="20" max="20" width="10.5703125" customWidth="1"/>
    <col min="21" max="21" width="10.28515625" customWidth="1"/>
    <col min="22" max="22" width="7.28515625" customWidth="1"/>
    <col min="23" max="23" width="9.85546875" customWidth="1"/>
  </cols>
  <sheetData>
    <row r="1" spans="1:31" x14ac:dyDescent="0.25">
      <c r="A1" t="s">
        <v>18</v>
      </c>
      <c r="B1" t="s">
        <v>63</v>
      </c>
      <c r="C1" t="s">
        <v>65</v>
      </c>
      <c r="D1" t="s">
        <v>28</v>
      </c>
      <c r="F1" s="44" t="s">
        <v>94</v>
      </c>
      <c r="G1" s="44"/>
      <c r="H1" s="44"/>
      <c r="I1" s="44"/>
    </row>
    <row r="2" spans="1:31" x14ac:dyDescent="0.25">
      <c r="A2" t="s">
        <v>20</v>
      </c>
      <c r="B2" s="2">
        <v>95</v>
      </c>
      <c r="C2" s="2">
        <f>CONVERT($B$2,"grain","g")</f>
        <v>6.1558964500000002</v>
      </c>
      <c r="F2" t="s">
        <v>95</v>
      </c>
      <c r="G2" s="2">
        <v>95</v>
      </c>
      <c r="H2" s="2">
        <f>CONVERT($G$2,"grain","g")</f>
        <v>6.1558964500000002</v>
      </c>
    </row>
    <row r="3" spans="1:31" x14ac:dyDescent="0.25">
      <c r="A3" t="s">
        <v>0</v>
      </c>
      <c r="B3" s="2">
        <v>0.24299999999999999</v>
      </c>
      <c r="C3" s="2">
        <f>CONVERT($B$3,"in","mm")</f>
        <v>6.1722000000000001</v>
      </c>
      <c r="F3" t="s">
        <v>70</v>
      </c>
      <c r="G3" s="2">
        <v>0.24299999999999999</v>
      </c>
      <c r="H3" s="2">
        <f>CONVERT($G$3,"in","mm")</f>
        <v>6.1722000000000001</v>
      </c>
    </row>
    <row r="4" spans="1:31" x14ac:dyDescent="0.25">
      <c r="A4" t="s">
        <v>11</v>
      </c>
      <c r="B4" s="2"/>
      <c r="C4" s="2"/>
      <c r="F4" t="s">
        <v>11</v>
      </c>
      <c r="G4" s="2" t="s">
        <v>96</v>
      </c>
      <c r="H4" s="2"/>
    </row>
    <row r="5" spans="1:31" x14ac:dyDescent="0.25">
      <c r="A5" t="s">
        <v>21</v>
      </c>
      <c r="B5" s="2">
        <v>0.376</v>
      </c>
      <c r="C5" s="2"/>
      <c r="F5" t="s">
        <v>21</v>
      </c>
      <c r="G5" s="2">
        <v>0.376</v>
      </c>
      <c r="H5" s="2"/>
    </row>
    <row r="6" spans="1:31" x14ac:dyDescent="0.25">
      <c r="A6" t="s">
        <v>22</v>
      </c>
      <c r="B6" s="2">
        <v>2539</v>
      </c>
      <c r="C6" s="2">
        <f>CONVERT($B$6,"J","flb")</f>
        <v>1872.6702970149768</v>
      </c>
      <c r="F6" t="s">
        <v>97</v>
      </c>
      <c r="G6" s="2" cm="1">
        <f t="array" ref="G6">MuzzleVelocityToMuzzleEnergyFtLb(G7,G2)</f>
        <v>1835.4133601761484</v>
      </c>
      <c r="H6" s="2" cm="1">
        <f t="array" ref="H6">MuzzleVelocityToMuzzleEnergyJoules(H7,H2)</f>
        <v>2488.4863763340672</v>
      </c>
    </row>
    <row r="7" spans="1:31" x14ac:dyDescent="0.25">
      <c r="A7" t="s">
        <v>19</v>
      </c>
      <c r="B7" s="2">
        <f xml:space="preserve"> SQRT(2*$B$6/(CONVERT($B$2,"grain","g")/1000))</f>
        <v>908.24014744673639</v>
      </c>
      <c r="C7" s="2">
        <f>CONVERT($B$7,"m","ft")</f>
        <v>2979.7905099958539</v>
      </c>
      <c r="F7" t="s">
        <v>98</v>
      </c>
      <c r="G7" s="2">
        <v>2950</v>
      </c>
      <c r="H7" s="2">
        <f>CONVERT($G$7,"ft","m")</f>
        <v>899.16</v>
      </c>
    </row>
    <row r="8" spans="1:31" x14ac:dyDescent="0.25">
      <c r="A8" t="s">
        <v>1</v>
      </c>
      <c r="B8" s="2">
        <v>0</v>
      </c>
      <c r="C8" s="2"/>
    </row>
    <row r="9" spans="1:31" x14ac:dyDescent="0.25">
      <c r="A9" t="s">
        <v>2</v>
      </c>
      <c r="B9" s="2">
        <v>14</v>
      </c>
      <c r="C9" s="2">
        <f>CONVERT($B$9,"m/sec","km/hr")</f>
        <v>50.4</v>
      </c>
    </row>
    <row r="10" spans="1:31" x14ac:dyDescent="0.25">
      <c r="A10" t="s">
        <v>3</v>
      </c>
      <c r="B10" s="2">
        <v>120</v>
      </c>
      <c r="C10" s="2"/>
    </row>
    <row r="11" spans="1:31" x14ac:dyDescent="0.25">
      <c r="A11" s="25" t="s">
        <v>72</v>
      </c>
      <c r="B11" s="2">
        <v>0.5</v>
      </c>
      <c r="C11" s="26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1:31" x14ac:dyDescent="0.25">
      <c r="A12" s="25" t="s">
        <v>73</v>
      </c>
      <c r="B12" s="2" cm="1">
        <f t="array" ref="B12">MOAToMRAD($B$11)</f>
        <v>0.14544410433286079</v>
      </c>
      <c r="C12" s="26">
        <f>$B$12/2</f>
        <v>7.2722052166430393E-2</v>
      </c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1:31" x14ac:dyDescent="0.25">
      <c r="A13" s="25" t="s">
        <v>26</v>
      </c>
      <c r="B13" s="2">
        <f>CONVERT(1.5,"in","cm")</f>
        <v>3.81</v>
      </c>
      <c r="D13" s="2">
        <f>CONVERT($B$13,"cm","in")</f>
        <v>1.5</v>
      </c>
      <c r="R13" s="23"/>
      <c r="S13" s="24"/>
      <c r="T13" s="23"/>
      <c r="U13" s="24"/>
      <c r="V13" s="23"/>
      <c r="W13" s="24"/>
      <c r="X13" s="23"/>
      <c r="Y13" s="24"/>
      <c r="Z13" s="23"/>
      <c r="AA13" s="24"/>
      <c r="AB13" s="23"/>
      <c r="AC13" s="24"/>
      <c r="AD13" s="23"/>
      <c r="AE13" s="24"/>
    </row>
    <row r="14" spans="1:31" x14ac:dyDescent="0.25">
      <c r="A14" s="25" t="s">
        <v>5</v>
      </c>
      <c r="B14" t="s">
        <v>74</v>
      </c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</row>
    <row r="15" spans="1:31" x14ac:dyDescent="0.25">
      <c r="A15" t="s">
        <v>75</v>
      </c>
      <c r="B15" s="27" t="s">
        <v>76</v>
      </c>
      <c r="C15" s="27" t="s">
        <v>77</v>
      </c>
      <c r="D15" s="27" t="s">
        <v>78</v>
      </c>
      <c r="E15" s="27" t="s">
        <v>79</v>
      </c>
      <c r="R15" s="19"/>
      <c r="S15" s="20"/>
      <c r="T15" s="19"/>
      <c r="U15" s="20"/>
      <c r="V15" s="19"/>
      <c r="W15" s="20"/>
      <c r="X15" s="19"/>
      <c r="Y15" s="20"/>
      <c r="Z15" s="19"/>
      <c r="AA15" s="20"/>
      <c r="AB15" s="19"/>
      <c r="AC15" s="20"/>
      <c r="AD15" s="19"/>
      <c r="AE15" s="20"/>
    </row>
    <row r="16" spans="1:31" x14ac:dyDescent="0.25">
      <c r="A16" s="25" t="s">
        <v>80</v>
      </c>
      <c r="B16" s="2">
        <v>0.625</v>
      </c>
      <c r="C16">
        <f>$B16/2</f>
        <v>0.3125</v>
      </c>
      <c r="D16" s="2">
        <f>$B$16 * $B$18</f>
        <v>0.36361026083215198</v>
      </c>
      <c r="E16" s="28">
        <f>$D16/2</f>
        <v>0.18180513041607599</v>
      </c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</row>
    <row r="17" spans="1:31" x14ac:dyDescent="0.25">
      <c r="A17" s="25" t="s">
        <v>81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8">
        <f>$D17/2</f>
        <v>7.2722052166430393E-2</v>
      </c>
      <c r="R17" s="19"/>
      <c r="S17" s="20"/>
      <c r="T17" s="19"/>
      <c r="U17" s="20"/>
      <c r="V17" s="19"/>
      <c r="W17" s="20"/>
      <c r="X17" s="19"/>
      <c r="Y17" s="20"/>
      <c r="Z17" s="19"/>
      <c r="AA17" s="20"/>
      <c r="AB17" s="19"/>
      <c r="AC17" s="20"/>
      <c r="AD17" s="19"/>
      <c r="AE17" s="20"/>
    </row>
    <row r="18" spans="1:31" x14ac:dyDescent="0.25">
      <c r="A18" s="11" t="s">
        <v>82</v>
      </c>
      <c r="B18" s="12">
        <f>$B$12/$B$17</f>
        <v>0.58177641733144314</v>
      </c>
      <c r="C18" s="2"/>
      <c r="J18" s="2">
        <v>4.5</v>
      </c>
      <c r="K18" s="2">
        <v>4.25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</row>
    <row r="19" spans="1:31" x14ac:dyDescent="0.25">
      <c r="A19" s="29" t="s">
        <v>83</v>
      </c>
      <c r="B19" s="30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R19" s="19"/>
      <c r="S19" s="20"/>
      <c r="T19" s="19"/>
      <c r="U19" s="20"/>
      <c r="V19" s="19"/>
      <c r="W19" s="20"/>
      <c r="X19" s="19"/>
      <c r="Y19" s="20"/>
      <c r="Z19" s="19"/>
      <c r="AA19" s="20"/>
      <c r="AB19" s="19"/>
      <c r="AC19" s="20"/>
      <c r="AD19" s="19"/>
      <c r="AE19" s="20"/>
    </row>
    <row r="20" spans="1:31" x14ac:dyDescent="0.25">
      <c r="C20" s="42" t="s">
        <v>24</v>
      </c>
      <c r="D20" s="42"/>
      <c r="E20" s="42"/>
      <c r="F20" s="42"/>
      <c r="G20" s="42"/>
      <c r="H20" s="13"/>
      <c r="I20" s="13"/>
      <c r="J20" s="41" t="s">
        <v>25</v>
      </c>
      <c r="K20" s="41"/>
      <c r="L20" s="41"/>
      <c r="M20" s="41"/>
      <c r="N20" s="41"/>
      <c r="O20" s="13"/>
      <c r="P20" s="13"/>
      <c r="Q20" s="31" t="s">
        <v>29</v>
      </c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</row>
    <row r="21" spans="1:31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32" t="s">
        <v>32</v>
      </c>
      <c r="Q21" s="31" t="s">
        <v>30</v>
      </c>
      <c r="R21" s="19"/>
      <c r="S21" s="20"/>
      <c r="T21" s="19"/>
      <c r="U21" s="20"/>
      <c r="V21" s="19"/>
      <c r="W21" s="20"/>
      <c r="X21" s="19"/>
      <c r="Y21" s="20"/>
      <c r="Z21" s="19"/>
      <c r="AA21" s="20"/>
      <c r="AB21" s="19"/>
      <c r="AC21" s="20"/>
      <c r="AD21" s="19"/>
      <c r="AE21" s="20"/>
    </row>
    <row r="22" spans="1:31" x14ac:dyDescent="0.25">
      <c r="A22" s="1">
        <v>0</v>
      </c>
      <c r="B22" s="1">
        <v>2539.4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3">
        <f t="shared" si="1"/>
        <v>-3.81</v>
      </c>
      <c r="Q22" s="34">
        <v>0</v>
      </c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</row>
    <row r="23" spans="1:31" x14ac:dyDescent="0.25">
      <c r="A23" s="1">
        <v>25</v>
      </c>
      <c r="B23" s="1">
        <v>2444.5</v>
      </c>
      <c r="C23" s="6">
        <v>-0.255</v>
      </c>
      <c r="D23" s="6">
        <v>-0.375</v>
      </c>
      <c r="E23" s="6">
        <v>-0.33300000000000002</v>
      </c>
      <c r="F23" s="6">
        <v>-0.25</v>
      </c>
      <c r="G23" s="6">
        <v>-8.3000000000000004E-2</v>
      </c>
      <c r="H23" s="6">
        <v>0.15</v>
      </c>
      <c r="I23" s="14">
        <v>0.45</v>
      </c>
      <c r="J23" s="9" cm="1">
        <f t="array" ref="J23">TrajectoryDropInCM(C23,$A23,J$18)</f>
        <v>-2.8687512591488269</v>
      </c>
      <c r="K23" s="9" cm="1">
        <f t="array" ref="K23">TrajectoryDropInCM(D23,$A23,K$18)</f>
        <v>-3.9843783734928069</v>
      </c>
      <c r="L23" s="9" cm="1">
        <f t="array" ref="L23">TrajectoryDropInCM(E23,$A23,L$18)</f>
        <v>-3.5381273622104836</v>
      </c>
      <c r="M23" s="9" cm="1">
        <f t="array" ref="M23">TrajectoryDropInCM(F23,$A23,M$18)</f>
        <v>-2.500000833333667</v>
      </c>
      <c r="N23" s="9" cm="1">
        <f t="array" ref="N23">TrajectoryDropInCM(G23,$A23,N$18)</f>
        <v>-0.83000003049530802</v>
      </c>
      <c r="O23" s="9" cm="1">
        <f t="array" ref="O23">TrajectoryDropInCM(H23,$A23,O$18)</f>
        <v>1.5000001800000258</v>
      </c>
      <c r="P23" s="35" cm="1">
        <f t="array" ref="P23">TrajectoryDropInCM(I23,$A23,P$18)</f>
        <v>4.5000048600062978</v>
      </c>
      <c r="Q23" s="34" cm="1">
        <f t="array" ref="Q23">TrajectoryErrorCM($E$19,1,$A23)</f>
        <v>0.37561137059069255</v>
      </c>
      <c r="R23" s="19"/>
      <c r="S23" s="20"/>
      <c r="T23" s="19"/>
      <c r="U23" s="20"/>
      <c r="V23" s="19"/>
      <c r="W23" s="20"/>
      <c r="X23" s="19"/>
      <c r="Y23" s="20"/>
      <c r="Z23" s="19"/>
      <c r="AA23" s="20"/>
      <c r="AB23" s="19"/>
      <c r="AC23" s="20"/>
      <c r="AD23" s="19"/>
      <c r="AE23" s="20"/>
    </row>
    <row r="24" spans="1:31" x14ac:dyDescent="0.25">
      <c r="A24" s="1">
        <v>50</v>
      </c>
      <c r="B24" s="1">
        <v>2326.6</v>
      </c>
      <c r="C24" s="7">
        <v>0.01</v>
      </c>
      <c r="D24" s="6">
        <v>-6.25E-2</v>
      </c>
      <c r="E24" s="6">
        <v>-0.05</v>
      </c>
      <c r="F24" s="6">
        <v>0.05</v>
      </c>
      <c r="G24" s="6">
        <v>0.24</v>
      </c>
      <c r="H24" s="6">
        <v>0.495</v>
      </c>
      <c r="I24" s="14">
        <v>0.75</v>
      </c>
      <c r="J24" s="9" cm="1">
        <f t="array" ref="J24">TrajectoryDropInCM(C24,$A24,J$18)</f>
        <v>0.22500000015187499</v>
      </c>
      <c r="K24" s="9" cm="1">
        <f t="array" ref="K24">TrajectoryDropInCM(D24,$A24,K$18)</f>
        <v>-1.3281250312360138</v>
      </c>
      <c r="L24" s="9" cm="1">
        <f t="array" ref="L24">TrajectoryDropInCM(E24,$A24,L$18)</f>
        <v>-1.0625000159928388</v>
      </c>
      <c r="M24" s="9" cm="1">
        <f t="array" ref="M24">TrajectoryDropInCM(F24,$A24,M$18)</f>
        <v>1.0000000133333335</v>
      </c>
      <c r="N24" s="9" cm="1">
        <f t="array" ref="N24">TrajectoryDropInCM(G24,$A24,N$18)</f>
        <v>4.8000014745605428</v>
      </c>
      <c r="O24" s="9" cm="1">
        <f t="array" ref="O24">TrajectoryDropInCM(H24,$A24,O$18)</f>
        <v>9.9000129373402874</v>
      </c>
      <c r="P24" s="35" cm="1">
        <f t="array" ref="P24">TrajectoryDropInCM(I24,$A24,P$18)</f>
        <v>15.000045000162002</v>
      </c>
      <c r="Q24" s="34" cm="1">
        <f t="array" ref="Q24">TrajectoryErrorCM($E$19,1,$A24)</f>
        <v>0.7512227411813851</v>
      </c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</row>
    <row r="25" spans="1:31" x14ac:dyDescent="0.25">
      <c r="A25" s="1">
        <v>75</v>
      </c>
      <c r="B25" s="1">
        <v>2214.5</v>
      </c>
      <c r="C25" s="6">
        <v>8.3000000000000004E-2</v>
      </c>
      <c r="D25" s="6">
        <v>0</v>
      </c>
      <c r="E25" s="6">
        <v>0.05</v>
      </c>
      <c r="F25" s="6">
        <v>8.3000000000000004E-2</v>
      </c>
      <c r="G25" s="6">
        <v>0.3125</v>
      </c>
      <c r="H25" s="6">
        <v>0.55000000000000004</v>
      </c>
      <c r="I25" s="14">
        <v>0.83299999999999996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1.5937500239892586</v>
      </c>
      <c r="M25" s="9" cm="1">
        <f t="array" ref="M25">TrajectoryDropInCM(F25,$A25,M$18)</f>
        <v>2.4900000914859239</v>
      </c>
      <c r="N25" s="9" cm="1">
        <f t="array" ref="N25">TrajectoryDropInCM(G25,$A25,N$18)</f>
        <v>9.3750048828155528</v>
      </c>
      <c r="O25" s="9" cm="1">
        <f t="array" ref="O25">TrajectoryDropInCM(H25,$A25,O$18)</f>
        <v>16.500026620051539</v>
      </c>
      <c r="P25" s="35" cm="1">
        <f t="array" ref="P25">TrajectoryDropInCM(I25,$A25,P$18)</f>
        <v>24.990092481936625</v>
      </c>
      <c r="Q25" s="34" cm="1">
        <f t="array" ref="Q25">TrajectoryErrorCM($E$19,1,$A25)</f>
        <v>1.1268341117720777</v>
      </c>
      <c r="R25" s="19"/>
      <c r="S25" s="20"/>
      <c r="T25" s="19"/>
      <c r="U25" s="20"/>
      <c r="V25" s="19"/>
      <c r="W25" s="20"/>
      <c r="X25" s="19"/>
      <c r="Y25" s="20"/>
      <c r="Z25" s="19"/>
      <c r="AA25" s="20"/>
      <c r="AB25" s="19"/>
      <c r="AC25" s="20"/>
      <c r="AD25" s="19"/>
      <c r="AE25" s="20"/>
    </row>
    <row r="26" spans="1:31" x14ac:dyDescent="0.25">
      <c r="A26" s="1">
        <v>100</v>
      </c>
      <c r="B26" s="1">
        <v>2109.3000000000002</v>
      </c>
      <c r="C26" s="6">
        <v>0.125</v>
      </c>
      <c r="D26" s="7">
        <v>0</v>
      </c>
      <c r="E26" s="6">
        <v>0.05</v>
      </c>
      <c r="F26" s="6">
        <v>0.125</v>
      </c>
      <c r="G26" s="6">
        <v>0.33300000000000002</v>
      </c>
      <c r="H26" s="6">
        <v>0.55000000000000004</v>
      </c>
      <c r="I26" s="14">
        <v>0.83299999999999996</v>
      </c>
      <c r="J26" s="9" cm="1">
        <f t="array" ref="J26">TrajectoryDropInCM(C26,$A26,J$18)</f>
        <v>5.6250005932617935</v>
      </c>
      <c r="K26" s="9" cm="1">
        <f t="array" ref="K26">TrajectoryDropInCM(D26,$A26,K$18)</f>
        <v>0</v>
      </c>
      <c r="L26" s="9" cm="1">
        <f t="array" ref="L26">TrajectoryDropInCM(E26,$A26,L$18)</f>
        <v>2.1250000319856777</v>
      </c>
      <c r="M26" s="9" cm="1">
        <f t="array" ref="M26">TrajectoryDropInCM(F26,$A26,M$18)</f>
        <v>5.0000004166667074</v>
      </c>
      <c r="N26" s="9" cm="1">
        <f t="array" ref="N26">TrajectoryDropInCM(G26,$A26,N$18)</f>
        <v>13.320007877560153</v>
      </c>
      <c r="O26" s="9" cm="1">
        <f t="array" ref="O26">TrajectoryDropInCM(H26,$A26,O$18)</f>
        <v>22.000035493402052</v>
      </c>
      <c r="P26" s="35" cm="1">
        <f t="array" ref="P26">TrajectoryDropInCM(I26,$A26,P$18)</f>
        <v>33.320123309248828</v>
      </c>
      <c r="Q26" s="34" cm="1">
        <f t="array" ref="Q26">TrajectoryErrorCM($E$19,1,$A26)</f>
        <v>1.5024454823627702</v>
      </c>
      <c r="R26" s="21"/>
      <c r="S26" s="22"/>
      <c r="T26" s="21"/>
      <c r="U26" s="22"/>
      <c r="V26" s="21"/>
      <c r="W26" s="22"/>
      <c r="X26" s="21"/>
      <c r="Y26" s="22"/>
      <c r="Z26" s="21"/>
      <c r="AA26" s="22"/>
      <c r="AB26" s="21"/>
      <c r="AC26" s="22"/>
      <c r="AD26" s="21"/>
      <c r="AE26" s="22"/>
    </row>
    <row r="27" spans="1:31" x14ac:dyDescent="0.25">
      <c r="A27" s="1">
        <v>125</v>
      </c>
      <c r="B27" s="1">
        <v>2010.4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0.3125</v>
      </c>
      <c r="H27" s="6">
        <v>0.5625</v>
      </c>
      <c r="I27" s="14">
        <v>0.83299999999999996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6.2500005208333844</v>
      </c>
      <c r="N27" s="9" cm="1">
        <f t="array" ref="N27">TrajectoryDropInCM(G27,$A27,N$18)</f>
        <v>15.625008138025919</v>
      </c>
      <c r="O27" s="9" cm="1">
        <f t="array" ref="O27">TrajectoryDropInCM(H27,$A27,O$18)</f>
        <v>28.125047461033603</v>
      </c>
      <c r="P27" s="35" cm="1">
        <f t="array" ref="P27">TrajectoryDropInCM(I27,$A27,P$18)</f>
        <v>41.650154136561042</v>
      </c>
      <c r="Q27" s="34" cm="1">
        <f t="array" ref="Q27">TrajectoryErrorCM($E$19,1,$A27)</f>
        <v>1.8780568529534629</v>
      </c>
    </row>
    <row r="28" spans="1:31" x14ac:dyDescent="0.25">
      <c r="A28" s="1">
        <v>150</v>
      </c>
      <c r="B28" s="1">
        <v>1916.7</v>
      </c>
      <c r="C28" s="6">
        <v>6.25E-2</v>
      </c>
      <c r="D28" s="6">
        <v>-6.25E-2</v>
      </c>
      <c r="E28" s="7">
        <v>0</v>
      </c>
      <c r="F28" s="6">
        <v>8.3000000000000004E-2</v>
      </c>
      <c r="G28" s="6">
        <v>0.25</v>
      </c>
      <c r="H28" s="6">
        <v>0.5</v>
      </c>
      <c r="I28" s="14">
        <v>0.8125</v>
      </c>
      <c r="J28" s="9" cm="1">
        <f t="array" ref="J28">TrajectoryDropInCM(C28,$A28,J$18)</f>
        <v>4.2187501112365755</v>
      </c>
      <c r="K28" s="9" cm="1">
        <f t="array" ref="K28">TrajectoryDropInCM(D28,$A28,K$18)</f>
        <v>-3.9843750937080409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30.000040000063997</v>
      </c>
      <c r="P28" s="35" cm="1">
        <f t="array" ref="P28">TrajectoryDropInCM(I28,$A28,P$18)</f>
        <v>48.750171641350178</v>
      </c>
      <c r="Q28" s="34" cm="1">
        <f t="array" ref="Q28">TrajectoryErrorCM($E$19,1,$A28)</f>
        <v>2.2536682235441554</v>
      </c>
    </row>
    <row r="29" spans="1:31" x14ac:dyDescent="0.25">
      <c r="A29" s="1">
        <v>200</v>
      </c>
      <c r="B29" s="1">
        <v>1733.8</v>
      </c>
      <c r="C29" s="6">
        <v>-0.01</v>
      </c>
      <c r="D29" s="6">
        <v>-0.1</v>
      </c>
      <c r="E29" s="6">
        <v>-8.3000000000000004E-2</v>
      </c>
      <c r="F29" s="7">
        <v>0</v>
      </c>
      <c r="G29" s="6">
        <v>0.18</v>
      </c>
      <c r="H29" s="6">
        <v>0.4375</v>
      </c>
      <c r="I29" s="14">
        <v>0.75</v>
      </c>
      <c r="J29" s="9" cm="1">
        <f t="array" ref="J29">TrajectoryDropInCM(C29,$A29,J$18)</f>
        <v>-0.90000000060749996</v>
      </c>
      <c r="K29" s="9" cm="1">
        <f t="array" ref="K29">TrajectoryDropInCM(D29,$A29,K$18)</f>
        <v>-8.500000511770871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14.400002488320515</v>
      </c>
      <c r="O29" s="9" cm="1">
        <f t="array" ref="O29">TrajectoryDropInCM(H29,$A29,O$18)</f>
        <v>35.000035729210438</v>
      </c>
      <c r="P29" s="35" cm="1">
        <f t="array" ref="P29">TrajectoryDropInCM(I29,$A29,P$18)</f>
        <v>60.000180000648008</v>
      </c>
      <c r="Q29" s="34" cm="1">
        <f t="array" ref="Q29">TrajectoryErrorCM($E$19,1,$A29)</f>
        <v>3.0048909647255404</v>
      </c>
    </row>
    <row r="30" spans="1:31" x14ac:dyDescent="0.25">
      <c r="A30" s="1">
        <v>250</v>
      </c>
      <c r="B30" s="1">
        <v>1561</v>
      </c>
      <c r="C30" s="6">
        <v>-0.125</v>
      </c>
      <c r="D30" s="6">
        <v>-0.1875</v>
      </c>
      <c r="E30" s="6">
        <v>-0.16700000000000001</v>
      </c>
      <c r="F30" s="6">
        <v>-8.3000000000000004E-2</v>
      </c>
      <c r="G30" s="6">
        <v>0.125</v>
      </c>
      <c r="H30" s="6">
        <v>0.33300000000000002</v>
      </c>
      <c r="I30" s="14">
        <v>0.65</v>
      </c>
      <c r="J30" s="9" cm="1">
        <f t="array" ref="J30">TrajectoryDropInCM(C30,$A30,J$18)</f>
        <v>-14.062501483154483</v>
      </c>
      <c r="K30" s="9" cm="1">
        <f t="array" ref="K30">TrajectoryDropInCM(D30,$A30,K$18)</f>
        <v>-19.921879216862795</v>
      </c>
      <c r="L30" s="9" cm="1">
        <f t="array" ref="L30">TrajectoryDropInCM(E30,$A30,L$18)</f>
        <v>-17.74375297944275</v>
      </c>
      <c r="M30" s="9" cm="1">
        <f t="array" ref="M30">TrajectoryDropInCM(F30,$A30,M$18)</f>
        <v>-8.3000003049530804</v>
      </c>
      <c r="N30" s="9" cm="1">
        <f t="array" ref="N30">TrajectoryDropInCM(G30,$A30,N$18)</f>
        <v>12.500001041666769</v>
      </c>
      <c r="O30" s="9" cm="1">
        <f t="array" ref="O30">TrajectoryDropInCM(H30,$A30,O$18)</f>
        <v>33.300019693900381</v>
      </c>
      <c r="P30" s="35" cm="1">
        <f t="array" ref="P30">TrajectoryDropInCM(I30,$A30,P$18)</f>
        <v>65.00014646706272</v>
      </c>
      <c r="Q30" s="34" cm="1">
        <f t="array" ref="Q30">TrajectoryErrorCM($E$19,1,$A30)</f>
        <v>3.7561137059069258</v>
      </c>
    </row>
    <row r="31" spans="1:31" x14ac:dyDescent="0.25">
      <c r="A31" s="1">
        <v>300</v>
      </c>
      <c r="B31" s="1">
        <v>1409.6</v>
      </c>
      <c r="C31" s="6">
        <v>-0.1875</v>
      </c>
      <c r="D31" s="6">
        <v>-0.3125</v>
      </c>
      <c r="E31" s="6">
        <v>-0.25</v>
      </c>
      <c r="F31" s="6">
        <v>-0.16700000000000001</v>
      </c>
      <c r="G31" s="7">
        <v>0</v>
      </c>
      <c r="H31" s="17">
        <v>0.25</v>
      </c>
      <c r="I31" s="18">
        <v>0.55000000000000004</v>
      </c>
      <c r="J31" s="9" cm="1">
        <f t="array" ref="J31">TrajectoryDropInCM(C31,$A31,J$18)</f>
        <v>-25.312506006776616</v>
      </c>
      <c r="K31" s="9" cm="1">
        <f t="array" ref="K31">TrajectoryDropInCM(D31,$A31,K$18)</f>
        <v>-39.843773427026107</v>
      </c>
      <c r="L31" s="9" cm="1">
        <f t="array" ref="L31">TrajectoryDropInCM(E31,$A31,L$18)</f>
        <v>-31.875011994634324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5" cm="1">
        <f t="array" ref="P31">TrajectoryDropInCM(I31,$A31,P$18)</f>
        <v>66.000106480206156</v>
      </c>
      <c r="Q31" s="34" cm="1">
        <f t="array" ref="Q31">TrajectoryErrorCM($E$19,1,$A31)</f>
        <v>4.5073364470883108</v>
      </c>
    </row>
    <row r="32" spans="1:31" x14ac:dyDescent="0.25">
      <c r="A32" s="1">
        <v>350</v>
      </c>
      <c r="B32" s="1">
        <v>1268.4000000000001</v>
      </c>
      <c r="C32" s="6">
        <v>-0.35</v>
      </c>
      <c r="D32" s="6">
        <v>-0.41699999999999998</v>
      </c>
      <c r="E32" s="6">
        <v>-0.375</v>
      </c>
      <c r="F32" s="6">
        <v>-0.3125</v>
      </c>
      <c r="G32" s="6">
        <v>-0.12</v>
      </c>
      <c r="H32" s="6">
        <v>0.125</v>
      </c>
      <c r="I32" s="14">
        <v>0.41699999999999998</v>
      </c>
      <c r="J32" s="9" cm="1">
        <f t="array" ref="J32">TrajectoryDropInCM(C32,$A32,J$18)</f>
        <v>-55.125045581529605</v>
      </c>
      <c r="K32" s="9" cm="1">
        <f t="array" ref="K32">TrajectoryDropInCM(D32,$A32,K$18)</f>
        <v>-62.028814941496222</v>
      </c>
      <c r="L32" s="9" cm="1">
        <f t="array" ref="L32">TrajectoryDropInCM(E32,$A32,L$18)</f>
        <v>-55.781297228899298</v>
      </c>
      <c r="M32" s="9" cm="1">
        <f t="array" ref="M32">TrajectoryDropInCM(F32,$A32,M$18)</f>
        <v>-43.750022786472577</v>
      </c>
      <c r="N32" s="9" cm="1">
        <f t="array" ref="N32">TrajectoryDropInCM(G32,$A32,N$18)</f>
        <v>-16.800001290240115</v>
      </c>
      <c r="O32" s="9" cm="1">
        <f t="array" ref="O32">TrajectoryDropInCM(H32,$A32,O$18)</f>
        <v>17.500001458333479</v>
      </c>
      <c r="P32" s="35" cm="1">
        <f t="array" ref="P32">TrajectoryDropInCM(I32,$A32,P$18)</f>
        <v>58.380054142139294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1136.5</v>
      </c>
      <c r="C33" s="6">
        <v>-0.45</v>
      </c>
      <c r="D33" s="6">
        <v>-0.55000000000000004</v>
      </c>
      <c r="E33" s="6">
        <v>-0.5</v>
      </c>
      <c r="F33" s="6">
        <v>-0.41699999999999998</v>
      </c>
      <c r="G33" s="6">
        <v>-0.25</v>
      </c>
      <c r="H33" s="7">
        <v>0</v>
      </c>
      <c r="I33" s="14">
        <v>0.3125</v>
      </c>
      <c r="J33" s="9" cm="1">
        <f t="array" ref="J33">TrajectoryDropInCM(C33,$A33,J$18)</f>
        <v>-81.000110717056614</v>
      </c>
      <c r="K33" s="9" cm="1">
        <f t="array" ref="K33">TrajectoryDropInCM(D33,$A33,K$18)</f>
        <v>-93.500170292116977</v>
      </c>
      <c r="L33" s="9" cm="1">
        <f t="array" ref="L33">TrajectoryDropInCM(E33,$A33,L$18)</f>
        <v>-85.000127942939443</v>
      </c>
      <c r="M33" s="9" cm="1">
        <f t="array" ref="M33">TrajectoryDropInCM(F33,$A33,M$18)</f>
        <v>-66.720061876730625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5" cm="1">
        <f t="array" ref="P33">TrajectoryDropInCM(I33,$A33,P$18)</f>
        <v>50.000026041682943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1015.5</v>
      </c>
      <c r="C34" s="6">
        <v>-0.58299999999999996</v>
      </c>
      <c r="D34" s="6">
        <v>-0.66700000000000004</v>
      </c>
      <c r="E34" s="6">
        <v>-0.625</v>
      </c>
      <c r="F34" s="6">
        <v>-0.5625</v>
      </c>
      <c r="G34" s="6">
        <v>-0.375</v>
      </c>
      <c r="H34" s="6">
        <v>-0.125</v>
      </c>
      <c r="I34" s="14">
        <v>0.16700000000000001</v>
      </c>
      <c r="J34" s="9" cm="1">
        <f t="array" ref="J34">TrajectoryDropInCM(C34,$A34,J$18)</f>
        <v>-118.05777085425362</v>
      </c>
      <c r="K34" s="9" cm="1">
        <f t="array" ref="K34">TrajectoryDropInCM(D34,$A34,K$18)</f>
        <v>-127.56409169368061</v>
      </c>
      <c r="L34" s="9" cm="1">
        <f t="array" ref="L34">TrajectoryDropInCM(E34,$A34,L$18)</f>
        <v>-119.5315311249084</v>
      </c>
      <c r="M34" s="9" cm="1">
        <f t="array" ref="M34">TrajectoryDropInCM(F34,$A34,M$18)</f>
        <v>-101.25017085972097</v>
      </c>
      <c r="N34" s="9" cm="1">
        <f t="array" ref="N34">TrajectoryDropInCM(G34,$A34,N$18)</f>
        <v>-67.50005062504556</v>
      </c>
      <c r="O34" s="9" cm="1">
        <f t="array" ref="O34">TrajectoryDropInCM(H34,$A34,O$18)</f>
        <v>-22.500001875000187</v>
      </c>
      <c r="P34" s="35" cm="1">
        <f t="array" ref="P34">TrajectoryDropInCM(I34,$A34,P$18)</f>
        <v>30.060004471165279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>
        <v>905</v>
      </c>
      <c r="C35" s="6">
        <v>-0.75</v>
      </c>
      <c r="D35" s="6">
        <v>-0.83299999999999996</v>
      </c>
      <c r="E35" s="6">
        <v>-0.76</v>
      </c>
      <c r="F35" s="6">
        <v>-0.74</v>
      </c>
      <c r="G35" s="6">
        <v>-0.5</v>
      </c>
      <c r="H35" s="6">
        <v>-0.25</v>
      </c>
      <c r="I35" s="15">
        <v>0</v>
      </c>
      <c r="J35" s="9" cm="1">
        <f t="array" ref="J35">TrajectoryDropInCM(C35,$A35,J$18)</f>
        <v>-168.75064072557558</v>
      </c>
      <c r="K35" s="9" cm="1">
        <f t="array" ref="K35">TrajectoryDropInCM(D35,$A35,K$18)</f>
        <v>-177.01323952476355</v>
      </c>
      <c r="L35" s="9" cm="1">
        <f t="array" ref="L35">TrajectoryDropInCM(E35,$A35,L$18)</f>
        <v>-161.5005616401271</v>
      </c>
      <c r="M35" s="9" cm="1">
        <f t="array" ref="M35">TrajectoryDropInCM(F35,$A35,M$18)</f>
        <v>-148.00043224044819</v>
      </c>
      <c r="N35" s="9" cm="1">
        <f t="array" ref="N35">TrajectoryDropInCM(G35,$A35,N$18)</f>
        <v>-100.00013333354664</v>
      </c>
      <c r="O35" s="9" cm="1">
        <f t="array" ref="O35">TrajectoryDropInCM(H35,$A35,O$18)</f>
        <v>-50.000016666673339</v>
      </c>
      <c r="P35" s="35" cm="1">
        <f t="array" ref="P35">TrajectoryDropInCM(I35,$A35,P$18)</f>
        <v>0</v>
      </c>
      <c r="Q35" s="34" cm="1">
        <f t="array" ref="Q35">TrajectoryErrorCM($E$19,1,$A35)</f>
        <v>7.5122274118138517</v>
      </c>
    </row>
    <row r="36" spans="1:17" x14ac:dyDescent="0.25">
      <c r="J36" s="9"/>
      <c r="K36" s="9"/>
      <c r="L36" s="9"/>
      <c r="M36" s="9"/>
      <c r="N36" s="9"/>
      <c r="O36" s="9"/>
      <c r="P36" s="35"/>
      <c r="Q36" s="34"/>
    </row>
    <row r="77" spans="1:19" x14ac:dyDescent="0.25">
      <c r="A77" t="s">
        <v>27</v>
      </c>
    </row>
    <row r="78" spans="1:19" x14ac:dyDescent="0.25">
      <c r="A78" t="s">
        <v>33</v>
      </c>
      <c r="K78" t="s">
        <v>61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  <c r="K79" t="s">
        <v>38</v>
      </c>
      <c r="L79" t="s">
        <v>39</v>
      </c>
      <c r="M79" t="s">
        <v>40</v>
      </c>
      <c r="N79" t="s">
        <v>41</v>
      </c>
      <c r="O79" t="s">
        <v>42</v>
      </c>
      <c r="P79" t="s">
        <v>35</v>
      </c>
      <c r="Q79" t="s">
        <v>43</v>
      </c>
      <c r="R79" t="s">
        <v>44</v>
      </c>
      <c r="S79" t="s">
        <v>45</v>
      </c>
    </row>
    <row r="80" spans="1:19" x14ac:dyDescent="0.25">
      <c r="A80" s="1">
        <v>0</v>
      </c>
      <c r="B80" s="1">
        <v>908</v>
      </c>
      <c r="C80" s="1">
        <v>2539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-3.8</v>
      </c>
      <c r="M80" s="1" t="s">
        <v>46</v>
      </c>
      <c r="N80" s="1" t="s">
        <v>46</v>
      </c>
      <c r="O80" s="1">
        <v>0</v>
      </c>
      <c r="P80" s="1" t="s">
        <v>46</v>
      </c>
      <c r="Q80" s="1" t="s">
        <v>46</v>
      </c>
      <c r="R80" s="1">
        <v>908</v>
      </c>
      <c r="S80" s="1">
        <v>2538</v>
      </c>
    </row>
    <row r="81" spans="1:19" x14ac:dyDescent="0.25">
      <c r="A81" s="1">
        <v>25</v>
      </c>
      <c r="B81" s="1">
        <v>887</v>
      </c>
      <c r="C81" s="1">
        <v>2422</v>
      </c>
      <c r="D81" s="1">
        <v>-1.5</v>
      </c>
      <c r="E81" s="1">
        <v>2.1</v>
      </c>
      <c r="F81" s="1">
        <v>0.6</v>
      </c>
      <c r="G81" s="1">
        <v>1</v>
      </c>
      <c r="H81" s="1">
        <v>1</v>
      </c>
      <c r="I81" s="1">
        <v>0</v>
      </c>
      <c r="J81" s="1"/>
      <c r="K81" s="1">
        <v>25</v>
      </c>
      <c r="L81" s="1">
        <v>-1.5</v>
      </c>
      <c r="M81" s="1">
        <v>-2.2000000000000002</v>
      </c>
      <c r="N81" s="1">
        <v>-0.6</v>
      </c>
      <c r="O81" s="1">
        <v>0.2</v>
      </c>
      <c r="P81" s="1">
        <v>0.3</v>
      </c>
      <c r="Q81" s="1">
        <v>0.1</v>
      </c>
      <c r="R81" s="1">
        <v>887</v>
      </c>
      <c r="S81" s="1">
        <v>2421</v>
      </c>
    </row>
    <row r="82" spans="1:19" x14ac:dyDescent="0.25">
      <c r="A82" s="10">
        <v>50</v>
      </c>
      <c r="B82" s="10">
        <v>866</v>
      </c>
      <c r="C82" s="10">
        <v>2310</v>
      </c>
      <c r="D82" s="10">
        <v>0</v>
      </c>
      <c r="E82" s="10">
        <v>0</v>
      </c>
      <c r="F82" s="10">
        <v>0</v>
      </c>
      <c r="G82" s="1">
        <v>2</v>
      </c>
      <c r="H82" s="10">
        <v>1</v>
      </c>
      <c r="I82" s="10">
        <v>0</v>
      </c>
      <c r="J82" s="10"/>
      <c r="K82" s="10">
        <v>50</v>
      </c>
      <c r="L82" s="10">
        <v>0</v>
      </c>
      <c r="M82" s="10">
        <v>0</v>
      </c>
      <c r="N82" s="1">
        <v>0</v>
      </c>
      <c r="O82" s="1">
        <v>1.7</v>
      </c>
      <c r="P82" s="1">
        <v>1.1000000000000001</v>
      </c>
      <c r="Q82" s="1">
        <v>0.3</v>
      </c>
      <c r="R82" s="1">
        <v>866</v>
      </c>
      <c r="S82" s="1">
        <v>2306</v>
      </c>
    </row>
    <row r="83" spans="1:19" x14ac:dyDescent="0.25">
      <c r="A83" s="1">
        <v>75</v>
      </c>
      <c r="B83" s="1">
        <v>846</v>
      </c>
      <c r="C83" s="1">
        <v>2202</v>
      </c>
      <c r="D83" s="1">
        <v>0.7</v>
      </c>
      <c r="E83" s="1">
        <v>-0.3</v>
      </c>
      <c r="F83" s="1">
        <v>-0.1</v>
      </c>
      <c r="G83" s="1">
        <v>4</v>
      </c>
      <c r="H83" s="1">
        <v>2</v>
      </c>
      <c r="I83" s="1">
        <v>0</v>
      </c>
      <c r="J83" s="1"/>
      <c r="K83" s="1">
        <v>75</v>
      </c>
      <c r="L83" s="1">
        <v>0.7</v>
      </c>
      <c r="M83" s="1">
        <v>0.3</v>
      </c>
      <c r="N83" s="1">
        <v>0.1</v>
      </c>
      <c r="O83" s="1">
        <v>4.0999999999999996</v>
      </c>
      <c r="P83" s="1">
        <v>1.9</v>
      </c>
      <c r="Q83" s="1">
        <v>0.5</v>
      </c>
      <c r="R83" s="1">
        <v>845</v>
      </c>
      <c r="S83" s="1">
        <v>2199</v>
      </c>
    </row>
    <row r="84" spans="1:19" x14ac:dyDescent="0.25">
      <c r="A84" s="1">
        <v>100</v>
      </c>
      <c r="B84" s="1">
        <v>826</v>
      </c>
      <c r="C84" s="1">
        <v>2098</v>
      </c>
      <c r="D84" s="1">
        <v>0.5</v>
      </c>
      <c r="E84" s="1">
        <v>-0.2</v>
      </c>
      <c r="F84" s="1">
        <v>0</v>
      </c>
      <c r="G84" s="1">
        <v>6</v>
      </c>
      <c r="H84" s="1">
        <v>2</v>
      </c>
      <c r="I84" s="1">
        <v>1</v>
      </c>
      <c r="J84" s="1"/>
      <c r="K84" s="1">
        <v>100</v>
      </c>
      <c r="L84" s="1">
        <v>0.5</v>
      </c>
      <c r="M84" s="1">
        <v>0.2</v>
      </c>
      <c r="N84" s="1">
        <v>0</v>
      </c>
      <c r="O84" s="1">
        <v>7.5</v>
      </c>
      <c r="P84" s="1">
        <v>2.6</v>
      </c>
      <c r="Q84" s="1">
        <v>0.8</v>
      </c>
      <c r="R84" s="1">
        <v>825</v>
      </c>
      <c r="S84" s="1">
        <v>2096</v>
      </c>
    </row>
    <row r="85" spans="1:19" x14ac:dyDescent="0.25">
      <c r="A85" s="1">
        <v>125</v>
      </c>
      <c r="B85" s="1">
        <v>806</v>
      </c>
      <c r="C85" s="1">
        <v>1999</v>
      </c>
      <c r="D85" s="1">
        <v>-0.6</v>
      </c>
      <c r="E85" s="1">
        <v>0.2</v>
      </c>
      <c r="F85" s="1">
        <v>0.1</v>
      </c>
      <c r="G85" s="1">
        <v>10</v>
      </c>
      <c r="H85" s="1">
        <v>3</v>
      </c>
      <c r="I85" s="1">
        <v>1</v>
      </c>
      <c r="J85" s="1"/>
      <c r="K85" s="1">
        <v>125</v>
      </c>
      <c r="L85" s="1">
        <v>-0.6</v>
      </c>
      <c r="M85" s="1">
        <v>-0.2</v>
      </c>
      <c r="N85" s="1">
        <v>0</v>
      </c>
      <c r="O85" s="1">
        <v>12.1</v>
      </c>
      <c r="P85" s="1">
        <v>3.3</v>
      </c>
      <c r="Q85" s="1">
        <v>1</v>
      </c>
      <c r="R85" s="1">
        <v>805</v>
      </c>
      <c r="S85" s="1">
        <v>1993</v>
      </c>
    </row>
    <row r="86" spans="1:19" x14ac:dyDescent="0.25">
      <c r="A86" s="1">
        <v>150</v>
      </c>
      <c r="B86" s="1">
        <v>786</v>
      </c>
      <c r="C86" s="1">
        <v>1903</v>
      </c>
      <c r="D86" s="1">
        <v>-2.7</v>
      </c>
      <c r="E86" s="1">
        <v>0.6</v>
      </c>
      <c r="F86" s="1">
        <v>0.2</v>
      </c>
      <c r="G86" s="1">
        <v>14</v>
      </c>
      <c r="H86" s="1">
        <v>4</v>
      </c>
      <c r="I86" s="1">
        <v>1</v>
      </c>
      <c r="J86" s="1"/>
      <c r="K86" s="1">
        <v>150</v>
      </c>
      <c r="L86" s="1">
        <v>-2.6</v>
      </c>
      <c r="M86" s="1">
        <v>-0.6</v>
      </c>
      <c r="N86" s="1">
        <v>-0.2</v>
      </c>
      <c r="O86" s="1">
        <v>17.399999999999999</v>
      </c>
      <c r="P86" s="1">
        <v>4</v>
      </c>
      <c r="Q86" s="1">
        <v>1.2</v>
      </c>
      <c r="R86" s="1">
        <v>785</v>
      </c>
      <c r="S86" s="1">
        <v>1898</v>
      </c>
    </row>
    <row r="87" spans="1:19" x14ac:dyDescent="0.25">
      <c r="A87" s="1">
        <v>175</v>
      </c>
      <c r="B87" s="1">
        <v>767</v>
      </c>
      <c r="C87" s="1">
        <v>1810</v>
      </c>
      <c r="D87" s="1">
        <v>-5.7</v>
      </c>
      <c r="E87" s="1">
        <v>1.1000000000000001</v>
      </c>
      <c r="F87" s="1">
        <v>0.3</v>
      </c>
      <c r="G87" s="1">
        <v>19</v>
      </c>
      <c r="H87" s="1">
        <v>4</v>
      </c>
      <c r="I87" s="1">
        <v>1</v>
      </c>
      <c r="J87" s="1"/>
      <c r="K87" s="1">
        <v>175</v>
      </c>
      <c r="L87" s="1">
        <v>-5.6</v>
      </c>
      <c r="M87" s="1">
        <v>-1.1000000000000001</v>
      </c>
      <c r="N87" s="1">
        <v>-0.3</v>
      </c>
      <c r="O87" s="1">
        <v>23.7</v>
      </c>
      <c r="P87" s="1">
        <v>4.7</v>
      </c>
      <c r="Q87" s="1">
        <v>1.4</v>
      </c>
      <c r="R87" s="1">
        <v>766</v>
      </c>
      <c r="S87" s="1">
        <v>1806</v>
      </c>
    </row>
    <row r="88" spans="1:19" x14ac:dyDescent="0.25">
      <c r="A88" s="1">
        <v>200</v>
      </c>
      <c r="B88" s="1">
        <v>748</v>
      </c>
      <c r="C88" s="1">
        <v>1722</v>
      </c>
      <c r="D88" s="1">
        <v>-10</v>
      </c>
      <c r="E88" s="1">
        <v>1.7</v>
      </c>
      <c r="F88" s="1">
        <v>0.5</v>
      </c>
      <c r="G88" s="1">
        <v>25</v>
      </c>
      <c r="H88" s="1">
        <v>5</v>
      </c>
      <c r="I88" s="1">
        <v>1</v>
      </c>
      <c r="J88" s="1"/>
      <c r="K88" s="1">
        <v>200</v>
      </c>
      <c r="L88" s="1">
        <v>-9.6999999999999993</v>
      </c>
      <c r="M88" s="1">
        <v>-1.7</v>
      </c>
      <c r="N88" s="1">
        <v>-0.5</v>
      </c>
      <c r="O88" s="1">
        <v>31.4</v>
      </c>
      <c r="P88" s="1">
        <v>5.4</v>
      </c>
      <c r="Q88" s="1">
        <v>1.6</v>
      </c>
      <c r="R88" s="1">
        <v>746</v>
      </c>
      <c r="S88" s="1">
        <v>1715</v>
      </c>
    </row>
    <row r="89" spans="1:19" x14ac:dyDescent="0.25">
      <c r="A89" s="1">
        <v>225</v>
      </c>
      <c r="B89" s="1">
        <v>729</v>
      </c>
      <c r="C89" s="1">
        <v>1637</v>
      </c>
      <c r="D89" s="1">
        <v>-15.3</v>
      </c>
      <c r="E89" s="1">
        <v>2.2999999999999998</v>
      </c>
      <c r="F89" s="1">
        <v>0.7</v>
      </c>
      <c r="G89" s="1">
        <v>32</v>
      </c>
      <c r="H89" s="1">
        <v>5</v>
      </c>
      <c r="I89" s="1">
        <v>2</v>
      </c>
      <c r="J89" s="1"/>
      <c r="K89" s="1">
        <v>225</v>
      </c>
      <c r="L89" s="1">
        <v>-14.7</v>
      </c>
      <c r="M89" s="1">
        <v>-2.2999999999999998</v>
      </c>
      <c r="N89" s="1">
        <v>-0.7</v>
      </c>
      <c r="O89" s="1">
        <v>39.9</v>
      </c>
      <c r="P89" s="1">
        <v>6.1</v>
      </c>
      <c r="Q89" s="1">
        <v>1.8</v>
      </c>
      <c r="R89" s="1">
        <v>728</v>
      </c>
      <c r="S89" s="1">
        <v>1630</v>
      </c>
    </row>
    <row r="90" spans="1:19" x14ac:dyDescent="0.25">
      <c r="A90" s="1">
        <v>250</v>
      </c>
      <c r="B90" s="1">
        <v>711</v>
      </c>
      <c r="C90" s="1">
        <v>1555</v>
      </c>
      <c r="D90" s="1">
        <v>-21.7</v>
      </c>
      <c r="E90" s="1">
        <v>3</v>
      </c>
      <c r="F90" s="1">
        <v>0.9</v>
      </c>
      <c r="G90" s="1">
        <v>40</v>
      </c>
      <c r="H90" s="1">
        <v>6</v>
      </c>
      <c r="I90" s="1">
        <v>2</v>
      </c>
      <c r="J90" s="1"/>
      <c r="K90" s="1">
        <v>250</v>
      </c>
      <c r="L90" s="1">
        <v>-21</v>
      </c>
      <c r="M90" s="1">
        <v>-2.9</v>
      </c>
      <c r="N90" s="1">
        <v>-0.8</v>
      </c>
      <c r="O90" s="1">
        <v>49.9</v>
      </c>
      <c r="P90" s="1">
        <v>6.9</v>
      </c>
      <c r="Q90" s="1">
        <v>2</v>
      </c>
      <c r="R90" s="1">
        <v>709</v>
      </c>
      <c r="S90" s="1">
        <v>1548</v>
      </c>
    </row>
    <row r="91" spans="1:19" x14ac:dyDescent="0.25">
      <c r="A91" s="1">
        <v>275</v>
      </c>
      <c r="B91" s="1">
        <v>692</v>
      </c>
      <c r="C91" s="1">
        <v>1476</v>
      </c>
      <c r="D91" s="1">
        <v>-29.7</v>
      </c>
      <c r="E91" s="1">
        <v>3.7</v>
      </c>
      <c r="F91" s="1">
        <v>1.1000000000000001</v>
      </c>
      <c r="G91" s="1">
        <v>49</v>
      </c>
      <c r="H91" s="1">
        <v>7</v>
      </c>
      <c r="I91" s="1">
        <v>2</v>
      </c>
      <c r="J91" s="1"/>
      <c r="K91" s="1">
        <v>275</v>
      </c>
      <c r="L91" s="1">
        <v>-28.7</v>
      </c>
      <c r="M91" s="1">
        <v>-3.6</v>
      </c>
      <c r="N91" s="1">
        <v>-1</v>
      </c>
      <c r="O91" s="1">
        <v>61.8</v>
      </c>
      <c r="P91" s="1">
        <v>7.7</v>
      </c>
      <c r="Q91" s="1">
        <v>2.2000000000000002</v>
      </c>
      <c r="R91" s="1">
        <v>690</v>
      </c>
      <c r="S91" s="1">
        <v>1467</v>
      </c>
    </row>
    <row r="92" spans="1:19" x14ac:dyDescent="0.25">
      <c r="A92" s="1">
        <v>300</v>
      </c>
      <c r="B92" s="1">
        <v>674</v>
      </c>
      <c r="C92" s="1">
        <v>1400</v>
      </c>
      <c r="D92" s="1">
        <v>-38.700000000000003</v>
      </c>
      <c r="E92" s="1">
        <v>4.4000000000000004</v>
      </c>
      <c r="F92" s="1">
        <v>1.3</v>
      </c>
      <c r="G92" s="1">
        <v>59</v>
      </c>
      <c r="H92" s="1">
        <v>7</v>
      </c>
      <c r="I92" s="1">
        <v>2</v>
      </c>
      <c r="J92" s="1"/>
      <c r="K92" s="1">
        <v>300</v>
      </c>
      <c r="L92" s="1">
        <v>-37.5</v>
      </c>
      <c r="M92" s="1">
        <v>-4.3</v>
      </c>
      <c r="N92" s="1">
        <v>-1.3</v>
      </c>
      <c r="O92" s="1">
        <v>74.599999999999994</v>
      </c>
      <c r="P92" s="1">
        <v>8.5</v>
      </c>
      <c r="Q92" s="1">
        <v>2.5</v>
      </c>
      <c r="R92" s="1">
        <v>673</v>
      </c>
      <c r="S92" s="1">
        <v>1392</v>
      </c>
    </row>
    <row r="93" spans="1:19" x14ac:dyDescent="0.25">
      <c r="A93" s="1">
        <v>325</v>
      </c>
      <c r="B93" s="1">
        <v>657</v>
      </c>
      <c r="C93" s="1">
        <v>1328</v>
      </c>
      <c r="D93" s="1">
        <v>-49.1</v>
      </c>
      <c r="E93" s="1">
        <v>5.2</v>
      </c>
      <c r="F93" s="1">
        <v>1.5</v>
      </c>
      <c r="G93" s="1">
        <v>70</v>
      </c>
      <c r="H93" s="1">
        <v>8</v>
      </c>
      <c r="I93" s="1">
        <v>2</v>
      </c>
      <c r="J93" s="1"/>
      <c r="K93" s="1">
        <v>325</v>
      </c>
      <c r="L93" s="1">
        <v>-47.6</v>
      </c>
      <c r="M93" s="1">
        <v>-5</v>
      </c>
      <c r="N93" s="1">
        <v>-1.5</v>
      </c>
      <c r="O93" s="1">
        <v>88.6</v>
      </c>
      <c r="P93" s="1">
        <v>9.4</v>
      </c>
      <c r="Q93" s="1">
        <v>2.7</v>
      </c>
      <c r="R93" s="1">
        <v>655</v>
      </c>
      <c r="S93" s="1">
        <v>1321</v>
      </c>
    </row>
    <row r="94" spans="1:19" x14ac:dyDescent="0.25">
      <c r="A94" s="1">
        <v>350</v>
      </c>
      <c r="B94" s="1">
        <v>639</v>
      </c>
      <c r="C94" s="1">
        <v>1258</v>
      </c>
      <c r="D94" s="1">
        <v>-61.5</v>
      </c>
      <c r="E94" s="1">
        <v>6</v>
      </c>
      <c r="F94" s="1">
        <v>1.8</v>
      </c>
      <c r="G94" s="1">
        <v>83</v>
      </c>
      <c r="H94" s="1">
        <v>9</v>
      </c>
      <c r="I94" s="1">
        <v>3</v>
      </c>
      <c r="J94" s="1"/>
      <c r="K94" s="1">
        <v>350</v>
      </c>
      <c r="L94" s="1">
        <v>-59.5</v>
      </c>
      <c r="M94" s="1">
        <v>-5.8</v>
      </c>
      <c r="N94" s="1">
        <v>-1.7</v>
      </c>
      <c r="O94" s="1">
        <v>104.5</v>
      </c>
      <c r="P94" s="1">
        <v>10.3</v>
      </c>
      <c r="Q94" s="1">
        <v>3</v>
      </c>
      <c r="R94" s="1">
        <v>637</v>
      </c>
      <c r="S94" s="1">
        <v>1250</v>
      </c>
    </row>
    <row r="95" spans="1:19" x14ac:dyDescent="0.25">
      <c r="A95" s="1">
        <v>375</v>
      </c>
      <c r="B95" s="1">
        <v>622</v>
      </c>
      <c r="C95" s="1">
        <v>1192</v>
      </c>
      <c r="D95" s="1">
        <v>-75</v>
      </c>
      <c r="E95" s="1">
        <v>6.9</v>
      </c>
      <c r="F95" s="1">
        <v>2</v>
      </c>
      <c r="G95" s="1">
        <v>96</v>
      </c>
      <c r="H95" s="1">
        <v>10</v>
      </c>
      <c r="I95" s="1">
        <v>3</v>
      </c>
      <c r="J95" s="1"/>
      <c r="K95" s="1">
        <v>375</v>
      </c>
      <c r="L95" s="1">
        <v>-72.3</v>
      </c>
      <c r="M95" s="1">
        <v>-6.6</v>
      </c>
      <c r="N95" s="1">
        <v>-1.9</v>
      </c>
      <c r="O95" s="1">
        <v>120.9</v>
      </c>
      <c r="P95" s="1">
        <v>11.1</v>
      </c>
      <c r="Q95" s="1">
        <v>3.2</v>
      </c>
      <c r="R95" s="1">
        <v>620</v>
      </c>
      <c r="S95" s="1">
        <v>1184</v>
      </c>
    </row>
    <row r="96" spans="1:19" x14ac:dyDescent="0.25">
      <c r="A96" s="1">
        <v>400</v>
      </c>
      <c r="B96" s="1">
        <v>605</v>
      </c>
      <c r="C96" s="1">
        <v>1128</v>
      </c>
      <c r="D96" s="1">
        <v>-90.2</v>
      </c>
      <c r="E96" s="1">
        <v>7.8</v>
      </c>
      <c r="F96" s="1">
        <v>2.2999999999999998</v>
      </c>
      <c r="G96" s="1">
        <v>111</v>
      </c>
      <c r="H96" s="1">
        <v>10</v>
      </c>
      <c r="I96" s="1">
        <v>3</v>
      </c>
      <c r="J96" s="1"/>
      <c r="K96" s="1">
        <v>400</v>
      </c>
      <c r="L96" s="1">
        <v>-86.9</v>
      </c>
      <c r="M96" s="1">
        <v>-7.5</v>
      </c>
      <c r="N96" s="1">
        <v>-2.2000000000000002</v>
      </c>
      <c r="O96" s="1">
        <v>139.30000000000001</v>
      </c>
      <c r="P96" s="1">
        <v>12</v>
      </c>
      <c r="Q96" s="1">
        <v>3.5</v>
      </c>
      <c r="R96" s="1">
        <v>603</v>
      </c>
      <c r="S96" s="1">
        <v>1120</v>
      </c>
    </row>
    <row r="97" spans="1:19" x14ac:dyDescent="0.25">
      <c r="A97" s="1">
        <v>425</v>
      </c>
      <c r="B97" s="1">
        <v>589</v>
      </c>
      <c r="C97" s="1">
        <v>1067</v>
      </c>
      <c r="D97" s="1">
        <v>-107.9</v>
      </c>
      <c r="E97" s="1">
        <v>8.6999999999999993</v>
      </c>
      <c r="F97" s="1">
        <v>2.5</v>
      </c>
      <c r="G97" s="1">
        <v>127</v>
      </c>
      <c r="H97" s="1">
        <v>11</v>
      </c>
      <c r="I97" s="1">
        <v>3</v>
      </c>
      <c r="J97" s="1"/>
      <c r="K97" s="1">
        <v>425</v>
      </c>
      <c r="L97" s="1">
        <v>-103.3</v>
      </c>
      <c r="M97" s="1">
        <v>-8.4</v>
      </c>
      <c r="N97" s="1">
        <v>-2.4</v>
      </c>
      <c r="O97" s="1">
        <v>158.9</v>
      </c>
      <c r="P97" s="1">
        <v>12.8</v>
      </c>
      <c r="Q97" s="1">
        <v>3.7</v>
      </c>
      <c r="R97" s="1">
        <v>586</v>
      </c>
      <c r="S97" s="1">
        <v>1056</v>
      </c>
    </row>
    <row r="98" spans="1:19" x14ac:dyDescent="0.25">
      <c r="A98" s="1">
        <v>450</v>
      </c>
      <c r="B98" s="1">
        <v>572</v>
      </c>
      <c r="C98" s="1">
        <v>1009</v>
      </c>
      <c r="D98" s="1">
        <v>-126.8</v>
      </c>
      <c r="E98" s="1">
        <v>9.6999999999999993</v>
      </c>
      <c r="F98" s="1">
        <v>2.8</v>
      </c>
      <c r="G98" s="1">
        <v>144</v>
      </c>
      <c r="H98" s="1">
        <v>12</v>
      </c>
      <c r="I98" s="1">
        <v>4</v>
      </c>
      <c r="J98" s="1"/>
      <c r="K98" s="1">
        <v>450</v>
      </c>
      <c r="L98" s="1">
        <v>-121.1</v>
      </c>
      <c r="M98" s="1">
        <v>-9.3000000000000007</v>
      </c>
      <c r="N98" s="1">
        <v>-2.7</v>
      </c>
      <c r="O98" s="1">
        <v>180.1</v>
      </c>
      <c r="P98" s="1">
        <v>13.8</v>
      </c>
      <c r="Q98" s="1">
        <v>4</v>
      </c>
      <c r="R98" s="1">
        <v>570</v>
      </c>
      <c r="S98" s="1">
        <v>999</v>
      </c>
    </row>
    <row r="99" spans="1:19" x14ac:dyDescent="0.25">
      <c r="A99" s="1">
        <v>475</v>
      </c>
      <c r="B99" s="1">
        <v>557</v>
      </c>
      <c r="C99" s="1">
        <v>953</v>
      </c>
      <c r="D99" s="1">
        <v>-147.80000000000001</v>
      </c>
      <c r="E99" s="1">
        <v>10.7</v>
      </c>
      <c r="F99" s="1">
        <v>3.1</v>
      </c>
      <c r="G99" s="1">
        <v>162</v>
      </c>
      <c r="H99" s="1">
        <v>13</v>
      </c>
      <c r="I99" s="1">
        <v>4</v>
      </c>
      <c r="J99" s="1"/>
      <c r="K99" s="1">
        <v>475</v>
      </c>
      <c r="L99" s="1">
        <v>-141.1</v>
      </c>
      <c r="M99" s="1">
        <v>-10.199999999999999</v>
      </c>
      <c r="N99" s="1">
        <v>-3</v>
      </c>
      <c r="O99" s="1">
        <v>203.6</v>
      </c>
      <c r="P99" s="1">
        <v>14.7</v>
      </c>
      <c r="Q99" s="1">
        <v>4.3</v>
      </c>
      <c r="R99" s="1">
        <v>554</v>
      </c>
      <c r="S99" s="1">
        <v>944</v>
      </c>
    </row>
    <row r="100" spans="1:19" x14ac:dyDescent="0.25">
      <c r="A100" s="1">
        <v>500</v>
      </c>
      <c r="B100" s="1">
        <v>542</v>
      </c>
      <c r="C100" s="1">
        <v>903</v>
      </c>
      <c r="D100" s="1">
        <v>-170.8</v>
      </c>
      <c r="E100" s="1">
        <v>11.8</v>
      </c>
      <c r="F100" s="1">
        <v>3.4</v>
      </c>
      <c r="G100" s="1">
        <v>182</v>
      </c>
      <c r="H100" s="1">
        <v>14</v>
      </c>
      <c r="I100" s="1">
        <v>4</v>
      </c>
      <c r="J100" s="1"/>
      <c r="K100" s="1">
        <v>500</v>
      </c>
      <c r="L100" s="1">
        <v>-163.9</v>
      </c>
      <c r="M100" s="1">
        <v>-11.3</v>
      </c>
      <c r="N100" s="1">
        <v>-3.3</v>
      </c>
      <c r="O100" s="1">
        <v>230.1</v>
      </c>
      <c r="P100" s="1">
        <v>15.8</v>
      </c>
      <c r="Q100" s="1">
        <v>4.5999999999999996</v>
      </c>
      <c r="R100" s="1">
        <v>538</v>
      </c>
      <c r="S100" s="1">
        <v>889</v>
      </c>
    </row>
    <row r="102" spans="1:19" x14ac:dyDescent="0.25">
      <c r="A102" t="s">
        <v>7</v>
      </c>
      <c r="K102" t="s">
        <v>47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  <c r="K103" t="s">
        <v>38</v>
      </c>
      <c r="L103" t="s">
        <v>39</v>
      </c>
      <c r="M103" t="s">
        <v>40</v>
      </c>
      <c r="N103" t="s">
        <v>41</v>
      </c>
      <c r="O103" t="s">
        <v>42</v>
      </c>
      <c r="P103" t="s">
        <v>35</v>
      </c>
      <c r="Q103" t="s">
        <v>43</v>
      </c>
      <c r="R103" t="s">
        <v>44</v>
      </c>
      <c r="S103" t="s">
        <v>45</v>
      </c>
    </row>
    <row r="104" spans="1:19" x14ac:dyDescent="0.25">
      <c r="A104" s="1">
        <v>0</v>
      </c>
      <c r="B104" s="1">
        <v>908</v>
      </c>
      <c r="C104" s="1">
        <v>2539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-3.8</v>
      </c>
      <c r="M104" s="1" t="s">
        <v>46</v>
      </c>
      <c r="N104" s="1" t="s">
        <v>46</v>
      </c>
      <c r="O104" s="1">
        <v>0</v>
      </c>
      <c r="P104" s="1" t="s">
        <v>46</v>
      </c>
      <c r="Q104" s="1" t="s">
        <v>46</v>
      </c>
      <c r="R104" s="1">
        <v>908</v>
      </c>
      <c r="S104" s="1">
        <v>2538</v>
      </c>
    </row>
    <row r="105" spans="1:19" x14ac:dyDescent="0.25">
      <c r="A105" s="1">
        <v>25</v>
      </c>
      <c r="B105" s="1">
        <v>887</v>
      </c>
      <c r="C105" s="1">
        <v>2422</v>
      </c>
      <c r="D105" s="1">
        <v>-1.7</v>
      </c>
      <c r="E105" s="1">
        <v>2.2999999999999998</v>
      </c>
      <c r="F105" s="1">
        <v>0.7</v>
      </c>
      <c r="G105">
        <v>1</v>
      </c>
      <c r="H105">
        <v>1</v>
      </c>
      <c r="I105">
        <v>0</v>
      </c>
      <c r="K105" s="1">
        <v>25</v>
      </c>
      <c r="L105" s="1">
        <v>-1.7</v>
      </c>
      <c r="M105" s="1">
        <v>-2.2999999999999998</v>
      </c>
      <c r="N105" s="1">
        <v>-0.7</v>
      </c>
      <c r="O105" s="1">
        <v>0.2</v>
      </c>
      <c r="P105" s="1">
        <v>0.3</v>
      </c>
      <c r="Q105" s="1">
        <v>0.1</v>
      </c>
      <c r="R105" s="1">
        <v>887</v>
      </c>
      <c r="S105" s="1">
        <v>2421</v>
      </c>
    </row>
    <row r="106" spans="1:19" x14ac:dyDescent="0.25">
      <c r="A106" s="1">
        <v>50</v>
      </c>
      <c r="B106" s="1">
        <v>866</v>
      </c>
      <c r="C106" s="1">
        <v>2310</v>
      </c>
      <c r="D106" s="1">
        <v>-0.2</v>
      </c>
      <c r="E106" s="1">
        <v>0.2</v>
      </c>
      <c r="F106" s="1">
        <v>0</v>
      </c>
      <c r="G106">
        <v>2</v>
      </c>
      <c r="H106">
        <v>1</v>
      </c>
      <c r="I106">
        <v>0</v>
      </c>
      <c r="K106" s="1">
        <v>50</v>
      </c>
      <c r="L106" s="1">
        <v>-0.3</v>
      </c>
      <c r="M106" s="1">
        <v>-0.2</v>
      </c>
      <c r="N106" s="1">
        <v>0</v>
      </c>
      <c r="O106" s="1">
        <v>1.7</v>
      </c>
      <c r="P106" s="1">
        <v>1.1000000000000001</v>
      </c>
      <c r="Q106" s="1">
        <v>0.3</v>
      </c>
      <c r="R106" s="1">
        <v>866</v>
      </c>
      <c r="S106" s="1">
        <v>2306</v>
      </c>
    </row>
    <row r="107" spans="1:19" x14ac:dyDescent="0.25">
      <c r="A107" s="1">
        <v>75</v>
      </c>
      <c r="B107" s="1">
        <v>846</v>
      </c>
      <c r="C107" s="1">
        <v>2202</v>
      </c>
      <c r="D107" s="1">
        <v>0.3</v>
      </c>
      <c r="E107" s="1">
        <v>-0.1</v>
      </c>
      <c r="F107" s="1">
        <v>0</v>
      </c>
      <c r="G107">
        <v>4</v>
      </c>
      <c r="H107">
        <v>2</v>
      </c>
      <c r="I107">
        <v>0</v>
      </c>
      <c r="K107" s="1">
        <v>75</v>
      </c>
      <c r="L107" s="1">
        <v>0.3</v>
      </c>
      <c r="M107" s="1">
        <v>0.1</v>
      </c>
      <c r="N107" s="1">
        <v>0</v>
      </c>
      <c r="O107" s="1">
        <v>4.0999999999999996</v>
      </c>
      <c r="P107" s="1">
        <v>1.9</v>
      </c>
      <c r="Q107" s="1">
        <v>0.5</v>
      </c>
      <c r="R107" s="1">
        <v>845</v>
      </c>
      <c r="S107" s="1">
        <v>2199</v>
      </c>
    </row>
    <row r="108" spans="1:19" x14ac:dyDescent="0.25">
      <c r="A108" s="10">
        <v>100</v>
      </c>
      <c r="B108" s="10">
        <v>826</v>
      </c>
      <c r="C108" s="10">
        <v>2098</v>
      </c>
      <c r="D108" s="10">
        <v>0</v>
      </c>
      <c r="E108" s="10">
        <v>0</v>
      </c>
      <c r="F108" s="10">
        <v>0</v>
      </c>
      <c r="G108">
        <v>6</v>
      </c>
      <c r="H108">
        <v>2</v>
      </c>
      <c r="I108">
        <v>1</v>
      </c>
      <c r="K108" s="1">
        <v>100</v>
      </c>
      <c r="L108" s="1">
        <v>0</v>
      </c>
      <c r="M108" s="1">
        <v>0</v>
      </c>
      <c r="N108" s="1">
        <v>0</v>
      </c>
      <c r="O108" s="1">
        <v>7.5</v>
      </c>
      <c r="P108" s="1">
        <v>2.6</v>
      </c>
      <c r="Q108" s="1">
        <v>0.8</v>
      </c>
      <c r="R108" s="1">
        <v>825</v>
      </c>
      <c r="S108" s="1">
        <v>2096</v>
      </c>
    </row>
    <row r="109" spans="1:19" x14ac:dyDescent="0.25">
      <c r="A109" s="1">
        <v>125</v>
      </c>
      <c r="B109" s="1">
        <v>806</v>
      </c>
      <c r="C109" s="1">
        <v>1999</v>
      </c>
      <c r="D109" s="1">
        <v>-1.2</v>
      </c>
      <c r="E109" s="1">
        <v>0.3</v>
      </c>
      <c r="F109" s="1">
        <v>0.1</v>
      </c>
      <c r="G109">
        <v>10</v>
      </c>
      <c r="H109">
        <v>3</v>
      </c>
      <c r="I109">
        <v>1</v>
      </c>
      <c r="K109" s="1">
        <v>125</v>
      </c>
      <c r="L109" s="1">
        <v>-1.2</v>
      </c>
      <c r="M109" s="1">
        <v>-0.3</v>
      </c>
      <c r="N109" s="1">
        <v>-0.1</v>
      </c>
      <c r="O109" s="1">
        <v>12.1</v>
      </c>
      <c r="P109" s="1">
        <v>3.3</v>
      </c>
      <c r="Q109" s="1">
        <v>1</v>
      </c>
      <c r="R109" s="1">
        <v>805</v>
      </c>
      <c r="S109" s="1">
        <v>1993</v>
      </c>
    </row>
    <row r="110" spans="1:19" x14ac:dyDescent="0.25">
      <c r="A110" s="1">
        <v>150</v>
      </c>
      <c r="B110" s="1">
        <v>786</v>
      </c>
      <c r="C110" s="1">
        <v>1903</v>
      </c>
      <c r="D110" s="1">
        <v>-3.4</v>
      </c>
      <c r="E110" s="1">
        <v>0.8</v>
      </c>
      <c r="F110" s="1">
        <v>0.2</v>
      </c>
      <c r="G110">
        <v>14</v>
      </c>
      <c r="H110">
        <v>4</v>
      </c>
      <c r="I110">
        <v>1</v>
      </c>
      <c r="K110" s="1">
        <v>150</v>
      </c>
      <c r="L110" s="1">
        <v>-3.4</v>
      </c>
      <c r="M110" s="1">
        <v>-0.8</v>
      </c>
      <c r="N110" s="1">
        <v>-0.2</v>
      </c>
      <c r="O110" s="1">
        <v>17.399999999999999</v>
      </c>
      <c r="P110" s="1">
        <v>4</v>
      </c>
      <c r="Q110" s="1">
        <v>1.2</v>
      </c>
      <c r="R110" s="1">
        <v>785</v>
      </c>
      <c r="S110" s="1">
        <v>1898</v>
      </c>
    </row>
    <row r="111" spans="1:19" x14ac:dyDescent="0.25">
      <c r="A111" s="1">
        <v>175</v>
      </c>
      <c r="B111" s="1">
        <v>767</v>
      </c>
      <c r="C111" s="1">
        <v>1810</v>
      </c>
      <c r="D111" s="1">
        <v>-6.6</v>
      </c>
      <c r="E111" s="1">
        <v>1.3</v>
      </c>
      <c r="F111" s="1">
        <v>0.4</v>
      </c>
      <c r="G111">
        <v>19</v>
      </c>
      <c r="H111">
        <v>4</v>
      </c>
      <c r="I111">
        <v>1</v>
      </c>
      <c r="K111" s="1">
        <v>175</v>
      </c>
      <c r="L111" s="1">
        <v>-6.4</v>
      </c>
      <c r="M111" s="1">
        <v>-1.3</v>
      </c>
      <c r="N111" s="1">
        <v>-0.4</v>
      </c>
      <c r="O111" s="1">
        <v>23.7</v>
      </c>
      <c r="P111" s="1">
        <v>4.7</v>
      </c>
      <c r="Q111" s="1">
        <v>1.4</v>
      </c>
      <c r="R111" s="1">
        <v>766</v>
      </c>
      <c r="S111" s="1">
        <v>1806</v>
      </c>
    </row>
    <row r="112" spans="1:19" x14ac:dyDescent="0.25">
      <c r="A112" s="1">
        <v>200</v>
      </c>
      <c r="B112" s="1">
        <v>748</v>
      </c>
      <c r="C112" s="1">
        <v>1722</v>
      </c>
      <c r="D112" s="1">
        <v>-11</v>
      </c>
      <c r="E112" s="1">
        <v>1.9</v>
      </c>
      <c r="F112" s="1">
        <v>0.5</v>
      </c>
      <c r="G112">
        <v>25</v>
      </c>
      <c r="H112">
        <v>5</v>
      </c>
      <c r="I112">
        <v>1</v>
      </c>
      <c r="K112" s="1">
        <v>200</v>
      </c>
      <c r="L112" s="1">
        <v>-10.7</v>
      </c>
      <c r="M112" s="1">
        <v>-1.8</v>
      </c>
      <c r="N112" s="1">
        <v>-0.5</v>
      </c>
      <c r="O112" s="1">
        <v>31.4</v>
      </c>
      <c r="P112" s="1">
        <v>5.4</v>
      </c>
      <c r="Q112" s="1">
        <v>1.6</v>
      </c>
      <c r="R112" s="1">
        <v>746</v>
      </c>
      <c r="S112" s="1">
        <v>1715</v>
      </c>
    </row>
    <row r="113" spans="1:19" x14ac:dyDescent="0.25">
      <c r="A113" s="1">
        <v>225</v>
      </c>
      <c r="B113" s="1">
        <v>729</v>
      </c>
      <c r="C113" s="1">
        <v>1637</v>
      </c>
      <c r="D113" s="1">
        <v>-16.3</v>
      </c>
      <c r="E113" s="1">
        <v>2.5</v>
      </c>
      <c r="F113" s="1">
        <v>0.7</v>
      </c>
      <c r="G113">
        <v>32</v>
      </c>
      <c r="H113">
        <v>5</v>
      </c>
      <c r="I113">
        <v>2</v>
      </c>
      <c r="K113" s="1">
        <v>225</v>
      </c>
      <c r="L113" s="1">
        <v>-15.9</v>
      </c>
      <c r="M113" s="1">
        <v>-2.4</v>
      </c>
      <c r="N113" s="1">
        <v>-0.7</v>
      </c>
      <c r="O113" s="1">
        <v>39.9</v>
      </c>
      <c r="P113" s="1">
        <v>6.1</v>
      </c>
      <c r="Q113" s="1">
        <v>1.8</v>
      </c>
      <c r="R113" s="1">
        <v>728</v>
      </c>
      <c r="S113" s="1">
        <v>1630</v>
      </c>
    </row>
    <row r="114" spans="1:19" x14ac:dyDescent="0.25">
      <c r="A114" s="1">
        <v>250</v>
      </c>
      <c r="B114" s="1">
        <v>711</v>
      </c>
      <c r="C114" s="1">
        <v>1555</v>
      </c>
      <c r="D114" s="1">
        <v>-22.9</v>
      </c>
      <c r="E114" s="1">
        <v>3.2</v>
      </c>
      <c r="F114" s="1">
        <v>0.9</v>
      </c>
      <c r="G114">
        <v>40</v>
      </c>
      <c r="H114">
        <v>6</v>
      </c>
      <c r="I114">
        <v>2</v>
      </c>
      <c r="K114" s="1">
        <v>250</v>
      </c>
      <c r="L114" s="1">
        <v>-22.2</v>
      </c>
      <c r="M114" s="1">
        <v>-3.1</v>
      </c>
      <c r="N114" s="1">
        <v>-0.9</v>
      </c>
      <c r="O114" s="1">
        <v>49.9</v>
      </c>
      <c r="P114" s="1">
        <v>6.9</v>
      </c>
      <c r="Q114" s="1">
        <v>2</v>
      </c>
      <c r="R114" s="1">
        <v>709</v>
      </c>
      <c r="S114" s="1">
        <v>1548</v>
      </c>
    </row>
    <row r="115" spans="1:19" x14ac:dyDescent="0.25">
      <c r="A115" s="1">
        <v>275</v>
      </c>
      <c r="B115" s="1">
        <v>692</v>
      </c>
      <c r="C115" s="1">
        <v>1476</v>
      </c>
      <c r="D115" s="1">
        <v>-31</v>
      </c>
      <c r="E115" s="1">
        <v>3.9</v>
      </c>
      <c r="F115" s="1">
        <v>1.1000000000000001</v>
      </c>
      <c r="G115">
        <v>49</v>
      </c>
      <c r="H115">
        <v>7</v>
      </c>
      <c r="I115">
        <v>2</v>
      </c>
      <c r="K115" s="1">
        <v>275</v>
      </c>
      <c r="L115" s="1">
        <v>-30.1</v>
      </c>
      <c r="M115" s="1">
        <v>-3.8</v>
      </c>
      <c r="N115" s="1">
        <v>-1.1000000000000001</v>
      </c>
      <c r="O115" s="1">
        <v>61.8</v>
      </c>
      <c r="P115" s="1">
        <v>7.7</v>
      </c>
      <c r="Q115" s="1">
        <v>2.2000000000000002</v>
      </c>
      <c r="R115" s="1">
        <v>690</v>
      </c>
      <c r="S115" s="1">
        <v>1467</v>
      </c>
    </row>
    <row r="116" spans="1:19" x14ac:dyDescent="0.25">
      <c r="A116" s="1">
        <v>300</v>
      </c>
      <c r="B116" s="1">
        <v>674</v>
      </c>
      <c r="C116" s="1">
        <v>1400</v>
      </c>
      <c r="D116" s="1">
        <v>-40.1</v>
      </c>
      <c r="E116" s="1">
        <v>4.5999999999999996</v>
      </c>
      <c r="F116" s="1">
        <v>1.3</v>
      </c>
      <c r="G116">
        <v>59</v>
      </c>
      <c r="H116">
        <v>7</v>
      </c>
      <c r="I116">
        <v>2</v>
      </c>
      <c r="K116" s="1">
        <v>300</v>
      </c>
      <c r="L116" s="1">
        <v>-39</v>
      </c>
      <c r="M116" s="1">
        <v>-4.5</v>
      </c>
      <c r="N116" s="1">
        <v>-1.3</v>
      </c>
      <c r="O116" s="1">
        <v>74.599999999999994</v>
      </c>
      <c r="P116" s="1">
        <v>8.5</v>
      </c>
      <c r="Q116" s="1">
        <v>2.5</v>
      </c>
      <c r="R116" s="1">
        <v>673</v>
      </c>
      <c r="S116" s="1">
        <v>1392</v>
      </c>
    </row>
    <row r="117" spans="1:19" x14ac:dyDescent="0.25">
      <c r="A117" s="1">
        <v>325</v>
      </c>
      <c r="B117" s="1">
        <v>657</v>
      </c>
      <c r="C117" s="1">
        <v>1328</v>
      </c>
      <c r="D117" s="1">
        <v>-50.7</v>
      </c>
      <c r="E117" s="1">
        <v>5.4</v>
      </c>
      <c r="F117" s="1">
        <v>1.6</v>
      </c>
      <c r="G117">
        <v>70</v>
      </c>
      <c r="H117">
        <v>8</v>
      </c>
      <c r="I117">
        <v>2</v>
      </c>
      <c r="K117" s="1">
        <v>325</v>
      </c>
      <c r="L117" s="1">
        <v>-49.2</v>
      </c>
      <c r="M117" s="1">
        <v>-5.2</v>
      </c>
      <c r="N117" s="1">
        <v>-1.5</v>
      </c>
      <c r="O117" s="1">
        <v>88.6</v>
      </c>
      <c r="P117" s="1">
        <v>9.4</v>
      </c>
      <c r="Q117" s="1">
        <v>2.7</v>
      </c>
      <c r="R117" s="1">
        <v>655</v>
      </c>
      <c r="S117" s="1">
        <v>1321</v>
      </c>
    </row>
    <row r="118" spans="1:19" x14ac:dyDescent="0.25">
      <c r="A118" s="1">
        <v>350</v>
      </c>
      <c r="B118" s="1">
        <v>639</v>
      </c>
      <c r="C118" s="1">
        <v>1258</v>
      </c>
      <c r="D118" s="1">
        <v>-63.2</v>
      </c>
      <c r="E118" s="1">
        <v>6.2</v>
      </c>
      <c r="F118" s="1">
        <v>1.8</v>
      </c>
      <c r="G118">
        <v>83</v>
      </c>
      <c r="H118">
        <v>9</v>
      </c>
      <c r="I118">
        <v>3</v>
      </c>
      <c r="K118" s="1">
        <v>350</v>
      </c>
      <c r="L118" s="1">
        <v>-61.2</v>
      </c>
      <c r="M118" s="1">
        <v>-6</v>
      </c>
      <c r="N118" s="1">
        <v>-1.7</v>
      </c>
      <c r="O118" s="1">
        <v>104.5</v>
      </c>
      <c r="P118" s="1">
        <v>10.3</v>
      </c>
      <c r="Q118" s="1">
        <v>3</v>
      </c>
      <c r="R118" s="1">
        <v>637</v>
      </c>
      <c r="S118" s="1">
        <v>1250</v>
      </c>
    </row>
    <row r="119" spans="1:19" x14ac:dyDescent="0.25">
      <c r="A119" s="1">
        <v>375</v>
      </c>
      <c r="B119" s="1">
        <v>622</v>
      </c>
      <c r="C119" s="1">
        <v>1192</v>
      </c>
      <c r="D119" s="1">
        <v>-76.8</v>
      </c>
      <c r="E119" s="1">
        <v>7</v>
      </c>
      <c r="F119" s="1">
        <v>2</v>
      </c>
      <c r="G119">
        <v>96</v>
      </c>
      <c r="H119">
        <v>10</v>
      </c>
      <c r="I119">
        <v>3</v>
      </c>
      <c r="K119" s="1">
        <v>375</v>
      </c>
      <c r="L119" s="1">
        <v>-74.2</v>
      </c>
      <c r="M119" s="1">
        <v>-6.8</v>
      </c>
      <c r="N119" s="1">
        <v>-2</v>
      </c>
      <c r="O119" s="1">
        <v>120.9</v>
      </c>
      <c r="P119" s="1">
        <v>11.1</v>
      </c>
      <c r="Q119" s="1">
        <v>3.2</v>
      </c>
      <c r="R119" s="1">
        <v>620</v>
      </c>
      <c r="S119" s="1">
        <v>1184</v>
      </c>
    </row>
    <row r="120" spans="1:19" x14ac:dyDescent="0.25">
      <c r="A120" s="1">
        <v>400</v>
      </c>
      <c r="B120" s="1">
        <v>605</v>
      </c>
      <c r="C120" s="1">
        <v>1128</v>
      </c>
      <c r="D120" s="1">
        <v>-92.2</v>
      </c>
      <c r="E120" s="1">
        <v>7.9</v>
      </c>
      <c r="F120" s="1">
        <v>2.2999999999999998</v>
      </c>
      <c r="G120">
        <v>111</v>
      </c>
      <c r="H120">
        <v>10</v>
      </c>
      <c r="I120">
        <v>3</v>
      </c>
      <c r="K120" s="1">
        <v>400</v>
      </c>
      <c r="L120" s="1">
        <v>-88.9</v>
      </c>
      <c r="M120" s="1">
        <v>-7.6</v>
      </c>
      <c r="N120" s="1">
        <v>-2.2000000000000002</v>
      </c>
      <c r="O120" s="1">
        <v>139.30000000000001</v>
      </c>
      <c r="P120" s="1">
        <v>12</v>
      </c>
      <c r="Q120" s="1">
        <v>3.5</v>
      </c>
      <c r="R120" s="1">
        <v>603</v>
      </c>
      <c r="S120" s="1">
        <v>1120</v>
      </c>
    </row>
    <row r="121" spans="1:19" x14ac:dyDescent="0.25">
      <c r="A121" s="1">
        <v>425</v>
      </c>
      <c r="B121" s="1">
        <v>589</v>
      </c>
      <c r="C121" s="1">
        <v>1067</v>
      </c>
      <c r="D121" s="1">
        <v>-109.9</v>
      </c>
      <c r="E121" s="1">
        <v>8.9</v>
      </c>
      <c r="F121" s="1">
        <v>2.6</v>
      </c>
      <c r="G121">
        <v>127</v>
      </c>
      <c r="H121">
        <v>11</v>
      </c>
      <c r="I121">
        <v>3</v>
      </c>
      <c r="K121" s="1">
        <v>425</v>
      </c>
      <c r="L121" s="1">
        <v>-105.4</v>
      </c>
      <c r="M121" s="1">
        <v>-8.5</v>
      </c>
      <c r="N121" s="1">
        <v>-2.5</v>
      </c>
      <c r="O121" s="1">
        <v>158.9</v>
      </c>
      <c r="P121" s="1">
        <v>12.8</v>
      </c>
      <c r="Q121" s="1">
        <v>3.7</v>
      </c>
      <c r="R121" s="1">
        <v>586</v>
      </c>
      <c r="S121" s="1">
        <v>1056</v>
      </c>
    </row>
    <row r="122" spans="1:19" x14ac:dyDescent="0.25">
      <c r="A122" s="1">
        <v>450</v>
      </c>
      <c r="B122" s="1">
        <v>572</v>
      </c>
      <c r="C122" s="1">
        <v>1009</v>
      </c>
      <c r="D122" s="1">
        <v>-129</v>
      </c>
      <c r="E122" s="1">
        <v>9.9</v>
      </c>
      <c r="F122" s="1">
        <v>2.9</v>
      </c>
      <c r="G122">
        <v>144</v>
      </c>
      <c r="H122">
        <v>12</v>
      </c>
      <c r="I122">
        <v>4</v>
      </c>
      <c r="K122" s="1">
        <v>450</v>
      </c>
      <c r="L122" s="1">
        <v>-123.4</v>
      </c>
      <c r="M122" s="1">
        <v>-9.4</v>
      </c>
      <c r="N122" s="1">
        <v>-2.7</v>
      </c>
      <c r="O122" s="1">
        <v>180.1</v>
      </c>
      <c r="P122" s="1">
        <v>13.8</v>
      </c>
      <c r="Q122" s="1">
        <v>4</v>
      </c>
      <c r="R122" s="1">
        <v>570</v>
      </c>
      <c r="S122" s="1">
        <v>999</v>
      </c>
    </row>
    <row r="123" spans="1:19" x14ac:dyDescent="0.25">
      <c r="A123" s="1">
        <v>475</v>
      </c>
      <c r="B123" s="1">
        <v>557</v>
      </c>
      <c r="C123" s="1">
        <v>953</v>
      </c>
      <c r="D123" s="1">
        <v>-150.1</v>
      </c>
      <c r="E123" s="1">
        <v>10.9</v>
      </c>
      <c r="F123" s="1">
        <v>3.2</v>
      </c>
      <c r="G123">
        <v>162</v>
      </c>
      <c r="H123">
        <v>13</v>
      </c>
      <c r="I123">
        <v>4</v>
      </c>
      <c r="K123" s="1">
        <v>475</v>
      </c>
      <c r="L123" s="1">
        <v>-143.4</v>
      </c>
      <c r="M123" s="1">
        <v>-10.4</v>
      </c>
      <c r="N123" s="1">
        <v>-3</v>
      </c>
      <c r="O123" s="1">
        <v>203.6</v>
      </c>
      <c r="P123" s="1">
        <v>14.7</v>
      </c>
      <c r="Q123" s="1">
        <v>4.3</v>
      </c>
      <c r="R123" s="1">
        <v>554</v>
      </c>
      <c r="S123" s="1">
        <v>944</v>
      </c>
    </row>
    <row r="124" spans="1:19" x14ac:dyDescent="0.25">
      <c r="A124" s="1">
        <v>500</v>
      </c>
      <c r="B124" s="1">
        <v>542</v>
      </c>
      <c r="C124" s="1">
        <v>903</v>
      </c>
      <c r="D124" s="1">
        <v>-173.3</v>
      </c>
      <c r="E124" s="1">
        <v>11.9</v>
      </c>
      <c r="F124" s="1">
        <v>3.5</v>
      </c>
      <c r="G124">
        <v>182</v>
      </c>
      <c r="H124">
        <v>14</v>
      </c>
      <c r="I124">
        <v>4</v>
      </c>
      <c r="K124" s="1">
        <v>500</v>
      </c>
      <c r="L124" s="1">
        <v>-166.4</v>
      </c>
      <c r="M124" s="1">
        <v>-11.4</v>
      </c>
      <c r="N124" s="1">
        <v>-3.3</v>
      </c>
      <c r="O124" s="1">
        <v>230.1</v>
      </c>
      <c r="P124" s="1">
        <v>15.8</v>
      </c>
      <c r="Q124" s="1">
        <v>4.5999999999999996</v>
      </c>
      <c r="R124" s="1">
        <v>538</v>
      </c>
      <c r="S124" s="1">
        <v>889</v>
      </c>
    </row>
    <row r="126" spans="1:19" x14ac:dyDescent="0.25">
      <c r="A126" t="s">
        <v>8</v>
      </c>
      <c r="K126" t="s">
        <v>48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  <c r="K127" t="s">
        <v>38</v>
      </c>
      <c r="L127" t="s">
        <v>39</v>
      </c>
      <c r="M127" t="s">
        <v>40</v>
      </c>
      <c r="N127" t="s">
        <v>41</v>
      </c>
      <c r="O127" t="s">
        <v>42</v>
      </c>
      <c r="P127" t="s">
        <v>35</v>
      </c>
      <c r="Q127" t="s">
        <v>43</v>
      </c>
      <c r="R127" t="s">
        <v>44</v>
      </c>
      <c r="S127" t="s">
        <v>45</v>
      </c>
    </row>
    <row r="128" spans="1:19" x14ac:dyDescent="0.25">
      <c r="A128" s="1">
        <v>0</v>
      </c>
      <c r="B128" s="1">
        <v>908</v>
      </c>
      <c r="C128" s="1">
        <v>2539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-3.8</v>
      </c>
      <c r="M128" s="1" t="s">
        <v>46</v>
      </c>
      <c r="N128" s="1" t="s">
        <v>46</v>
      </c>
      <c r="O128" s="1">
        <v>0</v>
      </c>
      <c r="P128" s="1" t="s">
        <v>46</v>
      </c>
      <c r="Q128" s="1" t="s">
        <v>46</v>
      </c>
      <c r="R128" s="1">
        <v>908</v>
      </c>
      <c r="S128" s="1">
        <v>2538</v>
      </c>
    </row>
    <row r="129" spans="1:19" x14ac:dyDescent="0.25">
      <c r="A129" s="1">
        <v>25</v>
      </c>
      <c r="B129" s="1">
        <v>887</v>
      </c>
      <c r="C129" s="1">
        <v>2422</v>
      </c>
      <c r="D129" s="1">
        <v>-1.1000000000000001</v>
      </c>
      <c r="E129" s="1">
        <v>1.5</v>
      </c>
      <c r="F129" s="1">
        <v>0.4</v>
      </c>
      <c r="G129">
        <v>1</v>
      </c>
      <c r="H129">
        <v>1</v>
      </c>
      <c r="I129">
        <v>0</v>
      </c>
      <c r="K129" s="1">
        <v>25</v>
      </c>
      <c r="L129" s="1">
        <v>-1.1000000000000001</v>
      </c>
      <c r="M129" s="1">
        <v>-1.6</v>
      </c>
      <c r="N129" s="1">
        <v>-0.5</v>
      </c>
      <c r="O129" s="1">
        <v>0.2</v>
      </c>
      <c r="P129" s="1">
        <v>0.3</v>
      </c>
      <c r="Q129" s="1">
        <v>0.1</v>
      </c>
      <c r="R129" s="1">
        <v>887</v>
      </c>
      <c r="S129" s="1">
        <v>2421</v>
      </c>
    </row>
    <row r="130" spans="1:19" x14ac:dyDescent="0.25">
      <c r="A130" s="1">
        <v>50</v>
      </c>
      <c r="B130" s="1">
        <v>866</v>
      </c>
      <c r="C130" s="1">
        <v>2310</v>
      </c>
      <c r="D130" s="1">
        <v>0.9</v>
      </c>
      <c r="E130" s="1">
        <v>-0.6</v>
      </c>
      <c r="F130" s="1">
        <v>-0.2</v>
      </c>
      <c r="G130">
        <v>2</v>
      </c>
      <c r="H130">
        <v>1</v>
      </c>
      <c r="I130">
        <v>0</v>
      </c>
      <c r="K130" s="1">
        <v>50</v>
      </c>
      <c r="L130" s="1">
        <v>0.9</v>
      </c>
      <c r="M130" s="1">
        <v>0.6</v>
      </c>
      <c r="N130" s="1">
        <v>0.2</v>
      </c>
      <c r="O130" s="1">
        <v>1.7</v>
      </c>
      <c r="P130" s="1">
        <v>1.1000000000000001</v>
      </c>
      <c r="Q130" s="1">
        <v>0.3</v>
      </c>
      <c r="R130" s="1">
        <v>866</v>
      </c>
      <c r="S130" s="1">
        <v>2306</v>
      </c>
    </row>
    <row r="131" spans="1:19" x14ac:dyDescent="0.25">
      <c r="A131" s="1">
        <v>75</v>
      </c>
      <c r="B131" s="1">
        <v>846</v>
      </c>
      <c r="C131" s="1">
        <v>2202</v>
      </c>
      <c r="D131" s="1">
        <v>2</v>
      </c>
      <c r="E131" s="1">
        <v>-0.9</v>
      </c>
      <c r="F131" s="1">
        <v>-0.3</v>
      </c>
      <c r="G131">
        <v>4</v>
      </c>
      <c r="H131">
        <v>2</v>
      </c>
      <c r="I131">
        <v>0</v>
      </c>
      <c r="K131" s="1">
        <v>75</v>
      </c>
      <c r="L131" s="1">
        <v>2</v>
      </c>
      <c r="M131" s="1">
        <v>0.9</v>
      </c>
      <c r="N131" s="1">
        <v>0.3</v>
      </c>
      <c r="O131" s="1">
        <v>4.0999999999999996</v>
      </c>
      <c r="P131" s="1">
        <v>1.9</v>
      </c>
      <c r="Q131" s="1">
        <v>0.5</v>
      </c>
      <c r="R131" s="1">
        <v>845</v>
      </c>
      <c r="S131" s="1">
        <v>2199</v>
      </c>
    </row>
    <row r="132" spans="1:19" x14ac:dyDescent="0.25">
      <c r="A132" s="1">
        <v>100</v>
      </c>
      <c r="B132" s="1">
        <v>826</v>
      </c>
      <c r="C132" s="1">
        <v>2098</v>
      </c>
      <c r="D132" s="1">
        <v>2.2999999999999998</v>
      </c>
      <c r="E132" s="1">
        <v>-0.8</v>
      </c>
      <c r="F132" s="1">
        <v>-0.2</v>
      </c>
      <c r="G132">
        <v>6</v>
      </c>
      <c r="H132">
        <v>2</v>
      </c>
      <c r="I132">
        <v>1</v>
      </c>
      <c r="K132" s="1">
        <v>100</v>
      </c>
      <c r="L132" s="1">
        <v>2.2000000000000002</v>
      </c>
      <c r="M132" s="1">
        <v>0.8</v>
      </c>
      <c r="N132" s="1">
        <v>0.2</v>
      </c>
      <c r="O132" s="1">
        <v>7.5</v>
      </c>
      <c r="P132" s="1">
        <v>2.6</v>
      </c>
      <c r="Q132" s="1">
        <v>0.8</v>
      </c>
      <c r="R132" s="1">
        <v>825</v>
      </c>
      <c r="S132" s="1">
        <v>2096</v>
      </c>
    </row>
    <row r="133" spans="1:19" x14ac:dyDescent="0.25">
      <c r="A133" s="1">
        <v>125</v>
      </c>
      <c r="B133" s="1">
        <v>806</v>
      </c>
      <c r="C133" s="1">
        <v>1999</v>
      </c>
      <c r="D133" s="1">
        <v>1.7</v>
      </c>
      <c r="E133" s="1">
        <v>-0.5</v>
      </c>
      <c r="F133" s="1">
        <v>-0.1</v>
      </c>
      <c r="G133">
        <v>10</v>
      </c>
      <c r="H133">
        <v>3</v>
      </c>
      <c r="I133">
        <v>1</v>
      </c>
      <c r="K133" s="1">
        <v>125</v>
      </c>
      <c r="L133" s="1">
        <v>1.6</v>
      </c>
      <c r="M133" s="1">
        <v>0.4</v>
      </c>
      <c r="N133" s="1">
        <v>0.1</v>
      </c>
      <c r="O133" s="1">
        <v>12.1</v>
      </c>
      <c r="P133" s="1">
        <v>3.3</v>
      </c>
      <c r="Q133" s="1">
        <v>1</v>
      </c>
      <c r="R133" s="1">
        <v>805</v>
      </c>
      <c r="S133" s="1">
        <v>1993</v>
      </c>
    </row>
    <row r="134" spans="1:19" x14ac:dyDescent="0.25">
      <c r="A134" s="10">
        <v>150</v>
      </c>
      <c r="B134" s="10">
        <v>786</v>
      </c>
      <c r="C134" s="10">
        <v>1903</v>
      </c>
      <c r="D134" s="10">
        <v>0.1</v>
      </c>
      <c r="E134" s="10">
        <v>0</v>
      </c>
      <c r="F134" s="10">
        <v>0</v>
      </c>
      <c r="G134">
        <v>14</v>
      </c>
      <c r="H134">
        <v>4</v>
      </c>
      <c r="I134">
        <v>1</v>
      </c>
      <c r="K134" s="1">
        <v>150</v>
      </c>
      <c r="L134" s="1">
        <v>0</v>
      </c>
      <c r="M134" s="1">
        <v>0</v>
      </c>
      <c r="N134" s="1">
        <v>0</v>
      </c>
      <c r="O134" s="1">
        <v>17.399999999999999</v>
      </c>
      <c r="P134" s="1">
        <v>4</v>
      </c>
      <c r="Q134" s="1">
        <v>1.2</v>
      </c>
      <c r="R134" s="1">
        <v>785</v>
      </c>
      <c r="S134" s="1">
        <v>1898</v>
      </c>
    </row>
    <row r="135" spans="1:19" x14ac:dyDescent="0.25">
      <c r="A135" s="1">
        <v>175</v>
      </c>
      <c r="B135" s="1">
        <v>767</v>
      </c>
      <c r="C135" s="1">
        <v>1810</v>
      </c>
      <c r="D135" s="1">
        <v>-2.5</v>
      </c>
      <c r="E135" s="1">
        <v>0.5</v>
      </c>
      <c r="F135" s="1">
        <v>0.1</v>
      </c>
      <c r="G135">
        <v>19</v>
      </c>
      <c r="H135">
        <v>4</v>
      </c>
      <c r="I135">
        <v>1</v>
      </c>
      <c r="K135" s="1">
        <v>175</v>
      </c>
      <c r="L135" s="1">
        <v>-2.5</v>
      </c>
      <c r="M135" s="1">
        <v>-0.5</v>
      </c>
      <c r="N135" s="1">
        <v>-0.1</v>
      </c>
      <c r="O135" s="1">
        <v>23.7</v>
      </c>
      <c r="P135" s="1">
        <v>4.7</v>
      </c>
      <c r="Q135" s="1">
        <v>1.4</v>
      </c>
      <c r="R135" s="1">
        <v>766</v>
      </c>
      <c r="S135" s="1">
        <v>1806</v>
      </c>
    </row>
    <row r="136" spans="1:19" x14ac:dyDescent="0.25">
      <c r="A136" s="1">
        <v>200</v>
      </c>
      <c r="B136" s="1">
        <v>748</v>
      </c>
      <c r="C136" s="1">
        <v>1722</v>
      </c>
      <c r="D136" s="1">
        <v>-6.3</v>
      </c>
      <c r="E136" s="1">
        <v>1.1000000000000001</v>
      </c>
      <c r="F136" s="1">
        <v>0.3</v>
      </c>
      <c r="G136">
        <v>25</v>
      </c>
      <c r="H136">
        <v>5</v>
      </c>
      <c r="I136">
        <v>1</v>
      </c>
      <c r="K136" s="1">
        <v>200</v>
      </c>
      <c r="L136" s="1">
        <v>-6.2</v>
      </c>
      <c r="M136" s="1">
        <v>-1.1000000000000001</v>
      </c>
      <c r="N136" s="1">
        <v>-0.3</v>
      </c>
      <c r="O136" s="1">
        <v>31.4</v>
      </c>
      <c r="P136" s="1">
        <v>5.4</v>
      </c>
      <c r="Q136" s="1">
        <v>1.6</v>
      </c>
      <c r="R136" s="1">
        <v>746</v>
      </c>
      <c r="S136" s="1">
        <v>1715</v>
      </c>
    </row>
    <row r="137" spans="1:19" x14ac:dyDescent="0.25">
      <c r="A137" s="1">
        <v>225</v>
      </c>
      <c r="B137" s="1">
        <v>729</v>
      </c>
      <c r="C137" s="1">
        <v>1637</v>
      </c>
      <c r="D137" s="1">
        <v>-11.1</v>
      </c>
      <c r="E137" s="1">
        <v>1.7</v>
      </c>
      <c r="F137" s="1">
        <v>0.5</v>
      </c>
      <c r="G137">
        <v>32</v>
      </c>
      <c r="H137">
        <v>5</v>
      </c>
      <c r="I137">
        <v>2</v>
      </c>
      <c r="K137" s="1">
        <v>225</v>
      </c>
      <c r="L137" s="1">
        <v>-10.8</v>
      </c>
      <c r="M137" s="1">
        <v>-1.7</v>
      </c>
      <c r="N137" s="1">
        <v>-0.5</v>
      </c>
      <c r="O137" s="1">
        <v>39.9</v>
      </c>
      <c r="P137" s="1">
        <v>6.1</v>
      </c>
      <c r="Q137" s="1">
        <v>1.8</v>
      </c>
      <c r="R137" s="1">
        <v>728</v>
      </c>
      <c r="S137" s="1">
        <v>1630</v>
      </c>
    </row>
    <row r="138" spans="1:19" x14ac:dyDescent="0.25">
      <c r="A138" s="1">
        <v>250</v>
      </c>
      <c r="B138" s="1">
        <v>711</v>
      </c>
      <c r="C138" s="1">
        <v>1555</v>
      </c>
      <c r="D138" s="1">
        <v>-17.100000000000001</v>
      </c>
      <c r="E138" s="1">
        <v>2.4</v>
      </c>
      <c r="F138" s="1">
        <v>0.7</v>
      </c>
      <c r="G138">
        <v>40</v>
      </c>
      <c r="H138">
        <v>6</v>
      </c>
      <c r="I138">
        <v>2</v>
      </c>
      <c r="K138" s="1">
        <v>250</v>
      </c>
      <c r="L138" s="1">
        <v>-16.600000000000001</v>
      </c>
      <c r="M138" s="1">
        <v>-2.2999999999999998</v>
      </c>
      <c r="N138" s="1">
        <v>-0.7</v>
      </c>
      <c r="O138" s="1">
        <v>49.9</v>
      </c>
      <c r="P138" s="1">
        <v>6.9</v>
      </c>
      <c r="Q138" s="1">
        <v>2</v>
      </c>
      <c r="R138" s="1">
        <v>709</v>
      </c>
      <c r="S138" s="1">
        <v>1548</v>
      </c>
    </row>
    <row r="139" spans="1:19" x14ac:dyDescent="0.25">
      <c r="A139" s="1">
        <v>275</v>
      </c>
      <c r="B139" s="1">
        <v>692</v>
      </c>
      <c r="C139" s="1">
        <v>1476</v>
      </c>
      <c r="D139" s="1">
        <v>-24.6</v>
      </c>
      <c r="E139" s="1">
        <v>3.1</v>
      </c>
      <c r="F139" s="1">
        <v>0.9</v>
      </c>
      <c r="G139">
        <v>49</v>
      </c>
      <c r="H139">
        <v>7</v>
      </c>
      <c r="I139">
        <v>2</v>
      </c>
      <c r="K139" s="1">
        <v>275</v>
      </c>
      <c r="L139" s="1">
        <v>-23.9</v>
      </c>
      <c r="M139" s="1">
        <v>-3</v>
      </c>
      <c r="N139" s="1">
        <v>-0.9</v>
      </c>
      <c r="O139" s="1">
        <v>61.8</v>
      </c>
      <c r="P139" s="1">
        <v>7.7</v>
      </c>
      <c r="Q139" s="1">
        <v>2.2000000000000002</v>
      </c>
      <c r="R139" s="1">
        <v>690</v>
      </c>
      <c r="S139" s="1">
        <v>1467</v>
      </c>
    </row>
    <row r="140" spans="1:19" x14ac:dyDescent="0.25">
      <c r="A140" s="1">
        <v>300</v>
      </c>
      <c r="B140" s="1">
        <v>674</v>
      </c>
      <c r="C140" s="1">
        <v>1400</v>
      </c>
      <c r="D140" s="1">
        <v>-33.200000000000003</v>
      </c>
      <c r="E140" s="1">
        <v>3.8</v>
      </c>
      <c r="F140" s="1">
        <v>1.1000000000000001</v>
      </c>
      <c r="G140">
        <v>59</v>
      </c>
      <c r="H140">
        <v>7</v>
      </c>
      <c r="I140">
        <v>2</v>
      </c>
      <c r="K140" s="1">
        <v>300</v>
      </c>
      <c r="L140" s="1">
        <v>-32.299999999999997</v>
      </c>
      <c r="M140" s="1">
        <v>-3.7</v>
      </c>
      <c r="N140" s="1">
        <v>-1.1000000000000001</v>
      </c>
      <c r="O140" s="1">
        <v>74.599999999999994</v>
      </c>
      <c r="P140" s="1">
        <v>8.5</v>
      </c>
      <c r="Q140" s="1">
        <v>2.5</v>
      </c>
      <c r="R140" s="1">
        <v>673</v>
      </c>
      <c r="S140" s="1">
        <v>1392</v>
      </c>
    </row>
    <row r="141" spans="1:19" x14ac:dyDescent="0.25">
      <c r="A141" s="1">
        <v>325</v>
      </c>
      <c r="B141" s="1">
        <v>657</v>
      </c>
      <c r="C141" s="1">
        <v>1328</v>
      </c>
      <c r="D141" s="1">
        <v>-43.2</v>
      </c>
      <c r="E141" s="1">
        <v>4.5999999999999996</v>
      </c>
      <c r="F141" s="1">
        <v>1.3</v>
      </c>
      <c r="G141">
        <v>70</v>
      </c>
      <c r="H141">
        <v>8</v>
      </c>
      <c r="I141">
        <v>2</v>
      </c>
      <c r="K141" s="1">
        <v>325</v>
      </c>
      <c r="L141" s="1">
        <v>-41.9</v>
      </c>
      <c r="M141" s="1">
        <v>-4.4000000000000004</v>
      </c>
      <c r="N141" s="1">
        <v>-1.3</v>
      </c>
      <c r="O141" s="1">
        <v>88.6</v>
      </c>
      <c r="P141" s="1">
        <v>9.4</v>
      </c>
      <c r="Q141" s="1">
        <v>2.7</v>
      </c>
      <c r="R141" s="1">
        <v>655</v>
      </c>
      <c r="S141" s="1">
        <v>1321</v>
      </c>
    </row>
    <row r="142" spans="1:19" x14ac:dyDescent="0.25">
      <c r="A142" s="1">
        <v>350</v>
      </c>
      <c r="B142" s="1">
        <v>639</v>
      </c>
      <c r="C142" s="1">
        <v>1258</v>
      </c>
      <c r="D142" s="1">
        <v>-55.1</v>
      </c>
      <c r="E142" s="1">
        <v>5.4</v>
      </c>
      <c r="F142" s="1">
        <v>1.6</v>
      </c>
      <c r="G142">
        <v>83</v>
      </c>
      <c r="H142">
        <v>9</v>
      </c>
      <c r="I142">
        <v>3</v>
      </c>
      <c r="K142" s="1">
        <v>350</v>
      </c>
      <c r="L142" s="1">
        <v>-53.4</v>
      </c>
      <c r="M142" s="1">
        <v>-5.2</v>
      </c>
      <c r="N142" s="1">
        <v>-1.5</v>
      </c>
      <c r="O142" s="1">
        <v>104.5</v>
      </c>
      <c r="P142" s="1">
        <v>10.3</v>
      </c>
      <c r="Q142" s="1">
        <v>3</v>
      </c>
      <c r="R142" s="1">
        <v>637</v>
      </c>
      <c r="S142" s="1">
        <v>1250</v>
      </c>
    </row>
    <row r="143" spans="1:19" x14ac:dyDescent="0.25">
      <c r="A143" s="1">
        <v>375</v>
      </c>
      <c r="B143" s="1">
        <v>622</v>
      </c>
      <c r="C143" s="1">
        <v>1192</v>
      </c>
      <c r="D143" s="1">
        <v>-68.2</v>
      </c>
      <c r="E143" s="1">
        <v>6.2</v>
      </c>
      <c r="F143" s="1">
        <v>1.8</v>
      </c>
      <c r="G143">
        <v>96</v>
      </c>
      <c r="H143">
        <v>10</v>
      </c>
      <c r="I143">
        <v>3</v>
      </c>
      <c r="K143" s="1">
        <v>375</v>
      </c>
      <c r="L143" s="1">
        <v>-65.8</v>
      </c>
      <c r="M143" s="1">
        <v>-6</v>
      </c>
      <c r="N143" s="1">
        <v>-1.8</v>
      </c>
      <c r="O143" s="1">
        <v>120.9</v>
      </c>
      <c r="P143" s="1">
        <v>11.1</v>
      </c>
      <c r="Q143" s="1">
        <v>3.2</v>
      </c>
      <c r="R143" s="1">
        <v>620</v>
      </c>
      <c r="S143" s="1">
        <v>1184</v>
      </c>
    </row>
    <row r="144" spans="1:19" x14ac:dyDescent="0.25">
      <c r="A144" s="1">
        <v>400</v>
      </c>
      <c r="B144" s="1">
        <v>605</v>
      </c>
      <c r="C144" s="1">
        <v>1128</v>
      </c>
      <c r="D144" s="1">
        <v>-82.9</v>
      </c>
      <c r="E144" s="1">
        <v>7.1</v>
      </c>
      <c r="F144" s="1">
        <v>2.1</v>
      </c>
      <c r="G144">
        <v>111</v>
      </c>
      <c r="H144">
        <v>10</v>
      </c>
      <c r="I144">
        <v>3</v>
      </c>
      <c r="K144" s="1">
        <v>400</v>
      </c>
      <c r="L144" s="1">
        <v>-79.900000000000006</v>
      </c>
      <c r="M144" s="1">
        <v>-6.9</v>
      </c>
      <c r="N144" s="1">
        <v>-2</v>
      </c>
      <c r="O144" s="1">
        <v>139.30000000000001</v>
      </c>
      <c r="P144" s="1">
        <v>12</v>
      </c>
      <c r="Q144" s="1">
        <v>3.5</v>
      </c>
      <c r="R144" s="1">
        <v>603</v>
      </c>
      <c r="S144" s="1">
        <v>1120</v>
      </c>
    </row>
    <row r="145" spans="1:19" x14ac:dyDescent="0.25">
      <c r="A145" s="1">
        <v>425</v>
      </c>
      <c r="B145" s="1">
        <v>589</v>
      </c>
      <c r="C145" s="1">
        <v>1067</v>
      </c>
      <c r="D145" s="1">
        <v>-100.1</v>
      </c>
      <c r="E145" s="1">
        <v>8.1</v>
      </c>
      <c r="F145" s="1">
        <v>2.4</v>
      </c>
      <c r="G145">
        <v>127</v>
      </c>
      <c r="H145">
        <v>11</v>
      </c>
      <c r="I145">
        <v>3</v>
      </c>
      <c r="K145" s="1">
        <v>425</v>
      </c>
      <c r="L145" s="1">
        <v>-95.9</v>
      </c>
      <c r="M145" s="1">
        <v>-7.8</v>
      </c>
      <c r="N145" s="1">
        <v>-2.2999999999999998</v>
      </c>
      <c r="O145" s="1">
        <v>158.9</v>
      </c>
      <c r="P145" s="1">
        <v>12.8</v>
      </c>
      <c r="Q145" s="1">
        <v>3.7</v>
      </c>
      <c r="R145" s="1">
        <v>586</v>
      </c>
      <c r="S145" s="1">
        <v>1056</v>
      </c>
    </row>
    <row r="146" spans="1:19" x14ac:dyDescent="0.25">
      <c r="A146" s="1">
        <v>450</v>
      </c>
      <c r="B146" s="1">
        <v>572</v>
      </c>
      <c r="C146" s="1">
        <v>1009</v>
      </c>
      <c r="D146" s="1">
        <v>-118.6</v>
      </c>
      <c r="E146" s="1">
        <v>9.1</v>
      </c>
      <c r="F146" s="1">
        <v>2.6</v>
      </c>
      <c r="G146">
        <v>144</v>
      </c>
      <c r="H146">
        <v>12</v>
      </c>
      <c r="I146">
        <v>4</v>
      </c>
      <c r="K146" s="1">
        <v>450</v>
      </c>
      <c r="L146" s="1">
        <v>-113.3</v>
      </c>
      <c r="M146" s="1">
        <v>-8.6999999999999993</v>
      </c>
      <c r="N146" s="1">
        <v>-2.5</v>
      </c>
      <c r="O146" s="1">
        <v>180.1</v>
      </c>
      <c r="P146" s="1">
        <v>13.8</v>
      </c>
      <c r="Q146" s="1">
        <v>4</v>
      </c>
      <c r="R146" s="1">
        <v>570</v>
      </c>
      <c r="S146" s="1">
        <v>999</v>
      </c>
    </row>
    <row r="147" spans="1:19" x14ac:dyDescent="0.25">
      <c r="A147" s="1">
        <v>475</v>
      </c>
      <c r="B147" s="1">
        <v>557</v>
      </c>
      <c r="C147" s="1">
        <v>953</v>
      </c>
      <c r="D147" s="1">
        <v>-139.1</v>
      </c>
      <c r="E147" s="1">
        <v>10.1</v>
      </c>
      <c r="F147" s="1">
        <v>2.9</v>
      </c>
      <c r="G147">
        <v>162</v>
      </c>
      <c r="H147">
        <v>13</v>
      </c>
      <c r="I147">
        <v>4</v>
      </c>
      <c r="K147" s="1">
        <v>475</v>
      </c>
      <c r="L147" s="1">
        <v>-132.80000000000001</v>
      </c>
      <c r="M147" s="1">
        <v>-9.6</v>
      </c>
      <c r="N147" s="1">
        <v>-2.8</v>
      </c>
      <c r="O147" s="1">
        <v>203.6</v>
      </c>
      <c r="P147" s="1">
        <v>14.7</v>
      </c>
      <c r="Q147" s="1">
        <v>4.3</v>
      </c>
      <c r="R147" s="1">
        <v>554</v>
      </c>
      <c r="S147" s="1">
        <v>944</v>
      </c>
    </row>
    <row r="148" spans="1:19" x14ac:dyDescent="0.25">
      <c r="A148" s="1">
        <v>500</v>
      </c>
      <c r="B148" s="1">
        <v>541</v>
      </c>
      <c r="C148" s="1">
        <v>903</v>
      </c>
      <c r="D148" s="1">
        <v>-161.69999999999999</v>
      </c>
      <c r="E148" s="1">
        <v>11.1</v>
      </c>
      <c r="F148" s="1">
        <v>3.2</v>
      </c>
      <c r="G148">
        <v>182</v>
      </c>
      <c r="H148">
        <v>14</v>
      </c>
      <c r="I148">
        <v>4</v>
      </c>
      <c r="K148" s="1">
        <v>500</v>
      </c>
      <c r="L148" s="1">
        <v>-155.19999999999999</v>
      </c>
      <c r="M148" s="1">
        <v>-10.7</v>
      </c>
      <c r="N148" s="1">
        <v>-3.1</v>
      </c>
      <c r="O148" s="1">
        <v>230.1</v>
      </c>
      <c r="P148" s="1">
        <v>15.8</v>
      </c>
      <c r="Q148" s="1">
        <v>4.5999999999999996</v>
      </c>
      <c r="R148" s="1">
        <v>538</v>
      </c>
      <c r="S148" s="1">
        <v>889</v>
      </c>
    </row>
    <row r="150" spans="1:19" x14ac:dyDescent="0.25">
      <c r="A150" t="s">
        <v>9</v>
      </c>
      <c r="K150" t="s">
        <v>62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  <c r="K151" t="s">
        <v>38</v>
      </c>
      <c r="L151" t="s">
        <v>39</v>
      </c>
      <c r="M151" t="s">
        <v>40</v>
      </c>
      <c r="N151" t="s">
        <v>41</v>
      </c>
      <c r="O151" t="s">
        <v>42</v>
      </c>
      <c r="P151" t="s">
        <v>35</v>
      </c>
      <c r="Q151" t="s">
        <v>43</v>
      </c>
      <c r="R151" t="s">
        <v>44</v>
      </c>
      <c r="S151" t="s">
        <v>45</v>
      </c>
    </row>
    <row r="152" spans="1:19" x14ac:dyDescent="0.25">
      <c r="A152" s="1">
        <v>0</v>
      </c>
      <c r="B152" s="1">
        <v>908</v>
      </c>
      <c r="C152" s="1">
        <v>2539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-3.8</v>
      </c>
      <c r="M152" s="1" t="s">
        <v>46</v>
      </c>
      <c r="N152" s="1" t="s">
        <v>46</v>
      </c>
      <c r="O152" s="1">
        <v>0</v>
      </c>
      <c r="P152" s="1" t="s">
        <v>46</v>
      </c>
      <c r="Q152" s="1" t="s">
        <v>46</v>
      </c>
      <c r="R152" s="1">
        <v>908</v>
      </c>
      <c r="S152" s="1">
        <v>2538</v>
      </c>
    </row>
    <row r="153" spans="1:19" x14ac:dyDescent="0.25">
      <c r="A153" s="1">
        <v>25</v>
      </c>
      <c r="B153" s="1">
        <v>887</v>
      </c>
      <c r="C153" s="1">
        <v>2422</v>
      </c>
      <c r="D153" s="1">
        <v>-0.3</v>
      </c>
      <c r="E153" s="1">
        <v>0.4</v>
      </c>
      <c r="F153" s="1">
        <v>0.1</v>
      </c>
      <c r="G153">
        <v>1</v>
      </c>
      <c r="H153">
        <v>1</v>
      </c>
      <c r="I153">
        <v>0</v>
      </c>
      <c r="K153" s="1">
        <v>25</v>
      </c>
      <c r="L153" s="1">
        <v>-0.4</v>
      </c>
      <c r="M153" s="1">
        <v>-0.5</v>
      </c>
      <c r="N153" s="1">
        <v>-0.1</v>
      </c>
      <c r="O153" s="1">
        <v>0.2</v>
      </c>
      <c r="P153" s="1">
        <v>0.3</v>
      </c>
      <c r="Q153" s="1">
        <v>0.1</v>
      </c>
      <c r="R153" s="1">
        <v>887</v>
      </c>
      <c r="S153" s="1">
        <v>2421</v>
      </c>
    </row>
    <row r="154" spans="1:19" x14ac:dyDescent="0.25">
      <c r="A154" s="1">
        <v>50</v>
      </c>
      <c r="B154" s="1">
        <v>866</v>
      </c>
      <c r="C154" s="1">
        <v>2310</v>
      </c>
      <c r="D154" s="1">
        <v>2.5</v>
      </c>
      <c r="E154" s="1">
        <v>-1.7</v>
      </c>
      <c r="F154" s="1">
        <v>-0.5</v>
      </c>
      <c r="G154">
        <v>2</v>
      </c>
      <c r="H154">
        <v>1</v>
      </c>
      <c r="I154">
        <v>0</v>
      </c>
      <c r="K154" s="1">
        <v>50</v>
      </c>
      <c r="L154" s="1">
        <v>2.4</v>
      </c>
      <c r="M154" s="1">
        <v>1.7</v>
      </c>
      <c r="N154" s="1">
        <v>0.5</v>
      </c>
      <c r="O154" s="1">
        <v>1.7</v>
      </c>
      <c r="P154" s="1">
        <v>1.1000000000000001</v>
      </c>
      <c r="Q154" s="1">
        <v>0.3</v>
      </c>
      <c r="R154" s="1">
        <v>866</v>
      </c>
      <c r="S154" s="1">
        <v>2306</v>
      </c>
    </row>
    <row r="155" spans="1:19" x14ac:dyDescent="0.25">
      <c r="A155" s="1">
        <v>75</v>
      </c>
      <c r="B155" s="1">
        <v>846</v>
      </c>
      <c r="C155" s="1">
        <v>2202</v>
      </c>
      <c r="D155" s="1">
        <v>4.4000000000000004</v>
      </c>
      <c r="E155" s="1">
        <v>-2</v>
      </c>
      <c r="F155" s="1">
        <v>-0.6</v>
      </c>
      <c r="G155">
        <v>4</v>
      </c>
      <c r="H155">
        <v>2</v>
      </c>
      <c r="I155">
        <v>0</v>
      </c>
      <c r="K155" s="1">
        <v>75</v>
      </c>
      <c r="L155" s="1">
        <v>4.3</v>
      </c>
      <c r="M155" s="1">
        <v>2</v>
      </c>
      <c r="N155" s="1">
        <v>0.6</v>
      </c>
      <c r="O155" s="1">
        <v>4.0999999999999996</v>
      </c>
      <c r="P155" s="1">
        <v>1.9</v>
      </c>
      <c r="Q155" s="1">
        <v>0.5</v>
      </c>
      <c r="R155" s="1">
        <v>845</v>
      </c>
      <c r="S155" s="1">
        <v>2199</v>
      </c>
    </row>
    <row r="156" spans="1:19" x14ac:dyDescent="0.25">
      <c r="A156" s="1">
        <v>100</v>
      </c>
      <c r="B156" s="1">
        <v>826</v>
      </c>
      <c r="C156" s="1">
        <v>2098</v>
      </c>
      <c r="D156" s="1">
        <v>5.5</v>
      </c>
      <c r="E156" s="1">
        <v>-1.9</v>
      </c>
      <c r="F156" s="1">
        <v>-0.5</v>
      </c>
      <c r="G156">
        <v>6</v>
      </c>
      <c r="H156">
        <v>2</v>
      </c>
      <c r="I156">
        <v>1</v>
      </c>
      <c r="K156" s="1">
        <v>100</v>
      </c>
      <c r="L156" s="1">
        <v>5.3</v>
      </c>
      <c r="M156" s="1">
        <v>1.8</v>
      </c>
      <c r="N156" s="1">
        <v>0.5</v>
      </c>
      <c r="O156" s="1">
        <v>7.5</v>
      </c>
      <c r="P156" s="1">
        <v>2.6</v>
      </c>
      <c r="Q156" s="1">
        <v>0.8</v>
      </c>
      <c r="R156" s="1">
        <v>825</v>
      </c>
      <c r="S156" s="1">
        <v>2096</v>
      </c>
    </row>
    <row r="157" spans="1:19" x14ac:dyDescent="0.25">
      <c r="A157" s="1">
        <v>125</v>
      </c>
      <c r="B157" s="1">
        <v>806</v>
      </c>
      <c r="C157" s="1">
        <v>1999</v>
      </c>
      <c r="D157" s="1">
        <v>5.6</v>
      </c>
      <c r="E157" s="1">
        <v>-1.5</v>
      </c>
      <c r="F157" s="1">
        <v>-0.4</v>
      </c>
      <c r="G157">
        <v>10</v>
      </c>
      <c r="H157">
        <v>3</v>
      </c>
      <c r="I157">
        <v>1</v>
      </c>
      <c r="K157" s="1">
        <v>125</v>
      </c>
      <c r="L157" s="1">
        <v>5.4</v>
      </c>
      <c r="M157" s="1">
        <v>1.5</v>
      </c>
      <c r="N157" s="1">
        <v>0.4</v>
      </c>
      <c r="O157" s="1">
        <v>12.1</v>
      </c>
      <c r="P157" s="1">
        <v>3.3</v>
      </c>
      <c r="Q157" s="1">
        <v>1</v>
      </c>
      <c r="R157" s="1">
        <v>805</v>
      </c>
      <c r="S157" s="1">
        <v>1993</v>
      </c>
    </row>
    <row r="158" spans="1:19" x14ac:dyDescent="0.25">
      <c r="A158" s="1">
        <v>150</v>
      </c>
      <c r="B158" s="1">
        <v>786</v>
      </c>
      <c r="C158" s="1">
        <v>1903</v>
      </c>
      <c r="D158" s="1">
        <v>4.8</v>
      </c>
      <c r="E158" s="1">
        <v>-1.1000000000000001</v>
      </c>
      <c r="F158" s="1">
        <v>-0.3</v>
      </c>
      <c r="G158">
        <v>14</v>
      </c>
      <c r="H158">
        <v>4</v>
      </c>
      <c r="I158">
        <v>1</v>
      </c>
      <c r="K158" s="1">
        <v>150</v>
      </c>
      <c r="L158" s="1">
        <v>4.5999999999999996</v>
      </c>
      <c r="M158" s="1">
        <v>1.1000000000000001</v>
      </c>
      <c r="N158" s="1">
        <v>0.3</v>
      </c>
      <c r="O158" s="1">
        <v>17.399999999999999</v>
      </c>
      <c r="P158" s="1">
        <v>4</v>
      </c>
      <c r="Q158" s="1">
        <v>1.2</v>
      </c>
      <c r="R158" s="1">
        <v>785</v>
      </c>
      <c r="S158" s="1">
        <v>1898</v>
      </c>
    </row>
    <row r="159" spans="1:19" x14ac:dyDescent="0.25">
      <c r="A159" s="1">
        <v>175</v>
      </c>
      <c r="B159" s="1">
        <v>767</v>
      </c>
      <c r="C159" s="1">
        <v>1810</v>
      </c>
      <c r="D159" s="1">
        <v>3</v>
      </c>
      <c r="E159" s="1">
        <v>-0.6</v>
      </c>
      <c r="F159" s="1">
        <v>-0.2</v>
      </c>
      <c r="G159">
        <v>19</v>
      </c>
      <c r="H159">
        <v>4</v>
      </c>
      <c r="I159">
        <v>1</v>
      </c>
      <c r="K159" s="1">
        <v>175</v>
      </c>
      <c r="L159" s="1">
        <v>2.9</v>
      </c>
      <c r="M159" s="1">
        <v>0.6</v>
      </c>
      <c r="N159" s="1">
        <v>0.2</v>
      </c>
      <c r="O159" s="1">
        <v>23.7</v>
      </c>
      <c r="P159" s="1">
        <v>4.7</v>
      </c>
      <c r="Q159" s="1">
        <v>1.4</v>
      </c>
      <c r="R159" s="1">
        <v>766</v>
      </c>
      <c r="S159" s="1">
        <v>1806</v>
      </c>
    </row>
    <row r="160" spans="1:19" x14ac:dyDescent="0.25">
      <c r="A160" s="10">
        <v>200</v>
      </c>
      <c r="B160" s="10">
        <v>748</v>
      </c>
      <c r="C160" s="10">
        <v>1722</v>
      </c>
      <c r="D160" s="10">
        <v>0</v>
      </c>
      <c r="E160" s="10">
        <v>0</v>
      </c>
      <c r="F160" s="10">
        <v>0</v>
      </c>
      <c r="G160">
        <v>25</v>
      </c>
      <c r="H160">
        <v>5</v>
      </c>
      <c r="I160">
        <v>1</v>
      </c>
      <c r="K160" s="1">
        <v>200</v>
      </c>
      <c r="L160" s="1">
        <v>0</v>
      </c>
      <c r="M160" s="1">
        <v>0</v>
      </c>
      <c r="N160" s="1">
        <v>0</v>
      </c>
      <c r="O160" s="1">
        <v>31.4</v>
      </c>
      <c r="P160" s="1">
        <v>5.4</v>
      </c>
      <c r="Q160" s="1">
        <v>1.6</v>
      </c>
      <c r="R160" s="1">
        <v>746</v>
      </c>
      <c r="S160" s="1">
        <v>1715</v>
      </c>
    </row>
    <row r="161" spans="1:19" x14ac:dyDescent="0.25">
      <c r="A161" s="1">
        <v>225</v>
      </c>
      <c r="B161" s="1">
        <v>729</v>
      </c>
      <c r="C161" s="1">
        <v>1636</v>
      </c>
      <c r="D161" s="1">
        <v>-4</v>
      </c>
      <c r="E161" s="1">
        <v>0.6</v>
      </c>
      <c r="F161" s="1">
        <v>0.2</v>
      </c>
      <c r="G161">
        <v>32</v>
      </c>
      <c r="H161">
        <v>5</v>
      </c>
      <c r="I161">
        <v>2</v>
      </c>
      <c r="K161" s="1">
        <v>225</v>
      </c>
      <c r="L161" s="1">
        <v>-3.9</v>
      </c>
      <c r="M161" s="1">
        <v>-0.6</v>
      </c>
      <c r="N161" s="1">
        <v>-0.2</v>
      </c>
      <c r="O161" s="1">
        <v>39.9</v>
      </c>
      <c r="P161" s="1">
        <v>6.1</v>
      </c>
      <c r="Q161" s="1">
        <v>1.8</v>
      </c>
      <c r="R161" s="1">
        <v>728</v>
      </c>
      <c r="S161" s="1">
        <v>1630</v>
      </c>
    </row>
    <row r="162" spans="1:19" x14ac:dyDescent="0.25">
      <c r="A162" s="1">
        <v>250</v>
      </c>
      <c r="B162" s="1">
        <v>711</v>
      </c>
      <c r="C162" s="1">
        <v>1555</v>
      </c>
      <c r="D162" s="1">
        <v>-9.1999999999999993</v>
      </c>
      <c r="E162" s="1">
        <v>1.3</v>
      </c>
      <c r="F162" s="1">
        <v>0.4</v>
      </c>
      <c r="G162">
        <v>40</v>
      </c>
      <c r="H162">
        <v>6</v>
      </c>
      <c r="I162">
        <v>2</v>
      </c>
      <c r="K162" s="1">
        <v>250</v>
      </c>
      <c r="L162" s="1">
        <v>-8.9</v>
      </c>
      <c r="M162" s="1">
        <v>-1.2</v>
      </c>
      <c r="N162" s="1">
        <v>-0.4</v>
      </c>
      <c r="O162" s="1">
        <v>49.9</v>
      </c>
      <c r="P162" s="1">
        <v>6.9</v>
      </c>
      <c r="Q162" s="1">
        <v>2</v>
      </c>
      <c r="R162" s="1">
        <v>709</v>
      </c>
      <c r="S162" s="1">
        <v>1548</v>
      </c>
    </row>
    <row r="163" spans="1:19" x14ac:dyDescent="0.25">
      <c r="A163" s="1">
        <v>275</v>
      </c>
      <c r="B163" s="1">
        <v>692</v>
      </c>
      <c r="C163" s="1">
        <v>1476</v>
      </c>
      <c r="D163" s="1">
        <v>-15.9</v>
      </c>
      <c r="E163" s="1">
        <v>2</v>
      </c>
      <c r="F163" s="1">
        <v>0.6</v>
      </c>
      <c r="G163">
        <v>49</v>
      </c>
      <c r="H163">
        <v>7</v>
      </c>
      <c r="I163">
        <v>2</v>
      </c>
      <c r="K163" s="1">
        <v>275</v>
      </c>
      <c r="L163" s="1">
        <v>-15.4</v>
      </c>
      <c r="M163" s="1">
        <v>-1.9</v>
      </c>
      <c r="N163" s="1">
        <v>-0.6</v>
      </c>
      <c r="O163" s="1">
        <v>61.8</v>
      </c>
      <c r="P163" s="1">
        <v>7.7</v>
      </c>
      <c r="Q163" s="1">
        <v>2.2000000000000002</v>
      </c>
      <c r="R163" s="1">
        <v>690</v>
      </c>
      <c r="S163" s="1">
        <v>1467</v>
      </c>
    </row>
    <row r="164" spans="1:19" x14ac:dyDescent="0.25">
      <c r="A164" s="1">
        <v>300</v>
      </c>
      <c r="B164" s="1">
        <v>674</v>
      </c>
      <c r="C164" s="1">
        <v>1400</v>
      </c>
      <c r="D164" s="1">
        <v>-23.7</v>
      </c>
      <c r="E164" s="1">
        <v>2.7</v>
      </c>
      <c r="F164" s="1">
        <v>0.8</v>
      </c>
      <c r="G164">
        <v>59</v>
      </c>
      <c r="H164">
        <v>7</v>
      </c>
      <c r="I164">
        <v>2</v>
      </c>
      <c r="K164" s="1">
        <v>300</v>
      </c>
      <c r="L164" s="1">
        <v>-23</v>
      </c>
      <c r="M164" s="1">
        <v>-2.6</v>
      </c>
      <c r="N164" s="1">
        <v>-0.8</v>
      </c>
      <c r="O164" s="1">
        <v>74.599999999999994</v>
      </c>
      <c r="P164" s="1">
        <v>8.5</v>
      </c>
      <c r="Q164" s="1">
        <v>2.5</v>
      </c>
      <c r="R164" s="1">
        <v>673</v>
      </c>
      <c r="S164" s="1">
        <v>1392</v>
      </c>
    </row>
    <row r="165" spans="1:19" x14ac:dyDescent="0.25">
      <c r="A165" s="1">
        <v>325</v>
      </c>
      <c r="B165" s="1">
        <v>657</v>
      </c>
      <c r="C165" s="1">
        <v>1328</v>
      </c>
      <c r="D165" s="1">
        <v>-32.9</v>
      </c>
      <c r="E165" s="1">
        <v>3.5</v>
      </c>
      <c r="F165" s="1">
        <v>1</v>
      </c>
      <c r="G165">
        <v>70</v>
      </c>
      <c r="H165">
        <v>8</v>
      </c>
      <c r="I165">
        <v>2</v>
      </c>
      <c r="K165" s="1">
        <v>325</v>
      </c>
      <c r="L165" s="1">
        <v>-31.9</v>
      </c>
      <c r="M165" s="1">
        <v>-3.4</v>
      </c>
      <c r="N165" s="1">
        <v>-1</v>
      </c>
      <c r="O165" s="1">
        <v>88.6</v>
      </c>
      <c r="P165" s="1">
        <v>9.4</v>
      </c>
      <c r="Q165" s="1">
        <v>2.7</v>
      </c>
      <c r="R165" s="1">
        <v>655</v>
      </c>
      <c r="S165" s="1">
        <v>1321</v>
      </c>
    </row>
    <row r="166" spans="1:19" x14ac:dyDescent="0.25">
      <c r="A166" s="1">
        <v>350</v>
      </c>
      <c r="B166" s="1">
        <v>639</v>
      </c>
      <c r="C166" s="1">
        <v>1258</v>
      </c>
      <c r="D166" s="1">
        <v>-44</v>
      </c>
      <c r="E166" s="1">
        <v>4.3</v>
      </c>
      <c r="F166" s="1">
        <v>1.3</v>
      </c>
      <c r="G166">
        <v>83</v>
      </c>
      <c r="H166">
        <v>9</v>
      </c>
      <c r="I166">
        <v>3</v>
      </c>
      <c r="K166" s="1">
        <v>350</v>
      </c>
      <c r="L166" s="1">
        <v>-42.5</v>
      </c>
      <c r="M166" s="1">
        <v>-4.2</v>
      </c>
      <c r="N166" s="1">
        <v>-1.2</v>
      </c>
      <c r="O166" s="1">
        <v>104.5</v>
      </c>
      <c r="P166" s="1">
        <v>10.3</v>
      </c>
      <c r="Q166" s="1">
        <v>3</v>
      </c>
      <c r="R166" s="1">
        <v>637</v>
      </c>
      <c r="S166" s="1">
        <v>1250</v>
      </c>
    </row>
    <row r="167" spans="1:19" x14ac:dyDescent="0.25">
      <c r="A167" s="1">
        <v>375</v>
      </c>
      <c r="B167" s="1">
        <v>622</v>
      </c>
      <c r="C167" s="1">
        <v>1192</v>
      </c>
      <c r="D167" s="1">
        <v>-56.3</v>
      </c>
      <c r="E167" s="1">
        <v>5.2</v>
      </c>
      <c r="F167" s="1">
        <v>1.5</v>
      </c>
      <c r="G167">
        <v>96</v>
      </c>
      <c r="H167">
        <v>10</v>
      </c>
      <c r="I167">
        <v>3</v>
      </c>
      <c r="K167" s="1">
        <v>375</v>
      </c>
      <c r="L167" s="1">
        <v>-54.2</v>
      </c>
      <c r="M167" s="1">
        <v>-5</v>
      </c>
      <c r="N167" s="1">
        <v>-1.4</v>
      </c>
      <c r="O167" s="1">
        <v>120.9</v>
      </c>
      <c r="P167" s="1">
        <v>11.1</v>
      </c>
      <c r="Q167" s="1">
        <v>3.2</v>
      </c>
      <c r="R167" s="1">
        <v>620</v>
      </c>
      <c r="S167" s="1">
        <v>1184</v>
      </c>
    </row>
    <row r="168" spans="1:19" x14ac:dyDescent="0.25">
      <c r="A168" s="1">
        <v>400</v>
      </c>
      <c r="B168" s="1">
        <v>605</v>
      </c>
      <c r="C168" s="1">
        <v>1128</v>
      </c>
      <c r="D168" s="1">
        <v>-70.3</v>
      </c>
      <c r="E168" s="1">
        <v>6</v>
      </c>
      <c r="F168" s="1">
        <v>1.8</v>
      </c>
      <c r="G168">
        <v>111</v>
      </c>
      <c r="H168">
        <v>10</v>
      </c>
      <c r="I168">
        <v>3</v>
      </c>
      <c r="K168" s="1">
        <v>400</v>
      </c>
      <c r="L168" s="1">
        <v>-67.599999999999994</v>
      </c>
      <c r="M168" s="1">
        <v>-5.8</v>
      </c>
      <c r="N168" s="1">
        <v>-1.7</v>
      </c>
      <c r="O168" s="1">
        <v>139.30000000000001</v>
      </c>
      <c r="P168" s="1">
        <v>12</v>
      </c>
      <c r="Q168" s="1">
        <v>3.5</v>
      </c>
      <c r="R168" s="1">
        <v>603</v>
      </c>
      <c r="S168" s="1">
        <v>1120</v>
      </c>
    </row>
    <row r="169" spans="1:19" x14ac:dyDescent="0.25">
      <c r="A169" s="1">
        <v>425</v>
      </c>
      <c r="B169" s="1">
        <v>589</v>
      </c>
      <c r="C169" s="1">
        <v>1067</v>
      </c>
      <c r="D169" s="1">
        <v>-86.6</v>
      </c>
      <c r="E169" s="1">
        <v>7</v>
      </c>
      <c r="F169" s="1">
        <v>2</v>
      </c>
      <c r="G169">
        <v>127</v>
      </c>
      <c r="H169">
        <v>11</v>
      </c>
      <c r="I169">
        <v>3</v>
      </c>
      <c r="K169" s="1">
        <v>425</v>
      </c>
      <c r="L169" s="1">
        <v>-82.7</v>
      </c>
      <c r="M169" s="1">
        <v>-6.7</v>
      </c>
      <c r="N169" s="1">
        <v>-1.9</v>
      </c>
      <c r="O169" s="1">
        <v>158.9</v>
      </c>
      <c r="P169" s="1">
        <v>12.8</v>
      </c>
      <c r="Q169" s="1">
        <v>3.7</v>
      </c>
      <c r="R169" s="1">
        <v>586</v>
      </c>
      <c r="S169" s="1">
        <v>1056</v>
      </c>
    </row>
    <row r="170" spans="1:19" x14ac:dyDescent="0.25">
      <c r="A170" s="1">
        <v>450</v>
      </c>
      <c r="B170" s="1">
        <v>572</v>
      </c>
      <c r="C170" s="1">
        <v>1009</v>
      </c>
      <c r="D170" s="1">
        <v>-104.3</v>
      </c>
      <c r="E170" s="1">
        <v>8</v>
      </c>
      <c r="F170" s="1">
        <v>2.2999999999999998</v>
      </c>
      <c r="G170">
        <v>144</v>
      </c>
      <c r="H170">
        <v>12</v>
      </c>
      <c r="I170">
        <v>4</v>
      </c>
      <c r="K170" s="1">
        <v>450</v>
      </c>
      <c r="L170" s="1">
        <v>-99.4</v>
      </c>
      <c r="M170" s="1">
        <v>-7.6</v>
      </c>
      <c r="N170" s="1">
        <v>-2.2000000000000002</v>
      </c>
      <c r="O170" s="1">
        <v>180.1</v>
      </c>
      <c r="P170" s="1">
        <v>13.8</v>
      </c>
      <c r="Q170" s="1">
        <v>4</v>
      </c>
      <c r="R170" s="1">
        <v>570</v>
      </c>
      <c r="S170" s="1">
        <v>999</v>
      </c>
    </row>
    <row r="171" spans="1:19" x14ac:dyDescent="0.25">
      <c r="A171" s="1">
        <v>475</v>
      </c>
      <c r="B171" s="1">
        <v>557</v>
      </c>
      <c r="C171" s="1">
        <v>953</v>
      </c>
      <c r="D171" s="1">
        <v>-124</v>
      </c>
      <c r="E171" s="1">
        <v>9</v>
      </c>
      <c r="F171" s="1">
        <v>2.6</v>
      </c>
      <c r="G171">
        <v>162</v>
      </c>
      <c r="H171">
        <v>13</v>
      </c>
      <c r="I171">
        <v>4</v>
      </c>
      <c r="K171" s="1">
        <v>475</v>
      </c>
      <c r="L171" s="1">
        <v>-118.1</v>
      </c>
      <c r="M171" s="1">
        <v>-8.6</v>
      </c>
      <c r="N171" s="1">
        <v>-2.5</v>
      </c>
      <c r="O171" s="1">
        <v>203.6</v>
      </c>
      <c r="P171" s="1">
        <v>14.7</v>
      </c>
      <c r="Q171" s="1">
        <v>4.3</v>
      </c>
      <c r="R171" s="1">
        <v>554</v>
      </c>
      <c r="S171" s="1">
        <v>944</v>
      </c>
    </row>
    <row r="172" spans="1:19" x14ac:dyDescent="0.25">
      <c r="A172" s="1">
        <v>500</v>
      </c>
      <c r="B172" s="1">
        <v>541</v>
      </c>
      <c r="C172" s="1">
        <v>903</v>
      </c>
      <c r="D172" s="1">
        <v>-145.9</v>
      </c>
      <c r="E172" s="1">
        <v>10</v>
      </c>
      <c r="F172" s="1">
        <v>2.9</v>
      </c>
      <c r="G172">
        <v>182</v>
      </c>
      <c r="H172">
        <v>14</v>
      </c>
      <c r="I172">
        <v>4</v>
      </c>
      <c r="K172" s="1">
        <v>500</v>
      </c>
      <c r="L172" s="1">
        <v>-139.69999999999999</v>
      </c>
      <c r="M172" s="1">
        <v>-9.6</v>
      </c>
      <c r="N172" s="1">
        <v>-2.8</v>
      </c>
      <c r="O172" s="1">
        <v>230.1</v>
      </c>
      <c r="P172" s="1">
        <v>15.8</v>
      </c>
      <c r="Q172" s="1">
        <v>4.5999999999999996</v>
      </c>
      <c r="R172" s="1">
        <v>538</v>
      </c>
      <c r="S172" s="1">
        <v>889</v>
      </c>
    </row>
    <row r="174" spans="1:19" x14ac:dyDescent="0.25">
      <c r="A174" t="s">
        <v>10</v>
      </c>
      <c r="K174" t="s">
        <v>49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  <c r="K175" t="s">
        <v>38</v>
      </c>
      <c r="L175" t="s">
        <v>39</v>
      </c>
      <c r="M175" t="s">
        <v>40</v>
      </c>
      <c r="N175" t="s">
        <v>41</v>
      </c>
      <c r="O175" t="s">
        <v>42</v>
      </c>
      <c r="P175" t="s">
        <v>35</v>
      </c>
      <c r="Q175" t="s">
        <v>43</v>
      </c>
      <c r="R175" t="s">
        <v>44</v>
      </c>
      <c r="S175" t="s">
        <v>45</v>
      </c>
    </row>
    <row r="176" spans="1:19" x14ac:dyDescent="0.25">
      <c r="A176" s="1">
        <v>0</v>
      </c>
      <c r="B176" s="1">
        <v>908</v>
      </c>
      <c r="C176" s="1">
        <v>2539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-3.8</v>
      </c>
      <c r="M176" s="1" t="s">
        <v>46</v>
      </c>
      <c r="N176" s="1" t="s">
        <v>46</v>
      </c>
      <c r="O176" s="1">
        <v>0</v>
      </c>
      <c r="P176" s="1" t="s">
        <v>46</v>
      </c>
      <c r="Q176" s="1" t="s">
        <v>46</v>
      </c>
      <c r="R176" s="1">
        <v>908</v>
      </c>
      <c r="S176" s="1">
        <v>2538</v>
      </c>
    </row>
    <row r="177" spans="1:19" x14ac:dyDescent="0.25">
      <c r="A177" s="1">
        <v>25</v>
      </c>
      <c r="B177" s="1">
        <v>887</v>
      </c>
      <c r="C177" s="1">
        <v>2422</v>
      </c>
      <c r="D177" s="1">
        <v>1.7</v>
      </c>
      <c r="E177" s="1">
        <v>-2.2999999999999998</v>
      </c>
      <c r="F177" s="1">
        <v>-0.7</v>
      </c>
      <c r="G177">
        <v>1</v>
      </c>
      <c r="H177">
        <v>1</v>
      </c>
      <c r="I177">
        <v>0</v>
      </c>
      <c r="K177" s="1">
        <v>25</v>
      </c>
      <c r="L177" s="1">
        <v>1.5</v>
      </c>
      <c r="M177" s="1">
        <v>2.1</v>
      </c>
      <c r="N177" s="1">
        <v>0.6</v>
      </c>
      <c r="O177" s="1">
        <v>0.2</v>
      </c>
      <c r="P177" s="1">
        <v>0.3</v>
      </c>
      <c r="Q177" s="1">
        <v>0.1</v>
      </c>
      <c r="R177" s="1">
        <v>887</v>
      </c>
      <c r="S177" s="1">
        <v>2421</v>
      </c>
    </row>
    <row r="178" spans="1:19" x14ac:dyDescent="0.25">
      <c r="A178" s="1">
        <v>50</v>
      </c>
      <c r="B178" s="1">
        <v>866</v>
      </c>
      <c r="C178" s="1">
        <v>2310</v>
      </c>
      <c r="D178" s="1">
        <v>6.6</v>
      </c>
      <c r="E178" s="1">
        <v>-4.5</v>
      </c>
      <c r="F178" s="1">
        <v>-1.3</v>
      </c>
      <c r="G178">
        <v>2</v>
      </c>
      <c r="H178">
        <v>1</v>
      </c>
      <c r="I178">
        <v>0</v>
      </c>
      <c r="K178" s="1">
        <v>50</v>
      </c>
      <c r="L178" s="1">
        <v>6.3</v>
      </c>
      <c r="M178" s="1">
        <v>4.3</v>
      </c>
      <c r="N178" s="1">
        <v>1.3</v>
      </c>
      <c r="O178" s="1">
        <v>1.7</v>
      </c>
      <c r="P178" s="1">
        <v>1.1000000000000001</v>
      </c>
      <c r="Q178" s="1">
        <v>0.3</v>
      </c>
      <c r="R178" s="1">
        <v>866</v>
      </c>
      <c r="S178" s="1">
        <v>2306</v>
      </c>
    </row>
    <row r="179" spans="1:19" x14ac:dyDescent="0.25">
      <c r="A179" s="1">
        <v>75</v>
      </c>
      <c r="B179" s="1">
        <v>846</v>
      </c>
      <c r="C179" s="1">
        <v>2202</v>
      </c>
      <c r="D179" s="1">
        <v>10.4</v>
      </c>
      <c r="E179" s="1">
        <v>-4.8</v>
      </c>
      <c r="F179" s="1">
        <v>-1.4</v>
      </c>
      <c r="G179">
        <v>4</v>
      </c>
      <c r="H179">
        <v>2</v>
      </c>
      <c r="I179">
        <v>0</v>
      </c>
      <c r="K179" s="1">
        <v>75</v>
      </c>
      <c r="L179" s="1">
        <v>10</v>
      </c>
      <c r="M179" s="1">
        <v>4.5999999999999996</v>
      </c>
      <c r="N179" s="1">
        <v>1.3</v>
      </c>
      <c r="O179" s="1">
        <v>4.0999999999999996</v>
      </c>
      <c r="P179" s="1">
        <v>1.9</v>
      </c>
      <c r="Q179" s="1">
        <v>0.5</v>
      </c>
      <c r="R179" s="1">
        <v>845</v>
      </c>
      <c r="S179" s="1">
        <v>2199</v>
      </c>
    </row>
    <row r="180" spans="1:19" x14ac:dyDescent="0.25">
      <c r="A180" s="1">
        <v>100</v>
      </c>
      <c r="B180" s="1">
        <v>826</v>
      </c>
      <c r="C180" s="1">
        <v>2098</v>
      </c>
      <c r="D180" s="1">
        <v>13.4</v>
      </c>
      <c r="E180" s="1">
        <v>-4.5999999999999996</v>
      </c>
      <c r="F180" s="1">
        <v>-1.3</v>
      </c>
      <c r="G180">
        <v>6</v>
      </c>
      <c r="H180">
        <v>2</v>
      </c>
      <c r="I180">
        <v>1</v>
      </c>
      <c r="K180" s="1">
        <v>100</v>
      </c>
      <c r="L180" s="1">
        <v>13</v>
      </c>
      <c r="M180" s="1">
        <v>4.5</v>
      </c>
      <c r="N180" s="1">
        <v>1.3</v>
      </c>
      <c r="O180" s="1">
        <v>7.5</v>
      </c>
      <c r="P180" s="1">
        <v>2.6</v>
      </c>
      <c r="Q180" s="1">
        <v>0.8</v>
      </c>
      <c r="R180" s="1">
        <v>825</v>
      </c>
      <c r="S180" s="1">
        <v>2096</v>
      </c>
    </row>
    <row r="181" spans="1:19" x14ac:dyDescent="0.25">
      <c r="A181" s="1">
        <v>125</v>
      </c>
      <c r="B181" s="1">
        <v>806</v>
      </c>
      <c r="C181" s="1">
        <v>1998</v>
      </c>
      <c r="D181" s="1">
        <v>15.6</v>
      </c>
      <c r="E181" s="1">
        <v>-4.3</v>
      </c>
      <c r="F181" s="1">
        <v>-1.2</v>
      </c>
      <c r="G181">
        <v>10</v>
      </c>
      <c r="H181">
        <v>3</v>
      </c>
      <c r="I181">
        <v>1</v>
      </c>
      <c r="K181" s="1">
        <v>125</v>
      </c>
      <c r="L181" s="1">
        <v>15</v>
      </c>
      <c r="M181" s="1">
        <v>4.0999999999999996</v>
      </c>
      <c r="N181" s="1">
        <v>1.2</v>
      </c>
      <c r="O181" s="1">
        <v>12.1</v>
      </c>
      <c r="P181" s="1">
        <v>3.3</v>
      </c>
      <c r="Q181" s="1">
        <v>1</v>
      </c>
      <c r="R181" s="1">
        <v>805</v>
      </c>
      <c r="S181" s="1">
        <v>1993</v>
      </c>
    </row>
    <row r="182" spans="1:19" x14ac:dyDescent="0.25">
      <c r="A182" s="1">
        <v>150</v>
      </c>
      <c r="B182" s="1">
        <v>786</v>
      </c>
      <c r="C182" s="1">
        <v>1903</v>
      </c>
      <c r="D182" s="1">
        <v>16.8</v>
      </c>
      <c r="E182" s="1">
        <v>-3.8</v>
      </c>
      <c r="F182" s="1">
        <v>-1.1000000000000001</v>
      </c>
      <c r="G182">
        <v>14</v>
      </c>
      <c r="H182">
        <v>4</v>
      </c>
      <c r="I182">
        <v>1</v>
      </c>
      <c r="K182" s="1">
        <v>150</v>
      </c>
      <c r="L182" s="1">
        <v>16.100000000000001</v>
      </c>
      <c r="M182" s="1">
        <v>3.7</v>
      </c>
      <c r="N182" s="1">
        <v>1.1000000000000001</v>
      </c>
      <c r="O182" s="1">
        <v>17.399999999999999</v>
      </c>
      <c r="P182" s="1">
        <v>4</v>
      </c>
      <c r="Q182" s="1">
        <v>1.2</v>
      </c>
      <c r="R182" s="1">
        <v>785</v>
      </c>
      <c r="S182" s="1">
        <v>1898</v>
      </c>
    </row>
    <row r="183" spans="1:19" x14ac:dyDescent="0.25">
      <c r="A183" s="1">
        <v>175</v>
      </c>
      <c r="B183" s="1">
        <v>767</v>
      </c>
      <c r="C183" s="1">
        <v>1810</v>
      </c>
      <c r="D183" s="1">
        <v>16.899999999999999</v>
      </c>
      <c r="E183" s="1">
        <v>-3.3</v>
      </c>
      <c r="F183" s="1">
        <v>-1</v>
      </c>
      <c r="G183">
        <v>19</v>
      </c>
      <c r="H183">
        <v>4</v>
      </c>
      <c r="I183">
        <v>1</v>
      </c>
      <c r="K183" s="1">
        <v>175</v>
      </c>
      <c r="L183" s="1">
        <v>16.3</v>
      </c>
      <c r="M183" s="1">
        <v>3.2</v>
      </c>
      <c r="N183" s="1">
        <v>0.9</v>
      </c>
      <c r="O183" s="1">
        <v>23.7</v>
      </c>
      <c r="P183" s="1">
        <v>4.7</v>
      </c>
      <c r="Q183" s="1">
        <v>1.4</v>
      </c>
      <c r="R183" s="1">
        <v>766</v>
      </c>
      <c r="S183" s="1">
        <v>1806</v>
      </c>
    </row>
    <row r="184" spans="1:19" x14ac:dyDescent="0.25">
      <c r="A184" s="1">
        <v>200</v>
      </c>
      <c r="B184" s="1">
        <v>748</v>
      </c>
      <c r="C184" s="1">
        <v>1722</v>
      </c>
      <c r="D184" s="1">
        <v>16</v>
      </c>
      <c r="E184" s="1">
        <v>-2.7</v>
      </c>
      <c r="F184" s="1">
        <v>-0.8</v>
      </c>
      <c r="G184">
        <v>25</v>
      </c>
      <c r="H184">
        <v>5</v>
      </c>
      <c r="I184">
        <v>1</v>
      </c>
      <c r="K184" s="1">
        <v>200</v>
      </c>
      <c r="L184" s="1">
        <v>15.3</v>
      </c>
      <c r="M184" s="1">
        <v>2.6</v>
      </c>
      <c r="N184" s="1">
        <v>0.8</v>
      </c>
      <c r="O184" s="1">
        <v>31.4</v>
      </c>
      <c r="P184" s="1">
        <v>5.4</v>
      </c>
      <c r="Q184" s="1">
        <v>1.6</v>
      </c>
      <c r="R184" s="1">
        <v>746</v>
      </c>
      <c r="S184" s="1">
        <v>1715</v>
      </c>
    </row>
    <row r="185" spans="1:19" x14ac:dyDescent="0.25">
      <c r="A185" s="1">
        <v>225</v>
      </c>
      <c r="B185" s="1">
        <v>729</v>
      </c>
      <c r="C185" s="1">
        <v>1636</v>
      </c>
      <c r="D185" s="1">
        <v>13.9</v>
      </c>
      <c r="E185" s="1">
        <v>-2.1</v>
      </c>
      <c r="F185" s="1">
        <v>-0.6</v>
      </c>
      <c r="G185">
        <v>32</v>
      </c>
      <c r="H185">
        <v>5</v>
      </c>
      <c r="I185">
        <v>2</v>
      </c>
      <c r="K185" s="1">
        <v>225</v>
      </c>
      <c r="L185" s="1">
        <v>13.4</v>
      </c>
      <c r="M185" s="1">
        <v>2</v>
      </c>
      <c r="N185" s="1">
        <v>0.6</v>
      </c>
      <c r="O185" s="1">
        <v>39.9</v>
      </c>
      <c r="P185" s="1">
        <v>6.1</v>
      </c>
      <c r="Q185" s="1">
        <v>1.8</v>
      </c>
      <c r="R185" s="1">
        <v>728</v>
      </c>
      <c r="S185" s="1">
        <v>1630</v>
      </c>
    </row>
    <row r="186" spans="1:19" x14ac:dyDescent="0.25">
      <c r="A186" s="1">
        <v>250</v>
      </c>
      <c r="B186" s="1">
        <v>711</v>
      </c>
      <c r="C186" s="1">
        <v>1555</v>
      </c>
      <c r="D186" s="1">
        <v>10.7</v>
      </c>
      <c r="E186" s="1">
        <v>-1.5</v>
      </c>
      <c r="F186" s="1">
        <v>-0.4</v>
      </c>
      <c r="G186">
        <v>40</v>
      </c>
      <c r="H186">
        <v>6</v>
      </c>
      <c r="I186">
        <v>2</v>
      </c>
      <c r="K186" s="1">
        <v>250</v>
      </c>
      <c r="L186" s="1">
        <v>10.199999999999999</v>
      </c>
      <c r="M186" s="1">
        <v>1.4</v>
      </c>
      <c r="N186" s="1">
        <v>0.4</v>
      </c>
      <c r="O186" s="1">
        <v>49.9</v>
      </c>
      <c r="P186" s="1">
        <v>6.9</v>
      </c>
      <c r="Q186" s="1">
        <v>2</v>
      </c>
      <c r="R186" s="1">
        <v>709</v>
      </c>
      <c r="S186" s="1">
        <v>1548</v>
      </c>
    </row>
    <row r="187" spans="1:19" x14ac:dyDescent="0.25">
      <c r="A187" s="1">
        <v>275</v>
      </c>
      <c r="B187" s="1">
        <v>692</v>
      </c>
      <c r="C187" s="1">
        <v>1476</v>
      </c>
      <c r="D187" s="1">
        <v>6.1</v>
      </c>
      <c r="E187" s="1">
        <v>-0.8</v>
      </c>
      <c r="F187" s="1">
        <v>-0.2</v>
      </c>
      <c r="G187">
        <v>49</v>
      </c>
      <c r="H187">
        <v>7</v>
      </c>
      <c r="I187">
        <v>2</v>
      </c>
      <c r="K187" s="1">
        <v>275</v>
      </c>
      <c r="L187" s="1">
        <v>5.7</v>
      </c>
      <c r="M187" s="1">
        <v>0.7</v>
      </c>
      <c r="N187" s="1">
        <v>0.2</v>
      </c>
      <c r="O187" s="1">
        <v>61.8</v>
      </c>
      <c r="P187" s="1">
        <v>7.7</v>
      </c>
      <c r="Q187" s="1">
        <v>2.2000000000000002</v>
      </c>
      <c r="R187" s="1">
        <v>690</v>
      </c>
      <c r="S187" s="1">
        <v>1467</v>
      </c>
    </row>
    <row r="188" spans="1:19" x14ac:dyDescent="0.25">
      <c r="A188" s="10">
        <v>300</v>
      </c>
      <c r="B188" s="10">
        <v>674</v>
      </c>
      <c r="C188" s="10">
        <v>1400</v>
      </c>
      <c r="D188" s="10">
        <v>0.2</v>
      </c>
      <c r="E188" s="10">
        <v>0</v>
      </c>
      <c r="F188" s="10">
        <v>0</v>
      </c>
      <c r="G188">
        <v>59</v>
      </c>
      <c r="H188">
        <v>7</v>
      </c>
      <c r="I188">
        <v>2</v>
      </c>
      <c r="K188" s="1">
        <v>300</v>
      </c>
      <c r="L188" s="1">
        <v>0</v>
      </c>
      <c r="M188" s="1">
        <v>0</v>
      </c>
      <c r="N188" s="1">
        <v>0</v>
      </c>
      <c r="O188" s="1">
        <v>74.599999999999994</v>
      </c>
      <c r="P188" s="1">
        <v>8.5</v>
      </c>
      <c r="Q188" s="1">
        <v>2.5</v>
      </c>
      <c r="R188" s="1">
        <v>673</v>
      </c>
      <c r="S188" s="1">
        <v>1392</v>
      </c>
    </row>
    <row r="189" spans="1:19" x14ac:dyDescent="0.25">
      <c r="A189" s="1">
        <v>325</v>
      </c>
      <c r="B189" s="1">
        <v>657</v>
      </c>
      <c r="C189" s="1">
        <v>1328</v>
      </c>
      <c r="D189" s="1">
        <v>-7</v>
      </c>
      <c r="E189" s="1">
        <v>0.7</v>
      </c>
      <c r="F189" s="1">
        <v>0.2</v>
      </c>
      <c r="G189">
        <v>70</v>
      </c>
      <c r="H189">
        <v>8</v>
      </c>
      <c r="I189">
        <v>2</v>
      </c>
      <c r="K189" s="1">
        <v>325</v>
      </c>
      <c r="L189" s="1">
        <v>-7</v>
      </c>
      <c r="M189" s="1">
        <v>-0.7</v>
      </c>
      <c r="N189" s="1">
        <v>-0.2</v>
      </c>
      <c r="O189" s="1">
        <v>88.6</v>
      </c>
      <c r="P189" s="1">
        <v>9.4</v>
      </c>
      <c r="Q189" s="1">
        <v>2.7</v>
      </c>
      <c r="R189" s="1">
        <v>655</v>
      </c>
      <c r="S189" s="1">
        <v>1321</v>
      </c>
    </row>
    <row r="190" spans="1:19" x14ac:dyDescent="0.25">
      <c r="A190" s="1">
        <v>350</v>
      </c>
      <c r="B190" s="1">
        <v>639</v>
      </c>
      <c r="C190" s="1">
        <v>1258</v>
      </c>
      <c r="D190" s="1">
        <v>-16</v>
      </c>
      <c r="E190" s="1">
        <v>1.6</v>
      </c>
      <c r="F190" s="1">
        <v>0.5</v>
      </c>
      <c r="G190">
        <v>83</v>
      </c>
      <c r="H190">
        <v>9</v>
      </c>
      <c r="I190">
        <v>3</v>
      </c>
      <c r="K190" s="1">
        <v>350</v>
      </c>
      <c r="L190" s="1">
        <v>-15.7</v>
      </c>
      <c r="M190" s="1">
        <v>-1.5</v>
      </c>
      <c r="N190" s="1">
        <v>-0.4</v>
      </c>
      <c r="O190" s="1">
        <v>104.5</v>
      </c>
      <c r="P190" s="1">
        <v>10.3</v>
      </c>
      <c r="Q190" s="1">
        <v>3</v>
      </c>
      <c r="R190" s="1">
        <v>637</v>
      </c>
      <c r="S190" s="1">
        <v>1250</v>
      </c>
    </row>
    <row r="191" spans="1:19" x14ac:dyDescent="0.25">
      <c r="A191" s="1">
        <v>375</v>
      </c>
      <c r="B191" s="1">
        <v>622</v>
      </c>
      <c r="C191" s="1">
        <v>1192</v>
      </c>
      <c r="D191" s="1">
        <v>-26.4</v>
      </c>
      <c r="E191" s="1">
        <v>2.4</v>
      </c>
      <c r="F191" s="1">
        <v>0.7</v>
      </c>
      <c r="G191">
        <v>96</v>
      </c>
      <c r="H191">
        <v>10</v>
      </c>
      <c r="I191">
        <v>3</v>
      </c>
      <c r="K191" s="1">
        <v>375</v>
      </c>
      <c r="L191" s="1">
        <v>-25.5</v>
      </c>
      <c r="M191" s="1">
        <v>-2.2999999999999998</v>
      </c>
      <c r="N191" s="1">
        <v>-0.7</v>
      </c>
      <c r="O191" s="1">
        <v>120.9</v>
      </c>
      <c r="P191" s="1">
        <v>11.1</v>
      </c>
      <c r="Q191" s="1">
        <v>3.2</v>
      </c>
      <c r="R191" s="1">
        <v>620</v>
      </c>
      <c r="S191" s="1">
        <v>1184</v>
      </c>
    </row>
    <row r="192" spans="1:19" x14ac:dyDescent="0.25">
      <c r="A192" s="1">
        <v>400</v>
      </c>
      <c r="B192" s="1">
        <v>605</v>
      </c>
      <c r="C192" s="1">
        <v>1128</v>
      </c>
      <c r="D192" s="1">
        <v>-38.4</v>
      </c>
      <c r="E192" s="1">
        <v>3.3</v>
      </c>
      <c r="F192" s="1">
        <v>1</v>
      </c>
      <c r="G192">
        <v>111</v>
      </c>
      <c r="H192">
        <v>10</v>
      </c>
      <c r="I192">
        <v>3</v>
      </c>
      <c r="K192" s="1">
        <v>400</v>
      </c>
      <c r="L192" s="1">
        <v>-36.9</v>
      </c>
      <c r="M192" s="1">
        <v>-3.2</v>
      </c>
      <c r="N192" s="1">
        <v>-0.9</v>
      </c>
      <c r="O192" s="1">
        <v>139.30000000000001</v>
      </c>
      <c r="P192" s="1">
        <v>12</v>
      </c>
      <c r="Q192" s="1">
        <v>3.5</v>
      </c>
      <c r="R192" s="1">
        <v>603</v>
      </c>
      <c r="S192" s="1">
        <v>1120</v>
      </c>
    </row>
    <row r="193" spans="1:19" x14ac:dyDescent="0.25">
      <c r="A193" s="1">
        <v>425</v>
      </c>
      <c r="B193" s="1">
        <v>589</v>
      </c>
      <c r="C193" s="1">
        <v>1067</v>
      </c>
      <c r="D193" s="1">
        <v>-52.7</v>
      </c>
      <c r="E193" s="1">
        <v>4.3</v>
      </c>
      <c r="F193" s="1">
        <v>1.2</v>
      </c>
      <c r="G193">
        <v>127</v>
      </c>
      <c r="H193">
        <v>11</v>
      </c>
      <c r="I193">
        <v>3</v>
      </c>
      <c r="K193" s="1">
        <v>425</v>
      </c>
      <c r="L193" s="1">
        <v>-50.1</v>
      </c>
      <c r="M193" s="1">
        <v>-4.0999999999999996</v>
      </c>
      <c r="N193" s="1">
        <v>-1.2</v>
      </c>
      <c r="O193" s="1">
        <v>158.9</v>
      </c>
      <c r="P193" s="1">
        <v>12.8</v>
      </c>
      <c r="Q193" s="1">
        <v>3.7</v>
      </c>
      <c r="R193" s="1">
        <v>586</v>
      </c>
      <c r="S193" s="1">
        <v>1056</v>
      </c>
    </row>
    <row r="194" spans="1:19" x14ac:dyDescent="0.25">
      <c r="A194" s="1">
        <v>450</v>
      </c>
      <c r="B194" s="1">
        <v>572</v>
      </c>
      <c r="C194" s="1">
        <v>1009</v>
      </c>
      <c r="D194" s="1">
        <v>-68.400000000000006</v>
      </c>
      <c r="E194" s="1">
        <v>5.2</v>
      </c>
      <c r="F194" s="1">
        <v>1.5</v>
      </c>
      <c r="G194">
        <v>144</v>
      </c>
      <c r="H194">
        <v>12</v>
      </c>
      <c r="I194">
        <v>4</v>
      </c>
      <c r="K194" s="1">
        <v>450</v>
      </c>
      <c r="L194" s="1">
        <v>-64.900000000000006</v>
      </c>
      <c r="M194" s="1">
        <v>-5</v>
      </c>
      <c r="N194" s="1">
        <v>-1.4</v>
      </c>
      <c r="O194" s="1">
        <v>180.1</v>
      </c>
      <c r="P194" s="1">
        <v>13.8</v>
      </c>
      <c r="Q194" s="1">
        <v>4</v>
      </c>
      <c r="R194" s="1">
        <v>570</v>
      </c>
      <c r="S194" s="1">
        <v>999</v>
      </c>
    </row>
    <row r="195" spans="1:19" x14ac:dyDescent="0.25">
      <c r="A195" s="1">
        <v>475</v>
      </c>
      <c r="B195" s="1">
        <v>557</v>
      </c>
      <c r="C195" s="1">
        <v>953</v>
      </c>
      <c r="D195" s="1">
        <v>-86.2</v>
      </c>
      <c r="E195" s="1">
        <v>6.2</v>
      </c>
      <c r="F195" s="1">
        <v>1.8</v>
      </c>
      <c r="G195">
        <v>162</v>
      </c>
      <c r="H195">
        <v>13</v>
      </c>
      <c r="I195">
        <v>4</v>
      </c>
      <c r="K195" s="1">
        <v>475</v>
      </c>
      <c r="L195" s="1">
        <v>-81.7</v>
      </c>
      <c r="M195" s="1">
        <v>-5.9</v>
      </c>
      <c r="N195" s="1">
        <v>-1.7</v>
      </c>
      <c r="O195" s="1">
        <v>203.6</v>
      </c>
      <c r="P195" s="1">
        <v>14.7</v>
      </c>
      <c r="Q195" s="1">
        <v>4.3</v>
      </c>
      <c r="R195" s="1">
        <v>554</v>
      </c>
      <c r="S195" s="1">
        <v>944</v>
      </c>
    </row>
    <row r="196" spans="1:19" x14ac:dyDescent="0.25">
      <c r="A196" s="1">
        <v>500</v>
      </c>
      <c r="B196" s="1">
        <v>541</v>
      </c>
      <c r="C196" s="1">
        <v>903</v>
      </c>
      <c r="D196" s="1">
        <v>-106</v>
      </c>
      <c r="E196" s="1">
        <v>7.3</v>
      </c>
      <c r="F196" s="1">
        <v>2.1</v>
      </c>
      <c r="G196">
        <v>182</v>
      </c>
      <c r="H196">
        <v>14</v>
      </c>
      <c r="I196">
        <v>4</v>
      </c>
      <c r="K196" s="1">
        <v>500</v>
      </c>
      <c r="L196" s="1">
        <v>-101.4</v>
      </c>
      <c r="M196" s="1">
        <v>-7</v>
      </c>
      <c r="N196" s="1">
        <v>-2</v>
      </c>
      <c r="O196" s="1">
        <v>230.1</v>
      </c>
      <c r="P196" s="1">
        <v>15.8</v>
      </c>
      <c r="Q196" s="1">
        <v>4.5999999999999996</v>
      </c>
      <c r="R196" s="1">
        <v>538</v>
      </c>
      <c r="S196" s="1">
        <v>889</v>
      </c>
    </row>
    <row r="198" spans="1:19" x14ac:dyDescent="0.25">
      <c r="A198" t="s">
        <v>31</v>
      </c>
      <c r="K198" t="s">
        <v>50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  <c r="K199" t="s">
        <v>38</v>
      </c>
      <c r="L199" t="s">
        <v>39</v>
      </c>
      <c r="M199" t="s">
        <v>40</v>
      </c>
      <c r="N199" t="s">
        <v>41</v>
      </c>
      <c r="O199" t="s">
        <v>42</v>
      </c>
      <c r="P199" t="s">
        <v>35</v>
      </c>
      <c r="Q199" t="s">
        <v>43</v>
      </c>
      <c r="R199" t="s">
        <v>44</v>
      </c>
      <c r="S199" t="s">
        <v>45</v>
      </c>
    </row>
    <row r="200" spans="1:19" x14ac:dyDescent="0.25">
      <c r="A200" s="1">
        <v>0</v>
      </c>
      <c r="B200" s="1">
        <v>908</v>
      </c>
      <c r="C200" s="1">
        <v>2539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-3.8</v>
      </c>
      <c r="M200" s="1" t="s">
        <v>46</v>
      </c>
      <c r="N200" s="1" t="s">
        <v>46</v>
      </c>
      <c r="O200" s="1">
        <v>0</v>
      </c>
      <c r="P200" s="1" t="s">
        <v>46</v>
      </c>
      <c r="Q200" s="1" t="s">
        <v>46</v>
      </c>
      <c r="R200" s="1">
        <v>908</v>
      </c>
      <c r="S200" s="1">
        <v>2538</v>
      </c>
    </row>
    <row r="201" spans="1:19" x14ac:dyDescent="0.25">
      <c r="A201" s="1">
        <v>25</v>
      </c>
      <c r="B201" s="1">
        <v>887</v>
      </c>
      <c r="C201" s="1">
        <v>2422</v>
      </c>
      <c r="D201" s="1">
        <v>4.0999999999999996</v>
      </c>
      <c r="E201" s="1">
        <v>-5.7</v>
      </c>
      <c r="F201" s="1">
        <v>-1.7</v>
      </c>
      <c r="G201">
        <v>1</v>
      </c>
      <c r="H201">
        <v>1</v>
      </c>
      <c r="I201">
        <v>0</v>
      </c>
      <c r="K201" s="1">
        <v>25</v>
      </c>
      <c r="L201" s="1">
        <v>3.8</v>
      </c>
      <c r="M201" s="1">
        <v>5.3</v>
      </c>
      <c r="N201" s="1">
        <v>1.5</v>
      </c>
      <c r="O201" s="1">
        <v>0.2</v>
      </c>
      <c r="P201" s="1">
        <v>0.3</v>
      </c>
      <c r="Q201" s="1">
        <v>0.1</v>
      </c>
      <c r="R201" s="1">
        <v>887</v>
      </c>
      <c r="S201" s="1">
        <v>2421</v>
      </c>
    </row>
    <row r="202" spans="1:19" x14ac:dyDescent="0.25">
      <c r="A202" s="1">
        <v>50</v>
      </c>
      <c r="B202" s="1">
        <v>866</v>
      </c>
      <c r="C202" s="1">
        <v>2310</v>
      </c>
      <c r="D202" s="1">
        <v>11.5</v>
      </c>
      <c r="E202" s="1">
        <v>-7.8</v>
      </c>
      <c r="F202" s="1">
        <v>-2.2999999999999998</v>
      </c>
      <c r="G202">
        <v>2</v>
      </c>
      <c r="H202">
        <v>1</v>
      </c>
      <c r="I202">
        <v>0</v>
      </c>
      <c r="K202" s="1">
        <v>50</v>
      </c>
      <c r="L202" s="1">
        <v>10.9</v>
      </c>
      <c r="M202" s="1">
        <v>7.5</v>
      </c>
      <c r="N202" s="1">
        <v>2.2000000000000002</v>
      </c>
      <c r="O202" s="1">
        <v>1.7</v>
      </c>
      <c r="P202" s="1">
        <v>1.1000000000000001</v>
      </c>
      <c r="Q202" s="1">
        <v>0.3</v>
      </c>
      <c r="R202" s="1">
        <v>866</v>
      </c>
      <c r="S202" s="1">
        <v>2306</v>
      </c>
    </row>
    <row r="203" spans="1:19" x14ac:dyDescent="0.25">
      <c r="A203" s="1">
        <v>75</v>
      </c>
      <c r="B203" s="1">
        <v>846</v>
      </c>
      <c r="C203" s="1">
        <v>2202</v>
      </c>
      <c r="D203" s="1">
        <v>17.8</v>
      </c>
      <c r="E203" s="1">
        <v>-8.1</v>
      </c>
      <c r="F203" s="1">
        <v>-2.4</v>
      </c>
      <c r="G203">
        <v>4</v>
      </c>
      <c r="H203">
        <v>2</v>
      </c>
      <c r="I203">
        <v>0</v>
      </c>
      <c r="K203" s="1">
        <v>75</v>
      </c>
      <c r="L203" s="1">
        <v>17</v>
      </c>
      <c r="M203" s="1">
        <v>7.8</v>
      </c>
      <c r="N203" s="1">
        <v>2.2999999999999998</v>
      </c>
      <c r="O203" s="1">
        <v>4.0999999999999996</v>
      </c>
      <c r="P203" s="1">
        <v>1.9</v>
      </c>
      <c r="Q203" s="1">
        <v>0.5</v>
      </c>
      <c r="R203" s="1">
        <v>845</v>
      </c>
      <c r="S203" s="1">
        <v>2199</v>
      </c>
    </row>
    <row r="204" spans="1:19" x14ac:dyDescent="0.25">
      <c r="A204" s="1">
        <v>100</v>
      </c>
      <c r="B204" s="1">
        <v>826</v>
      </c>
      <c r="C204" s="1">
        <v>2098</v>
      </c>
      <c r="D204" s="1">
        <v>23.2</v>
      </c>
      <c r="E204" s="1">
        <v>-8</v>
      </c>
      <c r="F204" s="1">
        <v>-2.2999999999999998</v>
      </c>
      <c r="G204">
        <v>6</v>
      </c>
      <c r="H204">
        <v>2</v>
      </c>
      <c r="I204">
        <v>1</v>
      </c>
      <c r="K204" s="1">
        <v>100</v>
      </c>
      <c r="L204" s="1">
        <v>22.2</v>
      </c>
      <c r="M204" s="1">
        <v>7.6</v>
      </c>
      <c r="N204" s="1">
        <v>2.2000000000000002</v>
      </c>
      <c r="O204" s="1">
        <v>7.5</v>
      </c>
      <c r="P204" s="1">
        <v>2.6</v>
      </c>
      <c r="Q204" s="1">
        <v>0.8</v>
      </c>
      <c r="R204" s="1">
        <v>825</v>
      </c>
      <c r="S204" s="1">
        <v>2096</v>
      </c>
    </row>
    <row r="205" spans="1:19" x14ac:dyDescent="0.25">
      <c r="A205" s="1">
        <v>125</v>
      </c>
      <c r="B205" s="1">
        <v>806</v>
      </c>
      <c r="C205" s="1">
        <v>1998</v>
      </c>
      <c r="D205" s="1">
        <v>27.9</v>
      </c>
      <c r="E205" s="1">
        <v>-7.6</v>
      </c>
      <c r="F205" s="1">
        <v>-2.2000000000000002</v>
      </c>
      <c r="G205">
        <v>10</v>
      </c>
      <c r="H205">
        <v>3</v>
      </c>
      <c r="I205">
        <v>1</v>
      </c>
      <c r="K205" s="1">
        <v>125</v>
      </c>
      <c r="L205" s="1">
        <v>26.6</v>
      </c>
      <c r="M205" s="1">
        <v>7.3</v>
      </c>
      <c r="N205" s="1">
        <v>2.1</v>
      </c>
      <c r="O205" s="1">
        <v>12.1</v>
      </c>
      <c r="P205" s="1">
        <v>3.3</v>
      </c>
      <c r="Q205" s="1">
        <v>1</v>
      </c>
      <c r="R205" s="1">
        <v>805</v>
      </c>
      <c r="S205" s="1">
        <v>1993</v>
      </c>
    </row>
    <row r="206" spans="1:19" x14ac:dyDescent="0.25">
      <c r="A206" s="1">
        <v>150</v>
      </c>
      <c r="B206" s="1">
        <v>786</v>
      </c>
      <c r="C206" s="1">
        <v>1903</v>
      </c>
      <c r="D206" s="1">
        <v>31.5</v>
      </c>
      <c r="E206" s="1">
        <v>-7.2</v>
      </c>
      <c r="F206" s="1">
        <v>-2.1</v>
      </c>
      <c r="G206">
        <v>14</v>
      </c>
      <c r="H206">
        <v>4</v>
      </c>
      <c r="I206">
        <v>1</v>
      </c>
      <c r="K206" s="1">
        <v>150</v>
      </c>
      <c r="L206" s="1">
        <v>30</v>
      </c>
      <c r="M206" s="1">
        <v>6.9</v>
      </c>
      <c r="N206" s="1">
        <v>2</v>
      </c>
      <c r="O206" s="1">
        <v>17.399999999999999</v>
      </c>
      <c r="P206" s="1">
        <v>4</v>
      </c>
      <c r="Q206" s="1">
        <v>1.2</v>
      </c>
      <c r="R206" s="1">
        <v>785</v>
      </c>
      <c r="S206" s="1">
        <v>1898</v>
      </c>
    </row>
    <row r="207" spans="1:19" x14ac:dyDescent="0.25">
      <c r="A207" s="1">
        <v>175</v>
      </c>
      <c r="B207" s="1">
        <v>767</v>
      </c>
      <c r="C207" s="1">
        <v>1810</v>
      </c>
      <c r="D207" s="1">
        <v>34</v>
      </c>
      <c r="E207" s="1">
        <v>-6.7</v>
      </c>
      <c r="F207" s="1">
        <v>-1.9</v>
      </c>
      <c r="G207">
        <v>19</v>
      </c>
      <c r="H207">
        <v>4</v>
      </c>
      <c r="I207">
        <v>1</v>
      </c>
      <c r="K207" s="1">
        <v>175</v>
      </c>
      <c r="L207" s="1">
        <v>32.4</v>
      </c>
      <c r="M207" s="1">
        <v>6.4</v>
      </c>
      <c r="N207" s="1">
        <v>1.9</v>
      </c>
      <c r="O207" s="1">
        <v>23.7</v>
      </c>
      <c r="P207" s="1">
        <v>4.7</v>
      </c>
      <c r="Q207" s="1">
        <v>1.4</v>
      </c>
      <c r="R207" s="1">
        <v>766</v>
      </c>
      <c r="S207" s="1">
        <v>1806</v>
      </c>
    </row>
    <row r="208" spans="1:19" x14ac:dyDescent="0.25">
      <c r="A208" s="1">
        <v>200</v>
      </c>
      <c r="B208" s="1">
        <v>748</v>
      </c>
      <c r="C208" s="1">
        <v>1722</v>
      </c>
      <c r="D208" s="1">
        <v>35.6</v>
      </c>
      <c r="E208" s="1">
        <v>-6.1</v>
      </c>
      <c r="F208" s="1">
        <v>-1.8</v>
      </c>
      <c r="G208">
        <v>25</v>
      </c>
      <c r="H208">
        <v>5</v>
      </c>
      <c r="I208">
        <v>1</v>
      </c>
      <c r="K208" s="1">
        <v>200</v>
      </c>
      <c r="L208" s="1">
        <v>33.9</v>
      </c>
      <c r="M208" s="1">
        <v>5.8</v>
      </c>
      <c r="N208" s="1">
        <v>1.7</v>
      </c>
      <c r="O208" s="1">
        <v>31.4</v>
      </c>
      <c r="P208" s="1">
        <v>5.4</v>
      </c>
      <c r="Q208" s="1">
        <v>1.6</v>
      </c>
      <c r="R208" s="1">
        <v>746</v>
      </c>
      <c r="S208" s="1">
        <v>1715</v>
      </c>
    </row>
    <row r="209" spans="1:19" x14ac:dyDescent="0.25">
      <c r="A209" s="1">
        <v>225</v>
      </c>
      <c r="B209" s="1">
        <v>729</v>
      </c>
      <c r="C209" s="1">
        <v>1636</v>
      </c>
      <c r="D209" s="1">
        <v>35.9</v>
      </c>
      <c r="E209" s="1">
        <v>-5.5</v>
      </c>
      <c r="F209" s="1">
        <v>-1.6</v>
      </c>
      <c r="G209">
        <v>32</v>
      </c>
      <c r="H209">
        <v>5</v>
      </c>
      <c r="I209">
        <v>2</v>
      </c>
      <c r="K209" s="1">
        <v>225</v>
      </c>
      <c r="L209" s="1">
        <v>34.200000000000003</v>
      </c>
      <c r="M209" s="1">
        <v>5.2</v>
      </c>
      <c r="N209" s="1">
        <v>1.5</v>
      </c>
      <c r="O209" s="1">
        <v>39.9</v>
      </c>
      <c r="P209" s="1">
        <v>6.1</v>
      </c>
      <c r="Q209" s="1">
        <v>1.8</v>
      </c>
      <c r="R209" s="1">
        <v>728</v>
      </c>
      <c r="S209" s="1">
        <v>1630</v>
      </c>
    </row>
    <row r="210" spans="1:19" x14ac:dyDescent="0.25">
      <c r="A210" s="1">
        <v>250</v>
      </c>
      <c r="B210" s="1">
        <v>711</v>
      </c>
      <c r="C210" s="1">
        <v>1555</v>
      </c>
      <c r="D210" s="1">
        <v>35.1</v>
      </c>
      <c r="E210" s="1">
        <v>-4.8</v>
      </c>
      <c r="F210" s="1">
        <v>-1.4</v>
      </c>
      <c r="G210">
        <v>40</v>
      </c>
      <c r="H210">
        <v>6</v>
      </c>
      <c r="I210">
        <v>2</v>
      </c>
      <c r="K210" s="1">
        <v>250</v>
      </c>
      <c r="L210" s="1">
        <v>33.299999999999997</v>
      </c>
      <c r="M210" s="1">
        <v>4.5999999999999996</v>
      </c>
      <c r="N210" s="1">
        <v>1.3</v>
      </c>
      <c r="O210" s="1">
        <v>49.9</v>
      </c>
      <c r="P210" s="1">
        <v>6.9</v>
      </c>
      <c r="Q210" s="1">
        <v>2</v>
      </c>
      <c r="R210" s="1">
        <v>709</v>
      </c>
      <c r="S210" s="1">
        <v>1548</v>
      </c>
    </row>
    <row r="211" spans="1:19" x14ac:dyDescent="0.25">
      <c r="A211" s="1">
        <v>275</v>
      </c>
      <c r="B211" s="1">
        <v>692</v>
      </c>
      <c r="C211" s="1">
        <v>1476</v>
      </c>
      <c r="D211" s="1">
        <v>33</v>
      </c>
      <c r="E211" s="1">
        <v>-4.0999999999999996</v>
      </c>
      <c r="F211" s="1">
        <v>-1.2</v>
      </c>
      <c r="G211">
        <v>49</v>
      </c>
      <c r="H211">
        <v>7</v>
      </c>
      <c r="I211">
        <v>2</v>
      </c>
      <c r="K211" s="1">
        <v>275</v>
      </c>
      <c r="L211" s="1">
        <v>31.1</v>
      </c>
      <c r="M211" s="1">
        <v>3.9</v>
      </c>
      <c r="N211" s="1">
        <v>1.1000000000000001</v>
      </c>
      <c r="O211" s="1">
        <v>61.8</v>
      </c>
      <c r="P211" s="1">
        <v>7.7</v>
      </c>
      <c r="Q211" s="1">
        <v>2.2000000000000002</v>
      </c>
      <c r="R211" s="1">
        <v>690</v>
      </c>
      <c r="S211" s="1">
        <v>1467</v>
      </c>
    </row>
    <row r="212" spans="1:19" x14ac:dyDescent="0.25">
      <c r="A212" s="1">
        <v>300</v>
      </c>
      <c r="B212" s="1">
        <v>674</v>
      </c>
      <c r="C212" s="1">
        <v>1400</v>
      </c>
      <c r="D212" s="1">
        <v>29.6</v>
      </c>
      <c r="E212" s="1">
        <v>-3.4</v>
      </c>
      <c r="F212" s="1">
        <v>-1</v>
      </c>
      <c r="G212">
        <v>59</v>
      </c>
      <c r="H212">
        <v>7</v>
      </c>
      <c r="I212">
        <v>2</v>
      </c>
      <c r="K212" s="1">
        <v>300</v>
      </c>
      <c r="L212" s="1">
        <v>27.7</v>
      </c>
      <c r="M212" s="1">
        <v>3.2</v>
      </c>
      <c r="N212" s="1">
        <v>0.9</v>
      </c>
      <c r="O212" s="1">
        <v>74.599999999999994</v>
      </c>
      <c r="P212" s="1">
        <v>8.5</v>
      </c>
      <c r="Q212" s="1">
        <v>2.5</v>
      </c>
      <c r="R212" s="1">
        <v>673</v>
      </c>
      <c r="S212" s="1">
        <v>1392</v>
      </c>
    </row>
    <row r="213" spans="1:19" x14ac:dyDescent="0.25">
      <c r="A213" s="1">
        <v>325</v>
      </c>
      <c r="B213" s="1">
        <v>657</v>
      </c>
      <c r="C213" s="1">
        <v>1328</v>
      </c>
      <c r="D213" s="1">
        <v>24.7</v>
      </c>
      <c r="E213" s="1">
        <v>-2.6</v>
      </c>
      <c r="F213" s="1">
        <v>-0.8</v>
      </c>
      <c r="G213">
        <v>70</v>
      </c>
      <c r="H213">
        <v>8</v>
      </c>
      <c r="I213">
        <v>2</v>
      </c>
      <c r="K213" s="1">
        <v>325</v>
      </c>
      <c r="L213" s="1">
        <v>23</v>
      </c>
      <c r="M213" s="1">
        <v>2.4</v>
      </c>
      <c r="N213" s="1">
        <v>0.7</v>
      </c>
      <c r="O213" s="1">
        <v>88.6</v>
      </c>
      <c r="P213" s="1">
        <v>9.4</v>
      </c>
      <c r="Q213" s="1">
        <v>2.7</v>
      </c>
      <c r="R213" s="1">
        <v>655</v>
      </c>
      <c r="S213" s="1">
        <v>1321</v>
      </c>
    </row>
    <row r="214" spans="1:19" x14ac:dyDescent="0.25">
      <c r="A214" s="1">
        <v>350</v>
      </c>
      <c r="B214" s="1">
        <v>639</v>
      </c>
      <c r="C214" s="1">
        <v>1258</v>
      </c>
      <c r="D214" s="1">
        <v>18.2</v>
      </c>
      <c r="E214" s="1">
        <v>-1.8</v>
      </c>
      <c r="F214" s="1">
        <v>-0.5</v>
      </c>
      <c r="G214">
        <v>83</v>
      </c>
      <c r="H214">
        <v>9</v>
      </c>
      <c r="I214">
        <v>3</v>
      </c>
      <c r="K214" s="1">
        <v>350</v>
      </c>
      <c r="L214" s="1">
        <v>16.7</v>
      </c>
      <c r="M214" s="1">
        <v>1.6</v>
      </c>
      <c r="N214" s="1">
        <v>0.5</v>
      </c>
      <c r="O214" s="1">
        <v>104.5</v>
      </c>
      <c r="P214" s="1">
        <v>10.3</v>
      </c>
      <c r="Q214" s="1">
        <v>3</v>
      </c>
      <c r="R214" s="1">
        <v>637</v>
      </c>
      <c r="S214" s="1">
        <v>1250</v>
      </c>
    </row>
    <row r="215" spans="1:19" x14ac:dyDescent="0.25">
      <c r="A215" s="1">
        <v>375</v>
      </c>
      <c r="B215" s="1">
        <v>622</v>
      </c>
      <c r="C215" s="1">
        <v>1192</v>
      </c>
      <c r="D215" s="1">
        <v>10.3</v>
      </c>
      <c r="E215" s="1">
        <v>-0.9</v>
      </c>
      <c r="F215" s="1">
        <v>-0.3</v>
      </c>
      <c r="G215">
        <v>96</v>
      </c>
      <c r="H215">
        <v>10</v>
      </c>
      <c r="I215">
        <v>3</v>
      </c>
      <c r="K215" s="1">
        <v>375</v>
      </c>
      <c r="L215" s="1">
        <v>9.1999999999999993</v>
      </c>
      <c r="M215" s="1">
        <v>0.8</v>
      </c>
      <c r="N215" s="1">
        <v>0.2</v>
      </c>
      <c r="O215" s="1">
        <v>120.9</v>
      </c>
      <c r="P215" s="1">
        <v>11.1</v>
      </c>
      <c r="Q215" s="1">
        <v>3.2</v>
      </c>
      <c r="R215" s="1">
        <v>620</v>
      </c>
      <c r="S215" s="1">
        <v>1184</v>
      </c>
    </row>
    <row r="216" spans="1:19" x14ac:dyDescent="0.25">
      <c r="A216" s="10">
        <v>400</v>
      </c>
      <c r="B216" s="10">
        <v>605</v>
      </c>
      <c r="C216" s="10">
        <v>1128</v>
      </c>
      <c r="D216" s="10">
        <v>0.7</v>
      </c>
      <c r="E216" s="10">
        <v>-0.1</v>
      </c>
      <c r="F216" s="10">
        <v>0</v>
      </c>
      <c r="G216">
        <v>111</v>
      </c>
      <c r="H216">
        <v>10</v>
      </c>
      <c r="I216">
        <v>3</v>
      </c>
      <c r="K216" s="1">
        <v>400</v>
      </c>
      <c r="L216" s="1">
        <v>0</v>
      </c>
      <c r="M216" s="1">
        <v>0</v>
      </c>
      <c r="N216" s="1">
        <v>0</v>
      </c>
      <c r="O216" s="1">
        <v>139.30000000000001</v>
      </c>
      <c r="P216" s="1">
        <v>12</v>
      </c>
      <c r="Q216" s="1">
        <v>3.5</v>
      </c>
      <c r="R216" s="1">
        <v>603</v>
      </c>
      <c r="S216" s="1">
        <v>1120</v>
      </c>
    </row>
    <row r="217" spans="1:19" x14ac:dyDescent="0.25">
      <c r="A217" s="1">
        <v>425</v>
      </c>
      <c r="B217" s="1">
        <v>589</v>
      </c>
      <c r="C217" s="1">
        <v>1067</v>
      </c>
      <c r="D217" s="1">
        <v>-11.1</v>
      </c>
      <c r="E217" s="1">
        <v>0.9</v>
      </c>
      <c r="F217" s="1">
        <v>0.3</v>
      </c>
      <c r="G217">
        <v>127</v>
      </c>
      <c r="H217">
        <v>11</v>
      </c>
      <c r="I217">
        <v>3</v>
      </c>
      <c r="K217" s="1">
        <v>425</v>
      </c>
      <c r="L217" s="1">
        <v>-10.8</v>
      </c>
      <c r="M217" s="1">
        <v>-0.9</v>
      </c>
      <c r="N217" s="1">
        <v>-0.3</v>
      </c>
      <c r="O217" s="1">
        <v>158.9</v>
      </c>
      <c r="P217" s="1">
        <v>12.8</v>
      </c>
      <c r="Q217" s="1">
        <v>3.7</v>
      </c>
      <c r="R217" s="1">
        <v>586</v>
      </c>
      <c r="S217" s="1">
        <v>1056</v>
      </c>
    </row>
    <row r="218" spans="1:19" x14ac:dyDescent="0.25">
      <c r="A218" s="1">
        <v>450</v>
      </c>
      <c r="B218" s="1">
        <v>572</v>
      </c>
      <c r="C218" s="1">
        <v>1009</v>
      </c>
      <c r="D218" s="1">
        <v>-24.5</v>
      </c>
      <c r="E218" s="1">
        <v>1.9</v>
      </c>
      <c r="F218" s="1">
        <v>0.5</v>
      </c>
      <c r="G218">
        <v>144</v>
      </c>
      <c r="H218">
        <v>12</v>
      </c>
      <c r="I218">
        <v>4</v>
      </c>
      <c r="K218" s="1">
        <v>450</v>
      </c>
      <c r="L218" s="1">
        <v>-23.3</v>
      </c>
      <c r="M218" s="1">
        <v>-1.8</v>
      </c>
      <c r="N218" s="1">
        <v>-0.5</v>
      </c>
      <c r="O218" s="1">
        <v>180.1</v>
      </c>
      <c r="P218" s="1">
        <v>13.8</v>
      </c>
      <c r="Q218" s="1">
        <v>4</v>
      </c>
      <c r="R218" s="1">
        <v>570</v>
      </c>
      <c r="S218" s="1">
        <v>999</v>
      </c>
    </row>
    <row r="219" spans="1:19" x14ac:dyDescent="0.25">
      <c r="A219" s="1">
        <v>475</v>
      </c>
      <c r="B219" s="1">
        <v>556</v>
      </c>
      <c r="C219" s="1">
        <v>953</v>
      </c>
      <c r="D219" s="1">
        <v>-39.799999999999997</v>
      </c>
      <c r="E219" s="1">
        <v>2.9</v>
      </c>
      <c r="F219" s="1">
        <v>0.8</v>
      </c>
      <c r="G219">
        <v>162</v>
      </c>
      <c r="H219">
        <v>13</v>
      </c>
      <c r="I219">
        <v>4</v>
      </c>
      <c r="K219" s="1">
        <v>475</v>
      </c>
      <c r="L219" s="1">
        <v>-37.9</v>
      </c>
      <c r="M219" s="1">
        <v>-2.7</v>
      </c>
      <c r="N219" s="1">
        <v>-0.8</v>
      </c>
      <c r="O219" s="1">
        <v>203.6</v>
      </c>
      <c r="P219" s="1">
        <v>14.7</v>
      </c>
      <c r="Q219" s="1">
        <v>4.3</v>
      </c>
      <c r="R219" s="1">
        <v>554</v>
      </c>
      <c r="S219" s="1">
        <v>944</v>
      </c>
    </row>
    <row r="220" spans="1:19" x14ac:dyDescent="0.25">
      <c r="A220" s="1">
        <v>500</v>
      </c>
      <c r="B220" s="1">
        <v>541</v>
      </c>
      <c r="C220" s="1">
        <v>903</v>
      </c>
      <c r="D220" s="1">
        <v>-57.3</v>
      </c>
      <c r="E220" s="1">
        <v>3.9</v>
      </c>
      <c r="F220" s="1">
        <v>1.1000000000000001</v>
      </c>
      <c r="G220">
        <v>182</v>
      </c>
      <c r="H220">
        <v>14</v>
      </c>
      <c r="I220">
        <v>4</v>
      </c>
      <c r="K220" s="1">
        <v>500</v>
      </c>
      <c r="L220" s="1">
        <v>-55.2</v>
      </c>
      <c r="M220" s="1">
        <v>-3.8</v>
      </c>
      <c r="N220" s="1">
        <v>-1.1000000000000001</v>
      </c>
      <c r="O220" s="1">
        <v>230.1</v>
      </c>
      <c r="P220" s="1">
        <v>15.8</v>
      </c>
      <c r="Q220" s="1">
        <v>4.5999999999999996</v>
      </c>
      <c r="R220" s="1">
        <v>538</v>
      </c>
      <c r="S220" s="1">
        <v>889</v>
      </c>
    </row>
    <row r="222" spans="1:19" x14ac:dyDescent="0.25">
      <c r="A222" t="s">
        <v>32</v>
      </c>
      <c r="K222" t="s">
        <v>51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  <c r="K223" t="s">
        <v>38</v>
      </c>
      <c r="L223" t="s">
        <v>39</v>
      </c>
      <c r="M223" t="s">
        <v>40</v>
      </c>
      <c r="N223" t="s">
        <v>41</v>
      </c>
      <c r="O223" t="s">
        <v>42</v>
      </c>
      <c r="P223" t="s">
        <v>35</v>
      </c>
      <c r="Q223" t="s">
        <v>43</v>
      </c>
      <c r="R223" t="s">
        <v>44</v>
      </c>
      <c r="S223" t="s">
        <v>45</v>
      </c>
    </row>
    <row r="224" spans="1:19" x14ac:dyDescent="0.25">
      <c r="A224" s="1">
        <v>0</v>
      </c>
      <c r="B224" s="1">
        <v>908</v>
      </c>
      <c r="C224" s="1">
        <v>2539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-3.8</v>
      </c>
      <c r="M224" s="1" t="s">
        <v>46</v>
      </c>
      <c r="N224" s="1" t="s">
        <v>46</v>
      </c>
      <c r="O224" s="1">
        <v>0</v>
      </c>
      <c r="P224" s="1" t="s">
        <v>46</v>
      </c>
      <c r="Q224" s="1" t="s">
        <v>46</v>
      </c>
      <c r="R224" s="1">
        <v>908</v>
      </c>
      <c r="S224" s="1">
        <v>2538</v>
      </c>
    </row>
    <row r="225" spans="1:19" x14ac:dyDescent="0.25">
      <c r="A225" s="1">
        <v>25</v>
      </c>
      <c r="B225" s="1">
        <v>887</v>
      </c>
      <c r="C225" s="1">
        <v>2422</v>
      </c>
      <c r="D225" s="1">
        <v>7</v>
      </c>
      <c r="E225" s="1">
        <v>-9.8000000000000007</v>
      </c>
      <c r="F225" s="1">
        <v>-2.8</v>
      </c>
      <c r="G225">
        <v>1</v>
      </c>
      <c r="H225">
        <v>1</v>
      </c>
      <c r="I225">
        <v>0</v>
      </c>
      <c r="K225" s="1">
        <v>25</v>
      </c>
      <c r="L225" s="1">
        <v>6.5</v>
      </c>
      <c r="M225" s="1">
        <v>9.1</v>
      </c>
      <c r="N225" s="1">
        <v>2.7</v>
      </c>
      <c r="O225" s="1">
        <v>0.2</v>
      </c>
      <c r="P225" s="1">
        <v>0.3</v>
      </c>
      <c r="Q225" s="1">
        <v>0.1</v>
      </c>
      <c r="R225" s="1">
        <v>887</v>
      </c>
      <c r="S225" s="1">
        <v>2421</v>
      </c>
    </row>
    <row r="226" spans="1:19" x14ac:dyDescent="0.25">
      <c r="A226" s="1">
        <v>50</v>
      </c>
      <c r="B226" s="1">
        <v>866</v>
      </c>
      <c r="C226" s="1">
        <v>2310</v>
      </c>
      <c r="D226" s="1">
        <v>17.399999999999999</v>
      </c>
      <c r="E226" s="1">
        <v>-11.9</v>
      </c>
      <c r="F226" s="1">
        <v>-3.5</v>
      </c>
      <c r="G226">
        <v>2</v>
      </c>
      <c r="H226">
        <v>1</v>
      </c>
      <c r="I226">
        <v>0</v>
      </c>
      <c r="K226" s="1">
        <v>50</v>
      </c>
      <c r="L226" s="1">
        <v>16.5</v>
      </c>
      <c r="M226" s="1">
        <v>11.3</v>
      </c>
      <c r="N226" s="1">
        <v>3.3</v>
      </c>
      <c r="O226" s="1">
        <v>1.7</v>
      </c>
      <c r="P226" s="1">
        <v>1.1000000000000001</v>
      </c>
      <c r="Q226" s="1">
        <v>0.3</v>
      </c>
      <c r="R226" s="1">
        <v>866</v>
      </c>
      <c r="S226" s="1">
        <v>2306</v>
      </c>
    </row>
    <row r="227" spans="1:19" x14ac:dyDescent="0.25">
      <c r="A227" s="1">
        <v>75</v>
      </c>
      <c r="B227" s="1">
        <v>846</v>
      </c>
      <c r="C227" s="1">
        <v>2202</v>
      </c>
      <c r="D227" s="1">
        <v>26.6</v>
      </c>
      <c r="E227" s="1">
        <v>-12.2</v>
      </c>
      <c r="F227" s="1">
        <v>-3.5</v>
      </c>
      <c r="G227">
        <v>4</v>
      </c>
      <c r="H227">
        <v>2</v>
      </c>
      <c r="I227">
        <v>0</v>
      </c>
      <c r="K227" s="1">
        <v>75</v>
      </c>
      <c r="L227" s="1">
        <v>25.2</v>
      </c>
      <c r="M227" s="1">
        <v>11.6</v>
      </c>
      <c r="N227" s="1">
        <v>3.4</v>
      </c>
      <c r="O227" s="1">
        <v>4.0999999999999996</v>
      </c>
      <c r="P227" s="1">
        <v>1.9</v>
      </c>
      <c r="Q227" s="1">
        <v>0.5</v>
      </c>
      <c r="R227" s="1">
        <v>845</v>
      </c>
      <c r="S227" s="1">
        <v>2199</v>
      </c>
    </row>
    <row r="228" spans="1:19" x14ac:dyDescent="0.25">
      <c r="A228" s="1">
        <v>100</v>
      </c>
      <c r="B228" s="1">
        <v>826</v>
      </c>
      <c r="C228" s="1">
        <v>2098</v>
      </c>
      <c r="D228" s="1">
        <v>35</v>
      </c>
      <c r="E228" s="1">
        <v>-12</v>
      </c>
      <c r="F228" s="1">
        <v>-3.5</v>
      </c>
      <c r="G228">
        <v>6</v>
      </c>
      <c r="H228">
        <v>2</v>
      </c>
      <c r="I228">
        <v>1</v>
      </c>
      <c r="K228" s="1">
        <v>100</v>
      </c>
      <c r="L228" s="1">
        <v>33.200000000000003</v>
      </c>
      <c r="M228" s="1">
        <v>11.4</v>
      </c>
      <c r="N228" s="1">
        <v>3.3</v>
      </c>
      <c r="O228" s="1">
        <v>7.5</v>
      </c>
      <c r="P228" s="1">
        <v>2.6</v>
      </c>
      <c r="Q228" s="1">
        <v>0.8</v>
      </c>
      <c r="R228" s="1">
        <v>825</v>
      </c>
      <c r="S228" s="1">
        <v>2096</v>
      </c>
    </row>
    <row r="229" spans="1:19" x14ac:dyDescent="0.25">
      <c r="A229" s="1">
        <v>125</v>
      </c>
      <c r="B229" s="1">
        <v>806</v>
      </c>
      <c r="C229" s="1">
        <v>1998</v>
      </c>
      <c r="D229" s="1">
        <v>42.7</v>
      </c>
      <c r="E229" s="1">
        <v>-11.7</v>
      </c>
      <c r="F229" s="1">
        <v>-3.4</v>
      </c>
      <c r="G229">
        <v>10</v>
      </c>
      <c r="H229">
        <v>3</v>
      </c>
      <c r="I229">
        <v>1</v>
      </c>
      <c r="K229" s="1">
        <v>125</v>
      </c>
      <c r="L229" s="1">
        <v>40.4</v>
      </c>
      <c r="M229" s="1">
        <v>11.1</v>
      </c>
      <c r="N229" s="1">
        <v>3.2</v>
      </c>
      <c r="O229" s="1">
        <v>12.1</v>
      </c>
      <c r="P229" s="1">
        <v>3.3</v>
      </c>
      <c r="Q229" s="1">
        <v>1</v>
      </c>
      <c r="R229" s="1">
        <v>805</v>
      </c>
      <c r="S229" s="1">
        <v>1993</v>
      </c>
    </row>
    <row r="230" spans="1:19" x14ac:dyDescent="0.25">
      <c r="A230" s="1">
        <v>150</v>
      </c>
      <c r="B230" s="1">
        <v>786</v>
      </c>
      <c r="C230" s="1">
        <v>1903</v>
      </c>
      <c r="D230" s="1">
        <v>49.1</v>
      </c>
      <c r="E230" s="1">
        <v>-11.3</v>
      </c>
      <c r="F230" s="1">
        <v>-3.3</v>
      </c>
      <c r="G230">
        <v>14</v>
      </c>
      <c r="H230">
        <v>4</v>
      </c>
      <c r="I230">
        <v>1</v>
      </c>
      <c r="K230" s="1">
        <v>150</v>
      </c>
      <c r="L230" s="1">
        <v>46.5</v>
      </c>
      <c r="M230" s="1">
        <v>10.7</v>
      </c>
      <c r="N230" s="1">
        <v>3.1</v>
      </c>
      <c r="O230" s="1">
        <v>17.399999999999999</v>
      </c>
      <c r="P230" s="1">
        <v>4</v>
      </c>
      <c r="Q230" s="1">
        <v>1.2</v>
      </c>
      <c r="R230" s="1">
        <v>785</v>
      </c>
      <c r="S230" s="1">
        <v>1898</v>
      </c>
    </row>
    <row r="231" spans="1:19" x14ac:dyDescent="0.25">
      <c r="A231" s="1">
        <v>175</v>
      </c>
      <c r="B231" s="1">
        <v>767</v>
      </c>
      <c r="C231" s="1">
        <v>1810</v>
      </c>
      <c r="D231" s="1">
        <v>54.6</v>
      </c>
      <c r="E231" s="1">
        <v>-10.7</v>
      </c>
      <c r="F231" s="1">
        <v>-3.1</v>
      </c>
      <c r="G231">
        <v>19</v>
      </c>
      <c r="H231">
        <v>4</v>
      </c>
      <c r="I231">
        <v>1</v>
      </c>
      <c r="K231" s="1">
        <v>175</v>
      </c>
      <c r="L231" s="1">
        <v>51.7</v>
      </c>
      <c r="M231" s="1">
        <v>10.199999999999999</v>
      </c>
      <c r="N231" s="1">
        <v>3</v>
      </c>
      <c r="O231" s="1">
        <v>23.7</v>
      </c>
      <c r="P231" s="1">
        <v>4.7</v>
      </c>
      <c r="Q231" s="1">
        <v>1.4</v>
      </c>
      <c r="R231" s="1">
        <v>766</v>
      </c>
      <c r="S231" s="1">
        <v>1806</v>
      </c>
    </row>
    <row r="232" spans="1:19" x14ac:dyDescent="0.25">
      <c r="A232" s="1">
        <v>200</v>
      </c>
      <c r="B232" s="1">
        <v>748</v>
      </c>
      <c r="C232" s="1">
        <v>1722</v>
      </c>
      <c r="D232" s="1">
        <v>59.2</v>
      </c>
      <c r="E232" s="1">
        <v>-10.199999999999999</v>
      </c>
      <c r="F232" s="1">
        <v>-3</v>
      </c>
      <c r="G232">
        <v>25</v>
      </c>
      <c r="H232">
        <v>5</v>
      </c>
      <c r="I232">
        <v>1</v>
      </c>
      <c r="K232" s="1">
        <v>200</v>
      </c>
      <c r="L232" s="1">
        <v>55.9</v>
      </c>
      <c r="M232" s="1">
        <v>9.6</v>
      </c>
      <c r="N232" s="1">
        <v>2.8</v>
      </c>
      <c r="O232" s="1">
        <v>31.4</v>
      </c>
      <c r="P232" s="1">
        <v>5.4</v>
      </c>
      <c r="Q232" s="1">
        <v>1.6</v>
      </c>
      <c r="R232" s="1">
        <v>746</v>
      </c>
      <c r="S232" s="1">
        <v>1715</v>
      </c>
    </row>
    <row r="233" spans="1:19" x14ac:dyDescent="0.25">
      <c r="A233" s="1">
        <v>225</v>
      </c>
      <c r="B233" s="1">
        <v>729</v>
      </c>
      <c r="C233" s="1">
        <v>1636</v>
      </c>
      <c r="D233" s="1">
        <v>62.5</v>
      </c>
      <c r="E233" s="1">
        <v>-9.5</v>
      </c>
      <c r="F233" s="1">
        <v>-2.8</v>
      </c>
      <c r="G233">
        <v>32</v>
      </c>
      <c r="H233">
        <v>5</v>
      </c>
      <c r="I233">
        <v>2</v>
      </c>
      <c r="K233" s="1">
        <v>225</v>
      </c>
      <c r="L233" s="1">
        <v>59</v>
      </c>
      <c r="M233" s="1">
        <v>9</v>
      </c>
      <c r="N233" s="1">
        <v>2.6</v>
      </c>
      <c r="O233" s="1">
        <v>39.9</v>
      </c>
      <c r="P233" s="1">
        <v>6.1</v>
      </c>
      <c r="Q233" s="1">
        <v>1.8</v>
      </c>
      <c r="R233" s="1">
        <v>728</v>
      </c>
      <c r="S233" s="1">
        <v>1630</v>
      </c>
    </row>
    <row r="234" spans="1:19" x14ac:dyDescent="0.25">
      <c r="A234" s="1">
        <v>250</v>
      </c>
      <c r="B234" s="1">
        <v>711</v>
      </c>
      <c r="C234" s="1">
        <v>1554</v>
      </c>
      <c r="D234" s="1">
        <v>64.599999999999994</v>
      </c>
      <c r="E234" s="1">
        <v>-8.9</v>
      </c>
      <c r="F234" s="1">
        <v>-2.6</v>
      </c>
      <c r="G234">
        <v>40</v>
      </c>
      <c r="H234">
        <v>6</v>
      </c>
      <c r="I234">
        <v>2</v>
      </c>
      <c r="K234" s="1">
        <v>250</v>
      </c>
      <c r="L234" s="1">
        <v>60.8</v>
      </c>
      <c r="M234" s="1">
        <v>8.4</v>
      </c>
      <c r="N234" s="1">
        <v>2.4</v>
      </c>
      <c r="O234" s="1">
        <v>49.9</v>
      </c>
      <c r="P234" s="1">
        <v>6.9</v>
      </c>
      <c r="Q234" s="1">
        <v>2</v>
      </c>
      <c r="R234" s="1">
        <v>709</v>
      </c>
      <c r="S234" s="1">
        <v>1548</v>
      </c>
    </row>
    <row r="235" spans="1:19" x14ac:dyDescent="0.25">
      <c r="A235" s="1">
        <v>275</v>
      </c>
      <c r="B235" s="1">
        <v>692</v>
      </c>
      <c r="C235" s="1">
        <v>1476</v>
      </c>
      <c r="D235" s="1">
        <v>65.400000000000006</v>
      </c>
      <c r="E235" s="1">
        <v>-8.1999999999999993</v>
      </c>
      <c r="F235" s="1">
        <v>-2.4</v>
      </c>
      <c r="G235">
        <v>49</v>
      </c>
      <c r="H235">
        <v>7</v>
      </c>
      <c r="I235">
        <v>2</v>
      </c>
      <c r="K235" s="1">
        <v>275</v>
      </c>
      <c r="L235" s="1">
        <v>61.5</v>
      </c>
      <c r="M235" s="1">
        <v>7.7</v>
      </c>
      <c r="N235" s="1">
        <v>2.2000000000000002</v>
      </c>
      <c r="O235" s="1">
        <v>61.8</v>
      </c>
      <c r="P235" s="1">
        <v>7.7</v>
      </c>
      <c r="Q235" s="1">
        <v>2.2000000000000002</v>
      </c>
      <c r="R235" s="1">
        <v>690</v>
      </c>
      <c r="S235" s="1">
        <v>1467</v>
      </c>
    </row>
    <row r="236" spans="1:19" x14ac:dyDescent="0.25">
      <c r="A236" s="1">
        <v>300</v>
      </c>
      <c r="B236" s="1">
        <v>674</v>
      </c>
      <c r="C236" s="1">
        <v>1400</v>
      </c>
      <c r="D236" s="1">
        <v>64.900000000000006</v>
      </c>
      <c r="E236" s="1">
        <v>-7.4</v>
      </c>
      <c r="F236" s="1">
        <v>-2.2000000000000002</v>
      </c>
      <c r="G236">
        <v>59</v>
      </c>
      <c r="H236">
        <v>7</v>
      </c>
      <c r="I236">
        <v>2</v>
      </c>
      <c r="K236" s="1">
        <v>300</v>
      </c>
      <c r="L236" s="1">
        <v>60.8</v>
      </c>
      <c r="M236" s="1">
        <v>7</v>
      </c>
      <c r="N236" s="1">
        <v>2</v>
      </c>
      <c r="O236" s="1">
        <v>74.599999999999994</v>
      </c>
      <c r="P236" s="1">
        <v>8.5</v>
      </c>
      <c r="Q236" s="1">
        <v>2.5</v>
      </c>
      <c r="R236" s="1">
        <v>673</v>
      </c>
      <c r="S236" s="1">
        <v>1392</v>
      </c>
    </row>
    <row r="237" spans="1:19" x14ac:dyDescent="0.25">
      <c r="A237" s="1">
        <v>325</v>
      </c>
      <c r="B237" s="1">
        <v>657</v>
      </c>
      <c r="C237" s="1">
        <v>1328</v>
      </c>
      <c r="D237" s="1">
        <v>63</v>
      </c>
      <c r="E237" s="1">
        <v>-6.7</v>
      </c>
      <c r="F237" s="1">
        <v>-1.9</v>
      </c>
      <c r="G237">
        <v>70</v>
      </c>
      <c r="H237">
        <v>8</v>
      </c>
      <c r="I237">
        <v>2</v>
      </c>
      <c r="K237" s="1">
        <v>325</v>
      </c>
      <c r="L237" s="1">
        <v>58.8</v>
      </c>
      <c r="M237" s="1">
        <v>6.2</v>
      </c>
      <c r="N237" s="1">
        <v>1.8</v>
      </c>
      <c r="O237" s="1">
        <v>88.6</v>
      </c>
      <c r="P237" s="1">
        <v>9.4</v>
      </c>
      <c r="Q237" s="1">
        <v>2.7</v>
      </c>
      <c r="R237" s="1">
        <v>655</v>
      </c>
      <c r="S237" s="1">
        <v>1321</v>
      </c>
    </row>
    <row r="238" spans="1:19" x14ac:dyDescent="0.25">
      <c r="A238" s="1">
        <v>350</v>
      </c>
      <c r="B238" s="1">
        <v>639</v>
      </c>
      <c r="C238" s="1">
        <v>1258</v>
      </c>
      <c r="D238" s="1">
        <v>59.5</v>
      </c>
      <c r="E238" s="1">
        <v>-5.8</v>
      </c>
      <c r="F238" s="1">
        <v>-1.7</v>
      </c>
      <c r="G238">
        <v>83</v>
      </c>
      <c r="H238">
        <v>9</v>
      </c>
      <c r="I238">
        <v>3</v>
      </c>
      <c r="K238" s="1">
        <v>350</v>
      </c>
      <c r="L238" s="1">
        <v>55.3</v>
      </c>
      <c r="M238" s="1">
        <v>5.4</v>
      </c>
      <c r="N238" s="1">
        <v>1.6</v>
      </c>
      <c r="O238" s="1">
        <v>104.5</v>
      </c>
      <c r="P238" s="1">
        <v>10.3</v>
      </c>
      <c r="Q238" s="1">
        <v>3</v>
      </c>
      <c r="R238" s="1">
        <v>637</v>
      </c>
      <c r="S238" s="1">
        <v>1250</v>
      </c>
    </row>
    <row r="239" spans="1:19" x14ac:dyDescent="0.25">
      <c r="A239" s="1">
        <v>375</v>
      </c>
      <c r="B239" s="1">
        <v>622</v>
      </c>
      <c r="C239" s="1">
        <v>1192</v>
      </c>
      <c r="D239" s="1">
        <v>54.4</v>
      </c>
      <c r="E239" s="1">
        <v>-5</v>
      </c>
      <c r="F239" s="1">
        <v>-1.5</v>
      </c>
      <c r="G239">
        <v>96</v>
      </c>
      <c r="H239">
        <v>10</v>
      </c>
      <c r="I239">
        <v>3</v>
      </c>
      <c r="K239" s="1">
        <v>375</v>
      </c>
      <c r="L239" s="1">
        <v>50.5</v>
      </c>
      <c r="M239" s="1">
        <v>4.5999999999999996</v>
      </c>
      <c r="N239" s="1">
        <v>1.3</v>
      </c>
      <c r="O239" s="1">
        <v>120.9</v>
      </c>
      <c r="P239" s="1">
        <v>11.1</v>
      </c>
      <c r="Q239" s="1">
        <v>3.2</v>
      </c>
      <c r="R239" s="1">
        <v>620</v>
      </c>
      <c r="S239" s="1">
        <v>1184</v>
      </c>
    </row>
    <row r="240" spans="1:19" x14ac:dyDescent="0.25">
      <c r="A240" s="1">
        <v>400</v>
      </c>
      <c r="B240" s="1">
        <v>605</v>
      </c>
      <c r="C240" s="1">
        <v>1128</v>
      </c>
      <c r="D240" s="1">
        <v>47.8</v>
      </c>
      <c r="E240" s="1">
        <v>-4.0999999999999996</v>
      </c>
      <c r="F240" s="1">
        <v>-1.2</v>
      </c>
      <c r="G240">
        <v>111</v>
      </c>
      <c r="H240">
        <v>10</v>
      </c>
      <c r="I240">
        <v>3</v>
      </c>
      <c r="K240" s="1">
        <v>400</v>
      </c>
      <c r="L240" s="1">
        <v>44.1</v>
      </c>
      <c r="M240" s="1">
        <v>3.8</v>
      </c>
      <c r="N240" s="1">
        <v>1.1000000000000001</v>
      </c>
      <c r="O240" s="1">
        <v>139.30000000000001</v>
      </c>
      <c r="P240" s="1">
        <v>12</v>
      </c>
      <c r="Q240" s="1">
        <v>3.5</v>
      </c>
      <c r="R240" s="1">
        <v>603</v>
      </c>
      <c r="S240" s="1">
        <v>1120</v>
      </c>
    </row>
    <row r="241" spans="1:19" x14ac:dyDescent="0.25">
      <c r="A241" s="1">
        <v>425</v>
      </c>
      <c r="B241" s="1">
        <v>589</v>
      </c>
      <c r="C241" s="1">
        <v>1067</v>
      </c>
      <c r="D241" s="1">
        <v>39</v>
      </c>
      <c r="E241" s="1">
        <v>-3.1</v>
      </c>
      <c r="F241" s="1">
        <v>-0.9</v>
      </c>
      <c r="G241">
        <v>127</v>
      </c>
      <c r="H241">
        <v>11</v>
      </c>
      <c r="I241">
        <v>3</v>
      </c>
      <c r="K241" s="1">
        <v>425</v>
      </c>
      <c r="L241" s="1">
        <v>36.1</v>
      </c>
      <c r="M241" s="1">
        <v>2.9</v>
      </c>
      <c r="N241" s="1">
        <v>0.8</v>
      </c>
      <c r="O241" s="1">
        <v>158.9</v>
      </c>
      <c r="P241" s="1">
        <v>12.8</v>
      </c>
      <c r="Q241" s="1">
        <v>3.7</v>
      </c>
      <c r="R241" s="1">
        <v>586</v>
      </c>
      <c r="S241" s="1">
        <v>1056</v>
      </c>
    </row>
    <row r="242" spans="1:19" x14ac:dyDescent="0.25">
      <c r="A242" s="1">
        <v>450</v>
      </c>
      <c r="B242" s="1">
        <v>572</v>
      </c>
      <c r="C242" s="1">
        <v>1009</v>
      </c>
      <c r="D242" s="1">
        <v>28.5</v>
      </c>
      <c r="E242" s="1">
        <v>-2.2000000000000002</v>
      </c>
      <c r="F242" s="1">
        <v>-0.6</v>
      </c>
      <c r="G242">
        <v>144</v>
      </c>
      <c r="H242">
        <v>12</v>
      </c>
      <c r="I242">
        <v>4</v>
      </c>
      <c r="K242" s="1">
        <v>450</v>
      </c>
      <c r="L242" s="1">
        <v>26.3</v>
      </c>
      <c r="M242" s="1">
        <v>2</v>
      </c>
      <c r="N242" s="1">
        <v>0.6</v>
      </c>
      <c r="O242" s="1">
        <v>180.1</v>
      </c>
      <c r="P242" s="1">
        <v>13.8</v>
      </c>
      <c r="Q242" s="1">
        <v>4</v>
      </c>
      <c r="R242" s="1">
        <v>570</v>
      </c>
      <c r="S242" s="1">
        <v>999</v>
      </c>
    </row>
    <row r="243" spans="1:19" x14ac:dyDescent="0.25">
      <c r="A243" s="1">
        <v>475</v>
      </c>
      <c r="B243" s="1">
        <v>556</v>
      </c>
      <c r="C243" s="1">
        <v>953</v>
      </c>
      <c r="D243" s="1">
        <v>16.100000000000001</v>
      </c>
      <c r="E243" s="1">
        <v>-1.2</v>
      </c>
      <c r="F243" s="1">
        <v>-0.3</v>
      </c>
      <c r="G243">
        <v>162</v>
      </c>
      <c r="H243">
        <v>13</v>
      </c>
      <c r="I243">
        <v>4</v>
      </c>
      <c r="K243" s="1">
        <v>475</v>
      </c>
      <c r="L243" s="1">
        <v>14.5</v>
      </c>
      <c r="M243" s="1">
        <v>1</v>
      </c>
      <c r="N243" s="1">
        <v>0.3</v>
      </c>
      <c r="O243" s="1">
        <v>203.6</v>
      </c>
      <c r="P243" s="1">
        <v>14.7</v>
      </c>
      <c r="Q243" s="1">
        <v>4.3</v>
      </c>
      <c r="R243" s="1">
        <v>554</v>
      </c>
      <c r="S243" s="1">
        <v>944</v>
      </c>
    </row>
    <row r="244" spans="1:19" x14ac:dyDescent="0.25">
      <c r="A244" s="10">
        <v>500</v>
      </c>
      <c r="B244" s="10">
        <v>541</v>
      </c>
      <c r="C244" s="10">
        <v>903</v>
      </c>
      <c r="D244" s="10">
        <v>1.6</v>
      </c>
      <c r="E244" s="10">
        <v>-0.1</v>
      </c>
      <c r="F244" s="10">
        <v>0</v>
      </c>
      <c r="G244">
        <v>182</v>
      </c>
      <c r="H244">
        <v>14</v>
      </c>
      <c r="I244">
        <v>4</v>
      </c>
      <c r="K244" s="1">
        <v>500</v>
      </c>
      <c r="L244" s="1">
        <v>0</v>
      </c>
      <c r="M244" s="1">
        <v>0</v>
      </c>
      <c r="N244" s="1">
        <v>0</v>
      </c>
      <c r="O244" s="1">
        <v>230.1</v>
      </c>
      <c r="P244" s="1">
        <v>15.8</v>
      </c>
      <c r="Q244" s="1">
        <v>4.5999999999999996</v>
      </c>
      <c r="R244" s="1">
        <v>538</v>
      </c>
      <c r="S244" s="1">
        <v>889</v>
      </c>
    </row>
    <row r="246" spans="1:19" ht="30" x14ac:dyDescent="0.25">
      <c r="A246" t="s">
        <v>84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36" t="s">
        <v>85</v>
      </c>
    </row>
    <row r="247" spans="1:19" x14ac:dyDescent="0.25">
      <c r="A247" t="s">
        <v>86</v>
      </c>
      <c r="B247" s="37" cm="1">
        <f t="array" ref="B247">INDEX(LINEST(J$22:J$35,$A$22:$A$35^{1,2,3}), 1,4)</f>
        <v>-5.0029511999663896</v>
      </c>
      <c r="C247" s="37" cm="1">
        <f t="array" ref="C247">INDEX(LINEST(K$22:K$35,$A$22:$A$35^{1,2,3}), 1,4)</f>
        <v>-4.8642171874876503</v>
      </c>
      <c r="D247" s="38" cm="1">
        <f t="array" ref="D247">INDEX(LINEST(L$22:L$35,$A$22:$A$35^{1,2,3}), 1,4)</f>
        <v>-5.2261831753420225</v>
      </c>
      <c r="E247" s="38" cm="1">
        <f t="array" ref="E247">INDEX(LINEST(M$22:M$35,$A$22:$A$35^{1,2,3}), 1,4)</f>
        <v>-4.3255624297593087</v>
      </c>
      <c r="F247" s="38" cm="1">
        <f t="array" ref="F247">INDEX(LINEST(N$22:N$35,$A$22:$A$35^{1,2,3}), 1,4)</f>
        <v>-5.394374878140253</v>
      </c>
      <c r="G247" s="38" cm="1">
        <f t="array" ref="G247">INDEX(LINEST(O$22:O$35,$A$22:$A$35^{1,2,3}), 1,4)</f>
        <v>-5.2814648915735756</v>
      </c>
      <c r="H247" s="38" cm="1">
        <f t="array" ref="H247">INDEX(LINEST(P$22:P$35,$A$22:$A$35^{1,2,3}), 1,4)</f>
        <v>-4.8226377112869869</v>
      </c>
      <c r="I247" s="38" cm="1">
        <f t="array" ref="I247">INDEX(LINEST(B$22:B$35,$A$22:$A$35^{1,2,3}), 1,4)</f>
        <v>2548.7375166520756</v>
      </c>
    </row>
    <row r="248" spans="1:19" x14ac:dyDescent="0.25">
      <c r="A248" t="s">
        <v>87</v>
      </c>
      <c r="B248" s="38" cm="1">
        <f t="array" ref="B248">INDEX(LINEST(J$22:J$35,$A$22:$A$35^{1,2,3}), 1,3)</f>
        <v>0.15004064398125114</v>
      </c>
      <c r="C248" s="37" cm="1">
        <f t="array" ref="C248">INDEX(LINEST(K$22:K$35,$A$22:$A$35^{1,2,3}), 1,3)</f>
        <v>0.10102078125597556</v>
      </c>
      <c r="D248" s="38" cm="1">
        <f t="array" ref="D248">INDEX(LINEST(L$22:L$35,$A$22:$A$35^{1,2,3}), 1,3)</f>
        <v>0.13667413756824487</v>
      </c>
      <c r="E248" s="38" cm="1">
        <f t="array" ref="E248">INDEX(LINEST(M$22:M$35,$A$22:$A$35^{1,2,3}), 1,3)</f>
        <v>0.12488649176010246</v>
      </c>
      <c r="F248" s="38" cm="1">
        <f t="array" ref="F248">INDEX(LINEST(N$22:N$35,$A$22:$A$35^{1,2,3}), 1,3)</f>
        <v>0.25052558992118046</v>
      </c>
      <c r="G248" s="38" cm="1">
        <f t="array" ref="G248">INDEX(LINEST(O$22:O$35,$A$22:$A$35^{1,2,3}), 1,3)</f>
        <v>0.34393831449045414</v>
      </c>
      <c r="H248" s="38" cm="1">
        <f t="array" ref="H248">INDEX(LINEST(P$22:P$35,$A$22:$A$35^{1,2,3}), 1,3)</f>
        <v>0.42745799390019101</v>
      </c>
      <c r="I248" s="38" cm="1">
        <f t="array" ref="I248">INDEX(LINEST(B$22:B$35,$A$22:$A$35^{1,2,3}), 1,3)</f>
        <v>-4.6753374096388738</v>
      </c>
    </row>
    <row r="249" spans="1:19" x14ac:dyDescent="0.25">
      <c r="A249" t="s">
        <v>88</v>
      </c>
      <c r="B249" s="38" cm="1">
        <f t="array" ref="B249">INDEX(LINEST(J$22:J$35,$A$22:$A$35^{1,2,3}), 1,2)</f>
        <v>-4.713430526197974E-4</v>
      </c>
      <c r="C249" s="38" cm="1">
        <f t="array" ref="C249">INDEX(LINEST(K$22:K$35,$A$22:$A$35^{1,2,3}), 1,2)</f>
        <v>-4.4292927327142665E-4</v>
      </c>
      <c r="D249" s="38" cm="1">
        <f t="array" ref="D249">INDEX(LINEST(L$22:L$35,$A$22:$A$35^{1,2,3}), 1,2)</f>
        <v>-5.75389631304976E-4</v>
      </c>
      <c r="E249" s="38" cm="1">
        <f t="array" ref="E249">INDEX(LINEST(M$22:M$35,$A$22:$A$35^{1,2,3}), 1,2)</f>
        <v>-2.776257945981003E-4</v>
      </c>
      <c r="F249" s="38" cm="1">
        <f t="array" ref="F249">INDEX(LINEST(N$22:N$35,$A$22:$A$35^{1,2,3}), 1,2)</f>
        <v>-6.3161053187351128E-4</v>
      </c>
      <c r="G249" s="38" cm="1">
        <f t="array" ref="G249">INDEX(LINEST(O$22:O$35,$A$22:$A$35^{1,2,3}), 1,2)</f>
        <v>-6.2598563619128836E-4</v>
      </c>
      <c r="H249" s="38" cm="1">
        <f t="array" ref="H249">INDEX(LINEST(P$22:P$35,$A$22:$A$35^{1,2,3}), 1,2)</f>
        <v>-3.4393984771706498E-4</v>
      </c>
      <c r="I249" s="38" cm="1">
        <f t="array" ref="I249">INDEX(LINEST(B$22:B$35,$A$22:$A$35^{1,2,3}), 1,2)</f>
        <v>3.1431195125846876E-3</v>
      </c>
    </row>
    <row r="250" spans="1:19" x14ac:dyDescent="0.25">
      <c r="A250" t="s">
        <v>89</v>
      </c>
      <c r="B250" s="37" cm="1">
        <f t="array" ref="B250">INDEX(LINEST(J$22:J$35,$A$22:$A$35^{1,2,3}), 1)</f>
        <v>-9.5843595699433239E-7</v>
      </c>
      <c r="C250" s="37" cm="1">
        <f t="array" ref="C250">INDEX(LINEST(K$22:K$35,$A$22:$A$35^{1,2,3}), 1)</f>
        <v>-8.8802694591396467E-7</v>
      </c>
      <c r="D250" s="38" cm="1">
        <f t="array" ref="D250">INDEX(LINEST(L$22:L$35,$A$22:$A$35^{1,2,3}), 1)</f>
        <v>-6.4885292014649323E-7</v>
      </c>
      <c r="E250" s="38" cm="1">
        <f t="array" ref="E250">INDEX(LINEST(M$22:M$35,$A$22:$A$35^{1,2,3}), 1)</f>
        <v>-1.0836407521223716E-6</v>
      </c>
      <c r="F250" s="38" cm="1">
        <f t="array" ref="F250">INDEX(LINEST(N$22:N$35,$A$22:$A$35^{1,2,3}), 1)</f>
        <v>-5.0450210058594954E-7</v>
      </c>
      <c r="G250" s="38" cm="1">
        <f t="array" ref="G250">INDEX(LINEST(O$22:O$35,$A$22:$A$35^{1,2,3}), 1)</f>
        <v>-4.876439843162949E-7</v>
      </c>
      <c r="H250" s="38" cm="1">
        <f t="array" ref="H250">INDEX(LINEST(P$22:P$35,$A$22:$A$35^{1,2,3}), 1)</f>
        <v>-9.7699984663282954E-7</v>
      </c>
      <c r="I250" s="38" cm="1">
        <f t="array" ref="I250">INDEX(LINEST(B$22:B$35,$A$22:$A$35^{1,2,3}), 1)</f>
        <v>-7.2534395835640136E-7</v>
      </c>
    </row>
    <row r="251" spans="1:19" x14ac:dyDescent="0.25">
      <c r="A251" t="s">
        <v>90</v>
      </c>
      <c r="B251" s="37"/>
      <c r="C251" s="37"/>
      <c r="D251" s="38"/>
      <c r="E251" s="38"/>
      <c r="F251" s="38"/>
      <c r="G251" s="38"/>
      <c r="H251" s="38"/>
      <c r="I251" s="38"/>
    </row>
    <row r="252" spans="1:19" x14ac:dyDescent="0.25">
      <c r="A252" t="s">
        <v>91</v>
      </c>
      <c r="B252" s="37"/>
      <c r="C252" s="37"/>
      <c r="D252" s="38"/>
      <c r="E252" s="38"/>
      <c r="F252" s="38"/>
      <c r="G252" s="38"/>
      <c r="H252" s="38"/>
      <c r="I252" s="38"/>
    </row>
    <row r="253" spans="1:19" x14ac:dyDescent="0.25">
      <c r="A253" t="s">
        <v>92</v>
      </c>
      <c r="B253" s="37"/>
      <c r="C253" s="37"/>
      <c r="D253" s="38"/>
      <c r="E253" s="38"/>
      <c r="F253" s="38"/>
      <c r="G253" s="38"/>
      <c r="H253" s="38"/>
      <c r="I253" s="38"/>
    </row>
    <row r="254" spans="1:19" x14ac:dyDescent="0.25">
      <c r="B254" s="37"/>
      <c r="C254" s="37"/>
      <c r="D254" s="37"/>
      <c r="E254" s="37"/>
      <c r="F254" s="37"/>
      <c r="G254" s="37"/>
      <c r="H254" s="37"/>
      <c r="I254" s="37"/>
    </row>
    <row r="255" spans="1:19" x14ac:dyDescent="0.25">
      <c r="A255" t="s">
        <v>93</v>
      </c>
    </row>
    <row r="256" spans="1:19" x14ac:dyDescent="0.25">
      <c r="A256" s="25" t="s">
        <v>4</v>
      </c>
      <c r="B256" s="27"/>
      <c r="C256" s="27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2548.7375166520756</v>
      </c>
    </row>
    <row r="258" spans="1:9" x14ac:dyDescent="0.25">
      <c r="A258" s="1">
        <v>25</v>
      </c>
      <c r="B258" s="2" cm="1">
        <f t="array" ref="B258">TrajectoryToComeUp(B$247:B$250,$A258)</f>
        <v>0.62460002806020831</v>
      </c>
      <c r="C258" s="2" cm="1">
        <f t="array" ref="C258">TrajectoryToComeUp(C$247:C$250,$A258)</f>
        <v>1.0517615491651235</v>
      </c>
      <c r="D258" s="28" cm="1">
        <f t="array" ref="D258">TrajectoryToComeUp(D$247:D$250,$A258)</f>
        <v>0.87163463303151989</v>
      </c>
      <c r="E258" s="28" cm="1">
        <f t="array" ref="E258">TrajectoryToComeUp(E$247:E$250,$A258)</f>
        <v>0.55753925765298895</v>
      </c>
      <c r="F258" s="28" cm="1">
        <f t="array" ref="F258">TrajectoryToComeUp(F$247:F$250,$A258)</f>
        <v>-0.18645017685866336</v>
      </c>
      <c r="G258" s="28" cm="1">
        <f t="array" ref="G258">TrajectoryToComeUp(G$247:G$250,$A258)</f>
        <v>-1.1672530043253122</v>
      </c>
      <c r="H258" s="28" cm="1">
        <f t="array" ref="H258">TrajectoryToComeUp(H$247:H$250,$A258)</f>
        <v>-2.2534336435163942</v>
      </c>
      <c r="I258" s="2" cm="1">
        <f t="array" ref="I258">EvaluatePolynomial(I$247:I$250,$A258)</f>
        <v>2433.8071976071196</v>
      </c>
    </row>
    <row r="259" spans="1:9" x14ac:dyDescent="0.25">
      <c r="A259" s="1">
        <v>50</v>
      </c>
      <c r="B259" s="2" cm="1">
        <f t="array" ref="B259">TrajectoryToComeUp(B$247:B$250,$A259)</f>
        <v>-0.24018377458447643</v>
      </c>
      <c r="C259" s="39" cm="1">
        <f t="array" ref="C259">TrajectoryToComeUp(C$247:C$250,$A259)</f>
        <v>0.20630093522133688</v>
      </c>
      <c r="D259" s="28" cm="1">
        <f t="array" ref="D259">TrajectoryToComeUp(D$247:D$250,$A259)</f>
        <v>-1.7588601957893836E-2</v>
      </c>
      <c r="E259" s="28" cm="1">
        <f t="array" ref="E259">TrajectoryToComeUp(E$247:E$250,$A259)</f>
        <v>-0.21784851554705334</v>
      </c>
      <c r="F259" s="28" cm="1">
        <f t="array" ref="F259">TrajectoryToComeUp(F$247:F$250,$A259)</f>
        <v>-1.0979631051323495</v>
      </c>
      <c r="G259" s="28" cm="1">
        <f t="array" ref="G259">TrajectoryToComeUp(G$247:G$250,$A259)</f>
        <v>-2.0579062488862752</v>
      </c>
      <c r="H259" s="28" cm="1">
        <f t="array" ref="H259">TrajectoryToComeUp(H$247:H$250,$A259)</f>
        <v>-3.1136574767201597</v>
      </c>
      <c r="I259" s="2" cm="1">
        <f t="array" ref="I259">EvaluatePolynomial(I$247:I$250,$A259)</f>
        <v>2322.7377769567988</v>
      </c>
    </row>
    <row r="260" spans="1:9" x14ac:dyDescent="0.25">
      <c r="A260" s="1">
        <v>75</v>
      </c>
      <c r="B260" s="2" cm="1">
        <f t="array" ref="B260">TrajectoryToComeUp(B$247:B$250,$A260)</f>
        <v>-0.42592696777121353</v>
      </c>
      <c r="C260" s="2" cm="1">
        <f t="array" ref="C260">TrajectoryToComeUp(C$247:C$250,$A260)</f>
        <v>2.0502949766494877E-2</v>
      </c>
      <c r="D260" s="28" cm="1">
        <f t="array" ref="D260">TrajectoryToComeUp(D$247:D$250,$A260)</f>
        <v>-0.2018767520665401</v>
      </c>
      <c r="E260" s="28" cm="1">
        <f t="array" ref="E260">TrajectoryToComeUp(E$247:E$250,$A260)</f>
        <v>-0.40294912204432476</v>
      </c>
      <c r="F260" s="28" cm="1">
        <f t="array" ref="F260">TrajectoryToComeUp(F$247:F$250,$A260)</f>
        <v>-1.2839197733966778</v>
      </c>
      <c r="G260" s="28" cm="1">
        <f t="array" ref="G260">TrajectoryToComeUp(G$247:G$250,$A260)</f>
        <v>-2.2382686247668069</v>
      </c>
      <c r="H260" s="28" cm="1">
        <f t="array" ref="H260">TrajectoryToComeUp(H$247:H$250,$A260)</f>
        <v>-3.3186504503360834</v>
      </c>
      <c r="I260" s="2" cm="1">
        <f t="array" ref="I260">EvaluatePolynomial(I$247:I$250,$A260)</f>
        <v>2215.461253705017</v>
      </c>
    </row>
    <row r="261" spans="1:9" x14ac:dyDescent="0.25">
      <c r="A261" s="1">
        <v>100</v>
      </c>
      <c r="B261" s="2" cm="1">
        <f t="array" ref="B261">TrajectoryToComeUp(B$247:B$250,$A261)</f>
        <v>-0.43292467149664177</v>
      </c>
      <c r="C261" s="2" cm="1">
        <f t="array" ref="C261">TrajectoryToComeUp(C$247:C$250,$A261)</f>
        <v>7.9458740518324796E-3</v>
      </c>
      <c r="D261" s="28" cm="1">
        <f t="array" ref="D261">TrajectoryToComeUp(D$247:D$250,$A261)</f>
        <v>-0.20384813482862113</v>
      </c>
      <c r="E261" s="28" cm="1">
        <f t="array" ref="E261">TrajectoryToComeUp(E$247:E$250,$A261)</f>
        <v>-0.43031880481475632</v>
      </c>
      <c r="F261" s="28" cm="1">
        <f t="array" ref="F261">TrajectoryToComeUp(F$247:F$250,$A261)</f>
        <v>-1.2837576694656729</v>
      </c>
      <c r="G261" s="28" cm="1">
        <f t="array" ref="G261">TrajectoryToComeUp(G$247:G$250,$A261)</f>
        <v>-2.236486621124266</v>
      </c>
      <c r="H261" s="28" cm="1">
        <f t="array" ref="H261">TrajectoryToComeUp(H$247:H$250,$A261)</f>
        <v>-3.3506763354928637</v>
      </c>
      <c r="I261" s="2" cm="1">
        <f t="array" ref="I261">EvaluatePolynomial(I$247:I$250,$A261)</f>
        <v>2111.9096268556787</v>
      </c>
    </row>
    <row r="262" spans="1:9" x14ac:dyDescent="0.25">
      <c r="A262" s="1">
        <v>125</v>
      </c>
      <c r="B262" s="2" cm="1">
        <f t="array" ref="B262">TrajectoryToComeUp(B$247:B$250,$A262)</f>
        <v>-0.36123590976008907</v>
      </c>
      <c r="C262" s="2" cm="1">
        <f t="array" ref="C262">TrajectoryToComeUp(C$247:C$250,$A262)</f>
        <v>7.1345364327596597E-2</v>
      </c>
      <c r="D262" s="28" cm="1">
        <f t="array" ref="D262">TrajectoryToComeUp(D$247:D$250,$A262)</f>
        <v>-0.12802641375097734</v>
      </c>
      <c r="E262" s="28" cm="1">
        <f t="array" ref="E262">TrajectoryToComeUp(E$247:E$250,$A262)</f>
        <v>-0.38646881245353393</v>
      </c>
      <c r="F262" s="28" cm="1">
        <f t="array" ref="F262">TrajectoryToComeUp(F$247:F$250,$A262)</f>
        <v>-1.2053642909021405</v>
      </c>
      <c r="G262" s="28" cm="1">
        <f t="array" ref="G262">TrajectoryToComeUp(G$247:G$250,$A262)</f>
        <v>-2.158189535790124</v>
      </c>
      <c r="H262" s="28" cm="1">
        <f t="array" ref="H262">TrajectoryToComeUp(H$247:H$250,$A262)</f>
        <v>-3.30618788641624</v>
      </c>
      <c r="I262" s="2" cm="1">
        <f t="array" ref="I262">EvaluatePolynomial(I$247:I$250,$A262)</f>
        <v>2012.0148954126873</v>
      </c>
    </row>
    <row r="263" spans="1:9" x14ac:dyDescent="0.25">
      <c r="A263" s="1">
        <v>150</v>
      </c>
      <c r="B263" s="2" cm="1">
        <f t="array" ref="B263">TrajectoryToComeUp(B$247:B$250,$A263)</f>
        <v>-0.24421369056133119</v>
      </c>
      <c r="C263" s="2" cm="1">
        <f t="array" ref="C263">TrajectoryToComeUp(C$247:C$250,$A263)</f>
        <v>0.17827330601053648</v>
      </c>
      <c r="D263" s="28" cm="1">
        <f t="array" ref="D263">TrajectoryToComeUp(D$247:D$250,$A263)</f>
        <v>-9.2528100025554942E-3</v>
      </c>
      <c r="E263" s="28" cm="1">
        <f t="array" ref="E263">TrajectoryToComeUp(E$247:E$250,$A263)</f>
        <v>-0.3002362278257199</v>
      </c>
      <c r="F263" s="28" cm="1">
        <f t="array" ref="F263">TrajectoryToComeUp(F$247:F$250,$A263)</f>
        <v>-1.0847021368936822</v>
      </c>
      <c r="G263" s="28" cm="1">
        <f t="array" ref="G263">TrajectoryToComeUp(G$247:G$250,$A263)</f>
        <v>-2.0385871347082043</v>
      </c>
      <c r="H263" s="28" cm="1">
        <f t="array" ref="H263">TrajectoryToComeUp(H$247:H$250,$A263)</f>
        <v>-3.2173360211814601</v>
      </c>
      <c r="I263" s="2" cm="1">
        <f t="array" ref="I263">EvaluatePolynomial(I$247:I$250,$A263)</f>
        <v>1915.7090583799472</v>
      </c>
    </row>
    <row r="264" spans="1:9" x14ac:dyDescent="0.25">
      <c r="A264" s="1">
        <v>175</v>
      </c>
      <c r="B264" s="2" cm="1">
        <f t="array" ref="B264">TrajectoryToComeUp(B$247:B$250,$A264)</f>
        <v>-9.6152160185986518E-2</v>
      </c>
      <c r="C264" s="2" cm="1">
        <f t="array" ref="C264">TrajectoryToComeUp(C$247:C$250,$A264)</f>
        <v>0.31483193570782986</v>
      </c>
      <c r="D264" s="28" cm="1">
        <f t="array" ref="D264">TrajectoryToComeUp(D$247:D$250,$A264)</f>
        <v>0.13754072448709559</v>
      </c>
      <c r="E264" s="28" cm="1">
        <f t="array" ref="E264">TrajectoryToComeUp(E$247:E$250,$A264)</f>
        <v>-0.1839798007306265</v>
      </c>
      <c r="F264" s="28" cm="1">
        <f t="array" ref="F264">TrajectoryToComeUp(F$247:F$250,$A264)</f>
        <v>-0.93718370709212695</v>
      </c>
      <c r="G264" s="28" cm="1">
        <f t="array" ref="G264">TrajectoryToComeUp(G$247:G$250,$A264)</f>
        <v>-1.8927693175687168</v>
      </c>
      <c r="H264" s="28" cm="1">
        <f t="array" ref="H264">TrajectoryToComeUp(H$247:H$250,$A264)</f>
        <v>-3.0978997046779146</v>
      </c>
      <c r="I264" s="2" cm="1">
        <f t="array" ref="I264">EvaluatePolynomial(I$247:I$250,$A264)</f>
        <v>1822.9241147613623</v>
      </c>
    </row>
    <row r="265" spans="1:9" x14ac:dyDescent="0.25">
      <c r="A265" s="1">
        <v>200</v>
      </c>
      <c r="B265" s="2" cm="1">
        <f t="array" ref="B265">TrajectoryToComeUp(B$247:B$250,$A265)</f>
        <v>7.5801608223135891E-2</v>
      </c>
      <c r="C265" s="2" cm="1">
        <f t="array" ref="C265">TrajectoryToComeUp(C$247:C$250,$A265)</f>
        <v>0.47407237172306604</v>
      </c>
      <c r="D265" s="28" cm="1">
        <f t="array" ref="D265">TrajectoryToComeUp(D$247:D$250,$A265)</f>
        <v>0.30488821375320174</v>
      </c>
      <c r="E265" s="28" cm="1">
        <f t="array" ref="E265">TrajectoryToComeUp(E$247:E$250,$A265)</f>
        <v>-4.3878906067909881E-2</v>
      </c>
      <c r="F265" s="28" cm="1">
        <f t="array" ref="F265">TrajectoryToComeUp(F$247:F$250,$A265)</f>
        <v>-0.77051525132338972</v>
      </c>
      <c r="G265" s="28" cm="1">
        <f t="array" ref="G265">TrajectoryToComeUp(G$247:G$250,$A265)</f>
        <v>-1.7282810342167678</v>
      </c>
      <c r="H265" s="28" cm="1">
        <f t="array" ref="H265">TrajectoryToComeUp(H$247:H$250,$A265)</f>
        <v>-2.9547684193502994</v>
      </c>
      <c r="I265" s="2" cm="1">
        <f t="array" ref="I265">EvaluatePolynomial(I$247:I$250,$A265)</f>
        <v>1733.592063560837</v>
      </c>
    </row>
    <row r="266" spans="1:9" x14ac:dyDescent="0.25">
      <c r="A266" s="1">
        <v>225</v>
      </c>
      <c r="B266" s="2" cm="1">
        <f t="array" ref="B266">TrajectoryToComeUp(B$247:B$250,$A266)</f>
        <v>0.2676770184755865</v>
      </c>
      <c r="C266" s="2" cm="1">
        <f t="array" ref="C266">TrajectoryToComeUp(C$247:C$250,$A266)</f>
        <v>0.65213412422490558</v>
      </c>
      <c r="D266" s="28" cm="1">
        <f t="array" ref="D266">TrajectoryToComeUp(D$247:D$250,$A266)</f>
        <v>0.48864189337088815</v>
      </c>
      <c r="E266" s="28" cm="1">
        <f t="array" ref="E266">TrajectoryToComeUp(E$247:E$250,$A266)</f>
        <v>0.11663347010706548</v>
      </c>
      <c r="F266" s="28" cm="1">
        <f t="array" ref="F266">TrajectoryToComeUp(F$247:F$250,$A266)</f>
        <v>-0.58897801949075601</v>
      </c>
      <c r="G266" s="28" cm="1">
        <f t="array" ref="G266">TrajectoryToComeUp(G$247:G$250,$A266)</f>
        <v>-1.5493139234551927</v>
      </c>
      <c r="H266" s="28" cm="1">
        <f t="array" ref="H266">TrajectoryToComeUp(H$247:H$250,$A266)</f>
        <v>-2.791769655445667</v>
      </c>
      <c r="I266" s="2" cm="1">
        <f t="array" ref="I266">EvaluatePolynomial(I$247:I$250,$A266)</f>
        <v>1647.6449037822754</v>
      </c>
    </row>
    <row r="267" spans="1:9" x14ac:dyDescent="0.25">
      <c r="A267" s="1">
        <v>250</v>
      </c>
      <c r="B267" s="2" cm="1">
        <f t="array" ref="B267">TrajectoryToComeUp(B$247:B$250,$A267)</f>
        <v>0.47709171285709528</v>
      </c>
      <c r="C267" s="2" cm="1">
        <f t="array" ref="C267">TrajectoryToComeUp(C$247:C$250,$A267)</f>
        <v>0.84670089931454495</v>
      </c>
      <c r="D267" s="28" cm="1">
        <f t="array" ref="D267">TrajectoryToComeUp(D$247:D$250,$A267)</f>
        <v>0.68631310468523055</v>
      </c>
      <c r="E267" s="28" cm="1">
        <f t="array" ref="E267">TrajectoryToComeUp(E$247:E$250,$A267)</f>
        <v>0.29549753616108082</v>
      </c>
      <c r="F267" s="28" cm="1">
        <f t="array" ref="F267">TrajectoryToComeUp(F$247:F$250,$A267)</f>
        <v>-0.3951407615361977</v>
      </c>
      <c r="G267" s="28" cm="1">
        <f t="array" ref="G267">TrajectoryToComeUp(G$247:G$250,$A267)</f>
        <v>-1.3583829685656932</v>
      </c>
      <c r="H267" s="28" cm="1">
        <f t="array" ref="H267">TrajectoryToComeUp(H$247:H$250,$A267)</f>
        <v>-2.6111999071122494</v>
      </c>
      <c r="I267" s="2" cm="1">
        <f t="array" ref="I267">EvaluatePolynomial(I$247:I$250,$A267)</f>
        <v>1565.0146344295813</v>
      </c>
    </row>
    <row r="268" spans="1:9" x14ac:dyDescent="0.25">
      <c r="A268" s="1">
        <v>275</v>
      </c>
      <c r="B268" s="2" cm="1">
        <f t="array" ref="B268">TrajectoryToComeUp(B$247:B$250,$A268)</f>
        <v>0.70252964554949127</v>
      </c>
      <c r="C268" s="2" cm="1">
        <f t="array" ref="C268">TrajectoryToComeUp(C$247:C$250,$A268)</f>
        <v>1.0562986917836545</v>
      </c>
      <c r="D268" s="28" cm="1">
        <f t="array" ref="D268">TrajectoryToComeUp(D$247:D$250,$A268)</f>
        <v>0.89631815582491248</v>
      </c>
      <c r="E268" s="28" cm="1">
        <f t="array" ref="E268">TrajectoryToComeUp(E$247:E$250,$A268)</f>
        <v>0.49140251560026965</v>
      </c>
      <c r="F268" s="28" cm="1">
        <f t="array" ref="F268">TrajectoryToComeUp(F$247:F$250,$A268)</f>
        <v>-0.19063813651369685</v>
      </c>
      <c r="G268" s="28" cm="1">
        <f t="array" ref="G268">TrajectoryToComeUp(G$247:G$250,$A268)</f>
        <v>-1.1570886134548066</v>
      </c>
      <c r="H268" s="28" cm="1">
        <f t="array" ref="H268">TrajectoryToComeUp(H$247:H$250,$A268)</f>
        <v>-2.414520579717105</v>
      </c>
      <c r="I268" s="2" cm="1">
        <f t="array" ref="I268">EvaluatePolynomial(I$247:I$250,$A268)</f>
        <v>1485.6332545066591</v>
      </c>
    </row>
    <row r="269" spans="1:9" x14ac:dyDescent="0.25">
      <c r="A269" s="1">
        <v>300</v>
      </c>
      <c r="B269" s="2" cm="1">
        <f t="array" ref="B269">TrajectoryToComeUp(B$247:B$250,$A269)</f>
        <v>0.94298011934065951</v>
      </c>
      <c r="C269" s="2" cm="1">
        <f t="array" ref="C269">TrajectoryToComeUp(C$247:C$250,$A269)</f>
        <v>1.2799448314933475</v>
      </c>
      <c r="D269" s="28" cm="1">
        <f t="array" ref="D269">TrajectoryToComeUp(D$247:D$250,$A269)</f>
        <v>1.1176012522090573</v>
      </c>
      <c r="E269" s="28" cm="1">
        <f t="array" ref="E269">TrajectoryToComeUp(E$247:E$250,$A269)</f>
        <v>0.70347455742872111</v>
      </c>
      <c r="F269" s="28" cm="1">
        <f t="array" ref="F269">TrajectoryToComeUp(F$247:F$250,$A269)</f>
        <v>2.3440082874092372E-2</v>
      </c>
      <c r="G269" s="28" cm="1">
        <f t="array" ref="G269">TrajectoryToComeUp(G$247:G$250,$A269)</f>
        <v>-0.9464978207268917</v>
      </c>
      <c r="H269" s="28" cm="1">
        <f t="array" ref="H269">TrajectoryToComeUp(H$247:H$250,$A269)</f>
        <v>-2.2027059435049354</v>
      </c>
      <c r="I269" s="2" cm="1">
        <f t="array" ref="I269">EvaluatePolynomial(I$247:I$250,$A269)</f>
        <v>1409.4327630174125</v>
      </c>
    </row>
    <row r="270" spans="1:9" x14ac:dyDescent="0.25">
      <c r="A270" s="1">
        <v>325</v>
      </c>
      <c r="B270" s="2" cm="1">
        <f t="array" ref="B270">TrajectoryToComeUp(B$247:B$250,$A270)</f>
        <v>1.1977434207760596</v>
      </c>
      <c r="C270" s="2" cm="1">
        <f t="array" ref="C270">TrajectoryToComeUp(C$247:C$250,$A270)</f>
        <v>1.5169590083474722</v>
      </c>
      <c r="D270" s="28" cm="1">
        <f t="array" ref="D270">TrajectoryToComeUp(D$247:D$250,$A270)</f>
        <v>1.3494314591278265</v>
      </c>
      <c r="E270" s="28" cm="1">
        <f t="array" ref="E270">TrajectoryToComeUp(E$247:E$250,$A270)</f>
        <v>0.93110868788003509</v>
      </c>
      <c r="F270" s="28" cm="1">
        <f t="array" ref="F270">TrajectoryToComeUp(F$247:F$250,$A270)</f>
        <v>0.24633943860225471</v>
      </c>
      <c r="G270" s="28" cm="1">
        <f t="array" ref="G270">TrajectoryToComeUp(G$247:G$250,$A270)</f>
        <v>-0.72734925680035001</v>
      </c>
      <c r="H270" s="28" cm="1">
        <f t="array" ref="H270">TrajectoryToComeUp(H$247:H$250,$A270)</f>
        <v>-1.9764304932605383</v>
      </c>
      <c r="I270" s="2" cm="1">
        <f t="array" ref="I270">EvaluatePolynomial(I$247:I$250,$A270)</f>
        <v>1336.3451589657459</v>
      </c>
    </row>
    <row r="271" spans="1:9" x14ac:dyDescent="0.25">
      <c r="A271" s="1">
        <v>350</v>
      </c>
      <c r="B271" s="2" cm="1">
        <f t="array" ref="B271">TrajectoryToComeUp(B$247:B$250,$A271)</f>
        <v>1.4663197545310194</v>
      </c>
      <c r="C271" s="2" cm="1">
        <f t="array" ref="C271">TrajectoryToComeUp(C$247:C$250,$A271)</f>
        <v>1.7668552865630633</v>
      </c>
      <c r="D271" s="28" cm="1">
        <f t="array" ref="D271">TrajectoryToComeUp(D$247:D$250,$A271)</f>
        <v>1.5912866803599077</v>
      </c>
      <c r="E271" s="28" cm="1">
        <f t="array" ref="E271">TrajectoryToComeUp(E$247:E$250,$A271)</f>
        <v>1.1738727828353548</v>
      </c>
      <c r="F271" s="28" cm="1">
        <f t="array" ref="F271">TrajectoryToComeUp(F$247:F$250,$A271)</f>
        <v>0.4775210320815661</v>
      </c>
      <c r="G271" s="28" cm="1">
        <f t="array" ref="G271">TrajectoryToComeUp(G$247:G$250,$A271)</f>
        <v>-0.50017054054546883</v>
      </c>
      <c r="H271" s="28" cm="1">
        <f t="array" ref="H271">TrajectoryToComeUp(H$247:H$250,$A271)</f>
        <v>-1.7361760109730524</v>
      </c>
      <c r="I271" s="2" cm="1">
        <f t="array" ref="I271">EvaluatePolynomial(I$247:I$250,$A271)</f>
        <v>1266.3024413555634</v>
      </c>
    </row>
    <row r="272" spans="1:9" x14ac:dyDescent="0.25">
      <c r="A272" s="1">
        <v>375</v>
      </c>
      <c r="B272" s="2" cm="1">
        <f t="array" ref="B272">TrajectoryToComeUp(B$247:B$250,$A272)</f>
        <v>1.7483426040341123</v>
      </c>
      <c r="C272" s="2" cm="1">
        <f t="array" ref="C272">TrajectoryToComeUp(C$247:C$250,$A272)</f>
        <v>2.0292773132326114</v>
      </c>
      <c r="D272" s="28" cm="1">
        <f t="array" ref="D272">TrajectoryToComeUp(D$247:D$250,$A272)</f>
        <v>1.8427840453430047</v>
      </c>
      <c r="E272" s="28" cm="1">
        <f t="array" ref="E272">TrajectoryToComeUp(E$247:E$250,$A272)</f>
        <v>1.4314499512741847</v>
      </c>
      <c r="F272" s="28" cm="1">
        <f t="array" ref="F272">TrajectoryToComeUp(F$247:F$250,$A272)</f>
        <v>0.71658967101326088</v>
      </c>
      <c r="G272" s="28" cm="1">
        <f t="array" ref="G272">TrajectoryToComeUp(G$247:G$250,$A272)</f>
        <v>-0.26534859246712511</v>
      </c>
      <c r="H272" s="28" cm="1">
        <f t="array" ref="H272">TrajectoryToComeUp(H$247:H$250,$A272)</f>
        <v>-1.4822958034345135</v>
      </c>
      <c r="I272" s="2" cm="1">
        <f t="array" ref="I272">EvaluatePolynomial(I$247:I$250,$A272)</f>
        <v>1199.2366091907686</v>
      </c>
    </row>
    <row r="273" spans="1:9" x14ac:dyDescent="0.25">
      <c r="A273" s="1">
        <v>400</v>
      </c>
      <c r="B273" s="2" cm="1">
        <f t="array" ref="B273">TrajectoryToComeUp(B$247:B$250,$A273)</f>
        <v>2.0435370818567695</v>
      </c>
      <c r="C273" s="2" cm="1">
        <f t="array" ref="C273">TrajectoryToComeUp(C$247:C$250,$A273)</f>
        <v>2.3039578236754856</v>
      </c>
      <c r="D273" s="28" cm="1">
        <f t="array" ref="D273">TrajectoryToComeUp(D$247:D$250,$A273)</f>
        <v>2.103636401155395</v>
      </c>
      <c r="E273" s="28" cm="1">
        <f t="array" ref="E273">TrajectoryToComeUp(E$247:E$250,$A273)</f>
        <v>1.7036025249311539</v>
      </c>
      <c r="F273" s="28" cm="1">
        <f t="array" ref="F273">TrajectoryToComeUp(F$247:F$250,$A273)</f>
        <v>0.9632489611732663</v>
      </c>
      <c r="G273" s="28" cm="1">
        <f t="array" ref="G273">TrajectoryToComeUp(G$247:G$250,$A273)</f>
        <v>-2.3173602943976898E-2</v>
      </c>
      <c r="H273" s="28" cm="1">
        <f t="array" ref="H273">TrajectoryToComeUp(H$247:H$250,$A273)</f>
        <v>-1.2150548507389483</v>
      </c>
      <c r="I273" s="2" cm="1">
        <f t="array" ref="I273">EvaluatePolynomial(I$247:I$250,$A273)</f>
        <v>1135.0796614752662</v>
      </c>
    </row>
    <row r="274" spans="1:9" x14ac:dyDescent="0.25">
      <c r="A274" s="1">
        <v>425</v>
      </c>
      <c r="B274" s="2" cm="1">
        <f t="array" ref="B274">TrajectoryToComeUp(B$247:B$250,$A274)</f>
        <v>2.351692979965379</v>
      </c>
      <c r="C274" s="2" cm="1">
        <f t="array" ref="C274">TrajectoryToComeUp(C$247:C$250,$A274)</f>
        <v>2.5906924390182628</v>
      </c>
      <c r="D274" s="28" cm="1">
        <f t="array" ref="D274">TrajectoryToComeUp(D$247:D$250,$A274)</f>
        <v>2.3736241602687027</v>
      </c>
      <c r="E274" s="28" cm="1">
        <f t="array" ref="E274">TrajectoryToComeUp(E$247:E$250,$A274)</f>
        <v>1.9901487574856838</v>
      </c>
      <c r="F274" s="28" cm="1">
        <f t="array" ref="F274">TrajectoryToComeUp(F$247:F$250,$A274)</f>
        <v>1.217272248154937</v>
      </c>
      <c r="G274" s="28" cm="1">
        <f t="array" ref="G274">TrajectoryToComeUp(G$247:G$250,$A274)</f>
        <v>0.22613251773441392</v>
      </c>
      <c r="H274" s="28" cm="1">
        <f t="array" ref="H274">TrajectoryToComeUp(H$247:H$250,$A274)</f>
        <v>-0.9346557847229654</v>
      </c>
      <c r="I274" s="2" cm="1">
        <f t="array" ref="I274">EvaluatePolynomial(I$247:I$250,$A274)</f>
        <v>1073.7635972129603</v>
      </c>
    </row>
    <row r="275" spans="1:9" x14ac:dyDescent="0.25">
      <c r="A275" s="1">
        <v>450</v>
      </c>
      <c r="B275" s="2" cm="1">
        <f t="array" ref="B275">TrajectoryToComeUp(B$247:B$250,$A275)</f>
        <v>2.6726468032226864</v>
      </c>
      <c r="C275" s="2" cm="1">
        <f t="array" ref="C275">TrajectoryToComeUp(C$247:C$250,$A275)</f>
        <v>2.8893221979149462</v>
      </c>
      <c r="D275" s="28" cm="1">
        <f t="array" ref="D275">TrajectoryToComeUp(D$247:D$250,$A275)</f>
        <v>2.6525765323830814</v>
      </c>
      <c r="E275" s="28" cm="1">
        <f t="array" ref="E275">TrajectoryToComeUp(E$247:E$250,$A275)</f>
        <v>2.2909472906884361</v>
      </c>
      <c r="F275" s="28" cm="1">
        <f t="array" ref="F275">TrajectoryToComeUp(F$247:F$250,$A275)</f>
        <v>1.4784832451975496</v>
      </c>
      <c r="G275" s="28" cm="1">
        <f t="array" ref="G275">TrajectoryToComeUp(G$247:G$250,$A275)</f>
        <v>0.48239717267616594</v>
      </c>
      <c r="H275" s="28" cm="1">
        <f t="array" ref="H275">TrajectoryToComeUp(H$247:H$250,$A275)</f>
        <v>-0.64125620792614946</v>
      </c>
      <c r="I275" s="2" cm="1">
        <f t="array" ref="I275">EvaluatePolynomial(I$247:I$250,$A275)</f>
        <v>1015.2204154077544</v>
      </c>
    </row>
    <row r="276" spans="1:9" x14ac:dyDescent="0.25">
      <c r="A276" s="1">
        <v>475</v>
      </c>
      <c r="B276" s="2" cm="1">
        <f t="array" ref="B276">TrajectoryToComeUp(B$247:B$250,$A276)</f>
        <v>3.0062694765203339</v>
      </c>
      <c r="C276" s="2" cm="1">
        <f t="array" ref="C276">TrajectoryToComeUp(C$247:C$250,$A276)</f>
        <v>3.1997216045660646</v>
      </c>
      <c r="D276" s="28" cm="1">
        <f t="array" ref="D276">TrajectoryToComeUp(D$247:D$250,$A276)</f>
        <v>2.940358683051282</v>
      </c>
      <c r="E276" s="28" cm="1">
        <f t="array" ref="E276">TrajectoryToComeUp(E$247:E$250,$A276)</f>
        <v>2.6058865259215116</v>
      </c>
      <c r="F276" s="28" cm="1">
        <f t="array" ref="F276">TrajectoryToComeUp(F$247:F$250,$A276)</f>
        <v>1.7467427785426386</v>
      </c>
      <c r="G276" s="28" cm="1">
        <f t="array" ref="G276">TrajectoryToComeUp(G$247:G$250,$A276)</f>
        <v>0.74548410117716257</v>
      </c>
      <c r="H276" s="28" cm="1">
        <f t="array" ref="H276">TrajectoryToComeUp(H$247:H$250,$A276)</f>
        <v>-0.33498054340606709</v>
      </c>
      <c r="I276" s="2" cm="1">
        <f t="array" ref="I276">EvaluatePolynomial(I$247:I$250,$A276)</f>
        <v>959.3821150635531</v>
      </c>
    </row>
    <row r="277" spans="1:9" x14ac:dyDescent="0.25">
      <c r="A277" s="10">
        <v>500</v>
      </c>
      <c r="B277" s="2" cm="1">
        <f t="array" ref="B277">TrajectoryToComeUp(B$247:B$250,$A277)</f>
        <v>3.3524577397716335</v>
      </c>
      <c r="C277" s="2" cm="1">
        <f t="array" ref="C277">TrajectoryToComeUp(C$247:C$250,$A277)</f>
        <v>3.5217902623320416</v>
      </c>
      <c r="D277" s="28" cm="1">
        <f t="array" ref="D277">TrajectoryToComeUp(D$247:D$250,$A277)</f>
        <v>3.2368627447155047</v>
      </c>
      <c r="E277" s="28" cm="1">
        <f t="array" ref="E277">TrajectoryToComeUp(E$247:E$250,$A277)</f>
        <v>2.9348771842905923</v>
      </c>
      <c r="F277" s="28" cm="1">
        <f t="array" ref="F277">TrajectoryToComeUp(F$247:F$250,$A277)</f>
        <v>2.0219395091834307</v>
      </c>
      <c r="G277" s="28" cm="1">
        <f t="array" ref="G277">TrajectoryToComeUp(G$247:G$250,$A277)</f>
        <v>1.0152842946741094</v>
      </c>
      <c r="H277" s="28" cm="1">
        <f t="array" ref="H277">TrajectoryToComeUp(H$247:H$250,$A277)</f>
        <v>-1.5928329608771826E-2</v>
      </c>
      <c r="I277" s="2" cm="1">
        <f t="array" ref="I277">EvaluatePolynomial(I$247:I$250,$A277)</f>
        <v>906.18069518426034</v>
      </c>
    </row>
  </sheetData>
  <mergeCells count="10">
    <mergeCell ref="F1:I1"/>
    <mergeCell ref="Z12:AA12"/>
    <mergeCell ref="AB12:AC12"/>
    <mergeCell ref="AD12:AE12"/>
    <mergeCell ref="R11:AE11"/>
    <mergeCell ref="C20:G20"/>
    <mergeCell ref="R12:S12"/>
    <mergeCell ref="T12:U12"/>
    <mergeCell ref="V12:W12"/>
    <mergeCell ref="X12:Y12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S277"/>
  <sheetViews>
    <sheetView topLeftCell="A193" workbookViewId="0">
      <selection activeCell="P19" sqref="P19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63</v>
      </c>
      <c r="C1" t="s">
        <v>66</v>
      </c>
      <c r="D1" t="s">
        <v>37</v>
      </c>
      <c r="F1" s="44" t="s">
        <v>94</v>
      </c>
      <c r="G1" s="44"/>
      <c r="H1" s="44"/>
      <c r="I1" s="44"/>
    </row>
    <row r="2" spans="1:9" x14ac:dyDescent="0.25">
      <c r="A2" t="s">
        <v>20</v>
      </c>
      <c r="B2" s="2">
        <v>85</v>
      </c>
      <c r="C2" s="2">
        <f>CONVERT($B$2,"grain","g")</f>
        <v>5.50790735</v>
      </c>
      <c r="F2" t="s">
        <v>95</v>
      </c>
      <c r="G2" s="2">
        <v>85</v>
      </c>
      <c r="H2" s="2">
        <f>CONVERT($G$2,"grain","g")</f>
        <v>5.50790735</v>
      </c>
    </row>
    <row r="3" spans="1:9" x14ac:dyDescent="0.25">
      <c r="A3" t="s">
        <v>0</v>
      </c>
      <c r="B3" s="2">
        <v>0.24299999999999999</v>
      </c>
      <c r="C3" s="2">
        <f>CONVERT($B$3,"in","mm")</f>
        <v>6.1722000000000001</v>
      </c>
      <c r="F3" t="s">
        <v>70</v>
      </c>
      <c r="G3" s="2">
        <v>0.24299999999999999</v>
      </c>
      <c r="H3" s="2">
        <f>CONVERT($G$3,"in","mm")</f>
        <v>6.1722000000000001</v>
      </c>
    </row>
    <row r="4" spans="1:9" x14ac:dyDescent="0.25">
      <c r="A4" t="s">
        <v>11</v>
      </c>
      <c r="B4" s="2"/>
      <c r="C4" s="2"/>
      <c r="F4" t="s">
        <v>11</v>
      </c>
      <c r="G4" s="2" t="s">
        <v>96</v>
      </c>
      <c r="H4" s="2"/>
    </row>
    <row r="5" spans="1:9" x14ac:dyDescent="0.25">
      <c r="A5" t="s">
        <v>21</v>
      </c>
      <c r="B5" s="2">
        <v>0.23300000000000001</v>
      </c>
      <c r="C5" s="2"/>
      <c r="F5" t="s">
        <v>21</v>
      </c>
      <c r="G5" s="2">
        <v>0.376</v>
      </c>
      <c r="H5" s="2"/>
    </row>
    <row r="6" spans="1:9" x14ac:dyDescent="0.25">
      <c r="A6" t="s">
        <v>22</v>
      </c>
      <c r="B6" s="2">
        <v>2620</v>
      </c>
      <c r="C6" s="2">
        <f>CONVERT($B$6,"J","flb")</f>
        <v>1932.4128311064353</v>
      </c>
      <c r="F6" t="s">
        <v>97</v>
      </c>
      <c r="G6" s="2" cm="1">
        <f t="array" ref="G6">MuzzleVelocityToMuzzleEnergyFtLb(G7,G2)</f>
        <v>1932.347073523724</v>
      </c>
      <c r="H6" s="2" cm="1">
        <f t="array" ref="H6">MuzzleVelocityToMuzzleEnergyJoules(H7,H2)</f>
        <v>2619.9108446891214</v>
      </c>
    </row>
    <row r="7" spans="1:9" x14ac:dyDescent="0.25">
      <c r="A7" t="s">
        <v>19</v>
      </c>
      <c r="B7" s="2">
        <f xml:space="preserve"> SQRT(2*$B$6/(CONVERT($B$2,"grain","g")/1000))</f>
        <v>975.37659556171729</v>
      </c>
      <c r="C7" s="2">
        <f>CONVERT($B$7,"m","ft")</f>
        <v>3200.0544473809628</v>
      </c>
      <c r="F7" t="s">
        <v>98</v>
      </c>
      <c r="G7" s="2">
        <v>3200</v>
      </c>
      <c r="H7" s="2">
        <f>CONVERT($G$7,"ft","m")</f>
        <v>975.36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5</v>
      </c>
      <c r="C9" s="2">
        <f>CONVERT($B$9,"m/sec","km/hr")</f>
        <v>18</v>
      </c>
    </row>
    <row r="10" spans="1:9" x14ac:dyDescent="0.25">
      <c r="A10" t="s">
        <v>3</v>
      </c>
      <c r="B10" s="2">
        <v>90</v>
      </c>
      <c r="C10" s="2"/>
    </row>
    <row r="11" spans="1:9" x14ac:dyDescent="0.25">
      <c r="A11" s="25" t="s">
        <v>72</v>
      </c>
      <c r="B11" s="2">
        <v>0.5</v>
      </c>
      <c r="C11" s="26"/>
    </row>
    <row r="12" spans="1:9" x14ac:dyDescent="0.25">
      <c r="A12" s="25" t="s">
        <v>73</v>
      </c>
      <c r="B12" s="2" cm="1">
        <f t="array" ref="B12">MOAToMRAD($B$11)</f>
        <v>0.14544410433286079</v>
      </c>
      <c r="C12" s="26">
        <f>$B$12/2</f>
        <v>7.2722052166430393E-2</v>
      </c>
    </row>
    <row r="13" spans="1:9" x14ac:dyDescent="0.25">
      <c r="A13" s="25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5" t="s">
        <v>5</v>
      </c>
      <c r="B14" t="s">
        <v>74</v>
      </c>
    </row>
    <row r="15" spans="1:9" x14ac:dyDescent="0.25">
      <c r="A15" t="s">
        <v>75</v>
      </c>
      <c r="B15" s="27" t="s">
        <v>76</v>
      </c>
      <c r="C15" s="27" t="s">
        <v>77</v>
      </c>
      <c r="D15" s="27" t="s">
        <v>78</v>
      </c>
      <c r="E15" s="27" t="s">
        <v>79</v>
      </c>
    </row>
    <row r="16" spans="1:9" x14ac:dyDescent="0.25">
      <c r="A16" s="25" t="s">
        <v>80</v>
      </c>
      <c r="B16" s="2">
        <v>0.625</v>
      </c>
      <c r="C16">
        <f>$B16/2</f>
        <v>0.3125</v>
      </c>
      <c r="D16" s="2">
        <f>$B$16 * $B$18</f>
        <v>0.36361026083215198</v>
      </c>
      <c r="E16" s="28">
        <f>$D16/2</f>
        <v>0.18180513041607599</v>
      </c>
    </row>
    <row r="17" spans="1:17" x14ac:dyDescent="0.25">
      <c r="A17" s="25" t="s">
        <v>81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8">
        <f>$D17/2</f>
        <v>7.2722052166430393E-2</v>
      </c>
    </row>
    <row r="18" spans="1:17" x14ac:dyDescent="0.25">
      <c r="A18" s="11" t="s">
        <v>82</v>
      </c>
      <c r="B18" s="12">
        <f>$B$12/$B$17</f>
        <v>0.58177641733144314</v>
      </c>
      <c r="C18" s="2"/>
      <c r="J18" s="2">
        <v>5</v>
      </c>
      <c r="K18" s="2">
        <v>4.5</v>
      </c>
      <c r="L18" s="2">
        <v>4.25</v>
      </c>
      <c r="M18" s="2">
        <v>4.25</v>
      </c>
      <c r="N18" s="2">
        <v>4</v>
      </c>
      <c r="O18" s="2">
        <v>4</v>
      </c>
      <c r="P18" s="2">
        <v>4.5</v>
      </c>
    </row>
    <row r="19" spans="1:17" x14ac:dyDescent="0.25">
      <c r="A19" s="29" t="s">
        <v>83</v>
      </c>
      <c r="B19" s="30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42" t="s">
        <v>24</v>
      </c>
      <c r="D20" s="42"/>
      <c r="E20" s="42"/>
      <c r="F20" s="42"/>
      <c r="G20" s="42"/>
      <c r="H20" s="13"/>
      <c r="I20" s="13"/>
      <c r="J20" s="42" t="s">
        <v>25</v>
      </c>
      <c r="K20" s="42"/>
      <c r="L20" s="42"/>
      <c r="M20" s="42"/>
      <c r="N20" s="42"/>
      <c r="O20" s="13"/>
      <c r="P20" s="13"/>
      <c r="Q20" s="31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32" t="s">
        <v>32</v>
      </c>
      <c r="Q21" s="31" t="s">
        <v>30</v>
      </c>
    </row>
    <row r="22" spans="1:17" x14ac:dyDescent="0.25">
      <c r="A22" s="1">
        <v>0</v>
      </c>
      <c r="B22" s="1">
        <v>2620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3">
        <f t="shared" si="1"/>
        <v>-3.81</v>
      </c>
      <c r="Q22" s="34">
        <v>0</v>
      </c>
    </row>
    <row r="23" spans="1:17" x14ac:dyDescent="0.25">
      <c r="A23" s="1">
        <v>25</v>
      </c>
      <c r="B23" s="1">
        <v>2456.6999999999998</v>
      </c>
      <c r="C23" s="6">
        <v>-0.25</v>
      </c>
      <c r="D23" s="6">
        <v>-0.375</v>
      </c>
      <c r="E23" s="6">
        <v>-0.33300000000000002</v>
      </c>
      <c r="F23" s="6">
        <v>-0.25</v>
      </c>
      <c r="G23" s="6">
        <v>-6.25E-2</v>
      </c>
      <c r="H23" s="6">
        <v>0.24</v>
      </c>
      <c r="I23" s="14">
        <v>0.6</v>
      </c>
      <c r="J23" s="9" cm="1">
        <f t="array" ref="J23">TrajectoryDropInCM(C23,$A23,J$18)</f>
        <v>-3.125001627605184</v>
      </c>
      <c r="K23" s="9" cm="1">
        <f t="array" ref="K23">TrajectoryDropInCM(D23,$A23,K$18)</f>
        <v>-4.2187540045211627</v>
      </c>
      <c r="L23" s="9" cm="1">
        <f t="array" ref="L23">TrajectoryDropInCM(E23,$A23,L$18)</f>
        <v>-3.5381273622104836</v>
      </c>
      <c r="M23" s="9" cm="1">
        <f t="array" ref="M23">TrajectoryDropInCM(F23,$A23,M$18)</f>
        <v>-2.65625099955286</v>
      </c>
      <c r="N23" s="9" cm="1">
        <f t="array" ref="N23">TrajectoryDropInCM(G23,$A23,N$18)</f>
        <v>-0.62500001302083352</v>
      </c>
      <c r="O23" s="9" cm="1">
        <f t="array" ref="O23">TrajectoryDropInCM(H23,$A23,O$18)</f>
        <v>2.4000007372802714</v>
      </c>
      <c r="P23" s="35" cm="1">
        <f t="array" ref="P23">TrajectoryDropInCM(I23,$A23,P$18)</f>
        <v>6.7500164025478284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2291.5</v>
      </c>
      <c r="C24" s="7">
        <v>0</v>
      </c>
      <c r="D24" s="6">
        <v>-8.3000000000000004E-2</v>
      </c>
      <c r="E24" s="6">
        <v>-6.25E-2</v>
      </c>
      <c r="F24" s="6">
        <v>0.05</v>
      </c>
      <c r="G24" s="6">
        <v>0.25</v>
      </c>
      <c r="H24" s="6">
        <v>0.5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-1.8675000868401557</v>
      </c>
      <c r="L24" s="9" cm="1">
        <f t="array" ref="L24">TrajectoryDropInCM(E24,$A24,L$18)</f>
        <v>-1.3281250312360138</v>
      </c>
      <c r="M24" s="9" cm="1">
        <f t="array" ref="M24">TrajectoryDropInCM(F24,$A24,M$18)</f>
        <v>1.0625000159928388</v>
      </c>
      <c r="N24" s="9" cm="1">
        <f t="array" ref="N24">TrajectoryDropInCM(G24,$A24,N$18)</f>
        <v>5.0000016666673339</v>
      </c>
      <c r="O24" s="9" cm="1">
        <f t="array" ref="O24">TrajectoryDropInCM(H24,$A24,O$18)</f>
        <v>10.000013333354666</v>
      </c>
      <c r="P24" s="35" cm="1">
        <f t="array" ref="P24">TrajectoryDropInCM(I24,$A24,P$18)</f>
        <v>15.007545067696162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2111.8000000000002</v>
      </c>
      <c r="C25" s="6">
        <v>8.3000000000000004E-2</v>
      </c>
      <c r="D25" s="6">
        <v>0</v>
      </c>
      <c r="E25" s="6">
        <v>0.01</v>
      </c>
      <c r="F25" s="6">
        <v>0.1</v>
      </c>
      <c r="G25" s="6">
        <v>0.3175</v>
      </c>
      <c r="H25" s="6">
        <v>0.58299999999999996</v>
      </c>
      <c r="I25" s="14">
        <v>0.995</v>
      </c>
      <c r="J25" s="9" cm="1">
        <f t="array" ref="J25">TrajectoryDropInCM(C25,$A25,J$18)</f>
        <v>3.1125001786834505</v>
      </c>
      <c r="K25" s="9" cm="1">
        <f t="array" ref="K25">TrajectoryDropInCM(D25,$A25,K$18)</f>
        <v>0</v>
      </c>
      <c r="L25" s="9" cm="1">
        <f t="array" ref="L25">TrajectoryDropInCM(E25,$A25,L$18)</f>
        <v>0.31875000019191407</v>
      </c>
      <c r="M25" s="9" cm="1">
        <f t="array" ref="M25">TrajectoryDropInCM(F25,$A25,M$18)</f>
        <v>3.1875001919140762</v>
      </c>
      <c r="N25" s="9" cm="1">
        <f t="array" ref="N25">TrajectoryDropInCM(G25,$A25,N$18)</f>
        <v>9.5250051209608042</v>
      </c>
      <c r="O25" s="9" cm="1">
        <f t="array" ref="O25">TrajectoryDropInCM(H25,$A25,O$18)</f>
        <v>17.490031704914887</v>
      </c>
      <c r="P25" s="35" cm="1">
        <f t="array" ref="P25">TrajectoryDropInCM(I25,$A25,P$18)</f>
        <v>33.581474414169584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1950</v>
      </c>
      <c r="C26" s="6">
        <v>0.125</v>
      </c>
      <c r="D26" s="7">
        <v>0</v>
      </c>
      <c r="E26" s="6">
        <v>6.25E-2</v>
      </c>
      <c r="F26" s="6">
        <v>0.125</v>
      </c>
      <c r="G26" s="6">
        <v>0.33300000000000002</v>
      </c>
      <c r="H26" s="6">
        <v>0.6</v>
      </c>
      <c r="I26" s="14">
        <v>1</v>
      </c>
      <c r="J26" s="9" cm="1">
        <f t="array" ref="J26">TrajectoryDropInCM(C26,$A26,J$18)</f>
        <v>6.2500008138022105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5.3125004997762613</v>
      </c>
      <c r="N26" s="9" cm="1">
        <f t="array" ref="N26">TrajectoryDropInCM(G26,$A26,N$18)</f>
        <v>13.320007877560153</v>
      </c>
      <c r="O26" s="9" cm="1">
        <f t="array" ref="O26">TrajectoryDropInCM(H26,$A26,O$18)</f>
        <v>24.000046080106166</v>
      </c>
      <c r="P26" s="35" cm="1">
        <f t="array" ref="P26">TrajectoryDropInCM(I26,$A26,P$18)</f>
        <v>45.000303752460397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1803.3</v>
      </c>
      <c r="C27" s="6">
        <v>0.1</v>
      </c>
      <c r="D27" s="6">
        <v>0</v>
      </c>
      <c r="E27" s="6">
        <v>6.25E-2</v>
      </c>
      <c r="F27" s="6">
        <v>0.125</v>
      </c>
      <c r="G27" s="6">
        <v>0.33300000000000002</v>
      </c>
      <c r="H27" s="6">
        <v>0.66700000000000004</v>
      </c>
      <c r="I27" s="14">
        <v>1</v>
      </c>
      <c r="J27" s="9" cm="1">
        <f t="array" ref="J27">TrajectoryDropInCM(C27,$A27,J$18)</f>
        <v>6.2500005208333844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6.640625624720327</v>
      </c>
      <c r="N27" s="9" cm="1">
        <f t="array" ref="N27">TrajectoryDropInCM(G27,$A27,N$18)</f>
        <v>16.650009846950191</v>
      </c>
      <c r="O27" s="9" cm="1">
        <f t="array" ref="O27">TrajectoryDropInCM(H27,$A27,O$18)</f>
        <v>33.350079131148782</v>
      </c>
      <c r="P27" s="35" cm="1">
        <f t="array" ref="P27">TrajectoryDropInCM(I27,$A27,P$18)</f>
        <v>56.250379690575492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1669.6</v>
      </c>
      <c r="C28" s="6">
        <v>6.25E-2</v>
      </c>
      <c r="D28" s="6">
        <v>-0.05</v>
      </c>
      <c r="E28" s="7">
        <v>0</v>
      </c>
      <c r="F28" s="6">
        <v>8.3000000000000004E-2</v>
      </c>
      <c r="G28" s="6">
        <v>0.3</v>
      </c>
      <c r="H28" s="6">
        <v>0.5625</v>
      </c>
      <c r="I28" s="14">
        <v>0.95</v>
      </c>
      <c r="J28" s="9" cm="1">
        <f t="array" ref="J28">TrajectoryDropInCM(C28,$A28,J$18)</f>
        <v>4.687500152587897</v>
      </c>
      <c r="K28" s="9" cm="1">
        <f t="array" ref="K28">TrajectoryDropInCM(D28,$A28,K$18)</f>
        <v>-3.3750000569531267</v>
      </c>
      <c r="L28" s="9" cm="1">
        <f t="array" ref="L28">TrajectoryDropInCM(E28,$A28,L$18)</f>
        <v>0</v>
      </c>
      <c r="M28" s="9" cm="1">
        <f t="array" ref="M28">TrajectoryDropInCM(F28,$A28,M$18)</f>
        <v>5.2912502194679423</v>
      </c>
      <c r="N28" s="9" cm="1">
        <f t="array" ref="N28">TrajectoryDropInCM(G28,$A28,N$18)</f>
        <v>18.000008640004971</v>
      </c>
      <c r="O28" s="9" cm="1">
        <f t="array" ref="O28">TrajectoryDropInCM(H28,$A28,O$18)</f>
        <v>33.750056953240325</v>
      </c>
      <c r="P28" s="35" cm="1">
        <f t="array" ref="P28">TrajectoryDropInCM(I28,$A28,P$18)</f>
        <v>64.125390644340058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1424.6</v>
      </c>
      <c r="C29" s="6">
        <v>0</v>
      </c>
      <c r="D29" s="6">
        <v>-0.1</v>
      </c>
      <c r="E29" s="6">
        <v>-6.25E-2</v>
      </c>
      <c r="F29" s="7">
        <v>0</v>
      </c>
      <c r="G29" s="6">
        <v>0.24</v>
      </c>
      <c r="H29" s="6">
        <v>0.5</v>
      </c>
      <c r="I29" s="14">
        <v>0.875</v>
      </c>
      <c r="J29" s="9" cm="1">
        <f t="array" ref="J29">TrajectoryDropInCM(C29,$A29,J$18)</f>
        <v>0</v>
      </c>
      <c r="K29" s="9" cm="1">
        <f t="array" ref="K29">TrajectoryDropInCM(D29,$A29,K$18)</f>
        <v>-9.0000006075000485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19.200005898242171</v>
      </c>
      <c r="O29" s="9" cm="1">
        <f t="array" ref="O29">TrajectoryDropInCM(H29,$A29,O$18)</f>
        <v>40.000053333418663</v>
      </c>
      <c r="P29" s="35" cm="1">
        <f t="array" ref="P29">TrajectoryDropInCM(I29,$A29,P$18)</f>
        <v>78.750406980062976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1195.5999999999999</v>
      </c>
      <c r="C30" s="6">
        <v>-0.125</v>
      </c>
      <c r="D30" s="6">
        <v>-0.16700000000000001</v>
      </c>
      <c r="E30" s="6">
        <v>-0.15</v>
      </c>
      <c r="F30" s="6">
        <v>-8.3000000000000004E-2</v>
      </c>
      <c r="G30" s="6">
        <v>0.125</v>
      </c>
      <c r="H30" s="6">
        <v>0.41699999999999998</v>
      </c>
      <c r="I30" s="14">
        <v>0.76</v>
      </c>
      <c r="J30" s="9" cm="1">
        <f t="array" ref="J30">TrajectoryDropInCM(C30,$A30,J$18)</f>
        <v>-15.625002034505526</v>
      </c>
      <c r="K30" s="9" cm="1">
        <f t="array" ref="K30">TrajectoryDropInCM(D30,$A30,K$18)</f>
        <v>-18.787503536761768</v>
      </c>
      <c r="L30" s="9" cm="1">
        <f t="array" ref="L30">TrajectoryDropInCM(E30,$A30,L$18)</f>
        <v>-15.937502159033553</v>
      </c>
      <c r="M30" s="9" cm="1">
        <f t="array" ref="M30">TrajectoryDropInCM(F30,$A30,M$18)</f>
        <v>-8.8187503657799056</v>
      </c>
      <c r="N30" s="9" cm="1">
        <f t="array" ref="N30">TrajectoryDropInCM(G30,$A30,N$18)</f>
        <v>12.500001041666769</v>
      </c>
      <c r="O30" s="9" cm="1">
        <f t="array" ref="O30">TrajectoryDropInCM(H30,$A30,O$18)</f>
        <v>41.700038672956637</v>
      </c>
      <c r="P30" s="35" cm="1">
        <f t="array" ref="P30">TrajectoryDropInCM(I30,$A30,P$18)</f>
        <v>85.500333348959586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1002.8</v>
      </c>
      <c r="C31" s="6">
        <v>-0.1875</v>
      </c>
      <c r="D31" s="6">
        <v>-0.3125</v>
      </c>
      <c r="E31" s="6">
        <v>-0.26</v>
      </c>
      <c r="F31" s="6">
        <v>-0.24</v>
      </c>
      <c r="G31" s="7">
        <v>0</v>
      </c>
      <c r="H31" s="17">
        <v>0.3125</v>
      </c>
      <c r="I31" s="18">
        <v>0.58299999999999996</v>
      </c>
      <c r="J31" s="9" cm="1">
        <f t="array" ref="J31">TrajectoryDropInCM(C31,$A31,J$18)</f>
        <v>-28.12500823974899</v>
      </c>
      <c r="K31" s="9" cm="1">
        <f t="array" ref="K31">TrajectoryDropInCM(D31,$A31,K$18)</f>
        <v>-42.187527809165061</v>
      </c>
      <c r="L31" s="9" cm="1">
        <f t="array" ref="L31">TrajectoryDropInCM(E31,$A31,L$18)</f>
        <v>-33.150013492332846</v>
      </c>
      <c r="M31" s="9" cm="1">
        <f t="array" ref="M31">TrajectoryDropInCM(F31,$A31,M$18)</f>
        <v>-30.600010612084422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35" cm="1">
        <f t="array" ref="P31">TrajectoryDropInCM(I31,$A31,P$18)</f>
        <v>78.705180569502403</v>
      </c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1">
        <v>839.6</v>
      </c>
      <c r="C32" s="6">
        <v>-0.35</v>
      </c>
      <c r="D32" s="6">
        <v>-0.41699999999999998</v>
      </c>
      <c r="E32" s="6">
        <v>-0.4</v>
      </c>
      <c r="F32" s="6">
        <v>-0.33300000000000002</v>
      </c>
      <c r="G32" s="6">
        <v>-0.125</v>
      </c>
      <c r="H32" s="6">
        <v>0.16700000000000001</v>
      </c>
      <c r="I32" s="14">
        <v>0.51249999999999996</v>
      </c>
      <c r="J32" s="9" cm="1">
        <f t="array" ref="J32">TrajectoryDropInCM(C32,$A32,J$18)</f>
        <v>-61.250062526118263</v>
      </c>
      <c r="K32" s="9" cm="1">
        <f t="array" ref="K32">TrajectoryDropInCM(D32,$A32,K$18)</f>
        <v>-65.67757708912346</v>
      </c>
      <c r="L32" s="9" cm="1">
        <f t="array" ref="L32">TrajectoryDropInCM(E32,$A32,L$18)</f>
        <v>-59.500057318399598</v>
      </c>
      <c r="M32" s="9" cm="1">
        <f t="array" ref="M32">TrajectoryDropInCM(F32,$A32,M$18)</f>
        <v>-49.533783070946775</v>
      </c>
      <c r="N32" s="9" cm="1">
        <f t="array" ref="N32">TrajectoryDropInCM(G32,$A32,N$18)</f>
        <v>-17.500001458333479</v>
      </c>
      <c r="O32" s="9" cm="1">
        <f t="array" ref="O32">TrajectoryDropInCM(H32,$A32,O$18)</f>
        <v>23.380003477572998</v>
      </c>
      <c r="P32" s="35" cm="1">
        <f t="array" ref="P32">TrajectoryDropInCM(I32,$A32,P$18)</f>
        <v>80.718893108972665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/>
      <c r="C33" s="45"/>
      <c r="D33" s="45"/>
      <c r="E33" s="45"/>
      <c r="F33" s="45"/>
      <c r="G33" s="45"/>
      <c r="H33" s="45"/>
      <c r="I33" s="46"/>
      <c r="J33" s="47"/>
      <c r="K33" s="47"/>
      <c r="L33" s="47"/>
      <c r="M33" s="47"/>
      <c r="N33" s="47"/>
      <c r="O33" s="47"/>
      <c r="P33" s="48"/>
      <c r="Q33" s="49"/>
    </row>
    <row r="34" spans="1:17" x14ac:dyDescent="0.25">
      <c r="A34" s="1">
        <v>450</v>
      </c>
      <c r="B34" s="1"/>
      <c r="C34" s="45"/>
      <c r="D34" s="45"/>
      <c r="E34" s="45"/>
      <c r="F34" s="45"/>
      <c r="G34" s="45"/>
      <c r="H34" s="45"/>
      <c r="I34" s="46"/>
      <c r="J34" s="47"/>
      <c r="K34" s="47"/>
      <c r="L34" s="47"/>
      <c r="M34" s="47"/>
      <c r="N34" s="47"/>
      <c r="O34" s="47"/>
      <c r="P34" s="48"/>
      <c r="Q34" s="49"/>
    </row>
    <row r="35" spans="1:17" x14ac:dyDescent="0.25">
      <c r="A35" s="1">
        <v>500</v>
      </c>
      <c r="B35" s="1"/>
      <c r="C35" s="45"/>
      <c r="D35" s="45"/>
      <c r="E35" s="45"/>
      <c r="F35" s="45"/>
      <c r="G35" s="45"/>
      <c r="H35" s="45"/>
      <c r="I35" s="46"/>
      <c r="J35" s="47"/>
      <c r="K35" s="47"/>
      <c r="L35" s="47"/>
      <c r="M35" s="47"/>
      <c r="N35" s="47"/>
      <c r="O35" s="47"/>
      <c r="P35" s="48"/>
      <c r="Q35" s="49"/>
    </row>
    <row r="71" spans="1:19" x14ac:dyDescent="0.25">
      <c r="R71" s="1"/>
      <c r="S71" s="1"/>
    </row>
    <row r="72" spans="1:19" x14ac:dyDescent="0.25">
      <c r="R72" s="1"/>
      <c r="S72" s="1"/>
    </row>
    <row r="73" spans="1:19" x14ac:dyDescent="0.25">
      <c r="R73" s="1"/>
      <c r="S73" s="1"/>
    </row>
    <row r="74" spans="1:19" x14ac:dyDescent="0.25">
      <c r="R74" s="1"/>
      <c r="S74" s="1"/>
    </row>
    <row r="75" spans="1:19" x14ac:dyDescent="0.25">
      <c r="R75" s="1"/>
      <c r="S75" s="1"/>
    </row>
    <row r="76" spans="1:19" x14ac:dyDescent="0.25">
      <c r="R76" s="1"/>
      <c r="S76" s="1"/>
    </row>
    <row r="77" spans="1:19" x14ac:dyDescent="0.25">
      <c r="A77" t="s">
        <v>27</v>
      </c>
      <c r="R77" s="1"/>
      <c r="S77" s="1"/>
    </row>
    <row r="78" spans="1:19" x14ac:dyDescent="0.25">
      <c r="A78" t="s">
        <v>52</v>
      </c>
      <c r="R78" s="1"/>
      <c r="S78" s="1"/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</row>
    <row r="80" spans="1:19" x14ac:dyDescent="0.25">
      <c r="A80" s="1">
        <v>0</v>
      </c>
      <c r="B80" s="1">
        <v>975</v>
      </c>
      <c r="C80" s="1">
        <v>2620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939</v>
      </c>
      <c r="C81" s="1">
        <v>2429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904</v>
      </c>
      <c r="C82" s="10">
        <v>2251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870</v>
      </c>
      <c r="C83" s="1">
        <v>2084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837</v>
      </c>
      <c r="C84" s="1">
        <v>1928</v>
      </c>
      <c r="D84" s="1">
        <v>0.7</v>
      </c>
      <c r="E84" s="1">
        <v>-0.2</v>
      </c>
      <c r="F84" s="1">
        <v>-0.1</v>
      </c>
      <c r="G84" s="1">
        <v>0</v>
      </c>
      <c r="H84" s="1">
        <v>0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804</v>
      </c>
      <c r="C85" s="1">
        <v>1781</v>
      </c>
      <c r="D85" s="1">
        <v>-0.3</v>
      </c>
      <c r="E85" s="1">
        <v>0.1</v>
      </c>
      <c r="F85" s="1">
        <v>0</v>
      </c>
      <c r="G85" s="1">
        <v>0</v>
      </c>
      <c r="H85" s="1">
        <v>0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773</v>
      </c>
      <c r="C86" s="1">
        <v>1644</v>
      </c>
      <c r="D86" s="1">
        <v>-2.2000000000000002</v>
      </c>
      <c r="E86" s="1">
        <v>0.5</v>
      </c>
      <c r="F86" s="1">
        <v>0.1</v>
      </c>
      <c r="G86" s="1">
        <v>0</v>
      </c>
      <c r="H86" s="1">
        <v>0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742</v>
      </c>
      <c r="C87" s="1">
        <v>1514</v>
      </c>
      <c r="D87" s="1">
        <v>-5.0999999999999996</v>
      </c>
      <c r="E87" s="1">
        <v>1</v>
      </c>
      <c r="F87" s="1">
        <v>0.3</v>
      </c>
      <c r="G87" s="1">
        <v>0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711</v>
      </c>
      <c r="C88" s="1">
        <v>1393</v>
      </c>
      <c r="D88" s="1">
        <v>-9.4</v>
      </c>
      <c r="E88" s="1">
        <v>1.6</v>
      </c>
      <c r="F88" s="1">
        <v>0.5</v>
      </c>
      <c r="G88" s="1">
        <v>0</v>
      </c>
      <c r="H88" s="1">
        <v>0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682</v>
      </c>
      <c r="C89" s="1">
        <v>1280</v>
      </c>
      <c r="D89" s="1">
        <v>-14.9</v>
      </c>
      <c r="E89" s="1">
        <v>2.2999999999999998</v>
      </c>
      <c r="F89" s="1">
        <v>0.7</v>
      </c>
      <c r="G89" s="1">
        <v>0</v>
      </c>
      <c r="H89" s="1">
        <v>0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653</v>
      </c>
      <c r="C90" s="1">
        <v>1173</v>
      </c>
      <c r="D90" s="1">
        <v>-21.7</v>
      </c>
      <c r="E90" s="1">
        <v>3</v>
      </c>
      <c r="F90" s="1">
        <v>0.9</v>
      </c>
      <c r="G90" s="1">
        <v>0</v>
      </c>
      <c r="H90" s="1">
        <v>0</v>
      </c>
      <c r="I90" s="1">
        <v>0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625</v>
      </c>
      <c r="C91" s="1">
        <v>1074</v>
      </c>
      <c r="D91" s="1">
        <v>-30.3</v>
      </c>
      <c r="E91" s="1">
        <v>3.8</v>
      </c>
      <c r="F91" s="1">
        <v>1.1000000000000001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597</v>
      </c>
      <c r="C92" s="1">
        <v>982</v>
      </c>
      <c r="D92" s="1">
        <v>-40.4</v>
      </c>
      <c r="E92" s="1">
        <v>4.5999999999999996</v>
      </c>
      <c r="F92" s="1">
        <v>1.3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570</v>
      </c>
      <c r="C93" s="1">
        <v>896</v>
      </c>
      <c r="D93" s="1">
        <v>-52.3</v>
      </c>
      <c r="E93" s="1">
        <v>5.5</v>
      </c>
      <c r="F93" s="1">
        <v>1.6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544</v>
      </c>
      <c r="C94" s="1">
        <v>816</v>
      </c>
      <c r="D94" s="1">
        <v>-66.900000000000006</v>
      </c>
      <c r="E94" s="1">
        <v>6.6</v>
      </c>
      <c r="F94" s="1">
        <v>1.9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519</v>
      </c>
      <c r="C95" s="1">
        <v>743</v>
      </c>
      <c r="D95" s="1">
        <v>-83.3</v>
      </c>
      <c r="E95" s="1">
        <v>7.6</v>
      </c>
      <c r="F95" s="1">
        <v>2.2000000000000002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495</v>
      </c>
      <c r="C96" s="1">
        <v>676</v>
      </c>
      <c r="D96" s="1">
        <v>-102.2</v>
      </c>
      <c r="E96" s="1">
        <v>8.8000000000000007</v>
      </c>
      <c r="F96" s="1">
        <v>2.6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472</v>
      </c>
      <c r="C97" s="1">
        <v>614</v>
      </c>
      <c r="D97" s="1">
        <v>-124.7</v>
      </c>
      <c r="E97" s="1">
        <v>10.1</v>
      </c>
      <c r="F97" s="1">
        <v>2.9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450</v>
      </c>
      <c r="C98" s="1">
        <v>558</v>
      </c>
      <c r="D98" s="1">
        <v>-149.69999999999999</v>
      </c>
      <c r="E98" s="1">
        <v>11.4</v>
      </c>
      <c r="F98" s="1">
        <v>3.3</v>
      </c>
      <c r="G98" s="1">
        <v>0</v>
      </c>
      <c r="H98" s="1">
        <v>0</v>
      </c>
      <c r="I98" s="1">
        <v>0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429</v>
      </c>
      <c r="C99" s="1">
        <v>507</v>
      </c>
      <c r="D99" s="1">
        <v>-178.1</v>
      </c>
      <c r="E99" s="1">
        <v>12.9</v>
      </c>
      <c r="F99" s="1">
        <v>3.8</v>
      </c>
      <c r="G99" s="1">
        <v>0</v>
      </c>
      <c r="H99" s="1">
        <v>0</v>
      </c>
      <c r="I99" s="1">
        <v>0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410</v>
      </c>
      <c r="C100" s="1">
        <v>464</v>
      </c>
      <c r="D100" s="1">
        <v>-210.3</v>
      </c>
      <c r="E100" s="1">
        <v>14.5</v>
      </c>
      <c r="F100" s="1">
        <v>4.2</v>
      </c>
      <c r="G100" s="1">
        <v>0</v>
      </c>
      <c r="H100" s="1">
        <v>0</v>
      </c>
      <c r="I100" s="1">
        <v>0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53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</row>
    <row r="104" spans="1:19" x14ac:dyDescent="0.25">
      <c r="A104" s="1">
        <v>0</v>
      </c>
      <c r="B104" s="1">
        <v>975</v>
      </c>
      <c r="C104" s="1">
        <v>2620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939</v>
      </c>
      <c r="C105" s="1">
        <v>2429</v>
      </c>
      <c r="D105" s="1">
        <v>-1.8</v>
      </c>
      <c r="E105" s="1">
        <v>2.4</v>
      </c>
      <c r="F105" s="1">
        <v>0.7</v>
      </c>
      <c r="G105">
        <v>0</v>
      </c>
      <c r="H105">
        <v>0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904</v>
      </c>
      <c r="C106" s="1">
        <v>2251</v>
      </c>
      <c r="D106" s="1">
        <v>-0.4</v>
      </c>
      <c r="E106" s="1">
        <v>0.2</v>
      </c>
      <c r="F106" s="1">
        <v>0.1</v>
      </c>
      <c r="G106">
        <v>0</v>
      </c>
      <c r="H106">
        <v>0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870</v>
      </c>
      <c r="C107" s="1">
        <v>2084</v>
      </c>
      <c r="D107" s="1">
        <v>0.2</v>
      </c>
      <c r="E107" s="1">
        <v>-0.1</v>
      </c>
      <c r="F107" s="1">
        <v>0</v>
      </c>
      <c r="G107">
        <v>0</v>
      </c>
      <c r="H107">
        <v>0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837</v>
      </c>
      <c r="C108" s="10">
        <v>1928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804</v>
      </c>
      <c r="C109" s="1">
        <v>1781</v>
      </c>
      <c r="D109" s="1">
        <v>-1.1000000000000001</v>
      </c>
      <c r="E109" s="1">
        <v>0.3</v>
      </c>
      <c r="F109" s="1">
        <v>0.1</v>
      </c>
      <c r="G109">
        <v>0</v>
      </c>
      <c r="H109">
        <v>0</v>
      </c>
      <c r="I109">
        <v>0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773</v>
      </c>
      <c r="C110" s="1">
        <v>1644</v>
      </c>
      <c r="D110" s="1">
        <v>-3.2</v>
      </c>
      <c r="E110" s="1">
        <v>0.7</v>
      </c>
      <c r="F110" s="1">
        <v>0.2</v>
      </c>
      <c r="G110">
        <v>0</v>
      </c>
      <c r="H110">
        <v>0</v>
      </c>
      <c r="I110">
        <v>0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742</v>
      </c>
      <c r="C111" s="1">
        <v>1514</v>
      </c>
      <c r="D111" s="1">
        <v>-6.4</v>
      </c>
      <c r="E111" s="1">
        <v>1.3</v>
      </c>
      <c r="F111" s="1">
        <v>0.4</v>
      </c>
      <c r="G111">
        <v>0</v>
      </c>
      <c r="H111">
        <v>0</v>
      </c>
      <c r="I111">
        <v>0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711</v>
      </c>
      <c r="C112" s="1">
        <v>1393</v>
      </c>
      <c r="D112" s="1">
        <v>-10.8</v>
      </c>
      <c r="E112" s="1">
        <v>1.9</v>
      </c>
      <c r="F112" s="1">
        <v>0.5</v>
      </c>
      <c r="G112">
        <v>0</v>
      </c>
      <c r="H112">
        <v>0</v>
      </c>
      <c r="I112">
        <v>0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682</v>
      </c>
      <c r="C113" s="1">
        <v>1280</v>
      </c>
      <c r="D113" s="1">
        <v>-16.399999999999999</v>
      </c>
      <c r="E113" s="1">
        <v>2.5</v>
      </c>
      <c r="F113" s="1">
        <v>0.7</v>
      </c>
      <c r="G113">
        <v>0</v>
      </c>
      <c r="H113">
        <v>0</v>
      </c>
      <c r="I113">
        <v>0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653</v>
      </c>
      <c r="C114" s="1">
        <v>1173</v>
      </c>
      <c r="D114" s="1">
        <v>-23.4</v>
      </c>
      <c r="E114" s="1">
        <v>3.2</v>
      </c>
      <c r="F114" s="1">
        <v>0.9</v>
      </c>
      <c r="G114">
        <v>0</v>
      </c>
      <c r="H114">
        <v>0</v>
      </c>
      <c r="I114">
        <v>0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625</v>
      </c>
      <c r="C115" s="1">
        <v>1074</v>
      </c>
      <c r="D115" s="1">
        <v>-32.299999999999997</v>
      </c>
      <c r="E115" s="1">
        <v>4</v>
      </c>
      <c r="F115" s="1">
        <v>1.2</v>
      </c>
      <c r="G115">
        <v>0</v>
      </c>
      <c r="H115">
        <v>0</v>
      </c>
      <c r="I115">
        <v>0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597</v>
      </c>
      <c r="C116" s="1">
        <v>982</v>
      </c>
      <c r="D116" s="1">
        <v>-42.5</v>
      </c>
      <c r="E116" s="1">
        <v>4.9000000000000004</v>
      </c>
      <c r="F116" s="1">
        <v>1.4</v>
      </c>
      <c r="G116">
        <v>0</v>
      </c>
      <c r="H116">
        <v>0</v>
      </c>
      <c r="I116">
        <v>0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570</v>
      </c>
      <c r="C117" s="1">
        <v>896</v>
      </c>
      <c r="D117" s="1">
        <v>-54.6</v>
      </c>
      <c r="E117" s="1">
        <v>5.8</v>
      </c>
      <c r="F117" s="1">
        <v>1.7</v>
      </c>
      <c r="G117">
        <v>0</v>
      </c>
      <c r="H117">
        <v>0</v>
      </c>
      <c r="I117">
        <v>0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544</v>
      </c>
      <c r="C118" s="1">
        <v>816</v>
      </c>
      <c r="D118" s="1">
        <v>-69.400000000000006</v>
      </c>
      <c r="E118" s="1">
        <v>6.8</v>
      </c>
      <c r="F118" s="1">
        <v>2</v>
      </c>
      <c r="G118">
        <v>0</v>
      </c>
      <c r="H118">
        <v>0</v>
      </c>
      <c r="I118">
        <v>0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519</v>
      </c>
      <c r="C119" s="1">
        <v>743</v>
      </c>
      <c r="D119" s="1">
        <v>-85.9</v>
      </c>
      <c r="E119" s="1">
        <v>7.9</v>
      </c>
      <c r="F119" s="1">
        <v>2.2999999999999998</v>
      </c>
      <c r="G119">
        <v>0</v>
      </c>
      <c r="H119">
        <v>0</v>
      </c>
      <c r="I119">
        <v>0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495</v>
      </c>
      <c r="C120" s="1">
        <v>676</v>
      </c>
      <c r="D120" s="1">
        <v>-105</v>
      </c>
      <c r="E120" s="1">
        <v>9</v>
      </c>
      <c r="F120" s="1">
        <v>2.6</v>
      </c>
      <c r="G120">
        <v>0</v>
      </c>
      <c r="H120">
        <v>0</v>
      </c>
      <c r="I120">
        <v>0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472</v>
      </c>
      <c r="C121" s="1">
        <v>614</v>
      </c>
      <c r="D121" s="1">
        <v>-127.7</v>
      </c>
      <c r="E121" s="1">
        <v>10.3</v>
      </c>
      <c r="F121" s="1">
        <v>3</v>
      </c>
      <c r="G121">
        <v>0</v>
      </c>
      <c r="H121">
        <v>0</v>
      </c>
      <c r="I121">
        <v>0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450</v>
      </c>
      <c r="C122" s="1">
        <v>558</v>
      </c>
      <c r="D122" s="1">
        <v>-152.9</v>
      </c>
      <c r="E122" s="1">
        <v>11.7</v>
      </c>
      <c r="F122" s="1">
        <v>3.4</v>
      </c>
      <c r="G122">
        <v>0</v>
      </c>
      <c r="H122">
        <v>0</v>
      </c>
      <c r="I122">
        <v>0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429</v>
      </c>
      <c r="C123" s="1">
        <v>507</v>
      </c>
      <c r="D123" s="1">
        <v>-181.4</v>
      </c>
      <c r="E123" s="1">
        <v>13.1</v>
      </c>
      <c r="F123" s="1">
        <v>3.8</v>
      </c>
      <c r="G123">
        <v>0</v>
      </c>
      <c r="H123">
        <v>0</v>
      </c>
      <c r="I123">
        <v>0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410</v>
      </c>
      <c r="C124" s="1">
        <v>464</v>
      </c>
      <c r="D124" s="1">
        <v>-213.9</v>
      </c>
      <c r="E124" s="1">
        <v>14.7</v>
      </c>
      <c r="F124" s="1">
        <v>4.3</v>
      </c>
      <c r="G124">
        <v>0</v>
      </c>
      <c r="H124">
        <v>0</v>
      </c>
      <c r="I124">
        <v>0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54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</row>
    <row r="128" spans="1:19" x14ac:dyDescent="0.25">
      <c r="A128" s="1">
        <v>0</v>
      </c>
      <c r="B128" s="1">
        <v>975</v>
      </c>
      <c r="C128" s="1">
        <v>2620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939</v>
      </c>
      <c r="C129" s="1">
        <v>2429</v>
      </c>
      <c r="D129" s="1">
        <v>-1.2</v>
      </c>
      <c r="E129" s="1">
        <v>1.7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904</v>
      </c>
      <c r="C130" s="1">
        <v>2251</v>
      </c>
      <c r="D130" s="1">
        <v>0.7</v>
      </c>
      <c r="E130" s="1">
        <v>-0.5</v>
      </c>
      <c r="F130" s="1">
        <v>-0.1</v>
      </c>
      <c r="G130">
        <v>0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870</v>
      </c>
      <c r="C131" s="1">
        <v>2084</v>
      </c>
      <c r="D131" s="1">
        <v>1.9</v>
      </c>
      <c r="E131" s="1">
        <v>-0.9</v>
      </c>
      <c r="F131" s="1">
        <v>-0.2</v>
      </c>
      <c r="G131">
        <v>0</v>
      </c>
      <c r="H131">
        <v>0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837</v>
      </c>
      <c r="C132" s="1">
        <v>1928</v>
      </c>
      <c r="D132" s="1">
        <v>2.2000000000000002</v>
      </c>
      <c r="E132" s="1">
        <v>-0.7</v>
      </c>
      <c r="F132" s="1">
        <v>-0.2</v>
      </c>
      <c r="G132">
        <v>0</v>
      </c>
      <c r="H132">
        <v>0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804</v>
      </c>
      <c r="C133" s="1">
        <v>1781</v>
      </c>
      <c r="D133" s="1">
        <v>1.6</v>
      </c>
      <c r="E133" s="1">
        <v>-0.4</v>
      </c>
      <c r="F133" s="1">
        <v>-0.1</v>
      </c>
      <c r="G133">
        <v>0</v>
      </c>
      <c r="H133">
        <v>0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773</v>
      </c>
      <c r="C134" s="10">
        <v>1644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742</v>
      </c>
      <c r="C135" s="1">
        <v>1514</v>
      </c>
      <c r="D135" s="1">
        <v>-2.6</v>
      </c>
      <c r="E135" s="1">
        <v>0.5</v>
      </c>
      <c r="F135" s="1">
        <v>0.1</v>
      </c>
      <c r="G135">
        <v>0</v>
      </c>
      <c r="H135">
        <v>0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711</v>
      </c>
      <c r="C136" s="1">
        <v>1393</v>
      </c>
      <c r="D136" s="1">
        <v>-6.5</v>
      </c>
      <c r="E136" s="1">
        <v>1.1000000000000001</v>
      </c>
      <c r="F136" s="1">
        <v>0.3</v>
      </c>
      <c r="G136">
        <v>0</v>
      </c>
      <c r="H136">
        <v>0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682</v>
      </c>
      <c r="C137" s="1">
        <v>1280</v>
      </c>
      <c r="D137" s="1">
        <v>-11.6</v>
      </c>
      <c r="E137" s="1">
        <v>1.8</v>
      </c>
      <c r="F137" s="1">
        <v>0.5</v>
      </c>
      <c r="G137">
        <v>0</v>
      </c>
      <c r="H137">
        <v>0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653</v>
      </c>
      <c r="C138" s="1">
        <v>1173</v>
      </c>
      <c r="D138" s="1">
        <v>-18</v>
      </c>
      <c r="E138" s="1">
        <v>2.5</v>
      </c>
      <c r="F138" s="1">
        <v>0.7</v>
      </c>
      <c r="G138">
        <v>0</v>
      </c>
      <c r="H138">
        <v>0</v>
      </c>
      <c r="I138">
        <v>0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625</v>
      </c>
      <c r="C139" s="1">
        <v>1074</v>
      </c>
      <c r="D139" s="1">
        <v>-26.3</v>
      </c>
      <c r="E139" s="1">
        <v>3.3</v>
      </c>
      <c r="F139" s="1">
        <v>1</v>
      </c>
      <c r="G139">
        <v>0</v>
      </c>
      <c r="H139">
        <v>0</v>
      </c>
      <c r="I139">
        <v>0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597</v>
      </c>
      <c r="C140" s="1">
        <v>982</v>
      </c>
      <c r="D140" s="1">
        <v>-36</v>
      </c>
      <c r="E140" s="1">
        <v>4.0999999999999996</v>
      </c>
      <c r="F140" s="1">
        <v>1.2</v>
      </c>
      <c r="G140">
        <v>0</v>
      </c>
      <c r="H140">
        <v>0</v>
      </c>
      <c r="I140">
        <v>0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570</v>
      </c>
      <c r="C141" s="1">
        <v>896</v>
      </c>
      <c r="D141" s="1">
        <v>-47.6</v>
      </c>
      <c r="E141" s="1">
        <v>5</v>
      </c>
      <c r="F141" s="1">
        <v>1.5</v>
      </c>
      <c r="G141">
        <v>0</v>
      </c>
      <c r="H141">
        <v>0</v>
      </c>
      <c r="I141">
        <v>0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544</v>
      </c>
      <c r="C142" s="1">
        <v>816</v>
      </c>
      <c r="D142" s="1">
        <v>-61.8</v>
      </c>
      <c r="E142" s="1">
        <v>6.1</v>
      </c>
      <c r="F142" s="1">
        <v>1.8</v>
      </c>
      <c r="G142">
        <v>0</v>
      </c>
      <c r="H142">
        <v>0</v>
      </c>
      <c r="I142">
        <v>0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519</v>
      </c>
      <c r="C143" s="1">
        <v>743</v>
      </c>
      <c r="D143" s="1">
        <v>-77.8</v>
      </c>
      <c r="E143" s="1">
        <v>7.1</v>
      </c>
      <c r="F143" s="1">
        <v>2.1</v>
      </c>
      <c r="G143">
        <v>0</v>
      </c>
      <c r="H143">
        <v>0</v>
      </c>
      <c r="I143">
        <v>0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495</v>
      </c>
      <c r="C144" s="1">
        <v>676</v>
      </c>
      <c r="D144" s="1">
        <v>-96.3</v>
      </c>
      <c r="E144" s="1">
        <v>8.3000000000000007</v>
      </c>
      <c r="F144" s="1">
        <v>2.4</v>
      </c>
      <c r="G144">
        <v>0</v>
      </c>
      <c r="H144">
        <v>0</v>
      </c>
      <c r="I144">
        <v>0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472</v>
      </c>
      <c r="C145" s="1">
        <v>614</v>
      </c>
      <c r="D145" s="1">
        <v>-118.5</v>
      </c>
      <c r="E145" s="1">
        <v>9.6</v>
      </c>
      <c r="F145" s="1">
        <v>2.8</v>
      </c>
      <c r="G145">
        <v>0</v>
      </c>
      <c r="H145">
        <v>0</v>
      </c>
      <c r="I145">
        <v>0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450</v>
      </c>
      <c r="C146" s="1">
        <v>558</v>
      </c>
      <c r="D146" s="1">
        <v>-143.1</v>
      </c>
      <c r="E146" s="1">
        <v>10.9</v>
      </c>
      <c r="F146" s="1">
        <v>3.2</v>
      </c>
      <c r="G146">
        <v>0</v>
      </c>
      <c r="H146">
        <v>0</v>
      </c>
      <c r="I146">
        <v>0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429</v>
      </c>
      <c r="C147" s="1">
        <v>507</v>
      </c>
      <c r="D147" s="1">
        <v>-171.2</v>
      </c>
      <c r="E147" s="1">
        <v>12.4</v>
      </c>
      <c r="F147" s="1">
        <v>3.6</v>
      </c>
      <c r="G147">
        <v>0</v>
      </c>
      <c r="H147">
        <v>0</v>
      </c>
      <c r="I147">
        <v>0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410</v>
      </c>
      <c r="C148" s="1">
        <v>464</v>
      </c>
      <c r="D148" s="1">
        <v>-203.1</v>
      </c>
      <c r="E148" s="1">
        <v>14</v>
      </c>
      <c r="F148" s="1">
        <v>4.0999999999999996</v>
      </c>
      <c r="G148">
        <v>0</v>
      </c>
      <c r="H148">
        <v>0</v>
      </c>
      <c r="I148">
        <v>0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55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</row>
    <row r="152" spans="1:19" x14ac:dyDescent="0.25">
      <c r="A152" s="1">
        <v>0</v>
      </c>
      <c r="B152" s="1">
        <v>975</v>
      </c>
      <c r="C152" s="1">
        <v>2620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939</v>
      </c>
      <c r="C153" s="1">
        <v>2429</v>
      </c>
      <c r="D153" s="1">
        <v>-0.4</v>
      </c>
      <c r="E153" s="1">
        <v>0.6</v>
      </c>
      <c r="F153" s="1">
        <v>0.2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904</v>
      </c>
      <c r="C154" s="1">
        <v>2251</v>
      </c>
      <c r="D154" s="1">
        <v>2.4</v>
      </c>
      <c r="E154" s="1">
        <v>-1.6</v>
      </c>
      <c r="F154" s="1">
        <v>-0.5</v>
      </c>
      <c r="G154">
        <v>0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870</v>
      </c>
      <c r="C155" s="1">
        <v>2084</v>
      </c>
      <c r="D155" s="1">
        <v>4.3</v>
      </c>
      <c r="E155" s="1">
        <v>-2</v>
      </c>
      <c r="F155" s="1">
        <v>-0.6</v>
      </c>
      <c r="G155">
        <v>0</v>
      </c>
      <c r="H155">
        <v>0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837</v>
      </c>
      <c r="C156" s="1">
        <v>1928</v>
      </c>
      <c r="D156" s="1">
        <v>5.4</v>
      </c>
      <c r="E156" s="1">
        <v>-1.9</v>
      </c>
      <c r="F156" s="1">
        <v>-0.5</v>
      </c>
      <c r="G156">
        <v>0</v>
      </c>
      <c r="H156">
        <v>0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804</v>
      </c>
      <c r="C157" s="1">
        <v>1781</v>
      </c>
      <c r="D157" s="1">
        <v>5.6</v>
      </c>
      <c r="E157" s="1">
        <v>-1.5</v>
      </c>
      <c r="F157" s="1">
        <v>-0.4</v>
      </c>
      <c r="G157">
        <v>0</v>
      </c>
      <c r="H157">
        <v>0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773</v>
      </c>
      <c r="C158" s="1">
        <v>1644</v>
      </c>
      <c r="D158" s="1">
        <v>4.9000000000000004</v>
      </c>
      <c r="E158" s="1">
        <v>-1.1000000000000001</v>
      </c>
      <c r="F158" s="1">
        <v>-0.3</v>
      </c>
      <c r="G158">
        <v>0</v>
      </c>
      <c r="H158">
        <v>0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742</v>
      </c>
      <c r="C159" s="1">
        <v>1514</v>
      </c>
      <c r="D159" s="1">
        <v>3.1</v>
      </c>
      <c r="E159" s="1">
        <v>-0.6</v>
      </c>
      <c r="F159" s="1">
        <v>-0.2</v>
      </c>
      <c r="G159">
        <v>0</v>
      </c>
      <c r="H159">
        <v>0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711</v>
      </c>
      <c r="C160" s="10">
        <v>1393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682</v>
      </c>
      <c r="C161" s="1">
        <v>1280</v>
      </c>
      <c r="D161" s="1">
        <v>-4.3</v>
      </c>
      <c r="E161" s="1">
        <v>0.7</v>
      </c>
      <c r="F161" s="1">
        <v>0.2</v>
      </c>
      <c r="G161">
        <v>0</v>
      </c>
      <c r="H161">
        <v>0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653</v>
      </c>
      <c r="C162" s="1">
        <v>1173</v>
      </c>
      <c r="D162" s="1">
        <v>-9.9</v>
      </c>
      <c r="E162" s="1">
        <v>1.4</v>
      </c>
      <c r="F162" s="1">
        <v>0.4</v>
      </c>
      <c r="G162">
        <v>0</v>
      </c>
      <c r="H162">
        <v>0</v>
      </c>
      <c r="I162">
        <v>0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625</v>
      </c>
      <c r="C163" s="1">
        <v>1074</v>
      </c>
      <c r="D163" s="1">
        <v>-17.399999999999999</v>
      </c>
      <c r="E163" s="1">
        <v>2.2000000000000002</v>
      </c>
      <c r="F163" s="1">
        <v>0.6</v>
      </c>
      <c r="G163">
        <v>0</v>
      </c>
      <c r="H163">
        <v>0</v>
      </c>
      <c r="I163">
        <v>0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597</v>
      </c>
      <c r="C164" s="1">
        <v>982</v>
      </c>
      <c r="D164" s="1">
        <v>-26.3</v>
      </c>
      <c r="E164" s="1">
        <v>3</v>
      </c>
      <c r="F164" s="1">
        <v>0.9</v>
      </c>
      <c r="G164">
        <v>0</v>
      </c>
      <c r="H164">
        <v>0</v>
      </c>
      <c r="I164">
        <v>0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570</v>
      </c>
      <c r="C165" s="1">
        <v>896</v>
      </c>
      <c r="D165" s="1">
        <v>-37.1</v>
      </c>
      <c r="E165" s="1">
        <v>3.9</v>
      </c>
      <c r="F165" s="1">
        <v>1.1000000000000001</v>
      </c>
      <c r="G165">
        <v>0</v>
      </c>
      <c r="H165">
        <v>0</v>
      </c>
      <c r="I165">
        <v>0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544</v>
      </c>
      <c r="C166" s="1">
        <v>816</v>
      </c>
      <c r="D166" s="1">
        <v>-50.4</v>
      </c>
      <c r="E166" s="1">
        <v>5</v>
      </c>
      <c r="F166" s="1">
        <v>1.4</v>
      </c>
      <c r="G166">
        <v>0</v>
      </c>
      <c r="H166">
        <v>0</v>
      </c>
      <c r="I166">
        <v>0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519</v>
      </c>
      <c r="C167" s="1">
        <v>743</v>
      </c>
      <c r="D167" s="1">
        <v>-65.599999999999994</v>
      </c>
      <c r="E167" s="1">
        <v>6</v>
      </c>
      <c r="F167" s="1">
        <v>1.8</v>
      </c>
      <c r="G167">
        <v>0</v>
      </c>
      <c r="H167">
        <v>0</v>
      </c>
      <c r="I167">
        <v>0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495</v>
      </c>
      <c r="C168" s="1">
        <v>676</v>
      </c>
      <c r="D168" s="1">
        <v>-83.4</v>
      </c>
      <c r="E168" s="1">
        <v>7.2</v>
      </c>
      <c r="F168" s="1">
        <v>2.1</v>
      </c>
      <c r="G168">
        <v>0</v>
      </c>
      <c r="H168">
        <v>0</v>
      </c>
      <c r="I168">
        <v>0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472</v>
      </c>
      <c r="C169" s="1">
        <v>614</v>
      </c>
      <c r="D169" s="1">
        <v>-104.8</v>
      </c>
      <c r="E169" s="1">
        <v>8.5</v>
      </c>
      <c r="F169" s="1">
        <v>2.5</v>
      </c>
      <c r="G169">
        <v>0</v>
      </c>
      <c r="H169">
        <v>0</v>
      </c>
      <c r="I169">
        <v>0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450</v>
      </c>
      <c r="C170" s="1">
        <v>558</v>
      </c>
      <c r="D170" s="1">
        <v>-128.5</v>
      </c>
      <c r="E170" s="1">
        <v>9.8000000000000007</v>
      </c>
      <c r="F170" s="1">
        <v>2.9</v>
      </c>
      <c r="G170">
        <v>0</v>
      </c>
      <c r="H170">
        <v>0</v>
      </c>
      <c r="I170">
        <v>0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429</v>
      </c>
      <c r="C171" s="1">
        <v>507</v>
      </c>
      <c r="D171" s="1">
        <v>-155.80000000000001</v>
      </c>
      <c r="E171" s="1">
        <v>11.3</v>
      </c>
      <c r="F171" s="1">
        <v>3.3</v>
      </c>
      <c r="G171">
        <v>0</v>
      </c>
      <c r="H171">
        <v>0</v>
      </c>
      <c r="I171">
        <v>0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410</v>
      </c>
      <c r="C172" s="1">
        <v>464</v>
      </c>
      <c r="D172" s="1">
        <v>-186.9</v>
      </c>
      <c r="E172" s="1">
        <v>12.9</v>
      </c>
      <c r="F172" s="1">
        <v>3.7</v>
      </c>
      <c r="G172">
        <v>0</v>
      </c>
      <c r="H172">
        <v>0</v>
      </c>
      <c r="I172">
        <v>0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56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</row>
    <row r="176" spans="1:19" x14ac:dyDescent="0.25">
      <c r="A176" s="1">
        <v>0</v>
      </c>
      <c r="B176" s="1">
        <v>975</v>
      </c>
      <c r="C176" s="1">
        <v>2620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939</v>
      </c>
      <c r="C177" s="1">
        <v>2429</v>
      </c>
      <c r="D177" s="1">
        <v>1.8</v>
      </c>
      <c r="E177" s="1">
        <v>-2.5</v>
      </c>
      <c r="F177" s="1">
        <v>-0.7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904</v>
      </c>
      <c r="C178" s="1">
        <v>2251</v>
      </c>
      <c r="D178" s="1">
        <v>6.8</v>
      </c>
      <c r="E178" s="1">
        <v>-4.5999999999999996</v>
      </c>
      <c r="F178" s="1">
        <v>-1.4</v>
      </c>
      <c r="G178">
        <v>0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870</v>
      </c>
      <c r="C179" s="1">
        <v>2084</v>
      </c>
      <c r="D179" s="1">
        <v>10.9</v>
      </c>
      <c r="E179" s="1">
        <v>-5</v>
      </c>
      <c r="F179" s="1">
        <v>-1.5</v>
      </c>
      <c r="G179">
        <v>0</v>
      </c>
      <c r="H179">
        <v>0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837</v>
      </c>
      <c r="C180" s="1">
        <v>1928</v>
      </c>
      <c r="D180" s="1">
        <v>14.2</v>
      </c>
      <c r="E180" s="1">
        <v>-4.9000000000000004</v>
      </c>
      <c r="F180" s="1">
        <v>-1.4</v>
      </c>
      <c r="G180">
        <v>0</v>
      </c>
      <c r="H180">
        <v>0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804</v>
      </c>
      <c r="C181" s="1">
        <v>1781</v>
      </c>
      <c r="D181" s="1">
        <v>16.7</v>
      </c>
      <c r="E181" s="1">
        <v>-4.5999999999999996</v>
      </c>
      <c r="F181" s="1">
        <v>-1.3</v>
      </c>
      <c r="G181">
        <v>0</v>
      </c>
      <c r="H181">
        <v>0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773</v>
      </c>
      <c r="C182" s="1">
        <v>1644</v>
      </c>
      <c r="D182" s="1">
        <v>18.100000000000001</v>
      </c>
      <c r="E182" s="1">
        <v>-4.0999999999999996</v>
      </c>
      <c r="F182" s="1">
        <v>-1.2</v>
      </c>
      <c r="G182">
        <v>0</v>
      </c>
      <c r="H182">
        <v>0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742</v>
      </c>
      <c r="C183" s="1">
        <v>1514</v>
      </c>
      <c r="D183" s="1">
        <v>18.5</v>
      </c>
      <c r="E183" s="1">
        <v>-3.6</v>
      </c>
      <c r="F183" s="1">
        <v>-1.1000000000000001</v>
      </c>
      <c r="G183">
        <v>0</v>
      </c>
      <c r="H183">
        <v>0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711</v>
      </c>
      <c r="C184" s="1">
        <v>1393</v>
      </c>
      <c r="D184" s="1">
        <v>17.600000000000001</v>
      </c>
      <c r="E184" s="1">
        <v>-3</v>
      </c>
      <c r="F184" s="1">
        <v>-0.9</v>
      </c>
      <c r="G184">
        <v>0</v>
      </c>
      <c r="H184">
        <v>0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682</v>
      </c>
      <c r="C185" s="1">
        <v>1280</v>
      </c>
      <c r="D185" s="1">
        <v>15.5</v>
      </c>
      <c r="E185" s="1">
        <v>-2.4</v>
      </c>
      <c r="F185" s="1">
        <v>-0.7</v>
      </c>
      <c r="G185">
        <v>0</v>
      </c>
      <c r="H185">
        <v>0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653</v>
      </c>
      <c r="C186" s="1">
        <v>1173</v>
      </c>
      <c r="D186" s="1">
        <v>12</v>
      </c>
      <c r="E186" s="1">
        <v>-1.7</v>
      </c>
      <c r="F186" s="1">
        <v>-0.5</v>
      </c>
      <c r="G186">
        <v>0</v>
      </c>
      <c r="H186">
        <v>0</v>
      </c>
      <c r="I186">
        <v>0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625</v>
      </c>
      <c r="C187" s="1">
        <v>1074</v>
      </c>
      <c r="D187" s="1">
        <v>6.8</v>
      </c>
      <c r="E187" s="1">
        <v>-0.9</v>
      </c>
      <c r="F187" s="1">
        <v>-0.2</v>
      </c>
      <c r="G187">
        <v>0</v>
      </c>
      <c r="H187">
        <v>0</v>
      </c>
      <c r="I187">
        <v>0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597</v>
      </c>
      <c r="C188" s="10">
        <v>982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570</v>
      </c>
      <c r="C189" s="1">
        <v>896</v>
      </c>
      <c r="D189" s="1">
        <v>-8.5</v>
      </c>
      <c r="E189" s="1">
        <v>0.9</v>
      </c>
      <c r="F189" s="1">
        <v>0.3</v>
      </c>
      <c r="G189">
        <v>0</v>
      </c>
      <c r="H189">
        <v>0</v>
      </c>
      <c r="I189">
        <v>0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544</v>
      </c>
      <c r="C190" s="1">
        <v>816</v>
      </c>
      <c r="D190" s="1">
        <v>-19.600000000000001</v>
      </c>
      <c r="E190" s="1">
        <v>1.9</v>
      </c>
      <c r="F190" s="1">
        <v>0.6</v>
      </c>
      <c r="G190">
        <v>0</v>
      </c>
      <c r="H190">
        <v>0</v>
      </c>
      <c r="I190">
        <v>0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519</v>
      </c>
      <c r="C191" s="1">
        <v>743</v>
      </c>
      <c r="D191" s="1">
        <v>-32.700000000000003</v>
      </c>
      <c r="E191" s="1">
        <v>3</v>
      </c>
      <c r="F191" s="1">
        <v>0.9</v>
      </c>
      <c r="G191">
        <v>0</v>
      </c>
      <c r="H191">
        <v>0</v>
      </c>
      <c r="I191">
        <v>0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495</v>
      </c>
      <c r="C192" s="1">
        <v>676</v>
      </c>
      <c r="D192" s="1">
        <v>-48.2</v>
      </c>
      <c r="E192" s="1">
        <v>4.0999999999999996</v>
      </c>
      <c r="F192" s="1">
        <v>1.2</v>
      </c>
      <c r="G192">
        <v>0</v>
      </c>
      <c r="H192">
        <v>0</v>
      </c>
      <c r="I192">
        <v>0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472</v>
      </c>
      <c r="C193" s="1">
        <v>614</v>
      </c>
      <c r="D193" s="1">
        <v>-67.3</v>
      </c>
      <c r="E193" s="1">
        <v>5.4</v>
      </c>
      <c r="F193" s="1">
        <v>1.6</v>
      </c>
      <c r="G193">
        <v>0</v>
      </c>
      <c r="H193">
        <v>0</v>
      </c>
      <c r="I193">
        <v>0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450</v>
      </c>
      <c r="C194" s="1">
        <v>558</v>
      </c>
      <c r="D194" s="1">
        <v>-88.9</v>
      </c>
      <c r="E194" s="1">
        <v>6.8</v>
      </c>
      <c r="F194" s="1">
        <v>2</v>
      </c>
      <c r="G194">
        <v>0</v>
      </c>
      <c r="H194">
        <v>0</v>
      </c>
      <c r="I194">
        <v>0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429</v>
      </c>
      <c r="C195" s="1">
        <v>507</v>
      </c>
      <c r="D195" s="1">
        <v>-114</v>
      </c>
      <c r="E195" s="1">
        <v>8.3000000000000007</v>
      </c>
      <c r="F195" s="1">
        <v>2.4</v>
      </c>
      <c r="G195">
        <v>0</v>
      </c>
      <c r="H195">
        <v>0</v>
      </c>
      <c r="I195">
        <v>0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410</v>
      </c>
      <c r="C196" s="1">
        <v>464</v>
      </c>
      <c r="D196" s="1">
        <v>-142.9</v>
      </c>
      <c r="E196" s="1">
        <v>9.8000000000000007</v>
      </c>
      <c r="F196" s="1">
        <v>2.9</v>
      </c>
      <c r="G196">
        <v>0</v>
      </c>
      <c r="H196">
        <v>0</v>
      </c>
      <c r="I196">
        <v>0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57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</row>
    <row r="200" spans="1:19" x14ac:dyDescent="0.25">
      <c r="A200" s="1">
        <v>0</v>
      </c>
      <c r="B200" s="1">
        <v>975</v>
      </c>
      <c r="C200" s="1">
        <v>2620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939</v>
      </c>
      <c r="C201" s="1">
        <v>2429</v>
      </c>
      <c r="D201" s="1">
        <v>4.8</v>
      </c>
      <c r="E201" s="1">
        <v>-6.6</v>
      </c>
      <c r="F201" s="1">
        <v>-1.9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904</v>
      </c>
      <c r="C202" s="1">
        <v>2251</v>
      </c>
      <c r="D202" s="1">
        <v>12.9</v>
      </c>
      <c r="E202" s="1">
        <v>-8.8000000000000007</v>
      </c>
      <c r="F202" s="1">
        <v>-2.6</v>
      </c>
      <c r="G202">
        <v>0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870</v>
      </c>
      <c r="C203" s="1">
        <v>2084</v>
      </c>
      <c r="D203" s="1">
        <v>20</v>
      </c>
      <c r="E203" s="1">
        <v>-9.1999999999999993</v>
      </c>
      <c r="F203" s="1">
        <v>-2.7</v>
      </c>
      <c r="G203">
        <v>0</v>
      </c>
      <c r="H203">
        <v>0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837</v>
      </c>
      <c r="C204" s="1">
        <v>1928</v>
      </c>
      <c r="D204" s="1">
        <v>26.3</v>
      </c>
      <c r="E204" s="1">
        <v>-9.1</v>
      </c>
      <c r="F204" s="1">
        <v>-2.6</v>
      </c>
      <c r="G204">
        <v>0</v>
      </c>
      <c r="H204">
        <v>0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804</v>
      </c>
      <c r="C205" s="1">
        <v>1781</v>
      </c>
      <c r="D205" s="1">
        <v>31.9</v>
      </c>
      <c r="E205" s="1">
        <v>-8.6999999999999993</v>
      </c>
      <c r="F205" s="1">
        <v>-2.5</v>
      </c>
      <c r="G205">
        <v>0</v>
      </c>
      <c r="H205">
        <v>0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772</v>
      </c>
      <c r="C206" s="1">
        <v>1644</v>
      </c>
      <c r="D206" s="1">
        <v>36.299999999999997</v>
      </c>
      <c r="E206" s="1">
        <v>-8.3000000000000007</v>
      </c>
      <c r="F206" s="1">
        <v>-2.4</v>
      </c>
      <c r="G206">
        <v>0</v>
      </c>
      <c r="H206">
        <v>0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742</v>
      </c>
      <c r="C207" s="1">
        <v>1514</v>
      </c>
      <c r="D207" s="1">
        <v>39.6</v>
      </c>
      <c r="E207" s="1">
        <v>-7.8</v>
      </c>
      <c r="F207" s="1">
        <v>-2.2999999999999998</v>
      </c>
      <c r="G207">
        <v>0</v>
      </c>
      <c r="H207">
        <v>0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711</v>
      </c>
      <c r="C208" s="1">
        <v>1393</v>
      </c>
      <c r="D208" s="1">
        <v>41.9</v>
      </c>
      <c r="E208" s="1">
        <v>-7.2</v>
      </c>
      <c r="F208" s="1">
        <v>-2.1</v>
      </c>
      <c r="G208">
        <v>0</v>
      </c>
      <c r="H208">
        <v>0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682</v>
      </c>
      <c r="C209" s="1">
        <v>1280</v>
      </c>
      <c r="D209" s="1">
        <v>42.8</v>
      </c>
      <c r="E209" s="1">
        <v>-6.5</v>
      </c>
      <c r="F209" s="1">
        <v>-1.9</v>
      </c>
      <c r="G209">
        <v>0</v>
      </c>
      <c r="H209">
        <v>0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653</v>
      </c>
      <c r="C210" s="1">
        <v>1173</v>
      </c>
      <c r="D210" s="1">
        <v>42.3</v>
      </c>
      <c r="E210" s="1">
        <v>-5.8</v>
      </c>
      <c r="F210" s="1">
        <v>-1.7</v>
      </c>
      <c r="G210">
        <v>0</v>
      </c>
      <c r="H210">
        <v>0</v>
      </c>
      <c r="I210">
        <v>0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625</v>
      </c>
      <c r="C211" s="1">
        <v>1074</v>
      </c>
      <c r="D211" s="1">
        <v>40.200000000000003</v>
      </c>
      <c r="E211" s="1">
        <v>-5</v>
      </c>
      <c r="F211" s="1">
        <v>-1.5</v>
      </c>
      <c r="G211">
        <v>0</v>
      </c>
      <c r="H211">
        <v>0</v>
      </c>
      <c r="I211">
        <v>0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597</v>
      </c>
      <c r="C212" s="1">
        <v>982</v>
      </c>
      <c r="D212" s="1">
        <v>36.4</v>
      </c>
      <c r="E212" s="1">
        <v>-4.2</v>
      </c>
      <c r="F212" s="1">
        <v>-1.2</v>
      </c>
      <c r="G212">
        <v>0</v>
      </c>
      <c r="H212">
        <v>0</v>
      </c>
      <c r="I212">
        <v>0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570</v>
      </c>
      <c r="C213" s="1">
        <v>896</v>
      </c>
      <c r="D213" s="1">
        <v>30.8</v>
      </c>
      <c r="E213" s="1">
        <v>-3.3</v>
      </c>
      <c r="F213" s="1">
        <v>-0.9</v>
      </c>
      <c r="G213">
        <v>0</v>
      </c>
      <c r="H213">
        <v>0</v>
      </c>
      <c r="I213">
        <v>0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544</v>
      </c>
      <c r="C214" s="1">
        <v>816</v>
      </c>
      <c r="D214" s="1">
        <v>22.8</v>
      </c>
      <c r="E214" s="1">
        <v>-2.2000000000000002</v>
      </c>
      <c r="F214" s="1">
        <v>-0.7</v>
      </c>
      <c r="G214">
        <v>0</v>
      </c>
      <c r="H214">
        <v>0</v>
      </c>
      <c r="I214">
        <v>0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519</v>
      </c>
      <c r="C215" s="1">
        <v>743</v>
      </c>
      <c r="D215" s="1">
        <v>12.8</v>
      </c>
      <c r="E215" s="1">
        <v>-1.2</v>
      </c>
      <c r="F215" s="1">
        <v>-0.3</v>
      </c>
      <c r="G215">
        <v>0</v>
      </c>
      <c r="H215">
        <v>0</v>
      </c>
      <c r="I215">
        <v>0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495</v>
      </c>
      <c r="C216" s="10">
        <v>676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472</v>
      </c>
      <c r="C217" s="1">
        <v>614</v>
      </c>
      <c r="D217" s="1">
        <v>-15.8</v>
      </c>
      <c r="E217" s="1">
        <v>1.3</v>
      </c>
      <c r="F217" s="1">
        <v>0.4</v>
      </c>
      <c r="G217">
        <v>0</v>
      </c>
      <c r="H217">
        <v>0</v>
      </c>
      <c r="I217">
        <v>0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450</v>
      </c>
      <c r="C218" s="1">
        <v>558</v>
      </c>
      <c r="D218" s="1">
        <v>-34.4</v>
      </c>
      <c r="E218" s="1">
        <v>2.6</v>
      </c>
      <c r="F218" s="1">
        <v>0.8</v>
      </c>
      <c r="G218">
        <v>0</v>
      </c>
      <c r="H218">
        <v>0</v>
      </c>
      <c r="I218">
        <v>0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429</v>
      </c>
      <c r="C219" s="1">
        <v>507</v>
      </c>
      <c r="D219" s="1">
        <v>-56.5</v>
      </c>
      <c r="E219" s="1">
        <v>4.0999999999999996</v>
      </c>
      <c r="F219" s="1">
        <v>1.2</v>
      </c>
      <c r="G219">
        <v>0</v>
      </c>
      <c r="H219">
        <v>0</v>
      </c>
      <c r="I219">
        <v>0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410</v>
      </c>
      <c r="C220" s="1">
        <v>464</v>
      </c>
      <c r="D220" s="1">
        <v>-82.4</v>
      </c>
      <c r="E220" s="1">
        <v>5.7</v>
      </c>
      <c r="F220" s="1">
        <v>1.7</v>
      </c>
      <c r="G220">
        <v>0</v>
      </c>
      <c r="H220">
        <v>0</v>
      </c>
      <c r="I220">
        <v>0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58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</row>
    <row r="224" spans="1:19" x14ac:dyDescent="0.25">
      <c r="A224" s="1">
        <v>0</v>
      </c>
      <c r="B224" s="1">
        <v>975</v>
      </c>
      <c r="C224" s="1">
        <v>2620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</row>
    <row r="225" spans="1:17" x14ac:dyDescent="0.25">
      <c r="A225" s="1">
        <v>25</v>
      </c>
      <c r="B225" s="1">
        <v>939</v>
      </c>
      <c r="C225" s="1">
        <v>2429</v>
      </c>
      <c r="D225" s="1">
        <v>8.9</v>
      </c>
      <c r="E225" s="1">
        <v>-12.4</v>
      </c>
      <c r="F225" s="1">
        <v>-3.6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</row>
    <row r="226" spans="1:17" x14ac:dyDescent="0.25">
      <c r="A226" s="1">
        <v>50</v>
      </c>
      <c r="B226" s="1">
        <v>904</v>
      </c>
      <c r="C226" s="1">
        <v>2251</v>
      </c>
      <c r="D226" s="1">
        <v>21.3</v>
      </c>
      <c r="E226" s="1">
        <v>-14.5</v>
      </c>
      <c r="F226" s="1">
        <v>-4.2</v>
      </c>
      <c r="G226" s="2">
        <v>0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</row>
    <row r="227" spans="1:17" x14ac:dyDescent="0.25">
      <c r="A227" s="1">
        <v>75</v>
      </c>
      <c r="B227" s="1">
        <v>870</v>
      </c>
      <c r="C227" s="1">
        <v>2084</v>
      </c>
      <c r="D227" s="1">
        <v>32.5</v>
      </c>
      <c r="E227" s="1">
        <v>-14.9</v>
      </c>
      <c r="F227" s="1">
        <v>-4.3</v>
      </c>
      <c r="G227" s="2">
        <v>0</v>
      </c>
      <c r="H227" s="2">
        <v>0</v>
      </c>
      <c r="I227" s="2">
        <v>0</v>
      </c>
      <c r="K227" s="1"/>
      <c r="L227" s="1"/>
      <c r="M227" s="1"/>
      <c r="N227" s="1"/>
      <c r="O227" s="1"/>
      <c r="P227" s="1"/>
      <c r="Q227" s="1"/>
    </row>
    <row r="228" spans="1:17" x14ac:dyDescent="0.25">
      <c r="A228" s="1">
        <v>100</v>
      </c>
      <c r="B228" s="1">
        <v>837</v>
      </c>
      <c r="C228" s="1">
        <v>1928</v>
      </c>
      <c r="D228" s="1">
        <v>42.9</v>
      </c>
      <c r="E228" s="1">
        <v>-14.8</v>
      </c>
      <c r="F228" s="1">
        <v>-4.3</v>
      </c>
      <c r="G228" s="2">
        <v>0</v>
      </c>
      <c r="H228" s="2">
        <v>0</v>
      </c>
      <c r="I228" s="2">
        <v>0</v>
      </c>
      <c r="K228" s="1"/>
      <c r="L228" s="1"/>
      <c r="M228" s="1"/>
      <c r="N228" s="1"/>
      <c r="O228" s="1"/>
      <c r="P228" s="1"/>
      <c r="Q228" s="1"/>
    </row>
    <row r="229" spans="1:17" x14ac:dyDescent="0.25">
      <c r="A229" s="1">
        <v>125</v>
      </c>
      <c r="B229" s="1">
        <v>804</v>
      </c>
      <c r="C229" s="1">
        <v>1781</v>
      </c>
      <c r="D229" s="1">
        <v>52.8</v>
      </c>
      <c r="E229" s="1">
        <v>-14.5</v>
      </c>
      <c r="F229" s="1">
        <v>-4.2</v>
      </c>
      <c r="G229" s="2">
        <v>0</v>
      </c>
      <c r="H229" s="2">
        <v>0</v>
      </c>
      <c r="I229" s="2">
        <v>0</v>
      </c>
      <c r="K229" s="1"/>
      <c r="L229" s="1"/>
      <c r="M229" s="1"/>
      <c r="N229" s="1"/>
      <c r="O229" s="1"/>
      <c r="P229" s="1"/>
      <c r="Q229" s="1"/>
    </row>
    <row r="230" spans="1:17" x14ac:dyDescent="0.25">
      <c r="A230" s="1">
        <v>150</v>
      </c>
      <c r="B230" s="1">
        <v>772</v>
      </c>
      <c r="C230" s="1">
        <v>1644</v>
      </c>
      <c r="D230" s="1">
        <v>61.3</v>
      </c>
      <c r="E230" s="1">
        <v>-14</v>
      </c>
      <c r="F230" s="1">
        <v>-4.0999999999999996</v>
      </c>
      <c r="G230" s="2">
        <v>0</v>
      </c>
      <c r="H230" s="2">
        <v>0</v>
      </c>
      <c r="I230" s="2">
        <v>0</v>
      </c>
      <c r="K230" s="1"/>
      <c r="L230" s="1"/>
      <c r="M230" s="1"/>
      <c r="N230" s="1"/>
      <c r="O230" s="1"/>
      <c r="P230" s="1"/>
      <c r="Q230" s="1"/>
    </row>
    <row r="231" spans="1:17" x14ac:dyDescent="0.25">
      <c r="A231" s="1">
        <v>175</v>
      </c>
      <c r="B231" s="1">
        <v>742</v>
      </c>
      <c r="C231" s="1">
        <v>1514</v>
      </c>
      <c r="D231" s="1">
        <v>68.8</v>
      </c>
      <c r="E231" s="1">
        <v>-13.5</v>
      </c>
      <c r="F231" s="1">
        <v>-3.9</v>
      </c>
      <c r="G231" s="2">
        <v>0</v>
      </c>
      <c r="H231" s="2">
        <v>0</v>
      </c>
      <c r="I231" s="2">
        <v>0</v>
      </c>
      <c r="K231" s="1"/>
      <c r="L231" s="1"/>
      <c r="M231" s="1"/>
      <c r="N231" s="1"/>
      <c r="O231" s="1"/>
      <c r="P231" s="1"/>
      <c r="Q231" s="1"/>
    </row>
    <row r="232" spans="1:17" x14ac:dyDescent="0.25">
      <c r="A232" s="1">
        <v>200</v>
      </c>
      <c r="B232" s="1">
        <v>711</v>
      </c>
      <c r="C232" s="1">
        <v>1393</v>
      </c>
      <c r="D232" s="1">
        <v>75.3</v>
      </c>
      <c r="E232" s="1">
        <v>-12.9</v>
      </c>
      <c r="F232" s="1">
        <v>-3.8</v>
      </c>
      <c r="G232" s="2">
        <v>0</v>
      </c>
      <c r="H232" s="2">
        <v>0</v>
      </c>
      <c r="I232" s="2">
        <v>0</v>
      </c>
      <c r="K232" s="1"/>
      <c r="L232" s="1"/>
      <c r="M232" s="1"/>
      <c r="N232" s="1"/>
      <c r="O232" s="1"/>
      <c r="P232" s="1"/>
      <c r="Q232" s="1"/>
    </row>
    <row r="233" spans="1:17" x14ac:dyDescent="0.25">
      <c r="A233" s="1">
        <v>225</v>
      </c>
      <c r="B233" s="1">
        <v>682</v>
      </c>
      <c r="C233" s="1">
        <v>1280</v>
      </c>
      <c r="D233" s="1">
        <v>80.3</v>
      </c>
      <c r="E233" s="1">
        <v>-12.3</v>
      </c>
      <c r="F233" s="1">
        <v>-3.6</v>
      </c>
      <c r="G233" s="2">
        <v>0</v>
      </c>
      <c r="H233" s="2">
        <v>0</v>
      </c>
      <c r="I233" s="2">
        <v>0</v>
      </c>
      <c r="K233" s="1"/>
      <c r="L233" s="1"/>
      <c r="M233" s="1"/>
      <c r="N233" s="1"/>
      <c r="O233" s="1"/>
      <c r="P233" s="1"/>
      <c r="Q233" s="1"/>
    </row>
    <row r="234" spans="1:17" x14ac:dyDescent="0.25">
      <c r="A234" s="1">
        <v>250</v>
      </c>
      <c r="B234" s="1">
        <v>653</v>
      </c>
      <c r="C234" s="1">
        <v>1173</v>
      </c>
      <c r="D234" s="1">
        <v>83.9</v>
      </c>
      <c r="E234" s="1">
        <v>-11.6</v>
      </c>
      <c r="F234" s="1">
        <v>-3.4</v>
      </c>
      <c r="G234" s="2">
        <v>0</v>
      </c>
      <c r="H234" s="2">
        <v>0</v>
      </c>
      <c r="I234" s="2">
        <v>0</v>
      </c>
      <c r="K234" s="1"/>
      <c r="L234" s="1"/>
      <c r="M234" s="1"/>
      <c r="N234" s="1"/>
      <c r="O234" s="1"/>
      <c r="P234" s="1"/>
      <c r="Q234" s="1"/>
    </row>
    <row r="235" spans="1:17" x14ac:dyDescent="0.25">
      <c r="A235" s="1">
        <v>275</v>
      </c>
      <c r="B235" s="1">
        <v>625</v>
      </c>
      <c r="C235" s="1">
        <v>1074</v>
      </c>
      <c r="D235" s="1">
        <v>86.1</v>
      </c>
      <c r="E235" s="1">
        <v>-10.7</v>
      </c>
      <c r="F235" s="1">
        <v>-3.1</v>
      </c>
      <c r="G235" s="2">
        <v>0</v>
      </c>
      <c r="H235" s="2">
        <v>0</v>
      </c>
      <c r="I235" s="2">
        <v>0</v>
      </c>
      <c r="K235" s="1"/>
      <c r="L235" s="1"/>
      <c r="M235" s="1"/>
      <c r="N235" s="1"/>
      <c r="O235" s="1"/>
      <c r="P235" s="1"/>
      <c r="Q235" s="1"/>
    </row>
    <row r="236" spans="1:17" x14ac:dyDescent="0.25">
      <c r="A236" s="1">
        <v>300</v>
      </c>
      <c r="B236" s="1">
        <v>597</v>
      </c>
      <c r="C236" s="1">
        <v>982</v>
      </c>
      <c r="D236" s="1">
        <v>86.4</v>
      </c>
      <c r="E236" s="1">
        <v>-9.9</v>
      </c>
      <c r="F236" s="1">
        <v>-2.9</v>
      </c>
      <c r="G236" s="2">
        <v>0</v>
      </c>
      <c r="H236" s="2">
        <v>0</v>
      </c>
      <c r="I236" s="2">
        <v>0</v>
      </c>
      <c r="K236" s="1"/>
      <c r="L236" s="1"/>
      <c r="M236" s="1"/>
      <c r="N236" s="1"/>
      <c r="O236" s="1"/>
      <c r="P236" s="1"/>
      <c r="Q236" s="1"/>
    </row>
    <row r="237" spans="1:17" x14ac:dyDescent="0.25">
      <c r="A237" s="1">
        <v>325</v>
      </c>
      <c r="B237" s="1">
        <v>570</v>
      </c>
      <c r="C237" s="1">
        <v>896</v>
      </c>
      <c r="D237" s="1">
        <v>84.9</v>
      </c>
      <c r="E237" s="1">
        <v>-9</v>
      </c>
      <c r="F237" s="1">
        <v>-2.6</v>
      </c>
      <c r="G237" s="2">
        <v>0</v>
      </c>
      <c r="H237" s="2">
        <v>0</v>
      </c>
      <c r="I237" s="2">
        <v>0</v>
      </c>
      <c r="K237" s="1"/>
      <c r="L237" s="1"/>
      <c r="M237" s="1"/>
      <c r="N237" s="1"/>
      <c r="O237" s="1"/>
      <c r="P237" s="1"/>
      <c r="Q237" s="1"/>
    </row>
    <row r="238" spans="1:17" x14ac:dyDescent="0.25">
      <c r="A238" s="1">
        <v>350</v>
      </c>
      <c r="B238" s="1">
        <v>544</v>
      </c>
      <c r="C238" s="1">
        <v>816</v>
      </c>
      <c r="D238" s="1">
        <v>81.2</v>
      </c>
      <c r="E238" s="1">
        <v>-8</v>
      </c>
      <c r="F238" s="1">
        <v>-2.2999999999999998</v>
      </c>
      <c r="G238" s="2">
        <v>0</v>
      </c>
      <c r="H238" s="2">
        <v>0</v>
      </c>
      <c r="I238" s="2">
        <v>0</v>
      </c>
      <c r="K238" s="1"/>
      <c r="L238" s="1"/>
      <c r="M238" s="1"/>
      <c r="N238" s="1"/>
      <c r="O238" s="1"/>
      <c r="P238" s="1"/>
      <c r="Q238" s="1"/>
    </row>
    <row r="239" spans="1:17" x14ac:dyDescent="0.25">
      <c r="A239" s="1">
        <v>375</v>
      </c>
      <c r="B239" s="1">
        <v>519</v>
      </c>
      <c r="C239" s="1">
        <v>743</v>
      </c>
      <c r="D239" s="1">
        <v>75.3</v>
      </c>
      <c r="E239" s="1">
        <v>-6.9</v>
      </c>
      <c r="F239" s="1">
        <v>-2</v>
      </c>
      <c r="G239" s="2">
        <v>0</v>
      </c>
      <c r="H239" s="2">
        <v>0</v>
      </c>
      <c r="I239" s="2">
        <v>0</v>
      </c>
      <c r="K239" s="1"/>
      <c r="L239" s="1"/>
      <c r="M239" s="1"/>
      <c r="N239" s="1"/>
      <c r="O239" s="1"/>
      <c r="P239" s="1"/>
      <c r="Q239" s="1"/>
    </row>
    <row r="240" spans="1:17" x14ac:dyDescent="0.25">
      <c r="A240" s="1">
        <v>400</v>
      </c>
      <c r="B240" s="1">
        <v>495</v>
      </c>
      <c r="C240" s="1">
        <v>676</v>
      </c>
      <c r="D240" s="1">
        <v>66.8</v>
      </c>
      <c r="E240" s="1">
        <v>-5.7</v>
      </c>
      <c r="F240" s="1">
        <v>-1.7</v>
      </c>
      <c r="G240" s="2">
        <v>0</v>
      </c>
      <c r="H240" s="2">
        <v>0</v>
      </c>
      <c r="I240" s="2">
        <v>0</v>
      </c>
      <c r="K240" s="1"/>
      <c r="L240" s="1"/>
      <c r="M240" s="1"/>
      <c r="N240" s="1"/>
      <c r="O240" s="1"/>
      <c r="P240" s="1"/>
      <c r="Q240" s="1"/>
    </row>
    <row r="241" spans="1:17" x14ac:dyDescent="0.25">
      <c r="A241" s="1">
        <v>425</v>
      </c>
      <c r="B241" s="1">
        <v>472</v>
      </c>
      <c r="C241" s="1">
        <v>614</v>
      </c>
      <c r="D241" s="1">
        <v>55.1</v>
      </c>
      <c r="E241" s="1">
        <v>-4.5</v>
      </c>
      <c r="F241" s="1">
        <v>-1.3</v>
      </c>
      <c r="G241" s="2">
        <v>0</v>
      </c>
      <c r="H241" s="2">
        <v>0</v>
      </c>
      <c r="I241" s="2">
        <v>0</v>
      </c>
      <c r="K241" s="1"/>
      <c r="L241" s="1"/>
      <c r="M241" s="1"/>
      <c r="N241" s="1"/>
      <c r="O241" s="1"/>
      <c r="P241" s="1"/>
      <c r="Q241" s="1"/>
    </row>
    <row r="242" spans="1:17" x14ac:dyDescent="0.25">
      <c r="A242" s="1">
        <v>450</v>
      </c>
      <c r="B242" s="1">
        <v>450</v>
      </c>
      <c r="C242" s="1">
        <v>558</v>
      </c>
      <c r="D242" s="1">
        <v>40.6</v>
      </c>
      <c r="E242" s="1">
        <v>-3.1</v>
      </c>
      <c r="F242" s="1">
        <v>-0.9</v>
      </c>
      <c r="G242" s="2">
        <v>0</v>
      </c>
      <c r="H242" s="2">
        <v>0</v>
      </c>
      <c r="I242" s="2">
        <v>0</v>
      </c>
      <c r="K242" s="1"/>
      <c r="L242" s="1"/>
      <c r="M242" s="1"/>
      <c r="N242" s="1"/>
      <c r="O242" s="1"/>
      <c r="P242" s="1"/>
      <c r="Q242" s="1"/>
    </row>
    <row r="243" spans="1:17" x14ac:dyDescent="0.25">
      <c r="A243" s="1">
        <v>475</v>
      </c>
      <c r="B243" s="1">
        <v>429</v>
      </c>
      <c r="C243" s="1">
        <v>507</v>
      </c>
      <c r="D243" s="1">
        <v>22.6</v>
      </c>
      <c r="E243" s="1">
        <v>-1.6</v>
      </c>
      <c r="F243" s="1">
        <v>-0.5</v>
      </c>
      <c r="G243" s="2">
        <v>0</v>
      </c>
      <c r="H243" s="2">
        <v>0</v>
      </c>
      <c r="I243" s="2">
        <v>0</v>
      </c>
      <c r="K243" s="1"/>
      <c r="L243" s="1"/>
      <c r="M243" s="1"/>
      <c r="N243" s="1"/>
      <c r="O243" s="1"/>
      <c r="P243" s="1"/>
      <c r="Q243" s="1"/>
    </row>
    <row r="244" spans="1:17" x14ac:dyDescent="0.25">
      <c r="A244" s="10">
        <v>500</v>
      </c>
      <c r="B244" s="10">
        <v>410</v>
      </c>
      <c r="C244" s="10">
        <v>463</v>
      </c>
      <c r="D244" s="10">
        <v>0.8</v>
      </c>
      <c r="E244" s="10">
        <v>-0.1</v>
      </c>
      <c r="F244" s="10">
        <v>0</v>
      </c>
      <c r="G244" s="2">
        <v>0</v>
      </c>
      <c r="H244" s="2">
        <v>0</v>
      </c>
      <c r="I244" s="2">
        <v>0</v>
      </c>
      <c r="K244" s="1"/>
      <c r="L244" s="1"/>
      <c r="M244" s="1"/>
      <c r="N244" s="1"/>
      <c r="O244" s="1"/>
      <c r="P244" s="1"/>
      <c r="Q244" s="1"/>
    </row>
    <row r="246" spans="1:17" ht="30" x14ac:dyDescent="0.25">
      <c r="A246" t="s">
        <v>84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36" t="s">
        <v>85</v>
      </c>
    </row>
    <row r="247" spans="1:17" x14ac:dyDescent="0.25">
      <c r="A247" t="s">
        <v>86</v>
      </c>
      <c r="B247" s="37" cm="1">
        <f t="array" ref="B247">INDEX(LINEST(J$22:J$32,$A$22:$A$32^{1,2,3}), 1,4)</f>
        <v>-4.977182440439865</v>
      </c>
      <c r="C247" s="37" cm="1">
        <f t="array" ref="C247">INDEX(LINEST(K$22:K$32,$A$22:$A$32^{1,2,3}), 1,4)</f>
        <v>-4.7751225495657277</v>
      </c>
      <c r="D247" s="38" cm="1">
        <f t="array" ref="D247">INDEX(LINEST(L$22:L$32,$A$22:$A$32^{1,2,3}), 1,4)</f>
        <v>-4.7805222241206309</v>
      </c>
      <c r="E247" s="38" cm="1">
        <f t="array" ref="E247">INDEX(LINEST(M$22:M$32,$A$22:$A$32^{1,2,3}), 1,4)</f>
        <v>-5.2241484418361743</v>
      </c>
      <c r="F247" s="38" cm="1">
        <f t="array" ref="F247">INDEX(LINEST(N$22:N$32,$A$22:$A$32^{1,2,3}), 1,4)</f>
        <v>-4.8862518872424978</v>
      </c>
      <c r="G247" s="38" cm="1">
        <f t="array" ref="G247">INDEX(LINEST(O$22:O$32,$A$22:$A$32^{1,2,3}), 1,4)</f>
        <v>-4.6609778380537801</v>
      </c>
      <c r="H247" s="38" cm="1">
        <f t="array" ref="H247">INDEX(LINEST(P$22:P$32,$A$22:$A$32^{1,2,3}), 1,4)</f>
        <v>-6.9324974708245035</v>
      </c>
      <c r="I247" s="38" cm="1">
        <f t="array" ref="I247">INDEX(LINEST(B$22:B$32,$A$22:$A$32^{1,2,3}), 1,4)</f>
        <v>2629.7619927110923</v>
      </c>
    </row>
    <row r="248" spans="1:17" x14ac:dyDescent="0.25">
      <c r="A248" t="s">
        <v>87</v>
      </c>
      <c r="B248" s="38" cm="1">
        <f t="array" ref="B248">INDEX(LINEST(J$22:J$32,$A$22:$A$32^{1,2,3}), 1,3)</f>
        <v>0.13537837968422037</v>
      </c>
      <c r="C248" s="37" cm="1">
        <f t="array" ref="C248">INDEX(LINEST(K$22:K$32,$A$22:$A$32^{1,2,3}), 1,3)</f>
        <v>8.0495016881890924E-2</v>
      </c>
      <c r="D248" s="38" cm="1">
        <f t="array" ref="D248">INDEX(LINEST(L$22:L$32,$A$22:$A$32^{1,2,3}), 1,3)</f>
        <v>9.622753672279992E-2</v>
      </c>
      <c r="E248" s="38" cm="1">
        <f t="array" ref="E248">INDEX(LINEST(M$22:M$32,$A$22:$A$32^{1,2,3}), 1,3)</f>
        <v>0.16606066329357522</v>
      </c>
      <c r="F248" s="38" cm="1">
        <f t="array" ref="F248">INDEX(LINEST(N$22:N$32,$A$22:$A$32^{1,2,3}), 1,3)</f>
        <v>0.22262192361339572</v>
      </c>
      <c r="G248" s="38" cm="1">
        <f t="array" ref="G248">INDEX(LINEST(O$22:O$32,$A$22:$A$32^{1,2,3}), 1,3)</f>
        <v>0.320665322616566</v>
      </c>
      <c r="H248" s="38" cm="1">
        <f t="array" ref="H248">INDEX(LINEST(P$22:P$32,$A$22:$A$32^{1,2,3}), 1,3)</f>
        <v>0.59278390413128312</v>
      </c>
      <c r="I248" s="38" cm="1">
        <f t="array" ref="I248">INDEX(LINEST(B$22:B$32,$A$22:$A$32^{1,2,3}), 1,3)</f>
        <v>-7.3971286858579042</v>
      </c>
    </row>
    <row r="249" spans="1:17" x14ac:dyDescent="0.25">
      <c r="A249" t="s">
        <v>88</v>
      </c>
      <c r="B249" s="38" cm="1">
        <f t="array" ref="B249">INDEX(LINEST(J$22:J$32,$A$22:$A$32^{1,2,3}), 1,2)</f>
        <v>-1.9280587392838492E-4</v>
      </c>
      <c r="C249" s="38" cm="1">
        <f t="array" ref="C249">INDEX(LINEST(K$22:K$32,$A$22:$A$32^{1,2,3}), 1,2)</f>
        <v>-1.9646065718826521E-4</v>
      </c>
      <c r="D249" s="38" cm="1">
        <f t="array" ref="D249">INDEX(LINEST(L$22:L$32,$A$22:$A$32^{1,2,3}), 1,2)</f>
        <v>-1.5587089728081612E-4</v>
      </c>
      <c r="E249" s="38" cm="1">
        <f t="array" ref="E249">INDEX(LINEST(M$22:M$32,$A$22:$A$32^{1,2,3}), 1,2)</f>
        <v>-5.095722987881815E-4</v>
      </c>
      <c r="F249" s="38" cm="1">
        <f t="array" ref="F249">INDEX(LINEST(N$22:N$32,$A$22:$A$32^{1,2,3}), 1,2)</f>
        <v>-2.6249370767544053E-4</v>
      </c>
      <c r="G249" s="38" cm="1">
        <f t="array" ref="G249">INDEX(LINEST(O$22:O$32,$A$22:$A$32^{1,2,3}), 1,2)</f>
        <v>-1.5903683180195353E-4</v>
      </c>
      <c r="H249" s="38" cm="1">
        <f t="array" ref="H249">INDEX(LINEST(P$22:P$32,$A$22:$A$32^{1,2,3}), 1,2)</f>
        <v>-6.9799206501680101E-4</v>
      </c>
      <c r="I249" s="38" cm="1">
        <f t="array" ref="I249">INDEX(LINEST(B$22:B$32,$A$22:$A$32^{1,2,3}), 1,2)</f>
        <v>6.8904700488467731E-3</v>
      </c>
    </row>
    <row r="250" spans="1:17" x14ac:dyDescent="0.25">
      <c r="A250" t="s">
        <v>89</v>
      </c>
      <c r="B250" s="37" cm="1">
        <f t="array" ref="B250">INDEX(LINEST(J$22:J$32,$A$22:$A$32^{1,2,3}), 1)</f>
        <v>-1.8445571838702309E-6</v>
      </c>
      <c r="C250" s="37" cm="1">
        <f t="array" ref="C250">INDEX(LINEST(K$22:K$32,$A$22:$A$32^{1,2,3}), 1)</f>
        <v>-1.5354333204602361E-6</v>
      </c>
      <c r="D250" s="38" cm="1">
        <f t="array" ref="D250">INDEX(LINEST(L$22:L$32,$A$22:$A$32^{1,2,3}), 1)</f>
        <v>-1.6146978428545696E-6</v>
      </c>
      <c r="E250" s="38" cm="1">
        <f t="array" ref="E250">INDEX(LINEST(M$22:M$32,$A$22:$A$32^{1,2,3}), 1)</f>
        <v>-9.6433471627952592E-7</v>
      </c>
      <c r="F250" s="38" cm="1">
        <f t="array" ref="F250">INDEX(LINEST(N$22:N$32,$A$22:$A$32^{1,2,3}), 1)</f>
        <v>-1.3759947101594198E-6</v>
      </c>
      <c r="G250" s="38" cm="1">
        <f t="array" ref="G250">INDEX(LINEST(O$22:O$32,$A$22:$A$32^{1,2,3}), 1)</f>
        <v>-1.5032103670210347E-6</v>
      </c>
      <c r="H250" s="38" cm="1">
        <f t="array" ref="H250">INDEX(LINEST(P$22:P$32,$A$22:$A$32^{1,2,3}), 1)</f>
        <v>-8.6532630787840348E-7</v>
      </c>
      <c r="I250" s="38" cm="1">
        <f t="array" ref="I250">INDEX(LINEST(B$22:B$32,$A$22:$A$32^{1,2,3}), 1)</f>
        <v>-1.0353691364887489E-6</v>
      </c>
    </row>
    <row r="251" spans="1:17" x14ac:dyDescent="0.25">
      <c r="A251" t="s">
        <v>90</v>
      </c>
      <c r="B251" s="37"/>
      <c r="C251" s="37"/>
      <c r="D251" s="38"/>
      <c r="E251" s="38"/>
      <c r="F251" s="38"/>
      <c r="G251" s="38"/>
      <c r="H251" s="38"/>
      <c r="I251" s="38"/>
    </row>
    <row r="252" spans="1:17" x14ac:dyDescent="0.25">
      <c r="A252" t="s">
        <v>91</v>
      </c>
      <c r="B252" s="37"/>
      <c r="C252" s="37"/>
      <c r="D252" s="38"/>
      <c r="E252" s="38"/>
      <c r="F252" s="38"/>
      <c r="G252" s="38"/>
      <c r="H252" s="38"/>
      <c r="I252" s="38"/>
    </row>
    <row r="253" spans="1:17" x14ac:dyDescent="0.25">
      <c r="A253" t="s">
        <v>92</v>
      </c>
      <c r="B253" s="37"/>
      <c r="C253" s="37"/>
      <c r="D253" s="38"/>
      <c r="E253" s="38"/>
      <c r="F253" s="38"/>
      <c r="G253" s="38"/>
      <c r="H253" s="38"/>
      <c r="I253" s="38"/>
    </row>
    <row r="254" spans="1:17" x14ac:dyDescent="0.25">
      <c r="B254" s="37"/>
      <c r="C254" s="37"/>
      <c r="D254" s="37"/>
      <c r="E254" s="37"/>
      <c r="F254" s="37"/>
      <c r="G254" s="37"/>
      <c r="H254" s="37"/>
      <c r="I254" s="37"/>
    </row>
    <row r="255" spans="1:17" x14ac:dyDescent="0.25">
      <c r="A255" t="s">
        <v>93</v>
      </c>
    </row>
    <row r="256" spans="1:17" x14ac:dyDescent="0.25">
      <c r="A256" s="25" t="s">
        <v>4</v>
      </c>
      <c r="B256" s="27"/>
      <c r="C256" s="27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2629.7619927110923</v>
      </c>
    </row>
    <row r="258" spans="1:9" x14ac:dyDescent="0.25">
      <c r="A258" s="1">
        <v>25</v>
      </c>
      <c r="B258" s="2" cm="1">
        <f t="array" ref="B258">TrajectoryToComeUp(B$247:B$250,$A258)</f>
        <v>0.69681913021502739</v>
      </c>
      <c r="C258" s="2" cm="1">
        <f t="array" ref="C258">TrajectoryToComeUp(C$247:C$250,$A258)</f>
        <v>1.1638104735573247</v>
      </c>
      <c r="D258" s="28" cm="1">
        <f t="array" ref="D258">TrajectoryToComeUp(D$247:D$250,$A258)</f>
        <v>0.99899310825829823</v>
      </c>
      <c r="E258" s="28" cm="1">
        <f t="array" ref="E258">TrajectoryToComeUp(E$247:E$250,$A258)</f>
        <v>0.56247291047251002</v>
      </c>
      <c r="F258" s="28" cm="1">
        <f t="array" ref="F258">TrajectoryToComeUp(F$247:F$250,$A258)</f>
        <v>-0.1974950873796017</v>
      </c>
      <c r="G258" s="28" cm="1">
        <f t="array" ref="G258">TrajectoryToComeUp(G$247:G$250,$A258)</f>
        <v>-1.2931078181997779</v>
      </c>
      <c r="H258" s="28" cm="1">
        <f t="array" ref="H258">TrajectoryToComeUp(H$247:H$250,$A258)</f>
        <v>-2.9749337473045898</v>
      </c>
      <c r="I258" s="2" cm="1">
        <f t="array" ref="I258">EvaluatePolynomial(I$247:I$250,$A258)</f>
        <v>2449.1241417024162</v>
      </c>
    </row>
    <row r="259" spans="1:9" x14ac:dyDescent="0.25">
      <c r="A259" s="1">
        <v>50</v>
      </c>
      <c r="B259" s="2" cm="1">
        <f t="array" ref="B259">TrajectoryToComeUp(B$247:B$250,$A259)</f>
        <v>-0.21583044219328235</v>
      </c>
      <c r="C259" s="39" cm="1">
        <f t="array" ref="C259">TrajectoryToComeUp(C$247:C$250,$A259)</f>
        <v>0.28669050269987484</v>
      </c>
      <c r="D259" s="28" cm="1">
        <f t="array" ref="D259">TrajectoryToComeUp(D$247:D$250,$A259)</f>
        <v>0.11213197230789929</v>
      </c>
      <c r="E259" s="28" cm="1">
        <f t="array" ref="E259">TrajectoryToComeUp(E$247:E$250,$A259)</f>
        <v>-0.33688242726743833</v>
      </c>
      <c r="F259" s="28" cm="1">
        <f t="array" ref="F259">TrajectoryToComeUp(F$247:F$250,$A259)</f>
        <v>-1.083322137093752</v>
      </c>
      <c r="G259" s="28" cm="1">
        <f t="array" ref="G259">TrajectoryToComeUp(G$247:G$250,$A259)</f>
        <v>-2.1573589834784017</v>
      </c>
      <c r="H259" s="28" cm="1">
        <f t="array" ref="H259">TrajectoryToComeUp(H$247:H$250,$A259)</f>
        <v>-4.1707103569425694</v>
      </c>
      <c r="I259" s="2" cm="1">
        <f t="array" ref="I259">EvaluatePolynomial(I$247:I$250,$A259)</f>
        <v>2277.0023123982528</v>
      </c>
    </row>
    <row r="260" spans="1:9" x14ac:dyDescent="0.25">
      <c r="A260" s="1">
        <v>75</v>
      </c>
      <c r="B260" s="2" cm="1">
        <f t="array" ref="B260">TrajectoryToComeUp(B$247:B$250,$A260)</f>
        <v>-0.44179872441123247</v>
      </c>
      <c r="C260" s="2" cm="1">
        <f t="array" ref="C260">TrajectoryToComeUp(C$247:C$250,$A260)</f>
        <v>6.5446454956941652E-2</v>
      </c>
      <c r="D260" s="28" cm="1">
        <f t="array" ref="D260">TrajectoryToComeUp(D$247:D$250,$A260)</f>
        <v>-0.11714247739073338</v>
      </c>
      <c r="E260" s="28" cm="1">
        <f t="array" ref="E260">TrajectoryToComeUp(E$247:E$250,$A260)</f>
        <v>-0.52763045547573617</v>
      </c>
      <c r="F260" s="28" cm="1">
        <f t="array" ref="F260">TrajectoryToComeUp(F$247:F$250,$A260)</f>
        <v>-1.3004490012985763</v>
      </c>
      <c r="G260" s="28" cm="1">
        <f t="array" ref="G260">TrajectoryToComeUp(G$247:G$250,$A260)</f>
        <v>-2.3813563074287578</v>
      </c>
      <c r="H260" s="28" cm="1">
        <f t="array" ref="H260">TrajectoryToComeUp(H$247:H$250,$A260)</f>
        <v>-4.4313373916221366</v>
      </c>
      <c r="I260" s="2" cm="1">
        <f t="array" ref="I260">EvaluatePolynomial(I$247:I$250,$A260)</f>
        <v>2113.2994389420564</v>
      </c>
    </row>
    <row r="261" spans="1:9" x14ac:dyDescent="0.25">
      <c r="A261" s="1">
        <v>100</v>
      </c>
      <c r="B261" s="2" cm="1">
        <f t="array" ref="B261">TrajectoryToComeUp(B$247:B$250,$A261)</f>
        <v>-0.47880396048280915</v>
      </c>
      <c r="C261" s="2" cm="1">
        <f t="array" ref="C261">TrajectoryToComeUp(C$247:C$250,$A261)</f>
        <v>2.256607537195237E-2</v>
      </c>
      <c r="D261" s="28" cm="1">
        <f t="array" ref="D261">TrajectoryToComeUp(D$247:D$250,$A261)</f>
        <v>-0.16688246324966297</v>
      </c>
      <c r="E261" s="28" cm="1">
        <f t="array" ref="E261">TrajectoryToComeUp(E$247:E$250,$A261)</f>
        <v>-0.53218601833600065</v>
      </c>
      <c r="F261" s="28" cm="1">
        <f t="array" ref="F261">TrajectoryToComeUp(F$247:F$250,$A261)</f>
        <v>-1.3375008687183252</v>
      </c>
      <c r="G261" s="28" cm="1">
        <f t="array" ref="G261">TrajectoryToComeUp(G$247:G$250,$A261)</f>
        <v>-2.4311975738562248</v>
      </c>
      <c r="H261" s="28" cm="1">
        <f t="array" ref="H261">TrajectoryToComeUp(H$247:H$250,$A261)</f>
        <v>-4.4500645984257394</v>
      </c>
      <c r="I261" s="2" cm="1">
        <f t="array" ref="I261">EvaluatePolynomial(I$247:I$250,$A261)</f>
        <v>1957.9184554772808</v>
      </c>
    </row>
    <row r="262" spans="1:9" x14ac:dyDescent="0.25">
      <c r="A262" s="1">
        <v>125</v>
      </c>
      <c r="B262" s="2" cm="1">
        <f t="array" ref="B262">TrajectoryToComeUp(B$247:B$250,$A262)</f>
        <v>-0.42638979921680975</v>
      </c>
      <c r="C262" s="2" cm="1">
        <f t="array" ref="C262">TrajectoryToComeUp(C$247:C$250,$A262)</f>
        <v>6.2546912953592368E-2</v>
      </c>
      <c r="D262" s="28" cm="1">
        <f t="array" ref="D262">TrajectoryToComeUp(D$247:D$250,$A262)</f>
        <v>-0.13269842975130208</v>
      </c>
      <c r="E262" s="28" cm="1">
        <f t="array" ref="E262">TrajectoryToComeUp(E$247:E$250,$A262)</f>
        <v>-0.45503208468495543</v>
      </c>
      <c r="F262" s="28" cm="1">
        <f t="array" ref="F262">TrajectoryToComeUp(F$247:F$250,$A262)</f>
        <v>-1.2922027770978475</v>
      </c>
      <c r="G262" s="28" cm="1">
        <f t="array" ref="G262">TrajectoryToComeUp(G$247:G$250,$A262)</f>
        <v>-2.400102339521879</v>
      </c>
      <c r="H262" s="28" cm="1">
        <f t="array" ref="H262">TrajectoryToComeUp(H$247:H$250,$A262)</f>
        <v>-4.3655419267698683</v>
      </c>
      <c r="I262" s="2" cm="1">
        <f t="array" ref="I262">EvaluatePolynomial(I$247:I$250,$A262)</f>
        <v>1810.7622961473805</v>
      </c>
    </row>
    <row r="263" spans="1:9" x14ac:dyDescent="0.25">
      <c r="A263" s="1">
        <v>150</v>
      </c>
      <c r="B263" s="2" cm="1">
        <f t="array" ref="B263">TrajectoryToComeUp(B$247:B$250,$A263)</f>
        <v>-0.31773745688283328</v>
      </c>
      <c r="C263" s="2" cm="1">
        <f t="array" ref="C263">TrajectoryToComeUp(C$247:C$250,$A263)</f>
        <v>0.15355481737142354</v>
      </c>
      <c r="D263" s="28" cm="1">
        <f t="array" ref="D263">TrajectoryToComeUp(D$247:D$250,$A263)</f>
        <v>-4.6460525056454802E-2</v>
      </c>
      <c r="E263" s="28" cm="1">
        <f t="array" ref="E263">TrajectoryToComeUp(E$247:E$250,$A263)</f>
        <v>-0.33099631080150838</v>
      </c>
      <c r="F263" s="28" cm="1">
        <f t="array" ref="F263">TrajectoryToComeUp(F$247:F$250,$A263)</f>
        <v>-1.1971297390187605</v>
      </c>
      <c r="G263" s="28" cm="1">
        <f t="array" ref="G263">TrajectoryToComeUp(G$247:G$250,$A263)</f>
        <v>-2.319143790012745</v>
      </c>
      <c r="H263" s="28" cm="1">
        <f t="array" ref="H263">TrajectoryToComeUp(H$247:H$250,$A263)</f>
        <v>-4.2239860264600217</v>
      </c>
      <c r="I263" s="2" cm="1">
        <f t="array" ref="I263">EvaluatePolynomial(I$247:I$250,$A263)</f>
        <v>1671.7338950958097</v>
      </c>
    </row>
    <row r="264" spans="1:9" x14ac:dyDescent="0.25">
      <c r="A264" s="1">
        <v>175</v>
      </c>
      <c r="B264" s="2" cm="1">
        <f t="array" ref="B264">TrajectoryToComeUp(B$247:B$250,$A264)</f>
        <v>-0.16706745473927956</v>
      </c>
      <c r="C264" s="2" cm="1">
        <f t="array" ref="C264">TrajectoryToComeUp(C$247:C$250,$A264)</f>
        <v>0.28194658134097239</v>
      </c>
      <c r="D264" s="28" cm="1">
        <f t="array" ref="D264">TrajectoryToComeUp(D$247:D$250,$A264)</f>
        <v>7.8172615908819895E-2</v>
      </c>
      <c r="E264" s="28" cm="1">
        <f t="array" ref="E264">TrajectoryToComeUp(E$247:E$250,$A264)</f>
        <v>-0.17500483509090548</v>
      </c>
      <c r="F264" s="28" cm="1">
        <f t="array" ref="F264">TrajectoryToComeUp(F$247:F$250,$A264)</f>
        <v>-1.0662424741588998</v>
      </c>
      <c r="G264" s="28" cm="1">
        <f t="array" ref="G264">TrajectoryToComeUp(G$247:G$250,$A264)</f>
        <v>-2.2016390048661192</v>
      </c>
      <c r="H264" s="28" cm="1">
        <f t="array" ref="H264">TrajectoryToComeUp(H$247:H$250,$A264)</f>
        <v>-4.0452040331271251</v>
      </c>
      <c r="I264" s="2" cm="1">
        <f t="array" ref="I264">EvaluatePolynomial(I$247:I$250,$A264)</f>
        <v>1540.736186466022</v>
      </c>
    </row>
    <row r="265" spans="1:9" x14ac:dyDescent="0.25">
      <c r="A265" s="1">
        <v>200</v>
      </c>
      <c r="B265" s="2" cm="1">
        <f t="array" ref="B265">TrajectoryToComeUp(B$247:B$250,$A265)</f>
        <v>1.8509946584651788E-2</v>
      </c>
      <c r="C265" s="2" cm="1">
        <f t="array" ref="C265">TrajectoryToComeUp(C$247:C$250,$A265)</f>
        <v>0.44090060122000185</v>
      </c>
      <c r="D265" s="28" cm="1">
        <f t="array" ref="D265">TrajectoryToComeUp(D$247:D$250,$A265)</f>
        <v>0.23437167568149245</v>
      </c>
      <c r="E265" s="28" cm="1">
        <f t="array" ref="E265">TrajectoryToComeUp(E$247:E$250,$A265)</f>
        <v>5.4792732442299772E-3</v>
      </c>
      <c r="F265" s="28" cm="1">
        <f t="array" ref="F265">TrajectoryToComeUp(F$247:F$250,$A265)</f>
        <v>-0.90652134235718329</v>
      </c>
      <c r="G265" s="28" cm="1">
        <f t="array" ref="G265">TrajectoryToComeUp(G$247:G$250,$A265)</f>
        <v>-2.05424652385065</v>
      </c>
      <c r="H265" s="28" cm="1">
        <f t="array" ref="H265">TrajectoryToComeUp(H$247:H$250,$A265)</f>
        <v>-3.8390995145866427</v>
      </c>
      <c r="I265" s="2" cm="1">
        <f t="array" ref="I265">EvaluatePolynomial(I$247:I$250,$A265)</f>
        <v>1417.6721044014723</v>
      </c>
    </row>
    <row r="266" spans="1:9" x14ac:dyDescent="0.25">
      <c r="A266" s="1">
        <v>225</v>
      </c>
      <c r="B266" s="2" cm="1">
        <f t="array" ref="B266">TrajectoryToComeUp(B$247:B$250,$A266)</f>
        <v>0.23504460229496082</v>
      </c>
      <c r="C266" s="2" cm="1">
        <f t="array" ref="C266">TrajectoryToComeUp(C$247:C$250,$A266)</f>
        <v>0.62662709720726983</v>
      </c>
      <c r="D266" s="28" cm="1">
        <f t="array" ref="D266">TrajectoryToComeUp(D$247:D$250,$A266)</f>
        <v>0.41834258900432447</v>
      </c>
      <c r="E266" s="28" cm="1">
        <f t="array" ref="E266">TrajectoryToComeUp(E$247:E$250,$A266)</f>
        <v>0.206309864646885</v>
      </c>
      <c r="F266" s="28" cm="1">
        <f t="array" ref="F266">TrajectoryToComeUp(F$247:F$250,$A266)</f>
        <v>-0.72184432130189868</v>
      </c>
      <c r="G266" s="28" cm="1">
        <f t="array" ref="G266">TrajectoryToComeUp(G$247:G$250,$A266)</f>
        <v>-1.8806655357266977</v>
      </c>
      <c r="H266" s="28" cm="1">
        <f t="array" ref="H266">TrajectoryToComeUp(H$247:H$250,$A266)</f>
        <v>-3.6111744529582759</v>
      </c>
      <c r="I266" s="2" cm="1">
        <f t="array" ref="I266">EvaluatePolynomial(I$247:I$250,$A266)</f>
        <v>1302.4445830456145</v>
      </c>
    </row>
    <row r="267" spans="1:9" x14ac:dyDescent="0.25">
      <c r="A267" s="1">
        <v>250</v>
      </c>
      <c r="B267" s="2" cm="1">
        <f t="array" ref="B267">TrajectoryToComeUp(B$247:B$250,$A267)</f>
        <v>0.48016642551524752</v>
      </c>
      <c r="C267" s="2" cm="1">
        <f t="array" ref="C267">TrajectoryToComeUp(C$247:C$250,$A267)</f>
        <v>0.83685220142203032</v>
      </c>
      <c r="D267" s="28" cm="1">
        <f t="array" ref="D267">TrajectoryToComeUp(D$247:D$250,$A267)</f>
        <v>0.62780891672297245</v>
      </c>
      <c r="E267" s="28" cm="1">
        <f t="array" ref="E267">TrajectoryToComeUp(E$247:E$250,$A267)</f>
        <v>0.42499924938285233</v>
      </c>
      <c r="F267" s="28" cm="1">
        <f t="array" ref="F267">TrajectoryToComeUp(F$247:F$250,$A267)</f>
        <v>-0.5145381976060186</v>
      </c>
      <c r="G267" s="28" cm="1">
        <f t="array" ref="G267">TrajectoryToComeUp(G$247:G$250,$A267)</f>
        <v>-1.6831155537504785</v>
      </c>
      <c r="H267" s="28" cm="1">
        <f t="array" ref="H267">TrajectoryToComeUp(H$247:H$250,$A267)</f>
        <v>-3.3647300375138469</v>
      </c>
      <c r="I267" s="2" cm="1">
        <f t="array" ref="I267">EvaluatePolynomial(I$247:I$250,$A267)</f>
        <v>1194.956556541903</v>
      </c>
    </row>
    <row r="268" spans="1:9" x14ac:dyDescent="0.25">
      <c r="A268" s="1">
        <v>275</v>
      </c>
      <c r="B268" s="2" cm="1">
        <f t="array" ref="B268">TrajectoryToComeUp(B$247:B$250,$A268)</f>
        <v>0.75236717914234841</v>
      </c>
      <c r="C268" s="2" cm="1">
        <f t="array" ref="C268">TrajectoryToComeUp(C$247:C$250,$A268)</f>
        <v>1.0701289070310818</v>
      </c>
      <c r="D268" s="28" cm="1">
        <f t="array" ref="D268">TrajectoryToComeUp(D$247:D$250,$A268)</f>
        <v>0.86132201573921818</v>
      </c>
      <c r="E268" s="28" cm="1">
        <f t="array" ref="E268">TrajectoryToComeUp(E$247:E$250,$A268)</f>
        <v>0.65996435216672644</v>
      </c>
      <c r="F268" s="28" cm="1">
        <f t="array" ref="F268">TrajectoryToComeUp(F$247:F$250,$A268)</f>
        <v>-0.28608365365961647</v>
      </c>
      <c r="G268" s="28" cm="1">
        <f t="array" ref="G268">TrajectoryToComeUp(G$247:G$250,$A268)</f>
        <v>-1.4630089954486747</v>
      </c>
      <c r="H268" s="28" cm="1">
        <f t="array" ref="H268">TrajectoryToComeUp(H$247:H$250,$A268)</f>
        <v>-3.101867025062695</v>
      </c>
      <c r="I268" s="2" cm="1">
        <f t="array" ref="I268">EvaluatePolynomial(I$247:I$250,$A268)</f>
        <v>1095.1109590337915</v>
      </c>
    </row>
    <row r="269" spans="1:9" x14ac:dyDescent="0.25">
      <c r="A269" s="1">
        <v>300</v>
      </c>
      <c r="B269" s="2" cm="1">
        <f t="array" ref="B269">TrajectoryToComeUp(B$247:B$250,$A269)</f>
        <v>1.0506413717741545</v>
      </c>
      <c r="C269" s="2" cm="1">
        <f t="array" ref="C269">TrajectoryToComeUp(C$247:C$250,$A269)</f>
        <v>1.3254925428122895</v>
      </c>
      <c r="D269" s="28" cm="1">
        <f t="array" ref="D269">TrajectoryToComeUp(D$247:D$250,$A269)</f>
        <v>1.117916123987583</v>
      </c>
      <c r="E269" s="28" cm="1">
        <f t="array" ref="E269">TrajectoryToComeUp(E$247:E$250,$A269)</f>
        <v>0.91014978947490477</v>
      </c>
      <c r="F269" s="28" cm="1">
        <f t="array" ref="F269">TrajectoryToComeUp(F$247:F$250,$A269)</f>
        <v>-3.7467811056074676E-2</v>
      </c>
      <c r="G269" s="28" cm="1">
        <f t="array" ref="G269">TrajectoryToComeUp(G$247:G$250,$A269)</f>
        <v>-1.2212874725057423</v>
      </c>
      <c r="H269" s="28" cm="1">
        <f t="array" ref="H269">TrajectoryToComeUp(H$247:H$250,$A269)</f>
        <v>-2.8239859201443815</v>
      </c>
      <c r="I269" s="2" cm="1">
        <f t="array" ref="I269">EvaluatePolynomial(I$247:I$250,$A269)</f>
        <v>1002.8107246647344</v>
      </c>
    </row>
    <row r="270" spans="1:9" x14ac:dyDescent="0.25">
      <c r="A270" s="1">
        <v>325</v>
      </c>
      <c r="B270" s="2" cm="1">
        <f t="array" ref="B270">TrajectoryToComeUp(B$247:B$250,$A270)</f>
        <v>1.3742928939784362</v>
      </c>
      <c r="C270" s="2" cm="1">
        <f t="array" ref="C270">TrajectoryToComeUp(C$247:C$250,$A270)</f>
        <v>1.6022752594580225</v>
      </c>
      <c r="D270" s="28" cm="1">
        <f t="array" ref="D270">TrajectoryToComeUp(D$247:D$250,$A270)</f>
        <v>1.3969226369611965</v>
      </c>
      <c r="E270" s="28" cm="1">
        <f t="array" ref="E270">TrajectoryToComeUp(E$247:E$250,$A270)</f>
        <v>1.1748249111756617</v>
      </c>
      <c r="F270" s="28" cm="1">
        <f t="array" ref="F270">TrajectoryToComeUp(F$247:F$250,$A270)</f>
        <v>0.23062593833226525</v>
      </c>
      <c r="G270" s="28" cm="1">
        <f t="array" ref="G270">TrajectoryToComeUp(G$247:G$250,$A270)</f>
        <v>-0.95860286993399602</v>
      </c>
      <c r="H270" s="28" cm="1">
        <f t="array" ref="H270">TrajectoryToComeUp(H$247:H$250,$A270)</f>
        <v>-2.5320563028247567</v>
      </c>
      <c r="I270" s="2" cm="1">
        <f t="array" ref="I270">EvaluatePolynomial(I$247:I$250,$A270)</f>
        <v>917.95878757818593</v>
      </c>
    </row>
    <row r="271" spans="1:9" x14ac:dyDescent="0.25">
      <c r="A271" s="1">
        <v>350</v>
      </c>
      <c r="B271" s="2" cm="1">
        <f t="array" ref="B271">TrajectoryToComeUp(B$247:B$250,$A271)</f>
        <v>1.722824524732173</v>
      </c>
      <c r="C271" s="2" cm="1">
        <f t="array" ref="C271">TrajectoryToComeUp(C$247:C$250,$A271)</f>
        <v>1.9000000217485431</v>
      </c>
      <c r="D271" s="28" cm="1">
        <f t="array" ref="D271">TrajectoryToComeUp(D$247:D$250,$A271)</f>
        <v>1.6978639800122945</v>
      </c>
      <c r="E271" s="28" cm="1">
        <f t="array" ref="E271">TrajectoryToComeUp(E$247:E$250,$A271)</f>
        <v>1.4534678243177643</v>
      </c>
      <c r="F271" s="28" cm="1">
        <f t="array" ref="F271">TrajectoryToComeUp(F$247:F$250,$A271)</f>
        <v>0.51770945745373109</v>
      </c>
      <c r="G271" s="28" cm="1">
        <f t="array" ref="G271">TrajectoryToComeUp(G$247:G$250,$A271)</f>
        <v>-0.67542081988508995</v>
      </c>
      <c r="H271" s="28" cm="1">
        <f t="array" ref="H271">TrajectoryToComeUp(H$247:H$250,$A271)</f>
        <v>-2.2267707302937119</v>
      </c>
      <c r="I271" s="2" cm="1">
        <f t="array" ref="I271">EvaluatePolynomial(I$247:I$250,$A271)</f>
        <v>840.45808191760034</v>
      </c>
    </row>
    <row r="272" spans="1:9" x14ac:dyDescent="0.25">
      <c r="A272" s="1">
        <v>375</v>
      </c>
      <c r="B272" s="2" cm="1">
        <f t="array" ref="B272">TrajectoryToComeUp(B$247:B$250,$A272)</f>
        <v>2.0958716352851483</v>
      </c>
      <c r="C272" s="2" cm="1">
        <f t="array" ref="C272">TrajectoryToComeUp(C$247:C$250,$A272)</f>
        <v>2.2183170038560451</v>
      </c>
      <c r="D272" s="28" cm="1">
        <f t="array" ref="D272">TrajectoryToComeUp(D$247:D$250,$A272)</f>
        <v>2.0203899317325167</v>
      </c>
      <c r="E272" s="28" cm="1">
        <f t="array" ref="E272">TrajectoryToComeUp(E$247:E$250,$A272)</f>
        <v>1.7456958074036433</v>
      </c>
      <c r="F272" s="28" cm="1">
        <f t="array" ref="F272">TrajectoryToComeUp(F$247:F$250,$A272)</f>
        <v>0.82342477913709544</v>
      </c>
      <c r="G272" s="28" cm="1">
        <f t="array" ref="G272">TrajectoryToComeUp(G$247:G$250,$A272)</f>
        <v>-0.37208278593690358</v>
      </c>
      <c r="H272" s="28" cm="1">
        <f t="array" ref="H272">TrajectoryToComeUp(H$247:H$250,$A272)</f>
        <v>-1.9086370778238362</v>
      </c>
      <c r="I272" s="2" cm="1">
        <f t="array" ref="I272">EvaluatePolynomial(I$247:I$250,$A272)</f>
        <v>770.21154182643158</v>
      </c>
    </row>
    <row r="273" spans="1:9" x14ac:dyDescent="0.25">
      <c r="A273" s="1">
        <v>400</v>
      </c>
      <c r="B273" s="2" cm="1">
        <f t="array" ref="B273">TrajectoryToComeUp(B$247:B$250,$A273)</f>
        <v>2.4931607540747018</v>
      </c>
      <c r="C273" s="2" cm="1">
        <f t="array" ref="C273">TrajectoryToComeUp(C$247:C$250,$A273)</f>
        <v>2.5569638364096718</v>
      </c>
      <c r="D273" s="28" cm="1">
        <f t="array" ref="D273">TrajectoryToComeUp(D$247:D$250,$A273)</f>
        <v>2.3642378260655925</v>
      </c>
      <c r="E273" s="28" cm="1">
        <f t="array" ref="E273">TrajectoryToComeUp(E$247:E$250,$A273)</f>
        <v>2.0512218193101193</v>
      </c>
      <c r="F273" s="28" cm="1">
        <f t="array" ref="F273">TrajectoryToComeUp(F$247:F$250,$A273)</f>
        <v>1.1475034280039389</v>
      </c>
      <c r="G273" s="28" cm="1">
        <f t="array" ref="G273">TrajectoryToComeUp(G$247:G$250,$A273)</f>
        <v>-4.8844865772845782E-2</v>
      </c>
      <c r="H273" s="28" cm="1">
        <f t="array" ref="H273">TrajectoryToComeUp(H$247:H$250,$A273)</f>
        <v>-1.5780362518695692</v>
      </c>
      <c r="I273" s="2" cm="1">
        <f t="array" ref="I273">EvaluatePolynomial(I$247:I$250,$A273)</f>
        <v>707.12210144813423</v>
      </c>
    </row>
    <row r="274" spans="1:9" x14ac:dyDescent="0.25">
      <c r="A274" s="1">
        <v>425</v>
      </c>
      <c r="B274" s="2" cm="1">
        <f t="array" ref="B274">TrajectoryToComeUp(B$247:B$250,$A274)</f>
        <v>2.9144827557882103</v>
      </c>
      <c r="C274" s="2" cm="1">
        <f t="array" ref="C274">TrajectoryToComeUp(C$247:C$250,$A274)</f>
        <v>2.9157398840081834</v>
      </c>
      <c r="D274" s="28" cm="1">
        <f t="array" ref="D274">TrajectoryToComeUp(D$247:D$250,$A274)</f>
        <v>2.7292068007331975</v>
      </c>
      <c r="E274" s="28" cm="1">
        <f t="array" ref="E274">TrajectoryToComeUp(E$247:E$250,$A274)</f>
        <v>2.3698263580018226</v>
      </c>
      <c r="F274" s="28" cm="1">
        <f t="array" ref="F274">TrajectoryToComeUp(F$247:F$250,$A274)</f>
        <v>1.4897400993531171</v>
      </c>
      <c r="G274" s="28" cm="1">
        <f t="array" ref="G274">TrajectoryToComeUp(G$247:G$250,$A274)</f>
        <v>0.29409710120212235</v>
      </c>
      <c r="H274" s="28" cm="1">
        <f t="array" ref="H274">TrajectoryToComeUp(H$247:H$250,$A274)</f>
        <v>-1.2352595338372487</v>
      </c>
      <c r="I274" s="2" cm="1">
        <f t="array" ref="I274">EvaluatePolynomial(I$247:I$250,$A274)</f>
        <v>651.09269492616238</v>
      </c>
    </row>
    <row r="275" spans="1:9" x14ac:dyDescent="0.25">
      <c r="A275" s="1">
        <v>450</v>
      </c>
      <c r="B275" s="2" cm="1">
        <f t="array" ref="B275">TrajectoryToComeUp(B$247:B$250,$A275)</f>
        <v>3.3596749874047434</v>
      </c>
      <c r="C275" s="2" cm="1">
        <f t="array" ref="C275">TrajectoryToComeUp(C$247:C$250,$A275)</f>
        <v>3.2944890968950564</v>
      </c>
      <c r="D275" s="28" cm="1">
        <f t="array" ref="D275">TrajectoryToComeUp(D$247:D$250,$A275)</f>
        <v>3.1151406295188577</v>
      </c>
      <c r="E275" s="28" cm="1">
        <f t="array" ref="E275">TrajectoryToComeUp(E$247:E$250,$A275)</f>
        <v>2.7013386996734643</v>
      </c>
      <c r="F275" s="28" cm="1">
        <f t="array" ref="F275">TrajectoryToComeUp(F$247:F$250,$A275)</f>
        <v>1.8499751117504057</v>
      </c>
      <c r="G275" s="28" cm="1">
        <f t="array" ref="G275">TrajectoryToComeUp(G$247:G$250,$A275)</f>
        <v>0.65659079545081023</v>
      </c>
      <c r="H275" s="28" cm="1">
        <f t="array" ref="H275">TrajectoryToComeUp(H$247:H$250,$A275)</f>
        <v>-0.88053347593180442</v>
      </c>
      <c r="I275" s="2" cm="1">
        <f t="array" ref="I275">EvaluatePolynomial(I$247:I$250,$A275)</f>
        <v>602.02625640396991</v>
      </c>
    </row>
    <row r="276" spans="1:9" x14ac:dyDescent="0.25">
      <c r="A276" s="1">
        <v>475</v>
      </c>
      <c r="B276" s="2" cm="1">
        <f t="array" ref="B276">TrajectoryToComeUp(B$247:B$250,$A276)</f>
        <v>3.8286090386446201</v>
      </c>
      <c r="C276" s="2" cm="1">
        <f t="array" ref="C276">TrajectoryToComeUp(C$247:C$250,$A276)</f>
        <v>3.693088277894089</v>
      </c>
      <c r="D276" s="28" cm="1">
        <f t="array" ref="D276">TrajectoryToComeUp(D$247:D$250,$A276)</f>
        <v>3.5219159759358818</v>
      </c>
      <c r="E276" s="28" cm="1">
        <f t="array" ref="E276">TrajectoryToComeUp(E$247:E$250,$A276)</f>
        <v>3.0456240623734994</v>
      </c>
      <c r="F276" s="28" cm="1">
        <f t="array" ref="F276">TrajectoryToComeUp(F$247:F$250,$A276)</f>
        <v>2.2280824009056288</v>
      </c>
      <c r="G276" s="28" cm="1">
        <f t="array" ref="G276">TrajectoryToComeUp(G$247:G$250,$A276)</f>
        <v>1.0385159647070137</v>
      </c>
      <c r="H276" s="28" cm="1">
        <f t="array" ref="H276">TrajectoryToComeUp(H$247:H$250,$A276)</f>
        <v>-0.51403693515712601</v>
      </c>
      <c r="I276" s="2" cm="1">
        <f t="array" ref="I276">EvaluatePolynomial(I$247:I$250,$A276)</f>
        <v>559.82572002501081</v>
      </c>
    </row>
    <row r="277" spans="1:9" x14ac:dyDescent="0.25">
      <c r="A277" s="10">
        <v>500</v>
      </c>
      <c r="B277" s="2" cm="1">
        <f t="array" ref="B277">TrajectoryToComeUp(B$247:B$250,$A277)</f>
        <v>4.3211821812840956</v>
      </c>
      <c r="C277" s="2" cm="1">
        <f t="array" ref="C277">TrajectoryToComeUp(C$247:C$250,$A277)</f>
        <v>4.1114388692643216</v>
      </c>
      <c r="D277" s="28" cm="1">
        <f t="array" ref="D277">TrajectoryToComeUp(D$247:D$250,$A277)</f>
        <v>3.9494341707949183</v>
      </c>
      <c r="E277" s="28" cm="1">
        <f t="array" ref="E277">TrajectoryToComeUp(E$247:E$250,$A277)</f>
        <v>3.4025746205406939</v>
      </c>
      <c r="F277" s="28" cm="1">
        <f t="array" ref="F277">TrajectoryToComeUp(F$247:F$250,$A277)</f>
        <v>2.6239611153866447</v>
      </c>
      <c r="G277" s="28" cm="1">
        <f t="array" ref="G277">TrajectoryToComeUp(G$247:G$250,$A277)</f>
        <v>1.4397764071577699</v>
      </c>
      <c r="H277" s="28" cm="1">
        <f t="array" ref="H277">TrajectoryToComeUp(H$247:H$250,$A277)</f>
        <v>-0.13591299711632721</v>
      </c>
      <c r="I277" s="2" cm="1">
        <f t="array" ref="I277">EvaluatePolynomial(I$247:I$250,$A277)</f>
        <v>524.39401993273998</v>
      </c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tabSelected="1" workbookViewId="0">
      <selection activeCell="AW43" sqref="AW4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Rem Premier AccuTip-V PHP</vt:lpstr>
      <vt:lpstr>Federal Fusion Rifle SP</vt:lpstr>
      <vt:lpstr>Rem Core-Lokt Copper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2024-08-19T21:55:15Z</dcterms:modified>
</cp:coreProperties>
</file>