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WOTH-Ballistics-Data\templates\"/>
    </mc:Choice>
  </mc:AlternateContent>
  <xr:revisionPtr revIDLastSave="0" documentId="13_ncr:1_{D5041D76-10B2-4409-8B2B-FB654803C133}" xr6:coauthVersionLast="47" xr6:coauthVersionMax="47" xr10:uidLastSave="{00000000-0000-0000-0000-000000000000}"/>
  <bookViews>
    <workbookView xWindow="3855" yWindow="3855" windowWidth="20505" windowHeight="15885" firstSheet="2" activeTab="5" xr2:uid="{2F0FA23F-61CC-43E6-AF0F-86720E5DCFA1}"/>
  </bookViews>
  <sheets>
    <sheet name="Constants" sheetId="28" r:id="rId1"/>
    <sheet name="Ammunition Data" sheetId="30" r:id="rId2"/>
    <sheet name="RiflescopeData" sheetId="29" r:id="rId3"/>
    <sheet name="RifleLoadouts" sheetId="32" r:id="rId4"/>
    <sheet name="SpeciesEnergyTable" sheetId="33" r:id="rId5"/>
    <sheet name="Ballistics Data" sheetId="13" r:id="rId6"/>
    <sheet name="Point Blank Range Table" sheetId="19" r:id="rId7"/>
    <sheet name="Effective Range Table" sheetId="20" r:id="rId8"/>
  </sheets>
  <functionGroups builtInGroupCount="19"/>
  <definedNames>
    <definedName name="_xleta.CONVERT" hidden="1" xlm="1">#NAME?</definedName>
    <definedName name="AngularUnits">UnitsDefinitions[Angular]</definedName>
    <definedName name="Chamberings">CartridgeNames[Available Chamberings]</definedName>
    <definedName name="EnergyUnits">UnitsDefinitions[Energy]</definedName>
    <definedName name="ExternalData_1" localSheetId="0" hidden="1">Constants!$A$1:$B$10</definedName>
    <definedName name="ExternalData_1" localSheetId="3" hidden="1">RifleLoadouts!$A$1:$P$3</definedName>
    <definedName name="ExternalData_1" localSheetId="2" hidden="1">'RiflescopeData'!$A$1:$N$4</definedName>
    <definedName name="ExternalData_1" localSheetId="4" hidden="1">SpeciesEnergyTable!$A$1:$O$58</definedName>
    <definedName name="ExternalData_10" localSheetId="1" hidden="1">'Ammunition Data'!$E$72:$AC$75</definedName>
    <definedName name="ExternalData_10" localSheetId="3" hidden="1">RifleLoadouts!$A$41:$P$42</definedName>
    <definedName name="ExternalData_11" localSheetId="1" hidden="1">'Ammunition Data'!$E$78:$AC$80</definedName>
    <definedName name="ExternalData_11" localSheetId="3" hidden="1">RifleLoadouts!$A$45:$P$46</definedName>
    <definedName name="ExternalData_12" localSheetId="1" hidden="1">'Ammunition Data'!$E$83:$AC$89</definedName>
    <definedName name="ExternalData_12" localSheetId="3" hidden="1">RifleLoadouts!$A$49:$P$51</definedName>
    <definedName name="ExternalData_13" localSheetId="1" hidden="1">'Ammunition Data'!$E$92:$AC$98</definedName>
    <definedName name="ExternalData_13" localSheetId="3" hidden="1">RifleLoadouts!#REF!</definedName>
    <definedName name="ExternalData_14" localSheetId="1" hidden="1">'Ammunition Data'!$E$101:$AC$107</definedName>
    <definedName name="ExternalData_14" localSheetId="3" hidden="1">RifleLoadouts!$A$63:$P$65</definedName>
    <definedName name="ExternalData_15" localSheetId="1" hidden="1">'Ammunition Data'!$E$110:$AC$116</definedName>
    <definedName name="ExternalData_15" localSheetId="3" hidden="1">RifleLoadouts!$A$68:$P$69</definedName>
    <definedName name="ExternalData_16" localSheetId="1" hidden="1">'Ammunition Data'!$E$119:$AC$124</definedName>
    <definedName name="ExternalData_2" localSheetId="1" hidden="1">'Ammunition Data'!$A$1:$Y$7</definedName>
    <definedName name="ExternalData_2" localSheetId="0" hidden="1">Constants!$D$1:$H$11</definedName>
    <definedName name="ExternalData_2" localSheetId="3" hidden="1">RifleLoadouts!$A$6:$P$8</definedName>
    <definedName name="ExternalData_3" localSheetId="1" hidden="1">'Ammunition Data'!$E$10:$AC$16</definedName>
    <definedName name="ExternalData_3" localSheetId="0" hidden="1">Constants!$J$1:$J$3</definedName>
    <definedName name="ExternalData_3" localSheetId="3" hidden="1">RifleLoadouts!$A$11:$P$13</definedName>
    <definedName name="ExternalData_4" localSheetId="1" hidden="1">'Ammunition Data'!$E$18:$AC$24</definedName>
    <definedName name="ExternalData_4" localSheetId="0" hidden="1">Constants!$L$1:$P$16</definedName>
    <definedName name="ExternalData_4" localSheetId="3" hidden="1">RifleLoadouts!$A$16:$P$18</definedName>
    <definedName name="ExternalData_5" localSheetId="1" hidden="1">'Ammunition Data'!$E$27:$AC$33</definedName>
    <definedName name="ExternalData_5" localSheetId="0" hidden="1">Constants!$R$1:$S$16</definedName>
    <definedName name="ExternalData_5" localSheetId="3" hidden="1">RifleLoadouts!$A$20:$P$22</definedName>
    <definedName name="ExternalData_6" localSheetId="1" hidden="1">'Ammunition Data'!$E$36:$AC$42</definedName>
    <definedName name="ExternalData_6" localSheetId="3" hidden="1">RifleLoadouts!$A$24:$P$26</definedName>
    <definedName name="ExternalData_7" localSheetId="1" hidden="1">'Ammunition Data'!$E$45:$AC$51</definedName>
    <definedName name="ExternalData_7" localSheetId="3" hidden="1">RifleLoadouts!$A$29:$P$30</definedName>
    <definedName name="ExternalData_8" localSheetId="1" hidden="1">'Ammunition Data'!$E$54:$AC$60</definedName>
    <definedName name="ExternalData_8" localSheetId="3" hidden="1">RifleLoadouts!$A$33:$P$35</definedName>
    <definedName name="ExternalData_9" localSheetId="1" hidden="1">'Ammunition Data'!$E$63:$AC$69</definedName>
    <definedName name="ExternalData_9" localSheetId="3" hidden="1">RifleLoadouts!$A$37:$P$39</definedName>
    <definedName name="LengthUnits">UnitsDefinitions[Length]</definedName>
    <definedName name="RiflescopeNames">RiflescopeData[Name]</definedName>
    <definedName name="Species_Energy_Tables" localSheetId="7" hidden="1">'Effective Range Table'!#REF!</definedName>
    <definedName name="SpeciesTiers">Tiers[Species]</definedName>
    <definedName name="Specifications">SpecificationTypes[Specification Types]</definedName>
    <definedName name="VelocityUnits">UnitsDefinitions[Velocity]</definedName>
    <definedName name="WeaponsTiers">Tiers[Firearm]</definedName>
    <definedName name="WeightUnits">UnitsDefinitions[Mass Weight]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13" l="1"/>
  <c r="I11" i="13"/>
  <c r="I10" i="13"/>
  <c r="I9" i="13"/>
  <c r="I8" i="13"/>
  <c r="I7" i="13"/>
  <c r="I6" i="13"/>
  <c r="I5" i="13"/>
  <c r="I4" i="13"/>
  <c r="C228" i="13"/>
  <c r="C182" i="13"/>
  <c r="G171" i="13" a="1"/>
  <c r="G171" i="13" s="1"/>
  <c r="F171" i="13" a="1"/>
  <c r="F171" i="13" s="1"/>
  <c r="AB170" i="13" a="1"/>
  <c r="AB170" i="13" s="1"/>
  <c r="AA170" i="13" a="1"/>
  <c r="AA170" i="13" s="1"/>
  <c r="Z170" i="13" a="1"/>
  <c r="Z170" i="13" s="1"/>
  <c r="Y170" i="13" a="1"/>
  <c r="Y170" i="13" s="1"/>
  <c r="X170" i="13" a="1"/>
  <c r="X170" i="13" s="1"/>
  <c r="W170" i="13" a="1"/>
  <c r="W170" i="13" s="1"/>
  <c r="V170" i="13" a="1"/>
  <c r="V170" i="13" s="1"/>
  <c r="U170" i="13" a="1"/>
  <c r="U170" i="13" s="1"/>
  <c r="T170" i="13" a="1"/>
  <c r="T170" i="13" s="1"/>
  <c r="S170" i="13" a="1"/>
  <c r="S170" i="13" s="1"/>
  <c r="R170" i="13" a="1"/>
  <c r="R170" i="13" s="1"/>
  <c r="Q170" i="13" a="1"/>
  <c r="Q170" i="13" s="1"/>
  <c r="P170" i="13" a="1"/>
  <c r="P170" i="13" s="1"/>
  <c r="O170" i="13" a="1"/>
  <c r="O170" i="13" s="1"/>
  <c r="N170" i="13" a="1"/>
  <c r="N170" i="13" s="1"/>
  <c r="M170" i="13" a="1"/>
  <c r="M170" i="13" s="1"/>
  <c r="L170" i="13" a="1"/>
  <c r="L170" i="13" s="1"/>
  <c r="K170" i="13" a="1"/>
  <c r="K170" i="13" s="1"/>
  <c r="J170" i="13" a="1"/>
  <c r="J170" i="13" s="1"/>
  <c r="I170" i="13" a="1"/>
  <c r="I170" i="13" s="1"/>
  <c r="H170" i="13" a="1"/>
  <c r="H170" i="13" s="1"/>
  <c r="G170" i="13" a="1"/>
  <c r="G170" i="13" s="1"/>
  <c r="F170" i="13" a="1"/>
  <c r="F170" i="13" s="1"/>
  <c r="E170" i="13" a="1"/>
  <c r="E170" i="13" s="1"/>
  <c r="D170" i="13" a="1"/>
  <c r="D170" i="13" s="1"/>
  <c r="C170" i="13" a="1"/>
  <c r="C170" i="13" s="1"/>
  <c r="B170" i="13" a="1"/>
  <c r="B170" i="13" s="1"/>
  <c r="AB169" i="13" a="1"/>
  <c r="AB169" i="13" s="1"/>
  <c r="AA169" i="13" a="1"/>
  <c r="AA169" i="13" s="1"/>
  <c r="Z169" i="13" a="1"/>
  <c r="Z169" i="13" s="1"/>
  <c r="Y169" i="13" a="1"/>
  <c r="Y169" i="13" s="1"/>
  <c r="X169" i="13" a="1"/>
  <c r="X169" i="13" s="1"/>
  <c r="W169" i="13" a="1"/>
  <c r="W169" i="13" s="1"/>
  <c r="V169" i="13" a="1"/>
  <c r="V169" i="13" s="1"/>
  <c r="U169" i="13" a="1"/>
  <c r="U169" i="13" s="1"/>
  <c r="T169" i="13" a="1"/>
  <c r="T169" i="13" s="1"/>
  <c r="S169" i="13" a="1"/>
  <c r="S169" i="13" s="1"/>
  <c r="R169" i="13" a="1"/>
  <c r="R169" i="13" s="1"/>
  <c r="Q169" i="13" a="1"/>
  <c r="Q169" i="13" s="1"/>
  <c r="P169" i="13" a="1"/>
  <c r="P169" i="13" s="1"/>
  <c r="O169" i="13" a="1"/>
  <c r="O169" i="13" s="1"/>
  <c r="N169" i="13" a="1"/>
  <c r="N169" i="13" s="1"/>
  <c r="M169" i="13" a="1"/>
  <c r="M169" i="13" s="1"/>
  <c r="L169" i="13" a="1"/>
  <c r="L169" i="13" s="1"/>
  <c r="K169" i="13" a="1"/>
  <c r="K169" i="13" s="1"/>
  <c r="J169" i="13" a="1"/>
  <c r="J169" i="13" s="1"/>
  <c r="I169" i="13" a="1"/>
  <c r="I169" i="13" s="1"/>
  <c r="H169" i="13" a="1"/>
  <c r="H169" i="13" s="1"/>
  <c r="G169" i="13" a="1"/>
  <c r="G169" i="13" s="1"/>
  <c r="F169" i="13" a="1"/>
  <c r="F169" i="13" s="1"/>
  <c r="E169" i="13" a="1"/>
  <c r="E169" i="13" s="1"/>
  <c r="D169" i="13" a="1"/>
  <c r="D169" i="13" s="1"/>
  <c r="C169" i="13" a="1"/>
  <c r="C169" i="13" s="1"/>
  <c r="B169" i="13" a="1"/>
  <c r="B169" i="13" s="1"/>
  <c r="AB168" i="13" a="1"/>
  <c r="AB168" i="13" s="1"/>
  <c r="AA168" i="13" a="1"/>
  <c r="AA168" i="13" s="1"/>
  <c r="Z168" i="13" a="1"/>
  <c r="Z168" i="13" s="1"/>
  <c r="Y168" i="13" a="1"/>
  <c r="Y168" i="13" s="1"/>
  <c r="X168" i="13" a="1"/>
  <c r="X168" i="13" s="1"/>
  <c r="W168" i="13" a="1"/>
  <c r="W168" i="13" s="1"/>
  <c r="V168" i="13" a="1"/>
  <c r="V168" i="13" s="1"/>
  <c r="U168" i="13" a="1"/>
  <c r="U168" i="13" s="1"/>
  <c r="T168" i="13" a="1"/>
  <c r="T168" i="13" s="1"/>
  <c r="S168" i="13" a="1"/>
  <c r="S168" i="13" s="1"/>
  <c r="R168" i="13" a="1"/>
  <c r="R168" i="13" s="1"/>
  <c r="Q168" i="13" a="1"/>
  <c r="Q168" i="13" s="1"/>
  <c r="P168" i="13" a="1"/>
  <c r="P168" i="13" s="1"/>
  <c r="O168" i="13" a="1"/>
  <c r="O168" i="13" s="1"/>
  <c r="N168" i="13" a="1"/>
  <c r="N168" i="13" s="1"/>
  <c r="M168" i="13" a="1"/>
  <c r="M168" i="13" s="1"/>
  <c r="L168" i="13" a="1"/>
  <c r="L168" i="13" s="1"/>
  <c r="K168" i="13" a="1"/>
  <c r="K168" i="13" s="1"/>
  <c r="J168" i="13" a="1"/>
  <c r="J168" i="13" s="1"/>
  <c r="I168" i="13" a="1"/>
  <c r="I168" i="13" s="1"/>
  <c r="H168" i="13" a="1"/>
  <c r="H168" i="13" s="1"/>
  <c r="G168" i="13" a="1"/>
  <c r="G168" i="13" s="1"/>
  <c r="F168" i="13" a="1"/>
  <c r="F168" i="13" s="1"/>
  <c r="E168" i="13" a="1"/>
  <c r="E168" i="13" s="1"/>
  <c r="D168" i="13" a="1"/>
  <c r="D168" i="13" s="1"/>
  <c r="C168" i="13" a="1"/>
  <c r="C168" i="13" s="1"/>
  <c r="B168" i="13" a="1"/>
  <c r="B168" i="13" s="1"/>
  <c r="AB167" i="13" a="1"/>
  <c r="AB167" i="13" s="1"/>
  <c r="AA167" i="13" a="1"/>
  <c r="AA167" i="13" s="1"/>
  <c r="Z167" i="13" a="1"/>
  <c r="Z167" i="13" s="1"/>
  <c r="Y167" i="13" a="1"/>
  <c r="Y167" i="13" s="1"/>
  <c r="X167" i="13" a="1"/>
  <c r="X167" i="13" s="1"/>
  <c r="W167" i="13" a="1"/>
  <c r="W167" i="13" s="1"/>
  <c r="V167" i="13" a="1"/>
  <c r="V167" i="13" s="1"/>
  <c r="U167" i="13" a="1"/>
  <c r="U167" i="13" s="1"/>
  <c r="T167" i="13" a="1"/>
  <c r="T167" i="13" s="1"/>
  <c r="S167" i="13" a="1"/>
  <c r="S167" i="13" s="1"/>
  <c r="R167" i="13" a="1"/>
  <c r="R167" i="13" s="1"/>
  <c r="Q167" i="13" a="1"/>
  <c r="Q167" i="13" s="1"/>
  <c r="P167" i="13" a="1"/>
  <c r="P167" i="13" s="1"/>
  <c r="O167" i="13" a="1"/>
  <c r="O167" i="13" s="1"/>
  <c r="N167" i="13" a="1"/>
  <c r="N167" i="13" s="1"/>
  <c r="M167" i="13" a="1"/>
  <c r="M167" i="13" s="1"/>
  <c r="L167" i="13" a="1"/>
  <c r="L167" i="13" s="1"/>
  <c r="K167" i="13" a="1"/>
  <c r="K167" i="13" s="1"/>
  <c r="J167" i="13" a="1"/>
  <c r="J167" i="13" s="1"/>
  <c r="I167" i="13" a="1"/>
  <c r="I167" i="13" s="1"/>
  <c r="H167" i="13" a="1"/>
  <c r="H167" i="13" s="1"/>
  <c r="G167" i="13" a="1"/>
  <c r="G167" i="13" s="1"/>
  <c r="F167" i="13" a="1"/>
  <c r="F167" i="13" s="1"/>
  <c r="E167" i="13" a="1"/>
  <c r="E167" i="13" s="1"/>
  <c r="D167" i="13" a="1"/>
  <c r="D167" i="13" s="1"/>
  <c r="C167" i="13" a="1"/>
  <c r="C167" i="13" s="1"/>
  <c r="B167" i="13" a="1"/>
  <c r="B167" i="13" s="1"/>
  <c r="AB166" i="13" a="1"/>
  <c r="AB166" i="13" s="1"/>
  <c r="AA166" i="13" a="1"/>
  <c r="AA166" i="13" s="1"/>
  <c r="Z166" i="13" a="1"/>
  <c r="Z166" i="13" s="1"/>
  <c r="Y166" i="13" a="1"/>
  <c r="Y166" i="13" s="1"/>
  <c r="X166" i="13" a="1"/>
  <c r="X166" i="13" s="1"/>
  <c r="W166" i="13" a="1"/>
  <c r="W166" i="13" s="1"/>
  <c r="V166" i="13" a="1"/>
  <c r="V166" i="13" s="1"/>
  <c r="U166" i="13" a="1"/>
  <c r="U166" i="13" s="1"/>
  <c r="T166" i="13" a="1"/>
  <c r="T166" i="13" s="1"/>
  <c r="S166" i="13" a="1"/>
  <c r="S166" i="13" s="1"/>
  <c r="R166" i="13" a="1"/>
  <c r="R166" i="13" s="1"/>
  <c r="Q166" i="13" a="1"/>
  <c r="Q166" i="13" s="1"/>
  <c r="P166" i="13" a="1"/>
  <c r="P166" i="13" s="1"/>
  <c r="O166" i="13" a="1"/>
  <c r="O166" i="13" s="1"/>
  <c r="N166" i="13" a="1"/>
  <c r="N166" i="13" s="1"/>
  <c r="M166" i="13" a="1"/>
  <c r="M166" i="13" s="1"/>
  <c r="L166" i="13" a="1"/>
  <c r="L166" i="13" s="1"/>
  <c r="K166" i="13" a="1"/>
  <c r="K166" i="13" s="1"/>
  <c r="J166" i="13" a="1"/>
  <c r="J166" i="13" s="1"/>
  <c r="I166" i="13" a="1"/>
  <c r="I166" i="13" s="1"/>
  <c r="H166" i="13" a="1"/>
  <c r="H166" i="13" s="1"/>
  <c r="G166" i="13" a="1"/>
  <c r="G166" i="13" s="1"/>
  <c r="F166" i="13" a="1"/>
  <c r="F166" i="13" s="1"/>
  <c r="E166" i="13" a="1"/>
  <c r="E166" i="13" s="1"/>
  <c r="D166" i="13" a="1"/>
  <c r="D166" i="13" s="1"/>
  <c r="C166" i="13" a="1"/>
  <c r="C166" i="13" s="1"/>
  <c r="B166" i="13" a="1"/>
  <c r="B166" i="13" s="1"/>
  <c r="AB165" i="13" a="1"/>
  <c r="AB165" i="13" s="1"/>
  <c r="AA165" i="13" a="1"/>
  <c r="AA165" i="13" s="1"/>
  <c r="Z165" i="13" a="1"/>
  <c r="Z165" i="13" s="1"/>
  <c r="Y165" i="13" a="1"/>
  <c r="Y165" i="13" s="1"/>
  <c r="X165" i="13" a="1"/>
  <c r="X165" i="13" s="1"/>
  <c r="W165" i="13" a="1"/>
  <c r="W165" i="13" s="1"/>
  <c r="V165" i="13" a="1"/>
  <c r="V165" i="13" s="1"/>
  <c r="U165" i="13" a="1"/>
  <c r="U165" i="13" s="1"/>
  <c r="T165" i="13" a="1"/>
  <c r="T165" i="13" s="1"/>
  <c r="S165" i="13" a="1"/>
  <c r="S165" i="13" s="1"/>
  <c r="R165" i="13" a="1"/>
  <c r="R165" i="13" s="1"/>
  <c r="Q165" i="13" a="1"/>
  <c r="Q165" i="13" s="1"/>
  <c r="P165" i="13" a="1"/>
  <c r="P165" i="13" s="1"/>
  <c r="O165" i="13" a="1"/>
  <c r="O165" i="13" s="1"/>
  <c r="N165" i="13" a="1"/>
  <c r="N165" i="13" s="1"/>
  <c r="M165" i="13" a="1"/>
  <c r="M165" i="13" s="1"/>
  <c r="L165" i="13" a="1"/>
  <c r="L165" i="13" s="1"/>
  <c r="K165" i="13" a="1"/>
  <c r="K165" i="13" s="1"/>
  <c r="J165" i="13" a="1"/>
  <c r="J165" i="13" s="1"/>
  <c r="I165" i="13" a="1"/>
  <c r="I165" i="13" s="1"/>
  <c r="H165" i="13" a="1"/>
  <c r="H165" i="13" s="1"/>
  <c r="G165" i="13" a="1"/>
  <c r="G165" i="13" s="1"/>
  <c r="F165" i="13" a="1"/>
  <c r="F165" i="13" s="1"/>
  <c r="E165" i="13" a="1"/>
  <c r="E165" i="13" s="1"/>
  <c r="D165" i="13" a="1"/>
  <c r="D165" i="13" s="1"/>
  <c r="C165" i="13" a="1"/>
  <c r="C165" i="13" s="1"/>
  <c r="B165" i="13" a="1"/>
  <c r="B165" i="13" s="1"/>
  <c r="AB164" i="13" a="1"/>
  <c r="AB164" i="13" s="1"/>
  <c r="AA164" i="13" a="1"/>
  <c r="AA164" i="13" s="1"/>
  <c r="Z164" i="13" a="1"/>
  <c r="Z164" i="13" s="1"/>
  <c r="Y164" i="13" a="1"/>
  <c r="Y164" i="13" s="1"/>
  <c r="X164" i="13" a="1"/>
  <c r="X164" i="13" s="1"/>
  <c r="W164" i="13" a="1"/>
  <c r="W164" i="13" s="1"/>
  <c r="V164" i="13" a="1"/>
  <c r="V164" i="13" s="1"/>
  <c r="U164" i="13" a="1"/>
  <c r="U164" i="13" s="1"/>
  <c r="T164" i="13" a="1"/>
  <c r="T164" i="13" s="1"/>
  <c r="S164" i="13" a="1"/>
  <c r="S164" i="13" s="1"/>
  <c r="R164" i="13" a="1"/>
  <c r="R164" i="13" s="1"/>
  <c r="Q164" i="13" a="1"/>
  <c r="Q164" i="13" s="1"/>
  <c r="P164" i="13" a="1"/>
  <c r="P164" i="13" s="1"/>
  <c r="O164" i="13" a="1"/>
  <c r="O164" i="13" s="1"/>
  <c r="N164" i="13" a="1"/>
  <c r="N164" i="13" s="1"/>
  <c r="M164" i="13" a="1"/>
  <c r="M164" i="13" s="1"/>
  <c r="L164" i="13" a="1"/>
  <c r="L164" i="13" s="1"/>
  <c r="K164" i="13" a="1"/>
  <c r="K164" i="13" s="1"/>
  <c r="J164" i="13" a="1"/>
  <c r="J164" i="13" s="1"/>
  <c r="I164" i="13" a="1"/>
  <c r="I164" i="13" s="1"/>
  <c r="H164" i="13" a="1"/>
  <c r="H164" i="13" s="1"/>
  <c r="G164" i="13" a="1"/>
  <c r="G164" i="13" s="1"/>
  <c r="F164" i="13" a="1"/>
  <c r="F164" i="13" s="1"/>
  <c r="E164" i="13" a="1"/>
  <c r="E164" i="13" s="1"/>
  <c r="D164" i="13" a="1"/>
  <c r="D164" i="13" s="1"/>
  <c r="C164" i="13" a="1"/>
  <c r="C164" i="13" s="1"/>
  <c r="B164" i="13" a="1"/>
  <c r="B164" i="13" s="1"/>
  <c r="AB163" i="13" a="1"/>
  <c r="AB163" i="13" s="1"/>
  <c r="AA163" i="13" a="1"/>
  <c r="AA163" i="13" s="1"/>
  <c r="Z163" i="13" a="1"/>
  <c r="Z163" i="13" s="1"/>
  <c r="Y163" i="13" a="1"/>
  <c r="Y163" i="13" s="1"/>
  <c r="X163" i="13" a="1"/>
  <c r="X163" i="13" s="1"/>
  <c r="W163" i="13" a="1"/>
  <c r="W163" i="13" s="1"/>
  <c r="V163" i="13" a="1"/>
  <c r="V163" i="13" s="1"/>
  <c r="U163" i="13" a="1"/>
  <c r="U163" i="13" s="1"/>
  <c r="T163" i="13" a="1"/>
  <c r="T163" i="13" s="1"/>
  <c r="S163" i="13" a="1"/>
  <c r="S163" i="13" s="1"/>
  <c r="R163" i="13" a="1"/>
  <c r="R163" i="13" s="1"/>
  <c r="Q163" i="13" a="1"/>
  <c r="Q163" i="13" s="1"/>
  <c r="P163" i="13" a="1"/>
  <c r="P163" i="13" s="1"/>
  <c r="O163" i="13" a="1"/>
  <c r="O163" i="13" s="1"/>
  <c r="N163" i="13" a="1"/>
  <c r="N163" i="13" s="1"/>
  <c r="M163" i="13" a="1"/>
  <c r="M163" i="13" s="1"/>
  <c r="L163" i="13" a="1"/>
  <c r="L163" i="13" s="1"/>
  <c r="K163" i="13" a="1"/>
  <c r="K163" i="13" s="1"/>
  <c r="J163" i="13" a="1"/>
  <c r="J163" i="13" s="1"/>
  <c r="I163" i="13" a="1"/>
  <c r="I163" i="13" s="1"/>
  <c r="H163" i="13" a="1"/>
  <c r="H163" i="13" s="1"/>
  <c r="G163" i="13" a="1"/>
  <c r="G163" i="13" s="1"/>
  <c r="F163" i="13" a="1"/>
  <c r="F163" i="13" s="1"/>
  <c r="E163" i="13" a="1"/>
  <c r="E163" i="13" s="1"/>
  <c r="D163" i="13" a="1"/>
  <c r="D163" i="13" s="1"/>
  <c r="C163" i="13" a="1"/>
  <c r="C163" i="13" s="1"/>
  <c r="B163" i="13" a="1"/>
  <c r="B163" i="13" s="1"/>
  <c r="AB162" i="13" a="1"/>
  <c r="AB162" i="13" s="1"/>
  <c r="AA162" i="13" a="1"/>
  <c r="AA162" i="13" s="1"/>
  <c r="Z162" i="13" a="1"/>
  <c r="Z162" i="13" s="1"/>
  <c r="Y162" i="13" a="1"/>
  <c r="Y162" i="13" s="1"/>
  <c r="X162" i="13" a="1"/>
  <c r="X162" i="13" s="1"/>
  <c r="W162" i="13" a="1"/>
  <c r="W162" i="13" s="1"/>
  <c r="V162" i="13" a="1"/>
  <c r="V162" i="13" s="1"/>
  <c r="U162" i="13" a="1"/>
  <c r="U162" i="13" s="1"/>
  <c r="T162" i="13" a="1"/>
  <c r="T162" i="13" s="1"/>
  <c r="S162" i="13" a="1"/>
  <c r="S162" i="13" s="1"/>
  <c r="R162" i="13" a="1"/>
  <c r="R162" i="13" s="1"/>
  <c r="Q162" i="13" a="1"/>
  <c r="Q162" i="13" s="1"/>
  <c r="P162" i="13" a="1"/>
  <c r="P162" i="13" s="1"/>
  <c r="O162" i="13" a="1"/>
  <c r="O162" i="13" s="1"/>
  <c r="N162" i="13" a="1"/>
  <c r="N162" i="13" s="1"/>
  <c r="M162" i="13" a="1"/>
  <c r="M162" i="13" s="1"/>
  <c r="L162" i="13" a="1"/>
  <c r="L162" i="13" s="1"/>
  <c r="K162" i="13" a="1"/>
  <c r="K162" i="13" s="1"/>
  <c r="J162" i="13" a="1"/>
  <c r="J162" i="13" s="1"/>
  <c r="I162" i="13" a="1"/>
  <c r="I162" i="13" s="1"/>
  <c r="H162" i="13" a="1"/>
  <c r="H162" i="13" s="1"/>
  <c r="G162" i="13" a="1"/>
  <c r="G162" i="13" s="1"/>
  <c r="F162" i="13" a="1"/>
  <c r="F162" i="13" s="1"/>
  <c r="E162" i="13" a="1"/>
  <c r="E162" i="13" s="1"/>
  <c r="D162" i="13" a="1"/>
  <c r="D162" i="13" s="1"/>
  <c r="C162" i="13" a="1"/>
  <c r="C162" i="13" s="1"/>
  <c r="B162" i="13" a="1"/>
  <c r="B162" i="13" s="1"/>
  <c r="AB161" i="13" a="1"/>
  <c r="AB161" i="13" s="1"/>
  <c r="AA161" i="13" a="1"/>
  <c r="AA161" i="13" s="1"/>
  <c r="Z161" i="13" a="1"/>
  <c r="Z161" i="13" s="1"/>
  <c r="Y161" i="13" a="1"/>
  <c r="Y161" i="13" s="1"/>
  <c r="X161" i="13" a="1"/>
  <c r="X161" i="13" s="1"/>
  <c r="W161" i="13" a="1"/>
  <c r="W161" i="13" s="1"/>
  <c r="V161" i="13" a="1"/>
  <c r="V161" i="13" s="1"/>
  <c r="U161" i="13" a="1"/>
  <c r="U161" i="13" s="1"/>
  <c r="T161" i="13" a="1"/>
  <c r="T161" i="13" s="1"/>
  <c r="S161" i="13" a="1"/>
  <c r="S161" i="13" s="1"/>
  <c r="R161" i="13" a="1"/>
  <c r="R161" i="13" s="1"/>
  <c r="Q161" i="13" a="1"/>
  <c r="Q161" i="13" s="1"/>
  <c r="P161" i="13" a="1"/>
  <c r="P161" i="13" s="1"/>
  <c r="O161" i="13" a="1"/>
  <c r="O161" i="13" s="1"/>
  <c r="N161" i="13" a="1"/>
  <c r="N161" i="13" s="1"/>
  <c r="M161" i="13" a="1"/>
  <c r="M161" i="13" s="1"/>
  <c r="L161" i="13" a="1"/>
  <c r="L161" i="13" s="1"/>
  <c r="K161" i="13" a="1"/>
  <c r="K161" i="13" s="1"/>
  <c r="J161" i="13" a="1"/>
  <c r="J161" i="13" s="1"/>
  <c r="I161" i="13" a="1"/>
  <c r="I161" i="13" s="1"/>
  <c r="H161" i="13" a="1"/>
  <c r="H161" i="13" s="1"/>
  <c r="G161" i="13" a="1"/>
  <c r="G161" i="13" s="1"/>
  <c r="F161" i="13" a="1"/>
  <c r="F161" i="13" s="1"/>
  <c r="E161" i="13" a="1"/>
  <c r="E161" i="13" s="1"/>
  <c r="D161" i="13" a="1"/>
  <c r="D161" i="13" s="1"/>
  <c r="C161" i="13" a="1"/>
  <c r="C161" i="13" s="1"/>
  <c r="B161" i="13" a="1"/>
  <c r="B161" i="13" s="1"/>
  <c r="AB160" i="13" a="1"/>
  <c r="AB160" i="13" s="1"/>
  <c r="AA160" i="13" a="1"/>
  <c r="AA160" i="13" s="1"/>
  <c r="Z160" i="13" a="1"/>
  <c r="Z160" i="13" s="1"/>
  <c r="Y160" i="13" a="1"/>
  <c r="Y160" i="13" s="1"/>
  <c r="X160" i="13" a="1"/>
  <c r="X160" i="13" s="1"/>
  <c r="W160" i="13" a="1"/>
  <c r="W160" i="13" s="1"/>
  <c r="V160" i="13" a="1"/>
  <c r="V160" i="13" s="1"/>
  <c r="U160" i="13" a="1"/>
  <c r="U160" i="13" s="1"/>
  <c r="T160" i="13" a="1"/>
  <c r="T160" i="13" s="1"/>
  <c r="S160" i="13" a="1"/>
  <c r="S160" i="13" s="1"/>
  <c r="R160" i="13" a="1"/>
  <c r="R160" i="13" s="1"/>
  <c r="Q160" i="13" a="1"/>
  <c r="Q160" i="13" s="1"/>
  <c r="P160" i="13" a="1"/>
  <c r="P160" i="13" s="1"/>
  <c r="O160" i="13" a="1"/>
  <c r="O160" i="13" s="1"/>
  <c r="N160" i="13" a="1"/>
  <c r="N160" i="13" s="1"/>
  <c r="M160" i="13" a="1"/>
  <c r="M160" i="13" s="1"/>
  <c r="L160" i="13" a="1"/>
  <c r="L160" i="13" s="1"/>
  <c r="K160" i="13" a="1"/>
  <c r="K160" i="13" s="1"/>
  <c r="J160" i="13" a="1"/>
  <c r="J160" i="13" s="1"/>
  <c r="I160" i="13" a="1"/>
  <c r="I160" i="13" s="1"/>
  <c r="H160" i="13" a="1"/>
  <c r="H160" i="13" s="1"/>
  <c r="G160" i="13" a="1"/>
  <c r="G160" i="13" s="1"/>
  <c r="F160" i="13" a="1"/>
  <c r="F160" i="13" s="1"/>
  <c r="E160" i="13" a="1"/>
  <c r="E160" i="13" s="1"/>
  <c r="D160" i="13" a="1"/>
  <c r="D160" i="13" s="1"/>
  <c r="C160" i="13" a="1"/>
  <c r="C160" i="13" s="1"/>
  <c r="B160" i="13" a="1"/>
  <c r="B160" i="13" s="1"/>
  <c r="AB159" i="13" a="1"/>
  <c r="AB159" i="13" s="1"/>
  <c r="AA159" i="13" a="1"/>
  <c r="AA159" i="13" s="1"/>
  <c r="Z159" i="13" a="1"/>
  <c r="Z159" i="13" s="1"/>
  <c r="Y159" i="13" a="1"/>
  <c r="Y159" i="13" s="1"/>
  <c r="X159" i="13" a="1"/>
  <c r="X159" i="13" s="1"/>
  <c r="W159" i="13" a="1"/>
  <c r="W159" i="13" s="1"/>
  <c r="V159" i="13" a="1"/>
  <c r="V159" i="13" s="1"/>
  <c r="U159" i="13" a="1"/>
  <c r="U159" i="13" s="1"/>
  <c r="T159" i="13" a="1"/>
  <c r="T159" i="13" s="1"/>
  <c r="S159" i="13" a="1"/>
  <c r="S159" i="13" s="1"/>
  <c r="R159" i="13" a="1"/>
  <c r="R159" i="13" s="1"/>
  <c r="Q159" i="13" a="1"/>
  <c r="Q159" i="13" s="1"/>
  <c r="P159" i="13" a="1"/>
  <c r="P159" i="13" s="1"/>
  <c r="O159" i="13" a="1"/>
  <c r="O159" i="13" s="1"/>
  <c r="N159" i="13" a="1"/>
  <c r="N159" i="13" s="1"/>
  <c r="M159" i="13" a="1"/>
  <c r="M159" i="13" s="1"/>
  <c r="L159" i="13" a="1"/>
  <c r="L159" i="13" s="1"/>
  <c r="K159" i="13" a="1"/>
  <c r="K159" i="13" s="1"/>
  <c r="J159" i="13" a="1"/>
  <c r="J159" i="13" s="1"/>
  <c r="I159" i="13" a="1"/>
  <c r="I159" i="13" s="1"/>
  <c r="H159" i="13" a="1"/>
  <c r="H159" i="13" s="1"/>
  <c r="G159" i="13" a="1"/>
  <c r="G159" i="13" s="1"/>
  <c r="F159" i="13" a="1"/>
  <c r="F159" i="13" s="1"/>
  <c r="E159" i="13" a="1"/>
  <c r="E159" i="13" s="1"/>
  <c r="D159" i="13" a="1"/>
  <c r="D159" i="13" s="1"/>
  <c r="C159" i="13" a="1"/>
  <c r="C159" i="13" s="1"/>
  <c r="B159" i="13" a="1"/>
  <c r="B159" i="13" s="1"/>
  <c r="AB158" i="13" a="1"/>
  <c r="AB158" i="13" s="1"/>
  <c r="AA158" i="13" a="1"/>
  <c r="AA158" i="13" s="1"/>
  <c r="Z158" i="13" a="1"/>
  <c r="Z158" i="13" s="1"/>
  <c r="Y158" i="13" a="1"/>
  <c r="Y158" i="13" s="1"/>
  <c r="X158" i="13" a="1"/>
  <c r="X158" i="13" s="1"/>
  <c r="W158" i="13" a="1"/>
  <c r="W158" i="13" s="1"/>
  <c r="V158" i="13" a="1"/>
  <c r="V158" i="13" s="1"/>
  <c r="U158" i="13" a="1"/>
  <c r="U158" i="13" s="1"/>
  <c r="T158" i="13" a="1"/>
  <c r="T158" i="13" s="1"/>
  <c r="S158" i="13" a="1"/>
  <c r="S158" i="13" s="1"/>
  <c r="R158" i="13" a="1"/>
  <c r="R158" i="13" s="1"/>
  <c r="Q158" i="13" a="1"/>
  <c r="Q158" i="13" s="1"/>
  <c r="P158" i="13" a="1"/>
  <c r="P158" i="13" s="1"/>
  <c r="O158" i="13" a="1"/>
  <c r="O158" i="13" s="1"/>
  <c r="N158" i="13" a="1"/>
  <c r="N158" i="13" s="1"/>
  <c r="M158" i="13" a="1"/>
  <c r="M158" i="13" s="1"/>
  <c r="L158" i="13" a="1"/>
  <c r="L158" i="13" s="1"/>
  <c r="K158" i="13" a="1"/>
  <c r="K158" i="13" s="1"/>
  <c r="J158" i="13" a="1"/>
  <c r="J158" i="13" s="1"/>
  <c r="I158" i="13" a="1"/>
  <c r="I158" i="13" s="1"/>
  <c r="H158" i="13" a="1"/>
  <c r="H158" i="13" s="1"/>
  <c r="G158" i="13" a="1"/>
  <c r="G158" i="13" s="1"/>
  <c r="F158" i="13" a="1"/>
  <c r="F158" i="13" s="1"/>
  <c r="E158" i="13" a="1"/>
  <c r="E158" i="13" s="1"/>
  <c r="D158" i="13" a="1"/>
  <c r="D158" i="13" s="1"/>
  <c r="C158" i="13" a="1"/>
  <c r="C158" i="13" s="1"/>
  <c r="B158" i="13" a="1"/>
  <c r="B158" i="13" s="1"/>
  <c r="AB157" i="13" a="1"/>
  <c r="AB157" i="13" s="1"/>
  <c r="AA157" i="13" a="1"/>
  <c r="AA157" i="13" s="1"/>
  <c r="Z157" i="13" a="1"/>
  <c r="Z157" i="13" s="1"/>
  <c r="Y157" i="13" a="1"/>
  <c r="Y157" i="13" s="1"/>
  <c r="X157" i="13" a="1"/>
  <c r="X157" i="13" s="1"/>
  <c r="W157" i="13" a="1"/>
  <c r="W157" i="13" s="1"/>
  <c r="V157" i="13" a="1"/>
  <c r="V157" i="13" s="1"/>
  <c r="U157" i="13" a="1"/>
  <c r="U157" i="13" s="1"/>
  <c r="T157" i="13" a="1"/>
  <c r="T157" i="13" s="1"/>
  <c r="S157" i="13" a="1"/>
  <c r="S157" i="13" s="1"/>
  <c r="R157" i="13" a="1"/>
  <c r="R157" i="13" s="1"/>
  <c r="Q157" i="13" a="1"/>
  <c r="Q157" i="13" s="1"/>
  <c r="P157" i="13" a="1"/>
  <c r="P157" i="13" s="1"/>
  <c r="O157" i="13" a="1"/>
  <c r="O157" i="13" s="1"/>
  <c r="N157" i="13" a="1"/>
  <c r="N157" i="13" s="1"/>
  <c r="M157" i="13" a="1"/>
  <c r="M157" i="13" s="1"/>
  <c r="L157" i="13" a="1"/>
  <c r="L157" i="13" s="1"/>
  <c r="K157" i="13" a="1"/>
  <c r="K157" i="13" s="1"/>
  <c r="J157" i="13" a="1"/>
  <c r="J157" i="13" s="1"/>
  <c r="I157" i="13" a="1"/>
  <c r="I157" i="13" s="1"/>
  <c r="H157" i="13" a="1"/>
  <c r="H157" i="13" s="1"/>
  <c r="G157" i="13" a="1"/>
  <c r="G157" i="13" s="1"/>
  <c r="F157" i="13" a="1"/>
  <c r="F157" i="13" s="1"/>
  <c r="E157" i="13" a="1"/>
  <c r="E157" i="13" s="1"/>
  <c r="D157" i="13" a="1"/>
  <c r="D157" i="13" s="1"/>
  <c r="C157" i="13" a="1"/>
  <c r="C157" i="13" s="1"/>
  <c r="B157" i="13" a="1"/>
  <c r="B157" i="13" s="1"/>
  <c r="AB156" i="13" a="1"/>
  <c r="AB156" i="13" s="1"/>
  <c r="AA156" i="13" a="1"/>
  <c r="AA156" i="13" s="1"/>
  <c r="Z156" i="13" a="1"/>
  <c r="Z156" i="13" s="1"/>
  <c r="Y156" i="13" a="1"/>
  <c r="Y156" i="13" s="1"/>
  <c r="X156" i="13" a="1"/>
  <c r="X156" i="13" s="1"/>
  <c r="W156" i="13" a="1"/>
  <c r="W156" i="13" s="1"/>
  <c r="V156" i="13" a="1"/>
  <c r="V156" i="13" s="1"/>
  <c r="U156" i="13" a="1"/>
  <c r="U156" i="13" s="1"/>
  <c r="T156" i="13" a="1"/>
  <c r="T156" i="13" s="1"/>
  <c r="S156" i="13" a="1"/>
  <c r="S156" i="13" s="1"/>
  <c r="R156" i="13" a="1"/>
  <c r="R156" i="13" s="1"/>
  <c r="Q156" i="13" a="1"/>
  <c r="Q156" i="13" s="1"/>
  <c r="P156" i="13" a="1"/>
  <c r="P156" i="13" s="1"/>
  <c r="O156" i="13" a="1"/>
  <c r="O156" i="13" s="1"/>
  <c r="N156" i="13" a="1"/>
  <c r="N156" i="13" s="1"/>
  <c r="M156" i="13" a="1"/>
  <c r="M156" i="13" s="1"/>
  <c r="L156" i="13" a="1"/>
  <c r="L156" i="13" s="1"/>
  <c r="K156" i="13" a="1"/>
  <c r="K156" i="13" s="1"/>
  <c r="J156" i="13" a="1"/>
  <c r="J156" i="13" s="1"/>
  <c r="I156" i="13" a="1"/>
  <c r="I156" i="13" s="1"/>
  <c r="H156" i="13" a="1"/>
  <c r="H156" i="13" s="1"/>
  <c r="G156" i="13" a="1"/>
  <c r="G156" i="13" s="1"/>
  <c r="F156" i="13" a="1"/>
  <c r="F156" i="13" s="1"/>
  <c r="E156" i="13" a="1"/>
  <c r="E156" i="13" s="1"/>
  <c r="D156" i="13" a="1"/>
  <c r="D156" i="13" s="1"/>
  <c r="C156" i="13" a="1"/>
  <c r="C156" i="13" s="1"/>
  <c r="B156" i="13" a="1"/>
  <c r="B156" i="13" s="1"/>
  <c r="AB155" i="13" a="1"/>
  <c r="AB155" i="13" s="1"/>
  <c r="AA155" i="13" a="1"/>
  <c r="AA155" i="13" s="1"/>
  <c r="Z155" i="13" a="1"/>
  <c r="Z155" i="13" s="1"/>
  <c r="Y155" i="13" a="1"/>
  <c r="Y155" i="13" s="1"/>
  <c r="X155" i="13" a="1"/>
  <c r="X155" i="13" s="1"/>
  <c r="W155" i="13" a="1"/>
  <c r="W155" i="13" s="1"/>
  <c r="V155" i="13" a="1"/>
  <c r="V155" i="13" s="1"/>
  <c r="U155" i="13" a="1"/>
  <c r="U155" i="13" s="1"/>
  <c r="T155" i="13" a="1"/>
  <c r="T155" i="13" s="1"/>
  <c r="S155" i="13" a="1"/>
  <c r="S155" i="13" s="1"/>
  <c r="R155" i="13" a="1"/>
  <c r="R155" i="13" s="1"/>
  <c r="Q155" i="13" a="1"/>
  <c r="Q155" i="13" s="1"/>
  <c r="P155" i="13" a="1"/>
  <c r="P155" i="13" s="1"/>
  <c r="O155" i="13" a="1"/>
  <c r="O155" i="13" s="1"/>
  <c r="N155" i="13" a="1"/>
  <c r="N155" i="13" s="1"/>
  <c r="M155" i="13" a="1"/>
  <c r="M155" i="13" s="1"/>
  <c r="L155" i="13" a="1"/>
  <c r="L155" i="13" s="1"/>
  <c r="K155" i="13" a="1"/>
  <c r="K155" i="13" s="1"/>
  <c r="J155" i="13" a="1"/>
  <c r="J155" i="13" s="1"/>
  <c r="I155" i="13" a="1"/>
  <c r="I155" i="13" s="1"/>
  <c r="H155" i="13" a="1"/>
  <c r="H155" i="13" s="1"/>
  <c r="G155" i="13" a="1"/>
  <c r="G155" i="13" s="1"/>
  <c r="F155" i="13" a="1"/>
  <c r="F155" i="13" s="1"/>
  <c r="E155" i="13" a="1"/>
  <c r="E155" i="13" s="1"/>
  <c r="D155" i="13" a="1"/>
  <c r="D155" i="13" s="1"/>
  <c r="C155" i="13" a="1"/>
  <c r="C155" i="13" s="1"/>
  <c r="B155" i="13" a="1"/>
  <c r="B155" i="13" s="1"/>
  <c r="AB154" i="13" a="1"/>
  <c r="AB154" i="13" s="1"/>
  <c r="AA154" i="13" a="1"/>
  <c r="AA154" i="13" s="1"/>
  <c r="Z154" i="13" a="1"/>
  <c r="Z154" i="13" s="1"/>
  <c r="Y154" i="13" a="1"/>
  <c r="Y154" i="13" s="1"/>
  <c r="X154" i="13" a="1"/>
  <c r="X154" i="13" s="1"/>
  <c r="W154" i="13" a="1"/>
  <c r="W154" i="13" s="1"/>
  <c r="V154" i="13" a="1"/>
  <c r="V154" i="13" s="1"/>
  <c r="U154" i="13" a="1"/>
  <c r="U154" i="13" s="1"/>
  <c r="T154" i="13" a="1"/>
  <c r="T154" i="13" s="1"/>
  <c r="S154" i="13" a="1"/>
  <c r="S154" i="13" s="1"/>
  <c r="R154" i="13" a="1"/>
  <c r="R154" i="13" s="1"/>
  <c r="Q154" i="13" a="1"/>
  <c r="Q154" i="13" s="1"/>
  <c r="P154" i="13" a="1"/>
  <c r="P154" i="13" s="1"/>
  <c r="O154" i="13" a="1"/>
  <c r="O154" i="13" s="1"/>
  <c r="N154" i="13" a="1"/>
  <c r="N154" i="13" s="1"/>
  <c r="M154" i="13" a="1"/>
  <c r="M154" i="13" s="1"/>
  <c r="L154" i="13" a="1"/>
  <c r="L154" i="13" s="1"/>
  <c r="K154" i="13" a="1"/>
  <c r="K154" i="13" s="1"/>
  <c r="J154" i="13" a="1"/>
  <c r="J154" i="13" s="1"/>
  <c r="I154" i="13" a="1"/>
  <c r="I154" i="13" s="1"/>
  <c r="H154" i="13" a="1"/>
  <c r="H154" i="13" s="1"/>
  <c r="G154" i="13" a="1"/>
  <c r="G154" i="13" s="1"/>
  <c r="F154" i="13" a="1"/>
  <c r="F154" i="13" s="1"/>
  <c r="E154" i="13" a="1"/>
  <c r="E154" i="13" s="1"/>
  <c r="D154" i="13" a="1"/>
  <c r="D154" i="13" s="1"/>
  <c r="C154" i="13" a="1"/>
  <c r="C154" i="13" s="1"/>
  <c r="B154" i="13" a="1"/>
  <c r="B154" i="13" s="1"/>
  <c r="AB153" i="13" a="1"/>
  <c r="AB153" i="13" s="1"/>
  <c r="AA153" i="13" a="1"/>
  <c r="AA153" i="13" s="1"/>
  <c r="Z153" i="13" a="1"/>
  <c r="Z153" i="13" s="1"/>
  <c r="Y153" i="13" a="1"/>
  <c r="Y153" i="13" s="1"/>
  <c r="X153" i="13" a="1"/>
  <c r="X153" i="13" s="1"/>
  <c r="W153" i="13" a="1"/>
  <c r="W153" i="13" s="1"/>
  <c r="V153" i="13" a="1"/>
  <c r="V153" i="13" s="1"/>
  <c r="U153" i="13" a="1"/>
  <c r="U153" i="13" s="1"/>
  <c r="T153" i="13" a="1"/>
  <c r="T153" i="13" s="1"/>
  <c r="S153" i="13" a="1"/>
  <c r="S153" i="13" s="1"/>
  <c r="R153" i="13" a="1"/>
  <c r="R153" i="13" s="1"/>
  <c r="Q153" i="13" a="1"/>
  <c r="Q153" i="13" s="1"/>
  <c r="P153" i="13" a="1"/>
  <c r="P153" i="13" s="1"/>
  <c r="O153" i="13" a="1"/>
  <c r="O153" i="13" s="1"/>
  <c r="N153" i="13" a="1"/>
  <c r="N153" i="13" s="1"/>
  <c r="M153" i="13" a="1"/>
  <c r="M153" i="13" s="1"/>
  <c r="L153" i="13" a="1"/>
  <c r="L153" i="13" s="1"/>
  <c r="K153" i="13" a="1"/>
  <c r="K153" i="13" s="1"/>
  <c r="J153" i="13" a="1"/>
  <c r="J153" i="13" s="1"/>
  <c r="I153" i="13" a="1"/>
  <c r="I153" i="13" s="1"/>
  <c r="H153" i="13" a="1"/>
  <c r="H153" i="13" s="1"/>
  <c r="G153" i="13" a="1"/>
  <c r="G153" i="13" s="1"/>
  <c r="F153" i="13" a="1"/>
  <c r="F153" i="13" s="1"/>
  <c r="E153" i="13" a="1"/>
  <c r="E153" i="13" s="1"/>
  <c r="D153" i="13" a="1"/>
  <c r="D153" i="13" s="1"/>
  <c r="C153" i="13" a="1"/>
  <c r="C153" i="13" s="1"/>
  <c r="B153" i="13" a="1"/>
  <c r="B153" i="13" s="1"/>
  <c r="AB152" i="13" a="1"/>
  <c r="AB152" i="13" s="1"/>
  <c r="AA152" i="13" a="1"/>
  <c r="AA152" i="13" s="1"/>
  <c r="Z152" i="13" a="1"/>
  <c r="Z152" i="13" s="1"/>
  <c r="Y152" i="13" a="1"/>
  <c r="Y152" i="13" s="1"/>
  <c r="X152" i="13" a="1"/>
  <c r="X152" i="13" s="1"/>
  <c r="W152" i="13" a="1"/>
  <c r="W152" i="13" s="1"/>
  <c r="V152" i="13" a="1"/>
  <c r="V152" i="13" s="1"/>
  <c r="U152" i="13" a="1"/>
  <c r="U152" i="13" s="1"/>
  <c r="T152" i="13" a="1"/>
  <c r="T152" i="13" s="1"/>
  <c r="S152" i="13" a="1"/>
  <c r="S152" i="13" s="1"/>
  <c r="R152" i="13" a="1"/>
  <c r="R152" i="13" s="1"/>
  <c r="Q152" i="13" a="1"/>
  <c r="Q152" i="13" s="1"/>
  <c r="P152" i="13" a="1"/>
  <c r="P152" i="13" s="1"/>
  <c r="O152" i="13" a="1"/>
  <c r="O152" i="13" s="1"/>
  <c r="N152" i="13" a="1"/>
  <c r="N152" i="13" s="1"/>
  <c r="M152" i="13" a="1"/>
  <c r="M152" i="13" s="1"/>
  <c r="L152" i="13" a="1"/>
  <c r="L152" i="13" s="1"/>
  <c r="K152" i="13" a="1"/>
  <c r="K152" i="13" s="1"/>
  <c r="J152" i="13" a="1"/>
  <c r="J152" i="13" s="1"/>
  <c r="I152" i="13" a="1"/>
  <c r="I152" i="13" s="1"/>
  <c r="H152" i="13" a="1"/>
  <c r="H152" i="13" s="1"/>
  <c r="G152" i="13" a="1"/>
  <c r="G152" i="13" s="1"/>
  <c r="F152" i="13" a="1"/>
  <c r="F152" i="13" s="1"/>
  <c r="E152" i="13" a="1"/>
  <c r="E152" i="13" s="1"/>
  <c r="D152" i="13" a="1"/>
  <c r="D152" i="13" s="1"/>
  <c r="C152" i="13" a="1"/>
  <c r="C152" i="13" s="1"/>
  <c r="B152" i="13" a="1"/>
  <c r="B152" i="13" s="1"/>
  <c r="AB151" i="13" a="1"/>
  <c r="AB151" i="13" s="1"/>
  <c r="AA151" i="13" a="1"/>
  <c r="AA151" i="13" s="1"/>
  <c r="Z151" i="13" a="1"/>
  <c r="Z151" i="13" s="1"/>
  <c r="Y151" i="13" a="1"/>
  <c r="Y151" i="13" s="1"/>
  <c r="X151" i="13" a="1"/>
  <c r="X151" i="13" s="1"/>
  <c r="W151" i="13" a="1"/>
  <c r="W151" i="13" s="1"/>
  <c r="V151" i="13" a="1"/>
  <c r="V151" i="13" s="1"/>
  <c r="U151" i="13" a="1"/>
  <c r="U151" i="13" s="1"/>
  <c r="T151" i="13" a="1"/>
  <c r="T151" i="13" s="1"/>
  <c r="S151" i="13" a="1"/>
  <c r="S151" i="13" s="1"/>
  <c r="R151" i="13" a="1"/>
  <c r="R151" i="13" s="1"/>
  <c r="Q151" i="13" a="1"/>
  <c r="Q151" i="13" s="1"/>
  <c r="P151" i="13" a="1"/>
  <c r="P151" i="13" s="1"/>
  <c r="O151" i="13" a="1"/>
  <c r="O151" i="13" s="1"/>
  <c r="N151" i="13" a="1"/>
  <c r="N151" i="13" s="1"/>
  <c r="M151" i="13" a="1"/>
  <c r="M151" i="13" s="1"/>
  <c r="L151" i="13" a="1"/>
  <c r="L151" i="13" s="1"/>
  <c r="K151" i="13" a="1"/>
  <c r="K151" i="13" s="1"/>
  <c r="J151" i="13" a="1"/>
  <c r="J151" i="13" s="1"/>
  <c r="I151" i="13" a="1"/>
  <c r="I151" i="13" s="1"/>
  <c r="H151" i="13" a="1"/>
  <c r="H151" i="13" s="1"/>
  <c r="G151" i="13" a="1"/>
  <c r="G151" i="13" s="1"/>
  <c r="F151" i="13" a="1"/>
  <c r="F151" i="13" s="1"/>
  <c r="E151" i="13" a="1"/>
  <c r="E151" i="13" s="1"/>
  <c r="D151" i="13" a="1"/>
  <c r="D151" i="13" s="1"/>
  <c r="C151" i="13" a="1"/>
  <c r="C151" i="13" s="1"/>
  <c r="B151" i="13" a="1"/>
  <c r="B151" i="13" s="1"/>
  <c r="AB150" i="13" a="1"/>
  <c r="AB150" i="13" s="1"/>
  <c r="AA150" i="13" a="1"/>
  <c r="AA150" i="13" s="1"/>
  <c r="Z150" i="13" a="1"/>
  <c r="Z150" i="13" s="1"/>
  <c r="Y150" i="13" a="1"/>
  <c r="Y150" i="13" s="1"/>
  <c r="X150" i="13" a="1"/>
  <c r="X150" i="13" s="1"/>
  <c r="W150" i="13" a="1"/>
  <c r="W150" i="13" s="1"/>
  <c r="V150" i="13" a="1"/>
  <c r="V150" i="13" s="1"/>
  <c r="U150" i="13" a="1"/>
  <c r="U150" i="13" s="1"/>
  <c r="T150" i="13" a="1"/>
  <c r="T150" i="13" s="1"/>
  <c r="S150" i="13" a="1"/>
  <c r="S150" i="13" s="1"/>
  <c r="R150" i="13" a="1"/>
  <c r="R150" i="13" s="1"/>
  <c r="Q150" i="13" a="1"/>
  <c r="Q150" i="13" s="1"/>
  <c r="P150" i="13" a="1"/>
  <c r="P150" i="13" s="1"/>
  <c r="O150" i="13" a="1"/>
  <c r="O150" i="13" s="1"/>
  <c r="N150" i="13" a="1"/>
  <c r="N150" i="13" s="1"/>
  <c r="M150" i="13" a="1"/>
  <c r="M150" i="13" s="1"/>
  <c r="L150" i="13" a="1"/>
  <c r="L150" i="13" s="1"/>
  <c r="K150" i="13" a="1"/>
  <c r="K150" i="13" s="1"/>
  <c r="J150" i="13" a="1"/>
  <c r="J150" i="13" s="1"/>
  <c r="I150" i="13" a="1"/>
  <c r="I150" i="13" s="1"/>
  <c r="H150" i="13" a="1"/>
  <c r="H150" i="13" s="1"/>
  <c r="G150" i="13" a="1"/>
  <c r="G150" i="13" s="1"/>
  <c r="F150" i="13" a="1"/>
  <c r="F150" i="13" s="1"/>
  <c r="E150" i="13" a="1"/>
  <c r="E150" i="13" s="1"/>
  <c r="D150" i="13" a="1"/>
  <c r="D150" i="13" s="1"/>
  <c r="C150" i="13" a="1"/>
  <c r="C150" i="13" s="1"/>
  <c r="B150" i="13" a="1"/>
  <c r="B150" i="13" s="1"/>
  <c r="AB149" i="13" a="1"/>
  <c r="AB149" i="13" s="1"/>
  <c r="AA149" i="13" a="1"/>
  <c r="AA149" i="13" s="1"/>
  <c r="Z149" i="13" a="1"/>
  <c r="Z149" i="13" s="1"/>
  <c r="Y149" i="13" a="1"/>
  <c r="Y149" i="13" s="1"/>
  <c r="X149" i="13" a="1"/>
  <c r="X149" i="13" s="1"/>
  <c r="W149" i="13" a="1"/>
  <c r="W149" i="13" s="1"/>
  <c r="V149" i="13" a="1"/>
  <c r="V149" i="13" s="1"/>
  <c r="U149" i="13" a="1"/>
  <c r="U149" i="13" s="1"/>
  <c r="T149" i="13" a="1"/>
  <c r="T149" i="13" s="1"/>
  <c r="S149" i="13" a="1"/>
  <c r="S149" i="13" s="1"/>
  <c r="R149" i="13" a="1"/>
  <c r="R149" i="13" s="1"/>
  <c r="Q149" i="13" a="1"/>
  <c r="Q149" i="13" s="1"/>
  <c r="P149" i="13" a="1"/>
  <c r="P149" i="13" s="1"/>
  <c r="O149" i="13" a="1"/>
  <c r="O149" i="13" s="1"/>
  <c r="N149" i="13" a="1"/>
  <c r="N149" i="13" s="1"/>
  <c r="M149" i="13" a="1"/>
  <c r="M149" i="13" s="1"/>
  <c r="L149" i="13" a="1"/>
  <c r="L149" i="13" s="1"/>
  <c r="K149" i="13" a="1"/>
  <c r="K149" i="13" s="1"/>
  <c r="J149" i="13" a="1"/>
  <c r="J149" i="13" s="1"/>
  <c r="I149" i="13" a="1"/>
  <c r="I149" i="13" s="1"/>
  <c r="H149" i="13" a="1"/>
  <c r="H149" i="13" s="1"/>
  <c r="G149" i="13" a="1"/>
  <c r="G149" i="13" s="1"/>
  <c r="F149" i="13" a="1"/>
  <c r="F149" i="13" s="1"/>
  <c r="E149" i="13" a="1"/>
  <c r="E149" i="13" s="1"/>
  <c r="D149" i="13" a="1"/>
  <c r="D149" i="13" s="1"/>
  <c r="C149" i="13" a="1"/>
  <c r="C149" i="13" s="1"/>
  <c r="B149" i="13" a="1"/>
  <c r="B149" i="13" s="1"/>
  <c r="AB148" i="13" a="1"/>
  <c r="AB148" i="13" s="1"/>
  <c r="AA148" i="13" a="1"/>
  <c r="AA148" i="13" s="1"/>
  <c r="Z148" i="13" a="1"/>
  <c r="Z148" i="13" s="1"/>
  <c r="Y148" i="13" a="1"/>
  <c r="Y148" i="13" s="1"/>
  <c r="X148" i="13" a="1"/>
  <c r="X148" i="13" s="1"/>
  <c r="W148" i="13" a="1"/>
  <c r="W148" i="13" s="1"/>
  <c r="V148" i="13" a="1"/>
  <c r="V148" i="13" s="1"/>
  <c r="U148" i="13" a="1"/>
  <c r="U148" i="13" s="1"/>
  <c r="T148" i="13" a="1"/>
  <c r="T148" i="13" s="1"/>
  <c r="S148" i="13" a="1"/>
  <c r="S148" i="13" s="1"/>
  <c r="R148" i="13" a="1"/>
  <c r="R148" i="13" s="1"/>
  <c r="Q148" i="13" a="1"/>
  <c r="Q148" i="13" s="1"/>
  <c r="P148" i="13" a="1"/>
  <c r="P148" i="13" s="1"/>
  <c r="O148" i="13" a="1"/>
  <c r="O148" i="13" s="1"/>
  <c r="N148" i="13" a="1"/>
  <c r="N148" i="13" s="1"/>
  <c r="M148" i="13" a="1"/>
  <c r="M148" i="13" s="1"/>
  <c r="L148" i="13" a="1"/>
  <c r="L148" i="13" s="1"/>
  <c r="K148" i="13" a="1"/>
  <c r="K148" i="13" s="1"/>
  <c r="J148" i="13" a="1"/>
  <c r="J148" i="13" s="1"/>
  <c r="I148" i="13" a="1"/>
  <c r="I148" i="13" s="1"/>
  <c r="H148" i="13" a="1"/>
  <c r="H148" i="13" s="1"/>
  <c r="G148" i="13" a="1"/>
  <c r="G148" i="13" s="1"/>
  <c r="F148" i="13" a="1"/>
  <c r="F148" i="13" s="1"/>
  <c r="E148" i="13" a="1"/>
  <c r="E148" i="13" s="1"/>
  <c r="D148" i="13" a="1"/>
  <c r="D148" i="13" s="1"/>
  <c r="C148" i="13" a="1"/>
  <c r="C148" i="13" s="1"/>
  <c r="B148" i="13" a="1"/>
  <c r="B148" i="13" s="1"/>
  <c r="AB147" i="13" a="1"/>
  <c r="AB147" i="13" s="1"/>
  <c r="AA147" i="13" a="1"/>
  <c r="AA147" i="13" s="1"/>
  <c r="Z147" i="13" a="1"/>
  <c r="Z147" i="13" s="1"/>
  <c r="Y147" i="13" a="1"/>
  <c r="Y147" i="13" s="1"/>
  <c r="X147" i="13" a="1"/>
  <c r="X147" i="13" s="1"/>
  <c r="W147" i="13" a="1"/>
  <c r="W147" i="13" s="1"/>
  <c r="V147" i="13" a="1"/>
  <c r="V147" i="13" s="1"/>
  <c r="U147" i="13" a="1"/>
  <c r="U147" i="13" s="1"/>
  <c r="T147" i="13" a="1"/>
  <c r="T147" i="13" s="1"/>
  <c r="S147" i="13" a="1"/>
  <c r="S147" i="13" s="1"/>
  <c r="R147" i="13" a="1"/>
  <c r="R147" i="13" s="1"/>
  <c r="Q147" i="13" a="1"/>
  <c r="Q147" i="13" s="1"/>
  <c r="P147" i="13" a="1"/>
  <c r="P147" i="13" s="1"/>
  <c r="O147" i="13" a="1"/>
  <c r="O147" i="13" s="1"/>
  <c r="N147" i="13" a="1"/>
  <c r="N147" i="13" s="1"/>
  <c r="M147" i="13" a="1"/>
  <c r="M147" i="13" s="1"/>
  <c r="L147" i="13" a="1"/>
  <c r="L147" i="13" s="1"/>
  <c r="K147" i="13" a="1"/>
  <c r="K147" i="13" s="1"/>
  <c r="J147" i="13" a="1"/>
  <c r="J147" i="13" s="1"/>
  <c r="I147" i="13" a="1"/>
  <c r="I147" i="13" s="1"/>
  <c r="H147" i="13" a="1"/>
  <c r="H147" i="13" s="1"/>
  <c r="G147" i="13" a="1"/>
  <c r="G147" i="13" s="1"/>
  <c r="F147" i="13" a="1"/>
  <c r="F147" i="13" s="1"/>
  <c r="E147" i="13" a="1"/>
  <c r="E147" i="13" s="1"/>
  <c r="D147" i="13" a="1"/>
  <c r="D147" i="13" s="1"/>
  <c r="C147" i="13" a="1"/>
  <c r="C147" i="13" s="1"/>
  <c r="B147" i="13" a="1"/>
  <c r="B147" i="13" s="1"/>
  <c r="AB146" i="13" a="1"/>
  <c r="AB146" i="13" s="1"/>
  <c r="AA146" i="13" a="1"/>
  <c r="AA146" i="13" s="1"/>
  <c r="Z146" i="13" a="1"/>
  <c r="Z146" i="13" s="1"/>
  <c r="Y146" i="13" a="1"/>
  <c r="Y146" i="13" s="1"/>
  <c r="X146" i="13" a="1"/>
  <c r="X146" i="13" s="1"/>
  <c r="W146" i="13" a="1"/>
  <c r="W146" i="13" s="1"/>
  <c r="V146" i="13" a="1"/>
  <c r="V146" i="13" s="1"/>
  <c r="U146" i="13" a="1"/>
  <c r="U146" i="13" s="1"/>
  <c r="T146" i="13" a="1"/>
  <c r="T146" i="13" s="1"/>
  <c r="S146" i="13" a="1"/>
  <c r="S146" i="13" s="1"/>
  <c r="R146" i="13" a="1"/>
  <c r="R146" i="13" s="1"/>
  <c r="Q146" i="13" a="1"/>
  <c r="Q146" i="13" s="1"/>
  <c r="P146" i="13" a="1"/>
  <c r="P146" i="13" s="1"/>
  <c r="O146" i="13" a="1"/>
  <c r="O146" i="13" s="1"/>
  <c r="N146" i="13" a="1"/>
  <c r="N146" i="13" s="1"/>
  <c r="M146" i="13" a="1"/>
  <c r="M146" i="13" s="1"/>
  <c r="L146" i="13" a="1"/>
  <c r="L146" i="13" s="1"/>
  <c r="K146" i="13" a="1"/>
  <c r="K146" i="13" s="1"/>
  <c r="J146" i="13" a="1"/>
  <c r="J146" i="13" s="1"/>
  <c r="I146" i="13" a="1"/>
  <c r="I146" i="13" s="1"/>
  <c r="H146" i="13" a="1"/>
  <c r="H146" i="13" s="1"/>
  <c r="G146" i="13" a="1"/>
  <c r="G146" i="13" s="1"/>
  <c r="F146" i="13" a="1"/>
  <c r="F146" i="13" s="1"/>
  <c r="E146" i="13" a="1"/>
  <c r="E146" i="13" s="1"/>
  <c r="D146" i="13" a="1"/>
  <c r="D146" i="13" s="1"/>
  <c r="C146" i="13" a="1"/>
  <c r="C146" i="13" s="1"/>
  <c r="B146" i="13" a="1"/>
  <c r="B146" i="13" s="1"/>
  <c r="AB145" i="13" a="1"/>
  <c r="AB145" i="13" s="1"/>
  <c r="AA145" i="13" a="1"/>
  <c r="AA145" i="13" s="1"/>
  <c r="Z145" i="13" a="1"/>
  <c r="Z145" i="13" s="1"/>
  <c r="Y145" i="13" a="1"/>
  <c r="Y145" i="13" s="1"/>
  <c r="X145" i="13" a="1"/>
  <c r="X145" i="13" s="1"/>
  <c r="W145" i="13" a="1"/>
  <c r="W145" i="13" s="1"/>
  <c r="V145" i="13" a="1"/>
  <c r="V145" i="13" s="1"/>
  <c r="U145" i="13" a="1"/>
  <c r="U145" i="13" s="1"/>
  <c r="T145" i="13" a="1"/>
  <c r="T145" i="13" s="1"/>
  <c r="S145" i="13" a="1"/>
  <c r="S145" i="13" s="1"/>
  <c r="R145" i="13" a="1"/>
  <c r="R145" i="13" s="1"/>
  <c r="Q145" i="13" a="1"/>
  <c r="Q145" i="13" s="1"/>
  <c r="P145" i="13" a="1"/>
  <c r="P145" i="13" s="1"/>
  <c r="O145" i="13" a="1"/>
  <c r="O145" i="13" s="1"/>
  <c r="N145" i="13" a="1"/>
  <c r="N145" i="13" s="1"/>
  <c r="M145" i="13" a="1"/>
  <c r="M145" i="13" s="1"/>
  <c r="L145" i="13" a="1"/>
  <c r="L145" i="13" s="1"/>
  <c r="K145" i="13" a="1"/>
  <c r="K145" i="13" s="1"/>
  <c r="J145" i="13" a="1"/>
  <c r="J145" i="13" s="1"/>
  <c r="I145" i="13" a="1"/>
  <c r="I145" i="13" s="1"/>
  <c r="H145" i="13" a="1"/>
  <c r="H145" i="13" s="1"/>
  <c r="G145" i="13" a="1"/>
  <c r="G145" i="13" s="1"/>
  <c r="F145" i="13" a="1"/>
  <c r="F145" i="13" s="1"/>
  <c r="E145" i="13" a="1"/>
  <c r="E145" i="13" s="1"/>
  <c r="D145" i="13" a="1"/>
  <c r="D145" i="13" s="1"/>
  <c r="C145" i="13" a="1"/>
  <c r="C145" i="13" s="1"/>
  <c r="B145" i="13" a="1"/>
  <c r="B145" i="13" s="1"/>
  <c r="AB144" i="13" a="1"/>
  <c r="AB144" i="13" s="1"/>
  <c r="AA144" i="13" a="1"/>
  <c r="AA144" i="13" s="1"/>
  <c r="Z144" i="13" a="1"/>
  <c r="Z144" i="13" s="1"/>
  <c r="Y144" i="13" a="1"/>
  <c r="Y144" i="13" s="1"/>
  <c r="X144" i="13" a="1"/>
  <c r="X144" i="13" s="1"/>
  <c r="W144" i="13" a="1"/>
  <c r="W144" i="13" s="1"/>
  <c r="V144" i="13" a="1"/>
  <c r="V144" i="13" s="1"/>
  <c r="U144" i="13" a="1"/>
  <c r="U144" i="13" s="1"/>
  <c r="T144" i="13" a="1"/>
  <c r="T144" i="13" s="1"/>
  <c r="S144" i="13" a="1"/>
  <c r="S144" i="13" s="1"/>
  <c r="R144" i="13" a="1"/>
  <c r="R144" i="13" s="1"/>
  <c r="Q144" i="13" a="1"/>
  <c r="Q144" i="13" s="1"/>
  <c r="P144" i="13" a="1"/>
  <c r="P144" i="13" s="1"/>
  <c r="O144" i="13" a="1"/>
  <c r="O144" i="13" s="1"/>
  <c r="N144" i="13" a="1"/>
  <c r="N144" i="13" s="1"/>
  <c r="M144" i="13" a="1"/>
  <c r="M144" i="13" s="1"/>
  <c r="L144" i="13" a="1"/>
  <c r="L144" i="13" s="1"/>
  <c r="K144" i="13" a="1"/>
  <c r="K144" i="13" s="1"/>
  <c r="J144" i="13" a="1"/>
  <c r="J144" i="13" s="1"/>
  <c r="I144" i="13" a="1"/>
  <c r="I144" i="13" s="1"/>
  <c r="H144" i="13" a="1"/>
  <c r="H144" i="13" s="1"/>
  <c r="G144" i="13" a="1"/>
  <c r="G144" i="13" s="1"/>
  <c r="F144" i="13" a="1"/>
  <c r="F144" i="13" s="1"/>
  <c r="E144" i="13" a="1"/>
  <c r="E144" i="13" s="1"/>
  <c r="D144" i="13" a="1"/>
  <c r="D144" i="13" s="1"/>
  <c r="C144" i="13" a="1"/>
  <c r="C144" i="13" s="1"/>
  <c r="B144" i="13" a="1"/>
  <c r="B144" i="13" s="1"/>
  <c r="AB143" i="13" a="1"/>
  <c r="AB143" i="13" s="1"/>
  <c r="AA143" i="13" a="1"/>
  <c r="AA143" i="13" s="1"/>
  <c r="Z143" i="13" a="1"/>
  <c r="Z143" i="13" s="1"/>
  <c r="Y143" i="13" a="1"/>
  <c r="Y143" i="13" s="1"/>
  <c r="X143" i="13" a="1"/>
  <c r="X143" i="13" s="1"/>
  <c r="W143" i="13" a="1"/>
  <c r="W143" i="13" s="1"/>
  <c r="V143" i="13" a="1"/>
  <c r="V143" i="13" s="1"/>
  <c r="U143" i="13" a="1"/>
  <c r="U143" i="13" s="1"/>
  <c r="T143" i="13" a="1"/>
  <c r="T143" i="13" s="1"/>
  <c r="S143" i="13" a="1"/>
  <c r="S143" i="13" s="1"/>
  <c r="R143" i="13" a="1"/>
  <c r="R143" i="13" s="1"/>
  <c r="Q143" i="13" a="1"/>
  <c r="Q143" i="13" s="1"/>
  <c r="P143" i="13" a="1"/>
  <c r="P143" i="13" s="1"/>
  <c r="O143" i="13" a="1"/>
  <c r="O143" i="13" s="1"/>
  <c r="N143" i="13" a="1"/>
  <c r="N143" i="13" s="1"/>
  <c r="M143" i="13" a="1"/>
  <c r="M143" i="13" s="1"/>
  <c r="L143" i="13" a="1"/>
  <c r="L143" i="13" s="1"/>
  <c r="K143" i="13" a="1"/>
  <c r="K143" i="13" s="1"/>
  <c r="J143" i="13" a="1"/>
  <c r="J143" i="13" s="1"/>
  <c r="I143" i="13" a="1"/>
  <c r="I143" i="13" s="1"/>
  <c r="H143" i="13" a="1"/>
  <c r="H143" i="13" s="1"/>
  <c r="G143" i="13" a="1"/>
  <c r="G143" i="13" s="1"/>
  <c r="F143" i="13" a="1"/>
  <c r="F143" i="13" s="1"/>
  <c r="E143" i="13" a="1"/>
  <c r="E143" i="13" s="1"/>
  <c r="D143" i="13" a="1"/>
  <c r="D143" i="13" s="1"/>
  <c r="C143" i="13" a="1"/>
  <c r="C143" i="13" s="1"/>
  <c r="B143" i="13" a="1"/>
  <c r="B143" i="13" s="1"/>
  <c r="AB142" i="13" a="1"/>
  <c r="AB142" i="13" s="1"/>
  <c r="AA142" i="13" a="1"/>
  <c r="AA142" i="13" s="1"/>
  <c r="Z142" i="13" a="1"/>
  <c r="Z142" i="13" s="1"/>
  <c r="Y142" i="13" a="1"/>
  <c r="Y142" i="13" s="1"/>
  <c r="X142" i="13" a="1"/>
  <c r="X142" i="13" s="1"/>
  <c r="W142" i="13" a="1"/>
  <c r="W142" i="13" s="1"/>
  <c r="V142" i="13" a="1"/>
  <c r="V142" i="13" s="1"/>
  <c r="U142" i="13" a="1"/>
  <c r="U142" i="13" s="1"/>
  <c r="T142" i="13" a="1"/>
  <c r="T142" i="13" s="1"/>
  <c r="S142" i="13" a="1"/>
  <c r="S142" i="13" s="1"/>
  <c r="R142" i="13" a="1"/>
  <c r="R142" i="13" s="1"/>
  <c r="Q142" i="13" a="1"/>
  <c r="Q142" i="13" s="1"/>
  <c r="P142" i="13" a="1"/>
  <c r="P142" i="13" s="1"/>
  <c r="O142" i="13" a="1"/>
  <c r="O142" i="13" s="1"/>
  <c r="N142" i="13" a="1"/>
  <c r="N142" i="13" s="1"/>
  <c r="M142" i="13" a="1"/>
  <c r="M142" i="13" s="1"/>
  <c r="L142" i="13" a="1"/>
  <c r="L142" i="13" s="1"/>
  <c r="K142" i="13" a="1"/>
  <c r="K142" i="13" s="1"/>
  <c r="J142" i="13" a="1"/>
  <c r="J142" i="13" s="1"/>
  <c r="I142" i="13" a="1"/>
  <c r="I142" i="13" s="1"/>
  <c r="H142" i="13" a="1"/>
  <c r="H142" i="13" s="1"/>
  <c r="G142" i="13" a="1"/>
  <c r="G142" i="13" s="1"/>
  <c r="F142" i="13" a="1"/>
  <c r="F142" i="13" s="1"/>
  <c r="E142" i="13" a="1"/>
  <c r="E142" i="13" s="1"/>
  <c r="D142" i="13" a="1"/>
  <c r="D142" i="13" s="1"/>
  <c r="C142" i="13" a="1"/>
  <c r="C142" i="13" s="1"/>
  <c r="B142" i="13" a="1"/>
  <c r="B142" i="13" s="1"/>
  <c r="AB141" i="13" a="1"/>
  <c r="AB141" i="13" s="1"/>
  <c r="AA141" i="13" a="1"/>
  <c r="AA141" i="13" s="1"/>
  <c r="Z141" i="13" a="1"/>
  <c r="Z141" i="13" s="1"/>
  <c r="Y141" i="13" a="1"/>
  <c r="Y141" i="13" s="1"/>
  <c r="X141" i="13" a="1"/>
  <c r="X141" i="13" s="1"/>
  <c r="W141" i="13" a="1"/>
  <c r="W141" i="13" s="1"/>
  <c r="V141" i="13" a="1"/>
  <c r="V141" i="13" s="1"/>
  <c r="U141" i="13" a="1"/>
  <c r="U141" i="13" s="1"/>
  <c r="T141" i="13" a="1"/>
  <c r="T141" i="13" s="1"/>
  <c r="S141" i="13" a="1"/>
  <c r="S141" i="13" s="1"/>
  <c r="R141" i="13" a="1"/>
  <c r="R141" i="13" s="1"/>
  <c r="Q141" i="13" a="1"/>
  <c r="Q141" i="13" s="1"/>
  <c r="P141" i="13" a="1"/>
  <c r="P141" i="13" s="1"/>
  <c r="O141" i="13" a="1"/>
  <c r="O141" i="13" s="1"/>
  <c r="N141" i="13" a="1"/>
  <c r="N141" i="13" s="1"/>
  <c r="M141" i="13" a="1"/>
  <c r="M141" i="13" s="1"/>
  <c r="L141" i="13" a="1"/>
  <c r="L141" i="13" s="1"/>
  <c r="K141" i="13" a="1"/>
  <c r="K141" i="13" s="1"/>
  <c r="J141" i="13" a="1"/>
  <c r="J141" i="13" s="1"/>
  <c r="I141" i="13" a="1"/>
  <c r="I141" i="13" s="1"/>
  <c r="H141" i="13" a="1"/>
  <c r="H141" i="13" s="1"/>
  <c r="G141" i="13" a="1"/>
  <c r="G141" i="13" s="1"/>
  <c r="F141" i="13" a="1"/>
  <c r="F141" i="13" s="1"/>
  <c r="E141" i="13" a="1"/>
  <c r="E141" i="13" s="1"/>
  <c r="D141" i="13" a="1"/>
  <c r="D141" i="13" s="1"/>
  <c r="C141" i="13" a="1"/>
  <c r="C141" i="13" s="1"/>
  <c r="B141" i="13" a="1"/>
  <c r="B141" i="13" s="1"/>
  <c r="AB140" i="13" a="1"/>
  <c r="AB140" i="13" s="1"/>
  <c r="AA140" i="13" a="1"/>
  <c r="AA140" i="13" s="1"/>
  <c r="Z140" i="13" a="1"/>
  <c r="Z140" i="13" s="1"/>
  <c r="Y140" i="13" a="1"/>
  <c r="Y140" i="13" s="1"/>
  <c r="X140" i="13" a="1"/>
  <c r="X140" i="13" s="1"/>
  <c r="W140" i="13" a="1"/>
  <c r="W140" i="13" s="1"/>
  <c r="V140" i="13" a="1"/>
  <c r="V140" i="13" s="1"/>
  <c r="U140" i="13" a="1"/>
  <c r="U140" i="13" s="1"/>
  <c r="T140" i="13" a="1"/>
  <c r="T140" i="13" s="1"/>
  <c r="S140" i="13" a="1"/>
  <c r="S140" i="13" s="1"/>
  <c r="R140" i="13" a="1"/>
  <c r="R140" i="13" s="1"/>
  <c r="Q140" i="13" a="1"/>
  <c r="Q140" i="13" s="1"/>
  <c r="P140" i="13" a="1"/>
  <c r="P140" i="13" s="1"/>
  <c r="O140" i="13" a="1"/>
  <c r="O140" i="13" s="1"/>
  <c r="N140" i="13" a="1"/>
  <c r="N140" i="13" s="1"/>
  <c r="M140" i="13" a="1"/>
  <c r="M140" i="13" s="1"/>
  <c r="L140" i="13" a="1"/>
  <c r="L140" i="13" s="1"/>
  <c r="K140" i="13" a="1"/>
  <c r="K140" i="13" s="1"/>
  <c r="J140" i="13" a="1"/>
  <c r="J140" i="13" s="1"/>
  <c r="I140" i="13" a="1"/>
  <c r="I140" i="13" s="1"/>
  <c r="H140" i="13" a="1"/>
  <c r="H140" i="13" s="1"/>
  <c r="G140" i="13" a="1"/>
  <c r="G140" i="13" s="1"/>
  <c r="F140" i="13" a="1"/>
  <c r="F140" i="13" s="1"/>
  <c r="E140" i="13" a="1"/>
  <c r="E140" i="13" s="1"/>
  <c r="D140" i="13" a="1"/>
  <c r="D140" i="13" s="1"/>
  <c r="C140" i="13" a="1"/>
  <c r="C140" i="13" s="1"/>
  <c r="B140" i="13" a="1"/>
  <c r="B140" i="13" s="1"/>
  <c r="AB139" i="13" a="1"/>
  <c r="AB139" i="13" s="1"/>
  <c r="AA139" i="13" a="1"/>
  <c r="AA139" i="13" s="1"/>
  <c r="Z139" i="13" a="1"/>
  <c r="Z139" i="13" s="1"/>
  <c r="Y139" i="13" a="1"/>
  <c r="Y139" i="13" s="1"/>
  <c r="X139" i="13" a="1"/>
  <c r="X139" i="13" s="1"/>
  <c r="W139" i="13" a="1"/>
  <c r="W139" i="13" s="1"/>
  <c r="V139" i="13" a="1"/>
  <c r="V139" i="13" s="1"/>
  <c r="U139" i="13" a="1"/>
  <c r="U139" i="13" s="1"/>
  <c r="T139" i="13" a="1"/>
  <c r="T139" i="13" s="1"/>
  <c r="S139" i="13" a="1"/>
  <c r="S139" i="13" s="1"/>
  <c r="R139" i="13" a="1"/>
  <c r="R139" i="13" s="1"/>
  <c r="Q139" i="13" a="1"/>
  <c r="Q139" i="13" s="1"/>
  <c r="P139" i="13" a="1"/>
  <c r="P139" i="13" s="1"/>
  <c r="O139" i="13" a="1"/>
  <c r="O139" i="13" s="1"/>
  <c r="N139" i="13" a="1"/>
  <c r="N139" i="13" s="1"/>
  <c r="M139" i="13" a="1"/>
  <c r="M139" i="13" s="1"/>
  <c r="L139" i="13" a="1"/>
  <c r="L139" i="13" s="1"/>
  <c r="K139" i="13" a="1"/>
  <c r="K139" i="13" s="1"/>
  <c r="J139" i="13" a="1"/>
  <c r="J139" i="13" s="1"/>
  <c r="I139" i="13" a="1"/>
  <c r="I139" i="13" s="1"/>
  <c r="H139" i="13" a="1"/>
  <c r="H139" i="13" s="1"/>
  <c r="G139" i="13" a="1"/>
  <c r="G139" i="13" s="1"/>
  <c r="F139" i="13" a="1"/>
  <c r="F139" i="13" s="1"/>
  <c r="E139" i="13" a="1"/>
  <c r="E139" i="13" s="1"/>
  <c r="D139" i="13" a="1"/>
  <c r="D139" i="13" s="1"/>
  <c r="C139" i="13" a="1"/>
  <c r="C139" i="13" s="1"/>
  <c r="B139" i="13" a="1"/>
  <c r="B139" i="13" s="1"/>
  <c r="AB138" i="13" a="1"/>
  <c r="AB138" i="13" s="1"/>
  <c r="AA138" i="13" a="1"/>
  <c r="AA138" i="13" s="1"/>
  <c r="Z138" i="13" a="1"/>
  <c r="Z138" i="13" s="1"/>
  <c r="Y138" i="13" a="1"/>
  <c r="Y138" i="13" s="1"/>
  <c r="X138" i="13" a="1"/>
  <c r="X138" i="13" s="1"/>
  <c r="W138" i="13" a="1"/>
  <c r="W138" i="13" s="1"/>
  <c r="V138" i="13" a="1"/>
  <c r="V138" i="13" s="1"/>
  <c r="U138" i="13" a="1"/>
  <c r="U138" i="13" s="1"/>
  <c r="T138" i="13" a="1"/>
  <c r="T138" i="13" s="1"/>
  <c r="S138" i="13" a="1"/>
  <c r="S138" i="13" s="1"/>
  <c r="R138" i="13" a="1"/>
  <c r="R138" i="13" s="1"/>
  <c r="Q138" i="13" a="1"/>
  <c r="Q138" i="13" s="1"/>
  <c r="P138" i="13" a="1"/>
  <c r="P138" i="13" s="1"/>
  <c r="O138" i="13" a="1"/>
  <c r="O138" i="13" s="1"/>
  <c r="N138" i="13" a="1"/>
  <c r="N138" i="13" s="1"/>
  <c r="M138" i="13" a="1"/>
  <c r="M138" i="13" s="1"/>
  <c r="L138" i="13" a="1"/>
  <c r="L138" i="13" s="1"/>
  <c r="K138" i="13" a="1"/>
  <c r="K138" i="13" s="1"/>
  <c r="J138" i="13" a="1"/>
  <c r="J138" i="13" s="1"/>
  <c r="I138" i="13" a="1"/>
  <c r="I138" i="13" s="1"/>
  <c r="H138" i="13" a="1"/>
  <c r="H138" i="13" s="1"/>
  <c r="G138" i="13" a="1"/>
  <c r="G138" i="13" s="1"/>
  <c r="F138" i="13" a="1"/>
  <c r="F138" i="13" s="1"/>
  <c r="E138" i="13" a="1"/>
  <c r="E138" i="13" s="1"/>
  <c r="D138" i="13" a="1"/>
  <c r="D138" i="13" s="1"/>
  <c r="C138" i="13" a="1"/>
  <c r="C138" i="13" s="1"/>
  <c r="B138" i="13" a="1"/>
  <c r="B138" i="13" s="1"/>
  <c r="AB137" i="13" a="1"/>
  <c r="AB137" i="13" s="1"/>
  <c r="AA137" i="13" a="1"/>
  <c r="AA137" i="13" s="1"/>
  <c r="Z137" i="13" a="1"/>
  <c r="Z137" i="13" s="1"/>
  <c r="Y137" i="13" a="1"/>
  <c r="Y137" i="13" s="1"/>
  <c r="X137" i="13" a="1"/>
  <c r="X137" i="13" s="1"/>
  <c r="W137" i="13" a="1"/>
  <c r="W137" i="13" s="1"/>
  <c r="V137" i="13" a="1"/>
  <c r="V137" i="13" s="1"/>
  <c r="U137" i="13" a="1"/>
  <c r="U137" i="13" s="1"/>
  <c r="T137" i="13" a="1"/>
  <c r="T137" i="13" s="1"/>
  <c r="S137" i="13" a="1"/>
  <c r="S137" i="13" s="1"/>
  <c r="R137" i="13" a="1"/>
  <c r="R137" i="13" s="1"/>
  <c r="Q137" i="13" a="1"/>
  <c r="Q137" i="13" s="1"/>
  <c r="P137" i="13" a="1"/>
  <c r="P137" i="13" s="1"/>
  <c r="O137" i="13" a="1"/>
  <c r="O137" i="13" s="1"/>
  <c r="N137" i="13" a="1"/>
  <c r="N137" i="13" s="1"/>
  <c r="M137" i="13" a="1"/>
  <c r="M137" i="13" s="1"/>
  <c r="L137" i="13" a="1"/>
  <c r="L137" i="13" s="1"/>
  <c r="K137" i="13" a="1"/>
  <c r="K137" i="13" s="1"/>
  <c r="J137" i="13" a="1"/>
  <c r="J137" i="13" s="1"/>
  <c r="I137" i="13" a="1"/>
  <c r="I137" i="13" s="1"/>
  <c r="H137" i="13" a="1"/>
  <c r="H137" i="13" s="1"/>
  <c r="G137" i="13" a="1"/>
  <c r="G137" i="13" s="1"/>
  <c r="F137" i="13" a="1"/>
  <c r="F137" i="13" s="1"/>
  <c r="E137" i="13" a="1"/>
  <c r="E137" i="13" s="1"/>
  <c r="D137" i="13" a="1"/>
  <c r="D137" i="13" s="1"/>
  <c r="C137" i="13" a="1"/>
  <c r="C137" i="13" s="1"/>
  <c r="B137" i="13" a="1"/>
  <c r="B137" i="13" s="1"/>
  <c r="AB136" i="13" a="1"/>
  <c r="AB136" i="13" s="1"/>
  <c r="AA136" i="13" a="1"/>
  <c r="AA136" i="13" s="1"/>
  <c r="Z136" i="13" a="1"/>
  <c r="Z136" i="13" s="1"/>
  <c r="Y136" i="13" a="1"/>
  <c r="Y136" i="13" s="1"/>
  <c r="X136" i="13" a="1"/>
  <c r="X136" i="13" s="1"/>
  <c r="W136" i="13" a="1"/>
  <c r="W136" i="13" s="1"/>
  <c r="V136" i="13" a="1"/>
  <c r="V136" i="13" s="1"/>
  <c r="U136" i="13" a="1"/>
  <c r="U136" i="13" s="1"/>
  <c r="T136" i="13" a="1"/>
  <c r="T136" i="13" s="1"/>
  <c r="S136" i="13" a="1"/>
  <c r="S136" i="13" s="1"/>
  <c r="R136" i="13" a="1"/>
  <c r="R136" i="13" s="1"/>
  <c r="Q136" i="13" a="1"/>
  <c r="Q136" i="13" s="1"/>
  <c r="P136" i="13" a="1"/>
  <c r="P136" i="13" s="1"/>
  <c r="O136" i="13" a="1"/>
  <c r="O136" i="13" s="1"/>
  <c r="N136" i="13" a="1"/>
  <c r="N136" i="13" s="1"/>
  <c r="M136" i="13" a="1"/>
  <c r="M136" i="13" s="1"/>
  <c r="L136" i="13" a="1"/>
  <c r="L136" i="13" s="1"/>
  <c r="K136" i="13" a="1"/>
  <c r="K136" i="13" s="1"/>
  <c r="J136" i="13" a="1"/>
  <c r="J136" i="13" s="1"/>
  <c r="I136" i="13" a="1"/>
  <c r="I136" i="13" s="1"/>
  <c r="H136" i="13" a="1"/>
  <c r="H136" i="13" s="1"/>
  <c r="G136" i="13" a="1"/>
  <c r="G136" i="13" s="1"/>
  <c r="F136" i="13" a="1"/>
  <c r="F136" i="13" s="1"/>
  <c r="E136" i="13" a="1"/>
  <c r="E136" i="13" s="1"/>
  <c r="D136" i="13" a="1"/>
  <c r="D136" i="13" s="1"/>
  <c r="C136" i="13" a="1"/>
  <c r="C136" i="13" s="1"/>
  <c r="B136" i="13" a="1"/>
  <c r="B136" i="13" s="1"/>
  <c r="AB135" i="13" a="1"/>
  <c r="AB135" i="13" s="1"/>
  <c r="AA135" i="13" a="1"/>
  <c r="AA135" i="13" s="1"/>
  <c r="Z135" i="13" a="1"/>
  <c r="Z135" i="13" s="1"/>
  <c r="Y135" i="13" a="1"/>
  <c r="Y135" i="13" s="1"/>
  <c r="X135" i="13" a="1"/>
  <c r="X135" i="13" s="1"/>
  <c r="W135" i="13" a="1"/>
  <c r="W135" i="13" s="1"/>
  <c r="V135" i="13" a="1"/>
  <c r="V135" i="13" s="1"/>
  <c r="U135" i="13" a="1"/>
  <c r="U135" i="13" s="1"/>
  <c r="T135" i="13" a="1"/>
  <c r="T135" i="13" s="1"/>
  <c r="S135" i="13" a="1"/>
  <c r="S135" i="13" s="1"/>
  <c r="R135" i="13" a="1"/>
  <c r="R135" i="13" s="1"/>
  <c r="Q135" i="13" a="1"/>
  <c r="Q135" i="13" s="1"/>
  <c r="P135" i="13" a="1"/>
  <c r="P135" i="13" s="1"/>
  <c r="O135" i="13" a="1"/>
  <c r="O135" i="13" s="1"/>
  <c r="N135" i="13" a="1"/>
  <c r="N135" i="13" s="1"/>
  <c r="M135" i="13" a="1"/>
  <c r="M135" i="13" s="1"/>
  <c r="L135" i="13" a="1"/>
  <c r="L135" i="13" s="1"/>
  <c r="K135" i="13" a="1"/>
  <c r="K135" i="13" s="1"/>
  <c r="J135" i="13" a="1"/>
  <c r="J135" i="13" s="1"/>
  <c r="I135" i="13" a="1"/>
  <c r="I135" i="13" s="1"/>
  <c r="H135" i="13" a="1"/>
  <c r="H135" i="13" s="1"/>
  <c r="G135" i="13" a="1"/>
  <c r="G135" i="13" s="1"/>
  <c r="F135" i="13" a="1"/>
  <c r="F135" i="13" s="1"/>
  <c r="E135" i="13" a="1"/>
  <c r="E135" i="13" s="1"/>
  <c r="D135" i="13" a="1"/>
  <c r="D135" i="13" s="1"/>
  <c r="C135" i="13" a="1"/>
  <c r="C135" i="13" s="1"/>
  <c r="B135" i="13" a="1"/>
  <c r="B135" i="13" s="1"/>
  <c r="AB134" i="13" a="1"/>
  <c r="AB134" i="13" s="1"/>
  <c r="AA134" i="13" a="1"/>
  <c r="AA134" i="13" s="1"/>
  <c r="Z134" i="13" a="1"/>
  <c r="Z134" i="13" s="1"/>
  <c r="Y134" i="13" a="1"/>
  <c r="Y134" i="13" s="1"/>
  <c r="X134" i="13" a="1"/>
  <c r="X134" i="13" s="1"/>
  <c r="W134" i="13" a="1"/>
  <c r="W134" i="13" s="1"/>
  <c r="V134" i="13" a="1"/>
  <c r="V134" i="13" s="1"/>
  <c r="U134" i="13" a="1"/>
  <c r="U134" i="13" s="1"/>
  <c r="T134" i="13" a="1"/>
  <c r="T134" i="13" s="1"/>
  <c r="S134" i="13" a="1"/>
  <c r="S134" i="13" s="1"/>
  <c r="R134" i="13" a="1"/>
  <c r="R134" i="13" s="1"/>
  <c r="Q134" i="13" a="1"/>
  <c r="Q134" i="13" s="1"/>
  <c r="P134" i="13" a="1"/>
  <c r="P134" i="13" s="1"/>
  <c r="O134" i="13" a="1"/>
  <c r="O134" i="13" s="1"/>
  <c r="N134" i="13" a="1"/>
  <c r="N134" i="13" s="1"/>
  <c r="M134" i="13" a="1"/>
  <c r="M134" i="13" s="1"/>
  <c r="L134" i="13" a="1"/>
  <c r="L134" i="13" s="1"/>
  <c r="K134" i="13" a="1"/>
  <c r="K134" i="13" s="1"/>
  <c r="J134" i="13" a="1"/>
  <c r="J134" i="13" s="1"/>
  <c r="I134" i="13" a="1"/>
  <c r="I134" i="13" s="1"/>
  <c r="H134" i="13" a="1"/>
  <c r="H134" i="13" s="1"/>
  <c r="G134" i="13" a="1"/>
  <c r="G134" i="13" s="1"/>
  <c r="F134" i="13" a="1"/>
  <c r="F134" i="13" s="1"/>
  <c r="E134" i="13" a="1"/>
  <c r="E134" i="13" s="1"/>
  <c r="D134" i="13" a="1"/>
  <c r="D134" i="13" s="1"/>
  <c r="C134" i="13" a="1"/>
  <c r="C134" i="13" s="1"/>
  <c r="B134" i="13" a="1"/>
  <c r="B134" i="13" s="1"/>
  <c r="AB133" i="13" a="1"/>
  <c r="AB133" i="13" s="1"/>
  <c r="AA133" i="13" a="1"/>
  <c r="AA133" i="13" s="1"/>
  <c r="Z133" i="13" a="1"/>
  <c r="Z133" i="13" s="1"/>
  <c r="Y133" i="13" a="1"/>
  <c r="Y133" i="13" s="1"/>
  <c r="X133" i="13" a="1"/>
  <c r="X133" i="13" s="1"/>
  <c r="W133" i="13" a="1"/>
  <c r="W133" i="13" s="1"/>
  <c r="V133" i="13" a="1"/>
  <c r="V133" i="13" s="1"/>
  <c r="U133" i="13" a="1"/>
  <c r="U133" i="13" s="1"/>
  <c r="T133" i="13" a="1"/>
  <c r="T133" i="13" s="1"/>
  <c r="S133" i="13" a="1"/>
  <c r="S133" i="13" s="1"/>
  <c r="R133" i="13" a="1"/>
  <c r="R133" i="13" s="1"/>
  <c r="Q133" i="13" a="1"/>
  <c r="Q133" i="13" s="1"/>
  <c r="P133" i="13" a="1"/>
  <c r="P133" i="13" s="1"/>
  <c r="O133" i="13" a="1"/>
  <c r="O133" i="13" s="1"/>
  <c r="N133" i="13" a="1"/>
  <c r="N133" i="13" s="1"/>
  <c r="M133" i="13" a="1"/>
  <c r="M133" i="13" s="1"/>
  <c r="L133" i="13" a="1"/>
  <c r="L133" i="13" s="1"/>
  <c r="K133" i="13" a="1"/>
  <c r="K133" i="13" s="1"/>
  <c r="J133" i="13" a="1"/>
  <c r="J133" i="13" s="1"/>
  <c r="I133" i="13" a="1"/>
  <c r="I133" i="13" s="1"/>
  <c r="H133" i="13" a="1"/>
  <c r="H133" i="13" s="1"/>
  <c r="G133" i="13" a="1"/>
  <c r="G133" i="13" s="1"/>
  <c r="F133" i="13" a="1"/>
  <c r="F133" i="13" s="1"/>
  <c r="E133" i="13" a="1"/>
  <c r="E133" i="13" s="1"/>
  <c r="D133" i="13" a="1"/>
  <c r="D133" i="13" s="1"/>
  <c r="C133" i="13" a="1"/>
  <c r="C133" i="13" s="1"/>
  <c r="B133" i="13" a="1"/>
  <c r="B133" i="13" s="1"/>
  <c r="AB132" i="13" a="1"/>
  <c r="AB132" i="13" s="1"/>
  <c r="AA132" i="13" a="1"/>
  <c r="AA132" i="13" s="1"/>
  <c r="Z132" i="13" a="1"/>
  <c r="Z132" i="13" s="1"/>
  <c r="Y132" i="13" a="1"/>
  <c r="Y132" i="13" s="1"/>
  <c r="X132" i="13" a="1"/>
  <c r="X132" i="13" s="1"/>
  <c r="W132" i="13" a="1"/>
  <c r="W132" i="13" s="1"/>
  <c r="V132" i="13" a="1"/>
  <c r="V132" i="13" s="1"/>
  <c r="U132" i="13" a="1"/>
  <c r="U132" i="13" s="1"/>
  <c r="T132" i="13" a="1"/>
  <c r="T132" i="13" s="1"/>
  <c r="S132" i="13" a="1"/>
  <c r="S132" i="13" s="1"/>
  <c r="R132" i="13" a="1"/>
  <c r="R132" i="13" s="1"/>
  <c r="Q132" i="13" a="1"/>
  <c r="Q132" i="13" s="1"/>
  <c r="P132" i="13" a="1"/>
  <c r="P132" i="13" s="1"/>
  <c r="O132" i="13" a="1"/>
  <c r="O132" i="13" s="1"/>
  <c r="N132" i="13" a="1"/>
  <c r="N132" i="13" s="1"/>
  <c r="M132" i="13" a="1"/>
  <c r="M132" i="13" s="1"/>
  <c r="L132" i="13" a="1"/>
  <c r="L132" i="13" s="1"/>
  <c r="K132" i="13" a="1"/>
  <c r="K132" i="13" s="1"/>
  <c r="J132" i="13" a="1"/>
  <c r="J132" i="13" s="1"/>
  <c r="I132" i="13" a="1"/>
  <c r="I132" i="13" s="1"/>
  <c r="H132" i="13" a="1"/>
  <c r="H132" i="13" s="1"/>
  <c r="G132" i="13" a="1"/>
  <c r="G132" i="13" s="1"/>
  <c r="F132" i="13" a="1"/>
  <c r="F132" i="13" s="1"/>
  <c r="E132" i="13" a="1"/>
  <c r="E132" i="13" s="1"/>
  <c r="D132" i="13" a="1"/>
  <c r="D132" i="13" s="1"/>
  <c r="C132" i="13" a="1"/>
  <c r="C132" i="13" s="1"/>
  <c r="B132" i="13" a="1"/>
  <c r="B132" i="13" s="1"/>
  <c r="AB131" i="13" a="1"/>
  <c r="AB131" i="13" s="1"/>
  <c r="AA131" i="13" a="1"/>
  <c r="AA131" i="13" s="1"/>
  <c r="Z131" i="13" a="1"/>
  <c r="Z131" i="13" s="1"/>
  <c r="Y131" i="13" a="1"/>
  <c r="Y131" i="13" s="1"/>
  <c r="X131" i="13" a="1"/>
  <c r="X131" i="13" s="1"/>
  <c r="W131" i="13" a="1"/>
  <c r="W131" i="13" s="1"/>
  <c r="V131" i="13" a="1"/>
  <c r="V131" i="13" s="1"/>
  <c r="U131" i="13" a="1"/>
  <c r="U131" i="13" s="1"/>
  <c r="T131" i="13" a="1"/>
  <c r="T131" i="13" s="1"/>
  <c r="S131" i="13" a="1"/>
  <c r="S131" i="13" s="1"/>
  <c r="R131" i="13" a="1"/>
  <c r="R131" i="13" s="1"/>
  <c r="Q131" i="13" a="1"/>
  <c r="Q131" i="13" s="1"/>
  <c r="P131" i="13" a="1"/>
  <c r="P131" i="13" s="1"/>
  <c r="O131" i="13" a="1"/>
  <c r="O131" i="13" s="1"/>
  <c r="N131" i="13" a="1"/>
  <c r="N131" i="13" s="1"/>
  <c r="M131" i="13" a="1"/>
  <c r="M131" i="13" s="1"/>
  <c r="L131" i="13" a="1"/>
  <c r="L131" i="13" s="1"/>
  <c r="K131" i="13" a="1"/>
  <c r="K131" i="13" s="1"/>
  <c r="J131" i="13" a="1"/>
  <c r="J131" i="13" s="1"/>
  <c r="I131" i="13" a="1"/>
  <c r="I131" i="13" s="1"/>
  <c r="H131" i="13" a="1"/>
  <c r="H131" i="13" s="1"/>
  <c r="G131" i="13" a="1"/>
  <c r="G131" i="13" s="1"/>
  <c r="F131" i="13" a="1"/>
  <c r="F131" i="13" s="1"/>
  <c r="E131" i="13" a="1"/>
  <c r="E131" i="13" s="1"/>
  <c r="D131" i="13" a="1"/>
  <c r="D131" i="13" s="1"/>
  <c r="C131" i="13" a="1"/>
  <c r="C131" i="13" s="1"/>
  <c r="B131" i="13" a="1"/>
  <c r="B131" i="13" s="1"/>
  <c r="AB130" i="13" a="1"/>
  <c r="AB130" i="13" s="1"/>
  <c r="AA130" i="13" a="1"/>
  <c r="AA130" i="13" s="1"/>
  <c r="Z130" i="13" a="1"/>
  <c r="Z130" i="13" s="1"/>
  <c r="Y130" i="13" a="1"/>
  <c r="Y130" i="13" s="1"/>
  <c r="X130" i="13" a="1"/>
  <c r="X130" i="13" s="1"/>
  <c r="W130" i="13" a="1"/>
  <c r="W130" i="13" s="1"/>
  <c r="V130" i="13" a="1"/>
  <c r="V130" i="13" s="1"/>
  <c r="U130" i="13" a="1"/>
  <c r="U130" i="13" s="1"/>
  <c r="T130" i="13" a="1"/>
  <c r="T130" i="13" s="1"/>
  <c r="S130" i="13" a="1"/>
  <c r="S130" i="13" s="1"/>
  <c r="R130" i="13" a="1"/>
  <c r="R130" i="13" s="1"/>
  <c r="Q130" i="13" a="1"/>
  <c r="Q130" i="13" s="1"/>
  <c r="P130" i="13" a="1"/>
  <c r="P130" i="13" s="1"/>
  <c r="O130" i="13" a="1"/>
  <c r="O130" i="13" s="1"/>
  <c r="N130" i="13" a="1"/>
  <c r="N130" i="13" s="1"/>
  <c r="M130" i="13" a="1"/>
  <c r="M130" i="13" s="1"/>
  <c r="L130" i="13" a="1"/>
  <c r="L130" i="13" s="1"/>
  <c r="K130" i="13" a="1"/>
  <c r="K130" i="13" s="1"/>
  <c r="J130" i="13" a="1"/>
  <c r="J130" i="13" s="1"/>
  <c r="I130" i="13" a="1"/>
  <c r="I130" i="13" s="1"/>
  <c r="H130" i="13" a="1"/>
  <c r="H130" i="13" s="1"/>
  <c r="E130" i="13" a="1"/>
  <c r="E130" i="13" s="1"/>
  <c r="D130" i="13" a="1"/>
  <c r="D130" i="13" s="1"/>
  <c r="C130" i="13" a="1"/>
  <c r="C130" i="13" s="1"/>
  <c r="B130" i="13" a="1"/>
  <c r="B130" i="13" s="1"/>
  <c r="AB119" i="13" a="1"/>
  <c r="AB119" i="13" s="1"/>
  <c r="AA119" i="13" a="1"/>
  <c r="AA119" i="13" s="1"/>
  <c r="Z119" i="13" a="1"/>
  <c r="Z119" i="13" s="1"/>
  <c r="Y119" i="13" a="1"/>
  <c r="Y119" i="13" s="1"/>
  <c r="X119" i="13" a="1"/>
  <c r="X119" i="13" s="1"/>
  <c r="W119" i="13" a="1"/>
  <c r="W119" i="13" s="1"/>
  <c r="V119" i="13" a="1"/>
  <c r="V119" i="13" s="1"/>
  <c r="U119" i="13" a="1"/>
  <c r="U119" i="13" s="1"/>
  <c r="T119" i="13" a="1"/>
  <c r="T119" i="13" s="1"/>
  <c r="S119" i="13" a="1"/>
  <c r="S119" i="13" s="1"/>
  <c r="R119" i="13" a="1"/>
  <c r="R119" i="13" s="1"/>
  <c r="Q119" i="13" a="1"/>
  <c r="Q119" i="13" s="1"/>
  <c r="P119" i="13" a="1"/>
  <c r="P119" i="13" s="1"/>
  <c r="O119" i="13" a="1"/>
  <c r="O119" i="13" s="1"/>
  <c r="N119" i="13" a="1"/>
  <c r="N119" i="13" s="1"/>
  <c r="M119" i="13" a="1"/>
  <c r="M119" i="13" s="1"/>
  <c r="L119" i="13" a="1"/>
  <c r="L119" i="13" s="1"/>
  <c r="K119" i="13" a="1"/>
  <c r="K119" i="13" s="1"/>
  <c r="J119" i="13" a="1"/>
  <c r="J119" i="13" s="1"/>
  <c r="I119" i="13" a="1"/>
  <c r="I119" i="13" s="1"/>
  <c r="H119" i="13" a="1"/>
  <c r="H119" i="13" s="1"/>
  <c r="G119" i="13" a="1"/>
  <c r="G119" i="13" s="1"/>
  <c r="F119" i="13" a="1"/>
  <c r="F119" i="13" s="1"/>
  <c r="E119" i="13" a="1"/>
  <c r="E119" i="13" s="1"/>
  <c r="D119" i="13" a="1"/>
  <c r="D119" i="13" s="1"/>
  <c r="C119" i="13" a="1"/>
  <c r="C119" i="13" s="1"/>
  <c r="B119" i="13" a="1"/>
  <c r="B119" i="13" s="1"/>
  <c r="AB75" i="13" a="1"/>
  <c r="AB75" i="13" s="1"/>
  <c r="AA75" i="13" a="1"/>
  <c r="AA75" i="13" s="1"/>
  <c r="Z75" i="13" a="1"/>
  <c r="Z75" i="13" s="1"/>
  <c r="Y75" i="13" a="1"/>
  <c r="Y75" i="13" s="1"/>
  <c r="X75" i="13" a="1"/>
  <c r="X75" i="13" s="1"/>
  <c r="W75" i="13" a="1"/>
  <c r="W75" i="13" s="1"/>
  <c r="V75" i="13" a="1"/>
  <c r="V75" i="13" s="1"/>
  <c r="U75" i="13" a="1"/>
  <c r="U75" i="13" s="1"/>
  <c r="T75" i="13" a="1"/>
  <c r="T75" i="13" s="1"/>
  <c r="S75" i="13" a="1"/>
  <c r="S75" i="13" s="1"/>
  <c r="R75" i="13" a="1"/>
  <c r="R75" i="13" s="1"/>
  <c r="Q75" i="13" a="1"/>
  <c r="Q75" i="13" s="1"/>
  <c r="P75" i="13" a="1"/>
  <c r="P75" i="13" s="1"/>
  <c r="AB74" i="13" a="1"/>
  <c r="AB74" i="13" s="1"/>
  <c r="AA74" i="13" a="1"/>
  <c r="AA74" i="13" s="1"/>
  <c r="Z74" i="13" a="1"/>
  <c r="Z74" i="13" s="1"/>
  <c r="Y74" i="13" a="1"/>
  <c r="Y74" i="13" s="1"/>
  <c r="X74" i="13" a="1"/>
  <c r="X74" i="13" s="1"/>
  <c r="W74" i="13" a="1"/>
  <c r="W74" i="13" s="1"/>
  <c r="V74" i="13" a="1"/>
  <c r="V74" i="13" s="1"/>
  <c r="U74" i="13" a="1"/>
  <c r="U74" i="13" s="1"/>
  <c r="T74" i="13" a="1"/>
  <c r="T74" i="13" s="1"/>
  <c r="S74" i="13" a="1"/>
  <c r="S74" i="13" s="1"/>
  <c r="R74" i="13" a="1"/>
  <c r="R74" i="13" s="1"/>
  <c r="Q74" i="13" a="1"/>
  <c r="Q74" i="13" s="1"/>
  <c r="P74" i="13" a="1"/>
  <c r="P74" i="13" s="1"/>
  <c r="AB73" i="13" a="1"/>
  <c r="AB73" i="13" s="1"/>
  <c r="AA73" i="13" a="1"/>
  <c r="AA73" i="13" s="1"/>
  <c r="Z73" i="13" a="1"/>
  <c r="Z73" i="13" s="1"/>
  <c r="Y73" i="13" a="1"/>
  <c r="Y73" i="13" s="1"/>
  <c r="X73" i="13" a="1"/>
  <c r="X73" i="13" s="1"/>
  <c r="W73" i="13" a="1"/>
  <c r="W73" i="13" s="1"/>
  <c r="V73" i="13" a="1"/>
  <c r="V73" i="13" s="1"/>
  <c r="U73" i="13" a="1"/>
  <c r="U73" i="13" s="1"/>
  <c r="T73" i="13" a="1"/>
  <c r="T73" i="13" s="1"/>
  <c r="S73" i="13" a="1"/>
  <c r="S73" i="13" s="1"/>
  <c r="R73" i="13" a="1"/>
  <c r="R73" i="13" s="1"/>
  <c r="Q73" i="13" a="1"/>
  <c r="Q73" i="13" s="1"/>
  <c r="P73" i="13" a="1"/>
  <c r="P73" i="13" s="1"/>
  <c r="AB72" i="13" a="1"/>
  <c r="AB72" i="13" s="1"/>
  <c r="AA72" i="13" a="1"/>
  <c r="AA72" i="13" s="1"/>
  <c r="Z72" i="13" a="1"/>
  <c r="Z72" i="13" s="1"/>
  <c r="Y72" i="13" a="1"/>
  <c r="Y72" i="13" s="1"/>
  <c r="X72" i="13" a="1"/>
  <c r="X72" i="13" s="1"/>
  <c r="W72" i="13" a="1"/>
  <c r="W72" i="13" s="1"/>
  <c r="V72" i="13" a="1"/>
  <c r="V72" i="13" s="1"/>
  <c r="U72" i="13" a="1"/>
  <c r="U72" i="13" s="1"/>
  <c r="T72" i="13" a="1"/>
  <c r="T72" i="13" s="1"/>
  <c r="S72" i="13" a="1"/>
  <c r="S72" i="13" s="1"/>
  <c r="R72" i="13" a="1"/>
  <c r="R72" i="13" s="1"/>
  <c r="Q72" i="13" a="1"/>
  <c r="Q72" i="13" s="1"/>
  <c r="P72" i="13" a="1"/>
  <c r="P72" i="13" s="1"/>
  <c r="AB71" i="13" a="1"/>
  <c r="AB71" i="13" s="1"/>
  <c r="AA71" i="13" a="1"/>
  <c r="AA71" i="13" s="1"/>
  <c r="Z71" i="13" a="1"/>
  <c r="Z71" i="13" s="1"/>
  <c r="Y71" i="13" a="1"/>
  <c r="Y71" i="13" s="1"/>
  <c r="X71" i="13" a="1"/>
  <c r="X71" i="13" s="1"/>
  <c r="W71" i="13" a="1"/>
  <c r="W71" i="13" s="1"/>
  <c r="V71" i="13" a="1"/>
  <c r="V71" i="13" s="1"/>
  <c r="U71" i="13" a="1"/>
  <c r="U71" i="13" s="1"/>
  <c r="T71" i="13" a="1"/>
  <c r="T71" i="13" s="1"/>
  <c r="S71" i="13" a="1"/>
  <c r="S71" i="13" s="1"/>
  <c r="R71" i="13" a="1"/>
  <c r="R71" i="13" s="1"/>
  <c r="Q71" i="13" a="1"/>
  <c r="Q71" i="13" s="1"/>
  <c r="P71" i="13" a="1"/>
  <c r="P71" i="13" s="1"/>
  <c r="AB70" i="13" a="1"/>
  <c r="AB70" i="13" s="1"/>
  <c r="AA70" i="13" a="1"/>
  <c r="AA70" i="13" s="1"/>
  <c r="Z70" i="13" a="1"/>
  <c r="Z70" i="13" s="1"/>
  <c r="Y70" i="13" a="1"/>
  <c r="Y70" i="13" s="1"/>
  <c r="X70" i="13" a="1"/>
  <c r="X70" i="13" s="1"/>
  <c r="W70" i="13" a="1"/>
  <c r="W70" i="13" s="1"/>
  <c r="V70" i="13" a="1"/>
  <c r="V70" i="13" s="1"/>
  <c r="U70" i="13" a="1"/>
  <c r="U70" i="13" s="1"/>
  <c r="T70" i="13" a="1"/>
  <c r="T70" i="13" s="1"/>
  <c r="S70" i="13" a="1"/>
  <c r="S70" i="13" s="1"/>
  <c r="R70" i="13" a="1"/>
  <c r="R70" i="13" s="1"/>
  <c r="Q70" i="13" a="1"/>
  <c r="Q70" i="13" s="1"/>
  <c r="P70" i="13" a="1"/>
  <c r="P70" i="13" s="1"/>
  <c r="AB69" i="13" a="1"/>
  <c r="AB69" i="13" s="1"/>
  <c r="AA69" i="13" a="1"/>
  <c r="AA69" i="13" s="1"/>
  <c r="Z69" i="13" a="1"/>
  <c r="Z69" i="13" s="1"/>
  <c r="Y69" i="13" a="1"/>
  <c r="Y69" i="13" s="1"/>
  <c r="X69" i="13" a="1"/>
  <c r="X69" i="13" s="1"/>
  <c r="W69" i="13" a="1"/>
  <c r="W69" i="13" s="1"/>
  <c r="V69" i="13" a="1"/>
  <c r="V69" i="13" s="1"/>
  <c r="U69" i="13" a="1"/>
  <c r="U69" i="13" s="1"/>
  <c r="T69" i="13" a="1"/>
  <c r="T69" i="13" s="1"/>
  <c r="S69" i="13" a="1"/>
  <c r="S69" i="13" s="1"/>
  <c r="R69" i="13" a="1"/>
  <c r="R69" i="13" s="1"/>
  <c r="Q69" i="13" a="1"/>
  <c r="Q69" i="13" s="1"/>
  <c r="P69" i="13" a="1"/>
  <c r="P69" i="13" s="1"/>
  <c r="AB68" i="13" a="1"/>
  <c r="AB68" i="13" s="1"/>
  <c r="AA68" i="13" a="1"/>
  <c r="AA68" i="13" s="1"/>
  <c r="Z68" i="13" a="1"/>
  <c r="Z68" i="13" s="1"/>
  <c r="Y68" i="13" a="1"/>
  <c r="Y68" i="13" s="1"/>
  <c r="X68" i="13" a="1"/>
  <c r="X68" i="13" s="1"/>
  <c r="W68" i="13" a="1"/>
  <c r="W68" i="13" s="1"/>
  <c r="V68" i="13" a="1"/>
  <c r="V68" i="13" s="1"/>
  <c r="U68" i="13" a="1"/>
  <c r="U68" i="13" s="1"/>
  <c r="T68" i="13" a="1"/>
  <c r="T68" i="13" s="1"/>
  <c r="S68" i="13" a="1"/>
  <c r="S68" i="13" s="1"/>
  <c r="R68" i="13" a="1"/>
  <c r="R68" i="13" s="1"/>
  <c r="Q68" i="13" a="1"/>
  <c r="Q68" i="13" s="1"/>
  <c r="P68" i="13" a="1"/>
  <c r="P68" i="13" s="1"/>
  <c r="AB67" i="13" a="1"/>
  <c r="AB67" i="13" s="1"/>
  <c r="AA67" i="13" a="1"/>
  <c r="AA67" i="13" s="1"/>
  <c r="Z67" i="13" a="1"/>
  <c r="Z67" i="13" s="1"/>
  <c r="Y67" i="13" a="1"/>
  <c r="Y67" i="13" s="1"/>
  <c r="X67" i="13" a="1"/>
  <c r="X67" i="13" s="1"/>
  <c r="W67" i="13" a="1"/>
  <c r="W67" i="13" s="1"/>
  <c r="V67" i="13" a="1"/>
  <c r="V67" i="13" s="1"/>
  <c r="U67" i="13" a="1"/>
  <c r="U67" i="13" s="1"/>
  <c r="T67" i="13" a="1"/>
  <c r="T67" i="13" s="1"/>
  <c r="S67" i="13" a="1"/>
  <c r="S67" i="13" s="1"/>
  <c r="R67" i="13" a="1"/>
  <c r="R67" i="13" s="1"/>
  <c r="Q67" i="13" a="1"/>
  <c r="Q67" i="13" s="1"/>
  <c r="P67" i="13" a="1"/>
  <c r="P67" i="13" s="1"/>
  <c r="AB66" i="13" a="1"/>
  <c r="AB66" i="13" s="1"/>
  <c r="AA66" i="13" a="1"/>
  <c r="AA66" i="13" s="1"/>
  <c r="Z66" i="13" a="1"/>
  <c r="Z66" i="13" s="1"/>
  <c r="Y66" i="13" a="1"/>
  <c r="Y66" i="13" s="1"/>
  <c r="X66" i="13" a="1"/>
  <c r="X66" i="13" s="1"/>
  <c r="W66" i="13" a="1"/>
  <c r="W66" i="13" s="1"/>
  <c r="V66" i="13" a="1"/>
  <c r="V66" i="13" s="1"/>
  <c r="U66" i="13" a="1"/>
  <c r="U66" i="13" s="1"/>
  <c r="T66" i="13" a="1"/>
  <c r="T66" i="13" s="1"/>
  <c r="S66" i="13" a="1"/>
  <c r="S66" i="13" s="1"/>
  <c r="R66" i="13" a="1"/>
  <c r="R66" i="13" s="1"/>
  <c r="Q66" i="13" a="1"/>
  <c r="Q66" i="13" s="1"/>
  <c r="P66" i="13" a="1"/>
  <c r="P66" i="13" s="1"/>
  <c r="AB65" i="13" a="1"/>
  <c r="AB65" i="13" s="1"/>
  <c r="AA65" i="13" a="1"/>
  <c r="AA65" i="13" s="1"/>
  <c r="Z65" i="13" a="1"/>
  <c r="Z65" i="13" s="1"/>
  <c r="Y65" i="13" a="1"/>
  <c r="Y65" i="13" s="1"/>
  <c r="X65" i="13" a="1"/>
  <c r="X65" i="13" s="1"/>
  <c r="W65" i="13" a="1"/>
  <c r="W65" i="13" s="1"/>
  <c r="V65" i="13" a="1"/>
  <c r="V65" i="13" s="1"/>
  <c r="U65" i="13" a="1"/>
  <c r="U65" i="13" s="1"/>
  <c r="T65" i="13" a="1"/>
  <c r="T65" i="13" s="1"/>
  <c r="S65" i="13" a="1"/>
  <c r="S65" i="13" s="1"/>
  <c r="R65" i="13" a="1"/>
  <c r="R65" i="13" s="1"/>
  <c r="Q65" i="13" a="1"/>
  <c r="Q65" i="13" s="1"/>
  <c r="P65" i="13" a="1"/>
  <c r="P65" i="13" s="1"/>
  <c r="AB64" i="13" a="1"/>
  <c r="AB64" i="13" s="1"/>
  <c r="AA64" i="13" a="1"/>
  <c r="AA64" i="13" s="1"/>
  <c r="Z64" i="13" a="1"/>
  <c r="Z64" i="13" s="1"/>
  <c r="Y64" i="13" a="1"/>
  <c r="Y64" i="13" s="1"/>
  <c r="X64" i="13" a="1"/>
  <c r="X64" i="13" s="1"/>
  <c r="W64" i="13" a="1"/>
  <c r="W64" i="13" s="1"/>
  <c r="V64" i="13" a="1"/>
  <c r="V64" i="13" s="1"/>
  <c r="U64" i="13" a="1"/>
  <c r="U64" i="13" s="1"/>
  <c r="T64" i="13" a="1"/>
  <c r="T64" i="13" s="1"/>
  <c r="S64" i="13" a="1"/>
  <c r="S64" i="13" s="1"/>
  <c r="R64" i="13" a="1"/>
  <c r="R64" i="13" s="1"/>
  <c r="Q64" i="13" a="1"/>
  <c r="Q64" i="13" s="1"/>
  <c r="P64" i="13" a="1"/>
  <c r="P64" i="13" s="1"/>
  <c r="AB63" i="13" a="1"/>
  <c r="AB63" i="13" s="1"/>
  <c r="AA63" i="13" a="1"/>
  <c r="AA63" i="13" s="1"/>
  <c r="Z63" i="13" a="1"/>
  <c r="Z63" i="13" s="1"/>
  <c r="Y63" i="13" a="1"/>
  <c r="Y63" i="13" s="1"/>
  <c r="X63" i="13" a="1"/>
  <c r="X63" i="13" s="1"/>
  <c r="W63" i="13" a="1"/>
  <c r="W63" i="13" s="1"/>
  <c r="V63" i="13" a="1"/>
  <c r="V63" i="13" s="1"/>
  <c r="U63" i="13" a="1"/>
  <c r="U63" i="13" s="1"/>
  <c r="T63" i="13" a="1"/>
  <c r="T63" i="13" s="1"/>
  <c r="S63" i="13" a="1"/>
  <c r="S63" i="13" s="1"/>
  <c r="R63" i="13" a="1"/>
  <c r="R63" i="13" s="1"/>
  <c r="Q63" i="13" a="1"/>
  <c r="Q63" i="13" s="1"/>
  <c r="P63" i="13" a="1"/>
  <c r="P63" i="13" s="1"/>
  <c r="AB62" i="13" a="1"/>
  <c r="AB62" i="13" s="1"/>
  <c r="AA62" i="13" a="1"/>
  <c r="AA62" i="13" s="1"/>
  <c r="Z62" i="13" a="1"/>
  <c r="Z62" i="13" s="1"/>
  <c r="Y62" i="13" a="1"/>
  <c r="Y62" i="13" s="1"/>
  <c r="X62" i="13" a="1"/>
  <c r="X62" i="13" s="1"/>
  <c r="W62" i="13" a="1"/>
  <c r="W62" i="13" s="1"/>
  <c r="V62" i="13" a="1"/>
  <c r="V62" i="13" s="1"/>
  <c r="U62" i="13" a="1"/>
  <c r="U62" i="13" s="1"/>
  <c r="T62" i="13" a="1"/>
  <c r="T62" i="13" s="1"/>
  <c r="S62" i="13" a="1"/>
  <c r="S62" i="13" s="1"/>
  <c r="R62" i="13" a="1"/>
  <c r="R62" i="13" s="1"/>
  <c r="Q62" i="13" a="1"/>
  <c r="Q62" i="13" s="1"/>
  <c r="P62" i="13" a="1"/>
  <c r="P62" i="13" s="1"/>
  <c r="AB61" i="13" a="1"/>
  <c r="AB61" i="13" s="1"/>
  <c r="AA61" i="13" a="1"/>
  <c r="AA61" i="13" s="1"/>
  <c r="Z61" i="13" a="1"/>
  <c r="Z61" i="13" s="1"/>
  <c r="Y61" i="13" a="1"/>
  <c r="Y61" i="13" s="1"/>
  <c r="X61" i="13" a="1"/>
  <c r="X61" i="13" s="1"/>
  <c r="W61" i="13" a="1"/>
  <c r="W61" i="13" s="1"/>
  <c r="V61" i="13" a="1"/>
  <c r="V61" i="13" s="1"/>
  <c r="U61" i="13" a="1"/>
  <c r="U61" i="13" s="1"/>
  <c r="T61" i="13" a="1"/>
  <c r="T61" i="13" s="1"/>
  <c r="S61" i="13" a="1"/>
  <c r="S61" i="13" s="1"/>
  <c r="R61" i="13" a="1"/>
  <c r="R61" i="13" s="1"/>
  <c r="Q61" i="13" a="1"/>
  <c r="Q61" i="13" s="1"/>
  <c r="P61" i="13" a="1"/>
  <c r="P61" i="13" s="1"/>
  <c r="AB60" i="13" a="1"/>
  <c r="AB60" i="13" s="1"/>
  <c r="AA60" i="13" a="1"/>
  <c r="AA60" i="13" s="1"/>
  <c r="Z60" i="13" a="1"/>
  <c r="Z60" i="13" s="1"/>
  <c r="Y60" i="13" a="1"/>
  <c r="Y60" i="13" s="1"/>
  <c r="X60" i="13" a="1"/>
  <c r="X60" i="13" s="1"/>
  <c r="W60" i="13" a="1"/>
  <c r="W60" i="13" s="1"/>
  <c r="V60" i="13" a="1"/>
  <c r="V60" i="13" s="1"/>
  <c r="U60" i="13" a="1"/>
  <c r="U60" i="13" s="1"/>
  <c r="T60" i="13" a="1"/>
  <c r="T60" i="13" s="1"/>
  <c r="S60" i="13" a="1"/>
  <c r="S60" i="13" s="1"/>
  <c r="R60" i="13" a="1"/>
  <c r="R60" i="13" s="1"/>
  <c r="Q60" i="13" a="1"/>
  <c r="Q60" i="13" s="1"/>
  <c r="P60" i="13" a="1"/>
  <c r="P60" i="13" s="1"/>
  <c r="AB59" i="13" a="1"/>
  <c r="AB59" i="13" s="1"/>
  <c r="AA59" i="13" a="1"/>
  <c r="AA59" i="13" s="1"/>
  <c r="Z59" i="13" a="1"/>
  <c r="Z59" i="13" s="1"/>
  <c r="Y59" i="13" a="1"/>
  <c r="Y59" i="13" s="1"/>
  <c r="X59" i="13" a="1"/>
  <c r="X59" i="13" s="1"/>
  <c r="W59" i="13" a="1"/>
  <c r="W59" i="13" s="1"/>
  <c r="V59" i="13" a="1"/>
  <c r="V59" i="13" s="1"/>
  <c r="U59" i="13" a="1"/>
  <c r="U59" i="13" s="1"/>
  <c r="T59" i="13" a="1"/>
  <c r="T59" i="13" s="1"/>
  <c r="S59" i="13" a="1"/>
  <c r="S59" i="13" s="1"/>
  <c r="R59" i="13" a="1"/>
  <c r="R59" i="13" s="1"/>
  <c r="Q59" i="13" a="1"/>
  <c r="Q59" i="13" s="1"/>
  <c r="P59" i="13" a="1"/>
  <c r="P59" i="13" s="1"/>
  <c r="AB58" i="13" a="1"/>
  <c r="AB58" i="13" s="1"/>
  <c r="AA58" i="13" a="1"/>
  <c r="AA58" i="13" s="1"/>
  <c r="Z58" i="13" a="1"/>
  <c r="Z58" i="13" s="1"/>
  <c r="Y58" i="13" a="1"/>
  <c r="Y58" i="13" s="1"/>
  <c r="X58" i="13" a="1"/>
  <c r="X58" i="13" s="1"/>
  <c r="W58" i="13" a="1"/>
  <c r="W58" i="13" s="1"/>
  <c r="V58" i="13" a="1"/>
  <c r="V58" i="13" s="1"/>
  <c r="U58" i="13" a="1"/>
  <c r="U58" i="13" s="1"/>
  <c r="T58" i="13" a="1"/>
  <c r="T58" i="13" s="1"/>
  <c r="S58" i="13" a="1"/>
  <c r="S58" i="13" s="1"/>
  <c r="R58" i="13" a="1"/>
  <c r="R58" i="13" s="1"/>
  <c r="Q58" i="13" a="1"/>
  <c r="Q58" i="13" s="1"/>
  <c r="P58" i="13" a="1"/>
  <c r="P58" i="13" s="1"/>
  <c r="AB57" i="13" a="1"/>
  <c r="AB57" i="13" s="1"/>
  <c r="AA57" i="13" a="1"/>
  <c r="AA57" i="13" s="1"/>
  <c r="Z57" i="13" a="1"/>
  <c r="Z57" i="13" s="1"/>
  <c r="Y57" i="13" a="1"/>
  <c r="Y57" i="13" s="1"/>
  <c r="X57" i="13" a="1"/>
  <c r="X57" i="13" s="1"/>
  <c r="W57" i="13" a="1"/>
  <c r="W57" i="13" s="1"/>
  <c r="V57" i="13" a="1"/>
  <c r="V57" i="13" s="1"/>
  <c r="U57" i="13" a="1"/>
  <c r="U57" i="13" s="1"/>
  <c r="T57" i="13" a="1"/>
  <c r="T57" i="13" s="1"/>
  <c r="S57" i="13" a="1"/>
  <c r="S57" i="13" s="1"/>
  <c r="R57" i="13" a="1"/>
  <c r="R57" i="13" s="1"/>
  <c r="Q57" i="13" a="1"/>
  <c r="Q57" i="13" s="1"/>
  <c r="P57" i="13" a="1"/>
  <c r="P57" i="13" s="1"/>
  <c r="AB56" i="13" a="1"/>
  <c r="AB56" i="13" s="1"/>
  <c r="AA56" i="13" a="1"/>
  <c r="AA56" i="13" s="1"/>
  <c r="Z56" i="13" a="1"/>
  <c r="Z56" i="13" s="1"/>
  <c r="Y56" i="13" a="1"/>
  <c r="Y56" i="13" s="1"/>
  <c r="X56" i="13" a="1"/>
  <c r="X56" i="13" s="1"/>
  <c r="W56" i="13" a="1"/>
  <c r="W56" i="13" s="1"/>
  <c r="V56" i="13" a="1"/>
  <c r="V56" i="13" s="1"/>
  <c r="U56" i="13" a="1"/>
  <c r="U56" i="13" s="1"/>
  <c r="T56" i="13" a="1"/>
  <c r="T56" i="13" s="1"/>
  <c r="S56" i="13" a="1"/>
  <c r="S56" i="13" s="1"/>
  <c r="R56" i="13" a="1"/>
  <c r="R56" i="13" s="1"/>
  <c r="Q56" i="13" a="1"/>
  <c r="Q56" i="13" s="1"/>
  <c r="P56" i="13" a="1"/>
  <c r="P56" i="13" s="1"/>
  <c r="AB55" i="13" a="1"/>
  <c r="AB55" i="13" s="1"/>
  <c r="AA55" i="13" a="1"/>
  <c r="AA55" i="13" s="1"/>
  <c r="Z55" i="13" a="1"/>
  <c r="Z55" i="13" s="1"/>
  <c r="Y55" i="13" a="1"/>
  <c r="Y55" i="13" s="1"/>
  <c r="X55" i="13" a="1"/>
  <c r="X55" i="13" s="1"/>
  <c r="W55" i="13" a="1"/>
  <c r="W55" i="13" s="1"/>
  <c r="V55" i="13" a="1"/>
  <c r="V55" i="13" s="1"/>
  <c r="U55" i="13" a="1"/>
  <c r="U55" i="13" s="1"/>
  <c r="T55" i="13" a="1"/>
  <c r="T55" i="13" s="1"/>
  <c r="S55" i="13" a="1"/>
  <c r="S55" i="13" s="1"/>
  <c r="R55" i="13" a="1"/>
  <c r="R55" i="13" s="1"/>
  <c r="Q55" i="13" a="1"/>
  <c r="Q55" i="13" s="1"/>
  <c r="P55" i="13" a="1"/>
  <c r="P55" i="13" s="1"/>
  <c r="AB54" i="13" a="1"/>
  <c r="AB54" i="13" s="1"/>
  <c r="AA54" i="13" a="1"/>
  <c r="AA54" i="13" s="1"/>
  <c r="Z54" i="13" a="1"/>
  <c r="Z54" i="13" s="1"/>
  <c r="Y54" i="13" a="1"/>
  <c r="Y54" i="13" s="1"/>
  <c r="X54" i="13" a="1"/>
  <c r="X54" i="13" s="1"/>
  <c r="W54" i="13" a="1"/>
  <c r="W54" i="13" s="1"/>
  <c r="V54" i="13" a="1"/>
  <c r="V54" i="13" s="1"/>
  <c r="U54" i="13" a="1"/>
  <c r="U54" i="13" s="1"/>
  <c r="T54" i="13" a="1"/>
  <c r="T54" i="13" s="1"/>
  <c r="S54" i="13" a="1"/>
  <c r="S54" i="13" s="1"/>
  <c r="R54" i="13" a="1"/>
  <c r="R54" i="13" s="1"/>
  <c r="Q54" i="13" a="1"/>
  <c r="Q54" i="13" s="1"/>
  <c r="P54" i="13" a="1"/>
  <c r="P54" i="13" s="1"/>
  <c r="AB53" i="13" a="1"/>
  <c r="AB53" i="13" s="1"/>
  <c r="AA53" i="13" a="1"/>
  <c r="AA53" i="13" s="1"/>
  <c r="Z53" i="13" a="1"/>
  <c r="Z53" i="13" s="1"/>
  <c r="Y53" i="13" a="1"/>
  <c r="Y53" i="13" s="1"/>
  <c r="X53" i="13" a="1"/>
  <c r="X53" i="13" s="1"/>
  <c r="W53" i="13" a="1"/>
  <c r="W53" i="13" s="1"/>
  <c r="V53" i="13" a="1"/>
  <c r="V53" i="13" s="1"/>
  <c r="U53" i="13" a="1"/>
  <c r="U53" i="13" s="1"/>
  <c r="T53" i="13" a="1"/>
  <c r="T53" i="13" s="1"/>
  <c r="S53" i="13" a="1"/>
  <c r="S53" i="13" s="1"/>
  <c r="R53" i="13" a="1"/>
  <c r="R53" i="13" s="1"/>
  <c r="Q53" i="13" a="1"/>
  <c r="Q53" i="13" s="1"/>
  <c r="P53" i="13" a="1"/>
  <c r="P53" i="13" s="1"/>
  <c r="AD47" i="13"/>
  <c r="AC47" i="13"/>
  <c r="O8" i="13" a="1"/>
  <c r="O8" i="13" s="1"/>
  <c r="M7" i="13" a="1"/>
  <c r="M7" i="13" s="1"/>
  <c r="O6" i="13"/>
  <c r="O5" i="13"/>
  <c r="O7" i="13" s="1" a="1"/>
  <c r="B34" i="13" a="1"/>
  <c r="D33" i="13" a="1"/>
  <c r="D32" i="13" a="1"/>
  <c r="O14" i="13" a="1"/>
  <c r="O13" i="13" a="1"/>
  <c r="P52" i="13" a="1"/>
  <c r="P52" i="13" l="1"/>
  <c r="D32" i="13"/>
  <c r="D33" i="13"/>
  <c r="B34" i="13"/>
  <c r="D34" i="13" s="1"/>
  <c r="O14" i="13"/>
  <c r="O7" i="13"/>
  <c r="O13" i="13"/>
  <c r="AC69" i="13" a="1"/>
  <c r="AC74" i="13" a="1"/>
  <c r="AC55" i="13" a="1"/>
  <c r="AC63" i="13" a="1"/>
  <c r="AC66" i="13" a="1"/>
  <c r="AC56" i="13" a="1"/>
  <c r="AC67" i="13" a="1"/>
  <c r="AC52" i="13" a="1"/>
  <c r="AC65" i="13" a="1"/>
  <c r="AC70" i="13" a="1"/>
  <c r="AC62" i="13" a="1"/>
  <c r="AC73" i="13" a="1"/>
  <c r="AC61" i="13" a="1"/>
  <c r="AC60" i="13" a="1"/>
  <c r="AC54" i="13" a="1"/>
  <c r="AC59" i="13" a="1"/>
  <c r="AC58" i="13" a="1"/>
  <c r="AC53" i="13" a="1"/>
  <c r="AC64" i="13" a="1"/>
  <c r="AC75" i="13" a="1"/>
  <c r="AC71" i="13" a="1"/>
  <c r="AC68" i="13" a="1"/>
  <c r="AC72" i="13" a="1"/>
  <c r="AC57" i="13" a="1"/>
  <c r="AC70" i="13" l="1"/>
  <c r="AC57" i="13"/>
  <c r="AC65" i="13"/>
  <c r="AC63" i="13"/>
  <c r="AC68" i="13"/>
  <c r="AC61" i="13"/>
  <c r="AC73" i="13"/>
  <c r="AC66" i="13"/>
  <c r="AC56" i="13"/>
  <c r="AC55" i="13"/>
  <c r="AC67" i="13"/>
  <c r="AC53" i="13"/>
  <c r="AC52" i="13"/>
  <c r="AC69" i="13"/>
  <c r="AC75" i="13"/>
  <c r="AC74" i="13"/>
  <c r="AC54" i="13"/>
  <c r="AC60" i="13"/>
  <c r="AC59" i="13"/>
  <c r="AC72" i="13"/>
  <c r="AC62" i="13"/>
  <c r="AC58" i="13"/>
  <c r="AC64" i="13"/>
  <c r="AC71" i="13"/>
  <c r="U52" i="13"/>
  <c r="AB52" i="13"/>
  <c r="AA52" i="13"/>
  <c r="Y52" i="13"/>
  <c r="Z52" i="13"/>
  <c r="X52" i="13"/>
  <c r="W52" i="13"/>
  <c r="V52" i="13"/>
  <c r="T52" i="13"/>
  <c r="S52" i="13"/>
  <c r="Q52" i="13"/>
  <c r="R52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56C965-BB54-4E73-AD7B-00EFA3D7F073}" keepAlive="1" name="Query - ammunition 223rem" description="Connection to the 'ammunition 223rem' query in the workbook." type="5" refreshedVersion="8" background="1" saveData="1">
    <dbPr connection="Provider=Microsoft.Mashup.OleDb.1;Data Source=$Workbook$;Location=&quot;ammunition 223rem&quot;;Extended Properties=&quot;&quot;" command="SELECT * FROM [ammunition 223rem]"/>
  </connection>
  <connection id="2" xr16:uid="{5533F8A5-E836-4C37-8428-30FBE1363CA6}" keepAlive="1" name="Query - ammunition 22lr" description="Connection to the 'ammunition 22lr' query in the workbook." type="5" refreshedVersion="8" background="1" saveData="1">
    <dbPr connection="Provider=Microsoft.Mashup.OleDb.1;Data Source=$Workbook$;Location=&quot;ammunition 22lr&quot;;Extended Properties=&quot;&quot;" command="SELECT * FROM [ammunition 22lr]"/>
  </connection>
  <connection id="3" xr16:uid="{0F7ECD56-82D0-475A-B0B5-B0F41AD54B28}" keepAlive="1" name="Query - ammunition 243win" description="Connection to the 'ammunition 243win' query in the workbook." type="5" refreshedVersion="8" background="1" saveData="1">
    <dbPr connection="Provider=Microsoft.Mashup.OleDb.1;Data Source=$Workbook$;Location=&quot;ammunition 243win&quot;;Extended Properties=&quot;&quot;" command="SELECT * FROM [ammunition 243win]"/>
  </connection>
  <connection id="4" xr16:uid="{1E68073B-19C7-42F5-BFDB-7145D94C6099}" keepAlive="1" name="Query - ammunition 270win" description="Connection to the 'ammunition 270win' query in the workbook." type="5" refreshedVersion="8" background="1" saveData="1">
    <dbPr connection="Provider=Microsoft.Mashup.OleDb.1;Data Source=$Workbook$;Location=&quot;ammunition 270win&quot;;Extended Properties=&quot;&quot;" command="SELECT * FROM [ammunition 270win]"/>
  </connection>
  <connection id="5" xr16:uid="{B3EA9B58-8333-4B36-AE8A-875B8AF407B7}" keepAlive="1" name="Query - ammunition 3006spring" description="Connection to the 'ammunition 3006spring' query in the workbook." type="5" refreshedVersion="8" background="1" saveData="1">
    <dbPr connection="Provider=Microsoft.Mashup.OleDb.1;Data Source=$Workbook$;Location=&quot;ammunition 3006spring&quot;;Extended Properties=&quot;&quot;" command="SELECT * FROM [ammunition 3006spring]"/>
  </connection>
  <connection id="6" xr16:uid="{87AD24BA-AFBC-4AEC-99DA-17D5FA3D0A6A}" keepAlive="1" name="Query - ammunition 300winmag" description="Connection to the 'ammunition 300winmag' query in the workbook." type="5" refreshedVersion="8" background="1" saveData="1">
    <dbPr connection="Provider=Microsoft.Mashup.OleDb.1;Data Source=$Workbook$;Location=&quot;ammunition 300winmag&quot;;Extended Properties=&quot;&quot;" command="SELECT * FROM [ammunition 300winmag]"/>
  </connection>
  <connection id="7" xr16:uid="{28174835-21C2-4098-A0CA-97D47302EEA5}" keepAlive="1" name="Query - ammunition 3030win" description="Connection to the 'ammunition 3030win' query in the workbook." type="5" refreshedVersion="8" background="1" saveData="1">
    <dbPr connection="Provider=Microsoft.Mashup.OleDb.1;Data Source=$Workbook$;Location=&quot;ammunition 3030win&quot;;Extended Properties=&quot;&quot;" command="SELECT * FROM [ammunition 3030win]"/>
  </connection>
  <connection id="8" xr16:uid="{FC3872D9-35F5-4DA4-A1AC-35656FD6CF37}" keepAlive="1" name="Query - ammunition 308win" description="Connection to the 'ammunition 308win' query in the workbook." type="5" refreshedVersion="8" background="1" saveData="1">
    <dbPr connection="Provider=Microsoft.Mashup.OleDb.1;Data Source=$Workbook$;Location=&quot;ammunition 308win&quot;;Extended Properties=&quot;&quot;" command="SELECT * FROM [ammunition 308win]"/>
  </connection>
  <connection id="9" xr16:uid="{A0A3F82B-FA42-4AA9-9667-A802800908F2}" keepAlive="1" name="Query - ammunition 338lapuamag" description="Connection to the 'ammunition 338lapuamag' query in the workbook." type="5" refreshedVersion="8" background="1" saveData="1">
    <dbPr connection="Provider=Microsoft.Mashup.OleDb.1;Data Source=$Workbook$;Location=&quot;ammunition 338lapuamag&quot;;Extended Properties=&quot;&quot;" command="SELECT * FROM [ammunition 338lapuamag]"/>
  </connection>
  <connection id="10" xr16:uid="{7E9D0473-EA7D-4883-89F5-998508252B11}" keepAlive="1" name="Query - ammunition 350remmag" description="Connection to the 'ammunition 350remmag' query in the workbook." type="5" refreshedVersion="8" background="1" saveData="1">
    <dbPr connection="Provider=Microsoft.Mashup.OleDb.1;Data Source=$Workbook$;Location=&quot;ammunition 350remmag&quot;;Extended Properties=&quot;&quot;" command="SELECT * FROM [ammunition 350remmag]"/>
  </connection>
  <connection id="11" xr16:uid="{633B2DD5-AFBB-4608-A736-260BB5815A0A}" keepAlive="1" name="Query - ammunition 375hhmag" description="Connection to the 'ammunition 375hhmag' query in the workbook." type="5" refreshedVersion="8" background="1" saveData="1">
    <dbPr connection="Provider=Microsoft.Mashup.OleDb.1;Data Source=$Workbook$;Location=&quot;ammunition 375hhmag&quot;;Extended Properties=&quot;&quot;" command="SELECT * FROM [ammunition 375hhmag]"/>
  </connection>
  <connection id="12" xr16:uid="{B393F531-8747-482E-896F-19E2F2121498}" keepAlive="1" name="Query - ammunition 65mmcreedmoor" description="Connection to the 'ammunition 65mmcreedmoor' query in the workbook." type="5" refreshedVersion="8" background="1" saveData="1">
    <dbPr connection="Provider=Microsoft.Mashup.OleDb.1;Data Source=$Workbook$;Location=&quot;ammunition 65mmcreedmoor&quot;;Extended Properties=&quot;&quot;" command="SELECT * FROM [ammunition 65mmcreedmoor]"/>
  </connection>
  <connection id="13" xr16:uid="{6E6C4F9E-1EA9-4233-AE9F-2F35658B7653}" keepAlive="1" name="Query - ammunition 7mm08rem" description="Connection to the 'ammunition 7mm08rem' query in the workbook." type="5" refreshedVersion="8" background="1" saveData="1">
    <dbPr connection="Provider=Microsoft.Mashup.OleDb.1;Data Source=$Workbook$;Location=&quot;ammunition 7mm08rem&quot;;Extended Properties=&quot;&quot;" command="SELECT * FROM [ammunition 7mm08rem]"/>
  </connection>
  <connection id="14" xr16:uid="{CD75C5FD-5033-4AF1-B4B0-D7880E6C34A8}" keepAlive="1" name="Query - ammunition 7mm08rem (2)" description="Connection to the 'ammunition 7mm08rem (2)' query in the workbook." type="5" refreshedVersion="8" background="1" saveData="1">
    <dbPr connection="Provider=Microsoft.Mashup.OleDb.1;Data Source=$Workbook$;Location=&quot;ammunition 7mm08rem (2)&quot;;Extended Properties=&quot;&quot;" command="SELECT * FROM [ammunition 7mm08rem (2)]"/>
  </connection>
  <connection id="15" xr16:uid="{C9DE8B9D-15CE-4812-A6A4-0964CB142633}" keepAlive="1" name="Query - ammunition 7mmprc" description="Connection to the 'ammunition 7mmprc' query in the workbook." type="5" refreshedVersion="8" background="1" saveData="1">
    <dbPr connection="Provider=Microsoft.Mashup.OleDb.1;Data Source=$Workbook$;Location=&quot;ammunition 7mmprc&quot;;Extended Properties=&quot;&quot;" command="SELECT * FROM [ammunition 7mmprc]"/>
  </connection>
  <connection id="16" xr16:uid="{03CE6601-26C3-4873-8B9F-A5C12D134E3E}" keepAlive="1" name="Query - ammunition 93mmx62mauser" description="Connection to the 'ammunition 93mmx62mauser' query in the workbook." type="5" refreshedVersion="8" background="1" saveData="1">
    <dbPr connection="Provider=Microsoft.Mashup.OleDb.1;Data Source=$Workbook$;Location=&quot;ammunition 93mmx62mauser&quot;;Extended Properties=&quot;&quot;" command="SELECT * FROM [ammunition 93mmx62mauser]"/>
  </connection>
  <connection id="17" xr16:uid="{AEC72CDA-6B3B-4109-B0CA-EE19E1573CA7}" keepAlive="1" name="Query - AmmunitionClassTable" description="Connection to the 'AmmunitionClassTable' query in the workbook." type="5" refreshedVersion="8" background="1" saveData="1">
    <dbPr connection="Provider=Microsoft.Mashup.OleDb.1;Data Source=$Workbook$;Location=AmmunitionClassTable;Extended Properties=&quot;&quot;" command="SELECT * FROM [AmmunitionClassTable]"/>
  </connection>
  <connection id="18" xr16:uid="{EAC48845-C6EC-4560-8659-51B07FD35F71}" keepAlive="1" name="Query - CartridgeNames" description="Connection to the 'CartridgeNames' query in the workbook." type="5" refreshedVersion="8" background="1" saveData="1">
    <dbPr connection="Provider=Microsoft.Mashup.OleDb.1;Data Source=$Workbook$;Location=CartridgeNames;Extended Properties=&quot;&quot;" command="SELECT * FROM [CartridgeNames]"/>
  </connection>
  <connection id="19" xr16:uid="{69D83D4E-6C46-4E7B-912E-B1D62EEA1803}" keepAlive="1" name="Query - rifles 223rem" description="Connection to the 'rifles 223rem' query in the workbook." type="5" refreshedVersion="8" background="1" saveData="1">
    <dbPr connection="Provider=Microsoft.Mashup.OleDb.1;Data Source=$Workbook$;Location=&quot;rifles 223rem&quot;;Extended Properties=&quot;&quot;" command="SELECT * FROM [rifles 223rem]"/>
  </connection>
  <connection id="20" xr16:uid="{CBEA0907-569D-4566-A477-F655229D5EBD}" keepAlive="1" name="Query - rifles 22lr" description="Connection to the 'rifles 22lr' query in the workbook." type="5" refreshedVersion="8" background="1" saveData="1">
    <dbPr connection="Provider=Microsoft.Mashup.OleDb.1;Data Source=$Workbook$;Location=&quot;rifles 22lr&quot;;Extended Properties=&quot;&quot;" command="SELECT * FROM [rifles 22lr]"/>
  </connection>
  <connection id="21" xr16:uid="{6BC85C83-C291-4F50-8EF3-C0668F919F0F}" keepAlive="1" name="Query - rifles 243win" description="Connection to the 'rifles 243win' query in the workbook." type="5" refreshedVersion="8" background="1" saveData="1">
    <dbPr connection="Provider=Microsoft.Mashup.OleDb.1;Data Source=$Workbook$;Location=&quot;rifles 243win&quot;;Extended Properties=&quot;&quot;" command="SELECT * FROM [rifles 243win]"/>
  </connection>
  <connection id="22" xr16:uid="{0662D94B-A6E7-4C61-9673-9C6D38365CEC}" keepAlive="1" name="Query - rifles 270win" description="Connection to the 'rifles 270win' query in the workbook." type="5" refreshedVersion="8" background="1" saveData="1">
    <dbPr connection="Provider=Microsoft.Mashup.OleDb.1;Data Source=$Workbook$;Location=&quot;rifles 270win&quot;;Extended Properties=&quot;&quot;" command="SELECT * FROM [rifles 270win]"/>
  </connection>
  <connection id="23" xr16:uid="{AA4DB48E-1219-45ED-9C45-DF63C5307A22}" keepAlive="1" name="Query - rifles 3006spring" description="Connection to the 'rifles 3006spring' query in the workbook." type="5" refreshedVersion="8" background="1" saveData="1">
    <dbPr connection="Provider=Microsoft.Mashup.OleDb.1;Data Source=$Workbook$;Location=&quot;rifles 3006spring&quot;;Extended Properties=&quot;&quot;" command="SELECT * FROM [rifles 3006spring]"/>
  </connection>
  <connection id="24" xr16:uid="{5EABF37C-A0D6-451D-962D-FE275BC9A185}" keepAlive="1" name="Query - rifles 300winmag" description="Connection to the 'rifles 300winmag' query in the workbook." type="5" refreshedVersion="8" background="1" saveData="1">
    <dbPr connection="Provider=Microsoft.Mashup.OleDb.1;Data Source=$Workbook$;Location=&quot;rifles 300winmag&quot;;Extended Properties=&quot;&quot;" command="SELECT * FROM [rifles 300winmag]"/>
  </connection>
  <connection id="25" xr16:uid="{A5B30C58-BAA3-4967-BD0E-4249076BD474}" keepAlive="1" name="Query - rifles 3030win" description="Connection to the 'rifles 3030win' query in the workbook." type="5" refreshedVersion="8" background="1" saveData="1">
    <dbPr connection="Provider=Microsoft.Mashup.OleDb.1;Data Source=$Workbook$;Location=&quot;rifles 3030win&quot;;Extended Properties=&quot;&quot;" command="SELECT * FROM [rifles 3030win]"/>
  </connection>
  <connection id="26" xr16:uid="{2C75628E-28CE-41C9-92BB-1FEB787CD587}" keepAlive="1" name="Query - rifles 308win" description="Connection to the 'rifles 308win' query in the workbook." type="5" refreshedVersion="8" background="1" saveData="1">
    <dbPr connection="Provider=Microsoft.Mashup.OleDb.1;Data Source=$Workbook$;Location=&quot;rifles 308win&quot;;Extended Properties=&quot;&quot;" command="SELECT * FROM [rifles 308win]"/>
  </connection>
  <connection id="27" xr16:uid="{71A3AAE1-7F0B-4BDB-8F70-0039815F9061}" keepAlive="1" name="Query - rifles 338lapuamag" description="Connection to the 'rifles 338lapuamag' query in the workbook." type="5" refreshedVersion="8" background="1" saveData="1">
    <dbPr connection="Provider=Microsoft.Mashup.OleDb.1;Data Source=$Workbook$;Location=&quot;rifles 338lapuamag&quot;;Extended Properties=&quot;&quot;" command="SELECT * FROM [rifles 338lapuamag]"/>
  </connection>
  <connection id="28" xr16:uid="{DFBA33A2-2742-4A65-9C4A-A3F3572DC6BD}" keepAlive="1" name="Query - rifles 350remmag" description="Connection to the 'rifles 350remmag' query in the workbook." type="5" refreshedVersion="8" background="1" saveData="1">
    <dbPr connection="Provider=Microsoft.Mashup.OleDb.1;Data Source=$Workbook$;Location=&quot;rifles 350remmag&quot;;Extended Properties=&quot;&quot;" command="SELECT * FROM [rifles 350remmag]"/>
  </connection>
  <connection id="29" xr16:uid="{9F2D58B2-58FD-485D-AAAF-1402547E4528}" keepAlive="1" name="Query - rifles 375hhmag" description="Connection to the 'rifles 375hhmag' query in the workbook." type="5" refreshedVersion="8" background="1" saveData="1">
    <dbPr connection="Provider=Microsoft.Mashup.OleDb.1;Data Source=$Workbook$;Location=&quot;rifles 375hhmag&quot;;Extended Properties=&quot;&quot;" command="SELECT * FROM [rifles 375hhmag]"/>
  </connection>
  <connection id="30" xr16:uid="{EF5D5933-5C45-490E-A2FE-FA6462241B19}" keepAlive="1" name="Query - rifles 65mmcreedmoor" description="Connection to the 'rifles 65mmcreedmoor' query in the workbook." type="5" refreshedVersion="8" background="1" saveData="1">
    <dbPr connection="Provider=Microsoft.Mashup.OleDb.1;Data Source=$Workbook$;Location=&quot;rifles 65mmcreedmoor&quot;;Extended Properties=&quot;&quot;" command="SELECT * FROM [rifles 65mmcreedmoor]"/>
  </connection>
  <connection id="31" xr16:uid="{F78EBB0C-A39F-4184-8FB5-A3E7B58FFB88}" keepAlive="1" name="Query - rifles 7mmprc" description="Connection to the 'rifles 7mmprc' query in the workbook." type="5" refreshedVersion="8" background="1" saveData="1">
    <dbPr connection="Provider=Microsoft.Mashup.OleDb.1;Data Source=$Workbook$;Location=&quot;rifles 7mmprc&quot;;Extended Properties=&quot;&quot;" command="SELECT * FROM [rifles 7mmprc]"/>
  </connection>
  <connection id="32" xr16:uid="{F896ACD0-82BE-4842-A3CC-69B6C0DF61EA}" keepAlive="1" name="Query - rifles 93mmx62mauser" description="Connection to the 'rifles 93mmx62mauser' query in the workbook." type="5" refreshedVersion="8" background="1" saveData="1">
    <dbPr connection="Provider=Microsoft.Mashup.OleDb.1;Data Source=$Workbook$;Location=&quot;rifles 93mmx62mauser&quot;;Extended Properties=&quot;&quot;" command="SELECT * FROM [rifles 93mmx62mauser]"/>
  </connection>
  <connection id="33" xr16:uid="{37839C02-7FA1-455E-9FC2-BC59E54FA390}" keepAlive="1" name="Query - RiflescopeData" description="Connection to the 'RiflescopeData' query in the workbook." type="5" refreshedVersion="8" background="1" saveData="1">
    <dbPr connection="Provider=Microsoft.Mashup.OleDb.1;Data Source=$Workbook$;Location=RiflescopeData;Extended Properties=&quot;&quot;" command="SELECT * FROM [RiflescopeData]"/>
  </connection>
  <connection id="34" xr16:uid="{C181995C-6DA9-42EE-BFE2-7A50763FDC82}" keepAlive="1" name="Query - SpeciesEnergyTable" description="Connection to the 'SpeciesEnergyTable' query in the workbook." type="5" refreshedVersion="8" background="1" saveData="1">
    <dbPr connection="Provider=Microsoft.Mashup.OleDb.1;Data Source=$Workbook$;Location=SpeciesEnergyTable;Extended Properties=&quot;&quot;" command="SELECT * FROM [SpeciesEnergyTable]"/>
  </connection>
  <connection id="35" xr16:uid="{05CEFF53-DFCE-4BC3-882B-8A58861225BF}" keepAlive="1" name="Query - SpecificationTypes" description="Connection to the 'SpecificationTypes' query in the workbook." type="5" refreshedVersion="8" background="1" saveData="1">
    <dbPr connection="Provider=Microsoft.Mashup.OleDb.1;Data Source=$Workbook$;Location=SpecificationTypes;Extended Properties=&quot;&quot;" command="SELECT * FROM [SpecificationTypes]"/>
  </connection>
  <connection id="36" xr16:uid="{A096A9C5-DD41-492F-8BC3-04EFD54C7DFA}" keepAlive="1" name="Query - Tiers" description="Connection to the 'Tiers' query in the workbook." type="5" refreshedVersion="8" background="1" saveData="1">
    <dbPr connection="Provider=Microsoft.Mashup.OleDb.1;Data Source=$Workbook$;Location=Tiers;Extended Properties=&quot;&quot;" command="SELECT * FROM [Tiers]"/>
  </connection>
  <connection id="37" xr16:uid="{CE21CF01-21A7-4DE7-BB63-05698C029897}" keepAlive="1" name="Query - UnitsDefinitions" description="Connection to the 'UnitsDefinitions' query in the workbook." type="5" refreshedVersion="8" background="1" saveData="1">
    <dbPr connection="Provider=Microsoft.Mashup.OleDb.1;Data Source=$Workbook$;Location=UnitsDefinitions;Extended Properties=&quot;&quot;" command="SELECT * FROM [UnitsDefinitio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<sst xmlns="http://schemas.openxmlformats.org/spreadsheetml/2006/main" count="179" uniqueCount="116">
  <si>
    <t>Range(m)</t>
  </si>
  <si>
    <t>50m zero</t>
  </si>
  <si>
    <t>100m zero</t>
  </si>
  <si>
    <t>150m zero</t>
  </si>
  <si>
    <t>200m zero</t>
  </si>
  <si>
    <t>300m zero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</si>
  <si>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</si>
  <si>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</si>
  <si>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</si>
  <si>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</si>
  <si>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</si>
  <si>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</si>
  <si>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</si>
  <si>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BC: G1</t>
  </si>
  <si>
    <t>Measured Elevation Angle (scope units)</t>
  </si>
  <si>
    <t>Calculated Trajectory(cm)</t>
  </si>
  <si>
    <t>Estimated Error</t>
  </si>
  <si>
    <t>(cm)</t>
  </si>
  <si>
    <t>400m zero</t>
  </si>
  <si>
    <t>500m zero</t>
  </si>
  <si>
    <t>Wind Drift</t>
  </si>
  <si>
    <t>Wind Drift (MOA)</t>
  </si>
  <si>
    <t>Wind Drift (MILS)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</si>
  <si>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</si>
  <si>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</si>
  <si>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</si>
  <si>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</si>
  <si>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</si>
  <si>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</si>
  <si>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</si>
  <si>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</si>
  <si>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MILS</t>
  </si>
  <si>
    <t>Measured Wind Drift</t>
  </si>
  <si>
    <t>(scope units)</t>
  </si>
  <si>
    <t>Calculated Wind Drift</t>
  </si>
  <si>
    <t>Scope Units To Real World Units Scale Factors</t>
  </si>
  <si>
    <t>Ballistics Coefficient</t>
  </si>
  <si>
    <t>BC Value</t>
  </si>
  <si>
    <t>600m Zero</t>
  </si>
  <si>
    <t>700m Zero</t>
  </si>
  <si>
    <t>800m Zero</t>
  </si>
  <si>
    <t>900m Zero</t>
  </si>
  <si>
    <t>1000m Zero</t>
  </si>
  <si>
    <t>500m Zero</t>
  </si>
  <si>
    <t>Wind Drift(CM)</t>
  </si>
  <si>
    <t>Windage(SU)</t>
  </si>
  <si>
    <t>Elevation Holdovers(SU)</t>
  </si>
  <si>
    <t>Polynomial Regression Coefficients/Degree</t>
  </si>
  <si>
    <t>R^2</t>
  </si>
  <si>
    <t>Energy(J)</t>
  </si>
  <si>
    <t>Range (m)</t>
  </si>
  <si>
    <t>Drop (cm)</t>
  </si>
  <si>
    <t>Drop (MOA)</t>
  </si>
  <si>
    <t>Drop (MIL)</t>
  </si>
  <si>
    <t>Wind Drift (cm)</t>
  </si>
  <si>
    <t>Wind Drift (MIL)</t>
  </si>
  <si>
    <t>Velocity (m/s)</t>
  </si>
  <si>
    <t>Energy (j)</t>
  </si>
  <si>
    <t>Federal</t>
  </si>
  <si>
    <t>Hornady</t>
  </si>
  <si>
    <t>Federal 50m Zero</t>
  </si>
  <si>
    <t>Hornady 50m Zero</t>
  </si>
  <si>
    <t>Average</t>
  </si>
  <si>
    <t>Std Dev</t>
  </si>
  <si>
    <t>Name</t>
  </si>
  <si>
    <t>Reticle Units</t>
  </si>
  <si>
    <t>Reticle Focal Plane</t>
  </si>
  <si>
    <t>Minor Subtensions</t>
  </si>
  <si>
    <t>Intermediate Subtensions</t>
  </si>
  <si>
    <t>Major Subtensions</t>
  </si>
  <si>
    <t>Riflescope</t>
  </si>
  <si>
    <t xml:space="preserve">Rifle </t>
  </si>
  <si>
    <t>Barrel Length</t>
  </si>
  <si>
    <t>Calibration Zoom</t>
  </si>
  <si>
    <t>Usable Angular Resolution</t>
  </si>
  <si>
    <t>Reticle Type</t>
  </si>
  <si>
    <t>Zoom Range</t>
  </si>
  <si>
    <t>Overall Length</t>
  </si>
  <si>
    <t>Weight</t>
  </si>
  <si>
    <t>1-Sigma Precision</t>
  </si>
  <si>
    <t>2-Sigma Precision</t>
  </si>
  <si>
    <t>Twist Rate</t>
  </si>
  <si>
    <t>(m)</t>
  </si>
  <si>
    <t>Measured Energy</t>
  </si>
  <si>
    <t>(Joules)</t>
  </si>
  <si>
    <t>in</t>
  </si>
  <si>
    <t>Muzzle Velocity</t>
  </si>
  <si>
    <t>grain</t>
  </si>
  <si>
    <t>g</t>
  </si>
  <si>
    <t>ft/sec</t>
  </si>
  <si>
    <t>m/sec</t>
  </si>
  <si>
    <t>cm</t>
  </si>
  <si>
    <t>km/hr</t>
  </si>
  <si>
    <t>flb</t>
  </si>
  <si>
    <t>J</t>
  </si>
  <si>
    <t>degrees</t>
  </si>
  <si>
    <t>SU</t>
  </si>
  <si>
    <t>Bullet Type</t>
  </si>
  <si>
    <t>Bullet Weight</t>
  </si>
  <si>
    <t>Muzzle Energy</t>
  </si>
  <si>
    <t>BC: G7</t>
  </si>
  <si>
    <t>Actual Ammunition Used</t>
  </si>
  <si>
    <t>Shooting Parameters</t>
  </si>
  <si>
    <t>Sight Height</t>
  </si>
  <si>
    <t>Shot Angle</t>
  </si>
  <si>
    <t>Wind Speed</t>
  </si>
  <si>
    <t>Wind Direction</t>
  </si>
  <si>
    <t>Measured Dispersion Circles</t>
  </si>
  <si>
    <t>Outer Circle</t>
  </si>
  <si>
    <t>Inner Circle</t>
  </si>
  <si>
    <t>Scope Units Conversion Factor</t>
  </si>
  <si>
    <t>Probable Error</t>
  </si>
  <si>
    <t>Probable Error Rifle</t>
  </si>
  <si>
    <t>Ammunition Specifications (Manufacturer)</t>
  </si>
  <si>
    <t>Ammunition Specifications (Game)</t>
  </si>
  <si>
    <t>Barrel Length Corrections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</si>
</sst>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E+0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76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3" tint="0.749961851863155"/>
        <bgColor indexed="64"/>
      </patternFill>
    </fill>
    <fill>
      <patternFill patternType="solid">
        <fgColor theme="0" tint="-0.14996795556505021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1499679555650502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2" fillId="6" borderId="5" applyNumberFormat="0" applyAlignment="0" applyProtection="0"/>
  </cellStyleXfs>
  <cellXfs count="15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164" fontId="0" fillId="0" borderId="2" xfId="0" applyNumberFormat="1" applyBorder="1"/>
    <xf numFmtId="164" fontId="0" fillId="3" borderId="2" xfId="0" applyNumberFormat="1" applyFill="1" applyBorder="1"/>
    <xf numFmtId="164" fontId="0" fillId="5" borderId="1" xfId="0" applyNumberFormat="1" applyFill="1" applyBorder="1"/>
    <xf numFmtId="164" fontId="0" fillId="5" borderId="2" xfId="0" applyNumberFormat="1" applyFill="1" applyBorder="1"/>
    <xf numFmtId="165" fontId="0" fillId="0" borderId="0" xfId="0" applyNumberFormat="1"/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2" fontId="0" fillId="5" borderId="2" xfId="0" applyNumberFormat="1" applyFill="1" applyBorder="1"/>
    <xf numFmtId="49" fontId="1" fillId="0" borderId="0" xfId="0" applyNumberFormat="1" applyFont="1" applyAlignment="1">
      <alignment horizontal="center"/>
    </xf>
    <xf numFmtId="49" fontId="1" fillId="0" borderId="0" xfId="0" applyNumberFormat="1" applyFont="1"/>
    <xf numFmtId="0" fontId="1" fillId="0" borderId="0" xfId="0" applyFont="1" applyAlignment="1">
      <alignment horizontal="center"/>
    </xf>
    <xf numFmtId="0" fontId="1" fillId="4" borderId="1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0" fillId="3" borderId="1" xfId="0" applyFill="1" applyBorder="1"/>
    <xf numFmtId="165" fontId="0" fillId="3" borderId="1" xfId="0" applyNumberFormat="1" applyFill="1" applyBorder="1" applyAlignment="1">
      <alignment horizontal="right"/>
    </xf>
    <xf numFmtId="1" fontId="0" fillId="3" borderId="1" xfId="0" applyNumberFormat="1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49" fontId="0" fillId="7" borderId="9" xfId="0" applyNumberFormat="1" applyFill="1" applyBorder="1" applyAlignment="1">
      <alignment horizontal="right"/>
    </xf>
    <xf numFmtId="49" fontId="1" fillId="7" borderId="0" xfId="0" applyNumberFormat="1" applyFont="1" applyFill="1" applyAlignment="1">
      <alignment horizontal="center"/>
    </xf>
    <xf numFmtId="2" fontId="0" fillId="0" borderId="9" xfId="0" applyNumberFormat="1" applyBorder="1"/>
    <xf numFmtId="2" fontId="0" fillId="0" borderId="0" xfId="0" applyNumberFormat="1" applyAlignment="1">
      <alignment horizontal="right"/>
    </xf>
    <xf numFmtId="164" fontId="0" fillId="0" borderId="10" xfId="0" applyNumberFormat="1" applyBorder="1"/>
    <xf numFmtId="0" fontId="0" fillId="0" borderId="10" xfId="0" applyBorder="1"/>
    <xf numFmtId="2" fontId="0" fillId="0" borderId="10" xfId="0" applyNumberFormat="1" applyBorder="1"/>
    <xf numFmtId="2" fontId="0" fillId="0" borderId="11" xfId="0" applyNumberFormat="1" applyBorder="1"/>
    <xf numFmtId="0" fontId="0" fillId="0" borderId="12" xfId="0" applyBorder="1"/>
    <xf numFmtId="2" fontId="0" fillId="0" borderId="12" xfId="0" applyNumberFormat="1" applyBorder="1"/>
    <xf numFmtId="2" fontId="0" fillId="0" borderId="13" xfId="0" applyNumberFormat="1" applyBorder="1"/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center" wrapText="1"/>
    </xf>
    <xf numFmtId="164" fontId="0" fillId="3" borderId="0" xfId="0" applyNumberFormat="1" applyFill="1"/>
    <xf numFmtId="0" fontId="0" fillId="0" borderId="14" xfId="0" applyBorder="1"/>
    <xf numFmtId="0" fontId="0" fillId="5" borderId="14" xfId="0" applyFill="1" applyBorder="1"/>
    <xf numFmtId="164" fontId="2" fillId="5" borderId="14" xfId="1" applyNumberFormat="1" applyFill="1" applyBorder="1"/>
    <xf numFmtId="49" fontId="1" fillId="5" borderId="14" xfId="0" applyNumberFormat="1" applyFont="1" applyFill="1" applyBorder="1" applyAlignment="1">
      <alignment horizontal="right"/>
    </xf>
    <xf numFmtId="164" fontId="0" fillId="5" borderId="0" xfId="0" applyNumberFormat="1" applyFill="1"/>
    <xf numFmtId="49" fontId="1" fillId="0" borderId="16" xfId="0" applyNumberFormat="1" applyFont="1" applyBorder="1" applyAlignment="1">
      <alignment horizontal="right"/>
    </xf>
    <xf numFmtId="0" fontId="0" fillId="5" borderId="16" xfId="0" applyFill="1" applyBorder="1"/>
    <xf numFmtId="49" fontId="1" fillId="5" borderId="16" xfId="0" applyNumberFormat="1" applyFont="1" applyFill="1" applyBorder="1" applyAlignment="1">
      <alignment horizontal="right"/>
    </xf>
    <xf numFmtId="49" fontId="1" fillId="8" borderId="1" xfId="0" applyNumberFormat="1" applyFont="1" applyFill="1" applyBorder="1" applyAlignment="1">
      <alignment horizontal="right"/>
    </xf>
    <xf numFmtId="0" fontId="0" fillId="8" borderId="1" xfId="0" applyFill="1" applyBorder="1"/>
    <xf numFmtId="49" fontId="1" fillId="0" borderId="0" xfId="0" applyNumberFormat="1" applyFont="1" applyAlignment="1">
      <alignment horizontal="left" wrapText="1"/>
    </xf>
    <xf numFmtId="49" fontId="1" fillId="7" borderId="0" xfId="0" applyNumberFormat="1" applyFont="1" applyFill="1" applyAlignment="1">
      <alignment horizontal="left" wrapText="1"/>
    </xf>
    <xf numFmtId="0" fontId="0" fillId="0" borderId="0" xfId="0" applyAlignment="1">
      <alignment horizontal="center"/>
    </xf>
    <xf numFmtId="0" fontId="0" fillId="7" borderId="0" xfId="0" applyFill="1" applyAlignment="1">
      <alignment horizontal="left" wrapText="1"/>
    </xf>
    <xf numFmtId="0" fontId="0" fillId="7" borderId="0" xfId="0" applyFill="1"/>
    <xf numFmtId="49" fontId="1" fillId="0" borderId="1" xfId="0" applyNumberFormat="1" applyFont="1" applyBorder="1"/>
    <xf numFmtId="0" fontId="1" fillId="0" borderId="2" xfId="0" applyFont="1" applyBorder="1" applyAlignment="1">
      <alignment horizontal="center"/>
    </xf>
    <xf numFmtId="0" fontId="0" fillId="5" borderId="18" xfId="0" applyFill="1" applyBorder="1"/>
    <xf numFmtId="49" fontId="1" fillId="0" borderId="19" xfId="0" applyNumberFormat="1" applyFont="1" applyBorder="1" applyAlignment="1">
      <alignment horizontal="right"/>
    </xf>
    <xf numFmtId="164" fontId="2" fillId="5" borderId="19" xfId="1" applyNumberFormat="1" applyFill="1" applyBorder="1"/>
    <xf numFmtId="164" fontId="0" fillId="5" borderId="19" xfId="0" applyNumberFormat="1" applyFill="1" applyBorder="1"/>
    <xf numFmtId="0" fontId="0" fillId="5" borderId="19" xfId="0" applyFill="1" applyBorder="1"/>
    <xf numFmtId="164" fontId="0" fillId="5" borderId="16" xfId="0" applyNumberFormat="1" applyFill="1" applyBorder="1"/>
    <xf numFmtId="49" fontId="1" fillId="8" borderId="17" xfId="0" applyNumberFormat="1" applyFont="1" applyFill="1" applyBorder="1" applyAlignment="1">
      <alignment horizontal="center"/>
    </xf>
    <xf numFmtId="49" fontId="0" fillId="8" borderId="17" xfId="0" applyNumberFormat="1" applyFill="1" applyBorder="1" applyAlignment="1">
      <alignment horizontal="left"/>
    </xf>
    <xf numFmtId="0" fontId="0" fillId="8" borderId="17" xfId="0" applyFill="1" applyBorder="1"/>
    <xf numFmtId="49" fontId="1" fillId="8" borderId="17" xfId="0" applyNumberFormat="1" applyFont="1" applyFill="1" applyBorder="1" applyAlignment="1">
      <alignment horizontal="right"/>
    </xf>
    <xf numFmtId="164" fontId="2" fillId="8" borderId="17" xfId="1" applyNumberFormat="1" applyFill="1" applyBorder="1"/>
    <xf numFmtId="164" fontId="0" fillId="8" borderId="17" xfId="0" applyNumberFormat="1" applyFill="1" applyBorder="1"/>
    <xf numFmtId="164" fontId="0" fillId="8" borderId="17" xfId="0" applyNumberFormat="1" applyFill="1" applyBorder="1" applyAlignment="1">
      <alignment horizontal="right"/>
    </xf>
    <xf numFmtId="164" fontId="1" fillId="8" borderId="17" xfId="0" applyNumberFormat="1" applyFont="1" applyFill="1" applyBorder="1" applyAlignment="1">
      <alignment horizontal="right"/>
    </xf>
    <xf numFmtId="164" fontId="2" fillId="8" borderId="17" xfId="1" applyNumberFormat="1" applyFill="1" applyBorder="1" applyAlignment="1">
      <alignment horizontal="right"/>
    </xf>
    <xf numFmtId="0" fontId="1" fillId="8" borderId="1" xfId="0" applyFont="1" applyFill="1" applyBorder="1" applyAlignment="1">
      <alignment horizontal="center"/>
    </xf>
    <xf numFmtId="0" fontId="0" fillId="0" borderId="1" xfId="0" applyBorder="1"/>
    <xf numFmtId="0" fontId="0" fillId="0" borderId="17" xfId="0" applyBorder="1"/>
    <xf numFmtId="164" fontId="0" fillId="0" borderId="17" xfId="0" applyNumberFormat="1" applyBorder="1"/>
    <xf numFmtId="49" fontId="0" fillId="0" borderId="17" xfId="0" applyNumberFormat="1" applyBorder="1"/>
    <xf numFmtId="49" fontId="0" fillId="8" borderId="17" xfId="0" applyNumberFormat="1" applyFill="1" applyBorder="1" applyAlignment="1">
      <alignment horizontal="right"/>
    </xf>
    <xf numFmtId="49" fontId="0" fillId="0" borderId="17" xfId="0" applyNumberFormat="1" applyBorder="1" applyAlignment="1">
      <alignment horizontal="left"/>
    </xf>
    <xf numFmtId="49" fontId="0" fillId="5" borderId="14" xfId="0" applyNumberFormat="1" applyFill="1" applyBorder="1" applyAlignment="1">
      <alignment horizontal="left"/>
    </xf>
    <xf numFmtId="164" fontId="0" fillId="5" borderId="14" xfId="0" applyNumberFormat="1" applyFill="1" applyBorder="1" applyAlignment="1">
      <alignment horizontal="right"/>
    </xf>
    <xf numFmtId="0" fontId="0" fillId="8" borderId="0" xfId="0" applyFill="1"/>
    <xf numFmtId="164" fontId="0" fillId="8" borderId="1" xfId="0" applyNumberFormat="1" applyFill="1" applyBorder="1" applyAlignment="1">
      <alignment horizontal="right"/>
    </xf>
    <xf numFmtId="164" fontId="2" fillId="8" borderId="1" xfId="1" applyNumberFormat="1" applyFill="1" applyBorder="1" applyAlignment="1">
      <alignment horizontal="right"/>
    </xf>
    <xf numFmtId="164" fontId="1" fillId="8" borderId="1" xfId="0" applyNumberFormat="1" applyFont="1" applyFill="1" applyBorder="1" applyAlignment="1">
      <alignment horizontal="right"/>
    </xf>
    <xf numFmtId="49" fontId="0" fillId="8" borderId="1" xfId="0" applyNumberFormat="1" applyFill="1" applyBorder="1"/>
    <xf numFmtId="0" fontId="0" fillId="0" borderId="18" xfId="0" applyBorder="1"/>
    <xf numFmtId="49" fontId="1" fillId="8" borderId="23" xfId="0" applyNumberFormat="1" applyFont="1" applyFill="1" applyBorder="1" applyAlignment="1">
      <alignment horizontal="right"/>
    </xf>
    <xf numFmtId="49" fontId="0" fillId="8" borderId="23" xfId="0" applyNumberFormat="1" applyFill="1" applyBorder="1" applyAlignment="1">
      <alignment horizontal="left"/>
    </xf>
    <xf numFmtId="164" fontId="0" fillId="8" borderId="23" xfId="0" applyNumberFormat="1" applyFill="1" applyBorder="1" applyAlignment="1">
      <alignment horizontal="right"/>
    </xf>
    <xf numFmtId="0" fontId="1" fillId="5" borderId="14" xfId="0" applyFont="1" applyFill="1" applyBorder="1" applyAlignment="1">
      <alignment horizontal="right"/>
    </xf>
    <xf numFmtId="0" fontId="2" fillId="5" borderId="14" xfId="1" applyNumberFormat="1" applyFill="1" applyBorder="1" applyAlignment="1">
      <alignment horizontal="right"/>
    </xf>
    <xf numFmtId="0" fontId="0" fillId="5" borderId="14" xfId="0" applyFill="1" applyBorder="1" applyAlignment="1">
      <alignment horizontal="left"/>
    </xf>
    <xf numFmtId="0" fontId="0" fillId="5" borderId="14" xfId="0" applyFill="1" applyBorder="1" applyAlignment="1">
      <alignment horizontal="right"/>
    </xf>
    <xf numFmtId="0" fontId="1" fillId="5" borderId="16" xfId="0" applyFont="1" applyFill="1" applyBorder="1" applyAlignment="1">
      <alignment horizontal="right"/>
    </xf>
    <xf numFmtId="0" fontId="2" fillId="5" borderId="16" xfId="1" applyNumberFormat="1" applyFill="1" applyBorder="1" applyAlignment="1">
      <alignment horizontal="right"/>
    </xf>
    <xf numFmtId="0" fontId="0" fillId="5" borderId="16" xfId="0" applyFill="1" applyBorder="1" applyAlignment="1">
      <alignment horizontal="left"/>
    </xf>
    <xf numFmtId="0" fontId="0" fillId="5" borderId="16" xfId="0" applyFill="1" applyBorder="1" applyAlignment="1">
      <alignment horizontal="right"/>
    </xf>
    <xf numFmtId="2" fontId="0" fillId="8" borderId="1" xfId="0" applyNumberFormat="1" applyFill="1" applyBorder="1"/>
    <xf numFmtId="49" fontId="0" fillId="8" borderId="17" xfId="0" applyNumberFormat="1" applyFill="1" applyBorder="1" applyAlignment="1">
      <alignment horizontal="center"/>
    </xf>
    <xf numFmtId="0" fontId="0" fillId="8" borderId="17" xfId="0" applyFill="1" applyBorder="1" applyAlignment="1">
      <alignment horizontal="right"/>
    </xf>
    <xf numFmtId="0" fontId="2" fillId="8" borderId="17" xfId="1" applyNumberFormat="1" applyFill="1" applyBorder="1" applyAlignment="1">
      <alignment horizontal="right"/>
    </xf>
    <xf numFmtId="164" fontId="2" fillId="8" borderId="23" xfId="1" applyNumberFormat="1" applyFill="1" applyBorder="1"/>
    <xf numFmtId="0" fontId="0" fillId="8" borderId="23" xfId="0" applyFill="1" applyBorder="1"/>
    <xf numFmtId="49" fontId="2" fillId="5" borderId="5" xfId="1" applyNumberFormat="1" applyFill="1" applyAlignment="1">
      <alignment horizontal="left"/>
    </xf>
    <xf numFmtId="0" fontId="2" fillId="8" borderId="17" xfId="1" applyNumberFormat="1" applyFill="1" applyBorder="1" applyAlignment="1">
      <alignment horizontal="left"/>
    </xf>
    <xf numFmtId="49" fontId="0" fillId="8" borderId="20" xfId="0" applyNumberFormat="1" applyFill="1" applyBorder="1" applyAlignment="1">
      <alignment horizontal="left"/>
    </xf>
    <xf numFmtId="0" fontId="0" fillId="5" borderId="26" xfId="0" applyFill="1" applyBorder="1"/>
    <xf numFmtId="49" fontId="0" fillId="8" borderId="28" xfId="0" applyNumberFormat="1" applyFill="1" applyBorder="1" applyAlignment="1">
      <alignment horizontal="left"/>
    </xf>
    <xf numFmtId="49" fontId="0" fillId="5" borderId="22" xfId="0" applyNumberFormat="1" applyFill="1" applyBorder="1" applyAlignment="1">
      <alignment horizontal="left"/>
    </xf>
    <xf numFmtId="0" fontId="0" fillId="5" borderId="26" xfId="0" applyFill="1" applyBorder="1" applyAlignment="1">
      <alignment horizontal="left"/>
    </xf>
    <xf numFmtId="0" fontId="0" fillId="5" borderId="22" xfId="0" applyFill="1" applyBorder="1" applyAlignment="1">
      <alignment horizontal="left"/>
    </xf>
    <xf numFmtId="0" fontId="0" fillId="5" borderId="29" xfId="0" applyFill="1" applyBorder="1"/>
    <xf numFmtId="0" fontId="0" fillId="5" borderId="27" xfId="0" applyFill="1" applyBorder="1"/>
    <xf numFmtId="0" fontId="0" fillId="0" borderId="27" xfId="0" applyBorder="1"/>
    <xf numFmtId="164" fontId="1" fillId="8" borderId="32" xfId="0" applyNumberFormat="1" applyFont="1" applyFill="1" applyBorder="1" applyAlignment="1">
      <alignment horizontal="right"/>
    </xf>
    <xf numFmtId="49" fontId="0" fillId="8" borderId="32" xfId="0" applyNumberFormat="1" applyFill="1" applyBorder="1"/>
    <xf numFmtId="0" fontId="0" fillId="8" borderId="32" xfId="0" applyFill="1" applyBorder="1"/>
    <xf numFmtId="0" fontId="0" fillId="5" borderId="33" xfId="0" applyFill="1" applyBorder="1"/>
    <xf numFmtId="0" fontId="0" fillId="8" borderId="17" xfId="0" applyFill="1" applyBorder="1" applyAlignment="1">
      <alignment horizontal="left"/>
    </xf>
    <xf numFmtId="0" fontId="0" fillId="8" borderId="34" xfId="0" applyFill="1" applyBorder="1" applyAlignment="1">
      <alignment horizontal="left"/>
    </xf>
    <xf numFmtId="49" fontId="0" fillId="8" borderId="34" xfId="0" applyNumberFormat="1" applyFill="1" applyBorder="1" applyAlignment="1">
      <alignment horizontal="left"/>
    </xf>
    <xf numFmtId="0" fontId="0" fillId="0" borderId="0" xfId="0" applyProtection="1">
      <protection locked="0"/>
    </xf>
    <xf numFmtId="0" fontId="0" fillId="8" borderId="20" xfId="0" applyFill="1" applyBorder="1"/>
    <xf numFmtId="0" fontId="1" fillId="0" borderId="14" xfId="0" applyFont="1" applyBorder="1" applyAlignment="1">
      <alignment horizontal="center"/>
    </xf>
    <xf numFmtId="0" fontId="0" fillId="8" borderId="21" xfId="0" applyFill="1" applyBorder="1" applyAlignment="1">
      <alignment horizontal="left"/>
    </xf>
    <xf numFmtId="0" fontId="0" fillId="8" borderId="3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49" fontId="1" fillId="8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3" fillId="8" borderId="20" xfId="1" applyNumberFormat="1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49" fontId="1" fillId="8" borderId="17" xfId="0" applyNumberFormat="1" applyFont="1" applyFill="1" applyBorder="1" applyAlignment="1">
      <alignment horizontal="center"/>
    </xf>
    <xf numFmtId="49" fontId="0" fillId="8" borderId="17" xfId="0" applyNumberFormat="1" applyFill="1" applyBorder="1" applyAlignment="1">
      <alignment horizontal="center"/>
    </xf>
    <xf numFmtId="0" fontId="0" fillId="0" borderId="0" xfId="0"/>
    <xf numFmtId="49" fontId="1" fillId="7" borderId="0" xfId="0" applyNumberFormat="1" applyFont="1" applyFill="1" applyAlignment="1">
      <alignment horizontal="center"/>
    </xf>
    <xf numFmtId="49" fontId="1" fillId="7" borderId="1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2" fillId="5" borderId="25" xfId="1" applyNumberFormat="1" applyFill="1" applyBorder="1" applyAlignment="1">
      <alignment horizontal="left"/>
    </xf>
    <xf numFmtId="0" fontId="0" fillId="0" borderId="24" xfId="0" applyBorder="1" applyAlignment="1">
      <alignment horizontal="left"/>
    </xf>
    <xf numFmtId="49" fontId="1" fillId="8" borderId="1" xfId="0" applyNumberFormat="1" applyFont="1" applyFill="1" applyBorder="1" applyAlignment="1">
      <alignment horizontal="center"/>
    </xf>
    <xf numFmtId="49" fontId="1" fillId="8" borderId="31" xfId="0" applyNumberFormat="1" applyFont="1" applyFill="1" applyBorder="1" applyAlignment="1">
      <alignment horizontal="center"/>
    </xf>
    <xf numFmtId="49" fontId="1" fillId="8" borderId="20" xfId="0" applyNumberFormat="1" applyFont="1" applyFill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0" fontId="0" fillId="8" borderId="21" xfId="0" applyFill="1" applyBorder="1" applyAlignment="1">
      <alignment horizontal="center"/>
    </xf>
    <xf numFmtId="0" fontId="0" fillId="8" borderId="35" xfId="0" applyFill="1" applyBorder="1" applyAlignment="1">
      <alignment horizontal="center"/>
    </xf>
  </cellXfs>
  <cellStyles count="2">
    <cellStyle name="Input" xfId="1" builtinId="20"/>
    <cellStyle name="Normal" xfId="0" builtinId="0"/>
  </cellStyles>
  <dxfs count="23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66FF33"/>
      <color rgb="FFF8582C"/>
      <color rgb="FFFFFFFF"/>
      <color rgb="FF33CC33"/>
      <color rgb="FFB2B2B2"/>
      <color rgb="FF00CC00"/>
      <color rgb="FFFF5050"/>
      <color rgb="FFFF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696738461755413E-2"/>
          <c:y val="0.13171460936233578"/>
          <c:w val="0.79843048497379732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 Data'!$A$52:$A$65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'Ballistics Data'!$B$52:$B$65</c:f>
              <c:numCache>
                <c:formatCode>0.00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4D-447C-950E-7FCDE81341EB}"/>
            </c:ext>
          </c:extLst>
        </c:ser>
        <c:ser>
          <c:idx val="1"/>
          <c:order val="1"/>
          <c:tx>
            <c:strRef>
              <c:f>'Ballistics Data'!$A$182:$C$182</c:f>
              <c:strCache>
                <c:ptCount val="1"/>
                <c:pt idx="0">
                  <c:v>Federal 50m Zero BC: G1 #N/A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 Data'!$A$184:$A$224</c:f>
              <c:numCache>
                <c:formatCode>0.00</c:formatCode>
                <c:ptCount val="41"/>
              </c:numCache>
            </c:numRef>
          </c:xVal>
          <c:yVal>
            <c:numRef>
              <c:f>'Ballistics Data'!$I$184:$I$224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4D-447C-950E-7FCDE81341EB}"/>
            </c:ext>
          </c:extLst>
        </c:ser>
        <c:ser>
          <c:idx val="2"/>
          <c:order val="2"/>
          <c:tx>
            <c:strRef>
              <c:f>'Ballistics Data'!$A$228:$C$228</c:f>
              <c:strCache>
                <c:ptCount val="1"/>
                <c:pt idx="0">
                  <c:v>Hornady 50m Zero BC: G1 #N/A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'Ballistics Data'!$A$230:$A$270</c:f>
              <c:numCache>
                <c:formatCode>0.00</c:formatCode>
                <c:ptCount val="41"/>
              </c:numCache>
            </c:numRef>
          </c:xVal>
          <c:yVal>
            <c:numRef>
              <c:f>'Ballistics Data'!$C$230:$C$270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6A-4313-836E-2D2AF665E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100"/>
        <c:minorUnit val="50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'Ballistics Data'!$Q$51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 Data'!$A$52:$A$65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'Ballistics Data'!$Q$52:$Q$65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 formatCode="0.000">
                  <c:v>0</c:v>
                </c:pt>
                <c:pt idx="3" formatCode="0.000">
                  <c:v>0</c:v>
                </c:pt>
                <c:pt idx="4" formatCode="0.000">
                  <c:v>0</c:v>
                </c:pt>
                <c:pt idx="5" formatCode="0.000">
                  <c:v>0</c:v>
                </c:pt>
                <c:pt idx="6" formatCode="0.000">
                  <c:v>0</c:v>
                </c:pt>
                <c:pt idx="7" formatCode="0.000">
                  <c:v>0</c:v>
                </c:pt>
                <c:pt idx="8" formatCode="0.000">
                  <c:v>0</c:v>
                </c:pt>
                <c:pt idx="9" formatCode="0.000">
                  <c:v>0</c:v>
                </c:pt>
                <c:pt idx="10" formatCode="0.000">
                  <c:v>0</c:v>
                </c:pt>
                <c:pt idx="11" formatCode="0.000">
                  <c:v>0</c:v>
                </c:pt>
                <c:pt idx="12" formatCode="0.000">
                  <c:v>0</c:v>
                </c:pt>
                <c:pt idx="13" formatCode="0.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63-4C6F-8DD4-A492692A9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'Ballistics Data'!$R$51</c15:sqref>
                        </c15:formulaRef>
                      </c:ext>
                    </c:extLst>
                    <c:strCache>
                      <c:ptCount val="1"/>
                      <c:pt idx="0">
                        <c:v>100m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2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5737087044509687"/>
                        <c:y val="5.2445593747276052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'Ballistics Data'!$R$52:$R$65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1B63-4C6F-8DD4-A492692A9A2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Data'!$S$51</c15:sqref>
                        </c15:formulaRef>
                      </c:ext>
                    </c:extLst>
                    <c:strCache>
                      <c:ptCount val="1"/>
                      <c:pt idx="0">
                        <c:v>150m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3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753195865819113"/>
                        <c:y val="1.0701300713794539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Data'!$S$52:$S$65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B63-4C6F-8DD4-A492692A9A2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Data'!$T$51</c15:sqref>
                        </c15:formulaRef>
                      </c:ext>
                    </c:extLst>
                    <c:strCache>
                      <c:ptCount val="1"/>
                      <c:pt idx="0">
                        <c:v>200m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4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4839651237668974"/>
                        <c:y val="-1.5708709843003942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Data'!$T$52:$T$65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63-4C6F-8DD4-A492692A9A2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Data'!$U$51</c15:sqref>
                        </c15:formulaRef>
                      </c:ext>
                    </c:extLst>
                    <c:strCache>
                      <c:ptCount val="1"/>
                      <c:pt idx="0">
                        <c:v>300m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5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9.4550363966246317E-2"/>
                        <c:y val="-8.06479356132144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Data'!$U$52:$U$65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B63-4C6F-8DD4-A492692A9A2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Data'!$V$51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Data'!$V$52:$V$65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B63-4C6F-8DD4-A492692A9A2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Data'!$AB$51</c15:sqref>
                        </c15:formulaRef>
                      </c:ext>
                    </c:extLst>
                    <c:strCache>
                      <c:ptCount val="1"/>
                      <c:pt idx="0">
                        <c:v>1000m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Data'!$AB$52:$AB$65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B63-4C6F-8DD4-A492692A9A26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  <c:minorUnit val="25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layout>
        <c:manualLayout>
          <c:xMode val="edge"/>
          <c:yMode val="edge"/>
          <c:x val="0.38177402600462024"/>
          <c:y val="0.15714285714285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31476310104254E-2"/>
          <c:y val="9.3071428571428583E-2"/>
          <c:w val="0.80905238956836423"/>
          <c:h val="0.885499999999999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'Ballistics Data'!$D$51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40258615226571609"/>
                  <c:y val="-0.332061679790026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Data'!$D$53:$D$62</c:f>
              <c:numCache>
                <c:formatCode>0.000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9D-4FDC-A328-B25CC7E8734F}"/>
            </c:ext>
          </c:extLst>
        </c:ser>
        <c:ser>
          <c:idx val="1"/>
          <c:order val="1"/>
          <c:tx>
            <c:strRef>
              <c:f>'Ballistics Data'!$E$51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541978735315579"/>
                  <c:y val="-0.74256730408698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Data'!$E$53:$E$65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9D-4FDC-A328-B25CC7E8734F}"/>
            </c:ext>
          </c:extLst>
        </c:ser>
        <c:ser>
          <c:idx val="2"/>
          <c:order val="2"/>
          <c:tx>
            <c:strRef>
              <c:f>'Ballistics Data'!$F$51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774864147377621"/>
                  <c:y val="-0.385992313460817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Data'!$F$54:$F$66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59D-4FDC-A328-B25CC7E8734F}"/>
            </c:ext>
          </c:extLst>
        </c:ser>
        <c:ser>
          <c:idx val="3"/>
          <c:order val="3"/>
          <c:tx>
            <c:strRef>
              <c:f>'Ballistics Data'!$G$51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170011466299118"/>
                  <c:y val="-0.43357367829021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Data'!$G$54:$G$66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59D-4FDC-A328-B25CC7E8734F}"/>
            </c:ext>
          </c:extLst>
        </c:ser>
        <c:ser>
          <c:idx val="4"/>
          <c:order val="4"/>
          <c:tx>
            <c:strRef>
              <c:f>'Ballistics Data'!$H$51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Data'!$H$53:$H$65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9D-4FDC-A328-B25CC7E8734F}"/>
            </c:ext>
          </c:extLst>
        </c:ser>
        <c:ser>
          <c:idx val="5"/>
          <c:order val="5"/>
          <c:tx>
            <c:strRef>
              <c:f>'Ballistics Data'!$I$51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505822171806027"/>
                  <c:y val="0.36482752155980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Data'!$I$53:$I$65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9D-4FDC-A328-B25CC7E8734F}"/>
            </c:ext>
          </c:extLst>
        </c:ser>
        <c:ser>
          <c:idx val="6"/>
          <c:order val="6"/>
          <c:tx>
            <c:strRef>
              <c:f>'Ballistics Data'!$J$51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073839403475984"/>
                  <c:y val="0.205913198350206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Data'!$J$53:$J$65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59D-4FDC-A328-B25CC7E87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  <c:minorUnit val="25"/>
      </c:valAx>
      <c:valAx>
        <c:axId val="1264912752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Derived Trajectory vs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'Ballistics Data'!$Q$51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59574215348320825"/>
                  <c:y val="-0.71865118768478997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Data'!$A$52:$A$65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'Ballistics Data'!$Q$52:$Q$65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 formatCode="0.000">
                  <c:v>0</c:v>
                </c:pt>
                <c:pt idx="3" formatCode="0.000">
                  <c:v>0</c:v>
                </c:pt>
                <c:pt idx="4" formatCode="0.000">
                  <c:v>0</c:v>
                </c:pt>
                <c:pt idx="5" formatCode="0.000">
                  <c:v>0</c:v>
                </c:pt>
                <c:pt idx="6" formatCode="0.000">
                  <c:v>0</c:v>
                </c:pt>
                <c:pt idx="7" formatCode="0.000">
                  <c:v>0</c:v>
                </c:pt>
                <c:pt idx="8" formatCode="0.000">
                  <c:v>0</c:v>
                </c:pt>
                <c:pt idx="9" formatCode="0.000">
                  <c:v>0</c:v>
                </c:pt>
                <c:pt idx="10" formatCode="0.000">
                  <c:v>0</c:v>
                </c:pt>
                <c:pt idx="11" formatCode="0.000">
                  <c:v>0</c:v>
                </c:pt>
                <c:pt idx="12" formatCode="0.000">
                  <c:v>0</c:v>
                </c:pt>
                <c:pt idx="13" formatCode="0.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AE-42FD-81A1-8D973D292D11}"/>
            </c:ext>
          </c:extLst>
        </c:ser>
        <c:ser>
          <c:idx val="1"/>
          <c:order val="1"/>
          <c:tx>
            <c:strRef>
              <c:f>'Ballistics Data'!$A$182:$C$182</c:f>
              <c:strCache>
                <c:ptCount val="1"/>
                <c:pt idx="0">
                  <c:v>Federal 50m Zero BC: G1 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 Data'!$A$184:$A$224</c:f>
              <c:numCache>
                <c:formatCode>0.00</c:formatCode>
                <c:ptCount val="41"/>
              </c:numCache>
            </c:numRef>
          </c:xVal>
          <c:yVal>
            <c:numRef>
              <c:f>'Ballistics Data'!$B$184:$B$224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AE-42FD-81A1-8D973D292D11}"/>
            </c:ext>
          </c:extLst>
        </c:ser>
        <c:ser>
          <c:idx val="2"/>
          <c:order val="2"/>
          <c:tx>
            <c:strRef>
              <c:f>'Ballistics Data'!$A$228:$C$228</c:f>
              <c:strCache>
                <c:ptCount val="1"/>
                <c:pt idx="0">
                  <c:v>Hornady 50m Zero BC: G1 #N/A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'Ballistics Data'!$A$230:$A$270</c:f>
              <c:numCache>
                <c:formatCode>0.00</c:formatCode>
                <c:ptCount val="41"/>
              </c:numCache>
            </c:numRef>
          </c:xVal>
          <c:yVal>
            <c:numRef>
              <c:f>'Ballistics Data'!$D$230:$D$270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4F-4FA2-A516-20623E9FF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Wind</a:t>
            </a:r>
            <a:r>
              <a:rPr lang="en-CA" baseline="0"/>
              <a:t> Drift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689999200798323E-2"/>
          <c:y val="7.3591258344072888E-2"/>
          <c:w val="0.72054758512780992"/>
          <c:h val="0.87441462404470938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'Ballistics Data'!$A$182:$C$182</c:f>
              <c:strCache>
                <c:ptCount val="1"/>
                <c:pt idx="0">
                  <c:v>Federal 50m Zero BC: G1 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25937833840838"/>
                  <c:y val="9.5384468287640869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Data'!$A$184:$A$224</c:f>
              <c:numCache>
                <c:formatCode>0.00</c:formatCode>
                <c:ptCount val="41"/>
              </c:numCache>
            </c:numRef>
          </c:xVal>
          <c:yVal>
            <c:numRef>
              <c:f>'Ballistics Data'!$E$184:$E$224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7C-4C30-9526-CF0AB949A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719375"/>
        <c:axId val="1135704495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'Ballistics Data'!$P$50</c15:sqref>
                        </c15:formulaRef>
                      </c:ext>
                    </c:extLst>
                    <c:strCache>
                      <c:ptCount val="1"/>
                      <c:pt idx="0">
                        <c:v>Calculated Wind Drift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intercept val="0"/>
                  <c:dispRSqr val="1"/>
                  <c:dispEq val="1"/>
                  <c:trendlineLbl>
                    <c:layout>
                      <c:manualLayout>
                        <c:x val="0.19035499218762028"/>
                        <c:y val="-6.5930810846954934E-3"/>
                      </c:manualLayout>
                    </c:layout>
                    <c:numFmt formatCode="0.000000E+00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errBars>
                  <c:errDir val="x"/>
                  <c:errBarType val="both"/>
                  <c:errValType val="fixedVal"/>
                  <c:noEndCap val="0"/>
                  <c:val val="0.1"/>
                  <c:spPr>
                    <a:noFill/>
                    <a:ln w="9525" cap="flat" cmpd="sng" algn="ctr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round/>
                    </a:ln>
                    <a:effectLst/>
                  </c:spPr>
                </c:errBars>
                <c:errBars>
                  <c:errDir val="y"/>
                  <c:errBarType val="both"/>
                  <c:errValType val="percentage"/>
                  <c:noEndCap val="0"/>
                  <c:val val="5"/>
                  <c:spPr>
                    <a:noFill/>
                    <a:ln w="9525" cap="flat" cmpd="sng" algn="ctr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round/>
                    </a:ln>
                    <a:effectLst/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'Ballistics Data'!$P$52:$P$65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97C-4C30-9526-CF0AB949A2CB}"/>
                  </c:ext>
                </c:extLst>
              </c15:ser>
            </c15:filteredScatterSeries>
          </c:ext>
        </c:extLst>
      </c:scatterChart>
      <c:valAx>
        <c:axId val="1135719375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04495"/>
        <c:crosses val="autoZero"/>
        <c:crossBetween val="midCat"/>
        <c:minorUnit val="25"/>
      </c:valAx>
      <c:valAx>
        <c:axId val="113570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Drift(cm)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19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619125</xdr:colOff>
      <xdr:row>77</xdr:row>
      <xdr:rowOff>0</xdr:rowOff>
    </xdr:from>
    <xdr:to>
      <xdr:col>11</xdr:col>
      <xdr:colOff>476250</xdr:colOff>
      <xdr:row>116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1B317-BA06-4BFA-9CFE-91EC55F5D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400049</xdr:colOff>
      <xdr:row>75</xdr:row>
      <xdr:rowOff>190499</xdr:rowOff>
    </xdr:from>
    <xdr:to>
      <xdr:col>36</xdr:col>
      <xdr:colOff>76200</xdr:colOff>
      <xdr:row>114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432109-6537-4508-B5C3-B6D347069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114300</xdr:colOff>
      <xdr:row>76</xdr:row>
      <xdr:rowOff>38100</xdr:rowOff>
    </xdr:from>
    <xdr:to>
      <xdr:col>21</xdr:col>
      <xdr:colOff>709613</xdr:colOff>
      <xdr:row>115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542714F-F002-4F56-8421-DD5C48549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14287</xdr:colOff>
      <xdr:row>183</xdr:row>
      <xdr:rowOff>66673</xdr:rowOff>
    </xdr:from>
    <xdr:to>
      <xdr:col>32</xdr:col>
      <xdr:colOff>333375</xdr:colOff>
      <xdr:row>224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9667C8-F4FA-4495-934E-F6B5FE116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266700</xdr:colOff>
      <xdr:row>75</xdr:row>
      <xdr:rowOff>161924</xdr:rowOff>
    </xdr:from>
    <xdr:to>
      <xdr:col>54</xdr:col>
      <xdr:colOff>204788</xdr:colOff>
      <xdr:row>113</xdr:row>
      <xdr:rowOff>171449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8F5B464-8A09-53E6-4396-F99437192D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6" xr16:uid="{C968F4C9-0D0A-4B42-A8C4-1848D3CF37B9}" autoFormatId="16" applyNumberFormats="0" applyBorderFormats="0" applyFontFormats="0" applyPatternFormats="0" applyAlignmentFormats="0" applyWidthHeightFormats="0">
  <queryTableRefresh nextId="3">
    <queryTableFields count="2">
      <queryTableField id="1" name="Species" tableColumnId="1"/>
      <queryTableField id="2" name="Firearm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7" xr16:uid="{C5698641-3BB8-4879-A5EB-C4CB054C0493}" autoFormatId="16" applyNumberFormats="0" applyBorderFormats="0" applyFontFormats="0" applyPatternFormats="0" applyAlignmentFormats="0" applyWidthHeightFormats="0">
  <queryTableRefresh nextId="6">
    <queryTableFields count="5">
      <queryTableField id="1" name="Length" tableColumnId="1"/>
      <queryTableField id="2" name="Mass Weight" tableColumnId="2"/>
      <queryTableField id="3" name="Velocity" tableColumnId="3"/>
      <queryTableField id="4" name="Energy" tableColumnId="4"/>
      <queryTableField id="5" name="Angular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5" xr16:uid="{64343641-35A5-490B-A662-3DD8D2E4B666}" autoFormatId="16" applyNumberFormats="0" applyBorderFormats="0" applyFontFormats="0" applyPatternFormats="0" applyAlignmentFormats="0" applyWidthHeightFormats="0">
  <queryTableRefresh nextId="2">
    <queryTableFields count="1">
      <queryTableField id="1" name="Specification Types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8" xr16:uid="{77E526E8-5E32-448D-AE94-2DFBA320973B}" autoFormatId="16" applyNumberFormats="0" applyBorderFormats="0" applyFontFormats="0" applyPatternFormats="0" applyAlignmentFormats="0" applyWidthHeightFormats="0">
  <queryTableRefresh nextId="6">
    <queryTableFields count="5">
      <queryTableField id="1" name="Available Chamberings" tableColumnId="1"/>
      <queryTableField id="2" name="Bullet Caliber" tableColumnId="2"/>
      <queryTableField id="3" name="Caliber(Units)" tableColumnId="3"/>
      <queryTableField id="4" name="Ammunition Table" tableColumnId="4"/>
      <queryTableField id="5" name="Rifle Table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7" xr16:uid="{2D68160C-3CFB-4AF4-932E-DCF7CAD46E8B}" autoFormatId="16" applyNumberFormats="0" applyBorderFormats="0" applyFontFormats="0" applyPatternFormats="0" applyAlignmentFormats="0" applyWidthHeightFormats="0">
  <queryTableRefresh nextId="3">
    <queryTableFields count="2">
      <queryTableField id="1" name="Ammuntion Type" tableColumnId="1"/>
      <queryTableField id="2" name="Display Name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99F9A30D-3C7C-4C54-8219-3FE447E46581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C56CDF11-C52E-46B6-A6C3-769D46C779BF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602B6F49-FC9F-424D-83AF-102F3F72B01E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" xr16:uid="{903AB50D-0146-4770-9B7B-6DB1ECA6BF19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" xr16:uid="{A2C9B792-B5AD-4FEC-84C3-A33A3109C66C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6" xr16:uid="{E0897D8C-0395-4651-B301-7CF109AFE1BC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7" xr16:uid="{F8E5E975-C905-4E9E-872F-C5B7295969D6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8" xr16:uid="{1BBB7100-B277-4A7E-B099-E11E451E5F54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9" xr16:uid="{A0153BA1-9F35-4DE6-8FE1-40AA43E4A4E6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0" xr16:uid="{421991CF-442C-4E00-8105-D0614AFCF1FA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1" xr16:uid="{46C3F281-984B-48D3-80D1-8FBE1C575B32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2" xr16:uid="{21138073-0DDD-49D3-A652-3E35A564EB2E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3" xr16:uid="{8CAAAF9B-2206-4256-B861-75F6E593BABD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5" xr16:uid="{481DD7FE-2179-40ED-BDBF-9F6093FDC738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6" xr16:uid="{5877FD89-232C-4BD8-9B5C-0737BD89970D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3" xr16:uid="{5AA99C33-4AC1-47BD-A7FB-99B636180838}" autoFormatId="16" applyNumberFormats="0" applyBorderFormats="0" applyFontFormats="0" applyPatternFormats="0" applyAlignmentFormats="0" applyWidthHeightFormats="0">
  <queryTableRefresh nextId="15">
    <queryTableFields count="14">
      <queryTableField id="1" name="Name" tableColumnId="1"/>
      <queryTableField id="2" name="Manufacturer" tableColumnId="2"/>
      <queryTableField id="3" name="Reticle Description" tableColumnId="3"/>
      <queryTableField id="4" name="Magnification Range" tableColumnId="4"/>
      <queryTableField id="5" name="Objective Lens Diameter(mm)" tableColumnId="5"/>
      <queryTableField id="6" name="Reticle Focal Plane" tableColumnId="6"/>
      <queryTableField id="7" name="Reticle Units" tableColumnId="7"/>
      <queryTableField id="8" name="Reticle Calibration Magnification" tableColumnId="8"/>
      <queryTableField id="9" name="Angular Resolution" tableColumnId="9"/>
      <queryTableField id="10" name="Minor Subtensions" tableColumnId="10"/>
      <queryTableField id="11" name="Intermediate Subtensions" tableColumnId="11"/>
      <queryTableField id="12" name="Major Subtensions" tableColumnId="12"/>
      <queryTableField id="13" name="FOV(m @ 100m, min zoom)" tableColumnId="13"/>
      <queryTableField id="14" name="FOV(m@100m, max zoom)" tableColumnId="14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9059FE8A-533E-434D-891B-CBAA5C8FE3EF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0" xr16:uid="{6E8DEC0F-1514-44B1-9062-520EE370CE1B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1" xr16:uid="{6562C28D-7454-43C9-B69D-5ABBB38B5260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2" xr16:uid="{93E0A74D-0E68-4309-9410-FD8EBDFC7C77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3" xr16:uid="{0560F5AE-A163-4B38-92D0-1EAF40509174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4" xr16:uid="{1D0415A8-5196-49E5-A57E-2F61CF28F3C4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5" xr16:uid="{909F4FC0-662C-4FA7-940F-03B6C57DCC74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6" xr16:uid="{450171BA-7004-4E4D-81E0-4773E2351B11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27" xr16:uid="{1126F2BB-901C-4882-A533-2B0789E284C9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8" xr16:uid="{DA1D912D-A07C-48AC-B047-BED25BD990FA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29" xr16:uid="{85444E21-E0C7-48C2-A17E-CE81E8E3B584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0" xr16:uid="{2E0C1F3A-8AAE-4470-9066-10F551D9EECD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31" xr16:uid="{CEEF4520-94D1-4034-89F1-C91A2D6E884B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32" xr16:uid="{67825014-3A00-48C3-9BD1-B92AC11D5A73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4" xr16:uid="{A765002F-E836-40A5-9F24-87A647F724CA}" autoFormatId="16" applyNumberFormats="0" applyBorderFormats="0" applyFontFormats="0" applyPatternFormats="0" applyAlignmentFormats="0" applyWidthHeightFormats="0">
  <queryTableRefresh nextId="16">
    <queryTableFields count="15">
      <queryTableField id="1" name="Common Name" tableColumnId="1"/>
      <queryTableField id="2" name="Minimum Weight" tableColumnId="2"/>
      <queryTableField id="3" name="Maximum Weight" tableColumnId="3"/>
      <queryTableField id="4" name="Weight Units" tableColumnId="4"/>
      <queryTableField id="5" name="Minimum Energy(Rifle)" tableColumnId="5"/>
      <queryTableField id="6" name="Maximum Energy(Rifle)" tableColumnId="6"/>
      <queryTableField id="7" name="Minimum Energy(Bows)" tableColumnId="7"/>
      <queryTableField id="8" name="Maximum Energy(Bows)" tableColumnId="8"/>
      <queryTableField id="9" name="Energy Units" tableColumnId="9"/>
      <queryTableField id="10" name="Vital Zone Diameter" tableColumnId="10"/>
      <queryTableField id="11" name="Diameter Units" tableColumnId="11"/>
      <queryTableField id="12" name="Body Height" tableColumnId="12"/>
      <queryTableField id="13" name="Body Length" tableColumnId="13"/>
      <queryTableField id="14" name="Body Thickness" tableColumnId="14"/>
      <queryTableField id="15" name="Body Size Units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8A86F22-09B3-49A7-A214-BF6B781E0FE6}" name="Tiers" displayName="Tiers" ref="A1:B10" tableType="queryTable" totalsRowShown="0">
  <autoFilter ref="A1:B10" xr:uid="{38A86F22-09B3-49A7-A214-BF6B781E0FE6}"/>
  <tableColumns count="2">
    <tableColumn id="1" xr3:uid="{01E806CA-B29E-48B0-8657-AD427FD56720}" uniqueName="1" name="Species" queryTableFieldId="1"/>
    <tableColumn id="2" xr3:uid="{83A851B3-3A5A-4200-BD11-F5B4820F4291}" uniqueName="2" name="Firearm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29B9DE0-FB4B-40DC-821F-C08BDA6938A9}" name="UnitsDefinitions" displayName="UnitsDefinitions" ref="D1:H11" tableType="queryTable" totalsRowShown="0">
  <autoFilter ref="D1:H11" xr:uid="{A29B9DE0-FB4B-40DC-821F-C08BDA6938A9}"/>
  <tableColumns count="5">
    <tableColumn id="1" xr3:uid="{066EBA8F-0031-4385-98A3-212420893983}" uniqueName="1" name="Length" queryTableFieldId="1" dataDxfId="233"/>
    <tableColumn id="2" xr3:uid="{A501E466-66E9-4222-A2BF-F655A3797C16}" uniqueName="2" name="Mass Weight" queryTableFieldId="2" dataDxfId="232"/>
    <tableColumn id="3" xr3:uid="{665AB7AA-BE10-4D74-94D8-F952BC7F2D29}" uniqueName="3" name="Velocity" queryTableFieldId="3" dataDxfId="231"/>
    <tableColumn id="4" xr3:uid="{77C59B4E-D709-417F-85D4-932C64B3B637}" uniqueName="4" name="Energy" queryTableFieldId="4" dataDxfId="230"/>
    <tableColumn id="5" xr3:uid="{6AA6C990-653B-43E7-85C1-0A1ABE3AFB0E}" uniqueName="5" name="Angular" queryTableFieldId="5" dataDxfId="22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A2ACB3B-4DB8-4E15-9C8A-FEFEADEA0C22}" name="SpecificationTypes" displayName="SpecificationTypes" ref="J1:J3" tableType="queryTable" totalsRowShown="0">
  <autoFilter ref="J1:J3" xr:uid="{2A2ACB3B-4DB8-4E15-9C8A-FEFEADEA0C22}"/>
  <tableColumns count="1">
    <tableColumn id="1" xr3:uid="{92F3EA85-F32D-4AD5-A9ED-72C7CECED84D}" uniqueName="1" name="Specification Types" queryTableFieldId="1" dataDxfId="22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77A8073-6146-42FC-9697-3129777BFC5C}" name="CartridgeNames" displayName="CartridgeNames" ref="L1:P16" tableType="queryTable" totalsRowShown="0">
  <autoFilter ref="L1:P16" xr:uid="{A77A8073-6146-42FC-9697-3129777BFC5C}"/>
  <tableColumns count="5">
    <tableColumn id="1" xr3:uid="{427DDE51-CB02-4CBE-BBDF-B3FDFE8D974C}" uniqueName="1" name="Available Chamberings" queryTableFieldId="1" dataDxfId="227"/>
    <tableColumn id="2" xr3:uid="{53F22EE2-5829-4FB0-884B-B72E38CE338A}" uniqueName="2" name="Bullet Caliber" queryTableFieldId="2"/>
    <tableColumn id="3" xr3:uid="{64860BD6-009E-477B-B83E-5537A7BB17AE}" uniqueName="3" name="Caliber(Units)" queryTableFieldId="3" dataDxfId="226"/>
    <tableColumn id="4" xr3:uid="{B0672A25-731D-4F41-81FC-19C3E1B23791}" uniqueName="4" name="Ammunition Table" queryTableFieldId="4" dataDxfId="225"/>
    <tableColumn id="5" xr3:uid="{42D79F70-C33B-4279-899D-F07CED27AAA3}" uniqueName="5" name="Rifle Table" queryTableFieldId="5" dataDxfId="2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46B6A52-EB58-4D42-B8BC-B3D7E2976231}" name="AmmunitionClassTable" displayName="AmmunitionClassTable" ref="R1:S16" tableType="queryTable" totalsRowShown="0">
  <autoFilter ref="R1:S16" xr:uid="{746B6A52-EB58-4D42-B8BC-B3D7E2976231}"/>
  <tableColumns count="2">
    <tableColumn id="1" xr3:uid="{AA102119-FA79-4581-AFE8-3E90739D2249}" uniqueName="1" name="Ammuntion Type" queryTableFieldId="1" dataDxfId="223"/>
    <tableColumn id="2" xr3:uid="{CCD589BC-92B2-4E77-8F3D-72CDC5931350}" uniqueName="2" name="Display Name" queryTableFieldId="2" dataDxfId="22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FE2ADFD-7A69-432E-B5B1-D0806E3E5BF6}" name="ammunition.223rem" displayName="ammunition.223rem" ref="A1:Y7" tableType="queryTable" totalsRowShown="0">
  <autoFilter ref="A1:Y7" xr:uid="{AFE2ADFD-7A69-432E-B5B1-D0806E3E5BF6}"/>
  <tableColumns count="25">
    <tableColumn id="1" xr3:uid="{48A6FFB7-BDEC-4F50-B97C-325D36FC5538}" uniqueName="1" name="Key" queryTableFieldId="1" dataDxfId="221"/>
    <tableColumn id="2" xr3:uid="{1A7283FF-F1DE-4608-8854-66AE236D092E}" uniqueName="2" name="Specification Type" queryTableFieldId="2" dataDxfId="220"/>
    <tableColumn id="3" xr3:uid="{92C8535A-7094-49CF-9339-F0FB3128E87C}" uniqueName="3" name="Cartridge" queryTableFieldId="3" dataDxfId="219"/>
    <tableColumn id="4" xr3:uid="{90DE62C5-6592-4083-ABD8-FA012ABD4EDB}" uniqueName="4" name="Projectile" queryTableFieldId="4" dataDxfId="218"/>
    <tableColumn id="5" xr3:uid="{75C7DF94-47D0-42BF-BD0D-A95F416296C8}" uniqueName="5" name="Type" queryTableFieldId="5" dataDxfId="217"/>
    <tableColumn id="6" xr3:uid="{6CB7ADA9-9EA3-416E-80ED-86496057F1CA}" uniqueName="6" name="Caliber" queryTableFieldId="6"/>
    <tableColumn id="7" xr3:uid="{EF0AB910-8142-4D7C-BFCF-FBF30667B357}" uniqueName="7" name="Units (cal)" queryTableFieldId="7" dataDxfId="216"/>
    <tableColumn id="8" xr3:uid="{FC3B9E1D-1F88-4FFA-B4D7-5CC99D965CC3}" uniqueName="8" name="Weight" queryTableFieldId="8"/>
    <tableColumn id="9" xr3:uid="{F5A605C0-EFF7-4B6E-AFEB-0903083CEF08}" uniqueName="9" name="Units(wt)" queryTableFieldId="9" dataDxfId="215"/>
    <tableColumn id="10" xr3:uid="{94995309-A22A-43C3-BAA2-B7179FB5D01D}" uniqueName="10" name="Muzzle Velocity" queryTableFieldId="10"/>
    <tableColumn id="11" xr3:uid="{0CA41182-D5A5-4040-8CCA-54DDA993F4D3}" uniqueName="11" name="Units(MV)" queryTableFieldId="11" dataDxfId="214"/>
    <tableColumn id="12" xr3:uid="{6607E02A-0061-4734-B6C7-A3CCADC2B0CD}" uniqueName="12" name="Minimum Terminal Velocity" queryTableFieldId="12"/>
    <tableColumn id="13" xr3:uid="{C844913A-60DA-4EBE-846F-9E90449172C1}" uniqueName="13" name="Units(MTV)" queryTableFieldId="13" dataDxfId="213"/>
    <tableColumn id="14" xr3:uid="{FB643C93-E9EA-49E0-8939-DC49F611699A}" uniqueName="14" name="BC(G1)" queryTableFieldId="14"/>
    <tableColumn id="15" xr3:uid="{8016DF38-8FE8-4C5E-A18E-E098EC5AFA02}" uniqueName="15" name="BC (G7)" queryTableFieldId="15" dataDxfId="212"/>
    <tableColumn id="16" xr3:uid="{10C29D3C-6EA1-41B4-8CB9-DD95B10E3ED0}" uniqueName="16" name="Caliber(in)" queryTableFieldId="16"/>
    <tableColumn id="17" xr3:uid="{EAB7304A-22DA-4806-AEEC-DC20E71C5849}" uniqueName="17" name="Caliber(mm)" queryTableFieldId="17"/>
    <tableColumn id="18" xr3:uid="{0004C1CB-B698-444C-8375-EEAFA85060DA}" uniqueName="18" name="Weight(grains)" queryTableFieldId="18"/>
    <tableColumn id="19" xr3:uid="{215BAE25-BE5D-4390-8FE1-8C695AD3CD6B}" uniqueName="19" name="Weight(grams)" queryTableFieldId="19"/>
    <tableColumn id="20" xr3:uid="{A995486D-D157-46CD-9BDF-44A3E86C74AB}" uniqueName="20" name="Muzzle Velocity(ft/s)" queryTableFieldId="20"/>
    <tableColumn id="21" xr3:uid="{B3FC0382-89C5-4412-8D4F-B1563CCE2771}" uniqueName="21" name="Muzzle Veloctiy(m/s)" queryTableFieldId="21"/>
    <tableColumn id="22" xr3:uid="{72E94722-A635-4A5B-B4CD-03EE548B9110}" uniqueName="22" name="Muzzle Energy(ft.lbs)" queryTableFieldId="22"/>
    <tableColumn id="23" xr3:uid="{57A259FC-8AD7-411C-A107-6B291739013A}" uniqueName="23" name="Muzzle Energy(J)" queryTableFieldId="23"/>
    <tableColumn id="24" xr3:uid="{6403C505-F800-414B-A338-C0A08F59C779}" uniqueName="24" name="Minimum Terminal Velocity(ft/s)" queryTableFieldId="24"/>
    <tableColumn id="25" xr3:uid="{0D3D77DA-E46F-429A-8D30-52A7C11CE0DF}" uniqueName="25" name="Minimum Terminal Velocity(m/s)" queryTableFieldId="2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BAD642B-7DED-4823-8E95-64379D508952}" name="ammunition.22lr" displayName="ammunition.22lr" ref="E10:AC16" tableType="queryTable" totalsRowShown="0">
  <autoFilter ref="E10:AC16" xr:uid="{0BAD642B-7DED-4823-8E95-64379D508952}"/>
  <tableColumns count="25">
    <tableColumn id="1" xr3:uid="{520E27F0-F9EB-4354-8FE7-DA8B64C1EE5B}" uniqueName="1" name="Key" queryTableFieldId="1" dataDxfId="211"/>
    <tableColumn id="2" xr3:uid="{1A82EF48-2DD6-43A3-847B-FF2F1DF2431D}" uniqueName="2" name="Specification Type" queryTableFieldId="2" dataDxfId="210"/>
    <tableColumn id="3" xr3:uid="{6273FAE4-51C8-40ED-8D48-B9FC4F6DF711}" uniqueName="3" name="Cartridge" queryTableFieldId="3" dataDxfId="209"/>
    <tableColumn id="4" xr3:uid="{68AC7678-87CC-4487-97C8-9356B13DBCC6}" uniqueName="4" name="Projectile" queryTableFieldId="4" dataDxfId="208"/>
    <tableColumn id="5" xr3:uid="{49488DD7-E22E-45D2-8992-44DA5303C20E}" uniqueName="5" name="Type" queryTableFieldId="5" dataDxfId="207"/>
    <tableColumn id="6" xr3:uid="{F188046C-AE2C-4099-891D-68A0B36931F0}" uniqueName="6" name="Caliber" queryTableFieldId="6"/>
    <tableColumn id="7" xr3:uid="{DE310789-B619-4602-ACA3-41C90A164C5D}" uniqueName="7" name="Units (cal)" queryTableFieldId="7" dataDxfId="206"/>
    <tableColumn id="8" xr3:uid="{80B17CFA-6979-4F80-9990-383AB37F8A41}" uniqueName="8" name="Weight" queryTableFieldId="8"/>
    <tableColumn id="9" xr3:uid="{E32E3C22-B1E4-494B-87EE-11B5812DE713}" uniqueName="9" name="Units(wt)" queryTableFieldId="9" dataDxfId="205"/>
    <tableColumn id="10" xr3:uid="{18C4127A-5406-496F-8846-DBE31576F78D}" uniqueName="10" name="Muzzle Velocity" queryTableFieldId="10"/>
    <tableColumn id="11" xr3:uid="{D0C0062C-22CF-449B-A859-9FB3D595451C}" uniqueName="11" name="Units(MV)" queryTableFieldId="11" dataDxfId="204"/>
    <tableColumn id="12" xr3:uid="{590EC72F-9DA1-4DB1-9072-183DC5CFDAEB}" uniqueName="12" name="Minimum Terminal Velocity" queryTableFieldId="12"/>
    <tableColumn id="13" xr3:uid="{F634F542-A873-4916-94C5-05F39F0A4E33}" uniqueName="13" name="Units(MTV)" queryTableFieldId="13" dataDxfId="203"/>
    <tableColumn id="14" xr3:uid="{235734BD-AF86-4702-902C-02DAA2181835}" uniqueName="14" name="BC(G1)" queryTableFieldId="14"/>
    <tableColumn id="15" xr3:uid="{64D19CB2-F2E0-42B8-9658-DF305A0F7C50}" uniqueName="15" name="BC (G7)" queryTableFieldId="15" dataDxfId="202"/>
    <tableColumn id="16" xr3:uid="{C2C35EBF-9EB0-4B0E-9D19-9D38B7C78FE8}" uniqueName="16" name="Caliber(in)" queryTableFieldId="16"/>
    <tableColumn id="17" xr3:uid="{2CF830CA-E4A0-4022-9F70-6FE5B79C1B5D}" uniqueName="17" name="Caliber(mm)" queryTableFieldId="17"/>
    <tableColumn id="18" xr3:uid="{CDBF41BD-3B18-4560-AE69-CC04B30EB063}" uniqueName="18" name="Weight(grains)" queryTableFieldId="18"/>
    <tableColumn id="19" xr3:uid="{993EE946-25B8-450E-99D0-A64815297189}" uniqueName="19" name="Weight(grams)" queryTableFieldId="19"/>
    <tableColumn id="20" xr3:uid="{0832FA10-7C1D-4130-B6A7-5C0012F8E882}" uniqueName="20" name="Muzzle Velocity(ft/s)" queryTableFieldId="20"/>
    <tableColumn id="21" xr3:uid="{CFB2A9E8-6B15-4652-8445-CDA9030FE517}" uniqueName="21" name="Muzzle Veloctiy(m/s)" queryTableFieldId="21"/>
    <tableColumn id="22" xr3:uid="{49D84CB3-F7B9-46DE-8A4D-2823677E5368}" uniqueName="22" name="Muzzle Energy(ft.lbs)" queryTableFieldId="22"/>
    <tableColumn id="23" xr3:uid="{44FAD018-0C80-46A1-AE84-46A506A8B49A}" uniqueName="23" name="Muzzle Energy(J)" queryTableFieldId="23"/>
    <tableColumn id="24" xr3:uid="{E3BAA5C1-FB3B-4A42-BC61-A1F615F72812}" uniqueName="24" name="Minimum Terminal Velocity(ft/s)" queryTableFieldId="24"/>
    <tableColumn id="25" xr3:uid="{8F177956-34A5-4205-B22D-FE58A54183D2}" uniqueName="25" name="Minimum Terminal Velocity(m/s)" queryTableFieldId="2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DB751F-8A1F-42C9-8039-C18AC1ABB203}" name="ammunition.243win" displayName="ammunition.243win" ref="E18:AC24" tableType="queryTable" totalsRowShown="0">
  <autoFilter ref="E18:AC24" xr:uid="{CDDB751F-8A1F-42C9-8039-C18AC1ABB203}"/>
  <tableColumns count="25">
    <tableColumn id="1" xr3:uid="{0436DA6A-AF59-432B-9070-0046AC49FB8B}" uniqueName="1" name="Key" queryTableFieldId="1" dataDxfId="201"/>
    <tableColumn id="2" xr3:uid="{3A64226C-2951-4D75-BC04-5E7C0EBB94BA}" uniqueName="2" name="Specification Type" queryTableFieldId="2" dataDxfId="200"/>
    <tableColumn id="3" xr3:uid="{BF9BE3DC-D769-4629-827B-036DBF3C08C5}" uniqueName="3" name="Cartridge" queryTableFieldId="3" dataDxfId="199"/>
    <tableColumn id="4" xr3:uid="{E886784F-1164-4F55-A811-88D008F514B7}" uniqueName="4" name="Projectile" queryTableFieldId="4" dataDxfId="198"/>
    <tableColumn id="5" xr3:uid="{96AA280E-04D2-4EEC-9472-56BBD6B40AD7}" uniqueName="5" name="Type" queryTableFieldId="5" dataDxfId="197"/>
    <tableColumn id="6" xr3:uid="{D320B4FB-50D2-4A71-B6E4-132FBFA93DF6}" uniqueName="6" name="Caliber" queryTableFieldId="6"/>
    <tableColumn id="7" xr3:uid="{CB5F4FE3-A742-46DA-B828-8F661CD8F84B}" uniqueName="7" name="Units (cal)" queryTableFieldId="7" dataDxfId="196"/>
    <tableColumn id="8" xr3:uid="{AC7BC1E2-0BD3-4BA7-8325-F16CE4775A62}" uniqueName="8" name="Weight" queryTableFieldId="8"/>
    <tableColumn id="9" xr3:uid="{549948B4-4E7D-413D-9894-06AFD8637A2E}" uniqueName="9" name="Units(wt)" queryTableFieldId="9" dataDxfId="195"/>
    <tableColumn id="10" xr3:uid="{864D5B20-5534-4921-8ECC-E70E5446B825}" uniqueName="10" name="Muzzle Velocity" queryTableFieldId="10"/>
    <tableColumn id="11" xr3:uid="{976DB242-B71D-49A3-95C6-78C638D72EDC}" uniqueName="11" name="Units(MV)" queryTableFieldId="11" dataDxfId="194"/>
    <tableColumn id="12" xr3:uid="{21C7252D-9BBB-417A-94B6-F6CBD0586F27}" uniqueName="12" name="Minimum Terminal Velocity" queryTableFieldId="12"/>
    <tableColumn id="13" xr3:uid="{2AFCF73B-0B73-420E-9B73-AAC1787A663B}" uniqueName="13" name="Units(MTV)" queryTableFieldId="13" dataDxfId="193"/>
    <tableColumn id="14" xr3:uid="{34374FC7-DD53-4C5A-9987-1F8D743896DD}" uniqueName="14" name="BC(G1)" queryTableFieldId="14"/>
    <tableColumn id="15" xr3:uid="{7D5EB223-5C62-4B35-8E36-588B57909F72}" uniqueName="15" name="BC (G7)" queryTableFieldId="15" dataDxfId="192"/>
    <tableColumn id="16" xr3:uid="{10427B0E-7F1A-4F90-9E3C-254131FBD471}" uniqueName="16" name="Caliber(in)" queryTableFieldId="16"/>
    <tableColumn id="17" xr3:uid="{701F7D40-C7C7-43C4-BB2C-90FBC36CF8F7}" uniqueName="17" name="Caliber(mm)" queryTableFieldId="17"/>
    <tableColumn id="18" xr3:uid="{C6F2AC51-8319-456B-A741-1B1825B745AC}" uniqueName="18" name="Weight(grains)" queryTableFieldId="18"/>
    <tableColumn id="19" xr3:uid="{445AABAA-A70B-403E-B9CC-FCF507AE02CD}" uniqueName="19" name="Weight(grams)" queryTableFieldId="19"/>
    <tableColumn id="20" xr3:uid="{BC12EE11-193A-4098-A8B8-AD0FD9529A43}" uniqueName="20" name="Muzzle Velocity(ft/s)" queryTableFieldId="20"/>
    <tableColumn id="21" xr3:uid="{C1B75890-8869-4DB9-9B34-4E6F0CB9A485}" uniqueName="21" name="Muzzle Veloctiy(m/s)" queryTableFieldId="21"/>
    <tableColumn id="22" xr3:uid="{9ECCF092-3FBE-4BD4-8659-2B765A802A14}" uniqueName="22" name="Muzzle Energy(ft.lbs)" queryTableFieldId="22"/>
    <tableColumn id="23" xr3:uid="{FE1DE136-8B23-432E-8EC8-2A557A2BE516}" uniqueName="23" name="Muzzle Energy(J)" queryTableFieldId="23"/>
    <tableColumn id="24" xr3:uid="{6A3CD461-AF71-4D61-ACE4-FCC7CABEF16B}" uniqueName="24" name="Minimum Terminal Velocity(ft/s)" queryTableFieldId="24"/>
    <tableColumn id="25" xr3:uid="{A053EDFF-13E9-4F6C-A2A2-8FA677FE4CC0}" uniqueName="25" name="Minimum Terminal Velocity(m/s)" queryTableFieldId="2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EE82EB5-B551-4D0C-BECA-F41517083B23}" name="ammunition.270win" displayName="ammunition.270win" ref="E27:AC33" tableType="queryTable" totalsRowShown="0">
  <autoFilter ref="E27:AC33" xr:uid="{0EE82EB5-B551-4D0C-BECA-F41517083B23}"/>
  <tableColumns count="25">
    <tableColumn id="1" xr3:uid="{B4121D76-2A78-4C83-8427-977AF1F77D3C}" uniqueName="1" name="Key" queryTableFieldId="1" dataDxfId="191"/>
    <tableColumn id="2" xr3:uid="{63D138B0-DFCD-42CA-9F71-CC39676D0348}" uniqueName="2" name="Specification Type" queryTableFieldId="2" dataDxfId="190"/>
    <tableColumn id="3" xr3:uid="{A90CAFCF-4DA6-46D5-9114-45A2B7047476}" uniqueName="3" name="Cartridge" queryTableFieldId="3" dataDxfId="189"/>
    <tableColumn id="4" xr3:uid="{A54705A2-6AE5-48E4-9627-E0F2AF9C2D15}" uniqueName="4" name="Projectile" queryTableFieldId="4" dataDxfId="188"/>
    <tableColumn id="5" xr3:uid="{1DB90111-E025-4F7B-8C92-63A9084C3D0E}" uniqueName="5" name="Type" queryTableFieldId="5" dataDxfId="187"/>
    <tableColumn id="6" xr3:uid="{C053E8C5-E817-4BB0-BC1F-1D28BE84AC4E}" uniqueName="6" name="Caliber" queryTableFieldId="6"/>
    <tableColumn id="7" xr3:uid="{9A052B5F-085D-4552-AD95-C294B39646B6}" uniqueName="7" name="Units (cal)" queryTableFieldId="7" dataDxfId="186"/>
    <tableColumn id="8" xr3:uid="{EC14FCFB-EEB9-41E6-8993-05BD8A3B1EEF}" uniqueName="8" name="Weight" queryTableFieldId="8"/>
    <tableColumn id="9" xr3:uid="{AF43BC68-0258-4234-B5DD-E20904468025}" uniqueName="9" name="Units(wt)" queryTableFieldId="9" dataDxfId="185"/>
    <tableColumn id="10" xr3:uid="{D6F91561-1759-452F-AA91-E250E1A52A20}" uniqueName="10" name="Muzzle Velocity" queryTableFieldId="10"/>
    <tableColumn id="11" xr3:uid="{C3D1E99E-4C40-4A53-98ED-F0FA12CF2999}" uniqueName="11" name="Units(MV)" queryTableFieldId="11" dataDxfId="184"/>
    <tableColumn id="12" xr3:uid="{818FEDFF-C144-4273-AFCD-863432383B98}" uniqueName="12" name="Minimum Terminal Velocity" queryTableFieldId="12"/>
    <tableColumn id="13" xr3:uid="{4B2FEE7E-690C-4376-A480-08063D7B0151}" uniqueName="13" name="Units(MTV)" queryTableFieldId="13" dataDxfId="183"/>
    <tableColumn id="14" xr3:uid="{8CD5E46A-201A-4364-8264-D32C4E237D9A}" uniqueName="14" name="BC(G1)" queryTableFieldId="14"/>
    <tableColumn id="15" xr3:uid="{3620299E-5511-40DF-8886-EBE022F27E69}" uniqueName="15" name="BC (G7)" queryTableFieldId="15" dataDxfId="182"/>
    <tableColumn id="16" xr3:uid="{6ABE70AE-DD0A-48CE-BDB5-0EA8CC9FF31A}" uniqueName="16" name="Caliber(in)" queryTableFieldId="16"/>
    <tableColumn id="17" xr3:uid="{FEE33014-5170-4402-B4F9-EF4990732D3F}" uniqueName="17" name="Caliber(mm)" queryTableFieldId="17"/>
    <tableColumn id="18" xr3:uid="{C3418AF5-A0A5-4746-BB5E-3D3834F91468}" uniqueName="18" name="Weight(grains)" queryTableFieldId="18"/>
    <tableColumn id="19" xr3:uid="{A79C5733-92A9-4D06-A347-3FFFE93F0DE7}" uniqueName="19" name="Weight(grams)" queryTableFieldId="19"/>
    <tableColumn id="20" xr3:uid="{2D63776E-8F08-457B-8C14-9AA496729D83}" uniqueName="20" name="Muzzle Velocity(ft/s)" queryTableFieldId="20"/>
    <tableColumn id="21" xr3:uid="{EFCFD87F-A2F9-4272-9DA2-813916B2822D}" uniqueName="21" name="Muzzle Veloctiy(m/s)" queryTableFieldId="21"/>
    <tableColumn id="22" xr3:uid="{77D319F4-B10D-4EBF-874A-BEF738CF2E1A}" uniqueName="22" name="Muzzle Energy(ft.lbs)" queryTableFieldId="22"/>
    <tableColumn id="23" xr3:uid="{0B0CCB0E-7FC1-4D6E-AFE1-0ED67C3A0BF7}" uniqueName="23" name="Muzzle Energy(J)" queryTableFieldId="23"/>
    <tableColumn id="24" xr3:uid="{25D3A7CD-668F-4B18-993F-078F3B9977B3}" uniqueName="24" name="Minimum Terminal Velocity(ft/s)" queryTableFieldId="24"/>
    <tableColumn id="25" xr3:uid="{78C15A42-E5CB-4967-8514-75E6E5FA2700}" uniqueName="25" name="Minimum Terminal Velocity(m/s)" queryTableFieldId="25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EC6231F-504F-44B3-84F1-F5B089909005}" name="ammunition.3006spring" displayName="ammunition.3006spring" ref="E36:AC42" tableType="queryTable" totalsRowShown="0">
  <autoFilter ref="E36:AC42" xr:uid="{BEC6231F-504F-44B3-84F1-F5B089909005}"/>
  <tableColumns count="25">
    <tableColumn id="1" xr3:uid="{26629A33-1AEA-455E-9929-7B5621950E18}" uniqueName="1" name="Key" queryTableFieldId="1" dataDxfId="181"/>
    <tableColumn id="2" xr3:uid="{35D1738B-216A-4F90-943B-09F514386D1F}" uniqueName="2" name="Specification Type" queryTableFieldId="2" dataDxfId="180"/>
    <tableColumn id="3" xr3:uid="{D60432B2-7932-4B73-A631-9F221FDD06A9}" uniqueName="3" name="Cartridge" queryTableFieldId="3" dataDxfId="179"/>
    <tableColumn id="4" xr3:uid="{43022B25-9C04-45BB-8928-D74E39847D95}" uniqueName="4" name="Projectile" queryTableFieldId="4" dataDxfId="178"/>
    <tableColumn id="5" xr3:uid="{2D7B5085-5AFB-4D7D-B10F-9E19194BA61C}" uniqueName="5" name="Type" queryTableFieldId="5" dataDxfId="177"/>
    <tableColumn id="6" xr3:uid="{C5A63634-30CB-4119-B801-BA4F508A386D}" uniqueName="6" name="Caliber" queryTableFieldId="6"/>
    <tableColumn id="7" xr3:uid="{2BEB2807-D7EB-4EE1-8C2C-907EE4C1D1D3}" uniqueName="7" name="Units (cal)" queryTableFieldId="7" dataDxfId="176"/>
    <tableColumn id="8" xr3:uid="{F92DDAEA-8C57-4B0D-92D5-2538AD8373F6}" uniqueName="8" name="Weight" queryTableFieldId="8"/>
    <tableColumn id="9" xr3:uid="{E8287C77-70D9-45FE-8A13-BADC1AB268D8}" uniqueName="9" name="Units(wt)" queryTableFieldId="9" dataDxfId="175"/>
    <tableColumn id="10" xr3:uid="{25B64870-FCAE-4251-BA2E-14F59C147AF3}" uniqueName="10" name="Muzzle Velocity" queryTableFieldId="10"/>
    <tableColumn id="11" xr3:uid="{966DB8F1-C67B-42CD-87DD-FB075B95440D}" uniqueName="11" name="Units(MV)" queryTableFieldId="11" dataDxfId="174"/>
    <tableColumn id="12" xr3:uid="{55909F0B-245E-490E-9C72-BF098E3FED28}" uniqueName="12" name="Minimum Terminal Velocity" queryTableFieldId="12"/>
    <tableColumn id="13" xr3:uid="{473AF3E2-2312-45F0-90A7-1558CB2DD7C6}" uniqueName="13" name="Units(MTV)" queryTableFieldId="13" dataDxfId="173"/>
    <tableColumn id="14" xr3:uid="{8B80994E-B376-462D-9A0E-DB9E2112140A}" uniqueName="14" name="BC(G1)" queryTableFieldId="14"/>
    <tableColumn id="15" xr3:uid="{E2111394-17B4-4D7E-A1D7-E4BF8EC796DE}" uniqueName="15" name="BC (G7)" queryTableFieldId="15"/>
    <tableColumn id="16" xr3:uid="{038FE076-8487-4F25-AFC7-459B7445E604}" uniqueName="16" name="Caliber(in)" queryTableFieldId="16"/>
    <tableColumn id="17" xr3:uid="{11113511-C554-4877-AA50-D000F1AC5DA9}" uniqueName="17" name="Caliber(mm)" queryTableFieldId="17"/>
    <tableColumn id="18" xr3:uid="{BFC6C877-EB3A-4A01-AE58-A36359515B2C}" uniqueName="18" name="Weight(grains)" queryTableFieldId="18"/>
    <tableColumn id="19" xr3:uid="{7C175EBA-F240-45D9-83B0-73F639BE3B67}" uniqueName="19" name="Weight(grams)" queryTableFieldId="19"/>
    <tableColumn id="20" xr3:uid="{232A550B-64C9-4F76-8AEC-FDDDCF690E82}" uniqueName="20" name="Muzzle Velocity(ft/s)" queryTableFieldId="20"/>
    <tableColumn id="21" xr3:uid="{5DC88683-8EF1-4C19-AB51-E5AFA23821D2}" uniqueName="21" name="Muzzle Veloctiy(m/s)" queryTableFieldId="21"/>
    <tableColumn id="22" xr3:uid="{5EF9A70C-53FA-4DBD-97EE-5191A0E67C7A}" uniqueName="22" name="Muzzle Energy(ft.lbs)" queryTableFieldId="22"/>
    <tableColumn id="23" xr3:uid="{986F81F9-8877-4F99-89E0-4E02061B84A7}" uniqueName="23" name="Muzzle Energy(J)" queryTableFieldId="23"/>
    <tableColumn id="24" xr3:uid="{E5C8350E-04FC-4C6E-922E-8DA4E67D36CC}" uniqueName="24" name="Minimum Terminal Velocity(ft/s)" queryTableFieldId="24"/>
    <tableColumn id="25" xr3:uid="{B6E07418-B84F-40C2-82C0-5416B8B48658}" uniqueName="25" name="Minimum Terminal Velocity(m/s)" queryTableFieldId="25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8B64D7B-1F0B-459E-ADC6-670E9E1DD73C}" name="ammunition.300winmag" displayName="ammunition.300winmag" ref="E45:AC51" tableType="queryTable" totalsRowShown="0">
  <autoFilter ref="E45:AC51" xr:uid="{F8B64D7B-1F0B-459E-ADC6-670E9E1DD73C}"/>
  <tableColumns count="25">
    <tableColumn id="1" xr3:uid="{F639B30D-6068-4ACD-9BBB-3A1F17B7006A}" uniqueName="1" name="Key" queryTableFieldId="1" dataDxfId="172"/>
    <tableColumn id="2" xr3:uid="{057BE579-5ABD-4B62-BA27-4ED850B1145D}" uniqueName="2" name="Specification Type" queryTableFieldId="2" dataDxfId="171"/>
    <tableColumn id="3" xr3:uid="{AA48900C-7537-42EF-9AC2-10041F7C526C}" uniqueName="3" name="Cartridge" queryTableFieldId="3" dataDxfId="170"/>
    <tableColumn id="4" xr3:uid="{AD5A9597-305B-4364-AE3E-1B306810D0EA}" uniqueName="4" name="Projectile" queryTableFieldId="4" dataDxfId="169"/>
    <tableColumn id="5" xr3:uid="{A570C7CA-7E0C-482B-9520-4021E682213E}" uniqueName="5" name="Type" queryTableFieldId="5" dataDxfId="168"/>
    <tableColumn id="6" xr3:uid="{8722421B-BA5F-4381-8883-C4F19DAE1D3C}" uniqueName="6" name="Caliber" queryTableFieldId="6"/>
    <tableColumn id="7" xr3:uid="{E3E0EBE5-6E62-454D-B1B4-8E7E2D2D2959}" uniqueName="7" name="Units (cal)" queryTableFieldId="7" dataDxfId="167"/>
    <tableColumn id="8" xr3:uid="{276445CF-7259-4841-99BB-3448BEE5F3EC}" uniqueName="8" name="Weight" queryTableFieldId="8"/>
    <tableColumn id="9" xr3:uid="{AC4F65B4-4C9F-430B-9D91-6E45A5AC9904}" uniqueName="9" name="Units(wt)" queryTableFieldId="9" dataDxfId="166"/>
    <tableColumn id="10" xr3:uid="{C48B907A-0ED1-4C11-9F68-9419B291CD20}" uniqueName="10" name="Muzzle Velocity" queryTableFieldId="10"/>
    <tableColumn id="11" xr3:uid="{FE67719B-D432-4AA9-914F-AEDDDD42D992}" uniqueName="11" name="Units(MV)" queryTableFieldId="11" dataDxfId="165"/>
    <tableColumn id="12" xr3:uid="{19522663-5F6A-406F-8C60-346042FF8051}" uniqueName="12" name="Minimum Terminal Velocity" queryTableFieldId="12"/>
    <tableColumn id="13" xr3:uid="{67B12384-EDC5-4190-ACA3-902B3C3D19F0}" uniqueName="13" name="Units(MTV)" queryTableFieldId="13" dataDxfId="164"/>
    <tableColumn id="14" xr3:uid="{7547085E-6C0F-41CD-BA57-5015D1E4B42F}" uniqueName="14" name="BC(G1)" queryTableFieldId="14"/>
    <tableColumn id="15" xr3:uid="{CA472335-0D5E-4549-9B78-11493A3680BF}" uniqueName="15" name="BC (G7)" queryTableFieldId="15"/>
    <tableColumn id="16" xr3:uid="{9022E512-74A4-4128-BE8A-EF71F5439FBF}" uniqueName="16" name="Caliber(in)" queryTableFieldId="16"/>
    <tableColumn id="17" xr3:uid="{94530ACB-50B2-4A66-BF21-5C2D0D59D3FA}" uniqueName="17" name="Caliber(mm)" queryTableFieldId="17"/>
    <tableColumn id="18" xr3:uid="{42FA1D7F-48A8-409B-BEBD-079F4E9B1098}" uniqueName="18" name="Weight(grains)" queryTableFieldId="18"/>
    <tableColumn id="19" xr3:uid="{B6D8F25C-11C9-4974-850F-0B308C4440BD}" uniqueName="19" name="Weight(grams)" queryTableFieldId="19"/>
    <tableColumn id="20" xr3:uid="{8A07DA80-9124-436F-9E80-562C70E06EC4}" uniqueName="20" name="Muzzle Velocity(ft/s)" queryTableFieldId="20"/>
    <tableColumn id="21" xr3:uid="{61FBD97C-2AEC-4DF3-943F-72E848A5EAF1}" uniqueName="21" name="Muzzle Veloctiy(m/s)" queryTableFieldId="21"/>
    <tableColumn id="22" xr3:uid="{9110AA7E-BAFE-408C-9213-6A62757B80CC}" uniqueName="22" name="Muzzle Energy(ft.lbs)" queryTableFieldId="22"/>
    <tableColumn id="23" xr3:uid="{52838B17-25E8-4B7D-BFDD-3CC4D3009F36}" uniqueName="23" name="Muzzle Energy(J)" queryTableFieldId="23"/>
    <tableColumn id="24" xr3:uid="{A90E96EE-A2C3-4C15-AE7B-201BF8042B30}" uniqueName="24" name="Minimum Terminal Velocity(ft/s)" queryTableFieldId="24"/>
    <tableColumn id="25" xr3:uid="{530E9443-4F84-4699-B231-DFA5402BFDAE}" uniqueName="25" name="Minimum Terminal Velocity(m/s)" queryTableFieldId="2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DD2256A-C7CF-4B9E-BA3B-6B32557B403E}" name="ammunition.3030win" displayName="ammunition.3030win" ref="E54:AC60" tableType="queryTable" totalsRowShown="0">
  <autoFilter ref="E54:AC60" xr:uid="{8DD2256A-C7CF-4B9E-BA3B-6B32557B403E}"/>
  <tableColumns count="25">
    <tableColumn id="1" xr3:uid="{D35ED3C2-15AE-4962-8E90-A4B312FDE6C0}" uniqueName="1" name="Key" queryTableFieldId="1" dataDxfId="163"/>
    <tableColumn id="2" xr3:uid="{22DB9DEE-0144-409B-B03C-D4FD4A240ED1}" uniqueName="2" name="Specification Type" queryTableFieldId="2" dataDxfId="162"/>
    <tableColumn id="3" xr3:uid="{FE5DBFD0-3AA1-4201-999B-2600C279AEFD}" uniqueName="3" name="Cartridge" queryTableFieldId="3" dataDxfId="161"/>
    <tableColumn id="4" xr3:uid="{24763D9E-B377-487A-8AAC-6C09BC9E5143}" uniqueName="4" name="Projectile" queryTableFieldId="4" dataDxfId="160"/>
    <tableColumn id="5" xr3:uid="{41364AA4-0D10-493B-864A-82E1C25CAF95}" uniqueName="5" name="Type" queryTableFieldId="5" dataDxfId="159"/>
    <tableColumn id="6" xr3:uid="{AB8D78BF-27F3-40F7-BD48-725FD34F6F06}" uniqueName="6" name="Caliber" queryTableFieldId="6"/>
    <tableColumn id="7" xr3:uid="{9B54FE03-9EE1-412A-B21F-50CBB041EDCB}" uniqueName="7" name="Units (cal)" queryTableFieldId="7" dataDxfId="158"/>
    <tableColumn id="8" xr3:uid="{1CA9C7EA-9865-442F-878D-24E68860BF62}" uniqueName="8" name="Weight" queryTableFieldId="8"/>
    <tableColumn id="9" xr3:uid="{B973E12D-2E6D-4D1B-AC8D-19F67C5A6FDC}" uniqueName="9" name="Units(wt)" queryTableFieldId="9" dataDxfId="157"/>
    <tableColumn id="10" xr3:uid="{57192063-0A7E-4F63-AC3B-1B68C65609DF}" uniqueName="10" name="Muzzle Velocity" queryTableFieldId="10"/>
    <tableColumn id="11" xr3:uid="{E6E507C2-E81B-4BF0-8407-59931F3234C9}" uniqueName="11" name="Units(MV)" queryTableFieldId="11" dataDxfId="156"/>
    <tableColumn id="12" xr3:uid="{FD8CA2EE-B777-4A7D-8340-46E76117C186}" uniqueName="12" name="Minimum Terminal Velocity" queryTableFieldId="12"/>
    <tableColumn id="13" xr3:uid="{54F1578A-A583-4087-A7A0-3292170FD533}" uniqueName="13" name="Units(MTV)" queryTableFieldId="13" dataDxfId="155"/>
    <tableColumn id="14" xr3:uid="{FDDC3B4B-DA95-4748-884C-A37138A14992}" uniqueName="14" name="BC(G1)" queryTableFieldId="14"/>
    <tableColumn id="15" xr3:uid="{021D58AF-0307-4538-9F2C-52AC65E32D82}" uniqueName="15" name="BC (G7)" queryTableFieldId="15" dataDxfId="154"/>
    <tableColumn id="16" xr3:uid="{850D9EEF-3CE8-4ED8-9B2D-00F01FE9C693}" uniqueName="16" name="Caliber(in)" queryTableFieldId="16"/>
    <tableColumn id="17" xr3:uid="{822B8D38-C2FE-4BB2-B219-95BE833647A1}" uniqueName="17" name="Caliber(mm)" queryTableFieldId="17"/>
    <tableColumn id="18" xr3:uid="{BDDB1262-3B11-457D-9E48-A8B435148988}" uniqueName="18" name="Weight(grains)" queryTableFieldId="18"/>
    <tableColumn id="19" xr3:uid="{083FCCB5-6A5B-46BC-BB94-5D151C9AB40F}" uniqueName="19" name="Weight(grams)" queryTableFieldId="19"/>
    <tableColumn id="20" xr3:uid="{1F521871-1001-4C2A-979D-29CEEAE00F4E}" uniqueName="20" name="Muzzle Velocity(ft/s)" queryTableFieldId="20"/>
    <tableColumn id="21" xr3:uid="{0D924E21-27A7-4486-86AC-A67842A101AD}" uniqueName="21" name="Muzzle Veloctiy(m/s)" queryTableFieldId="21"/>
    <tableColumn id="22" xr3:uid="{9FFA30B3-24F9-4EF9-8F16-386A90D2A5E1}" uniqueName="22" name="Muzzle Energy(ft.lbs)" queryTableFieldId="22"/>
    <tableColumn id="23" xr3:uid="{BD751012-4737-44F5-8BDA-F7A1FC740D19}" uniqueName="23" name="Muzzle Energy(J)" queryTableFieldId="23"/>
    <tableColumn id="24" xr3:uid="{73AAE2E4-FB82-4578-88F9-72326206F5AF}" uniqueName="24" name="Minimum Terminal Velocity(ft/s)" queryTableFieldId="24"/>
    <tableColumn id="25" xr3:uid="{219154FA-69FC-4FB6-8F43-EF6F6F1B536C}" uniqueName="25" name="Minimum Terminal Velocity(m/s)" queryTableFieldId="2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4A918F8-15B3-4E8F-84D6-AFF142A910D8}" name="ammunition.308win" displayName="ammunition.308win" ref="E63:AC69" tableType="queryTable" totalsRowShown="0">
  <autoFilter ref="E63:AC69" xr:uid="{84A918F8-15B3-4E8F-84D6-AFF142A910D8}"/>
  <tableColumns count="25">
    <tableColumn id="1" xr3:uid="{4595166F-2BFE-45C6-9768-EF6ACC81A92F}" uniqueName="1" name="Key" queryTableFieldId="1" dataDxfId="153"/>
    <tableColumn id="2" xr3:uid="{8227067F-7C8A-4244-A8FB-4EDEB4FAF80D}" uniqueName="2" name="Specification Type" queryTableFieldId="2" dataDxfId="152"/>
    <tableColumn id="3" xr3:uid="{F85ADCAF-7524-4192-BF6E-CE15575CE71D}" uniqueName="3" name="Cartridge" queryTableFieldId="3" dataDxfId="151"/>
    <tableColumn id="4" xr3:uid="{FE54D554-3062-4D0D-8C61-45B26EC46EE6}" uniqueName="4" name="Projectile" queryTableFieldId="4" dataDxfId="150"/>
    <tableColumn id="5" xr3:uid="{0D8EA68F-E46C-4A8E-9E56-B74C25D95BB8}" uniqueName="5" name="Type" queryTableFieldId="5" dataDxfId="149"/>
    <tableColumn id="6" xr3:uid="{0F5A3B5A-7A18-4D9A-9430-38C52C3F483B}" uniqueName="6" name="Caliber" queryTableFieldId="6"/>
    <tableColumn id="7" xr3:uid="{FF26A822-6747-4147-8B50-7117ED17875F}" uniqueName="7" name="Units (cal)" queryTableFieldId="7" dataDxfId="148"/>
    <tableColumn id="8" xr3:uid="{0AB90BF6-D2D7-4C51-A1A7-C7ACCC293729}" uniqueName="8" name="Weight" queryTableFieldId="8"/>
    <tableColumn id="9" xr3:uid="{038F8EEF-BEC1-4EAE-8640-391922E02099}" uniqueName="9" name="Units(wt)" queryTableFieldId="9" dataDxfId="147"/>
    <tableColumn id="10" xr3:uid="{491195FF-E6EF-40BA-B284-127C96FC6D34}" uniqueName="10" name="Muzzle Velocity" queryTableFieldId="10"/>
    <tableColumn id="11" xr3:uid="{1567C58B-2139-461F-B597-88532023C859}" uniqueName="11" name="Units(MV)" queryTableFieldId="11" dataDxfId="146"/>
    <tableColumn id="12" xr3:uid="{2A89960C-D4B6-4F82-8A65-D1046A783A8C}" uniqueName="12" name="Minimum Terminal Velocity" queryTableFieldId="12"/>
    <tableColumn id="13" xr3:uid="{2D286360-7BC7-4287-9B7A-11E70D3ECF84}" uniqueName="13" name="Units(MTV)" queryTableFieldId="13" dataDxfId="145"/>
    <tableColumn id="14" xr3:uid="{AFF6A09C-7E65-48F2-BC32-4EC3C81AAB94}" uniqueName="14" name="BC(G1)" queryTableFieldId="14"/>
    <tableColumn id="15" xr3:uid="{D8764B35-B243-4702-B79E-791090AF82C8}" uniqueName="15" name="BC (G7)" queryTableFieldId="15"/>
    <tableColumn id="16" xr3:uid="{38D57B3F-1944-4836-AC38-B7E79F42D87A}" uniqueName="16" name="Caliber(in)" queryTableFieldId="16"/>
    <tableColumn id="17" xr3:uid="{449FD845-38BF-4A2A-B291-96052FCBCE0B}" uniqueName="17" name="Caliber(mm)" queryTableFieldId="17"/>
    <tableColumn id="18" xr3:uid="{A29E0750-30EF-4358-B3C9-4A2A73ED1AC4}" uniqueName="18" name="Weight(grains)" queryTableFieldId="18"/>
    <tableColumn id="19" xr3:uid="{9D88D031-F204-4D45-8ECA-7EDF78CA7294}" uniqueName="19" name="Weight(grams)" queryTableFieldId="19"/>
    <tableColumn id="20" xr3:uid="{CFF56046-B9E9-493F-8694-5A8CB6244F69}" uniqueName="20" name="Muzzle Velocity(ft/s)" queryTableFieldId="20"/>
    <tableColumn id="21" xr3:uid="{7838B6B2-8A48-4F82-AEF2-7D71AC43F500}" uniqueName="21" name="Muzzle Veloctiy(m/s)" queryTableFieldId="21"/>
    <tableColumn id="22" xr3:uid="{EFD93739-F86B-450F-AB36-1C35B617418D}" uniqueName="22" name="Muzzle Energy(ft.lbs)" queryTableFieldId="22"/>
    <tableColumn id="23" xr3:uid="{3C2B4C7D-B6D0-4764-85B0-960595D78605}" uniqueName="23" name="Muzzle Energy(J)" queryTableFieldId="23"/>
    <tableColumn id="24" xr3:uid="{B75172B0-C910-4DD4-A3D7-45117C963F2E}" uniqueName="24" name="Minimum Terminal Velocity(ft/s)" queryTableFieldId="24"/>
    <tableColumn id="25" xr3:uid="{248F23B8-F9EC-44BB-B18D-20943C238DF6}" uniqueName="25" name="Minimum Terminal Velocity(m/s)" queryTableFieldId="2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A8D78E5-B970-483F-B714-1329606A7324}" name="ammunition.338lapuamag" displayName="ammunition.338lapuamag" ref="E72:AC75" tableType="queryTable" totalsRowShown="0">
  <autoFilter ref="E72:AC75" xr:uid="{CA8D78E5-B970-483F-B714-1329606A7324}"/>
  <tableColumns count="25">
    <tableColumn id="1" xr3:uid="{7CCB2281-624A-4FF8-9702-10D4401945FD}" uniqueName="1" name="Key" queryTableFieldId="1" dataDxfId="144"/>
    <tableColumn id="2" xr3:uid="{21000EDF-EE08-4324-B8AC-FA24FFF82CDA}" uniqueName="2" name="Specification Type" queryTableFieldId="2" dataDxfId="143"/>
    <tableColumn id="3" xr3:uid="{7E5F6332-963D-43F7-92D8-5900666743BC}" uniqueName="3" name="Cartridge" queryTableFieldId="3" dataDxfId="142"/>
    <tableColumn id="4" xr3:uid="{C091B858-5171-4E46-9A0A-1E656CF3B015}" uniqueName="4" name="Projectile" queryTableFieldId="4" dataDxfId="141"/>
    <tableColumn id="5" xr3:uid="{84843388-94DD-4F57-A438-8F0FA915C6C5}" uniqueName="5" name="Type" queryTableFieldId="5" dataDxfId="140"/>
    <tableColumn id="6" xr3:uid="{81CC4C68-9D83-4374-BE39-D3611E489980}" uniqueName="6" name="Caliber" queryTableFieldId="6"/>
    <tableColumn id="7" xr3:uid="{F982C0F2-6F5B-462E-8F2B-ED9423F16F52}" uniqueName="7" name="Units (cal)" queryTableFieldId="7" dataDxfId="139"/>
    <tableColumn id="8" xr3:uid="{759AD7E8-7A56-405F-A5F8-2585A6E97371}" uniqueName="8" name="Weight" queryTableFieldId="8"/>
    <tableColumn id="9" xr3:uid="{B1336572-A046-46AD-94A2-B0DD98B23451}" uniqueName="9" name="Units(wt)" queryTableFieldId="9" dataDxfId="138"/>
    <tableColumn id="10" xr3:uid="{F7041948-DFD4-4AF0-82A7-F5EF6432D6D2}" uniqueName="10" name="Muzzle Velocity" queryTableFieldId="10"/>
    <tableColumn id="11" xr3:uid="{71307AD2-D3C1-4FE0-BD8B-E1425D755DBF}" uniqueName="11" name="Units(MV)" queryTableFieldId="11" dataDxfId="137"/>
    <tableColumn id="12" xr3:uid="{4F03D477-1586-44C9-B52D-4CCB0E1DBBC0}" uniqueName="12" name="Minimum Terminal Velocity" queryTableFieldId="12"/>
    <tableColumn id="13" xr3:uid="{2E6A3FCC-69CB-4D41-8429-253E70FA261A}" uniqueName="13" name="Units(MTV)" queryTableFieldId="13" dataDxfId="136"/>
    <tableColumn id="14" xr3:uid="{FF15309D-8463-4A34-890C-491C9683BC8C}" uniqueName="14" name="BC(G1)" queryTableFieldId="14"/>
    <tableColumn id="15" xr3:uid="{98F48178-60B4-4B0C-A5AF-239385C3BE59}" uniqueName="15" name="BC (G7)" queryTableFieldId="15"/>
    <tableColumn id="16" xr3:uid="{B1D3A635-9D01-4990-A300-E306769568A5}" uniqueName="16" name="Caliber(in)" queryTableFieldId="16"/>
    <tableColumn id="17" xr3:uid="{09D8D8C3-EAB1-4E2C-B9A6-57B62DD692E1}" uniqueName="17" name="Caliber(mm)" queryTableFieldId="17"/>
    <tableColumn id="18" xr3:uid="{2260F8B8-7164-498E-AE9C-7A98B3BBDBBB}" uniqueName="18" name="Weight(grains)" queryTableFieldId="18"/>
    <tableColumn id="19" xr3:uid="{ACAE5B46-A1F3-45AE-A760-C6579BA772E7}" uniqueName="19" name="Weight(grams)" queryTableFieldId="19"/>
    <tableColumn id="20" xr3:uid="{F99F6356-7B14-43D1-95BB-9E702A11B348}" uniqueName="20" name="Muzzle Velocity(ft/s)" queryTableFieldId="20"/>
    <tableColumn id="21" xr3:uid="{2D2E40F9-ABEC-4438-834C-E54137EB18F8}" uniqueName="21" name="Muzzle Veloctiy(m/s)" queryTableFieldId="21"/>
    <tableColumn id="22" xr3:uid="{E82C0870-29AD-4A93-B650-85015C633233}" uniqueName="22" name="Muzzle Energy(ft.lbs)" queryTableFieldId="22"/>
    <tableColumn id="23" xr3:uid="{CE164A36-DA1B-45AF-A923-329450BAD4A4}" uniqueName="23" name="Muzzle Energy(J)" queryTableFieldId="23"/>
    <tableColumn id="24" xr3:uid="{0E1BD722-FDAA-489E-B89F-023A733E8B86}" uniqueName="24" name="Minimum Terminal Velocity(ft/s)" queryTableFieldId="24"/>
    <tableColumn id="25" xr3:uid="{5FB611DF-B752-423B-A8AE-B0BC64BD9AC2}" uniqueName="25" name="Minimum Terminal Velocity(m/s)" queryTableFieldId="2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A9507AD-E89C-4B21-91F7-63F987D9CE1D}" name="ammunition.350remmag" displayName="ammunition.350remmag" ref="E78:AC80" tableType="queryTable" totalsRowShown="0">
  <autoFilter ref="E78:AC80" xr:uid="{EA9507AD-E89C-4B21-91F7-63F987D9CE1D}"/>
  <tableColumns count="25">
    <tableColumn id="1" xr3:uid="{456CC49C-4631-4EE7-98AE-9891EDF43F81}" uniqueName="1" name="Key" queryTableFieldId="1" dataDxfId="135"/>
    <tableColumn id="2" xr3:uid="{82EDE46D-7856-4D6F-AD56-EDB187BBA985}" uniqueName="2" name="Specification Type" queryTableFieldId="2" dataDxfId="134"/>
    <tableColumn id="3" xr3:uid="{448B231A-786B-4337-B9D1-3CB27D004F06}" uniqueName="3" name="Cartridge" queryTableFieldId="3" dataDxfId="133"/>
    <tableColumn id="4" xr3:uid="{197DACD2-1C47-4FC2-95EF-49C47694C2C1}" uniqueName="4" name="Projectile" queryTableFieldId="4" dataDxfId="132"/>
    <tableColumn id="5" xr3:uid="{5DD73248-B933-4ABE-B6FF-FE8C67BEABB0}" uniqueName="5" name="Type" queryTableFieldId="5" dataDxfId="131"/>
    <tableColumn id="6" xr3:uid="{264987E9-41E2-496C-8E63-6E4FEAC6DE7D}" uniqueName="6" name="Caliber" queryTableFieldId="6"/>
    <tableColumn id="7" xr3:uid="{223FB62C-7ACF-4A7C-9F40-7F01A8C2B8A7}" uniqueName="7" name="Units (cal)" queryTableFieldId="7" dataDxfId="130"/>
    <tableColumn id="8" xr3:uid="{10CCCED7-57EC-431C-91C3-993C815A7854}" uniqueName="8" name="Weight" queryTableFieldId="8"/>
    <tableColumn id="9" xr3:uid="{1A50B8B8-0A6F-46F0-9C66-84AE2CF631EA}" uniqueName="9" name="Units(wt)" queryTableFieldId="9" dataDxfId="129"/>
    <tableColumn id="10" xr3:uid="{2D6AF097-177D-46BA-8219-58B81E387BBC}" uniqueName="10" name="Muzzle Velocity" queryTableFieldId="10"/>
    <tableColumn id="11" xr3:uid="{6F7D8740-54EA-4997-9D99-841D575603FE}" uniqueName="11" name="Units(MV)" queryTableFieldId="11" dataDxfId="128"/>
    <tableColumn id="12" xr3:uid="{4D562470-B9A7-4513-A429-F27CA97BC391}" uniqueName="12" name="Minimum Terminal Velocity" queryTableFieldId="12"/>
    <tableColumn id="13" xr3:uid="{0EF7E738-2FFC-4050-AFE3-5D7C4CCCF2C7}" uniqueName="13" name="Units(MTV)" queryTableFieldId="13" dataDxfId="127"/>
    <tableColumn id="14" xr3:uid="{A45B79EF-B7C2-40A8-A83F-C18CACFCF73F}" uniqueName="14" name="BC(G1)" queryTableFieldId="14"/>
    <tableColumn id="15" xr3:uid="{13EE36FD-35CA-4CEA-AAFE-03F114BD92A3}" uniqueName="15" name="BC (G7)" queryTableFieldId="15"/>
    <tableColumn id="16" xr3:uid="{45EB7942-86D3-4B3F-9115-3CBB9B710A19}" uniqueName="16" name="Caliber(in)" queryTableFieldId="16"/>
    <tableColumn id="17" xr3:uid="{67D4CBF0-2171-450D-8B5E-FEC50FF88ED0}" uniqueName="17" name="Caliber(mm)" queryTableFieldId="17"/>
    <tableColumn id="18" xr3:uid="{2B351995-E712-45E6-BA88-621E4093FBE9}" uniqueName="18" name="Weight(grains)" queryTableFieldId="18"/>
    <tableColumn id="19" xr3:uid="{E1ADA4A9-5206-4FA5-8CC0-883787160360}" uniqueName="19" name="Weight(grams)" queryTableFieldId="19"/>
    <tableColumn id="20" xr3:uid="{B82427DD-898B-41DE-9E4C-18106BC89765}" uniqueName="20" name="Muzzle Velocity(ft/s)" queryTableFieldId="20"/>
    <tableColumn id="21" xr3:uid="{9CC2BBA4-9CC5-42C3-8676-1175BF0E8CD4}" uniqueName="21" name="Muzzle Veloctiy(m/s)" queryTableFieldId="21"/>
    <tableColumn id="22" xr3:uid="{88B2C38B-2E22-46C3-9210-631A3AFADF79}" uniqueName="22" name="Muzzle Energy(ft.lbs)" queryTableFieldId="22"/>
    <tableColumn id="23" xr3:uid="{2C486902-F47B-4776-AE71-1BDA71C922F4}" uniqueName="23" name="Muzzle Energy(J)" queryTableFieldId="23"/>
    <tableColumn id="24" xr3:uid="{CD3B66EC-E3E7-403E-A03E-0D1D59A92290}" uniqueName="24" name="Minimum Terminal Velocity(ft/s)" queryTableFieldId="24"/>
    <tableColumn id="25" xr3:uid="{C968136B-D7D4-4E8B-AAB7-980EAD860AC2}" uniqueName="25" name="Minimum Terminal Velocity(m/s)" queryTableFieldId="2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B40BFE8-46B4-4F95-AEB4-4107984598F6}" name="ammunition.375hhmag" displayName="ammunition.375hhmag" ref="E83:AC89" tableType="queryTable" totalsRowShown="0">
  <autoFilter ref="E83:AC89" xr:uid="{EB40BFE8-46B4-4F95-AEB4-4107984598F6}"/>
  <tableColumns count="25">
    <tableColumn id="1" xr3:uid="{EBA6BA47-ACB9-49F5-A7F9-AB62DD35D040}" uniqueName="1" name="Key" queryTableFieldId="1" dataDxfId="126"/>
    <tableColumn id="2" xr3:uid="{C51338E4-5371-41FF-ABCD-F4B253EC8465}" uniqueName="2" name="Specification Type" queryTableFieldId="2" dataDxfId="125"/>
    <tableColumn id="3" xr3:uid="{71EABCDC-BA37-4D41-87C8-9DCD92BBF03B}" uniqueName="3" name="Cartridge" queryTableFieldId="3" dataDxfId="124"/>
    <tableColumn id="4" xr3:uid="{580F2772-2436-4BD6-BC97-9E48C8C2DA27}" uniqueName="4" name="Projectile" queryTableFieldId="4" dataDxfId="123"/>
    <tableColumn id="5" xr3:uid="{8F81E76B-7D90-42A1-AC82-610990B75EC1}" uniqueName="5" name="Type" queryTableFieldId="5" dataDxfId="122"/>
    <tableColumn id="6" xr3:uid="{F75A96D5-2860-47A4-8ED0-991C055F1936}" uniqueName="6" name="Caliber" queryTableFieldId="6"/>
    <tableColumn id="7" xr3:uid="{B77D580C-5BB2-4D31-8AC1-E134C93D96C6}" uniqueName="7" name="Units (cal)" queryTableFieldId="7" dataDxfId="121"/>
    <tableColumn id="8" xr3:uid="{C1992FC8-A8B7-4DE2-A86C-B638B875174F}" uniqueName="8" name="Weight" queryTableFieldId="8"/>
    <tableColumn id="9" xr3:uid="{24EFDA42-67C5-439E-98AB-91E079A1C269}" uniqueName="9" name="Units(wt)" queryTableFieldId="9" dataDxfId="120"/>
    <tableColumn id="10" xr3:uid="{74F3C13C-F27E-4DB5-8A0B-DA2440D085E8}" uniqueName="10" name="Muzzle Velocity" queryTableFieldId="10"/>
    <tableColumn id="11" xr3:uid="{6D6DE31E-E362-4E80-A001-F18E6FC41977}" uniqueName="11" name="Units(MV)" queryTableFieldId="11" dataDxfId="119"/>
    <tableColumn id="12" xr3:uid="{65493E3E-42A0-4CDA-A0BA-10808846A28E}" uniqueName="12" name="Minimum Terminal Velocity" queryTableFieldId="12"/>
    <tableColumn id="13" xr3:uid="{EA8D1BE3-4C4E-4FDB-9C76-5818526280DF}" uniqueName="13" name="Units(MTV)" queryTableFieldId="13" dataDxfId="118"/>
    <tableColumn id="14" xr3:uid="{192CA765-4B57-4776-B197-AF6D7664088A}" uniqueName="14" name="BC(G1)" queryTableFieldId="14"/>
    <tableColumn id="15" xr3:uid="{E2A62559-2E18-4711-A65B-5CEB4FC27E59}" uniqueName="15" name="BC (G7)" queryTableFieldId="15"/>
    <tableColumn id="16" xr3:uid="{63D172D2-E7A1-4D4C-B923-CE605013CE51}" uniqueName="16" name="Caliber(in)" queryTableFieldId="16"/>
    <tableColumn id="17" xr3:uid="{1D059FEB-C9C3-4913-B183-AC371BBEBB83}" uniqueName="17" name="Caliber(mm)" queryTableFieldId="17"/>
    <tableColumn id="18" xr3:uid="{BB2D8915-9D37-4B18-82CF-F98C084BAF61}" uniqueName="18" name="Weight(grains)" queryTableFieldId="18"/>
    <tableColumn id="19" xr3:uid="{4F5A3E43-1E8C-4F46-8432-46CB55BD3980}" uniqueName="19" name="Weight(grams)" queryTableFieldId="19"/>
    <tableColumn id="20" xr3:uid="{65708441-6E89-4C20-B8AD-D39420A6A490}" uniqueName="20" name="Muzzle Velocity(ft/s)" queryTableFieldId="20"/>
    <tableColumn id="21" xr3:uid="{F54A14BD-010D-4996-BF4B-D8CEA447F165}" uniqueName="21" name="Muzzle Veloctiy(m/s)" queryTableFieldId="21"/>
    <tableColumn id="22" xr3:uid="{3F2E0FC8-A896-4A05-9538-689944429E08}" uniqueName="22" name="Muzzle Energy(ft.lbs)" queryTableFieldId="22"/>
    <tableColumn id="23" xr3:uid="{3F27307D-8D53-42C3-AF06-8758592A228F}" uniqueName="23" name="Muzzle Energy(J)" queryTableFieldId="23"/>
    <tableColumn id="24" xr3:uid="{C724C975-E4B3-4E0B-B1CC-3A4CE707135D}" uniqueName="24" name="Minimum Terminal Velocity(ft/s)" queryTableFieldId="24"/>
    <tableColumn id="25" xr3:uid="{FCE625E0-B808-460B-9E03-6D8FDD8807B2}" uniqueName="25" name="Minimum Terminal Velocity(m/s)" queryTableFieldId="2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E478478-25D4-4BED-91A3-D23B61AFD22E}" name="ammunition.65mmcreedmoor" displayName="ammunition.65mmcreedmoor" ref="E92:AC98" tableType="queryTable" totalsRowShown="0">
  <autoFilter ref="E92:AC98" xr:uid="{AE478478-25D4-4BED-91A3-D23B61AFD22E}"/>
  <tableColumns count="25">
    <tableColumn id="1" xr3:uid="{F7472F0B-0B4E-48A4-8FFA-FA2DD1E8C7C4}" uniqueName="1" name="Key" queryTableFieldId="1" dataDxfId="117"/>
    <tableColumn id="2" xr3:uid="{583B7C85-028D-464A-B6F6-2642A9BDB0E7}" uniqueName="2" name="Specification Type" queryTableFieldId="2" dataDxfId="116"/>
    <tableColumn id="3" xr3:uid="{B188D324-DC95-4BE5-B74D-7EE711F67A42}" uniqueName="3" name="Cartridge" queryTableFieldId="3" dataDxfId="115"/>
    <tableColumn id="4" xr3:uid="{F6283406-7090-4CC9-A346-533A7B0BBE84}" uniqueName="4" name="Projectile" queryTableFieldId="4" dataDxfId="114"/>
    <tableColumn id="5" xr3:uid="{AC267479-FB93-475E-9887-76D8F76A5F00}" uniqueName="5" name="Type" queryTableFieldId="5" dataDxfId="113"/>
    <tableColumn id="6" xr3:uid="{F87AF1E8-49F4-41EA-A8B9-7E5C82A9373F}" uniqueName="6" name="Caliber" queryTableFieldId="6"/>
    <tableColumn id="7" xr3:uid="{B623AEA6-8538-4284-84BF-6EF76F671E87}" uniqueName="7" name="Units (cal)" queryTableFieldId="7" dataDxfId="112"/>
    <tableColumn id="8" xr3:uid="{8CFD1B0A-6CE7-4FD5-986D-52DF099E5886}" uniqueName="8" name="Weight" queryTableFieldId="8"/>
    <tableColumn id="9" xr3:uid="{EE3BC0AC-EA5F-4F11-B70A-3A8F5774193E}" uniqueName="9" name="Units(wt)" queryTableFieldId="9" dataDxfId="111"/>
    <tableColumn id="10" xr3:uid="{CDB555F6-751A-44D4-A21B-E4728F15FAA7}" uniqueName="10" name="Muzzle Velocity" queryTableFieldId="10"/>
    <tableColumn id="11" xr3:uid="{5DA08478-CC68-44E6-BE62-EF9C739D2DE7}" uniqueName="11" name="Units(MV)" queryTableFieldId="11" dataDxfId="110"/>
    <tableColumn id="12" xr3:uid="{3BC4DEE6-90C0-4033-A48E-019EFEA3900F}" uniqueName="12" name="Minimum Terminal Velocity" queryTableFieldId="12"/>
    <tableColumn id="13" xr3:uid="{CC223513-9CA8-46DC-95DB-5D2547A81179}" uniqueName="13" name="Units(MTV)" queryTableFieldId="13" dataDxfId="109"/>
    <tableColumn id="14" xr3:uid="{20DDC7C0-67A3-4935-965C-8EC71C5A8448}" uniqueName="14" name="BC(G1)" queryTableFieldId="14"/>
    <tableColumn id="15" xr3:uid="{D9372AE2-0B73-4847-B636-585BBABDC80A}" uniqueName="15" name="BC (G7)" queryTableFieldId="15" dataDxfId="108"/>
    <tableColumn id="16" xr3:uid="{E4D568E4-3722-45E6-84A1-F95080045650}" uniqueName="16" name="Caliber(in)" queryTableFieldId="16"/>
    <tableColumn id="17" xr3:uid="{158234DD-89B3-45E4-964E-FEB927F42A97}" uniqueName="17" name="Caliber(mm)" queryTableFieldId="17"/>
    <tableColumn id="18" xr3:uid="{1D0F17D2-E0D2-459A-9E45-7186A493778C}" uniqueName="18" name="Weight(grains)" queryTableFieldId="18"/>
    <tableColumn id="19" xr3:uid="{02CA0B14-FDBA-487B-B6D4-8B664600D6D3}" uniqueName="19" name="Weight(grams)" queryTableFieldId="19"/>
    <tableColumn id="20" xr3:uid="{60C7F724-AC8F-4BDB-A8D0-BB2093DB5561}" uniqueName="20" name="Muzzle Velocity(ft/s)" queryTableFieldId="20"/>
    <tableColumn id="21" xr3:uid="{B92A5F9C-B2C4-4B01-8B58-A8B60013BF25}" uniqueName="21" name="Muzzle Veloctiy(m/s)" queryTableFieldId="21"/>
    <tableColumn id="22" xr3:uid="{E5ABFE1C-4DFB-4240-AE20-9B6C71B276B1}" uniqueName="22" name="Muzzle Energy(ft.lbs)" queryTableFieldId="22"/>
    <tableColumn id="23" xr3:uid="{4910A374-DB67-488E-9930-07AD9E2BDBC1}" uniqueName="23" name="Muzzle Energy(J)" queryTableFieldId="23"/>
    <tableColumn id="24" xr3:uid="{C33075F0-6D0D-4352-B4CE-D86ACB8974B0}" uniqueName="24" name="Minimum Terminal Velocity(ft/s)" queryTableFieldId="24"/>
    <tableColumn id="25" xr3:uid="{996C332B-D943-4908-9D80-B5EBC1C4C992}" uniqueName="25" name="Minimum Terminal Velocity(m/s)" queryTableFieldId="2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85F2ABC-0D5A-4160-9120-010E9846799E}" name="ammunition.7mm08rem" displayName="ammunition.7mm08rem" ref="E101:AC107" tableType="queryTable" totalsRowShown="0">
  <autoFilter ref="E101:AC107" xr:uid="{585F2ABC-0D5A-4160-9120-010E9846799E}"/>
  <tableColumns count="25">
    <tableColumn id="1" xr3:uid="{AF95DDAA-ADB0-42B6-9DA6-4E8BB77318A0}" uniqueName="1" name="Key" queryTableFieldId="1" dataDxfId="107"/>
    <tableColumn id="2" xr3:uid="{43FE1B1E-72D5-4D69-B957-D1EECC6B3B71}" uniqueName="2" name="Specification Type" queryTableFieldId="2" dataDxfId="106"/>
    <tableColumn id="3" xr3:uid="{D3F301BA-9CA7-4065-BA96-975D706C057C}" uniqueName="3" name="Cartridge" queryTableFieldId="3" dataDxfId="105"/>
    <tableColumn id="4" xr3:uid="{878CECB6-B332-4E07-93B4-BFD49DE39293}" uniqueName="4" name="Projectile" queryTableFieldId="4" dataDxfId="104"/>
    <tableColumn id="5" xr3:uid="{6CE4B287-6264-40B2-B948-FF0B9F3B47F4}" uniqueName="5" name="Type" queryTableFieldId="5" dataDxfId="103"/>
    <tableColumn id="6" xr3:uid="{CAA290DD-E510-487A-A6B8-E67547F3AB83}" uniqueName="6" name="Caliber" queryTableFieldId="6"/>
    <tableColumn id="7" xr3:uid="{BD2CDE8C-8C30-4E9A-B2EB-5BA37DF20041}" uniqueName="7" name="Units (cal)" queryTableFieldId="7" dataDxfId="102"/>
    <tableColumn id="8" xr3:uid="{93BB78F7-1D08-4EA9-8FA5-94C69F5185A7}" uniqueName="8" name="Weight" queryTableFieldId="8"/>
    <tableColumn id="9" xr3:uid="{2A8B12B3-14CF-46B1-9857-D18E9628D402}" uniqueName="9" name="Units(wt)" queryTableFieldId="9" dataDxfId="101"/>
    <tableColumn id="10" xr3:uid="{460767C4-F9BD-4EFA-8691-A94B6F4E497E}" uniqueName="10" name="Muzzle Velocity" queryTableFieldId="10"/>
    <tableColumn id="11" xr3:uid="{0A1D992F-B90B-4631-A884-0F632F22BC78}" uniqueName="11" name="Units(MV)" queryTableFieldId="11" dataDxfId="100"/>
    <tableColumn id="12" xr3:uid="{6FDA32F6-E896-48B1-AFBF-4F1F236FD683}" uniqueName="12" name="Minimum Terminal Velocity" queryTableFieldId="12"/>
    <tableColumn id="13" xr3:uid="{63B84CD5-5BA5-4A49-9195-6C60BE22AC8A}" uniqueName="13" name="Units(MTV)" queryTableFieldId="13" dataDxfId="99"/>
    <tableColumn id="14" xr3:uid="{9D2C7490-BF36-4448-B0AC-DCA5F99C271A}" uniqueName="14" name="BC(G1)" queryTableFieldId="14"/>
    <tableColumn id="15" xr3:uid="{BC1F7FC9-0712-47D6-8647-57C272617A21}" uniqueName="15" name="BC (G7)" queryTableFieldId="15" dataDxfId="98"/>
    <tableColumn id="16" xr3:uid="{3C02A074-CD07-44A4-9078-B6E8B453FF59}" uniqueName="16" name="Caliber(in)" queryTableFieldId="16"/>
    <tableColumn id="17" xr3:uid="{8A5223E8-DB0D-45EB-A88D-035A49FF2155}" uniqueName="17" name="Caliber(mm)" queryTableFieldId="17"/>
    <tableColumn id="18" xr3:uid="{752AA258-C1CB-474A-A007-8E789E824803}" uniqueName="18" name="Weight(grains)" queryTableFieldId="18"/>
    <tableColumn id="19" xr3:uid="{0E64ED2C-AD3F-4689-8B9A-C8DC6D93B163}" uniqueName="19" name="Weight(grams)" queryTableFieldId="19"/>
    <tableColumn id="20" xr3:uid="{9C453015-C89C-4B40-AE10-15EE4AF5F57A}" uniqueName="20" name="Muzzle Velocity(ft/s)" queryTableFieldId="20"/>
    <tableColumn id="21" xr3:uid="{8CE081A6-7D2D-4678-A2C9-B4FCD4BF2F8E}" uniqueName="21" name="Muzzle Veloctiy(m/s)" queryTableFieldId="21"/>
    <tableColumn id="22" xr3:uid="{EF6F548A-3B67-4783-B3E9-4B87B070EF49}" uniqueName="22" name="Muzzle Energy(ft.lbs)" queryTableFieldId="22"/>
    <tableColumn id="23" xr3:uid="{1FD5FFA4-3C2C-42BB-AE50-C6420829AED6}" uniqueName="23" name="Muzzle Energy(J)" queryTableFieldId="23"/>
    <tableColumn id="24" xr3:uid="{15B42D81-9012-4834-8F8C-F3382BCF5D95}" uniqueName="24" name="Minimum Terminal Velocity(ft/s)" queryTableFieldId="24"/>
    <tableColumn id="25" xr3:uid="{145E4E13-1F5F-4F71-8C39-66D21EFDC138}" uniqueName="25" name="Minimum Terminal Velocity(m/s)" queryTableFieldId="2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C5DECCC2-FC0C-4FC6-B185-17430A14B2FC}" name="ammunition.7mmprc" displayName="ammunition.7mmprc" ref="E110:AC116" tableType="queryTable" totalsRowShown="0">
  <autoFilter ref="E110:AC116" xr:uid="{C5DECCC2-FC0C-4FC6-B185-17430A14B2FC}"/>
  <tableColumns count="25">
    <tableColumn id="1" xr3:uid="{EBD0E933-15BD-4D83-B515-FF82080B7CAD}" uniqueName="1" name="Key" queryTableFieldId="1" dataDxfId="97"/>
    <tableColumn id="2" xr3:uid="{4F54F25F-F550-4764-9192-1A2C72E4A455}" uniqueName="2" name="Specification Type" queryTableFieldId="2" dataDxfId="96"/>
    <tableColumn id="3" xr3:uid="{A3E995AB-A294-4567-9115-FDE0E2394816}" uniqueName="3" name="Cartridge" queryTableFieldId="3" dataDxfId="95"/>
    <tableColumn id="4" xr3:uid="{FCF876E1-637B-4FEC-A1E8-7AF4C7D2B558}" uniqueName="4" name="Projectile" queryTableFieldId="4" dataDxfId="94"/>
    <tableColumn id="5" xr3:uid="{403267E5-A8AF-4978-A2A4-92218065C53C}" uniqueName="5" name="Type" queryTableFieldId="5" dataDxfId="93"/>
    <tableColumn id="6" xr3:uid="{D3349F8A-56EE-4ADD-B103-8E185BCB3DF7}" uniqueName="6" name="Caliber" queryTableFieldId="6"/>
    <tableColumn id="7" xr3:uid="{51A3BBA9-383B-4280-A2C8-7FDAB483EBD0}" uniqueName="7" name="Units (cal)" queryTableFieldId="7" dataDxfId="92"/>
    <tableColumn id="8" xr3:uid="{1036C208-CE65-406C-8712-EA9CEB000E52}" uniqueName="8" name="Weight" queryTableFieldId="8"/>
    <tableColumn id="9" xr3:uid="{EB7AF9DE-9DA8-43E4-AF2E-29A7F821EF32}" uniqueName="9" name="Units(wt)" queryTableFieldId="9" dataDxfId="91"/>
    <tableColumn id="10" xr3:uid="{8621052A-8F83-4B6E-BDCC-B179B8334809}" uniqueName="10" name="Muzzle Velocity" queryTableFieldId="10"/>
    <tableColumn id="11" xr3:uid="{AEF63704-C98B-427D-AD1A-7FE15689C102}" uniqueName="11" name="Units(MV)" queryTableFieldId="11" dataDxfId="90"/>
    <tableColumn id="12" xr3:uid="{809D2760-2BB7-4CBE-923D-CF5E9EF6EF4B}" uniqueName="12" name="Minimum Terminal Velocity" queryTableFieldId="12"/>
    <tableColumn id="13" xr3:uid="{DD95C474-A46E-4A72-BD36-BF4D924FCF54}" uniqueName="13" name="Units(MTV)" queryTableFieldId="13" dataDxfId="89"/>
    <tableColumn id="14" xr3:uid="{02BAF97E-2FF7-42CD-BB1C-D94CC184641C}" uniqueName="14" name="BC(G1)" queryTableFieldId="14"/>
    <tableColumn id="15" xr3:uid="{73DAAC67-A329-4216-ABEB-D4E76C891BEC}" uniqueName="15" name="BC (G7)" queryTableFieldId="15"/>
    <tableColumn id="16" xr3:uid="{F9EFB08B-0A4C-4767-9C01-DD7978E159C2}" uniqueName="16" name="Caliber(in)" queryTableFieldId="16"/>
    <tableColumn id="17" xr3:uid="{73276D6E-2365-4313-98DF-E91AC227981C}" uniqueName="17" name="Caliber(mm)" queryTableFieldId="17"/>
    <tableColumn id="18" xr3:uid="{E29D5EE5-E72E-45EB-BC54-DCC1156BBD10}" uniqueName="18" name="Weight(grains)" queryTableFieldId="18"/>
    <tableColumn id="19" xr3:uid="{AA05A8F7-27C2-40B3-86F3-56991991596B}" uniqueName="19" name="Weight(grams)" queryTableFieldId="19"/>
    <tableColumn id="20" xr3:uid="{20878C09-EB8F-4DF5-A5B1-4D363EAC43B6}" uniqueName="20" name="Muzzle Velocity(ft/s)" queryTableFieldId="20"/>
    <tableColumn id="21" xr3:uid="{72D9E737-AC99-4B08-8D97-AB026406BBF8}" uniqueName="21" name="Muzzle Veloctiy(m/s)" queryTableFieldId="21"/>
    <tableColumn id="22" xr3:uid="{749DB44B-5652-4224-8BF2-B844FEDF0264}" uniqueName="22" name="Muzzle Energy(ft.lbs)" queryTableFieldId="22"/>
    <tableColumn id="23" xr3:uid="{CBB4FC06-56BA-43A2-A741-152EB2768AC8}" uniqueName="23" name="Muzzle Energy(J)" queryTableFieldId="23"/>
    <tableColumn id="24" xr3:uid="{28BD2E2E-6019-4F15-8584-E15CD0FB947B}" uniqueName="24" name="Minimum Terminal Velocity(ft/s)" queryTableFieldId="24"/>
    <tableColumn id="25" xr3:uid="{18CAFFEE-FF2B-4FB3-8BF2-8405AEF33682}" uniqueName="25" name="Minimum Terminal Velocity(m/s)" queryTableFieldId="2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C6C4CDA-FC5E-4FF6-9FD0-B3843CB683C8}" name="ammunition.93mmx62mauser" displayName="ammunition.93mmx62mauser" ref="E119:AC124" tableType="queryTable" totalsRowShown="0">
  <autoFilter ref="E119:AC124" xr:uid="{7C6C4CDA-FC5E-4FF6-9FD0-B3843CB683C8}"/>
  <tableColumns count="25">
    <tableColumn id="1" xr3:uid="{AFF2E076-6811-4340-84E9-254B0A42EEA5}" uniqueName="1" name="Key" queryTableFieldId="1" dataDxfId="88"/>
    <tableColumn id="2" xr3:uid="{0FE5628C-BC34-4463-9877-12765891F561}" uniqueName="2" name="Specification Type" queryTableFieldId="2" dataDxfId="87"/>
    <tableColumn id="3" xr3:uid="{C32F5126-76E3-4176-926E-CDD74EF2ADB0}" uniqueName="3" name="Cartridge" queryTableFieldId="3" dataDxfId="86"/>
    <tableColumn id="4" xr3:uid="{485D4914-90C1-4AFD-B3DE-93F2F7C5C053}" uniqueName="4" name="Projectile" queryTableFieldId="4" dataDxfId="85"/>
    <tableColumn id="5" xr3:uid="{1892DD9A-280E-4794-9F53-57C0EBCA53EA}" uniqueName="5" name="Type" queryTableFieldId="5" dataDxfId="84"/>
    <tableColumn id="6" xr3:uid="{9B729FAA-69C2-4391-8C12-54FDCCB9609B}" uniqueName="6" name="Caliber" queryTableFieldId="6"/>
    <tableColumn id="7" xr3:uid="{4595AB78-DCEA-494E-84A3-CF2042F0190A}" uniqueName="7" name="Units (cal)" queryTableFieldId="7" dataDxfId="83"/>
    <tableColumn id="8" xr3:uid="{C31D7EF2-A0D4-4E5B-893A-0DB23401ACB4}" uniqueName="8" name="Weight" queryTableFieldId="8"/>
    <tableColumn id="9" xr3:uid="{093117F4-8993-477C-B9C2-A38E37658B54}" uniqueName="9" name="Units(wt)" queryTableFieldId="9" dataDxfId="82"/>
    <tableColumn id="10" xr3:uid="{31F9EBA1-FEE8-4667-ACE1-6E3D782D7170}" uniqueName="10" name="Muzzle Velocity" queryTableFieldId="10"/>
    <tableColumn id="11" xr3:uid="{8E5AB82B-11C7-4232-8AA0-AA7E68AB48E4}" uniqueName="11" name="Units(MV)" queryTableFieldId="11" dataDxfId="81"/>
    <tableColumn id="12" xr3:uid="{0ACE63A7-FE96-4F89-A4C3-3B5367DC675C}" uniqueName="12" name="Minimum Terminal Velocity" queryTableFieldId="12"/>
    <tableColumn id="13" xr3:uid="{362BFD0F-30DA-4894-922A-78C571AF6AB8}" uniqueName="13" name="Units(MTV)" queryTableFieldId="13" dataDxfId="80"/>
    <tableColumn id="14" xr3:uid="{041B1D8B-206D-4AB5-8CA9-7ED69108B46E}" uniqueName="14" name="BC(G1)" queryTableFieldId="14"/>
    <tableColumn id="15" xr3:uid="{6198EA3D-4987-4A99-A5FB-02AA83F11E0B}" uniqueName="15" name="BC (G7)" queryTableFieldId="15"/>
    <tableColumn id="16" xr3:uid="{11836EEA-061F-4486-8CD3-973B6CCA01F4}" uniqueName="16" name="Caliber(in)" queryTableFieldId="16"/>
    <tableColumn id="17" xr3:uid="{638AC194-B190-4420-8028-C17925668EF0}" uniqueName="17" name="Caliber(mm)" queryTableFieldId="17"/>
    <tableColumn id="18" xr3:uid="{B1B79677-1F76-4102-8C84-AA013989AB53}" uniqueName="18" name="Weight(grains)" queryTableFieldId="18"/>
    <tableColumn id="19" xr3:uid="{F72A4EFC-2440-4313-903B-A264EFCEB1F2}" uniqueName="19" name="Weight(grams)" queryTableFieldId="19"/>
    <tableColumn id="20" xr3:uid="{92486578-CE73-41FD-AC1E-28996E83CEC3}" uniqueName="20" name="Muzzle Velocity(ft/s)" queryTableFieldId="20"/>
    <tableColumn id="21" xr3:uid="{E14B77ED-8A47-45F1-8E61-AB69AE81B175}" uniqueName="21" name="Muzzle Veloctiy(m/s)" queryTableFieldId="21"/>
    <tableColumn id="22" xr3:uid="{74BBB550-8BFA-43BE-AFB6-688D429FDE5B}" uniqueName="22" name="Muzzle Energy(ft.lbs)" queryTableFieldId="22"/>
    <tableColumn id="23" xr3:uid="{3CCEB097-294D-4490-BB22-01D4F4D4D926}" uniqueName="23" name="Muzzle Energy(J)" queryTableFieldId="23"/>
    <tableColumn id="24" xr3:uid="{A9E58347-375F-46B0-BCB0-9ACCBA8B9D9F}" uniqueName="24" name="Minimum Terminal Velocity(ft/s)" queryTableFieldId="24"/>
    <tableColumn id="25" xr3:uid="{B80E97E2-DD63-42C1-AF54-B2B82FCCAA30}" uniqueName="25" name="Minimum Terminal Velocity(m/s)" queryTableFieldId="25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C6E16E2-FD16-4A9C-9D3F-87E43949248B}" name="RiflescopeData" displayName="RiflescopeData" ref="A1:N4" tableType="queryTable" totalsRowShown="0">
  <autoFilter ref="A1:N4" xr:uid="{CC6E16E2-FD16-4A9C-9D3F-87E43949248B}"/>
  <tableColumns count="14">
    <tableColumn id="1" xr3:uid="{C8BF4922-A00E-46D1-AD6C-327DAD35C8B4}" uniqueName="1" name="Name" queryTableFieldId="1" dataDxfId="79"/>
    <tableColumn id="2" xr3:uid="{56E7F44A-A478-4466-B1D6-2326A2211021}" uniqueName="2" name="Manufacturer" queryTableFieldId="2" dataDxfId="78"/>
    <tableColumn id="3" xr3:uid="{87BCE6A4-3F8E-46F3-B185-1BDE9C789189}" uniqueName="3" name="Reticle Description" queryTableFieldId="3" dataDxfId="77"/>
    <tableColumn id="4" xr3:uid="{DB8F0D83-5F1C-4710-BA4D-451F6E4BF8A9}" uniqueName="4" name="Magnification Range" queryTableFieldId="4" dataDxfId="76"/>
    <tableColumn id="5" xr3:uid="{C7BD443D-9E83-429D-96B4-FB7F32636354}" uniqueName="5" name="Objective Lens Diameter(mm)" queryTableFieldId="5"/>
    <tableColumn id="6" xr3:uid="{5BC7C7A8-802D-407B-87E7-2E37E22EF6C7}" uniqueName="6" name="Reticle Focal Plane" queryTableFieldId="6" dataDxfId="75"/>
    <tableColumn id="7" xr3:uid="{55CE4D3C-9711-4C05-842C-B196D109E356}" uniqueName="7" name="Reticle Units" queryTableFieldId="7" dataDxfId="74"/>
    <tableColumn id="8" xr3:uid="{BD096563-E4DA-48FB-BC59-929E05F53DCA}" uniqueName="8" name="Reticle Calibration Magnification" queryTableFieldId="8" dataDxfId="73"/>
    <tableColumn id="9" xr3:uid="{C57445B4-02F7-44ED-BFC9-DC887C775FAC}" uniqueName="9" name="Angular Resolution" queryTableFieldId="9"/>
    <tableColumn id="10" xr3:uid="{46A7847E-B86A-4B2E-8BA0-80F0D35CA0D0}" uniqueName="10" name="Minor Subtensions" queryTableFieldId="10"/>
    <tableColumn id="11" xr3:uid="{552B5196-165C-454B-8636-700ABC95E3D7}" uniqueName="11" name="Intermediate Subtensions" queryTableFieldId="11"/>
    <tableColumn id="12" xr3:uid="{3BB3F35C-C94C-4524-A985-19FF7048F6A3}" uniqueName="12" name="Major Subtensions" queryTableFieldId="12"/>
    <tableColumn id="13" xr3:uid="{2DDFEC17-A96C-45B0-A9E6-CD73866432FA}" uniqueName="13" name="FOV(m @ 100m, min zoom)" queryTableFieldId="13"/>
    <tableColumn id="14" xr3:uid="{EF59EA23-997C-42B4-A643-AD6B7FFD32A3}" uniqueName="14" name="FOV(m@100m, max zoom)" queryTableFieldId="14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3A23885-02FE-49FA-8D01-D12EBD39E82F}" name="rifles.223rem" displayName="rifles.223rem" ref="A1:P3" tableType="queryTable" totalsRowShown="0">
  <autoFilter ref="A1:P3" xr:uid="{23A23885-02FE-49FA-8D01-D12EBD39E82F}"/>
  <tableColumns count="16">
    <tableColumn id="1" xr3:uid="{BC869465-923C-4BB3-A583-5A27C9CEA3F9}" uniqueName="1" name="Key" queryTableFieldId="1" dataDxfId="72"/>
    <tableColumn id="2" xr3:uid="{3C2955A5-C332-4001-A1B4-7042B43A38CF}" uniqueName="2" name="Chambering" queryTableFieldId="2" dataDxfId="71"/>
    <tableColumn id="3" xr3:uid="{0D12EDCA-34E9-4664-87A9-36BCEFD2A5E9}" uniqueName="3" name="Model" queryTableFieldId="3" dataDxfId="70"/>
    <tableColumn id="4" xr3:uid="{BB3FE266-CE64-41B6-ABBA-A2618459012B}" uniqueName="4" name="Action Type" queryTableFieldId="4" dataDxfId="69"/>
    <tableColumn id="5" xr3:uid="{6FAFE8CE-1BAD-4BF6-8C4C-42C77D263E66}" uniqueName="5" name="Weight" queryTableFieldId="5"/>
    <tableColumn id="6" xr3:uid="{4E985ED3-C9AF-4E19-B888-32215A41D8F3}" uniqueName="6" name="Units(Wt)" queryTableFieldId="6"/>
    <tableColumn id="7" xr3:uid="{38205CA7-384C-45CC-BA13-B55123F00994}" uniqueName="7" name="Barrel Length" queryTableFieldId="7"/>
    <tableColumn id="8" xr3:uid="{E14B5B13-8C7A-41E1-814E-6132D379F336}" uniqueName="8" name="Overall Length" queryTableFieldId="8"/>
    <tableColumn id="9" xr3:uid="{3ACEB57F-B027-490D-9DF2-7643C5466CF4}" uniqueName="9" name="Twist Rate(1:*)" queryTableFieldId="9"/>
    <tableColumn id="10" xr3:uid="{ECE09D3A-C6E4-4F31-B17F-AEECE2276A31}" uniqueName="10" name="Units(Length)" queryTableFieldId="10"/>
    <tableColumn id="11" xr3:uid="{10691CCD-D022-4749-BCFD-4E185F0D6CFE}" uniqueName="11" name="1-Sigma Precision" queryTableFieldId="11"/>
    <tableColumn id="12" xr3:uid="{9B333DB6-54D3-4D2E-969F-66D96C56497F}" uniqueName="12" name="2-Sigma Precision" queryTableFieldId="12"/>
    <tableColumn id="13" xr3:uid="{4669C0A4-80E1-41A6-908B-9C236D0A6FF9}" uniqueName="13" name="Units(Precision)" queryTableFieldId="13"/>
    <tableColumn id="14" xr3:uid="{7623A52A-D585-4662-BCDD-E11F0D093FA8}" uniqueName="14" name="Resolution(Outer)" queryTableFieldId="14"/>
    <tableColumn id="15" xr3:uid="{DBD26C44-129D-4E16-B39A-80342EC2CFAC}" uniqueName="15" name="Resolution(Inner)" queryTableFieldId="15"/>
    <tableColumn id="16" xr3:uid="{1A5A5BC9-6DB9-4FA1-94E2-9CC20704C002}" uniqueName="16" name="Units(Resolution)" queryTableFieldId="16" dataDxfId="68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CF1829AF-86BD-4A67-BD9F-4D9D804B13BD}" name="rifles.22lr" displayName="rifles.22lr" ref="A6:P8" tableType="queryTable" totalsRowShown="0">
  <autoFilter ref="A6:P8" xr:uid="{CF1829AF-86BD-4A67-BD9F-4D9D804B13BD}"/>
  <tableColumns count="16">
    <tableColumn id="1" xr3:uid="{DD29EF3B-79FE-4429-B645-5008CCABE093}" uniqueName="1" name="Key" queryTableFieldId="1" dataDxfId="67"/>
    <tableColumn id="2" xr3:uid="{CC605BDC-D90F-41FD-9F07-ADB7DF405C68}" uniqueName="2" name="Chambering" queryTableFieldId="2" dataDxfId="66"/>
    <tableColumn id="3" xr3:uid="{B8709E35-185E-4A6E-B763-F7EE019E3EEC}" uniqueName="3" name="Model" queryTableFieldId="3" dataDxfId="65"/>
    <tableColumn id="4" xr3:uid="{4B06FD9F-8931-4997-B88F-3425D6EB2316}" uniqueName="4" name="Action Type" queryTableFieldId="4" dataDxfId="64"/>
    <tableColumn id="5" xr3:uid="{13C172EB-BC7C-4F32-BDE0-6C465B76E946}" uniqueName="5" name="Weight" queryTableFieldId="5"/>
    <tableColumn id="6" xr3:uid="{AC8F8794-2E7E-4643-A80A-231447A66B32}" uniqueName="6" name="Units(Wt)" queryTableFieldId="6"/>
    <tableColumn id="7" xr3:uid="{E584A5E9-DC9F-491A-B919-F63C82773431}" uniqueName="7" name="Barrel Length" queryTableFieldId="7"/>
    <tableColumn id="8" xr3:uid="{3F45270B-C77C-4D93-B849-E61F8AD4761B}" uniqueName="8" name="Overall Length" queryTableFieldId="8"/>
    <tableColumn id="9" xr3:uid="{0AFD939D-1CA6-4B9C-8E4B-B3344D01AA12}" uniqueName="9" name="Twist Rate(1:*)" queryTableFieldId="9"/>
    <tableColumn id="10" xr3:uid="{88C814E5-D746-44F4-9F3C-1A25C9E502A5}" uniqueName="10" name="Units(Length)" queryTableFieldId="10"/>
    <tableColumn id="11" xr3:uid="{27F4C9E8-00B6-4AA3-A23D-E99E976E6AE3}" uniqueName="11" name="1-Sigma Precision" queryTableFieldId="11"/>
    <tableColumn id="12" xr3:uid="{09427DFF-5CA5-48B7-BE9B-B358DB5F95E0}" uniqueName="12" name="2-Sigma Precision" queryTableFieldId="12"/>
    <tableColumn id="13" xr3:uid="{0DE56B2A-19AB-4BA4-B9BD-7AB6462C8289}" uniqueName="13" name="Units(Precision)" queryTableFieldId="13"/>
    <tableColumn id="14" xr3:uid="{73AF5D78-DA6D-44E3-8248-40C9BF471FE6}" uniqueName="14" name="Resolution(Outer)" queryTableFieldId="14"/>
    <tableColumn id="15" xr3:uid="{E83F4ADC-DE5B-4A1F-8C6D-0B5953FCA23F}" uniqueName="15" name="Resolution(Inner)" queryTableFieldId="15"/>
    <tableColumn id="16" xr3:uid="{093C4841-F47B-450D-9278-EDE50CF7EBA7}" uniqueName="16" name="Units(Resolution)" queryTableFieldId="16" dataDxfId="63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C236FC8A-633D-410F-B064-A7833EB32BA6}" name="rifles.243win" displayName="rifles.243win" ref="A11:P13" tableType="queryTable" totalsRowShown="0">
  <autoFilter ref="A11:P13" xr:uid="{C236FC8A-633D-410F-B064-A7833EB32BA6}"/>
  <tableColumns count="16">
    <tableColumn id="1" xr3:uid="{3F381B24-1E2E-4C48-ABE8-53337B6D8A28}" uniqueName="1" name="Key" queryTableFieldId="1" dataDxfId="62"/>
    <tableColumn id="2" xr3:uid="{5253AB04-5B32-4A0A-BA96-511478D1A29C}" uniqueName="2" name="Chambering" queryTableFieldId="2" dataDxfId="61"/>
    <tableColumn id="3" xr3:uid="{EB00C2A7-25E9-4820-8DCE-5E94BC773E1E}" uniqueName="3" name="Model" queryTableFieldId="3" dataDxfId="60"/>
    <tableColumn id="4" xr3:uid="{68C7AD43-F260-4597-ABF2-EB4B56077269}" uniqueName="4" name="Action Type" queryTableFieldId="4" dataDxfId="59"/>
    <tableColumn id="5" xr3:uid="{72FA3524-EB42-454A-A96F-31ECCE1DD9F1}" uniqueName="5" name="Weight" queryTableFieldId="5"/>
    <tableColumn id="6" xr3:uid="{37F3FEFF-5D50-465F-80EB-8E9E8CF52BC6}" uniqueName="6" name="Units(Wt)" queryTableFieldId="6"/>
    <tableColumn id="7" xr3:uid="{978D9785-58B7-4666-A7B2-F89DB6233531}" uniqueName="7" name="Barrel Length" queryTableFieldId="7"/>
    <tableColumn id="8" xr3:uid="{8FEE5E42-EBAB-4C8A-89B8-EAE6B1EE89B0}" uniqueName="8" name="Overall Length" queryTableFieldId="8"/>
    <tableColumn id="9" xr3:uid="{791C8027-4B41-470A-8C11-600C0582C212}" uniqueName="9" name="Twist Rate(1:*)" queryTableFieldId="9"/>
    <tableColumn id="10" xr3:uid="{0289B0EC-C33E-4E78-9157-35998C1B9827}" uniqueName="10" name="Units(Length)" queryTableFieldId="10"/>
    <tableColumn id="11" xr3:uid="{3567D07C-7465-4F53-A905-969ECA3CCE78}" uniqueName="11" name="1-Sigma Precision" queryTableFieldId="11"/>
    <tableColumn id="12" xr3:uid="{0664D47A-D755-4911-87C0-EBF48435DC9A}" uniqueName="12" name="2-Sigma Precision" queryTableFieldId="12"/>
    <tableColumn id="13" xr3:uid="{3ED3CCB9-7533-4115-8F40-535868205D9B}" uniqueName="13" name="Units(Precision)" queryTableFieldId="13"/>
    <tableColumn id="14" xr3:uid="{976A08D8-1562-4E3A-8CCE-45B3C93EBCCC}" uniqueName="14" name="Resolution(Outer)" queryTableFieldId="14"/>
    <tableColumn id="15" xr3:uid="{E6564FB1-ACD6-4D95-9F73-073A9CB0E9D4}" uniqueName="15" name="Resolution(Inner)" queryTableFieldId="15"/>
    <tableColumn id="16" xr3:uid="{070C8235-F1FF-4678-9BD1-D00012C9C818}" uniqueName="16" name="Units(Resolution)" queryTableFieldId="16" dataDxfId="58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7CE48A3-6FA8-419E-B0C5-558F2326614C}" name="rifles.270win" displayName="rifles.270win" ref="A16:P18" tableType="queryTable" totalsRowShown="0">
  <autoFilter ref="A16:P18" xr:uid="{17CE48A3-6FA8-419E-B0C5-558F2326614C}"/>
  <tableColumns count="16">
    <tableColumn id="1" xr3:uid="{19ECBA0A-974C-4070-9B65-356CB7383AE5}" uniqueName="1" name="Key" queryTableFieldId="1" dataDxfId="57"/>
    <tableColumn id="2" xr3:uid="{68C5B69C-9E47-4AFD-BE52-AEF5C02B7FA6}" uniqueName="2" name="Chambering" queryTableFieldId="2" dataDxfId="56"/>
    <tableColumn id="3" xr3:uid="{740BF435-7A47-4F10-81F5-5BE226887D71}" uniqueName="3" name="Model" queryTableFieldId="3" dataDxfId="55"/>
    <tableColumn id="4" xr3:uid="{19350F63-4AD1-4AEC-A281-AFAB9588260B}" uniqueName="4" name="Action Type" queryTableFieldId="4" dataDxfId="54"/>
    <tableColumn id="5" xr3:uid="{17824DBC-94C3-42CA-A514-109E107D3969}" uniqueName="5" name="Weight" queryTableFieldId="5"/>
    <tableColumn id="6" xr3:uid="{7626FFB3-EBA2-4E25-AE0A-7170B93091A1}" uniqueName="6" name="Units(Wt)" queryTableFieldId="6"/>
    <tableColumn id="7" xr3:uid="{7F54B54F-8983-4119-90C7-58D41D96D743}" uniqueName="7" name="Barrel Length" queryTableFieldId="7"/>
    <tableColumn id="8" xr3:uid="{C3B297D8-1AD4-4667-88AB-305196C5FB5C}" uniqueName="8" name="Overall Length" queryTableFieldId="8"/>
    <tableColumn id="9" xr3:uid="{3F788DAA-B926-4A25-91D9-F910199A37EA}" uniqueName="9" name="Twist Rate(1:*)" queryTableFieldId="9"/>
    <tableColumn id="10" xr3:uid="{878EDD77-FCE3-44F5-9952-6A2F25015905}" uniqueName="10" name="Units(Length)" queryTableFieldId="10"/>
    <tableColumn id="11" xr3:uid="{CEC7C5BD-9275-4DD5-8121-3F54C91A35D4}" uniqueName="11" name="1-Sigma Precision" queryTableFieldId="11"/>
    <tableColumn id="12" xr3:uid="{837B1CE9-89E6-4BA5-82E1-D622D8F6E664}" uniqueName="12" name="2-Sigma Precision" queryTableFieldId="12"/>
    <tableColumn id="13" xr3:uid="{816C487C-D6E6-4FAA-9974-C9ECFD21249E}" uniqueName="13" name="Units(Precision)" queryTableFieldId="13"/>
    <tableColumn id="14" xr3:uid="{CF04DBCF-7BA7-43EC-ADA5-C392D7F7EFC5}" uniqueName="14" name="Resolution(Outer)" queryTableFieldId="14"/>
    <tableColumn id="15" xr3:uid="{05C278B8-EB11-4BFE-A4FA-39361434A899}" uniqueName="15" name="Resolution(Inner)" queryTableFieldId="15"/>
    <tableColumn id="16" xr3:uid="{859B69F5-086F-4813-AE6A-7707F8C1355D}" uniqueName="16" name="Units(Resolution)" queryTableFieldId="16" dataDxfId="53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40E5904-BCC7-413B-82D8-33170668C124}" name="rifles.3006spring" displayName="rifles.3006spring" ref="A20:P22" tableType="queryTable" totalsRowShown="0">
  <autoFilter ref="A20:P22" xr:uid="{540E5904-BCC7-413B-82D8-33170668C124}"/>
  <tableColumns count="16">
    <tableColumn id="1" xr3:uid="{6F400867-29CA-4D5C-8E4F-4205BF451C81}" uniqueName="1" name="Key" queryTableFieldId="1" dataDxfId="52"/>
    <tableColumn id="2" xr3:uid="{F585450D-0E27-43A9-A96C-877082D5D095}" uniqueName="2" name="Chambering" queryTableFieldId="2" dataDxfId="51"/>
    <tableColumn id="3" xr3:uid="{B818EC3D-6B31-4FF8-86DA-F44ABB8F3110}" uniqueName="3" name="Model" queryTableFieldId="3" dataDxfId="50"/>
    <tableColumn id="4" xr3:uid="{0B4FF2F6-FBD9-44A6-822C-B19B15DC1CB9}" uniqueName="4" name="Action Type" queryTableFieldId="4" dataDxfId="49"/>
    <tableColumn id="5" xr3:uid="{CA45AF32-7AFC-4106-8F3E-8C334713EADF}" uniqueName="5" name="Weight" queryTableFieldId="5"/>
    <tableColumn id="6" xr3:uid="{94D152D3-9C89-4F25-BD0E-518E5FB0EE49}" uniqueName="6" name="Units(Wt)" queryTableFieldId="6"/>
    <tableColumn id="7" xr3:uid="{AD83C5CD-3AE3-4AB2-8D13-2673435BF0F1}" uniqueName="7" name="Barrel Length" queryTableFieldId="7"/>
    <tableColumn id="8" xr3:uid="{95F0EBA9-FB3E-4255-B0AB-A9EB04EEB40F}" uniqueName="8" name="Overall Length" queryTableFieldId="8"/>
    <tableColumn id="9" xr3:uid="{7B1E5C52-F6AB-49C7-9EF4-4DFEEB43023E}" uniqueName="9" name="Twist Rate(1:*)" queryTableFieldId="9"/>
    <tableColumn id="10" xr3:uid="{87E094D9-F660-4614-8DDE-585138A75939}" uniqueName="10" name="Units(Length)" queryTableFieldId="10"/>
    <tableColumn id="11" xr3:uid="{0FE04799-0254-45C8-800C-09B81DA9C7B6}" uniqueName="11" name="1-Sigma Precision" queryTableFieldId="11"/>
    <tableColumn id="12" xr3:uid="{88D8C8E0-B4C6-4DCD-BD86-54EF788EA2F7}" uniqueName="12" name="2-Sigma Precision" queryTableFieldId="12"/>
    <tableColumn id="13" xr3:uid="{9B92BCC4-55E9-4FCD-95B7-9095E420D740}" uniqueName="13" name="Units(Precision)" queryTableFieldId="13"/>
    <tableColumn id="14" xr3:uid="{04393A84-873D-42D9-9739-01E715B3DF0B}" uniqueName="14" name="Resolution(Outer)" queryTableFieldId="14"/>
    <tableColumn id="15" xr3:uid="{FBB893F0-E044-442E-9A2B-40836704D036}" uniqueName="15" name="Resolution(Inner)" queryTableFieldId="15"/>
    <tableColumn id="16" xr3:uid="{1D64B2CF-AD9D-4CA7-96DD-2DB7811E965D}" uniqueName="16" name="Units(Resolution)" queryTableFieldId="16" dataDxfId="48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E2DCB06-4176-4240-A3E1-3A872FA4A299}" name="rifles.300winmag" displayName="rifles.300winmag" ref="A24:P26" tableType="queryTable" totalsRowShown="0">
  <autoFilter ref="A24:P26" xr:uid="{AE2DCB06-4176-4240-A3E1-3A872FA4A299}"/>
  <tableColumns count="16">
    <tableColumn id="1" xr3:uid="{17CF6FAD-3BEE-4D37-8C54-E79B4C2FFF90}" uniqueName="1" name="Key" queryTableFieldId="1" dataDxfId="47"/>
    <tableColumn id="2" xr3:uid="{DEF37B2D-31B3-42E0-ACAD-D603F3EBCA9B}" uniqueName="2" name="Chambering" queryTableFieldId="2" dataDxfId="46"/>
    <tableColumn id="3" xr3:uid="{FAB71518-239E-4B66-AA51-EF166999ECB4}" uniqueName="3" name="Model" queryTableFieldId="3" dataDxfId="45"/>
    <tableColumn id="4" xr3:uid="{1BFCFBD6-E842-49A0-9312-5C3F162CA148}" uniqueName="4" name="Action Type" queryTableFieldId="4" dataDxfId="44"/>
    <tableColumn id="5" xr3:uid="{29EEC371-1641-496A-BDB4-64D26F0F34C7}" uniqueName="5" name="Weight" queryTableFieldId="5"/>
    <tableColumn id="6" xr3:uid="{79F1897B-F7D6-4E3D-98A2-10F91F629D10}" uniqueName="6" name="Units(Wt)" queryTableFieldId="6"/>
    <tableColumn id="7" xr3:uid="{5038653D-1C0C-456D-B226-9C367386F6B8}" uniqueName="7" name="Barrel Length" queryTableFieldId="7"/>
    <tableColumn id="8" xr3:uid="{DDC46D88-68D9-4D9A-BAA5-5E489E4B72FE}" uniqueName="8" name="Overall Length" queryTableFieldId="8"/>
    <tableColumn id="9" xr3:uid="{29EA47D8-E51F-4E96-A90E-9F8F3729FCFA}" uniqueName="9" name="Twist Rate(1:*)" queryTableFieldId="9"/>
    <tableColumn id="10" xr3:uid="{47B98908-3E9D-48BF-B3CD-F3F3A51673FD}" uniqueName="10" name="Units(Length)" queryTableFieldId="10"/>
    <tableColumn id="11" xr3:uid="{DAD7B069-8601-4C6A-B9FD-533F25545F5D}" uniqueName="11" name="1-Sigma Precision" queryTableFieldId="11"/>
    <tableColumn id="12" xr3:uid="{B9D59CEC-3B23-453C-B921-EFA8F6FAAD48}" uniqueName="12" name="2-Sigma Precision" queryTableFieldId="12"/>
    <tableColumn id="13" xr3:uid="{37F934A3-C385-4FCF-AA2D-C99F47C84E49}" uniqueName="13" name="Units(Precision)" queryTableFieldId="13"/>
    <tableColumn id="14" xr3:uid="{2BBE1D9B-ADDE-4A14-9198-B5CC9F77439D}" uniqueName="14" name="Resolution(Outer)" queryTableFieldId="14"/>
    <tableColumn id="15" xr3:uid="{18E8B80E-0F4E-4E70-AE2C-2860467FBC7A}" uniqueName="15" name="Resolution(Inner)" queryTableFieldId="15"/>
    <tableColumn id="16" xr3:uid="{AA0458C9-E797-4D18-B891-5D7FEFE54C4F}" uniqueName="16" name="Units(Resolution)" queryTableFieldId="16" dataDxfId="43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62ED2937-426B-4DE9-BC38-F5F03BBF88EC}" name="rifles.3030win" displayName="rifles.3030win" ref="A29:P30" tableType="queryTable" totalsRowShown="0">
  <autoFilter ref="A29:P30" xr:uid="{62ED2937-426B-4DE9-BC38-F5F03BBF88EC}"/>
  <tableColumns count="16">
    <tableColumn id="1" xr3:uid="{220D9741-509F-4ADD-8EC4-D4DB3F783550}" uniqueName="1" name="Key" queryTableFieldId="1" dataDxfId="42"/>
    <tableColumn id="2" xr3:uid="{BF31F41E-93F2-465A-8703-EEADC4DCCC52}" uniqueName="2" name="Chambering" queryTableFieldId="2" dataDxfId="41"/>
    <tableColumn id="3" xr3:uid="{083A3178-5D29-4F9D-8925-B311745AFD82}" uniqueName="3" name="Model" queryTableFieldId="3" dataDxfId="40"/>
    <tableColumn id="4" xr3:uid="{AC876E1D-5C2B-4053-8C6B-540686FF0920}" uniqueName="4" name="Action Type" queryTableFieldId="4" dataDxfId="39"/>
    <tableColumn id="5" xr3:uid="{6ED4723F-86A0-44A3-83CD-6B787AFC6020}" uniqueName="5" name="Weight" queryTableFieldId="5"/>
    <tableColumn id="6" xr3:uid="{45EBAF84-2112-420E-9B34-137F3B74A87A}" uniqueName="6" name="Units(Wt)" queryTableFieldId="6"/>
    <tableColumn id="7" xr3:uid="{B6FD6657-8497-43C4-840E-35AABE97B764}" uniqueName="7" name="Barrel Length" queryTableFieldId="7"/>
    <tableColumn id="8" xr3:uid="{5F665004-4CB3-4863-8784-BD2BC182674E}" uniqueName="8" name="Overall Length" queryTableFieldId="8"/>
    <tableColumn id="9" xr3:uid="{4928F069-EC28-4007-BA53-039F2E9F3F36}" uniqueName="9" name="Twist Rate(1:*)" queryTableFieldId="9"/>
    <tableColumn id="10" xr3:uid="{1A596E37-4D1E-4F95-BE70-3AF12701EAF4}" uniqueName="10" name="Units(Length)" queryTableFieldId="10"/>
    <tableColumn id="11" xr3:uid="{44D600A1-011C-40FF-907A-3FEA34B2C97B}" uniqueName="11" name="1-Sigma Precision" queryTableFieldId="11"/>
    <tableColumn id="12" xr3:uid="{8D38DCDD-33AC-4FF5-8A29-E31B2E475AD0}" uniqueName="12" name="2-Sigma Precision" queryTableFieldId="12"/>
    <tableColumn id="13" xr3:uid="{40B53382-5396-4F21-A571-B11FD0DD4D97}" uniqueName="13" name="Units(Precision)" queryTableFieldId="13"/>
    <tableColumn id="14" xr3:uid="{40B53055-B908-4928-B7FB-804AC4D645C4}" uniqueName="14" name="Resolution(Outer)" queryTableFieldId="14"/>
    <tableColumn id="15" xr3:uid="{4A6D0565-ADED-4B5A-A7A7-49E9C56200DB}" uniqueName="15" name="Resolution(Inner)" queryTableFieldId="15"/>
    <tableColumn id="16" xr3:uid="{8E26715A-CC1C-4834-A13B-15BEC68B44FA}" uniqueName="16" name="Units(Resolution)" queryTableFieldId="16" dataDxfId="38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99166725-EB63-4784-AFCF-EF78CB995264}" name="rifles.308win" displayName="rifles.308win" ref="A33:P35" tableType="queryTable" totalsRowShown="0">
  <autoFilter ref="A33:P35" xr:uid="{99166725-EB63-4784-AFCF-EF78CB995264}"/>
  <tableColumns count="16">
    <tableColumn id="1" xr3:uid="{582FCF40-82E9-41EA-9F54-93C40E37930B}" uniqueName="1" name="Key" queryTableFieldId="1" dataDxfId="37"/>
    <tableColumn id="2" xr3:uid="{F3B4FDD5-F0EB-46E6-A838-505E5536C0C9}" uniqueName="2" name="Chambering" queryTableFieldId="2" dataDxfId="36"/>
    <tableColumn id="3" xr3:uid="{2E70D462-079E-4B67-B4FA-8BAA966E6924}" uniqueName="3" name="Model" queryTableFieldId="3" dataDxfId="35"/>
    <tableColumn id="4" xr3:uid="{6FAC35C4-B17A-4BD4-B7EF-16339D0D73A6}" uniqueName="4" name="Action Type" queryTableFieldId="4" dataDxfId="34"/>
    <tableColumn id="5" xr3:uid="{6B3D6FF5-745E-4555-97C8-CC9F264AA247}" uniqueName="5" name="Weight" queryTableFieldId="5"/>
    <tableColumn id="6" xr3:uid="{BB988A6C-0B7F-4F6A-872B-6A2C45D4D289}" uniqueName="6" name="Units(Wt)" queryTableFieldId="6"/>
    <tableColumn id="7" xr3:uid="{489C419A-61DB-4D8C-9880-1EB8AA118A36}" uniqueName="7" name="Barrel Length" queryTableFieldId="7"/>
    <tableColumn id="8" xr3:uid="{71894340-2E4C-4962-B2EC-314764306AA6}" uniqueName="8" name="Overall Length" queryTableFieldId="8"/>
    <tableColumn id="9" xr3:uid="{84B01BDE-E1D6-478D-9D40-B896F69D743B}" uniqueName="9" name="Twist Rate(1:*)" queryTableFieldId="9"/>
    <tableColumn id="10" xr3:uid="{0867ADC2-D93E-44DD-9CF1-F3F35C7F9D06}" uniqueName="10" name="Units(Length)" queryTableFieldId="10"/>
    <tableColumn id="11" xr3:uid="{784DD04B-D34C-47A6-A30D-B0F42F23DF0D}" uniqueName="11" name="1-Sigma Precision" queryTableFieldId="11"/>
    <tableColumn id="12" xr3:uid="{7547081C-1BA1-4BA4-950D-EF54C4F2BF69}" uniqueName="12" name="2-Sigma Precision" queryTableFieldId="12"/>
    <tableColumn id="13" xr3:uid="{24A6ACE8-E820-4FF2-B81A-56BD90DBA5F6}" uniqueName="13" name="Units(Precision)" queryTableFieldId="13"/>
    <tableColumn id="14" xr3:uid="{82A2978D-B2E7-4656-B715-24AD35E5CEF2}" uniqueName="14" name="Resolution(Outer)" queryTableFieldId="14"/>
    <tableColumn id="15" xr3:uid="{EAC20D95-F4F4-4549-AB35-CB55828A0AAC}" uniqueName="15" name="Resolution(Inner)" queryTableFieldId="15"/>
    <tableColumn id="16" xr3:uid="{301431A3-AE21-4306-B366-72E05544C21F}" uniqueName="16" name="Units(Resolution)" queryTableFieldId="16" dataDxfId="33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CA8ABF4-0E9D-48A4-BE90-460C6A213195}" name="rifles.338lapuamag" displayName="rifles.338lapuamag" ref="A37:P39" tableType="queryTable" totalsRowShown="0">
  <autoFilter ref="A37:P39" xr:uid="{1CA8ABF4-0E9D-48A4-BE90-460C6A213195}"/>
  <tableColumns count="16">
    <tableColumn id="1" xr3:uid="{F7211513-B0C9-4AD9-B08B-E885533506E3}" uniqueName="1" name="Key" queryTableFieldId="1" dataDxfId="32"/>
    <tableColumn id="2" xr3:uid="{2C69C803-5CA8-43B8-B751-5F3C2D795F3C}" uniqueName="2" name="Chambering" queryTableFieldId="2" dataDxfId="31"/>
    <tableColumn id="3" xr3:uid="{16C1784D-E2FD-40DD-B408-459CC9BE96F6}" uniqueName="3" name="Model" queryTableFieldId="3" dataDxfId="30"/>
    <tableColumn id="4" xr3:uid="{2950CD4D-70A9-4E06-8F6B-2650658FD628}" uniqueName="4" name="Action Type" queryTableFieldId="4" dataDxfId="29"/>
    <tableColumn id="5" xr3:uid="{8BF9267B-CBF5-4F13-9FC3-927CB077E244}" uniqueName="5" name="Weight" queryTableFieldId="5"/>
    <tableColumn id="6" xr3:uid="{6AC3421C-D1C5-41C6-A566-6B78088E27DF}" uniqueName="6" name="Units(Wt)" queryTableFieldId="6"/>
    <tableColumn id="7" xr3:uid="{F4D68262-7EA1-4EB6-A18D-0D6919D6C8D4}" uniqueName="7" name="Barrel Length" queryTableFieldId="7"/>
    <tableColumn id="8" xr3:uid="{09B1315D-630E-4ED4-89F5-4172BE552DDF}" uniqueName="8" name="Overall Length" queryTableFieldId="8"/>
    <tableColumn id="9" xr3:uid="{F4F8A9AE-FF26-4614-8B6D-F5CFC7AB91CF}" uniqueName="9" name="Twist Rate(1:*)" queryTableFieldId="9"/>
    <tableColumn id="10" xr3:uid="{264088D2-9B9C-4D22-A9EF-42CBF3E61FE3}" uniqueName="10" name="Units(Length)" queryTableFieldId="10"/>
    <tableColumn id="11" xr3:uid="{4DE53CB6-9C26-4DC4-9875-9BED472DD8AB}" uniqueName="11" name="1-Sigma Precision" queryTableFieldId="11"/>
    <tableColumn id="12" xr3:uid="{3376E198-D024-4B62-ACC7-B585739E7816}" uniqueName="12" name="2-Sigma Precision" queryTableFieldId="12"/>
    <tableColumn id="13" xr3:uid="{34717212-EB08-4B8A-ACDE-0B296212A966}" uniqueName="13" name="Units(Precision)" queryTableFieldId="13"/>
    <tableColumn id="14" xr3:uid="{E4DC66DB-EF6D-4789-BA2C-627F21FE9C4A}" uniqueName="14" name="Resolution(Outer)" queryTableFieldId="14"/>
    <tableColumn id="15" xr3:uid="{DA578169-07DB-4B5F-8644-C4C2ECDBE4EC}" uniqueName="15" name="Resolution(Inner)" queryTableFieldId="15"/>
    <tableColumn id="16" xr3:uid="{B0A65732-FA20-4B24-8CE5-B487980154F0}" uniqueName="16" name="Units(Resolution)" queryTableFieldId="16" dataDxfId="28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922EA374-8911-44BA-B36F-B377B15019F8}" name="rifles.350remmag" displayName="rifles.350remmag" ref="A41:P42" tableType="queryTable" totalsRowShown="0">
  <autoFilter ref="A41:P42" xr:uid="{922EA374-8911-44BA-B36F-B377B15019F8}"/>
  <tableColumns count="16">
    <tableColumn id="1" xr3:uid="{C72EAC5D-492D-4802-AF6D-5AEA9DEC2695}" uniqueName="1" name="Key" queryTableFieldId="1" dataDxfId="27"/>
    <tableColumn id="2" xr3:uid="{5E0C971F-CC97-4CD6-81F2-0A79C026496B}" uniqueName="2" name="Chambering" queryTableFieldId="2" dataDxfId="26"/>
    <tableColumn id="3" xr3:uid="{62B8FDC1-8F9C-455F-B91B-35A329EB59D5}" uniqueName="3" name="Model" queryTableFieldId="3" dataDxfId="25"/>
    <tableColumn id="4" xr3:uid="{A01A9231-F664-4D75-B3AE-8B2F23491318}" uniqueName="4" name="Action Type" queryTableFieldId="4" dataDxfId="24"/>
    <tableColumn id="5" xr3:uid="{7A2220B8-ED7F-4BB5-A813-1C6E3ACDDDEE}" uniqueName="5" name="Weight" queryTableFieldId="5"/>
    <tableColumn id="6" xr3:uid="{74276BC1-ADAF-4CC6-9434-45B1731F3946}" uniqueName="6" name="Units(Wt)" queryTableFieldId="6"/>
    <tableColumn id="7" xr3:uid="{66CE53C4-4DE2-4D7F-9F54-891FF76B83D3}" uniqueName="7" name="Barrel Length" queryTableFieldId="7"/>
    <tableColumn id="8" xr3:uid="{4EF683F9-D369-4150-B4F6-9F626501BE04}" uniqueName="8" name="Overall Length" queryTableFieldId="8"/>
    <tableColumn id="9" xr3:uid="{F6615CCD-9C94-4752-AACF-DDA229E4B7A8}" uniqueName="9" name="Twist Rate(1:*)" queryTableFieldId="9"/>
    <tableColumn id="10" xr3:uid="{198E66DB-D864-4F95-AC83-6306C1AA055A}" uniqueName="10" name="Units(Length)" queryTableFieldId="10"/>
    <tableColumn id="11" xr3:uid="{86109765-3A2F-4C34-A109-DF2D9A666CDB}" uniqueName="11" name="1-Sigma Precision" queryTableFieldId="11"/>
    <tableColumn id="12" xr3:uid="{3B9E9C86-DD63-4DEE-ADF2-0FA4306B7342}" uniqueName="12" name="2-Sigma Precision" queryTableFieldId="12"/>
    <tableColumn id="13" xr3:uid="{EC9E2135-4484-4E9D-9A3A-ABA3E443FBC3}" uniqueName="13" name="Units(Precision)" queryTableFieldId="13"/>
    <tableColumn id="14" xr3:uid="{B387A991-6F3C-4A98-AAD1-D0DA80E2D4D0}" uniqueName="14" name="Resolution(Outer)" queryTableFieldId="14"/>
    <tableColumn id="15" xr3:uid="{74C83C5E-6608-4728-8DB5-862A5F623492}" uniqueName="15" name="Resolution(Inner)" queryTableFieldId="15"/>
    <tableColumn id="16" xr3:uid="{E7C92E7B-5415-448E-A2FE-A3D3B102BE95}" uniqueName="16" name="Units(Resolution)" queryTableFieldId="16" dataDxfId="23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8538362C-DBEF-4722-8319-F1F854EF7E66}" name="rifles.375hhmag" displayName="rifles.375hhmag" ref="A45:P46" tableType="queryTable" totalsRowShown="0">
  <autoFilter ref="A45:P46" xr:uid="{8538362C-DBEF-4722-8319-F1F854EF7E66}"/>
  <tableColumns count="16">
    <tableColumn id="1" xr3:uid="{AAE9FB70-D0DB-41A8-A1FE-8A4801446971}" uniqueName="1" name="Key" queryTableFieldId="1" dataDxfId="22"/>
    <tableColumn id="2" xr3:uid="{03C44D7D-32B5-4D05-B5C9-C01B478C3603}" uniqueName="2" name="Chambering" queryTableFieldId="2" dataDxfId="21"/>
    <tableColumn id="3" xr3:uid="{C80F6BFF-E6AE-4E41-A5F9-FDDBFE0ED501}" uniqueName="3" name="Model" queryTableFieldId="3" dataDxfId="20"/>
    <tableColumn id="4" xr3:uid="{76C1BD64-1E9B-4174-8082-50E8593D6E71}" uniqueName="4" name="Action Type" queryTableFieldId="4" dataDxfId="19"/>
    <tableColumn id="5" xr3:uid="{60C99D7D-9236-45B3-A177-C95B2F74BF0A}" uniqueName="5" name="Weight" queryTableFieldId="5"/>
    <tableColumn id="6" xr3:uid="{76D2AD7F-6F0E-49E1-A3B7-92CA83A7E24C}" uniqueName="6" name="Units(Wt)" queryTableFieldId="6"/>
    <tableColumn id="7" xr3:uid="{0FA53861-0608-4D2F-ABF1-FD0392B2B672}" uniqueName="7" name="Barrel Length" queryTableFieldId="7"/>
    <tableColumn id="8" xr3:uid="{2CEDF346-B5BF-4C03-AAF9-053BB8D4B119}" uniqueName="8" name="Overall Length" queryTableFieldId="8"/>
    <tableColumn id="9" xr3:uid="{A640516A-5BFA-4D17-9441-6626030CB219}" uniqueName="9" name="Twist Rate(1:*)" queryTableFieldId="9"/>
    <tableColumn id="10" xr3:uid="{476A5773-BF89-4F04-A9DE-CC94BA4F020A}" uniqueName="10" name="Units(Length)" queryTableFieldId="10"/>
    <tableColumn id="11" xr3:uid="{AACC5AF1-3392-4A26-9D32-2CDB9AEA2958}" uniqueName="11" name="1-Sigma Precision" queryTableFieldId="11"/>
    <tableColumn id="12" xr3:uid="{E059783E-AAC4-46A9-B6EC-B059D312A0BB}" uniqueName="12" name="2-Sigma Precision" queryTableFieldId="12"/>
    <tableColumn id="13" xr3:uid="{713753CE-DFC4-453D-AFEC-F3D420BF7EE0}" uniqueName="13" name="Units(Precision)" queryTableFieldId="13"/>
    <tableColumn id="14" xr3:uid="{3432205A-CC4F-495B-97ED-73CA491F03CF}" uniqueName="14" name="Resolution(Outer)" queryTableFieldId="14"/>
    <tableColumn id="15" xr3:uid="{4FA8D8B1-1B2C-4FE2-95F5-2A6C59FA3A77}" uniqueName="15" name="Resolution(Inner)" queryTableFieldId="15"/>
    <tableColumn id="16" xr3:uid="{9C0FE4F9-135C-4410-A0F7-99B5A9430DE6}" uniqueName="16" name="Units(Resolution)" queryTableFieldId="16" dataDxfId="18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5A35AB44-944E-47B8-B928-DAFDCED351B8}" name="rifles.65mmcreedmoor" displayName="rifles.65mmcreedmoor" ref="A49:P51" tableType="queryTable" totalsRowShown="0">
  <autoFilter ref="A49:P51" xr:uid="{5A35AB44-944E-47B8-B928-DAFDCED351B8}"/>
  <tableColumns count="16">
    <tableColumn id="1" xr3:uid="{B2941A08-A09C-4113-9502-4580930E1E14}" uniqueName="1" name="Key" queryTableFieldId="1" dataDxfId="17"/>
    <tableColumn id="2" xr3:uid="{78ECED0D-ABDA-403A-BC5C-A075E8515661}" uniqueName="2" name="Chambering" queryTableFieldId="2" dataDxfId="16"/>
    <tableColumn id="3" xr3:uid="{D0FFDF5D-FFFF-4AA1-94DF-4492250496BF}" uniqueName="3" name="Model" queryTableFieldId="3" dataDxfId="15"/>
    <tableColumn id="4" xr3:uid="{3AA70DFB-CBA4-4BDC-9DDE-2C4F53D6A529}" uniqueName="4" name="Action Type" queryTableFieldId="4" dataDxfId="14"/>
    <tableColumn id="5" xr3:uid="{081D1BBB-F9AF-4EB8-8660-4A7B0DD2615A}" uniqueName="5" name="Weight" queryTableFieldId="5"/>
    <tableColumn id="6" xr3:uid="{050562C5-5C8E-45D0-8A80-A9AE25782EFE}" uniqueName="6" name="Units(Wt)" queryTableFieldId="6"/>
    <tableColumn id="7" xr3:uid="{9D52332E-44C9-4108-B32C-1E7F83AC3ACD}" uniqueName="7" name="Barrel Length" queryTableFieldId="7"/>
    <tableColumn id="8" xr3:uid="{BC298868-A4AF-4E9B-93F2-63C1F0EEFDB5}" uniqueName="8" name="Overall Length" queryTableFieldId="8"/>
    <tableColumn id="9" xr3:uid="{1B0CD829-FA58-4377-A9A7-4180C9D8FE22}" uniqueName="9" name="Twist Rate(1:*)" queryTableFieldId="9"/>
    <tableColumn id="10" xr3:uid="{B0D00249-E456-4720-A1F2-587B26D77C86}" uniqueName="10" name="Units(Length)" queryTableFieldId="10"/>
    <tableColumn id="11" xr3:uid="{9AF92D39-A483-4CFD-A87C-64AC9349D7AC}" uniqueName="11" name="1-Sigma Precision" queryTableFieldId="11"/>
    <tableColumn id="12" xr3:uid="{4E510A6D-D745-4B6E-BD9A-BD2067DD7EEF}" uniqueName="12" name="2-Sigma Precision" queryTableFieldId="12"/>
    <tableColumn id="13" xr3:uid="{EB1EBAB1-F716-40CB-BC5E-B473A25ACAB9}" uniqueName="13" name="Units(Precision)" queryTableFieldId="13"/>
    <tableColumn id="14" xr3:uid="{441B88BF-D52C-42D9-AF2D-9024F0384C81}" uniqueName="14" name="Resolution(Outer)" queryTableFieldId="14"/>
    <tableColumn id="15" xr3:uid="{F7BA1D56-208F-4821-B109-223CE6C1667B}" uniqueName="15" name="Resolution(Inner)" queryTableFieldId="15"/>
    <tableColumn id="16" xr3:uid="{28F7D9E9-8D6C-409A-AF6E-EE8BAF87CE44}" uniqueName="16" name="Units(Resolution)" queryTableFieldId="16" dataDxfId="13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1F5ED869-7F80-4B91-8B08-C312163F679B}" name="rifles.7mmprc" displayName="rifles.7mmprc" ref="A63:P65" tableType="queryTable" totalsRowShown="0">
  <autoFilter ref="A63:P65" xr:uid="{1F5ED869-7F80-4B91-8B08-C312163F679B}"/>
  <tableColumns count="16">
    <tableColumn id="1" xr3:uid="{982E48E2-9388-4227-9C66-A9ACB744985F}" uniqueName="1" name="Key" queryTableFieldId="1" dataDxfId="12"/>
    <tableColumn id="2" xr3:uid="{30BEF3E6-FF2F-4641-B9D6-2C46F87AC352}" uniqueName="2" name="Chambering" queryTableFieldId="2" dataDxfId="11"/>
    <tableColumn id="3" xr3:uid="{30076415-DDB4-4CB3-980D-43FBA3BE0005}" uniqueName="3" name="Model" queryTableFieldId="3" dataDxfId="10"/>
    <tableColumn id="4" xr3:uid="{18783669-568F-49A1-BEF5-14915CEEA0D1}" uniqueName="4" name="Action Type" queryTableFieldId="4" dataDxfId="9"/>
    <tableColumn id="5" xr3:uid="{CB5DD8AC-4D8F-45E6-9F0A-4F775CE0C19A}" uniqueName="5" name="Weight" queryTableFieldId="5"/>
    <tableColumn id="6" xr3:uid="{8DFF53F6-949A-44CB-938E-BA7D5B6CA864}" uniqueName="6" name="Units(Wt)" queryTableFieldId="6"/>
    <tableColumn id="7" xr3:uid="{DA879045-729C-4505-8F3E-3BD6165C7938}" uniqueName="7" name="Barrel Length" queryTableFieldId="7"/>
    <tableColumn id="8" xr3:uid="{10A82871-6211-40DC-95B2-73438F766FAD}" uniqueName="8" name="Overall Length" queryTableFieldId="8"/>
    <tableColumn id="9" xr3:uid="{5A809D0F-567A-4FEE-BE16-94AEEA118E4A}" uniqueName="9" name="Twist Rate(1:*)" queryTableFieldId="9"/>
    <tableColumn id="10" xr3:uid="{A1E84D33-B5A8-4046-BA59-E0B6FFF6336E}" uniqueName="10" name="Units(Length)" queryTableFieldId="10"/>
    <tableColumn id="11" xr3:uid="{76570537-15ED-407F-9F2E-DAAF42525CD2}" uniqueName="11" name="1-Sigma Precision" queryTableFieldId="11"/>
    <tableColumn id="12" xr3:uid="{12EA1E61-FDF4-4C55-8DA0-86240F29927E}" uniqueName="12" name="2-Sigma Precision" queryTableFieldId="12"/>
    <tableColumn id="13" xr3:uid="{D4320DD8-65F9-40F2-9896-9CAA2FFED5DA}" uniqueName="13" name="Units(Precision)" queryTableFieldId="13"/>
    <tableColumn id="14" xr3:uid="{649171DF-036D-4517-AEDE-A65D83E6DD5D}" uniqueName="14" name="Resolution(Outer)" queryTableFieldId="14"/>
    <tableColumn id="15" xr3:uid="{B83E27FC-FBC4-4190-8B62-407F5EF98B08}" uniqueName="15" name="Resolution(Inner)" queryTableFieldId="15"/>
    <tableColumn id="16" xr3:uid="{7EA8AFB2-C9BE-44D9-95B1-7EEA53F24D2A}" uniqueName="16" name="Units(Resolution)" queryTableFieldId="16" dataDxfId="8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1AAF3CC2-FBFD-4512-B749-08D22BE27ACD}" name="rifles.93mmx62mauser" displayName="rifles.93mmx62mauser" ref="A68:P69" tableType="queryTable" totalsRowShown="0">
  <autoFilter ref="A68:P69" xr:uid="{1AAF3CC2-FBFD-4512-B749-08D22BE27ACD}"/>
  <tableColumns count="16">
    <tableColumn id="1" xr3:uid="{4E1C3CE6-E282-44B3-A5A5-9CD1EB9ACF2E}" uniqueName="1" name="Key" queryTableFieldId="1" dataDxfId="7"/>
    <tableColumn id="2" xr3:uid="{4DEB8CFF-BC89-4F62-A251-C959B1B8168E}" uniqueName="2" name="Chambering" queryTableFieldId="2" dataDxfId="6"/>
    <tableColumn id="3" xr3:uid="{B8D575C1-29ED-4837-9478-385CDECB118E}" uniqueName="3" name="Model" queryTableFieldId="3" dataDxfId="5"/>
    <tableColumn id="4" xr3:uid="{624ABB8C-F529-4635-B7C9-C147ACE255A6}" uniqueName="4" name="Action Type" queryTableFieldId="4" dataDxfId="4"/>
    <tableColumn id="5" xr3:uid="{3470EF14-3952-4D1B-BD85-7C1BCF86D38E}" uniqueName="5" name="Weight" queryTableFieldId="5"/>
    <tableColumn id="6" xr3:uid="{0771C216-0341-48EB-8E45-EE21B3BF60D4}" uniqueName="6" name="Units(Wt)" queryTableFieldId="6"/>
    <tableColumn id="7" xr3:uid="{4BE2D237-700A-4468-813F-15D490136DD7}" uniqueName="7" name="Barrel Length" queryTableFieldId="7"/>
    <tableColumn id="8" xr3:uid="{BC8A69A4-80AB-4EA2-8EDF-08DBF9243246}" uniqueName="8" name="Overall Length" queryTableFieldId="8"/>
    <tableColumn id="9" xr3:uid="{7F1EA38B-6BA7-4B10-BB20-B6F6EDC90A1A}" uniqueName="9" name="Twist Rate(1:*)" queryTableFieldId="9"/>
    <tableColumn id="10" xr3:uid="{7F86E5E3-9DCC-4DC2-973C-3978260D0B64}" uniqueName="10" name="Units(Length)" queryTableFieldId="10"/>
    <tableColumn id="11" xr3:uid="{1516DA48-AD84-4186-B5EE-058D7F2E402E}" uniqueName="11" name="1-Sigma Precision" queryTableFieldId="11"/>
    <tableColumn id="12" xr3:uid="{1A3DF161-1941-4804-B9C3-90D8B09C075E}" uniqueName="12" name="2-Sigma Precision" queryTableFieldId="12"/>
    <tableColumn id="13" xr3:uid="{8AB33E04-1194-46FF-AA84-37A3BC980299}" uniqueName="13" name="Units(Precision)" queryTableFieldId="13"/>
    <tableColumn id="14" xr3:uid="{FDECD734-10C3-4291-B985-41F972DD89C8}" uniqueName="14" name="Resolution(Outer)" queryTableFieldId="14"/>
    <tableColumn id="15" xr3:uid="{FC950AA4-0A3D-4B4C-BDBC-5062A116B25C}" uniqueName="15" name="Resolution(Inner)" queryTableFieldId="15"/>
    <tableColumn id="16" xr3:uid="{BDF4BDA9-F062-47B7-812C-096490603211}" uniqueName="16" name="Units(Resolution)" queryTableFieldId="16" dataDxfId="3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60D247-FD0A-49A0-9182-64A75BCCD539}" name="SpeciesEnergyTable" displayName="SpeciesEnergyTable" ref="A1:O58" tableType="queryTable" totalsRowShown="0">
  <autoFilter ref="A1:O58" xr:uid="{4560D247-FD0A-49A0-9182-64A75BCCD539}"/>
  <tableColumns count="15">
    <tableColumn id="1" xr3:uid="{3E5B5752-80EB-4B35-8B81-9FB3BB043836}" uniqueName="1" name="Common Name" queryTableFieldId="1" dataDxfId="2"/>
    <tableColumn id="2" xr3:uid="{6009ED50-430B-4D43-9951-7D29806A52A2}" uniqueName="2" name="Minimum Weight" queryTableFieldId="2"/>
    <tableColumn id="3" xr3:uid="{D1777088-AC1C-41DA-A05C-82578211DAC1}" uniqueName="3" name="Maximum Weight" queryTableFieldId="3"/>
    <tableColumn id="4" xr3:uid="{D355AF71-48D5-491D-BE43-25539DFB6580}" uniqueName="4" name="Weight Units" queryTableFieldId="4" dataDxfId="1"/>
    <tableColumn id="5" xr3:uid="{BB5367A2-3948-465A-B37B-6F41355E75B7}" uniqueName="5" name="Minimum Energy(Rifle)" queryTableFieldId="5"/>
    <tableColumn id="6" xr3:uid="{4E24DC53-D6F1-46D7-8B8C-A46EA9FFAB80}" uniqueName="6" name="Maximum Energy(Rifle)" queryTableFieldId="6"/>
    <tableColumn id="7" xr3:uid="{D125B708-63B7-45F5-86B5-CB8C25D201CD}" uniqueName="7" name="Minimum Energy(Bows)" queryTableFieldId="7"/>
    <tableColumn id="8" xr3:uid="{65EA1B32-9A71-4EB6-A6C6-AD78F48D5939}" uniqueName="8" name="Maximum Energy(Bows)" queryTableFieldId="8"/>
    <tableColumn id="9" xr3:uid="{E2FC2DB3-FD9A-4CF0-A2F6-E7E8FDF7A348}" uniqueName="9" name="Energy Units" queryTableFieldId="9" dataDxfId="0"/>
    <tableColumn id="10" xr3:uid="{2B1BD05F-1B4E-46FA-BAA2-179FE0C9D3D5}" uniqueName="10" name="Vital Zone Diameter" queryTableFieldId="10"/>
    <tableColumn id="11" xr3:uid="{FF9D37E9-F14C-4AD9-8CA2-AAE6E05A105F}" uniqueName="11" name="Diameter Units" queryTableFieldId="11"/>
    <tableColumn id="12" xr3:uid="{26EC6B5C-4931-4223-844C-7D15120D9FA6}" uniqueName="12" name="Body Height" queryTableFieldId="12"/>
    <tableColumn id="13" xr3:uid="{23C36268-427E-40FF-A774-4A45D9E91F54}" uniqueName="13" name="Body Length" queryTableFieldId="13"/>
    <tableColumn id="14" xr3:uid="{5B23FFA3-7E7A-4859-99AD-499D0B235F9C}" uniqueName="14" name="Body Thickness" queryTableFieldId="14"/>
    <tableColumn id="15" xr3:uid="{1F9B2CFA-4332-4129-A708-DD20607A95EA}" uniqueName="15" name="Body Size Units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13" Type="http://schemas.openxmlformats.org/officeDocument/2006/relationships/table" Target="../tables/table17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12" Type="http://schemas.openxmlformats.org/officeDocument/2006/relationships/table" Target="../tables/table16.xml"/><Relationship Id="rId2" Type="http://schemas.openxmlformats.org/officeDocument/2006/relationships/table" Target="../tables/table6.xml"/><Relationship Id="rId16" Type="http://schemas.openxmlformats.org/officeDocument/2006/relationships/table" Target="../tables/table20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5" Type="http://schemas.openxmlformats.org/officeDocument/2006/relationships/table" Target="../tables/table1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Relationship Id="rId14" Type="http://schemas.openxmlformats.org/officeDocument/2006/relationships/table" Target="../tables/table1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2" Type="http://schemas.openxmlformats.org/officeDocument/2006/relationships/table" Target="../tables/table23.xml"/><Relationship Id="rId1" Type="http://schemas.openxmlformats.org/officeDocument/2006/relationships/table" Target="../tables/table22.xml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5" Type="http://schemas.openxmlformats.org/officeDocument/2006/relationships/table" Target="../tables/table26.xml"/><Relationship Id="rId10" Type="http://schemas.openxmlformats.org/officeDocument/2006/relationships/table" Target="../tables/table31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8F4E7-EE12-4CC1-81FB-3387D8265B42}">
  <sheetPr codeName="shConstants"/>
  <dimension ref="A1:S16"/>
  <sheetViews>
    <sheetView topLeftCell="D1" workbookViewId="0">
      <selection activeCell="R25" sqref="R25"/>
    </sheetView>
  </sheetViews>
  <sheetFormatPr defaultRowHeight="15" x14ac:dyDescent="0.25"/>
  <cols>
    <col min="1" max="1" width="10.42578125" bestFit="1" customWidth="1"/>
    <col min="2" max="2" width="10.140625" bestFit="1" customWidth="1"/>
    <col min="4" max="4" width="9.42578125" bestFit="1" customWidth="1"/>
    <col min="5" max="5" width="14.7109375" bestFit="1" customWidth="1"/>
    <col min="6" max="6" width="10.5703125" bestFit="1" customWidth="1"/>
    <col min="7" max="7" width="9.42578125" bestFit="1" customWidth="1"/>
    <col min="8" max="8" width="10" bestFit="1" customWidth="1"/>
    <col min="10" max="10" width="21.140625" bestFit="1" customWidth="1"/>
    <col min="12" max="12" width="24.28515625" bestFit="1" customWidth="1"/>
    <col min="13" max="13" width="15.7109375" bestFit="1" customWidth="1"/>
    <col min="14" max="14" width="16.140625" bestFit="1" customWidth="1"/>
    <col min="15" max="15" width="28.140625" bestFit="1" customWidth="1"/>
    <col min="16" max="16" width="21.5703125" bestFit="1" customWidth="1"/>
    <col min="18" max="18" width="32.28515625" bestFit="1" customWidth="1"/>
    <col min="19" max="19" width="43.5703125" bestFit="1" customWidth="1"/>
  </cols>
  <sheetData>
    <row r="1" spans="1:19" x14ac:dyDescent="0.25">
      <c r="A1"/>
      <c r="B1"/>
      <c r="D1"/>
      <c r="E1"/>
      <c r="F1"/>
      <c r="G1"/>
      <c r="H1"/>
      <c r="J1"/>
      <c r="L1"/>
      <c r="M1"/>
      <c r="N1"/>
      <c r="O1"/>
      <c r="P1"/>
      <c r="R1"/>
      <c r="S1"/>
    </row>
    <row r="2" spans="1:19" x14ac:dyDescent="0.25">
      <c r="A2"/>
      <c r="B2"/>
      <c r="D2"/>
      <c r="E2"/>
      <c r="F2"/>
      <c r="G2"/>
      <c r="H2"/>
      <c r="J2"/>
      <c r="L2"/>
      <c r="M2"/>
      <c r="N2"/>
      <c r="O2"/>
      <c r="P2"/>
      <c r="R2"/>
      <c r="S2"/>
    </row>
    <row r="3" spans="1:19" x14ac:dyDescent="0.25">
      <c r="A3"/>
      <c r="B3"/>
      <c r="D3"/>
      <c r="E3"/>
      <c r="F3"/>
      <c r="G3"/>
      <c r="H3"/>
      <c r="J3"/>
      <c r="L3"/>
      <c r="M3"/>
      <c r="N3"/>
      <c r="O3"/>
      <c r="P3"/>
      <c r="R3"/>
      <c r="S3"/>
    </row>
    <row r="4" spans="1:19" x14ac:dyDescent="0.25">
      <c r="A4"/>
      <c r="B4"/>
      <c r="D4"/>
      <c r="E4"/>
      <c r="F4"/>
      <c r="H4"/>
      <c r="L4"/>
      <c r="M4"/>
      <c r="N4"/>
      <c r="O4"/>
      <c r="P4"/>
      <c r="R4"/>
      <c r="S4"/>
    </row>
    <row r="5" spans="1:19" x14ac:dyDescent="0.25">
      <c r="A5"/>
      <c r="B5"/>
      <c r="D5"/>
      <c r="E5"/>
      <c r="F5"/>
      <c r="H5"/>
      <c r="L5"/>
      <c r="M5"/>
      <c r="N5"/>
      <c r="O5"/>
      <c r="P5"/>
      <c r="R5"/>
      <c r="S5"/>
    </row>
    <row r="6" spans="1:19" x14ac:dyDescent="0.25">
      <c r="A6"/>
      <c r="B6"/>
      <c r="D6"/>
      <c r="F6"/>
      <c r="H6"/>
      <c r="L6"/>
      <c r="M6"/>
      <c r="N6"/>
      <c r="O6"/>
      <c r="P6"/>
      <c r="R6"/>
      <c r="S6"/>
    </row>
    <row r="7" spans="1:19" x14ac:dyDescent="0.25">
      <c r="A7"/>
      <c r="B7"/>
      <c r="D7"/>
      <c r="F7"/>
      <c r="L7"/>
      <c r="M7"/>
      <c r="N7"/>
      <c r="O7"/>
      <c r="P7"/>
      <c r="R7"/>
      <c r="S7"/>
    </row>
    <row r="8" spans="1:19" x14ac:dyDescent="0.25">
      <c r="B8"/>
      <c r="D8"/>
      <c r="F8"/>
      <c r="L8"/>
      <c r="M8"/>
      <c r="N8"/>
      <c r="O8"/>
      <c r="P8"/>
      <c r="R8"/>
      <c r="S8"/>
    </row>
    <row r="9" spans="1:19" x14ac:dyDescent="0.25">
      <c r="B9"/>
      <c r="D9"/>
      <c r="F9"/>
      <c r="L9"/>
      <c r="M9"/>
      <c r="N9"/>
      <c r="O9"/>
      <c r="P9"/>
      <c r="R9"/>
      <c r="S9"/>
    </row>
    <row r="10" spans="1:19" x14ac:dyDescent="0.25">
      <c r="B10"/>
      <c r="F10"/>
      <c r="L10"/>
      <c r="M10"/>
      <c r="N10"/>
      <c r="O10"/>
      <c r="P10"/>
      <c r="R10"/>
      <c r="S10"/>
    </row>
    <row r="11" spans="1:19" x14ac:dyDescent="0.25">
      <c r="F11"/>
      <c r="L11"/>
      <c r="M11"/>
      <c r="N11"/>
      <c r="O11"/>
      <c r="P11"/>
      <c r="R11"/>
      <c r="S11"/>
    </row>
    <row r="12" spans="1:19" x14ac:dyDescent="0.25">
      <c r="L12"/>
      <c r="M12"/>
      <c r="N12"/>
      <c r="O12"/>
      <c r="P12"/>
      <c r="R12"/>
      <c r="S12"/>
    </row>
    <row r="13" spans="1:19" x14ac:dyDescent="0.25">
      <c r="L13"/>
      <c r="M13"/>
      <c r="N13"/>
      <c r="O13"/>
      <c r="P13"/>
      <c r="R13"/>
      <c r="S13"/>
    </row>
    <row r="14" spans="1:19" x14ac:dyDescent="0.25">
      <c r="L14"/>
      <c r="M14"/>
      <c r="N14"/>
      <c r="O14"/>
      <c r="P14"/>
      <c r="R14"/>
      <c r="S14"/>
    </row>
    <row r="15" spans="1:19" x14ac:dyDescent="0.25">
      <c r="L15"/>
      <c r="M15"/>
      <c r="N15"/>
      <c r="O15"/>
      <c r="P15"/>
      <c r="R15"/>
      <c r="S15"/>
    </row>
    <row r="16" spans="1:19" x14ac:dyDescent="0.25">
      <c r="L16"/>
      <c r="M16"/>
      <c r="N16"/>
      <c r="O16"/>
      <c r="P16"/>
      <c r="R16"/>
      <c r="S16"/>
    </row>
  </sheetData>
  <dataValidations count="1">
    <dataValidation type="list" allowBlank="1" showInputMessage="1" showErrorMessage="1" sqref="N2:N16" xr:uid="{FDC0A7FE-5CF9-4D73-B519-0714B3D1FEEB}">
      <formula1>LengthUnits</formula1>
    </dataValidation>
  </dataValidation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17FF1-9008-45CE-ACA5-AFB732C34A3A}">
  <sheetPr codeName="shAmmunitionData"/>
  <dimension ref="A1:AC124"/>
  <sheetViews>
    <sheetView topLeftCell="E97" workbookViewId="0">
      <selection activeCell="E110" sqref="E110"/>
    </sheetView>
  </sheetViews>
  <sheetFormatPr defaultRowHeight="15" x14ac:dyDescent="0.25"/>
  <cols>
    <col min="1" max="1" width="27" bestFit="1" customWidth="1"/>
    <col min="2" max="2" width="20.140625" bestFit="1" customWidth="1"/>
    <col min="3" max="3" width="14.7109375" bestFit="1" customWidth="1"/>
    <col min="4" max="4" width="56.42578125" bestFit="1" customWidth="1"/>
    <col min="5" max="5" width="32.140625" bestFit="1" customWidth="1"/>
    <col min="6" max="6" width="9.85546875" bestFit="1" customWidth="1"/>
    <col min="7" max="7" width="12.42578125" bestFit="1" customWidth="1"/>
    <col min="8" max="8" width="9.7109375" bestFit="1" customWidth="1"/>
    <col min="9" max="9" width="11.5703125" bestFit="1" customWidth="1"/>
    <col min="10" max="10" width="17.28515625" bestFit="1" customWidth="1"/>
    <col min="11" max="11" width="12.140625" bestFit="1" customWidth="1"/>
    <col min="12" max="12" width="28.28515625" bestFit="1" customWidth="1"/>
    <col min="13" max="13" width="13.140625" bestFit="1" customWidth="1"/>
    <col min="14" max="14" width="9.7109375" bestFit="1" customWidth="1"/>
    <col min="15" max="15" width="10.140625" bestFit="1" customWidth="1"/>
    <col min="16" max="16" width="13" bestFit="1" customWidth="1"/>
    <col min="17" max="17" width="14.7109375" bestFit="1" customWidth="1"/>
    <col min="18" max="19" width="16.7109375" bestFit="1" customWidth="1"/>
    <col min="20" max="20" width="22" bestFit="1" customWidth="1"/>
    <col min="21" max="21" width="22.28515625" bestFit="1" customWidth="1"/>
    <col min="22" max="22" width="22.42578125" bestFit="1" customWidth="1"/>
    <col min="23" max="23" width="18.28515625" bestFit="1" customWidth="1"/>
    <col min="24" max="24" width="33" bestFit="1" customWidth="1"/>
    <col min="25" max="25" width="33.28515625" bestFit="1" customWidth="1"/>
    <col min="26" max="26" width="22.42578125" bestFit="1" customWidth="1"/>
    <col min="27" max="27" width="18.28515625" bestFit="1" customWidth="1"/>
    <col min="28" max="28" width="33" bestFit="1" customWidth="1"/>
    <col min="29" max="29" width="33.28515625" bestFit="1" customWidth="1"/>
  </cols>
  <sheetData>
    <row r="1" spans="1:29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</row>
    <row r="2" spans="1:29" x14ac:dyDescent="0.25">
      <c r="A2"/>
      <c r="B2"/>
      <c r="C2"/>
      <c r="D2"/>
      <c r="E2"/>
      <c r="F2"/>
      <c r="G2"/>
      <c r="H2"/>
      <c r="I2"/>
      <c r="J2"/>
      <c r="K2"/>
      <c r="M2"/>
      <c r="N2"/>
      <c r="O2"/>
      <c r="R2"/>
      <c r="S2"/>
      <c r="T2"/>
      <c r="U2"/>
      <c r="V2"/>
      <c r="W2"/>
    </row>
    <row r="3" spans="1:29" x14ac:dyDescent="0.25">
      <c r="A3"/>
      <c r="B3"/>
      <c r="C3"/>
      <c r="D3"/>
      <c r="E3"/>
      <c r="F3"/>
      <c r="G3"/>
      <c r="H3"/>
      <c r="I3"/>
      <c r="J3"/>
      <c r="K3"/>
      <c r="M3"/>
      <c r="N3"/>
      <c r="O3"/>
      <c r="R3"/>
      <c r="S3"/>
      <c r="T3"/>
      <c r="U3"/>
      <c r="V3"/>
      <c r="W3"/>
    </row>
    <row r="4" spans="1:29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R4"/>
      <c r="S4"/>
      <c r="T4"/>
      <c r="U4"/>
      <c r="V4"/>
      <c r="W4"/>
      <c r="X4"/>
      <c r="Y4"/>
    </row>
    <row r="5" spans="1:29" x14ac:dyDescent="0.25">
      <c r="A5"/>
      <c r="B5"/>
      <c r="C5"/>
      <c r="D5"/>
      <c r="E5"/>
      <c r="F5"/>
      <c r="G5"/>
      <c r="H5"/>
      <c r="I5"/>
      <c r="J5"/>
      <c r="K5"/>
      <c r="M5"/>
      <c r="N5"/>
      <c r="O5"/>
      <c r="P5"/>
      <c r="Q5"/>
      <c r="R5"/>
      <c r="S5"/>
      <c r="T5"/>
      <c r="U5"/>
      <c r="V5"/>
      <c r="W5"/>
    </row>
    <row r="6" spans="1:29" x14ac:dyDescent="0.25">
      <c r="A6"/>
      <c r="B6"/>
      <c r="C6"/>
      <c r="D6"/>
      <c r="E6"/>
      <c r="F6"/>
      <c r="G6"/>
      <c r="H6"/>
      <c r="I6"/>
      <c r="J6"/>
      <c r="K6"/>
      <c r="M6"/>
      <c r="N6"/>
      <c r="O6"/>
      <c r="P6"/>
      <c r="Q6"/>
      <c r="R6"/>
      <c r="S6"/>
      <c r="T6"/>
      <c r="U6"/>
      <c r="V6"/>
      <c r="W6"/>
    </row>
    <row r="7" spans="1:29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</row>
    <row r="10" spans="1:29" x14ac:dyDescent="0.25"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</row>
    <row r="11" spans="1:29" x14ac:dyDescent="0.25">
      <c r="E11"/>
      <c r="F11"/>
      <c r="G11"/>
      <c r="H11"/>
      <c r="I11"/>
      <c r="J11"/>
      <c r="K11"/>
      <c r="L11"/>
      <c r="M11"/>
      <c r="N11"/>
      <c r="O11"/>
      <c r="Q11"/>
      <c r="R11"/>
      <c r="S11"/>
      <c r="T11"/>
      <c r="U11"/>
      <c r="V11"/>
      <c r="W11"/>
      <c r="X11"/>
      <c r="Y11"/>
      <c r="Z11"/>
      <c r="AA11"/>
      <c r="AB11"/>
      <c r="AC11"/>
    </row>
    <row r="12" spans="1:29" x14ac:dyDescent="0.25">
      <c r="E12"/>
      <c r="F12"/>
      <c r="G12"/>
      <c r="H12"/>
      <c r="I12"/>
      <c r="J12"/>
      <c r="K12"/>
      <c r="L12"/>
      <c r="M12"/>
      <c r="N12"/>
      <c r="O12"/>
      <c r="Q12"/>
      <c r="R12"/>
      <c r="S12"/>
      <c r="T12"/>
      <c r="U12"/>
      <c r="V12"/>
      <c r="W12"/>
      <c r="X12"/>
      <c r="Y12"/>
      <c r="Z12"/>
      <c r="AA12"/>
      <c r="AB12"/>
      <c r="AC12"/>
    </row>
    <row r="13" spans="1:29" x14ac:dyDescent="0.25">
      <c r="E13"/>
      <c r="F13"/>
      <c r="G13"/>
      <c r="H13"/>
      <c r="I13"/>
      <c r="J13"/>
      <c r="K13"/>
      <c r="L13"/>
      <c r="M13"/>
      <c r="N13"/>
      <c r="O13"/>
      <c r="Q13"/>
      <c r="R13"/>
      <c r="S13"/>
      <c r="T13"/>
      <c r="U13"/>
      <c r="V13"/>
      <c r="W13"/>
      <c r="X13"/>
      <c r="Y13"/>
      <c r="Z13"/>
      <c r="AA13"/>
      <c r="AB13"/>
      <c r="AC13"/>
    </row>
    <row r="14" spans="1:29" x14ac:dyDescent="0.25">
      <c r="E14"/>
      <c r="F14"/>
      <c r="G14"/>
      <c r="H14"/>
      <c r="I14"/>
      <c r="J14"/>
      <c r="K14"/>
      <c r="L14"/>
      <c r="M14"/>
      <c r="N14"/>
      <c r="O14"/>
      <c r="Q14"/>
      <c r="R14"/>
      <c r="S14"/>
      <c r="T14"/>
      <c r="U14"/>
      <c r="V14"/>
      <c r="W14"/>
      <c r="X14"/>
      <c r="Y14"/>
      <c r="Z14"/>
      <c r="AA14"/>
      <c r="AB14"/>
      <c r="AC14"/>
    </row>
    <row r="15" spans="1:29" x14ac:dyDescent="0.25">
      <c r="E15"/>
      <c r="F15"/>
      <c r="G15"/>
      <c r="H15"/>
      <c r="I15"/>
      <c r="J15"/>
      <c r="K15"/>
      <c r="L15"/>
      <c r="M15"/>
      <c r="N15"/>
      <c r="O15"/>
      <c r="Q15"/>
      <c r="R15"/>
      <c r="S15"/>
      <c r="T15"/>
      <c r="U15"/>
      <c r="V15"/>
      <c r="W15"/>
      <c r="X15"/>
      <c r="Y15"/>
      <c r="Z15"/>
      <c r="AA15"/>
      <c r="AB15"/>
      <c r="AC15"/>
    </row>
    <row r="16" spans="1:29" x14ac:dyDescent="0.25">
      <c r="E16"/>
      <c r="F16"/>
      <c r="G16"/>
      <c r="H16"/>
      <c r="I16"/>
      <c r="J16"/>
      <c r="K16"/>
      <c r="L16"/>
      <c r="M16"/>
      <c r="N16"/>
      <c r="O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8" spans="5:29" x14ac:dyDescent="0.25"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5:29" x14ac:dyDescent="0.25">
      <c r="E19"/>
      <c r="F19"/>
      <c r="G19"/>
      <c r="H19"/>
      <c r="I19"/>
      <c r="J19"/>
      <c r="K19"/>
      <c r="L19"/>
      <c r="M19"/>
      <c r="N19"/>
      <c r="O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5:29" x14ac:dyDescent="0.25">
      <c r="E20"/>
      <c r="F20"/>
      <c r="G20"/>
      <c r="H20"/>
      <c r="I20"/>
      <c r="J20"/>
      <c r="K20"/>
      <c r="L20"/>
      <c r="M20"/>
      <c r="N20"/>
      <c r="O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5:29" x14ac:dyDescent="0.25">
      <c r="E21"/>
      <c r="F21"/>
      <c r="G21"/>
      <c r="H21"/>
      <c r="I21"/>
      <c r="J21"/>
      <c r="K21"/>
      <c r="L21"/>
      <c r="M21"/>
      <c r="N21"/>
      <c r="O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5:29" x14ac:dyDescent="0.25">
      <c r="E22"/>
      <c r="F22"/>
      <c r="G22"/>
      <c r="H22"/>
      <c r="I22"/>
      <c r="J22"/>
      <c r="K22"/>
      <c r="L22"/>
      <c r="M22"/>
      <c r="N22"/>
      <c r="O22"/>
      <c r="Q22"/>
      <c r="T22"/>
      <c r="U22"/>
      <c r="V22"/>
      <c r="W22"/>
      <c r="X22"/>
      <c r="Y22"/>
      <c r="Z22"/>
      <c r="AA22"/>
      <c r="AB22"/>
      <c r="AC22"/>
    </row>
    <row r="23" spans="5:29" x14ac:dyDescent="0.25">
      <c r="E23"/>
      <c r="F23"/>
      <c r="G23"/>
      <c r="H23"/>
      <c r="I23"/>
      <c r="J23"/>
      <c r="K23"/>
      <c r="L23"/>
      <c r="M23"/>
      <c r="N23"/>
      <c r="O23"/>
      <c r="Q23"/>
      <c r="T23"/>
      <c r="U23"/>
      <c r="V23"/>
      <c r="W23"/>
      <c r="X23"/>
      <c r="Y23"/>
      <c r="Z23"/>
      <c r="AA23"/>
      <c r="AB23"/>
      <c r="AC23"/>
    </row>
    <row r="24" spans="5:29" x14ac:dyDescent="0.25">
      <c r="E24"/>
      <c r="F24"/>
      <c r="G24"/>
      <c r="H24"/>
      <c r="I24"/>
      <c r="J24"/>
      <c r="K24"/>
      <c r="L24"/>
      <c r="M24"/>
      <c r="N24"/>
      <c r="O24"/>
      <c r="Q24"/>
      <c r="T24"/>
      <c r="U24"/>
      <c r="V24"/>
      <c r="W24"/>
      <c r="X24"/>
      <c r="Y24"/>
      <c r="Z24"/>
      <c r="AA24"/>
      <c r="AB24"/>
      <c r="AC24"/>
    </row>
    <row r="27" spans="5:29" x14ac:dyDescent="0.25"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5:29" x14ac:dyDescent="0.25">
      <c r="E28"/>
      <c r="F28"/>
      <c r="G28"/>
      <c r="H28"/>
      <c r="I28"/>
      <c r="J28"/>
      <c r="K28"/>
      <c r="L28"/>
      <c r="M28"/>
      <c r="N28"/>
      <c r="O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5:29" x14ac:dyDescent="0.25">
      <c r="E29"/>
      <c r="F29"/>
      <c r="G29"/>
      <c r="H29"/>
      <c r="I29"/>
      <c r="J29"/>
      <c r="K29"/>
      <c r="L29"/>
      <c r="M29"/>
      <c r="N29"/>
      <c r="O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5:29" x14ac:dyDescent="0.25">
      <c r="E30"/>
      <c r="F30"/>
      <c r="G30"/>
      <c r="H30"/>
      <c r="I30"/>
      <c r="J30"/>
      <c r="K30"/>
      <c r="L30"/>
      <c r="M30"/>
      <c r="N30"/>
      <c r="O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5:29" x14ac:dyDescent="0.25">
      <c r="E31"/>
      <c r="F31"/>
      <c r="G31"/>
      <c r="H31"/>
      <c r="I31"/>
      <c r="J31"/>
      <c r="K31"/>
      <c r="L31"/>
      <c r="M31"/>
      <c r="N31"/>
      <c r="O31"/>
      <c r="Q31"/>
      <c r="T31"/>
      <c r="U31"/>
      <c r="V31"/>
      <c r="W31"/>
      <c r="X31"/>
      <c r="Y31"/>
      <c r="Z31"/>
      <c r="AA31"/>
      <c r="AB31"/>
      <c r="AC31"/>
    </row>
    <row r="32" spans="5:29" x14ac:dyDescent="0.25">
      <c r="E32"/>
      <c r="F32"/>
      <c r="G32"/>
      <c r="H32"/>
      <c r="I32"/>
      <c r="J32"/>
      <c r="K32"/>
      <c r="L32"/>
      <c r="M32"/>
      <c r="N32"/>
      <c r="O32"/>
      <c r="Q32"/>
      <c r="T32"/>
      <c r="U32"/>
      <c r="V32"/>
      <c r="W32"/>
      <c r="X32"/>
      <c r="Y32"/>
      <c r="Z32"/>
      <c r="AA32"/>
      <c r="AB32"/>
      <c r="AC32"/>
    </row>
    <row r="33" spans="5:29" x14ac:dyDescent="0.25">
      <c r="E33"/>
      <c r="F33"/>
      <c r="G33"/>
      <c r="H33"/>
      <c r="I33"/>
      <c r="J33"/>
      <c r="K33"/>
      <c r="L33"/>
      <c r="M33"/>
      <c r="N33"/>
      <c r="O33"/>
      <c r="Q33"/>
      <c r="T33"/>
      <c r="U33"/>
      <c r="V33"/>
      <c r="W33"/>
      <c r="X33"/>
      <c r="Y33"/>
      <c r="Z33"/>
      <c r="AA33"/>
      <c r="AB33"/>
      <c r="AC33"/>
    </row>
    <row r="36" spans="5:29" x14ac:dyDescent="0.25"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5:29" x14ac:dyDescent="0.25">
      <c r="E37"/>
      <c r="F37"/>
      <c r="G37"/>
      <c r="H37"/>
      <c r="I37"/>
      <c r="J37"/>
      <c r="K37"/>
      <c r="L37"/>
      <c r="M37"/>
      <c r="N37"/>
      <c r="O37"/>
      <c r="Q37"/>
      <c r="R37"/>
      <c r="T37"/>
      <c r="U37"/>
      <c r="V37"/>
      <c r="W37"/>
      <c r="X37"/>
      <c r="Y37"/>
      <c r="Z37"/>
      <c r="AA37"/>
      <c r="AB37"/>
      <c r="AC37"/>
    </row>
    <row r="38" spans="5:29" x14ac:dyDescent="0.25">
      <c r="E38"/>
      <c r="F38"/>
      <c r="G38"/>
      <c r="H38"/>
      <c r="I38"/>
      <c r="J38"/>
      <c r="K38"/>
      <c r="L38"/>
      <c r="M38"/>
      <c r="N38"/>
      <c r="O38"/>
      <c r="Q38"/>
      <c r="R38"/>
      <c r="T38"/>
      <c r="U38"/>
      <c r="V38"/>
      <c r="W38"/>
      <c r="X38"/>
      <c r="Y38"/>
      <c r="Z38"/>
      <c r="AA38"/>
      <c r="AB38"/>
      <c r="AC38"/>
    </row>
    <row r="39" spans="5:29" x14ac:dyDescent="0.25">
      <c r="E39"/>
      <c r="F39"/>
      <c r="G39"/>
      <c r="H39"/>
      <c r="I39"/>
      <c r="J39"/>
      <c r="K39"/>
      <c r="L39"/>
      <c r="M39"/>
      <c r="N39"/>
      <c r="O39"/>
      <c r="Q39"/>
      <c r="R39"/>
      <c r="T39"/>
      <c r="U39"/>
      <c r="V39"/>
      <c r="W39"/>
      <c r="X39"/>
      <c r="Y39"/>
      <c r="Z39"/>
      <c r="AA39"/>
      <c r="AB39"/>
      <c r="AC39"/>
    </row>
    <row r="40" spans="5:29" x14ac:dyDescent="0.25">
      <c r="E40"/>
      <c r="F40"/>
      <c r="G40"/>
      <c r="H40"/>
      <c r="I40"/>
      <c r="J40"/>
      <c r="K40"/>
      <c r="L40"/>
      <c r="M40"/>
      <c r="N40"/>
      <c r="O40"/>
      <c r="Q40"/>
      <c r="T40"/>
      <c r="U40"/>
      <c r="V40"/>
      <c r="W40"/>
      <c r="X40"/>
      <c r="Y40"/>
      <c r="Z40"/>
      <c r="AA40"/>
      <c r="AB40"/>
      <c r="AC40"/>
    </row>
    <row r="41" spans="5:29" x14ac:dyDescent="0.25">
      <c r="E41"/>
      <c r="F41"/>
      <c r="G41"/>
      <c r="H41"/>
      <c r="I41"/>
      <c r="J41"/>
      <c r="K41"/>
      <c r="L41"/>
      <c r="M41"/>
      <c r="N41"/>
      <c r="O41"/>
      <c r="Q41"/>
      <c r="T41"/>
      <c r="U41"/>
      <c r="V41"/>
      <c r="W41"/>
      <c r="X41"/>
      <c r="Y41"/>
      <c r="Z41"/>
      <c r="AA41"/>
      <c r="AB41"/>
      <c r="AC41"/>
    </row>
    <row r="42" spans="5:29" x14ac:dyDescent="0.25">
      <c r="E42"/>
      <c r="F42"/>
      <c r="G42"/>
      <c r="H42"/>
      <c r="I42"/>
      <c r="J42"/>
      <c r="K42"/>
      <c r="L42"/>
      <c r="M42"/>
      <c r="N42"/>
      <c r="O42"/>
      <c r="Q42"/>
      <c r="T42"/>
      <c r="U42"/>
      <c r="V42"/>
      <c r="W42"/>
      <c r="X42"/>
      <c r="Y42"/>
      <c r="Z42"/>
      <c r="AA42"/>
      <c r="AB42"/>
      <c r="AC42"/>
    </row>
    <row r="45" spans="5:29" x14ac:dyDescent="0.25"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5:29" x14ac:dyDescent="0.25">
      <c r="E46"/>
      <c r="F46"/>
      <c r="G46"/>
      <c r="H46"/>
      <c r="I46"/>
      <c r="J46"/>
      <c r="K46"/>
      <c r="L46"/>
      <c r="M46"/>
      <c r="N46"/>
      <c r="O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5:29" x14ac:dyDescent="0.25">
      <c r="E47"/>
      <c r="F47"/>
      <c r="G47"/>
      <c r="H47"/>
      <c r="I47"/>
      <c r="J47"/>
      <c r="K47"/>
      <c r="L47"/>
      <c r="M47"/>
      <c r="N47"/>
      <c r="O47"/>
      <c r="Q47"/>
      <c r="R47"/>
      <c r="T47"/>
      <c r="U47"/>
      <c r="V47"/>
      <c r="W47"/>
      <c r="X47"/>
      <c r="Y47"/>
      <c r="Z47"/>
      <c r="AA47"/>
      <c r="AB47"/>
      <c r="AC47"/>
    </row>
    <row r="48" spans="5:29" x14ac:dyDescent="0.25">
      <c r="E48"/>
      <c r="F48"/>
      <c r="G48"/>
      <c r="H48"/>
      <c r="I48"/>
      <c r="J48"/>
      <c r="K48"/>
      <c r="L48"/>
      <c r="M48"/>
      <c r="N48"/>
      <c r="O48"/>
      <c r="Q48"/>
      <c r="R48"/>
      <c r="T48"/>
      <c r="U48"/>
      <c r="V48"/>
      <c r="W48"/>
      <c r="X48"/>
      <c r="Y48"/>
      <c r="Z48"/>
      <c r="AA48"/>
      <c r="AB48"/>
      <c r="AC48"/>
    </row>
    <row r="49" spans="5:29" x14ac:dyDescent="0.25">
      <c r="E49"/>
      <c r="F49"/>
      <c r="G49"/>
      <c r="H49"/>
      <c r="I49"/>
      <c r="J49"/>
      <c r="K49"/>
      <c r="L49"/>
      <c r="M49"/>
      <c r="N49"/>
      <c r="O49"/>
      <c r="Q49"/>
      <c r="T49"/>
      <c r="U49"/>
      <c r="V49"/>
      <c r="W49"/>
      <c r="X49"/>
      <c r="Y49"/>
      <c r="Z49"/>
      <c r="AA49"/>
      <c r="AB49"/>
      <c r="AC49"/>
    </row>
    <row r="50" spans="5:29" x14ac:dyDescent="0.25">
      <c r="E50"/>
      <c r="F50"/>
      <c r="G50"/>
      <c r="H50"/>
      <c r="I50"/>
      <c r="J50"/>
      <c r="K50"/>
      <c r="L50"/>
      <c r="M50"/>
      <c r="N50"/>
      <c r="O50"/>
      <c r="Q50"/>
      <c r="T50"/>
      <c r="U50"/>
      <c r="V50"/>
      <c r="W50"/>
      <c r="X50"/>
      <c r="Y50"/>
      <c r="Z50"/>
      <c r="AA50"/>
      <c r="AB50"/>
      <c r="AC50"/>
    </row>
    <row r="51" spans="5:29" x14ac:dyDescent="0.25">
      <c r="E51"/>
      <c r="F51"/>
      <c r="G51"/>
      <c r="H51"/>
      <c r="I51"/>
      <c r="J51"/>
      <c r="K51"/>
      <c r="L51"/>
      <c r="M51"/>
      <c r="N51"/>
      <c r="O51"/>
      <c r="Q51"/>
      <c r="T51"/>
      <c r="U51"/>
      <c r="V51"/>
      <c r="W51"/>
      <c r="X51"/>
      <c r="Y51"/>
      <c r="Z51"/>
      <c r="AA51"/>
      <c r="AB51"/>
      <c r="AC51"/>
    </row>
    <row r="54" spans="5:29" x14ac:dyDescent="0.25"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5:29" x14ac:dyDescent="0.25">
      <c r="E55"/>
      <c r="F55"/>
      <c r="G55"/>
      <c r="H55"/>
      <c r="I55"/>
      <c r="J55"/>
      <c r="K55"/>
      <c r="L55"/>
      <c r="M55"/>
      <c r="N55"/>
      <c r="O55"/>
      <c r="Q55"/>
      <c r="R55"/>
      <c r="T55"/>
      <c r="U55"/>
      <c r="V55"/>
      <c r="W55"/>
      <c r="X55"/>
      <c r="Y55"/>
      <c r="Z55"/>
      <c r="AA55"/>
      <c r="AB55"/>
      <c r="AC55"/>
    </row>
    <row r="56" spans="5:29" x14ac:dyDescent="0.25">
      <c r="E56"/>
      <c r="F56"/>
      <c r="G56"/>
      <c r="H56"/>
      <c r="I56"/>
      <c r="J56"/>
      <c r="K56"/>
      <c r="L56"/>
      <c r="M56"/>
      <c r="N56"/>
      <c r="O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5:29" x14ac:dyDescent="0.25">
      <c r="E57"/>
      <c r="F57"/>
      <c r="G57"/>
      <c r="H57"/>
      <c r="I57"/>
      <c r="J57"/>
      <c r="K57"/>
      <c r="L57"/>
      <c r="M57"/>
      <c r="N57"/>
      <c r="O57"/>
      <c r="Q57"/>
      <c r="R57"/>
      <c r="T57"/>
      <c r="U57"/>
      <c r="V57"/>
      <c r="W57"/>
      <c r="X57"/>
      <c r="Y57"/>
      <c r="Z57"/>
      <c r="AA57"/>
      <c r="AB57"/>
      <c r="AC57"/>
    </row>
    <row r="58" spans="5:29" x14ac:dyDescent="0.25">
      <c r="E58"/>
      <c r="F58"/>
      <c r="G58"/>
      <c r="H58"/>
      <c r="I58"/>
      <c r="J58"/>
      <c r="K58"/>
      <c r="L58"/>
      <c r="M58"/>
      <c r="N58"/>
      <c r="O58"/>
      <c r="Q58"/>
      <c r="T58"/>
      <c r="U58"/>
      <c r="V58"/>
      <c r="W58"/>
      <c r="X58"/>
      <c r="Y58"/>
      <c r="Z58"/>
      <c r="AA58"/>
      <c r="AB58"/>
      <c r="AC58"/>
    </row>
    <row r="59" spans="5:29" x14ac:dyDescent="0.25">
      <c r="E59"/>
      <c r="F59"/>
      <c r="G59"/>
      <c r="H59"/>
      <c r="I59"/>
      <c r="J59"/>
      <c r="K59"/>
      <c r="L59"/>
      <c r="M59"/>
      <c r="N59"/>
      <c r="O59"/>
      <c r="Q59"/>
      <c r="T59"/>
      <c r="U59"/>
      <c r="V59"/>
      <c r="W59"/>
      <c r="X59"/>
      <c r="Y59"/>
      <c r="Z59"/>
      <c r="AA59"/>
      <c r="AB59"/>
      <c r="AC59"/>
    </row>
    <row r="60" spans="5:29" x14ac:dyDescent="0.25">
      <c r="E60"/>
      <c r="F60"/>
      <c r="G60"/>
      <c r="H60"/>
      <c r="I60"/>
      <c r="J60"/>
      <c r="K60"/>
      <c r="L60"/>
      <c r="M60"/>
      <c r="N60"/>
      <c r="O60"/>
      <c r="Q60"/>
      <c r="T60"/>
      <c r="U60"/>
      <c r="V60"/>
      <c r="W60"/>
      <c r="X60"/>
      <c r="Y60"/>
      <c r="Z60"/>
      <c r="AA60"/>
      <c r="AB60"/>
      <c r="AC60"/>
    </row>
    <row r="63" spans="5:29" x14ac:dyDescent="0.25"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5:29" x14ac:dyDescent="0.25">
      <c r="E64"/>
      <c r="F64"/>
      <c r="G64"/>
      <c r="H64"/>
      <c r="I64"/>
      <c r="J64"/>
      <c r="K64"/>
      <c r="L64"/>
      <c r="M64"/>
      <c r="N64"/>
      <c r="O64"/>
      <c r="Q64"/>
      <c r="R64"/>
      <c r="T64"/>
      <c r="U64"/>
      <c r="V64"/>
      <c r="W64"/>
      <c r="X64"/>
      <c r="Y64"/>
      <c r="Z64"/>
      <c r="AA64"/>
      <c r="AB64"/>
      <c r="AC64"/>
    </row>
    <row r="65" spans="5:29" x14ac:dyDescent="0.25">
      <c r="E65"/>
      <c r="F65"/>
      <c r="G65"/>
      <c r="H65"/>
      <c r="I65"/>
      <c r="J65"/>
      <c r="K65"/>
      <c r="L65"/>
      <c r="M65"/>
      <c r="N65"/>
      <c r="O65"/>
      <c r="Q65"/>
      <c r="R65"/>
      <c r="T65"/>
      <c r="U65"/>
      <c r="V65"/>
      <c r="W65"/>
      <c r="X65"/>
      <c r="Y65"/>
      <c r="Z65"/>
      <c r="AA65"/>
      <c r="AB65"/>
      <c r="AC65"/>
    </row>
    <row r="66" spans="5:29" x14ac:dyDescent="0.25">
      <c r="E66"/>
      <c r="F66"/>
      <c r="G66"/>
      <c r="H66"/>
      <c r="I66"/>
      <c r="J66"/>
      <c r="K66"/>
      <c r="L66"/>
      <c r="M66"/>
      <c r="N66"/>
      <c r="O66"/>
      <c r="Q66"/>
      <c r="R66"/>
      <c r="T66"/>
      <c r="U66"/>
      <c r="V66"/>
      <c r="W66"/>
      <c r="X66"/>
      <c r="Y66"/>
      <c r="Z66"/>
      <c r="AA66"/>
      <c r="AB66"/>
      <c r="AC66"/>
    </row>
    <row r="67" spans="5:29" x14ac:dyDescent="0.25">
      <c r="E67"/>
      <c r="F67"/>
      <c r="G67"/>
      <c r="H67"/>
      <c r="I67"/>
      <c r="J67"/>
      <c r="K67"/>
      <c r="L67"/>
      <c r="M67"/>
      <c r="N67"/>
      <c r="O67"/>
      <c r="Q67"/>
      <c r="T67"/>
      <c r="U67"/>
      <c r="V67"/>
      <c r="W67"/>
      <c r="X67"/>
      <c r="Y67"/>
      <c r="Z67"/>
      <c r="AA67"/>
      <c r="AB67"/>
      <c r="AC67"/>
    </row>
    <row r="68" spans="5:29" x14ac:dyDescent="0.25">
      <c r="E68"/>
      <c r="F68"/>
      <c r="G68"/>
      <c r="H68"/>
      <c r="I68"/>
      <c r="J68"/>
      <c r="K68"/>
      <c r="L68"/>
      <c r="M68"/>
      <c r="N68"/>
      <c r="O68"/>
      <c r="Q68"/>
      <c r="T68"/>
      <c r="U68"/>
      <c r="V68"/>
      <c r="W68"/>
      <c r="X68"/>
      <c r="Y68"/>
      <c r="Z68"/>
      <c r="AA68"/>
      <c r="AB68"/>
      <c r="AC68"/>
    </row>
    <row r="69" spans="5:29" x14ac:dyDescent="0.25">
      <c r="E69"/>
      <c r="F69"/>
      <c r="G69"/>
      <c r="H69"/>
      <c r="I69"/>
      <c r="J69"/>
      <c r="K69"/>
      <c r="L69"/>
      <c r="M69"/>
      <c r="N69"/>
      <c r="O69"/>
      <c r="Q69"/>
      <c r="T69"/>
      <c r="U69"/>
      <c r="V69"/>
      <c r="W69"/>
      <c r="X69"/>
      <c r="Y69"/>
      <c r="Z69"/>
      <c r="AA69"/>
      <c r="AB69"/>
      <c r="AC69"/>
    </row>
    <row r="72" spans="5:29" x14ac:dyDescent="0.25"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5:29" x14ac:dyDescent="0.25">
      <c r="E73"/>
      <c r="F73"/>
      <c r="G73"/>
      <c r="H73"/>
      <c r="I73"/>
      <c r="J73"/>
      <c r="K73"/>
      <c r="L73"/>
      <c r="M73"/>
      <c r="N73"/>
      <c r="O73"/>
      <c r="Q73"/>
      <c r="R73"/>
      <c r="T73"/>
      <c r="U73"/>
      <c r="V73"/>
      <c r="W73"/>
      <c r="X73"/>
      <c r="Y73"/>
      <c r="Z73"/>
      <c r="AA73"/>
      <c r="AB73"/>
      <c r="AC73"/>
    </row>
    <row r="74" spans="5:29" x14ac:dyDescent="0.25">
      <c r="E74"/>
      <c r="F74"/>
      <c r="G74"/>
      <c r="H74"/>
      <c r="I74"/>
      <c r="J74"/>
      <c r="K74"/>
      <c r="L74"/>
      <c r="M74"/>
      <c r="N74"/>
      <c r="O74"/>
      <c r="Q74"/>
      <c r="T74"/>
      <c r="U74"/>
      <c r="V74"/>
      <c r="W74"/>
      <c r="X74"/>
      <c r="Y74"/>
      <c r="Z74"/>
      <c r="AA74"/>
      <c r="AB74"/>
      <c r="AC74"/>
    </row>
    <row r="75" spans="5:29" x14ac:dyDescent="0.25">
      <c r="E75"/>
      <c r="F75"/>
      <c r="G75"/>
      <c r="H75"/>
      <c r="I75"/>
      <c r="J75"/>
      <c r="K75"/>
      <c r="L75"/>
      <c r="M75"/>
      <c r="N75"/>
      <c r="O75"/>
      <c r="Q75"/>
      <c r="T75"/>
      <c r="U75"/>
      <c r="V75"/>
      <c r="W75"/>
      <c r="X75"/>
      <c r="Y75"/>
      <c r="Z75"/>
      <c r="AA75"/>
      <c r="AB75"/>
      <c r="AC75"/>
    </row>
    <row r="78" spans="5:29" x14ac:dyDescent="0.25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5:29" x14ac:dyDescent="0.25">
      <c r="E79"/>
      <c r="F79"/>
      <c r="G79"/>
      <c r="H79"/>
      <c r="I79"/>
      <c r="J79"/>
      <c r="K79"/>
      <c r="L79"/>
      <c r="M79"/>
      <c r="N79"/>
      <c r="O79"/>
      <c r="Q79"/>
      <c r="T79"/>
      <c r="U79"/>
      <c r="V79"/>
      <c r="W79"/>
      <c r="X79"/>
      <c r="Y79"/>
      <c r="Z79"/>
      <c r="AA79"/>
      <c r="AB79"/>
      <c r="AC79"/>
    </row>
    <row r="80" spans="5:29" x14ac:dyDescent="0.25">
      <c r="E80"/>
      <c r="F80"/>
      <c r="G80"/>
      <c r="H80"/>
      <c r="I80"/>
      <c r="J80"/>
      <c r="K80"/>
      <c r="L80"/>
      <c r="M80"/>
      <c r="N80"/>
      <c r="O80"/>
      <c r="Q80"/>
      <c r="T80"/>
      <c r="U80"/>
      <c r="V80"/>
      <c r="W80"/>
      <c r="X80"/>
      <c r="Y80"/>
      <c r="Z80"/>
      <c r="AA80"/>
      <c r="AB80"/>
      <c r="AC80"/>
    </row>
    <row r="83" spans="5:29" x14ac:dyDescent="0.25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5:29" x14ac:dyDescent="0.25">
      <c r="E84"/>
      <c r="F84"/>
      <c r="G84"/>
      <c r="H84"/>
      <c r="I84"/>
      <c r="J84"/>
      <c r="K84"/>
      <c r="L84"/>
      <c r="M84"/>
      <c r="N84"/>
      <c r="O84"/>
      <c r="Q84"/>
      <c r="R84"/>
      <c r="T84"/>
      <c r="U84"/>
      <c r="V84"/>
      <c r="W84"/>
      <c r="X84"/>
      <c r="Y84"/>
      <c r="Z84"/>
      <c r="AA84"/>
      <c r="AB84"/>
      <c r="AC84"/>
    </row>
    <row r="85" spans="5:29" x14ac:dyDescent="0.25">
      <c r="E85"/>
      <c r="F85"/>
      <c r="G85"/>
      <c r="H85"/>
      <c r="I85"/>
      <c r="J85"/>
      <c r="K85"/>
      <c r="L85"/>
      <c r="M85"/>
      <c r="N85"/>
      <c r="O85"/>
      <c r="Q85"/>
      <c r="R85"/>
      <c r="T85"/>
      <c r="U85"/>
      <c r="V85"/>
      <c r="W85"/>
      <c r="X85"/>
      <c r="Y85"/>
      <c r="Z85"/>
      <c r="AA85"/>
      <c r="AB85"/>
      <c r="AC85"/>
    </row>
    <row r="86" spans="5:29" x14ac:dyDescent="0.25">
      <c r="E86"/>
      <c r="F86"/>
      <c r="G86"/>
      <c r="H86"/>
      <c r="I86"/>
      <c r="J86"/>
      <c r="K86"/>
      <c r="L86"/>
      <c r="M86"/>
      <c r="N86"/>
      <c r="O86"/>
      <c r="Q86"/>
      <c r="T86"/>
      <c r="U86"/>
      <c r="V86"/>
      <c r="W86"/>
      <c r="X86"/>
      <c r="Y86"/>
      <c r="Z86"/>
      <c r="AA86"/>
      <c r="AB86"/>
      <c r="AC86"/>
    </row>
    <row r="87" spans="5:29" x14ac:dyDescent="0.25">
      <c r="E87"/>
      <c r="F87"/>
      <c r="G87"/>
      <c r="H87"/>
      <c r="I87"/>
      <c r="J87"/>
      <c r="K87"/>
      <c r="L87"/>
      <c r="M87"/>
      <c r="N87"/>
      <c r="O87"/>
      <c r="Q87"/>
      <c r="T87"/>
      <c r="U87"/>
      <c r="V87"/>
      <c r="W87"/>
      <c r="X87"/>
      <c r="Y87"/>
      <c r="Z87"/>
      <c r="AA87"/>
      <c r="AB87"/>
      <c r="AC87"/>
    </row>
    <row r="88" spans="5:29" x14ac:dyDescent="0.25">
      <c r="E88"/>
      <c r="F88"/>
      <c r="G88"/>
      <c r="H88"/>
      <c r="I88"/>
      <c r="J88"/>
      <c r="K88"/>
      <c r="L88"/>
      <c r="M88"/>
      <c r="N88"/>
      <c r="O88"/>
      <c r="Q88"/>
      <c r="T88"/>
      <c r="U88"/>
      <c r="V88"/>
      <c r="W88"/>
      <c r="X88"/>
      <c r="Y88"/>
      <c r="Z88"/>
      <c r="AA88"/>
      <c r="AB88"/>
      <c r="AC88"/>
    </row>
    <row r="89" spans="5:29" x14ac:dyDescent="0.25">
      <c r="E89"/>
      <c r="F89"/>
      <c r="G89"/>
      <c r="H89"/>
      <c r="I89"/>
      <c r="J89"/>
      <c r="K89"/>
      <c r="L89"/>
      <c r="M89"/>
      <c r="N89"/>
      <c r="O89"/>
      <c r="Q89"/>
      <c r="T89"/>
      <c r="U89"/>
      <c r="V89"/>
      <c r="W89"/>
      <c r="X89"/>
      <c r="Y89"/>
      <c r="Z89"/>
      <c r="AA89"/>
      <c r="AB89"/>
      <c r="AC89"/>
    </row>
    <row r="92" spans="5:29" x14ac:dyDescent="0.25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5:29" x14ac:dyDescent="0.25">
      <c r="E93"/>
      <c r="F93"/>
      <c r="G93"/>
      <c r="H93"/>
      <c r="I93"/>
      <c r="J93"/>
      <c r="K93"/>
      <c r="L93"/>
      <c r="M93"/>
      <c r="N93"/>
      <c r="O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5:29" x14ac:dyDescent="0.25">
      <c r="E94"/>
      <c r="F94"/>
      <c r="G94"/>
      <c r="H94"/>
      <c r="I94"/>
      <c r="J94"/>
      <c r="K94"/>
      <c r="L94"/>
      <c r="M94"/>
      <c r="N94"/>
      <c r="O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5:29" x14ac:dyDescent="0.25">
      <c r="E95"/>
      <c r="F95"/>
      <c r="G95"/>
      <c r="H95"/>
      <c r="I95"/>
      <c r="J95"/>
      <c r="K95"/>
      <c r="L95"/>
      <c r="M95"/>
      <c r="N95"/>
      <c r="O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5:29" x14ac:dyDescent="0.25">
      <c r="E96"/>
      <c r="F96"/>
      <c r="G96"/>
      <c r="H96"/>
      <c r="I96"/>
      <c r="J96"/>
      <c r="K96"/>
      <c r="L96"/>
      <c r="M96"/>
      <c r="N96"/>
      <c r="O96"/>
      <c r="Q96"/>
      <c r="T96"/>
      <c r="U96"/>
      <c r="V96"/>
      <c r="W96"/>
      <c r="X96"/>
      <c r="Y96"/>
      <c r="Z96"/>
      <c r="AA96"/>
      <c r="AB96"/>
      <c r="AC96"/>
    </row>
    <row r="97" spans="5:29" x14ac:dyDescent="0.25">
      <c r="E97"/>
      <c r="F97"/>
      <c r="G97"/>
      <c r="H97"/>
      <c r="I97"/>
      <c r="J97"/>
      <c r="K97"/>
      <c r="L97"/>
      <c r="M97"/>
      <c r="N97"/>
      <c r="O97"/>
      <c r="Q97"/>
      <c r="T97"/>
      <c r="U97"/>
      <c r="V97"/>
      <c r="W97"/>
      <c r="X97"/>
      <c r="Y97"/>
      <c r="Z97"/>
      <c r="AA97"/>
      <c r="AB97"/>
      <c r="AC97"/>
    </row>
    <row r="98" spans="5:29" x14ac:dyDescent="0.25">
      <c r="E98"/>
      <c r="F98"/>
      <c r="G98"/>
      <c r="H98"/>
      <c r="I98"/>
      <c r="J98"/>
      <c r="K98"/>
      <c r="L98"/>
      <c r="M98"/>
      <c r="N98"/>
      <c r="O98"/>
      <c r="Q98"/>
      <c r="T98"/>
      <c r="U98"/>
      <c r="V98"/>
      <c r="W98"/>
      <c r="X98"/>
      <c r="Y98"/>
      <c r="Z98"/>
      <c r="AA98"/>
      <c r="AB98"/>
      <c r="AC98"/>
    </row>
    <row r="101" spans="5:29" x14ac:dyDescent="0.25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5:29" x14ac:dyDescent="0.25">
      <c r="E102"/>
      <c r="F102"/>
      <c r="G102"/>
      <c r="H102"/>
      <c r="I102"/>
      <c r="J102"/>
      <c r="K102"/>
      <c r="L102"/>
      <c r="M102"/>
      <c r="N102"/>
      <c r="O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5:29" x14ac:dyDescent="0.25">
      <c r="E103"/>
      <c r="F103"/>
      <c r="G103"/>
      <c r="H103"/>
      <c r="I103"/>
      <c r="J103"/>
      <c r="K103"/>
      <c r="L103"/>
      <c r="M103"/>
      <c r="N103"/>
      <c r="O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5:29" x14ac:dyDescent="0.25">
      <c r="E104"/>
      <c r="F104"/>
      <c r="G104"/>
      <c r="H104"/>
      <c r="I104"/>
      <c r="J104"/>
      <c r="K104"/>
      <c r="L104"/>
      <c r="M104"/>
      <c r="N104"/>
      <c r="O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5:29" x14ac:dyDescent="0.25">
      <c r="E105"/>
      <c r="F105"/>
      <c r="G105"/>
      <c r="H105"/>
      <c r="I105"/>
      <c r="J105"/>
      <c r="K105"/>
      <c r="L105"/>
      <c r="M105"/>
      <c r="N105"/>
      <c r="O105"/>
      <c r="Q105"/>
      <c r="T105"/>
      <c r="U105"/>
      <c r="V105"/>
      <c r="W105"/>
      <c r="X105"/>
      <c r="Y105"/>
      <c r="Z105"/>
      <c r="AA105"/>
      <c r="AB105"/>
      <c r="AC105"/>
    </row>
    <row r="106" spans="5:29" x14ac:dyDescent="0.25">
      <c r="E106"/>
      <c r="F106"/>
      <c r="G106"/>
      <c r="H106"/>
      <c r="I106"/>
      <c r="J106"/>
      <c r="K106"/>
      <c r="L106"/>
      <c r="M106"/>
      <c r="N106"/>
      <c r="O106"/>
      <c r="Q106"/>
      <c r="T106"/>
      <c r="U106"/>
      <c r="V106"/>
      <c r="W106"/>
      <c r="X106"/>
      <c r="Y106"/>
      <c r="Z106"/>
      <c r="AA106"/>
      <c r="AB106"/>
      <c r="AC106"/>
    </row>
    <row r="107" spans="5:29" x14ac:dyDescent="0.25">
      <c r="E107"/>
      <c r="F107"/>
      <c r="G107"/>
      <c r="H107"/>
      <c r="I107"/>
      <c r="J107"/>
      <c r="K107"/>
      <c r="L107"/>
      <c r="M107"/>
      <c r="N107"/>
      <c r="O107"/>
      <c r="Q107"/>
      <c r="T107"/>
      <c r="U107"/>
      <c r="V107"/>
      <c r="W107"/>
      <c r="X107"/>
      <c r="Y107"/>
      <c r="Z107"/>
      <c r="AA107"/>
      <c r="AB107"/>
      <c r="AC107"/>
    </row>
    <row r="110" spans="5:29" x14ac:dyDescent="0.25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5:29" x14ac:dyDescent="0.25">
      <c r="E111"/>
      <c r="F111"/>
      <c r="G111"/>
      <c r="H111"/>
      <c r="I111"/>
      <c r="J111"/>
      <c r="K111"/>
      <c r="L111"/>
      <c r="M111"/>
      <c r="N111"/>
      <c r="O111"/>
      <c r="Q111"/>
      <c r="T111"/>
      <c r="U111"/>
      <c r="V111"/>
      <c r="W111"/>
      <c r="X111"/>
      <c r="Y111"/>
      <c r="Z111"/>
      <c r="AA111"/>
      <c r="AB111"/>
      <c r="AC111"/>
    </row>
    <row r="112" spans="5:29" x14ac:dyDescent="0.25">
      <c r="E112"/>
      <c r="F112"/>
      <c r="G112"/>
      <c r="H112"/>
      <c r="I112"/>
      <c r="J112"/>
      <c r="K112"/>
      <c r="L112"/>
      <c r="M112"/>
      <c r="N112"/>
      <c r="O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5:29" x14ac:dyDescent="0.25">
      <c r="E113"/>
      <c r="F113"/>
      <c r="G113"/>
      <c r="H113"/>
      <c r="I113"/>
      <c r="J113"/>
      <c r="K113"/>
      <c r="L113"/>
      <c r="M113"/>
      <c r="N113"/>
      <c r="O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5:29" x14ac:dyDescent="0.25">
      <c r="E114"/>
      <c r="F114"/>
      <c r="G114"/>
      <c r="H114"/>
      <c r="I114"/>
      <c r="J114"/>
      <c r="K114"/>
      <c r="L114"/>
      <c r="M114"/>
      <c r="N114"/>
      <c r="O114"/>
      <c r="Q114"/>
      <c r="T114"/>
      <c r="U114"/>
      <c r="V114"/>
      <c r="W114"/>
      <c r="X114"/>
      <c r="Y114"/>
      <c r="Z114"/>
      <c r="AA114"/>
      <c r="AB114"/>
      <c r="AC114"/>
    </row>
    <row r="115" spans="5:29" x14ac:dyDescent="0.25">
      <c r="E115"/>
      <c r="F115"/>
      <c r="G115"/>
      <c r="H115"/>
      <c r="I115"/>
      <c r="J115"/>
      <c r="K115"/>
      <c r="L115"/>
      <c r="M115"/>
      <c r="N115"/>
      <c r="O115"/>
      <c r="Q115"/>
      <c r="T115"/>
      <c r="U115"/>
      <c r="V115"/>
      <c r="W115"/>
      <c r="X115"/>
      <c r="Y115"/>
      <c r="Z115"/>
      <c r="AA115"/>
      <c r="AB115"/>
      <c r="AC115"/>
    </row>
    <row r="116" spans="5:29" x14ac:dyDescent="0.25">
      <c r="E116"/>
      <c r="F116"/>
      <c r="G116"/>
      <c r="H116"/>
      <c r="I116"/>
      <c r="J116"/>
      <c r="K116"/>
      <c r="L116"/>
      <c r="M116"/>
      <c r="N116"/>
      <c r="O116"/>
      <c r="Q116"/>
      <c r="T116"/>
      <c r="U116"/>
      <c r="V116"/>
      <c r="W116"/>
      <c r="X116"/>
      <c r="Y116"/>
      <c r="Z116"/>
      <c r="AA116"/>
      <c r="AB116"/>
      <c r="AC116"/>
    </row>
    <row r="119" spans="5:29" x14ac:dyDescent="0.25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5:29" x14ac:dyDescent="0.25">
      <c r="E120"/>
      <c r="F120"/>
      <c r="G120"/>
      <c r="H120"/>
      <c r="I120"/>
      <c r="J120"/>
      <c r="K120"/>
      <c r="L120"/>
      <c r="M120"/>
      <c r="N120"/>
      <c r="O120"/>
      <c r="Q120"/>
      <c r="R120"/>
      <c r="T120"/>
      <c r="U120"/>
      <c r="V120"/>
      <c r="W120"/>
      <c r="X120"/>
      <c r="Y120"/>
      <c r="Z120"/>
      <c r="AA120"/>
      <c r="AB120"/>
      <c r="AC120"/>
    </row>
    <row r="121" spans="5:29" x14ac:dyDescent="0.25">
      <c r="E121"/>
      <c r="F121"/>
      <c r="G121"/>
      <c r="H121"/>
      <c r="I121"/>
      <c r="J121"/>
      <c r="K121"/>
      <c r="L121"/>
      <c r="M121"/>
      <c r="N121"/>
      <c r="O121"/>
      <c r="Q121"/>
      <c r="R121"/>
      <c r="T121"/>
      <c r="U121"/>
      <c r="V121"/>
      <c r="W121"/>
      <c r="X121"/>
      <c r="Y121"/>
      <c r="Z121"/>
      <c r="AA121"/>
      <c r="AB121"/>
      <c r="AC121"/>
    </row>
    <row r="122" spans="5:29" x14ac:dyDescent="0.25">
      <c r="E122"/>
      <c r="F122"/>
      <c r="G122"/>
      <c r="H122"/>
      <c r="I122"/>
      <c r="J122"/>
      <c r="K122"/>
      <c r="L122"/>
      <c r="M122"/>
      <c r="N122"/>
      <c r="O122"/>
      <c r="Q122"/>
      <c r="T122"/>
      <c r="U122"/>
      <c r="V122"/>
      <c r="W122"/>
      <c r="X122"/>
      <c r="Y122"/>
      <c r="Z122"/>
      <c r="AA122"/>
      <c r="AB122"/>
      <c r="AC122"/>
    </row>
    <row r="123" spans="5:29" x14ac:dyDescent="0.25">
      <c r="E123"/>
      <c r="F123"/>
      <c r="G123"/>
      <c r="H123"/>
      <c r="I123"/>
      <c r="J123"/>
      <c r="K123"/>
      <c r="L123"/>
      <c r="M123"/>
      <c r="N123"/>
      <c r="O123"/>
      <c r="Q123"/>
      <c r="T123"/>
      <c r="U123"/>
      <c r="V123"/>
      <c r="W123"/>
      <c r="X123"/>
      <c r="Y123"/>
      <c r="Z123"/>
      <c r="AA123"/>
      <c r="AB123"/>
      <c r="AC123"/>
    </row>
    <row r="124" spans="5:29" x14ac:dyDescent="0.25">
      <c r="E124"/>
      <c r="F124"/>
      <c r="G124"/>
      <c r="H124"/>
      <c r="I124"/>
      <c r="J124"/>
      <c r="K124"/>
      <c r="L124"/>
      <c r="M124"/>
      <c r="N124"/>
      <c r="O124"/>
      <c r="Q124"/>
      <c r="T124"/>
      <c r="U124"/>
      <c r="V124"/>
      <c r="W124"/>
      <c r="X124"/>
      <c r="Y124"/>
      <c r="Z124"/>
      <c r="AA124"/>
      <c r="AB124"/>
      <c r="AC124"/>
    </row>
  </sheetData>
  <dataConsolidate/>
  <dataValidations count="1">
    <dataValidation type="list" allowBlank="1" showInputMessage="1" showErrorMessage="1" sqref="K2:K7" xr:uid="{CB89D46B-B888-449C-A40E-2727BE5910F5}">
      <formula1>VelocityUnits</formula1>
    </dataValidation>
  </dataValidations>
  <pageMargins left="0.7" right="0.7" top="0.75" bottom="0.75" header="0.3" footer="0.3"/>
  <pageSetup orientation="portrait" horizontalDpi="360" verticalDpi="360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1AC1B-2852-464B-B3B5-3BD61EEBFB96}">
  <sheetPr codeName="shRiflescopeData"/>
  <dimension ref="A1:N4"/>
  <sheetViews>
    <sheetView workbookViewId="0">
      <selection activeCell="G2" sqref="G2"/>
    </sheetView>
  </sheetViews>
  <sheetFormatPr defaultRowHeight="15" x14ac:dyDescent="0.25"/>
  <cols>
    <col min="1" max="1" width="26.28515625" bestFit="1" customWidth="1"/>
    <col min="2" max="2" width="15.42578125" bestFit="1" customWidth="1"/>
    <col min="3" max="3" width="21" bestFit="1" customWidth="1"/>
    <col min="4" max="4" width="21.7109375" bestFit="1" customWidth="1"/>
    <col min="5" max="5" width="31" bestFit="1" customWidth="1"/>
    <col min="6" max="6" width="20.5703125" bestFit="1" customWidth="1"/>
    <col min="7" max="7" width="14.85546875" bestFit="1" customWidth="1"/>
    <col min="8" max="8" width="33.42578125" bestFit="1" customWidth="1"/>
    <col min="9" max="9" width="20.5703125" bestFit="1" customWidth="1"/>
    <col min="10" max="10" width="20.42578125" bestFit="1" customWidth="1"/>
    <col min="11" max="11" width="27.140625" bestFit="1" customWidth="1"/>
    <col min="12" max="12" width="20.28515625" bestFit="1" customWidth="1"/>
    <col min="13" max="13" width="27.28515625" bestFit="1" customWidth="1"/>
    <col min="14" max="14" width="26.7109375" bestFit="1" customWidth="1"/>
  </cols>
  <sheetData>
    <row r="1" spans="1:14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</row>
    <row r="3" spans="1:14" x14ac:dyDescent="0.25">
      <c r="A3"/>
      <c r="B3"/>
      <c r="C3"/>
      <c r="D3"/>
      <c r="E3"/>
      <c r="F3"/>
      <c r="G3"/>
      <c r="H3"/>
      <c r="I3"/>
      <c r="J3"/>
      <c r="L3"/>
    </row>
    <row r="4" spans="1:14" x14ac:dyDescent="0.25">
      <c r="A4"/>
      <c r="B4"/>
      <c r="C4"/>
      <c r="D4"/>
      <c r="E4"/>
      <c r="F4"/>
      <c r="G4"/>
      <c r="H4"/>
      <c r="I4"/>
      <c r="J4"/>
      <c r="K4"/>
      <c r="L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7A22F-1700-4105-BCD6-DAEB6198ABE8}">
  <sheetPr codeName="shRifleLoadouts"/>
  <dimension ref="A1:P69"/>
  <sheetViews>
    <sheetView topLeftCell="A40" workbookViewId="0">
      <selection activeCell="A68" sqref="A68"/>
    </sheetView>
  </sheetViews>
  <sheetFormatPr defaultRowHeight="15" x14ac:dyDescent="0.25"/>
  <cols>
    <col min="1" max="1" width="18" bestFit="1" customWidth="1"/>
    <col min="2" max="2" width="14.28515625" bestFit="1" customWidth="1"/>
    <col min="3" max="3" width="10.5703125" bestFit="1" customWidth="1"/>
    <col min="4" max="4" width="13.7109375" bestFit="1" customWidth="1"/>
    <col min="5" max="5" width="9.7109375" bestFit="1" customWidth="1"/>
    <col min="6" max="6" width="12" bestFit="1" customWidth="1"/>
    <col min="7" max="7" width="15.140625" bestFit="1" customWidth="1"/>
    <col min="8" max="8" width="16.42578125" bestFit="1" customWidth="1"/>
    <col min="9" max="9" width="16.7109375" bestFit="1" customWidth="1"/>
    <col min="10" max="10" width="15.7109375" bestFit="1" customWidth="1"/>
    <col min="11" max="12" width="19.5703125" bestFit="1" customWidth="1"/>
    <col min="13" max="13" width="18" bestFit="1" customWidth="1"/>
    <col min="14" max="14" width="20" bestFit="1" customWidth="1"/>
    <col min="15" max="16" width="19.5703125" bestFit="1" customWidth="1"/>
    <col min="17" max="17" width="14.7109375" bestFit="1" customWidth="1"/>
    <col min="18" max="19" width="16.7109375" bestFit="1" customWidth="1"/>
    <col min="20" max="20" width="22" bestFit="1" customWidth="1"/>
    <col min="21" max="21" width="22.28515625" bestFit="1" customWidth="1"/>
    <col min="22" max="22" width="22.42578125" bestFit="1" customWidth="1"/>
    <col min="23" max="23" width="18.28515625" bestFit="1" customWidth="1"/>
    <col min="24" max="24" width="33" bestFit="1" customWidth="1"/>
    <col min="25" max="25" width="33.28515625" bestFit="1" customWidth="1"/>
  </cols>
  <sheetData>
    <row r="1" spans="1:16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</row>
    <row r="2" spans="1:16" x14ac:dyDescent="0.25">
      <c r="A2"/>
      <c r="B2"/>
      <c r="C2"/>
      <c r="D2"/>
      <c r="P2"/>
    </row>
    <row r="3" spans="1:16" x14ac:dyDescent="0.25">
      <c r="P3"/>
    </row>
    <row r="6" spans="1:16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</row>
    <row r="7" spans="1:16" x14ac:dyDescent="0.25">
      <c r="A7"/>
      <c r="B7"/>
      <c r="C7"/>
      <c r="D7"/>
      <c r="P7"/>
    </row>
    <row r="8" spans="1:16" x14ac:dyDescent="0.25">
      <c r="A8"/>
      <c r="B8"/>
      <c r="C8"/>
      <c r="D8"/>
      <c r="P8"/>
    </row>
    <row r="11" spans="1:16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</row>
    <row r="12" spans="1:16" x14ac:dyDescent="0.25">
      <c r="A12"/>
      <c r="B12"/>
      <c r="C12"/>
      <c r="D12"/>
      <c r="P12"/>
    </row>
    <row r="13" spans="1:16" x14ac:dyDescent="0.25">
      <c r="A13"/>
      <c r="B13"/>
      <c r="C13"/>
      <c r="D13"/>
      <c r="P13"/>
    </row>
    <row r="16" spans="1:1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x14ac:dyDescent="0.25">
      <c r="A17"/>
      <c r="B17"/>
      <c r="C17"/>
      <c r="D17"/>
      <c r="P17"/>
    </row>
    <row r="18" spans="1:16" x14ac:dyDescent="0.25">
      <c r="A18"/>
      <c r="B18"/>
      <c r="C18"/>
      <c r="D18"/>
      <c r="P18"/>
    </row>
    <row r="20" spans="1:1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x14ac:dyDescent="0.25">
      <c r="A21"/>
      <c r="B21"/>
      <c r="C21"/>
      <c r="D21"/>
      <c r="P21"/>
    </row>
    <row r="24" spans="1:1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x14ac:dyDescent="0.25">
      <c r="A25"/>
      <c r="B25"/>
      <c r="C25"/>
      <c r="D25"/>
      <c r="P25"/>
    </row>
    <row r="26" spans="1:16" x14ac:dyDescent="0.25">
      <c r="A26"/>
      <c r="B26"/>
      <c r="C26"/>
      <c r="D26"/>
      <c r="P26"/>
    </row>
    <row r="29" spans="1:1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x14ac:dyDescent="0.25">
      <c r="A30"/>
      <c r="B30"/>
      <c r="C30"/>
      <c r="D30"/>
      <c r="P30"/>
    </row>
    <row r="33" spans="1:1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x14ac:dyDescent="0.25">
      <c r="A34"/>
      <c r="B34"/>
      <c r="C34"/>
      <c r="D34"/>
      <c r="P34"/>
    </row>
    <row r="37" spans="1:1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x14ac:dyDescent="0.25">
      <c r="A38"/>
      <c r="B38"/>
      <c r="C38"/>
      <c r="D38"/>
      <c r="P38"/>
    </row>
    <row r="41" spans="1:1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x14ac:dyDescent="0.25">
      <c r="A42"/>
      <c r="B42"/>
      <c r="C42"/>
      <c r="D42"/>
      <c r="P42"/>
    </row>
    <row r="45" spans="1:1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x14ac:dyDescent="0.25">
      <c r="A46"/>
      <c r="B46"/>
      <c r="C46"/>
      <c r="D46"/>
      <c r="P46"/>
    </row>
    <row r="49" spans="1:1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x14ac:dyDescent="0.25">
      <c r="A50"/>
      <c r="B50"/>
      <c r="C50"/>
      <c r="D50"/>
      <c r="P50"/>
    </row>
    <row r="51" spans="1:16" x14ac:dyDescent="0.25">
      <c r="A51"/>
      <c r="B51"/>
      <c r="C51"/>
      <c r="D51"/>
      <c r="P51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x14ac:dyDescent="0.25">
      <c r="A64"/>
      <c r="B64"/>
      <c r="C64"/>
      <c r="D64"/>
      <c r="P64"/>
    </row>
    <row r="65" spans="1:16" x14ac:dyDescent="0.25">
      <c r="P65"/>
    </row>
    <row r="68" spans="1:1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x14ac:dyDescent="0.25">
      <c r="A69"/>
      <c r="B69"/>
      <c r="C69"/>
      <c r="D69"/>
      <c r="P69"/>
    </row>
  </sheetData>
  <pageMargins left="0.7" right="0.7" top="0.75" bottom="0.75" header="0.3" footer="0.3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33D49-6798-4AC9-93D0-53FB05C80473}">
  <sheetPr codeName="shSpeciesData"/>
  <dimension ref="A1:O58"/>
  <sheetViews>
    <sheetView workbookViewId="0"/>
  </sheetViews>
  <sheetFormatPr defaultRowHeight="15" x14ac:dyDescent="0.25"/>
  <cols>
    <col min="1" max="1" width="21.7109375" bestFit="1" customWidth="1"/>
    <col min="2" max="2" width="18.7109375" bestFit="1" customWidth="1"/>
    <col min="3" max="3" width="19" bestFit="1" customWidth="1"/>
    <col min="4" max="4" width="14.85546875" bestFit="1" customWidth="1"/>
    <col min="5" max="5" width="24.42578125" bestFit="1" customWidth="1"/>
    <col min="6" max="6" width="24.7109375" bestFit="1" customWidth="1"/>
    <col min="7" max="7" width="24.85546875" bestFit="1" customWidth="1"/>
    <col min="8" max="8" width="25.140625" bestFit="1" customWidth="1"/>
    <col min="9" max="9" width="14.5703125" bestFit="1" customWidth="1"/>
    <col min="10" max="10" width="21.28515625" bestFit="1" customWidth="1"/>
    <col min="11" max="11" width="17" bestFit="1" customWidth="1"/>
    <col min="12" max="12" width="14.140625" bestFit="1" customWidth="1"/>
    <col min="13" max="13" width="14.28515625" bestFit="1" customWidth="1"/>
    <col min="14" max="14" width="17.28515625" bestFit="1" customWidth="1"/>
    <col min="15" max="15" width="17.140625" bestFit="1" customWidth="1"/>
  </cols>
  <sheetData>
    <row r="1" spans="1:15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</row>
    <row r="2" spans="1:15" x14ac:dyDescent="0.25">
      <c r="A2"/>
      <c r="B2"/>
      <c r="C2"/>
      <c r="D2"/>
      <c r="E2"/>
      <c r="F2"/>
      <c r="G2"/>
      <c r="H2"/>
      <c r="I2"/>
    </row>
    <row r="3" spans="1:15" x14ac:dyDescent="0.25">
      <c r="A3"/>
    </row>
    <row r="4" spans="1:15" x14ac:dyDescent="0.25">
      <c r="A4"/>
    </row>
    <row r="5" spans="1:15" x14ac:dyDescent="0.25">
      <c r="A5"/>
    </row>
    <row r="6" spans="1:15" x14ac:dyDescent="0.25">
      <c r="A6"/>
    </row>
    <row r="7" spans="1:15" x14ac:dyDescent="0.25">
      <c r="A7"/>
    </row>
    <row r="8" spans="1:15" x14ac:dyDescent="0.25">
      <c r="A8"/>
    </row>
    <row r="9" spans="1:15" x14ac:dyDescent="0.25">
      <c r="A9"/>
    </row>
    <row r="10" spans="1:15" x14ac:dyDescent="0.25">
      <c r="A10"/>
    </row>
    <row r="11" spans="1:15" x14ac:dyDescent="0.25">
      <c r="A11"/>
    </row>
    <row r="12" spans="1:15" x14ac:dyDescent="0.25">
      <c r="A12"/>
    </row>
    <row r="13" spans="1:15" x14ac:dyDescent="0.25">
      <c r="A13"/>
    </row>
    <row r="14" spans="1:15" x14ac:dyDescent="0.25">
      <c r="A14"/>
    </row>
    <row r="15" spans="1:15" x14ac:dyDescent="0.25">
      <c r="A15"/>
    </row>
    <row r="16" spans="1:15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62386-5C39-4FAF-B536-5360566E06B5}">
  <sheetPr codeName="shBallisticsTemplate"/>
  <dimension ref="A2:AE343"/>
  <sheetViews>
    <sheetView tabSelected="1" workbookViewId="0">
      <selection activeCell="F20" sqref="F20"/>
    </sheetView>
  </sheetViews>
  <sheetFormatPr defaultRowHeight="15" x14ac:dyDescent="0.25"/>
  <cols>
    <col min="1" max="1" width="22.140625" customWidth="1"/>
    <col min="2" max="2" width="26.5703125" customWidth="1"/>
    <col min="3" max="3" width="15.42578125" customWidth="1"/>
    <col min="4" max="4" width="17.140625" customWidth="1"/>
    <col min="5" max="5" width="13.140625" customWidth="1"/>
    <col min="6" max="6" width="14.140625" customWidth="1"/>
    <col min="7" max="7" width="13.85546875" customWidth="1"/>
    <col min="8" max="8" width="24.42578125" customWidth="1"/>
    <col min="9" max="9" width="15.5703125" customWidth="1"/>
    <col min="10" max="10" width="14.42578125" customWidth="1"/>
    <col min="11" max="11" width="15.28515625" customWidth="1"/>
    <col min="12" max="12" width="31.5703125" customWidth="1"/>
    <col min="13" max="13" width="12.140625" customWidth="1"/>
    <col min="14" max="14" width="13.7109375" customWidth="1"/>
    <col min="15" max="15" width="16" customWidth="1"/>
    <col min="16" max="16" width="14.7109375" customWidth="1"/>
    <col min="17" max="17" width="19.5703125" customWidth="1"/>
    <col min="18" max="18" width="13.5703125" customWidth="1"/>
    <col min="19" max="19" width="13.28515625" customWidth="1"/>
    <col min="20" max="20" width="14" customWidth="1"/>
    <col min="21" max="27" width="13.42578125" customWidth="1"/>
    <col min="28" max="28" width="16.42578125" customWidth="1"/>
    <col min="29" max="29" width="19.5703125" customWidth="1"/>
    <col min="30" max="30" width="19.140625" customWidth="1"/>
    <col min="31" max="31" width="15.140625" customWidth="1"/>
    <col min="32" max="32" width="17" customWidth="1"/>
  </cols>
  <sheetData>
    <row r="2" spans="1:16" x14ac:dyDescent="0.25">
      <c r="A2" s="55" t="s">
        <v>12</v>
      </c>
      <c r="B2" s="141"/>
      <c r="C2" s="141"/>
      <c r="D2" s="146"/>
      <c r="E2" s="147"/>
      <c r="F2" s="111"/>
      <c r="H2" s="139" t="s">
        <v>70</v>
      </c>
      <c r="I2" s="140"/>
      <c r="J2" s="140"/>
      <c r="L2" s="135" t="s">
        <v>107</v>
      </c>
      <c r="M2" s="136"/>
      <c r="N2" s="136"/>
      <c r="O2" s="136"/>
      <c r="P2" s="136"/>
    </row>
    <row r="3" spans="1:16" x14ac:dyDescent="0.25">
      <c r="H3" s="73" t="s">
        <v>64</v>
      </c>
      <c r="I3" s="141"/>
      <c r="J3" s="141"/>
      <c r="L3" s="84" t="s">
        <v>110</v>
      </c>
      <c r="N3" t="s">
        <v>31</v>
      </c>
      <c r="O3" s="83"/>
      <c r="P3" s="83"/>
    </row>
    <row r="4" spans="1:16" x14ac:dyDescent="0.25">
      <c r="A4" s="148" t="s">
        <v>71</v>
      </c>
      <c r="B4" s="148"/>
      <c r="C4" s="148"/>
      <c r="D4" s="149"/>
      <c r="E4" s="149"/>
      <c r="F4" s="149"/>
      <c r="H4" s="73" t="s">
        <v>75</v>
      </c>
      <c r="I4" s="107" t="str">
        <f>IF(ISBLANK($I$3),"",_xlfn.XLOOKUP($I$3,RiflescopeData[Name],RiflescopeData[Reticle Description],"n/a",0,1))</f>
        <v/>
      </c>
      <c r="J4" s="106"/>
      <c r="L4" s="84"/>
      <c r="M4" s="81"/>
      <c r="N4" s="83"/>
      <c r="O4" s="83"/>
      <c r="P4" s="83"/>
    </row>
    <row r="5" spans="1:16" x14ac:dyDescent="0.25">
      <c r="A5" s="55" t="s">
        <v>64</v>
      </c>
      <c r="C5" s="133"/>
      <c r="D5" s="72"/>
      <c r="E5" s="72"/>
      <c r="F5" s="72"/>
      <c r="H5" s="73" t="s">
        <v>66</v>
      </c>
      <c r="I5" s="108" t="str">
        <f>IF(ISBLANK($I$3),"",_xlfn.XLOOKUP($I$3,RiflescopeData[Name],RiflescopeData[Reticle Focal Plane],"n/a",0,1))</f>
        <v/>
      </c>
      <c r="J5" s="72"/>
      <c r="K5" s="16"/>
      <c r="L5" s="73" t="s">
        <v>108</v>
      </c>
      <c r="M5" s="81"/>
      <c r="N5" s="71" t="s">
        <v>96</v>
      </c>
      <c r="O5" s="82" t="str">
        <f>IF(NOT(OR(ISBLANK($M$3),ISBLANK($N$3),ISBLANK($M5),ISBLANK($N5),ISBLANK($P5))),$M5 * $M$3,"")</f>
        <v/>
      </c>
      <c r="P5" s="81" t="s">
        <v>31</v>
      </c>
    </row>
    <row r="6" spans="1:16" x14ac:dyDescent="0.25">
      <c r="A6" s="55" t="s">
        <v>72</v>
      </c>
      <c r="B6" s="89"/>
      <c r="C6" s="92"/>
      <c r="D6" s="122"/>
      <c r="E6" s="123"/>
      <c r="F6" s="124"/>
      <c r="H6" s="73" t="s">
        <v>65</v>
      </c>
      <c r="I6" s="108" t="str">
        <f>IF(ISBLANK($I$3),"",_xlfn.XLOOKUP($I$3,RiflescopeData[Name],RiflescopeData[Reticle Units],"n/a",0,1))</f>
        <v/>
      </c>
      <c r="J6" s="72"/>
      <c r="L6" s="73" t="s">
        <v>109</v>
      </c>
      <c r="M6" s="81"/>
      <c r="N6" s="71" t="s">
        <v>96</v>
      </c>
      <c r="O6" s="82" t="str">
        <f>IF(NOT(OR(ISBLANK($M$3),ISBLANK($N$3),ISBLANK($M6),ISBLANK($N6),ISBLANK($P6))),$M6 * $M$3,"")</f>
        <v/>
      </c>
      <c r="P6" s="81" t="s">
        <v>31</v>
      </c>
    </row>
    <row r="7" spans="1:16" x14ac:dyDescent="0.25">
      <c r="A7" s="55" t="s">
        <v>77</v>
      </c>
      <c r="B7" s="89"/>
      <c r="C7" s="92"/>
      <c r="D7" s="91"/>
      <c r="E7" s="92"/>
      <c r="F7" s="56"/>
      <c r="H7" s="73" t="s">
        <v>76</v>
      </c>
      <c r="I7" s="108" t="str">
        <f>IF(ISBLANK($I$3),"",_xlfn.XLOOKUP($I$3,RiflescopeData[Name],RiflescopeData[Magnification Range],"n/a",0,1))</f>
        <v/>
      </c>
      <c r="J7" s="72"/>
      <c r="L7" s="73" t="s">
        <v>111</v>
      </c>
      <c r="M7" s="82" t="str" cm="1">
        <f t="array" ref="M7">IF(OR(ISBLANK($I$3),ISBLANK($M$5),ISBLANK($M$6)),"",ProbableAngularPOIError($M$6/2,$M$5/2,$I$9,0.68))</f>
        <v/>
      </c>
      <c r="N7" s="71" t="s">
        <v>96</v>
      </c>
      <c r="O7" s="82" t="str" cm="1">
        <f t="array" ref="O7">IF(OR(ISBLANK($I$3),ISBLANK($O$5),ISBLANK($O$6)),"",ProbableAngularPOIError($O$6/2,$O$5/2,$I$9,0.68))</f>
        <v/>
      </c>
      <c r="P7" s="85" t="s">
        <v>31</v>
      </c>
    </row>
    <row r="8" spans="1:16" x14ac:dyDescent="0.25">
      <c r="A8" s="55" t="s">
        <v>81</v>
      </c>
      <c r="B8" s="89"/>
      <c r="C8" s="92"/>
      <c r="D8" s="91"/>
      <c r="E8" s="92"/>
      <c r="F8" s="56"/>
      <c r="H8" s="73" t="s">
        <v>73</v>
      </c>
      <c r="I8" s="108" t="str">
        <f>IF(ISBLANK($I$3),"",_xlfn.XLOOKUP($I$3,RiflescopeData[Name],RiflescopeData[Reticle Calibration Magnification],"n/a",0,1))</f>
        <v/>
      </c>
      <c r="J8" s="72"/>
      <c r="L8" s="73" t="s">
        <v>112</v>
      </c>
      <c r="M8" s="82"/>
      <c r="N8" s="71"/>
      <c r="O8" s="82" t="str" cm="1">
        <f t="array" ref="O8">IF(OR(ISBLANK($B$9),ISBLANK($B$10),ISBLANK($I$3)),"",ProbableAngularPOIError($B$9/2,$B$10/2,$I$9,0.68))</f>
        <v/>
      </c>
      <c r="P8" s="81" t="s">
        <v>31</v>
      </c>
    </row>
    <row r="9" spans="1:16" x14ac:dyDescent="0.25">
      <c r="A9" s="55" t="s">
        <v>79</v>
      </c>
      <c r="B9" s="89"/>
      <c r="C9" s="92"/>
      <c r="D9" s="91"/>
      <c r="E9" s="92"/>
      <c r="F9" s="56"/>
      <c r="H9" s="73" t="s">
        <v>74</v>
      </c>
      <c r="I9" s="78" t="str">
        <f>IF(ISBLANK($I$3),"",_xlfn.XLOOKUP($I$3,RiflescopeData[Name],RiflescopeData[Angular Resolution],"n/a",0,1))</f>
        <v/>
      </c>
      <c r="J9" s="72"/>
    </row>
    <row r="10" spans="1:16" x14ac:dyDescent="0.25">
      <c r="A10" s="55" t="s">
        <v>80</v>
      </c>
      <c r="B10" s="89"/>
      <c r="C10" s="92"/>
      <c r="D10" s="91"/>
      <c r="E10" s="92"/>
      <c r="F10" s="56"/>
      <c r="H10" s="73" t="s">
        <v>67</v>
      </c>
      <c r="I10" s="76" t="str">
        <f>IF(ISBLANK($I$3),"",_xlfn.XLOOKUP($I$3,RiflescopeData[Name],RiflescopeData[Minor Subtensions],"n/a",0,1))</f>
        <v/>
      </c>
      <c r="J10" s="72"/>
    </row>
    <row r="11" spans="1:16" x14ac:dyDescent="0.25">
      <c r="A11" s="55" t="s">
        <v>78</v>
      </c>
      <c r="B11" s="90"/>
      <c r="C11" s="92"/>
      <c r="D11" s="91"/>
      <c r="E11" s="92"/>
      <c r="F11" s="56"/>
      <c r="H11" s="73" t="s">
        <v>68</v>
      </c>
      <c r="I11" s="78" t="str">
        <f>IF(ISBLANK($I$3),"",_xlfn.XLOOKUP($I$3,RiflescopeData[Name],RiflescopeData[Intermediate Subtensions],"n/a",0,1))</f>
        <v/>
      </c>
      <c r="J11" s="72"/>
      <c r="L11" s="148" t="s">
        <v>102</v>
      </c>
      <c r="M11" s="148"/>
      <c r="N11" s="148"/>
      <c r="O11" s="148"/>
      <c r="P11" s="79"/>
    </row>
    <row r="12" spans="1:16" x14ac:dyDescent="0.25">
      <c r="A12" s="52"/>
      <c r="B12" s="53"/>
      <c r="C12" s="54"/>
      <c r="D12" s="53"/>
      <c r="E12" s="53"/>
      <c r="H12" s="73" t="s">
        <v>69</v>
      </c>
      <c r="I12" s="76" t="str">
        <f>IF(ISBLANK($I$3),"",_xlfn.XLOOKUP($I$3,RiflescopeData[Name],RiflescopeData[Major Subtensions],"n/a",0,1))</f>
        <v/>
      </c>
      <c r="J12" s="72"/>
      <c r="L12" s="55" t="s">
        <v>104</v>
      </c>
      <c r="M12" s="80">
        <v>0</v>
      </c>
      <c r="N12" s="80" t="s">
        <v>95</v>
      </c>
      <c r="O12" s="56"/>
      <c r="P12" s="56"/>
    </row>
    <row r="13" spans="1:16" x14ac:dyDescent="0.25">
      <c r="A13" s="65"/>
      <c r="B13" s="66"/>
      <c r="C13" s="67"/>
      <c r="D13" s="68"/>
      <c r="E13" s="68"/>
      <c r="L13" s="55" t="s">
        <v>103</v>
      </c>
      <c r="M13" s="80">
        <v>1.5</v>
      </c>
      <c r="N13" s="80" t="s">
        <v>85</v>
      </c>
      <c r="O13" s="105" cm="1">
        <f t="array" ref="O13">IF(NOT(OR(ISBLANK($M13),ISBLANK($N13),ISBLANK($P13))),ConvertLength($M13,$N13,$P13),"")</f>
        <v>3.81</v>
      </c>
      <c r="P13" s="56" t="s">
        <v>91</v>
      </c>
    </row>
    <row r="14" spans="1:16" x14ac:dyDescent="0.25">
      <c r="A14" s="70"/>
      <c r="B14" s="137" t="s">
        <v>113</v>
      </c>
      <c r="C14" s="138"/>
      <c r="D14" s="138"/>
      <c r="E14" s="138"/>
      <c r="F14" s="138"/>
      <c r="G14" s="137" t="s">
        <v>115</v>
      </c>
      <c r="H14" s="153"/>
      <c r="I14" s="153"/>
      <c r="J14" s="154"/>
      <c r="K14" s="131"/>
      <c r="L14" s="55" t="s">
        <v>105</v>
      </c>
      <c r="M14" s="80"/>
      <c r="N14" s="80" t="s">
        <v>90</v>
      </c>
      <c r="O14" s="105" t="str" cm="1">
        <f t="array" ref="O14">IF(NOT(OR(ISBLANK($M14),ISBLANK($N14),ISBLANK($P14))),ConvertSpeed($M14,$N14,$P14),"")</f>
        <v/>
      </c>
      <c r="P14" s="56" t="s">
        <v>92</v>
      </c>
    </row>
    <row r="15" spans="1:16" x14ac:dyDescent="0.25">
      <c r="A15" s="73" t="s">
        <v>97</v>
      </c>
      <c r="B15" s="129"/>
      <c r="C15" s="134"/>
      <c r="D15" s="72"/>
      <c r="E15" s="72"/>
      <c r="F15" s="72"/>
      <c r="G15" s="72"/>
      <c r="H15" s="72"/>
      <c r="I15" s="72"/>
      <c r="J15" s="130"/>
      <c r="K15" s="48"/>
      <c r="L15" s="55" t="s">
        <v>106</v>
      </c>
      <c r="M15" s="80"/>
      <c r="N15" s="80" t="s">
        <v>95</v>
      </c>
      <c r="O15" s="105"/>
      <c r="P15" s="56"/>
    </row>
    <row r="16" spans="1:16" x14ac:dyDescent="0.25">
      <c r="A16" s="73" t="s">
        <v>98</v>
      </c>
      <c r="B16" s="75"/>
      <c r="C16" s="71"/>
      <c r="D16" s="77"/>
      <c r="E16" s="71"/>
      <c r="F16" s="113"/>
      <c r="G16" s="75"/>
      <c r="H16" s="71"/>
      <c r="I16" s="77"/>
      <c r="J16" s="113"/>
      <c r="K16" s="99"/>
      <c r="L16" s="55"/>
      <c r="M16" s="80"/>
      <c r="N16" s="80"/>
      <c r="O16" s="80"/>
      <c r="P16" s="80"/>
    </row>
    <row r="17" spans="1:16" x14ac:dyDescent="0.25">
      <c r="A17" s="73" t="s">
        <v>86</v>
      </c>
      <c r="B17" s="74"/>
      <c r="C17" s="71"/>
      <c r="D17" s="77"/>
      <c r="E17" s="71"/>
      <c r="F17" s="113"/>
      <c r="G17" s="74"/>
      <c r="H17" s="71"/>
      <c r="I17" s="77"/>
      <c r="J17" s="113"/>
      <c r="K17" s="99"/>
      <c r="L17" s="55"/>
      <c r="M17" s="80"/>
      <c r="N17" s="80"/>
      <c r="O17" s="80"/>
      <c r="P17" s="80"/>
    </row>
    <row r="18" spans="1:16" x14ac:dyDescent="0.25">
      <c r="A18" s="73" t="s">
        <v>99</v>
      </c>
      <c r="B18" s="74"/>
      <c r="C18" s="71"/>
      <c r="D18" s="77"/>
      <c r="E18" s="71"/>
      <c r="F18" s="113"/>
      <c r="G18" s="74"/>
      <c r="H18" s="71"/>
      <c r="I18" s="77"/>
      <c r="J18" s="113"/>
      <c r="K18" s="99"/>
    </row>
    <row r="19" spans="1:16" x14ac:dyDescent="0.25">
      <c r="A19" s="73" t="s">
        <v>13</v>
      </c>
      <c r="B19" s="74"/>
      <c r="C19" s="71"/>
      <c r="D19" s="75"/>
      <c r="E19" s="71"/>
      <c r="F19" s="113"/>
      <c r="G19" s="74"/>
      <c r="H19" s="71"/>
      <c r="I19" s="75"/>
      <c r="J19" s="113"/>
      <c r="K19" s="99"/>
    </row>
    <row r="20" spans="1:16" x14ac:dyDescent="0.25">
      <c r="A20" s="73" t="s">
        <v>100</v>
      </c>
      <c r="B20" s="74"/>
      <c r="C20" s="71"/>
      <c r="D20" s="75"/>
      <c r="E20" s="71"/>
      <c r="F20" s="113"/>
      <c r="G20" s="74"/>
      <c r="H20" s="71"/>
      <c r="I20" s="75"/>
      <c r="J20" s="113"/>
      <c r="K20" s="99"/>
    </row>
    <row r="21" spans="1:16" x14ac:dyDescent="0.25">
      <c r="A21" s="52"/>
      <c r="B21" s="69"/>
      <c r="C21" s="69"/>
      <c r="D21" s="53"/>
      <c r="E21" s="53"/>
      <c r="F21" s="114"/>
      <c r="G21" s="48"/>
      <c r="H21" s="48"/>
    </row>
    <row r="22" spans="1:16" x14ac:dyDescent="0.25">
      <c r="A22" s="70"/>
      <c r="B22" s="137" t="s">
        <v>114</v>
      </c>
      <c r="C22" s="138"/>
      <c r="D22" s="138"/>
      <c r="E22" s="138"/>
      <c r="F22" s="138"/>
      <c r="G22" s="68"/>
      <c r="H22" s="68"/>
    </row>
    <row r="23" spans="1:16" x14ac:dyDescent="0.25">
      <c r="A23" s="73" t="s">
        <v>97</v>
      </c>
      <c r="B23" s="88"/>
      <c r="C23" s="132"/>
      <c r="D23" s="72"/>
      <c r="E23" s="72"/>
      <c r="F23" s="72"/>
      <c r="G23" s="125"/>
      <c r="H23" s="121"/>
    </row>
    <row r="24" spans="1:16" x14ac:dyDescent="0.25">
      <c r="A24" s="73" t="s">
        <v>98</v>
      </c>
      <c r="B24" s="75"/>
      <c r="C24" s="71"/>
      <c r="D24" s="73"/>
      <c r="E24" s="76"/>
      <c r="F24" s="113"/>
      <c r="G24" s="120"/>
      <c r="H24" s="121"/>
    </row>
    <row r="25" spans="1:16" x14ac:dyDescent="0.25">
      <c r="A25" s="73" t="s">
        <v>86</v>
      </c>
      <c r="B25" s="74"/>
      <c r="C25" s="71"/>
      <c r="D25" s="73"/>
      <c r="E25" s="76"/>
      <c r="F25" s="113"/>
      <c r="G25" s="120"/>
      <c r="H25" s="121"/>
    </row>
    <row r="26" spans="1:16" x14ac:dyDescent="0.25">
      <c r="A26" s="73" t="s">
        <v>99</v>
      </c>
      <c r="B26" s="74"/>
      <c r="C26" s="71"/>
      <c r="D26" s="73"/>
      <c r="E26" s="76"/>
      <c r="F26" s="113"/>
      <c r="G26" s="120"/>
      <c r="H26" s="121"/>
    </row>
    <row r="27" spans="1:16" x14ac:dyDescent="0.25">
      <c r="A27" s="73" t="s">
        <v>13</v>
      </c>
      <c r="B27" s="74"/>
      <c r="C27" s="71"/>
      <c r="D27" s="72"/>
      <c r="E27" s="76"/>
      <c r="F27" s="113"/>
      <c r="G27" s="120"/>
      <c r="H27" s="121"/>
    </row>
    <row r="28" spans="1:16" x14ac:dyDescent="0.25">
      <c r="A28" s="94" t="s">
        <v>100</v>
      </c>
      <c r="B28" s="109"/>
      <c r="C28" s="95"/>
      <c r="D28" s="110"/>
      <c r="E28" s="96"/>
      <c r="F28" s="115"/>
      <c r="G28" s="120"/>
      <c r="H28" s="121"/>
    </row>
    <row r="29" spans="1:16" x14ac:dyDescent="0.25">
      <c r="A29" s="50"/>
      <c r="B29" s="49"/>
      <c r="C29" s="86"/>
      <c r="D29" s="48"/>
      <c r="E29" s="87"/>
      <c r="F29" s="116"/>
      <c r="G29" s="120"/>
      <c r="H29" s="121"/>
    </row>
    <row r="30" spans="1:16" x14ac:dyDescent="0.25">
      <c r="A30" s="150" t="s">
        <v>101</v>
      </c>
      <c r="B30" s="151"/>
      <c r="C30" s="151"/>
      <c r="D30" s="151"/>
      <c r="E30" s="151"/>
      <c r="F30" s="152"/>
      <c r="G30" s="120"/>
      <c r="H30" s="121"/>
    </row>
    <row r="31" spans="1:16" x14ac:dyDescent="0.25">
      <c r="A31" s="73" t="s">
        <v>97</v>
      </c>
      <c r="B31" s="112"/>
      <c r="C31" s="127"/>
      <c r="D31" s="126"/>
      <c r="E31" s="126"/>
      <c r="F31" s="113"/>
      <c r="G31" s="120"/>
      <c r="H31" s="121"/>
    </row>
    <row r="32" spans="1:16" x14ac:dyDescent="0.25">
      <c r="A32" s="73" t="s">
        <v>98</v>
      </c>
      <c r="B32" s="81"/>
      <c r="C32" t="s">
        <v>87</v>
      </c>
      <c r="D32" s="77" t="str" cm="1">
        <f t="array" ref="D32">IF(NOT(OR(ISBLANK($B32),ISBLANK($C32),ISBLANK($E32))),ConvertMassWeight($B32,$C32,$E32),"")</f>
        <v/>
      </c>
      <c r="E32" t="s">
        <v>88</v>
      </c>
      <c r="F32" s="113"/>
      <c r="G32" s="120"/>
      <c r="H32" s="121"/>
    </row>
    <row r="33" spans="1:30" x14ac:dyDescent="0.25">
      <c r="A33" s="73" t="s">
        <v>86</v>
      </c>
      <c r="B33" s="81"/>
      <c r="C33" t="s">
        <v>89</v>
      </c>
      <c r="D33" s="77" t="str" cm="1">
        <f t="array" ref="D33">IF(NOT(OR(ISBLANK($B33),ISBLANK($C33),ISBLANK($E33))),ConvertSpeed($B33,$C33,$E33),"")</f>
        <v/>
      </c>
      <c r="E33" t="s">
        <v>90</v>
      </c>
      <c r="F33" s="113"/>
      <c r="G33" s="120"/>
      <c r="H33" s="121"/>
    </row>
    <row r="34" spans="1:30" x14ac:dyDescent="0.25">
      <c r="A34" s="73" t="s">
        <v>99</v>
      </c>
      <c r="B34" s="78" t="str" cm="1">
        <f t="array" ref="B34">IF(NOT(OR(ISBLANK($B$32),ISBLANK($B$33),ISBLANK($C$32),ISBLANK($C$33))),MuzzleVelocityToMuzzleEnergy(B32,C32,B33,C33,C34),"")</f>
        <v/>
      </c>
      <c r="C34" t="s">
        <v>93</v>
      </c>
      <c r="D34" s="77" t="str">
        <f>IF(NOT(OR(ISBLANK($B$33),ISBLANK($B$33))),CONVERT($B34,$C34,$E34),"")</f>
        <v/>
      </c>
      <c r="E34" t="s">
        <v>94</v>
      </c>
      <c r="F34" s="113"/>
      <c r="G34" s="120"/>
      <c r="H34" s="121"/>
    </row>
    <row r="35" spans="1:30" x14ac:dyDescent="0.25">
      <c r="A35" s="73" t="s">
        <v>13</v>
      </c>
      <c r="B35" s="81"/>
      <c r="C35" s="128"/>
      <c r="D35" s="75"/>
      <c r="E35" s="76"/>
      <c r="F35" s="113"/>
      <c r="G35" s="120"/>
      <c r="H35" s="121"/>
    </row>
    <row r="36" spans="1:30" x14ac:dyDescent="0.25">
      <c r="A36" s="73" t="s">
        <v>100</v>
      </c>
      <c r="B36" s="81"/>
      <c r="C36" s="128"/>
      <c r="D36" s="75"/>
      <c r="E36" s="76"/>
      <c r="F36" s="113"/>
      <c r="G36" s="120"/>
      <c r="H36" s="121"/>
    </row>
    <row r="37" spans="1:30" x14ac:dyDescent="0.25">
      <c r="G37" s="120"/>
      <c r="H37" s="121"/>
    </row>
    <row r="38" spans="1:30" x14ac:dyDescent="0.25">
      <c r="G38" s="120"/>
      <c r="H38" s="121"/>
    </row>
    <row r="39" spans="1:30" x14ac:dyDescent="0.25">
      <c r="G39" s="120"/>
      <c r="H39" s="121"/>
    </row>
    <row r="40" spans="1:30" x14ac:dyDescent="0.25">
      <c r="G40" s="120"/>
      <c r="H40" s="121"/>
    </row>
    <row r="41" spans="1:30" x14ac:dyDescent="0.25">
      <c r="A41" s="101"/>
      <c r="B41" s="102"/>
      <c r="C41" s="103"/>
      <c r="D41" s="53"/>
      <c r="E41" s="104"/>
      <c r="F41" s="117"/>
      <c r="G41" s="120"/>
      <c r="H41" s="121"/>
    </row>
    <row r="42" spans="1:30" x14ac:dyDescent="0.25">
      <c r="A42" s="97"/>
      <c r="B42" s="98"/>
      <c r="C42" s="99"/>
      <c r="D42" s="48"/>
      <c r="E42" s="100"/>
      <c r="F42" s="118"/>
      <c r="G42" s="120"/>
      <c r="H42" s="121"/>
    </row>
    <row r="43" spans="1:30" x14ac:dyDescent="0.25">
      <c r="A43" s="97"/>
      <c r="B43" s="98"/>
      <c r="C43" s="99"/>
      <c r="D43" s="48"/>
      <c r="E43" s="100"/>
      <c r="F43" s="118"/>
      <c r="G43" s="120"/>
      <c r="H43" s="121"/>
    </row>
    <row r="44" spans="1:30" x14ac:dyDescent="0.25">
      <c r="A44" s="97"/>
      <c r="B44" s="98"/>
      <c r="C44" s="99"/>
      <c r="D44" s="48"/>
      <c r="E44" s="100"/>
      <c r="F44" s="118"/>
      <c r="G44" s="120"/>
      <c r="H44" s="121"/>
    </row>
    <row r="45" spans="1:30" x14ac:dyDescent="0.25">
      <c r="A45" s="97"/>
      <c r="B45" s="98"/>
      <c r="C45" s="99"/>
      <c r="D45" s="48"/>
      <c r="E45" s="100"/>
      <c r="F45" s="118"/>
      <c r="G45" s="120"/>
      <c r="H45" s="120"/>
      <c r="P45" s="145" t="s">
        <v>35</v>
      </c>
      <c r="Q45" s="145"/>
      <c r="R45" s="145"/>
      <c r="S45" s="145"/>
      <c r="T45" s="145"/>
      <c r="U45" s="145"/>
      <c r="V45" s="145"/>
      <c r="W45" s="145"/>
      <c r="X45" s="145"/>
      <c r="Y45" s="145"/>
      <c r="Z45" s="145"/>
      <c r="AA45" s="145"/>
      <c r="AB45" s="145"/>
      <c r="AC45" s="21" t="s">
        <v>62</v>
      </c>
      <c r="AD45" s="21" t="s">
        <v>63</v>
      </c>
    </row>
    <row r="46" spans="1:30" x14ac:dyDescent="0.25">
      <c r="A46" s="97"/>
      <c r="B46" s="98"/>
      <c r="C46" s="99"/>
      <c r="D46" s="48"/>
      <c r="E46" s="100"/>
      <c r="F46" s="99"/>
      <c r="G46" s="119"/>
      <c r="H46" s="53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</row>
    <row r="47" spans="1:30" x14ac:dyDescent="0.25">
      <c r="A47" s="97"/>
      <c r="B47" s="98"/>
      <c r="C47" s="99"/>
      <c r="D47" s="48"/>
      <c r="E47" s="100"/>
      <c r="F47" s="99"/>
      <c r="G47" s="64"/>
      <c r="H47" s="48"/>
      <c r="P47" s="2">
        <v>1</v>
      </c>
      <c r="Q47" s="2">
        <v>1</v>
      </c>
      <c r="R47" s="2">
        <v>1</v>
      </c>
      <c r="S47" s="2">
        <v>1</v>
      </c>
      <c r="T47" s="2">
        <v>1</v>
      </c>
      <c r="U47" s="2">
        <v>1</v>
      </c>
      <c r="V47" s="2">
        <v>1</v>
      </c>
      <c r="W47" s="2">
        <v>1</v>
      </c>
      <c r="X47" s="2">
        <v>1</v>
      </c>
      <c r="Y47" s="2">
        <v>1</v>
      </c>
      <c r="Z47" s="2">
        <v>1</v>
      </c>
      <c r="AA47" s="2">
        <v>1</v>
      </c>
      <c r="AB47" s="2">
        <v>1</v>
      </c>
      <c r="AC47" s="46">
        <f>AVERAGE(Q47:AB47)</f>
        <v>1</v>
      </c>
      <c r="AD47" s="46">
        <f>_xlfn.STDEV.S(Q47:AB47)</f>
        <v>0</v>
      </c>
    </row>
    <row r="48" spans="1:30" x14ac:dyDescent="0.25">
      <c r="A48" s="97"/>
      <c r="B48" s="98"/>
      <c r="C48" s="99"/>
      <c r="D48" s="48"/>
      <c r="E48" s="100"/>
      <c r="F48" s="99"/>
      <c r="G48" s="64"/>
      <c r="H48" s="47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</row>
    <row r="49" spans="1:29" x14ac:dyDescent="0.25">
      <c r="A49" s="97"/>
      <c r="B49" s="98"/>
      <c r="C49" s="99"/>
      <c r="D49" s="48"/>
      <c r="E49" s="100"/>
      <c r="F49" s="99"/>
      <c r="G49" s="93"/>
      <c r="H49" s="47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</row>
    <row r="50" spans="1:29" ht="30" x14ac:dyDescent="0.25">
      <c r="A50" s="21" t="s">
        <v>6</v>
      </c>
      <c r="B50" s="21" t="s">
        <v>83</v>
      </c>
      <c r="C50" s="45" t="s">
        <v>32</v>
      </c>
      <c r="D50" s="23" t="s">
        <v>14</v>
      </c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44" t="s">
        <v>34</v>
      </c>
      <c r="Q50" s="144" t="s">
        <v>15</v>
      </c>
      <c r="R50" s="144"/>
      <c r="S50" s="144"/>
      <c r="T50" s="144"/>
      <c r="U50" s="144"/>
      <c r="V50" s="23"/>
      <c r="W50" s="23"/>
      <c r="X50" s="23"/>
      <c r="Y50" s="23"/>
      <c r="Z50" s="23"/>
      <c r="AA50" s="23"/>
      <c r="AB50" s="23"/>
      <c r="AC50" s="24" t="s">
        <v>16</v>
      </c>
    </row>
    <row r="51" spans="1:29" x14ac:dyDescent="0.25">
      <c r="A51" s="21" t="s">
        <v>82</v>
      </c>
      <c r="B51" s="21" t="s">
        <v>84</v>
      </c>
      <c r="C51" s="22" t="s">
        <v>33</v>
      </c>
      <c r="D51" s="22" t="s">
        <v>1</v>
      </c>
      <c r="E51" s="22" t="s">
        <v>2</v>
      </c>
      <c r="F51" s="22" t="s">
        <v>3</v>
      </c>
      <c r="G51" s="22" t="s">
        <v>4</v>
      </c>
      <c r="H51" s="22" t="s">
        <v>5</v>
      </c>
      <c r="I51" s="22" t="s">
        <v>18</v>
      </c>
      <c r="J51" s="22" t="s">
        <v>19</v>
      </c>
      <c r="K51" s="22" t="s">
        <v>38</v>
      </c>
      <c r="L51" s="22" t="s">
        <v>39</v>
      </c>
      <c r="M51" s="22" t="s">
        <v>40</v>
      </c>
      <c r="N51" s="22" t="s">
        <v>41</v>
      </c>
      <c r="O51" s="22" t="s">
        <v>42</v>
      </c>
      <c r="P51" s="63" t="s">
        <v>17</v>
      </c>
      <c r="Q51" s="25" t="s">
        <v>1</v>
      </c>
      <c r="R51" s="25" t="s">
        <v>2</v>
      </c>
      <c r="S51" s="25" t="s">
        <v>3</v>
      </c>
      <c r="T51" s="25" t="s">
        <v>4</v>
      </c>
      <c r="U51" s="25" t="s">
        <v>5</v>
      </c>
      <c r="V51" s="25" t="s">
        <v>18</v>
      </c>
      <c r="W51" s="26" t="s">
        <v>43</v>
      </c>
      <c r="X51" s="26" t="s">
        <v>38</v>
      </c>
      <c r="Y51" s="26" t="s">
        <v>39</v>
      </c>
      <c r="Z51" s="26" t="s">
        <v>40</v>
      </c>
      <c r="AA51" s="26" t="s">
        <v>41</v>
      </c>
      <c r="AB51" s="26" t="s">
        <v>42</v>
      </c>
      <c r="AC51" s="24" t="s">
        <v>17</v>
      </c>
    </row>
    <row r="52" spans="1:29" x14ac:dyDescent="0.25">
      <c r="A52" s="1">
        <v>0</v>
      </c>
      <c r="B52" s="1"/>
      <c r="C52" s="12">
        <v>0</v>
      </c>
      <c r="D52" s="3"/>
      <c r="E52" s="4"/>
      <c r="F52" s="4"/>
      <c r="G52" s="4"/>
      <c r="H52" s="5"/>
      <c r="I52" s="5"/>
      <c r="J52" s="4"/>
      <c r="K52" s="4"/>
      <c r="L52" s="4"/>
      <c r="M52" s="4"/>
      <c r="N52" s="4"/>
      <c r="O52" s="4"/>
      <c r="P52" s="20" cm="1">
        <f t="array" ref="P52">TrajectoryInCM(C52,$A52,P$47)</f>
        <v>0</v>
      </c>
      <c r="Q52" s="8">
        <f t="shared" ref="Q52:AB52" si="0">$O$13*(-1)</f>
        <v>-3.81</v>
      </c>
      <c r="R52" s="8">
        <f t="shared" si="0"/>
        <v>-3.81</v>
      </c>
      <c r="S52" s="8">
        <f t="shared" si="0"/>
        <v>-3.81</v>
      </c>
      <c r="T52" s="8">
        <f t="shared" si="0"/>
        <v>-3.81</v>
      </c>
      <c r="U52" s="8">
        <f t="shared" si="0"/>
        <v>-3.81</v>
      </c>
      <c r="V52" s="8">
        <f t="shared" si="0"/>
        <v>-3.81</v>
      </c>
      <c r="W52" s="17">
        <f t="shared" si="0"/>
        <v>-3.81</v>
      </c>
      <c r="X52" s="17">
        <f t="shared" si="0"/>
        <v>-3.81</v>
      </c>
      <c r="Y52" s="17">
        <f t="shared" si="0"/>
        <v>-3.81</v>
      </c>
      <c r="Z52" s="17">
        <f t="shared" si="0"/>
        <v>-3.81</v>
      </c>
      <c r="AA52" s="17">
        <f t="shared" si="0"/>
        <v>-3.81</v>
      </c>
      <c r="AB52" s="17">
        <f t="shared" si="0"/>
        <v>-3.81</v>
      </c>
      <c r="AC52" s="18" t="str" cm="1">
        <f t="array" ref="AC52">IF(OR(ISBLANK($O$8),ISBLANK($I$3)),"",TrajectoryErrorCM($O$8,1,$A52))</f>
        <v/>
      </c>
    </row>
    <row r="53" spans="1:29" x14ac:dyDescent="0.25">
      <c r="A53" s="1">
        <v>25</v>
      </c>
      <c r="B53" s="1"/>
      <c r="C53" s="10"/>
      <c r="D53" s="6"/>
      <c r="E53" s="6"/>
      <c r="F53" s="6"/>
      <c r="G53" s="6"/>
      <c r="H53" s="6"/>
      <c r="I53" s="6"/>
      <c r="J53" s="10"/>
      <c r="K53" s="10"/>
      <c r="L53" s="10"/>
      <c r="M53" s="10"/>
      <c r="N53" s="10"/>
      <c r="O53" s="10"/>
      <c r="P53" s="19" t="str" cm="1">
        <f t="array" ref="P53">IF(OR(ISBLANK($A53),ISBLANK(C53)), "", TrajectoryInCM(C53,$A53,P$47))</f>
        <v/>
      </c>
      <c r="Q53" s="9" t="str" cm="1">
        <f t="array" ref="Q53">IF(OR(ISBLANK($A53),ISBLANK(D53)), "", TrajectoryInCM(D53,$A53,Q$47))</f>
        <v/>
      </c>
      <c r="R53" s="9" t="str" cm="1">
        <f t="array" ref="R53">IF(OR(ISBLANK($A53),ISBLANK(E53)), "", TrajectoryInCM(E53,$A53,R$47))</f>
        <v/>
      </c>
      <c r="S53" s="9" t="str" cm="1">
        <f t="array" ref="S53">IF(OR(ISBLANK($A53),ISBLANK(F54)), "", TrajectoryInCM(F54,$A53,S$47))</f>
        <v/>
      </c>
      <c r="T53" s="9" t="str" cm="1">
        <f t="array" ref="T53">IF(OR(ISBLANK($A53),ISBLANK(G54)), "", TrajectoryInCM(G54,$A53,T$47))</f>
        <v/>
      </c>
      <c r="U53" s="9" t="str" cm="1">
        <f t="array" ref="U53">IF(OR(ISBLANK($A53),ISBLANK(H53)), "", TrajectoryInCM(H53,$A53,U$47))</f>
        <v/>
      </c>
      <c r="V53" s="9" t="str" cm="1">
        <f t="array" ref="V53">IF(OR(ISBLANK($A53),ISBLANK(I53)), "", TrajectoryInCM(I53,$A53,V$47))</f>
        <v/>
      </c>
      <c r="W53" s="19" t="str" cm="1">
        <f t="array" ref="W53">IF(OR(ISBLANK($A53),ISBLANK(J53)), "", TrajectoryInCM(J53,$A53,W$47))</f>
        <v/>
      </c>
      <c r="X53" s="19" t="str" cm="1">
        <f t="array" ref="X53">IF(OR(ISBLANK($A53),ISBLANK(K53)), "", TrajectoryInCM(K53,$A53,X$47))</f>
        <v/>
      </c>
      <c r="Y53" s="19" t="str" cm="1">
        <f t="array" ref="Y53">IF(OR(ISBLANK($A53),ISBLANK(L53)), "", TrajectoryInCM(L53,$A53,Y$47))</f>
        <v/>
      </c>
      <c r="Z53" s="19" t="str" cm="1">
        <f t="array" ref="Z53">IF(OR(ISBLANK($A53),ISBLANK(M53)), "", TrajectoryInCM(M53,$A53,Z$47))</f>
        <v/>
      </c>
      <c r="AA53" s="19" t="str" cm="1">
        <f t="array" ref="AA53">IF(OR(ISBLANK($A53),ISBLANK(N53)), "", TrajectoryInCM(N53,$A53,AA$47))</f>
        <v/>
      </c>
      <c r="AB53" s="19" t="str" cm="1">
        <f t="array" ref="AB53">IF(OR(ISBLANK($A53),ISBLANK(O53)), "", TrajectoryInCM(O53,$A53,AB$47))</f>
        <v/>
      </c>
      <c r="AC53" s="18" t="str" cm="1">
        <f t="array" ref="AC53">IF(OR(ISBLANK($O$8),ISBLANK($I$3)),"",TrajectoryErrorCM($O$8,1,$A53))</f>
        <v/>
      </c>
    </row>
    <row r="54" spans="1:29" x14ac:dyDescent="0.25">
      <c r="A54" s="1">
        <v>50</v>
      </c>
      <c r="B54" s="1"/>
      <c r="C54" s="10"/>
      <c r="D54" s="7"/>
      <c r="E54" s="6"/>
      <c r="F54" s="6"/>
      <c r="G54" s="6"/>
      <c r="H54" s="6"/>
      <c r="I54" s="6"/>
      <c r="J54" s="10"/>
      <c r="K54" s="10"/>
      <c r="L54" s="10"/>
      <c r="M54" s="10"/>
      <c r="N54" s="10"/>
      <c r="O54" s="10"/>
      <c r="P54" s="19" t="str" cm="1">
        <f t="array" ref="P54">IF(OR(ISBLANK($A54),ISBLANK(C54)), "", TrajectoryInCM(C54,$A54,P$47))</f>
        <v/>
      </c>
      <c r="Q54" s="7" t="str" cm="1">
        <f t="array" ref="Q54">IF(OR(ISBLANK($A54),ISBLANK(D54)), "", TrajectoryInCM(D54,$A54,Q$47))</f>
        <v/>
      </c>
      <c r="R54" s="6" t="str" cm="1">
        <f t="array" ref="R54">IF(OR(ISBLANK($A54),ISBLANK(E54)), "", TrajectoryInCM(E54,$A54,R$47))</f>
        <v/>
      </c>
      <c r="S54" s="6" t="str" cm="1">
        <f t="array" ref="S54">IF(OR(ISBLANK($A54),ISBLANK(F55)), "", TrajectoryInCM(F55,$A54,S$47))</f>
        <v/>
      </c>
      <c r="T54" s="6" t="str" cm="1">
        <f t="array" ref="T54">IF(OR(ISBLANK($A54),ISBLANK(G55)), "", TrajectoryInCM(G55,$A54,T$47))</f>
        <v/>
      </c>
      <c r="U54" s="6" t="str" cm="1">
        <f t="array" ref="U54">IF(OR(ISBLANK($A54),ISBLANK(H54)), "", TrajectoryInCM(H54,$A54,U$47))</f>
        <v/>
      </c>
      <c r="V54" s="6" t="str" cm="1">
        <f t="array" ref="V54">IF(OR(ISBLANK($A54),ISBLANK(I54)), "", TrajectoryInCM(I54,$A54,V$47))</f>
        <v/>
      </c>
      <c r="W54" s="10" t="str" cm="1">
        <f t="array" ref="W54">IF(OR(ISBLANK($A54),ISBLANK(J54)), "", TrajectoryInCM(J54,$A54,W$47))</f>
        <v/>
      </c>
      <c r="X54" s="10" t="str" cm="1">
        <f t="array" ref="X54">IF(OR(ISBLANK($A54),ISBLANK(K54)), "", TrajectoryInCM(K54,$A54,X$47))</f>
        <v/>
      </c>
      <c r="Y54" s="10" t="str" cm="1">
        <f t="array" ref="Y54">IF(OR(ISBLANK($A54),ISBLANK(L54)), "", TrajectoryInCM(L54,$A54,Y$47))</f>
        <v/>
      </c>
      <c r="Z54" s="10" t="str" cm="1">
        <f t="array" ref="Z54">IF(OR(ISBLANK($A54),ISBLANK(M54)), "", TrajectoryInCM(M54,$A54,Z$47))</f>
        <v/>
      </c>
      <c r="AA54" s="10" t="str" cm="1">
        <f t="array" ref="AA54">IF(OR(ISBLANK($A54),ISBLANK(N54)), "", TrajectoryInCM(N54,$A54,AA$47))</f>
        <v/>
      </c>
      <c r="AB54" s="10" t="str" cm="1">
        <f t="array" ref="AB54">IF(OR(ISBLANK($A54),ISBLANK(O54)), "", TrajectoryInCM(O54,$A54,AB$47))</f>
        <v/>
      </c>
      <c r="AC54" s="18" t="str" cm="1">
        <f t="array" ref="AC54">IF(OR(ISBLANK($O$8),ISBLANK($I$3)),"",TrajectoryErrorCM($O$8,1,$A54))</f>
        <v/>
      </c>
    </row>
    <row r="55" spans="1:29" x14ac:dyDescent="0.25">
      <c r="A55" s="1">
        <v>75</v>
      </c>
      <c r="B55" s="1"/>
      <c r="C55" s="10"/>
      <c r="D55" s="6"/>
      <c r="E55" s="6"/>
      <c r="F55" s="6"/>
      <c r="G55" s="6"/>
      <c r="H55" s="6"/>
      <c r="I55" s="6"/>
      <c r="J55" s="10"/>
      <c r="K55" s="10"/>
      <c r="L55" s="10"/>
      <c r="M55" s="10"/>
      <c r="N55" s="10"/>
      <c r="O55" s="10"/>
      <c r="P55" s="19" t="str" cm="1">
        <f t="array" ref="P55">IF(OR(ISBLANK($A55),ISBLANK(C55)), "", TrajectoryInCM(C55,$A55,P$47))</f>
        <v/>
      </c>
      <c r="Q55" s="6" t="str" cm="1">
        <f t="array" ref="Q55">IF(OR(ISBLANK($A55),ISBLANK(D55)), "", TrajectoryInCM(D55,$A55,Q$47))</f>
        <v/>
      </c>
      <c r="R55" s="6" t="str" cm="1">
        <f t="array" ref="R55">IF(OR(ISBLANK($A55),ISBLANK(E55)), "", TrajectoryInCM(E55,$A55,R$47))</f>
        <v/>
      </c>
      <c r="S55" s="6" t="str" cm="1">
        <f t="array" ref="S55">IF(OR(ISBLANK($A55),ISBLANK(F56)), "", TrajectoryInCM(F56,$A55,S$47))</f>
        <v/>
      </c>
      <c r="T55" s="6" t="str" cm="1">
        <f t="array" ref="T55">IF(OR(ISBLANK($A55),ISBLANK(G56)), "", TrajectoryInCM(G56,$A55,T$47))</f>
        <v/>
      </c>
      <c r="U55" s="6" t="str" cm="1">
        <f t="array" ref="U55">IF(OR(ISBLANK($A55),ISBLANK(H55)), "", TrajectoryInCM(H55,$A55,U$47))</f>
        <v/>
      </c>
      <c r="V55" s="6" t="str" cm="1">
        <f t="array" ref="V55">IF(OR(ISBLANK($A55),ISBLANK(I55)), "", TrajectoryInCM(I55,$A55,V$47))</f>
        <v/>
      </c>
      <c r="W55" s="10" t="str" cm="1">
        <f t="array" ref="W55">IF(OR(ISBLANK($A55),ISBLANK(J55)), "", TrajectoryInCM(J55,$A55,W$47))</f>
        <v/>
      </c>
      <c r="X55" s="10" t="str" cm="1">
        <f t="array" ref="X55">IF(OR(ISBLANK($A55),ISBLANK(K55)), "", TrajectoryInCM(K55,$A55,X$47))</f>
        <v/>
      </c>
      <c r="Y55" s="10" t="str" cm="1">
        <f t="array" ref="Y55">IF(OR(ISBLANK($A55),ISBLANK(L55)), "", TrajectoryInCM(L55,$A55,Y$47))</f>
        <v/>
      </c>
      <c r="Z55" s="10" t="str" cm="1">
        <f t="array" ref="Z55">IF(OR(ISBLANK($A55),ISBLANK(M55)), "", TrajectoryInCM(M55,$A55,Z$47))</f>
        <v/>
      </c>
      <c r="AA55" s="10" t="str" cm="1">
        <f t="array" ref="AA55">IF(OR(ISBLANK($A55),ISBLANK(N55)), "", TrajectoryInCM(N55,$A55,AA$47))</f>
        <v/>
      </c>
      <c r="AB55" s="10" t="str" cm="1">
        <f t="array" ref="AB55">IF(OR(ISBLANK($A55),ISBLANK(O55)), "", TrajectoryInCM(O55,$A55,AB$47))</f>
        <v/>
      </c>
      <c r="AC55" s="18" t="str" cm="1">
        <f t="array" ref="AC55">IF(OR(ISBLANK($O$8),ISBLANK($I$3)),"",TrajectoryErrorCM($O$8,1,$A55))</f>
        <v/>
      </c>
    </row>
    <row r="56" spans="1:29" x14ac:dyDescent="0.25">
      <c r="A56" s="1">
        <v>100</v>
      </c>
      <c r="B56" s="1"/>
      <c r="C56" s="10"/>
      <c r="D56" s="6"/>
      <c r="E56" s="7"/>
      <c r="F56" s="6"/>
      <c r="G56" s="6"/>
      <c r="H56" s="6"/>
      <c r="I56" s="6"/>
      <c r="J56" s="10"/>
      <c r="K56" s="10"/>
      <c r="L56" s="10"/>
      <c r="M56" s="10"/>
      <c r="N56" s="10"/>
      <c r="O56" s="10"/>
      <c r="P56" s="19" t="str" cm="1">
        <f t="array" ref="P56">IF(OR(ISBLANK($A56),ISBLANK(C56)), "", TrajectoryInCM(C56,$A56,P$47))</f>
        <v/>
      </c>
      <c r="Q56" s="6" t="str" cm="1">
        <f t="array" ref="Q56">IF(OR(ISBLANK($A56),ISBLANK(D56)), "", TrajectoryInCM(D56,$A56,Q$47))</f>
        <v/>
      </c>
      <c r="R56" s="7" t="str" cm="1">
        <f t="array" ref="R56">IF(OR(ISBLANK($A56),ISBLANK(E56)), "", TrajectoryInCM(E56,$A56,R$47))</f>
        <v/>
      </c>
      <c r="S56" s="6" t="str" cm="1">
        <f t="array" ref="S56">IF(OR(ISBLANK($A56),ISBLANK(F57)), "", TrajectoryInCM(F57,$A56,S$47))</f>
        <v/>
      </c>
      <c r="T56" s="6" t="str" cm="1">
        <f t="array" ref="T56">IF(OR(ISBLANK($A56),ISBLANK(G57)), "", TrajectoryInCM(G57,$A56,T$47))</f>
        <v/>
      </c>
      <c r="U56" s="6" t="str" cm="1">
        <f t="array" ref="U56">IF(OR(ISBLANK($A56),ISBLANK(H56)), "", TrajectoryInCM(H56,$A56,U$47))</f>
        <v/>
      </c>
      <c r="V56" s="6" t="str" cm="1">
        <f t="array" ref="V56">IF(OR(ISBLANK($A56),ISBLANK(I56)), "", TrajectoryInCM(I56,$A56,V$47))</f>
        <v/>
      </c>
      <c r="W56" s="10" t="str" cm="1">
        <f t="array" ref="W56">IF(OR(ISBLANK($A56),ISBLANK(J56)), "", TrajectoryInCM(J56,$A56,W$47))</f>
        <v/>
      </c>
      <c r="X56" s="10" t="str" cm="1">
        <f t="array" ref="X56">IF(OR(ISBLANK($A56),ISBLANK(K56)), "", TrajectoryInCM(K56,$A56,X$47))</f>
        <v/>
      </c>
      <c r="Y56" s="10" t="str" cm="1">
        <f t="array" ref="Y56">IF(OR(ISBLANK($A56),ISBLANK(L56)), "", TrajectoryInCM(L56,$A56,Y$47))</f>
        <v/>
      </c>
      <c r="Z56" s="10" t="str" cm="1">
        <f t="array" ref="Z56">IF(OR(ISBLANK($A56),ISBLANK(M56)), "", TrajectoryInCM(M56,$A56,Z$47))</f>
        <v/>
      </c>
      <c r="AA56" s="10" t="str" cm="1">
        <f t="array" ref="AA56">IF(OR(ISBLANK($A56),ISBLANK(N56)), "", TrajectoryInCM(N56,$A56,AA$47))</f>
        <v/>
      </c>
      <c r="AB56" s="10" t="str" cm="1">
        <f t="array" ref="AB56">IF(OR(ISBLANK($A56),ISBLANK(O56)), "", TrajectoryInCM(O56,$A56,AB$47))</f>
        <v/>
      </c>
      <c r="AC56" s="18" t="str" cm="1">
        <f t="array" ref="AC56">IF(OR(ISBLANK($O$8),ISBLANK($I$3)),"",TrajectoryErrorCM($O$8,1,$A56))</f>
        <v/>
      </c>
    </row>
    <row r="57" spans="1:29" ht="15" customHeight="1" x14ac:dyDescent="0.25">
      <c r="A57" s="1">
        <v>125</v>
      </c>
      <c r="B57" s="1"/>
      <c r="C57" s="10"/>
      <c r="D57" s="6"/>
      <c r="E57" s="6"/>
      <c r="F57" s="6"/>
      <c r="G57" s="6"/>
      <c r="H57" s="6"/>
      <c r="I57" s="6"/>
      <c r="J57" s="10"/>
      <c r="K57" s="10"/>
      <c r="L57" s="10"/>
      <c r="M57" s="10"/>
      <c r="N57" s="10"/>
      <c r="O57" s="10"/>
      <c r="P57" s="19" t="str" cm="1">
        <f t="array" ref="P57">IF(OR(ISBLANK($A57),ISBLANK(C57)), "", TrajectoryInCM(C57,$A57,P$47))</f>
        <v/>
      </c>
      <c r="Q57" s="6" t="str" cm="1">
        <f t="array" ref="Q57">IF(OR(ISBLANK($A57),ISBLANK(D57)), "", TrajectoryInCM(D57,$A57,Q$47))</f>
        <v/>
      </c>
      <c r="R57" s="6" t="str" cm="1">
        <f t="array" ref="R57">IF(OR(ISBLANK($A57),ISBLANK(E57)), "", TrajectoryInCM(E57,$A57,R$47))</f>
        <v/>
      </c>
      <c r="S57" s="6" t="str" cm="1">
        <f t="array" ref="S57">IF(OR(ISBLANK($A57),ISBLANK(F58)), "", TrajectoryInCM(F58,$A57,S$47))</f>
        <v/>
      </c>
      <c r="T57" s="6" t="str" cm="1">
        <f t="array" ref="T57">IF(OR(ISBLANK($A57),ISBLANK(G58)), "", TrajectoryInCM(G58,$A57,T$47))</f>
        <v/>
      </c>
      <c r="U57" s="6" t="str" cm="1">
        <f t="array" ref="U57">IF(OR(ISBLANK($A57),ISBLANK(H57)), "", TrajectoryInCM(H57,$A57,U$47))</f>
        <v/>
      </c>
      <c r="V57" s="6" t="str" cm="1">
        <f t="array" ref="V57">IF(OR(ISBLANK($A57),ISBLANK(I57)), "", TrajectoryInCM(I57,$A57,V$47))</f>
        <v/>
      </c>
      <c r="W57" s="10" t="str" cm="1">
        <f t="array" ref="W57">IF(OR(ISBLANK($A57),ISBLANK(J57)), "", TrajectoryInCM(J57,$A57,W$47))</f>
        <v/>
      </c>
      <c r="X57" s="10" t="str" cm="1">
        <f t="array" ref="X57">IF(OR(ISBLANK($A57),ISBLANK(K57)), "", TrajectoryInCM(K57,$A57,X$47))</f>
        <v/>
      </c>
      <c r="Y57" s="10" t="str" cm="1">
        <f t="array" ref="Y57">IF(OR(ISBLANK($A57),ISBLANK(L57)), "", TrajectoryInCM(L57,$A57,Y$47))</f>
        <v/>
      </c>
      <c r="Z57" s="10" t="str" cm="1">
        <f t="array" ref="Z57">IF(OR(ISBLANK($A57),ISBLANK(M57)), "", TrajectoryInCM(M57,$A57,Z$47))</f>
        <v/>
      </c>
      <c r="AA57" s="10" t="str" cm="1">
        <f t="array" ref="AA57">IF(OR(ISBLANK($A57),ISBLANK(N57)), "", TrajectoryInCM(N57,$A57,AA$47))</f>
        <v/>
      </c>
      <c r="AB57" s="10" t="str" cm="1">
        <f t="array" ref="AB57">IF(OR(ISBLANK($A57),ISBLANK(O57)), "", TrajectoryInCM(O57,$A57,AB$47))</f>
        <v/>
      </c>
      <c r="AC57" s="18" t="str" cm="1">
        <f t="array" ref="AC57">IF(OR(ISBLANK($O$8),ISBLANK($I$3)),"",TrajectoryErrorCM($O$8,1,$A57))</f>
        <v/>
      </c>
    </row>
    <row r="58" spans="1:29" x14ac:dyDescent="0.25">
      <c r="A58" s="1">
        <v>150</v>
      </c>
      <c r="B58" s="1"/>
      <c r="C58" s="10"/>
      <c r="D58" s="6"/>
      <c r="E58" s="6"/>
      <c r="F58" s="7"/>
      <c r="G58" s="6"/>
      <c r="H58" s="6"/>
      <c r="I58" s="6"/>
      <c r="J58" s="10"/>
      <c r="K58" s="10"/>
      <c r="L58" s="10"/>
      <c r="M58" s="10"/>
      <c r="N58" s="10"/>
      <c r="O58" s="10"/>
      <c r="P58" s="19" t="str" cm="1">
        <f t="array" ref="P58">IF(OR(ISBLANK($A58),ISBLANK(C58)), "", TrajectoryInCM(C58,$A58,P$47))</f>
        <v/>
      </c>
      <c r="Q58" s="6" t="str" cm="1">
        <f t="array" ref="Q58">IF(OR(ISBLANK($A58),ISBLANK(D58)), "", TrajectoryInCM(D58,$A58,Q$47))</f>
        <v/>
      </c>
      <c r="R58" s="6" t="str" cm="1">
        <f t="array" ref="R58">IF(OR(ISBLANK($A58),ISBLANK(E58)), "", TrajectoryInCM(E58,$A58,R$47))</f>
        <v/>
      </c>
      <c r="S58" s="7" t="str" cm="1">
        <f t="array" ref="S58">IF(OR(ISBLANK($A58),ISBLANK(F59)), "", TrajectoryInCM(F59,$A58,S$47))</f>
        <v/>
      </c>
      <c r="T58" s="6" t="str" cm="1">
        <f t="array" ref="T58">IF(OR(ISBLANK($A58),ISBLANK(G59)), "", TrajectoryInCM(G59,$A58,T$47))</f>
        <v/>
      </c>
      <c r="U58" s="6" t="str" cm="1">
        <f t="array" ref="U58">IF(OR(ISBLANK($A58),ISBLANK(H58)), "", TrajectoryInCM(H58,$A58,U$47))</f>
        <v/>
      </c>
      <c r="V58" s="6" t="str" cm="1">
        <f t="array" ref="V58">IF(OR(ISBLANK($A58),ISBLANK(I58)), "", TrajectoryInCM(I58,$A58,V$47))</f>
        <v/>
      </c>
      <c r="W58" s="10" t="str" cm="1">
        <f t="array" ref="W58">IF(OR(ISBLANK($A58),ISBLANK(J58)), "", TrajectoryInCM(J58,$A58,W$47))</f>
        <v/>
      </c>
      <c r="X58" s="10" t="str" cm="1">
        <f t="array" ref="X58">IF(OR(ISBLANK($A58),ISBLANK(K58)), "", TrajectoryInCM(K58,$A58,X$47))</f>
        <v/>
      </c>
      <c r="Y58" s="10" t="str" cm="1">
        <f t="array" ref="Y58">IF(OR(ISBLANK($A58),ISBLANK(L58)), "", TrajectoryInCM(L58,$A58,Y$47))</f>
        <v/>
      </c>
      <c r="Z58" s="10" t="str" cm="1">
        <f t="array" ref="Z58">IF(OR(ISBLANK($A58),ISBLANK(M58)), "", TrajectoryInCM(M58,$A58,Z$47))</f>
        <v/>
      </c>
      <c r="AA58" s="10" t="str" cm="1">
        <f t="array" ref="AA58">IF(OR(ISBLANK($A58),ISBLANK(N58)), "", TrajectoryInCM(N58,$A58,AA$47))</f>
        <v/>
      </c>
      <c r="AB58" s="10" t="str" cm="1">
        <f t="array" ref="AB58">IF(OR(ISBLANK($A58),ISBLANK(O58)), "", TrajectoryInCM(O58,$A58,AB$47))</f>
        <v/>
      </c>
      <c r="AC58" s="18" t="str" cm="1">
        <f t="array" ref="AC58">IF(OR(ISBLANK($O$8),ISBLANK($I$3)),"",TrajectoryErrorCM($O$8,1,$A58))</f>
        <v/>
      </c>
    </row>
    <row r="59" spans="1:29" x14ac:dyDescent="0.25">
      <c r="A59" s="1">
        <v>200</v>
      </c>
      <c r="B59" s="1"/>
      <c r="C59" s="10"/>
      <c r="D59" s="6"/>
      <c r="E59" s="6"/>
      <c r="F59" s="12"/>
      <c r="G59" s="7"/>
      <c r="H59" s="6"/>
      <c r="I59" s="6"/>
      <c r="J59" s="10"/>
      <c r="K59" s="10"/>
      <c r="L59" s="10"/>
      <c r="M59" s="10"/>
      <c r="N59" s="10"/>
      <c r="O59" s="10"/>
      <c r="P59" s="19" t="str" cm="1">
        <f t="array" ref="P59">IF(OR(ISBLANK($A59),ISBLANK(C59)), "", TrajectoryInCM(C59,$A59,P$47))</f>
        <v/>
      </c>
      <c r="Q59" s="6" t="str" cm="1">
        <f t="array" ref="Q59">IF(OR(ISBLANK($A59),ISBLANK(D59)), "", TrajectoryInCM(D59,$A59,Q$47))</f>
        <v/>
      </c>
      <c r="R59" s="6" t="str" cm="1">
        <f t="array" ref="R59">IF(OR(ISBLANK($A59),ISBLANK(E59)), "", TrajectoryInCM(E59,$A59,R$47))</f>
        <v/>
      </c>
      <c r="S59" s="6" t="str" cm="1">
        <f t="array" ref="S59">IF(OR(ISBLANK($A59),ISBLANK(F60)), "", TrajectoryInCM(F60,$A59,S$47))</f>
        <v/>
      </c>
      <c r="T59" s="7" t="str" cm="1">
        <f t="array" ref="T59">IF(OR(ISBLANK($A59),ISBLANK(G60)), "", TrajectoryInCM(G60,$A59,T$47))</f>
        <v/>
      </c>
      <c r="U59" s="6" t="str" cm="1">
        <f t="array" ref="U59">IF(OR(ISBLANK($A59),ISBLANK(H59)), "", TrajectoryInCM(H59,$A59,U$47))</f>
        <v/>
      </c>
      <c r="V59" s="6" t="str" cm="1">
        <f t="array" ref="V59">IF(OR(ISBLANK($A59),ISBLANK(I59)), "", TrajectoryInCM(I59,$A59,V$47))</f>
        <v/>
      </c>
      <c r="W59" s="10" t="str" cm="1">
        <f t="array" ref="W59">IF(OR(ISBLANK($A59),ISBLANK(J59)), "", TrajectoryInCM(J59,$A59,W$47))</f>
        <v/>
      </c>
      <c r="X59" s="10" t="str" cm="1">
        <f t="array" ref="X59">IF(OR(ISBLANK($A59),ISBLANK(K59)), "", TrajectoryInCM(K59,$A59,X$47))</f>
        <v/>
      </c>
      <c r="Y59" s="10" t="str" cm="1">
        <f t="array" ref="Y59">IF(OR(ISBLANK($A59),ISBLANK(L59)), "", TrajectoryInCM(L59,$A59,Y$47))</f>
        <v/>
      </c>
      <c r="Z59" s="10" t="str" cm="1">
        <f t="array" ref="Z59">IF(OR(ISBLANK($A59),ISBLANK(M59)), "", TrajectoryInCM(M59,$A59,Z$47))</f>
        <v/>
      </c>
      <c r="AA59" s="10" t="str" cm="1">
        <f t="array" ref="AA59">IF(OR(ISBLANK($A59),ISBLANK(N59)), "", TrajectoryInCM(N59,$A59,AA$47))</f>
        <v/>
      </c>
      <c r="AB59" s="10" t="str" cm="1">
        <f t="array" ref="AB59">IF(OR(ISBLANK($A59),ISBLANK(O59)), "", TrajectoryInCM(O59,$A59,AB$47))</f>
        <v/>
      </c>
      <c r="AC59" s="18" t="str" cm="1">
        <f t="array" ref="AC59">IF(OR(ISBLANK($O$8),ISBLANK($I$3)),"",TrajectoryErrorCM($O$8,1,$A59))</f>
        <v/>
      </c>
    </row>
    <row r="60" spans="1:29" x14ac:dyDescent="0.25">
      <c r="A60" s="1">
        <v>250</v>
      </c>
      <c r="B60" s="1"/>
      <c r="C60" s="10"/>
      <c r="D60" s="6"/>
      <c r="E60" s="6"/>
      <c r="F60" s="6"/>
      <c r="G60" s="12"/>
      <c r="H60" s="6"/>
      <c r="I60" s="6"/>
      <c r="J60" s="10"/>
      <c r="K60" s="10"/>
      <c r="L60" s="10"/>
      <c r="M60" s="10"/>
      <c r="N60" s="10"/>
      <c r="O60" s="10"/>
      <c r="P60" s="19" t="str" cm="1">
        <f t="array" ref="P60">IF(OR(ISBLANK($A60),ISBLANK(C60)), "", TrajectoryInCM(C60,$A60,P$47))</f>
        <v/>
      </c>
      <c r="Q60" s="6" t="str" cm="1">
        <f t="array" ref="Q60">IF(OR(ISBLANK($A60),ISBLANK(D60)), "", TrajectoryInCM(D60,$A60,Q$47))</f>
        <v/>
      </c>
      <c r="R60" s="6" t="str" cm="1">
        <f t="array" ref="R60">IF(OR(ISBLANK($A60),ISBLANK(E60)), "", TrajectoryInCM(E60,$A60,R$47))</f>
        <v/>
      </c>
      <c r="S60" s="6" t="str" cm="1">
        <f t="array" ref="S60">IF(OR(ISBLANK($A60),ISBLANK(F61)), "", TrajectoryInCM(F61,$A60,S$47))</f>
        <v/>
      </c>
      <c r="T60" s="6" t="str" cm="1">
        <f t="array" ref="T60">IF(OR(ISBLANK($A60),ISBLANK(G61)), "", TrajectoryInCM(G61,$A60,T$47))</f>
        <v/>
      </c>
      <c r="U60" s="6" t="str" cm="1">
        <f t="array" ref="U60">IF(OR(ISBLANK($A60),ISBLANK(H60)), "", TrajectoryInCM(H60,$A60,U$47))</f>
        <v/>
      </c>
      <c r="V60" s="6" t="str" cm="1">
        <f t="array" ref="V60">IF(OR(ISBLANK($A60),ISBLANK(I60)), "", TrajectoryInCM(I60,$A60,V$47))</f>
        <v/>
      </c>
      <c r="W60" s="10" t="str" cm="1">
        <f t="array" ref="W60">IF(OR(ISBLANK($A60),ISBLANK(J60)), "", TrajectoryInCM(J60,$A60,W$47))</f>
        <v/>
      </c>
      <c r="X60" s="10" t="str" cm="1">
        <f t="array" ref="X60">IF(OR(ISBLANK($A60),ISBLANK(K60)), "", TrajectoryInCM(K60,$A60,X$47))</f>
        <v/>
      </c>
      <c r="Y60" s="10" t="str" cm="1">
        <f t="array" ref="Y60">IF(OR(ISBLANK($A60),ISBLANK(L60)), "", TrajectoryInCM(L60,$A60,Y$47))</f>
        <v/>
      </c>
      <c r="Z60" s="10" t="str" cm="1">
        <f t="array" ref="Z60">IF(OR(ISBLANK($A60),ISBLANK(M60)), "", TrajectoryInCM(M60,$A60,Z$47))</f>
        <v/>
      </c>
      <c r="AA60" s="10" t="str" cm="1">
        <f t="array" ref="AA60">IF(OR(ISBLANK($A60),ISBLANK(N60)), "", TrajectoryInCM(N60,$A60,AA$47))</f>
        <v/>
      </c>
      <c r="AB60" s="10" t="str" cm="1">
        <f t="array" ref="AB60">IF(OR(ISBLANK($A60),ISBLANK(O60)), "", TrajectoryInCM(O60,$A60,AB$47))</f>
        <v/>
      </c>
      <c r="AC60" s="18" t="str" cm="1">
        <f t="array" ref="AC60">IF(OR(ISBLANK($O$8),ISBLANK($I$3)),"",TrajectoryErrorCM($O$8,1,$A60))</f>
        <v/>
      </c>
    </row>
    <row r="61" spans="1:29" x14ac:dyDescent="0.25">
      <c r="A61" s="1">
        <v>300</v>
      </c>
      <c r="B61" s="1"/>
      <c r="C61" s="13"/>
      <c r="D61" s="6"/>
      <c r="E61" s="6"/>
      <c r="F61" s="6"/>
      <c r="G61" s="6"/>
      <c r="H61" s="7"/>
      <c r="I61" s="12"/>
      <c r="J61" s="13"/>
      <c r="K61" s="13"/>
      <c r="L61" s="13"/>
      <c r="M61" s="13"/>
      <c r="N61" s="13"/>
      <c r="O61" s="13"/>
      <c r="P61" s="19" t="str" cm="1">
        <f t="array" ref="P61">IF(OR(ISBLANK($A61),ISBLANK(C61)), "", TrajectoryInCM(C61,$A61,P$47))</f>
        <v/>
      </c>
      <c r="Q61" s="6" t="str" cm="1">
        <f t="array" ref="Q61">IF(OR(ISBLANK($A61),ISBLANK(D61)), "", TrajectoryInCM(D61,$A61,Q$47))</f>
        <v/>
      </c>
      <c r="R61" s="6" t="str" cm="1">
        <f t="array" ref="R61">IF(OR(ISBLANK($A61),ISBLANK(E61)), "", TrajectoryInCM(E61,$A61,R$47))</f>
        <v/>
      </c>
      <c r="S61" s="6" t="str" cm="1">
        <f t="array" ref="S61">IF(OR(ISBLANK($A61),ISBLANK(F62)), "", TrajectoryInCM(F62,$A61,S$47))</f>
        <v/>
      </c>
      <c r="T61" s="6" t="str" cm="1">
        <f t="array" ref="T61">IF(OR(ISBLANK($A61),ISBLANK(G62)), "", TrajectoryInCM(G62,$A61,T$47))</f>
        <v/>
      </c>
      <c r="U61" s="7" t="str" cm="1">
        <f t="array" ref="U61">IF(OR(ISBLANK($A61),ISBLANK(H61)), "", TrajectoryInCM(H61,$A61,U$47))</f>
        <v/>
      </c>
      <c r="V61" s="12" t="str" cm="1">
        <f t="array" ref="V61">IF(OR(ISBLANK($A61),ISBLANK(I61)), "", TrajectoryInCM(I61,$A61,V$47))</f>
        <v/>
      </c>
      <c r="W61" s="13" t="str" cm="1">
        <f t="array" ref="W61">IF(OR(ISBLANK($A61),ISBLANK(J61)), "", TrajectoryInCM(J61,$A61,W$47))</f>
        <v/>
      </c>
      <c r="X61" s="13" t="str" cm="1">
        <f t="array" ref="X61">IF(OR(ISBLANK($A61),ISBLANK(K61)), "", TrajectoryInCM(K61,$A61,X$47))</f>
        <v/>
      </c>
      <c r="Y61" s="13" t="str" cm="1">
        <f t="array" ref="Y61">IF(OR(ISBLANK($A61),ISBLANK(L61)), "", TrajectoryInCM(L61,$A61,Y$47))</f>
        <v/>
      </c>
      <c r="Z61" s="13" t="str" cm="1">
        <f t="array" ref="Z61">IF(OR(ISBLANK($A61),ISBLANK(M61)), "", TrajectoryInCM(M61,$A61,Z$47))</f>
        <v/>
      </c>
      <c r="AA61" s="13" t="str" cm="1">
        <f t="array" ref="AA61">IF(OR(ISBLANK($A61),ISBLANK(N61)), "", TrajectoryInCM(N61,$A61,AA$47))</f>
        <v/>
      </c>
      <c r="AB61" s="13" t="str" cm="1">
        <f t="array" ref="AB61">IF(OR(ISBLANK($A61),ISBLANK(O61)), "", TrajectoryInCM(O61,$A61,AB$47))</f>
        <v/>
      </c>
      <c r="AC61" s="18" t="str" cm="1">
        <f t="array" ref="AC61">IF(OR(ISBLANK($O$8),ISBLANK($I$3)),"",TrajectoryErrorCM($O$8,1,$A61))</f>
        <v/>
      </c>
    </row>
    <row r="62" spans="1:29" x14ac:dyDescent="0.25">
      <c r="A62" s="1">
        <v>350</v>
      </c>
      <c r="B62" s="1"/>
      <c r="C62" s="13"/>
      <c r="D62" s="12"/>
      <c r="E62" s="12"/>
      <c r="F62" s="6"/>
      <c r="G62" s="6"/>
      <c r="H62" s="12"/>
      <c r="I62" s="12"/>
      <c r="J62" s="13"/>
      <c r="K62" s="13"/>
      <c r="L62" s="13"/>
      <c r="M62" s="13"/>
      <c r="N62" s="13"/>
      <c r="O62" s="13"/>
      <c r="P62" s="20" t="str" cm="1">
        <f t="array" ref="P62">IF(OR(ISBLANK($A62),ISBLANK(C62)), "", TrajectoryInCM(C62,$A62,P$47))</f>
        <v/>
      </c>
      <c r="Q62" s="12" t="str" cm="1">
        <f t="array" ref="Q62">IF(OR(ISBLANK($A62),ISBLANK(D62)), "", TrajectoryInCM(D62,$A62,Q$47))</f>
        <v/>
      </c>
      <c r="R62" s="12" t="str" cm="1">
        <f t="array" ref="R62">IF(OR(ISBLANK($A62),ISBLANK(E62)), "", TrajectoryInCM(E62,$A62,R$47))</f>
        <v/>
      </c>
      <c r="S62" s="12" t="str" cm="1">
        <f t="array" ref="S62">IF(OR(ISBLANK($A62),ISBLANK(F63)), "", TrajectoryInCM(F63,$A62,S$47))</f>
        <v/>
      </c>
      <c r="T62" s="12" t="str" cm="1">
        <f t="array" ref="T62">IF(OR(ISBLANK($A62),ISBLANK(G63)), "", TrajectoryInCM(G63,$A62,T$47))</f>
        <v/>
      </c>
      <c r="U62" s="12" t="str" cm="1">
        <f t="array" ref="U62">IF(OR(ISBLANK($A62),ISBLANK(H62)), "", TrajectoryInCM(H62,$A62,U$47))</f>
        <v/>
      </c>
      <c r="V62" s="12" t="str" cm="1">
        <f t="array" ref="V62">IF(OR(ISBLANK($A62),ISBLANK(I62)), "", TrajectoryInCM(I62,$A62,V$47))</f>
        <v/>
      </c>
      <c r="W62" s="13" t="str" cm="1">
        <f t="array" ref="W62">IF(OR(ISBLANK($A62),ISBLANK(J62)), "", TrajectoryInCM(J62,$A62,W$47))</f>
        <v/>
      </c>
      <c r="X62" s="13" t="str" cm="1">
        <f t="array" ref="X62">IF(OR(ISBLANK($A62),ISBLANK(K62)), "", TrajectoryInCM(K62,$A62,X$47))</f>
        <v/>
      </c>
      <c r="Y62" s="13" t="str" cm="1">
        <f t="array" ref="Y62">IF(OR(ISBLANK($A62),ISBLANK(L62)), "", TrajectoryInCM(L62,$A62,Y$47))</f>
        <v/>
      </c>
      <c r="Z62" s="13" t="str" cm="1">
        <f t="array" ref="Z62">IF(OR(ISBLANK($A62),ISBLANK(M62)), "", TrajectoryInCM(M62,$A62,Z$47))</f>
        <v/>
      </c>
      <c r="AA62" s="13" t="str" cm="1">
        <f t="array" ref="AA62">IF(OR(ISBLANK($A62),ISBLANK(N62)), "", TrajectoryInCM(N62,$A62,AA$47))</f>
        <v/>
      </c>
      <c r="AB62" s="13" t="str" cm="1">
        <f t="array" ref="AB62">IF(OR(ISBLANK($A62),ISBLANK(O62)), "", TrajectoryInCM(O62,$A62,AB$47))</f>
        <v/>
      </c>
      <c r="AC62" s="18" t="str" cm="1">
        <f t="array" ref="AC62">IF(OR(ISBLANK($O$8),ISBLANK($I$3)),"",TrajectoryErrorCM($O$8,1,$A62))</f>
        <v/>
      </c>
    </row>
    <row r="63" spans="1:29" x14ac:dyDescent="0.25">
      <c r="A63" s="1">
        <v>400</v>
      </c>
      <c r="B63" s="1"/>
      <c r="C63" s="13"/>
      <c r="D63" s="12"/>
      <c r="E63" s="12"/>
      <c r="F63" s="12"/>
      <c r="G63" s="12"/>
      <c r="H63" s="12"/>
      <c r="I63" s="7"/>
      <c r="J63" s="13"/>
      <c r="K63" s="13"/>
      <c r="L63" s="13"/>
      <c r="M63" s="13"/>
      <c r="N63" s="13"/>
      <c r="O63" s="13"/>
      <c r="P63" s="20" t="str" cm="1">
        <f t="array" ref="P63">IF(OR(ISBLANK($A63),ISBLANK(C63)), "", TrajectoryInCM(C63,$A63,P$47))</f>
        <v/>
      </c>
      <c r="Q63" s="12" t="str" cm="1">
        <f t="array" ref="Q63">IF(OR(ISBLANK($A63),ISBLANK(D63)), "", TrajectoryInCM(D63,$A63,Q$47))</f>
        <v/>
      </c>
      <c r="R63" s="12" t="str" cm="1">
        <f t="array" ref="R63">IF(OR(ISBLANK($A63),ISBLANK(E63)), "", TrajectoryInCM(E63,$A63,R$47))</f>
        <v/>
      </c>
      <c r="S63" s="12" t="str" cm="1">
        <f t="array" ref="S63">IF(OR(ISBLANK($A63),ISBLANK(F64)), "", TrajectoryInCM(F64,$A63,S$47))</f>
        <v/>
      </c>
      <c r="T63" s="12" t="str" cm="1">
        <f t="array" ref="T63">IF(OR(ISBLANK($A63),ISBLANK(G64)), "", TrajectoryInCM(G64,$A63,T$47))</f>
        <v/>
      </c>
      <c r="U63" s="12" t="str" cm="1">
        <f t="array" ref="U63">IF(OR(ISBLANK($A63),ISBLANK(H63)), "", TrajectoryInCM(H63,$A63,U$47))</f>
        <v/>
      </c>
      <c r="V63" s="7" t="str" cm="1">
        <f t="array" ref="V63">IF(OR(ISBLANK($A63),ISBLANK(I63)), "", TrajectoryInCM(I63,$A63,V$47))</f>
        <v/>
      </c>
      <c r="W63" s="13" t="str" cm="1">
        <f t="array" ref="W63">IF(OR(ISBLANK($A63),ISBLANK(J63)), "", TrajectoryInCM(J63,$A63,W$47))</f>
        <v/>
      </c>
      <c r="X63" s="13" t="str" cm="1">
        <f t="array" ref="X63">IF(OR(ISBLANK($A63),ISBLANK(K63)), "", TrajectoryInCM(K63,$A63,X$47))</f>
        <v/>
      </c>
      <c r="Y63" s="13" t="str" cm="1">
        <f t="array" ref="Y63">IF(OR(ISBLANK($A63),ISBLANK(L63)), "", TrajectoryInCM(L63,$A63,Y$47))</f>
        <v/>
      </c>
      <c r="Z63" s="13" t="str" cm="1">
        <f t="array" ref="Z63">IF(OR(ISBLANK($A63),ISBLANK(M63)), "", TrajectoryInCM(M63,$A63,Z$47))</f>
        <v/>
      </c>
      <c r="AA63" s="13" t="str" cm="1">
        <f t="array" ref="AA63">IF(OR(ISBLANK($A63),ISBLANK(N63)), "", TrajectoryInCM(N63,$A63,AA$47))</f>
        <v/>
      </c>
      <c r="AB63" s="13" t="str" cm="1">
        <f t="array" ref="AB63">IF(OR(ISBLANK($A63),ISBLANK(O63)), "", TrajectoryInCM(O63,$A63,AB$47))</f>
        <v/>
      </c>
      <c r="AC63" s="18" t="str" cm="1">
        <f t="array" ref="AC63">IF(OR(ISBLANK($O$8),ISBLANK($I$3)),"",TrajectoryErrorCM($O$8,1,$A63))</f>
        <v/>
      </c>
    </row>
    <row r="64" spans="1:29" x14ac:dyDescent="0.25">
      <c r="A64" s="1">
        <v>450</v>
      </c>
      <c r="B64" s="1"/>
      <c r="C64" s="13"/>
      <c r="D64" s="12"/>
      <c r="E64" s="12"/>
      <c r="F64" s="12"/>
      <c r="G64" s="12"/>
      <c r="H64" s="12"/>
      <c r="I64" s="12"/>
      <c r="J64" s="13"/>
      <c r="K64" s="13"/>
      <c r="L64" s="13"/>
      <c r="M64" s="13"/>
      <c r="N64" s="13"/>
      <c r="O64" s="13"/>
      <c r="P64" s="20" t="str" cm="1">
        <f t="array" ref="P64">IF(OR(ISBLANK($A64),ISBLANK(C64)), "", TrajectoryInCM(C64,$A64,P$47))</f>
        <v/>
      </c>
      <c r="Q64" s="12" t="str" cm="1">
        <f t="array" ref="Q64">IF(OR(ISBLANK($A64),ISBLANK(D64)), "", TrajectoryInCM(D64,$A64,Q$47))</f>
        <v/>
      </c>
      <c r="R64" s="12" t="str" cm="1">
        <f t="array" ref="R64">IF(OR(ISBLANK($A64),ISBLANK(E64)), "", TrajectoryInCM(E64,$A64,R$47))</f>
        <v/>
      </c>
      <c r="S64" s="12" t="str" cm="1">
        <f t="array" ref="S64">IF(OR(ISBLANK($A64),ISBLANK(F65)), "", TrajectoryInCM(F65,$A64,S$47))</f>
        <v/>
      </c>
      <c r="T64" s="12" t="str" cm="1">
        <f t="array" ref="T64">IF(OR(ISBLANK($A64),ISBLANK(G65)), "", TrajectoryInCM(G65,$A64,T$47))</f>
        <v/>
      </c>
      <c r="U64" s="12" t="str" cm="1">
        <f t="array" ref="U64">IF(OR(ISBLANK($A64),ISBLANK(H64)), "", TrajectoryInCM(H64,$A64,U$47))</f>
        <v/>
      </c>
      <c r="V64" s="12" t="str" cm="1">
        <f t="array" ref="V64">IF(OR(ISBLANK($A64),ISBLANK(I64)), "", TrajectoryInCM(I64,$A64,V$47))</f>
        <v/>
      </c>
      <c r="W64" s="13" t="str" cm="1">
        <f t="array" ref="W64">IF(OR(ISBLANK($A64),ISBLANK(J64)), "", TrajectoryInCM(J64,$A64,W$47))</f>
        <v/>
      </c>
      <c r="X64" s="13" t="str" cm="1">
        <f t="array" ref="X64">IF(OR(ISBLANK($A64),ISBLANK(K64)), "", TrajectoryInCM(K64,$A64,X$47))</f>
        <v/>
      </c>
      <c r="Y64" s="13" t="str" cm="1">
        <f t="array" ref="Y64">IF(OR(ISBLANK($A64),ISBLANK(L64)), "", TrajectoryInCM(L64,$A64,Y$47))</f>
        <v/>
      </c>
      <c r="Z64" s="13" t="str" cm="1">
        <f t="array" ref="Z64">IF(OR(ISBLANK($A64),ISBLANK(M64)), "", TrajectoryInCM(M64,$A64,Z$47))</f>
        <v/>
      </c>
      <c r="AA64" s="13" t="str" cm="1">
        <f t="array" ref="AA64">IF(OR(ISBLANK($A64),ISBLANK(N64)), "", TrajectoryInCM(N64,$A64,AA$47))</f>
        <v/>
      </c>
      <c r="AB64" s="13" t="str" cm="1">
        <f t="array" ref="AB64">IF(OR(ISBLANK($A64),ISBLANK(O64)), "", TrajectoryInCM(O64,$A64,AB$47))</f>
        <v/>
      </c>
      <c r="AC64" s="18" t="str" cm="1">
        <f t="array" ref="AC64">IF(OR(ISBLANK($O$8),ISBLANK($I$3)),"",TrajectoryErrorCM($O$8,1,$A64))</f>
        <v/>
      </c>
    </row>
    <row r="65" spans="1:29" x14ac:dyDescent="0.25">
      <c r="A65" s="1">
        <v>500</v>
      </c>
      <c r="B65" s="1"/>
      <c r="C65" s="13"/>
      <c r="D65" s="12"/>
      <c r="E65" s="12"/>
      <c r="F65" s="12"/>
      <c r="G65" s="12"/>
      <c r="H65" s="12"/>
      <c r="I65" s="12"/>
      <c r="J65" s="11"/>
      <c r="K65" s="13"/>
      <c r="L65" s="13"/>
      <c r="M65" s="13"/>
      <c r="N65" s="13"/>
      <c r="O65" s="13"/>
      <c r="P65" s="20" t="str" cm="1">
        <f t="array" ref="P65">IF(OR(ISBLANK($A65),ISBLANK(C65)), "", TrajectoryInCM(C65,$A65,P$47))</f>
        <v/>
      </c>
      <c r="Q65" s="12" t="str" cm="1">
        <f t="array" ref="Q65">IF(OR(ISBLANK($A65),ISBLANK(D65)), "", TrajectoryInCM(D65,$A65,Q$47))</f>
        <v/>
      </c>
      <c r="R65" s="12" t="str" cm="1">
        <f t="array" ref="R65">IF(OR(ISBLANK($A65),ISBLANK(E65)), "", TrajectoryInCM(E65,$A65,R$47))</f>
        <v/>
      </c>
      <c r="S65" s="12" t="str" cm="1">
        <f t="array" ref="S65">IF(OR(ISBLANK($A65),ISBLANK(F66)), "", TrajectoryInCM(F66,$A65,S$47))</f>
        <v/>
      </c>
      <c r="T65" s="12" t="str" cm="1">
        <f t="array" ref="T65">IF(OR(ISBLANK($A65),ISBLANK(G66)), "", TrajectoryInCM(G66,$A65,T$47))</f>
        <v/>
      </c>
      <c r="U65" s="12" t="str" cm="1">
        <f t="array" ref="U65">IF(OR(ISBLANK($A65),ISBLANK(H65)), "", TrajectoryInCM(H65,$A65,U$47))</f>
        <v/>
      </c>
      <c r="V65" s="12" t="str" cm="1">
        <f t="array" ref="V65">IF(OR(ISBLANK($A65),ISBLANK(I65)), "", TrajectoryInCM(I65,$A65,V$47))</f>
        <v/>
      </c>
      <c r="W65" s="11" t="str" cm="1">
        <f t="array" ref="W65">IF(OR(ISBLANK($A65),ISBLANK(J65)), "", TrajectoryInCM(J65,$A65,W$47))</f>
        <v/>
      </c>
      <c r="X65" s="13" t="str" cm="1">
        <f t="array" ref="X65">IF(OR(ISBLANK($A65),ISBLANK(K65)), "", TrajectoryInCM(K65,$A65,X$47))</f>
        <v/>
      </c>
      <c r="Y65" s="13" t="str" cm="1">
        <f t="array" ref="Y65">IF(OR(ISBLANK($A65),ISBLANK(L65)), "", TrajectoryInCM(L65,$A65,Y$47))</f>
        <v/>
      </c>
      <c r="Z65" s="13" t="str" cm="1">
        <f t="array" ref="Z65">IF(OR(ISBLANK($A65),ISBLANK(M65)), "", TrajectoryInCM(M65,$A65,Z$47))</f>
        <v/>
      </c>
      <c r="AA65" s="13" t="str" cm="1">
        <f t="array" ref="AA65">IF(OR(ISBLANK($A65),ISBLANK(N65)), "", TrajectoryInCM(N65,$A65,AA$47))</f>
        <v/>
      </c>
      <c r="AB65" s="13" t="str" cm="1">
        <f t="array" ref="AB65">IF(OR(ISBLANK($A65),ISBLANK(O65)), "", TrajectoryInCM(O65,$A65,AB$47))</f>
        <v/>
      </c>
      <c r="AC65" s="18" t="str" cm="1">
        <f t="array" ref="AC65">IF(OR(ISBLANK($O$8),ISBLANK($I$3)),"",TrajectoryErrorCM($O$8,1,$A65))</f>
        <v/>
      </c>
    </row>
    <row r="66" spans="1:29" x14ac:dyDescent="0.25">
      <c r="A66" s="1">
        <v>550</v>
      </c>
      <c r="B66" s="1"/>
      <c r="C66" s="13"/>
      <c r="D66" s="12"/>
      <c r="E66" s="12"/>
      <c r="F66" s="12"/>
      <c r="G66" s="12"/>
      <c r="H66" s="12"/>
      <c r="I66" s="12"/>
      <c r="J66" s="13"/>
      <c r="K66" s="13"/>
      <c r="L66" s="13"/>
      <c r="M66" s="13"/>
      <c r="N66" s="13"/>
      <c r="O66" s="13"/>
      <c r="P66" s="20" t="str" cm="1">
        <f t="array" ref="P66">IF(OR(ISBLANK($A66),ISBLANK(C66)), "", TrajectoryInCM(C66,$A66,P$47))</f>
        <v/>
      </c>
      <c r="Q66" s="12" t="str" cm="1">
        <f t="array" ref="Q66">IF(OR(ISBLANK($A66),ISBLANK(D66)), "", TrajectoryInCM(D66,$A66,Q$47))</f>
        <v/>
      </c>
      <c r="R66" s="12" t="str" cm="1">
        <f t="array" ref="R66">IF(OR(ISBLANK($A66),ISBLANK(E66)), "", TrajectoryInCM(E66,$A66,R$47))</f>
        <v/>
      </c>
      <c r="S66" s="12" t="str" cm="1">
        <f t="array" ref="S66">IF(OR(ISBLANK($A66),ISBLANK(F67)), "", TrajectoryInCM(F67,$A66,S$47))</f>
        <v/>
      </c>
      <c r="T66" s="12" t="str" cm="1">
        <f t="array" ref="T66">IF(OR(ISBLANK($A66),ISBLANK(G67)), "", TrajectoryInCM(G67,$A66,T$47))</f>
        <v/>
      </c>
      <c r="U66" s="12" t="str" cm="1">
        <f t="array" ref="U66">IF(OR(ISBLANK($A66),ISBLANK(H66)), "", TrajectoryInCM(H66,$A66,U$47))</f>
        <v/>
      </c>
      <c r="V66" s="12" t="str" cm="1">
        <f t="array" ref="V66">IF(OR(ISBLANK($A66),ISBLANK(I66)), "", TrajectoryInCM(I66,$A66,V$47))</f>
        <v/>
      </c>
      <c r="W66" s="13" t="str" cm="1">
        <f t="array" ref="W66">IF(OR(ISBLANK($A66),ISBLANK(J66)), "", TrajectoryInCM(J66,$A66,W$47))</f>
        <v/>
      </c>
      <c r="X66" s="13" t="str" cm="1">
        <f t="array" ref="X66">IF(OR(ISBLANK($A66),ISBLANK(K66)), "", TrajectoryInCM(K66,$A66,X$47))</f>
        <v/>
      </c>
      <c r="Y66" s="13" t="str" cm="1">
        <f t="array" ref="Y66">IF(OR(ISBLANK($A66),ISBLANK(L66)), "", TrajectoryInCM(L66,$A66,Y$47))</f>
        <v/>
      </c>
      <c r="Z66" s="13" t="str" cm="1">
        <f t="array" ref="Z66">IF(OR(ISBLANK($A66),ISBLANK(M66)), "", TrajectoryInCM(M66,$A66,Z$47))</f>
        <v/>
      </c>
      <c r="AA66" s="13" t="str" cm="1">
        <f t="array" ref="AA66">IF(OR(ISBLANK($A66),ISBLANK(N66)), "", TrajectoryInCM(N66,$A66,AA$47))</f>
        <v/>
      </c>
      <c r="AB66" s="13" t="str" cm="1">
        <f t="array" ref="AB66">IF(OR(ISBLANK($A66),ISBLANK(O66)), "", TrajectoryInCM(O66,$A66,AB$47))</f>
        <v/>
      </c>
      <c r="AC66" s="18" t="str" cm="1">
        <f t="array" ref="AC66">IF(OR(ISBLANK($O$8),ISBLANK($I$3)),"",TrajectoryErrorCM($O$8,1,$A66))</f>
        <v/>
      </c>
    </row>
    <row r="67" spans="1:29" x14ac:dyDescent="0.25">
      <c r="A67" s="1">
        <v>600</v>
      </c>
      <c r="B67" s="1"/>
      <c r="C67" s="13"/>
      <c r="D67" s="12"/>
      <c r="E67" s="12"/>
      <c r="F67" s="12"/>
      <c r="G67" s="12"/>
      <c r="H67" s="12"/>
      <c r="I67" s="12"/>
      <c r="J67" s="13"/>
      <c r="K67" s="11"/>
      <c r="L67" s="13"/>
      <c r="M67" s="13"/>
      <c r="N67" s="13"/>
      <c r="O67" s="13"/>
      <c r="P67" s="20" t="str" cm="1">
        <f t="array" ref="P67">IF(OR(ISBLANK($A67),ISBLANK(C67)), "", TrajectoryInCM(C67,$A67,P$47))</f>
        <v/>
      </c>
      <c r="Q67" s="12" t="str" cm="1">
        <f t="array" ref="Q67">IF(OR(ISBLANK($A67),ISBLANK(D67)), "", TrajectoryInCM(D67,$A67,Q$47))</f>
        <v/>
      </c>
      <c r="R67" s="12" t="str" cm="1">
        <f t="array" ref="R67">IF(OR(ISBLANK($A67),ISBLANK(E67)), "", TrajectoryInCM(E67,$A67,R$47))</f>
        <v/>
      </c>
      <c r="S67" s="12" t="str" cm="1">
        <f t="array" ref="S67">IF(OR(ISBLANK($A67),ISBLANK(F68)), "", TrajectoryInCM(F68,$A67,S$47))</f>
        <v/>
      </c>
      <c r="T67" s="12" t="str" cm="1">
        <f t="array" ref="T67">IF(OR(ISBLANK($A67),ISBLANK(G68)), "", TrajectoryInCM(G68,$A67,T$47))</f>
        <v/>
      </c>
      <c r="U67" s="12" t="str" cm="1">
        <f t="array" ref="U67">IF(OR(ISBLANK($A67),ISBLANK(H67)), "", TrajectoryInCM(H67,$A67,U$47))</f>
        <v/>
      </c>
      <c r="V67" s="12" t="str" cm="1">
        <f t="array" ref="V67">IF(OR(ISBLANK($A67),ISBLANK(I67)), "", TrajectoryInCM(I67,$A67,V$47))</f>
        <v/>
      </c>
      <c r="W67" s="13" t="str" cm="1">
        <f t="array" ref="W67">IF(OR(ISBLANK($A67),ISBLANK(J67)), "", TrajectoryInCM(J67,$A67,W$47))</f>
        <v/>
      </c>
      <c r="X67" s="11" t="str" cm="1">
        <f t="array" ref="X67">IF(OR(ISBLANK($A67),ISBLANK(K67)), "", TrajectoryInCM(K67,$A67,X$47))</f>
        <v/>
      </c>
      <c r="Y67" s="13" t="str" cm="1">
        <f t="array" ref="Y67">IF(OR(ISBLANK($A67),ISBLANK(L67)), "", TrajectoryInCM(L67,$A67,Y$47))</f>
        <v/>
      </c>
      <c r="Z67" s="13" t="str" cm="1">
        <f t="array" ref="Z67">IF(OR(ISBLANK($A67),ISBLANK(M67)), "", TrajectoryInCM(M67,$A67,Z$47))</f>
        <v/>
      </c>
      <c r="AA67" s="13" t="str" cm="1">
        <f t="array" ref="AA67">IF(OR(ISBLANK($A67),ISBLANK(N67)), "", TrajectoryInCM(N67,$A67,AA$47))</f>
        <v/>
      </c>
      <c r="AB67" s="13" t="str" cm="1">
        <f t="array" ref="AB67">IF(OR(ISBLANK($A67),ISBLANK(O67)), "", TrajectoryInCM(O67,$A67,AB$47))</f>
        <v/>
      </c>
      <c r="AC67" s="18" t="str" cm="1">
        <f t="array" ref="AC67">IF(OR(ISBLANK($O$8),ISBLANK($I$3)),"",TrajectoryErrorCM($O$8,1,$A67))</f>
        <v/>
      </c>
    </row>
    <row r="68" spans="1:29" x14ac:dyDescent="0.25">
      <c r="A68" s="1">
        <v>650</v>
      </c>
      <c r="B68" s="1"/>
      <c r="C68" s="13"/>
      <c r="D68" s="12"/>
      <c r="E68" s="12"/>
      <c r="F68" s="12"/>
      <c r="G68" s="12"/>
      <c r="H68" s="12"/>
      <c r="I68" s="12"/>
      <c r="J68" s="13"/>
      <c r="K68" s="13"/>
      <c r="L68" s="13"/>
      <c r="M68" s="13"/>
      <c r="N68" s="13"/>
      <c r="O68" s="13"/>
      <c r="P68" s="20" t="str" cm="1">
        <f t="array" ref="P68">IF(OR(ISBLANK($A68),ISBLANK(C68)), "", TrajectoryInCM(C68,$A68,P$47))</f>
        <v/>
      </c>
      <c r="Q68" s="12" t="str" cm="1">
        <f t="array" ref="Q68">IF(OR(ISBLANK($A68),ISBLANK(D68)), "", TrajectoryInCM(D68,$A68,Q$47))</f>
        <v/>
      </c>
      <c r="R68" s="12" t="str" cm="1">
        <f t="array" ref="R68">IF(OR(ISBLANK($A68),ISBLANK(E68)), "", TrajectoryInCM(E68,$A68,R$47))</f>
        <v/>
      </c>
      <c r="S68" s="12" t="str" cm="1">
        <f t="array" ref="S68">IF(OR(ISBLANK($A68),ISBLANK(F69)), "", TrajectoryInCM(F69,$A68,S$47))</f>
        <v/>
      </c>
      <c r="T68" s="12" t="str" cm="1">
        <f t="array" ref="T68">IF(OR(ISBLANK($A68),ISBLANK(G69)), "", TrajectoryInCM(G69,$A68,T$47))</f>
        <v/>
      </c>
      <c r="U68" s="12" t="str" cm="1">
        <f t="array" ref="U68">IF(OR(ISBLANK($A68),ISBLANK(H68)), "", TrajectoryInCM(H68,$A68,U$47))</f>
        <v/>
      </c>
      <c r="V68" s="12" t="str" cm="1">
        <f t="array" ref="V68">IF(OR(ISBLANK($A68),ISBLANK(I68)), "", TrajectoryInCM(I68,$A68,V$47))</f>
        <v/>
      </c>
      <c r="W68" s="13" t="str" cm="1">
        <f t="array" ref="W68">IF(OR(ISBLANK($A68),ISBLANK(J68)), "", TrajectoryInCM(J68,$A68,W$47))</f>
        <v/>
      </c>
      <c r="X68" s="13" t="str" cm="1">
        <f t="array" ref="X68">IF(OR(ISBLANK($A68),ISBLANK(K68)), "", TrajectoryInCM(K68,$A68,X$47))</f>
        <v/>
      </c>
      <c r="Y68" s="13" t="str" cm="1">
        <f t="array" ref="Y68">IF(OR(ISBLANK($A68),ISBLANK(L68)), "", TrajectoryInCM(L68,$A68,Y$47))</f>
        <v/>
      </c>
      <c r="Z68" s="13" t="str" cm="1">
        <f t="array" ref="Z68">IF(OR(ISBLANK($A68),ISBLANK(M68)), "", TrajectoryInCM(M68,$A68,Z$47))</f>
        <v/>
      </c>
      <c r="AA68" s="13" t="str" cm="1">
        <f t="array" ref="AA68">IF(OR(ISBLANK($A68),ISBLANK(N68)), "", TrajectoryInCM(N68,$A68,AA$47))</f>
        <v/>
      </c>
      <c r="AB68" s="13" t="str" cm="1">
        <f t="array" ref="AB68">IF(OR(ISBLANK($A68),ISBLANK(O68)), "", TrajectoryInCM(O68,$A68,AB$47))</f>
        <v/>
      </c>
      <c r="AC68" s="18" t="str" cm="1">
        <f t="array" ref="AC68">IF(OR(ISBLANK($O$8),ISBLANK($I$3)),"",TrajectoryErrorCM($O$8,1,$A68))</f>
        <v/>
      </c>
    </row>
    <row r="69" spans="1:29" x14ac:dyDescent="0.25">
      <c r="A69" s="1">
        <v>700</v>
      </c>
      <c r="B69" s="1"/>
      <c r="C69" s="13"/>
      <c r="D69" s="12"/>
      <c r="E69" s="12"/>
      <c r="F69" s="12"/>
      <c r="G69" s="12"/>
      <c r="H69" s="12"/>
      <c r="I69" s="12"/>
      <c r="J69" s="13"/>
      <c r="K69" s="13"/>
      <c r="L69" s="11"/>
      <c r="M69" s="13"/>
      <c r="N69" s="13"/>
      <c r="O69" s="13"/>
      <c r="P69" s="20" t="str" cm="1">
        <f t="array" ref="P69">IF(OR(ISBLANK($A69),ISBLANK(C69)), "", TrajectoryInCM(C69,$A69,P$47))</f>
        <v/>
      </c>
      <c r="Q69" s="12" t="str" cm="1">
        <f t="array" ref="Q69">IF(OR(ISBLANK($A69),ISBLANK(D69)), "", TrajectoryInCM(D69,$A69,Q$47))</f>
        <v/>
      </c>
      <c r="R69" s="12" t="str" cm="1">
        <f t="array" ref="R69">IF(OR(ISBLANK($A69),ISBLANK(E69)), "", TrajectoryInCM(E69,$A69,R$47))</f>
        <v/>
      </c>
      <c r="S69" s="12" t="str" cm="1">
        <f t="array" ref="S69">IF(OR(ISBLANK($A69),ISBLANK(F70)), "", TrajectoryInCM(F70,$A69,S$47))</f>
        <v/>
      </c>
      <c r="T69" s="12" t="str" cm="1">
        <f t="array" ref="T69">IF(OR(ISBLANK($A69),ISBLANK(G70)), "", TrajectoryInCM(G70,$A69,T$47))</f>
        <v/>
      </c>
      <c r="U69" s="12" t="str" cm="1">
        <f t="array" ref="U69">IF(OR(ISBLANK($A69),ISBLANK(H69)), "", TrajectoryInCM(H69,$A69,U$47))</f>
        <v/>
      </c>
      <c r="V69" s="12" t="str" cm="1">
        <f t="array" ref="V69">IF(OR(ISBLANK($A69),ISBLANK(I69)), "", TrajectoryInCM(I69,$A69,V$47))</f>
        <v/>
      </c>
      <c r="W69" s="13" t="str" cm="1">
        <f t="array" ref="W69">IF(OR(ISBLANK($A69),ISBLANK(J69)), "", TrajectoryInCM(J69,$A69,W$47))</f>
        <v/>
      </c>
      <c r="X69" s="13" t="str" cm="1">
        <f t="array" ref="X69">IF(OR(ISBLANK($A69),ISBLANK(K69)), "", TrajectoryInCM(K69,$A69,X$47))</f>
        <v/>
      </c>
      <c r="Y69" s="11" t="str" cm="1">
        <f t="array" ref="Y69">IF(OR(ISBLANK($A69),ISBLANK(L69)), "", TrajectoryInCM(L69,$A69,Y$47))</f>
        <v/>
      </c>
      <c r="Z69" s="13" t="str" cm="1">
        <f t="array" ref="Z69">IF(OR(ISBLANK($A69),ISBLANK(M69)), "", TrajectoryInCM(M69,$A69,Z$47))</f>
        <v/>
      </c>
      <c r="AA69" s="13" t="str" cm="1">
        <f t="array" ref="AA69">IF(OR(ISBLANK($A69),ISBLANK(N69)), "", TrajectoryInCM(N69,$A69,AA$47))</f>
        <v/>
      </c>
      <c r="AB69" s="13" t="str" cm="1">
        <f t="array" ref="AB69">IF(OR(ISBLANK($A69),ISBLANK(O69)), "", TrajectoryInCM(O69,$A69,AB$47))</f>
        <v/>
      </c>
      <c r="AC69" s="18" t="str" cm="1">
        <f t="array" ref="AC69">IF(OR(ISBLANK($O$8),ISBLANK($I$3)),"",TrajectoryErrorCM($O$8,1,$A69))</f>
        <v/>
      </c>
    </row>
    <row r="70" spans="1:29" x14ac:dyDescent="0.25">
      <c r="A70" s="1">
        <v>750</v>
      </c>
      <c r="B70" s="1"/>
      <c r="C70" s="13"/>
      <c r="D70" s="12"/>
      <c r="E70" s="12"/>
      <c r="F70" s="12"/>
      <c r="G70" s="12"/>
      <c r="H70" s="12"/>
      <c r="I70" s="12"/>
      <c r="J70" s="13"/>
      <c r="K70" s="13"/>
      <c r="L70" s="13"/>
      <c r="M70" s="13"/>
      <c r="N70" s="13"/>
      <c r="O70" s="13"/>
      <c r="P70" s="20" t="str" cm="1">
        <f t="array" ref="P70">IF(OR(ISBLANK($A70),ISBLANK(C70)), "", TrajectoryInCM(C70,$A70,P$47))</f>
        <v/>
      </c>
      <c r="Q70" s="12" t="str" cm="1">
        <f t="array" ref="Q70">IF(OR(ISBLANK($A70),ISBLANK(D70)), "", TrajectoryInCM(D70,$A70,Q$47))</f>
        <v/>
      </c>
      <c r="R70" s="12" t="str" cm="1">
        <f t="array" ref="R70">IF(OR(ISBLANK($A70),ISBLANK(E70)), "", TrajectoryInCM(E70,$A70,R$47))</f>
        <v/>
      </c>
      <c r="S70" s="12" t="str" cm="1">
        <f t="array" ref="S70">IF(OR(ISBLANK($A70),ISBLANK(F71)), "", TrajectoryInCM(F71,$A70,S$47))</f>
        <v/>
      </c>
      <c r="T70" s="12" t="str" cm="1">
        <f t="array" ref="T70">IF(OR(ISBLANK($A70),ISBLANK(G71)), "", TrajectoryInCM(G71,$A70,T$47))</f>
        <v/>
      </c>
      <c r="U70" s="12" t="str" cm="1">
        <f t="array" ref="U70">IF(OR(ISBLANK($A70),ISBLANK(H70)), "", TrajectoryInCM(H70,$A70,U$47))</f>
        <v/>
      </c>
      <c r="V70" s="12" t="str" cm="1">
        <f t="array" ref="V70">IF(OR(ISBLANK($A70),ISBLANK(I70)), "", TrajectoryInCM(I70,$A70,V$47))</f>
        <v/>
      </c>
      <c r="W70" s="13" t="str" cm="1">
        <f t="array" ref="W70">IF(OR(ISBLANK($A70),ISBLANK(J70)), "", TrajectoryInCM(J70,$A70,W$47))</f>
        <v/>
      </c>
      <c r="X70" s="13" t="str" cm="1">
        <f t="array" ref="X70">IF(OR(ISBLANK($A70),ISBLANK(K70)), "", TrajectoryInCM(K70,$A70,X$47))</f>
        <v/>
      </c>
      <c r="Y70" s="13" t="str" cm="1">
        <f t="array" ref="Y70">IF(OR(ISBLANK($A70),ISBLANK(L70)), "", TrajectoryInCM(L70,$A70,Y$47))</f>
        <v/>
      </c>
      <c r="Z70" s="13" t="str" cm="1">
        <f t="array" ref="Z70">IF(OR(ISBLANK($A70),ISBLANK(M70)), "", TrajectoryInCM(M70,$A70,Z$47))</f>
        <v/>
      </c>
      <c r="AA70" s="13" t="str" cm="1">
        <f t="array" ref="AA70">IF(OR(ISBLANK($A70),ISBLANK(N70)), "", TrajectoryInCM(N70,$A70,AA$47))</f>
        <v/>
      </c>
      <c r="AB70" s="13" t="str" cm="1">
        <f t="array" ref="AB70">IF(OR(ISBLANK($A70),ISBLANK(O70)), "", TrajectoryInCM(O70,$A70,AB$47))</f>
        <v/>
      </c>
      <c r="AC70" s="18" t="str" cm="1">
        <f t="array" ref="AC70">IF(OR(ISBLANK($O$8),ISBLANK($I$3)),"",TrajectoryErrorCM($O$8,1,$A70))</f>
        <v/>
      </c>
    </row>
    <row r="71" spans="1:29" x14ac:dyDescent="0.25">
      <c r="A71" s="1">
        <v>800</v>
      </c>
      <c r="B71" s="1"/>
      <c r="C71" s="13"/>
      <c r="D71" s="12"/>
      <c r="E71" s="12"/>
      <c r="F71" s="12"/>
      <c r="G71" s="12"/>
      <c r="H71" s="12"/>
      <c r="I71" s="12"/>
      <c r="J71" s="13"/>
      <c r="K71" s="13"/>
      <c r="L71" s="13"/>
      <c r="M71" s="11"/>
      <c r="N71" s="13"/>
      <c r="O71" s="13"/>
      <c r="P71" s="20" t="str" cm="1">
        <f t="array" ref="P71">IF(OR(ISBLANK($A71),ISBLANK(C71)), "", TrajectoryInCM(C71,$A71,P$47))</f>
        <v/>
      </c>
      <c r="Q71" s="12" t="str" cm="1">
        <f t="array" ref="Q71">IF(OR(ISBLANK($A71),ISBLANK(D71)), "", TrajectoryInCM(D71,$A71,Q$47))</f>
        <v/>
      </c>
      <c r="R71" s="12" t="str" cm="1">
        <f t="array" ref="R71">IF(OR(ISBLANK($A71),ISBLANK(E71)), "", TrajectoryInCM(E71,$A71,R$47))</f>
        <v/>
      </c>
      <c r="S71" s="12" t="str" cm="1">
        <f t="array" ref="S71">IF(OR(ISBLANK($A71),ISBLANK(F72)), "", TrajectoryInCM(F72,$A71,S$47))</f>
        <v/>
      </c>
      <c r="T71" s="12" t="str" cm="1">
        <f t="array" ref="T71">IF(OR(ISBLANK($A71),ISBLANK(G72)), "", TrajectoryInCM(G72,$A71,T$47))</f>
        <v/>
      </c>
      <c r="U71" s="12" t="str" cm="1">
        <f t="array" ref="U71">IF(OR(ISBLANK($A71),ISBLANK(H71)), "", TrajectoryInCM(H71,$A71,U$47))</f>
        <v/>
      </c>
      <c r="V71" s="12" t="str" cm="1">
        <f t="array" ref="V71">IF(OR(ISBLANK($A71),ISBLANK(I71)), "", TrajectoryInCM(I71,$A71,V$47))</f>
        <v/>
      </c>
      <c r="W71" s="13" t="str" cm="1">
        <f t="array" ref="W71">IF(OR(ISBLANK($A71),ISBLANK(J71)), "", TrajectoryInCM(J71,$A71,W$47))</f>
        <v/>
      </c>
      <c r="X71" s="13" t="str" cm="1">
        <f t="array" ref="X71">IF(OR(ISBLANK($A71),ISBLANK(K71)), "", TrajectoryInCM(K71,$A71,X$47))</f>
        <v/>
      </c>
      <c r="Y71" s="13" t="str" cm="1">
        <f t="array" ref="Y71">IF(OR(ISBLANK($A71),ISBLANK(L71)), "", TrajectoryInCM(L71,$A71,Y$47))</f>
        <v/>
      </c>
      <c r="Z71" s="11" t="str" cm="1">
        <f t="array" ref="Z71">IF(OR(ISBLANK($A71),ISBLANK(M71)), "", TrajectoryInCM(M71,$A71,Z$47))</f>
        <v/>
      </c>
      <c r="AA71" s="13" t="str" cm="1">
        <f t="array" ref="AA71">IF(OR(ISBLANK($A71),ISBLANK(N71)), "", TrajectoryInCM(N71,$A71,AA$47))</f>
        <v/>
      </c>
      <c r="AB71" s="13" t="str" cm="1">
        <f t="array" ref="AB71">IF(OR(ISBLANK($A71),ISBLANK(O71)), "", TrajectoryInCM(O71,$A71,AB$47))</f>
        <v/>
      </c>
      <c r="AC71" s="18" t="str" cm="1">
        <f t="array" ref="AC71">IF(OR(ISBLANK($O$8),ISBLANK($I$3)),"",TrajectoryErrorCM($O$8,1,$A71))</f>
        <v/>
      </c>
    </row>
    <row r="72" spans="1:29" x14ac:dyDescent="0.25">
      <c r="A72" s="1">
        <v>850</v>
      </c>
      <c r="B72" s="1"/>
      <c r="C72" s="13"/>
      <c r="D72" s="12"/>
      <c r="E72" s="12"/>
      <c r="F72" s="12"/>
      <c r="G72" s="12"/>
      <c r="H72" s="12"/>
      <c r="I72" s="12"/>
      <c r="J72" s="13"/>
      <c r="K72" s="13"/>
      <c r="L72" s="13"/>
      <c r="M72" s="13"/>
      <c r="N72" s="13"/>
      <c r="O72" s="13"/>
      <c r="P72" s="20" t="str" cm="1">
        <f t="array" ref="P72">IF(OR(ISBLANK($A72),ISBLANK(C72)), "", TrajectoryInCM(C72,$A72,P$47))</f>
        <v/>
      </c>
      <c r="Q72" s="12" t="str" cm="1">
        <f t="array" ref="Q72">IF(OR(ISBLANK($A72),ISBLANK(D72)), "", TrajectoryInCM(D72,$A72,Q$47))</f>
        <v/>
      </c>
      <c r="R72" s="12" t="str" cm="1">
        <f t="array" ref="R72">IF(OR(ISBLANK($A72),ISBLANK(E72)), "", TrajectoryInCM(E72,$A72,R$47))</f>
        <v/>
      </c>
      <c r="S72" s="12" t="str" cm="1">
        <f t="array" ref="S72">IF(OR(ISBLANK($A72),ISBLANK(F73)), "", TrajectoryInCM(F73,$A72,S$47))</f>
        <v/>
      </c>
      <c r="T72" s="12" t="str" cm="1">
        <f t="array" ref="T72">IF(OR(ISBLANK($A72),ISBLANK(G73)), "", TrajectoryInCM(G73,$A72,T$47))</f>
        <v/>
      </c>
      <c r="U72" s="12" t="str" cm="1">
        <f t="array" ref="U72">IF(OR(ISBLANK($A72),ISBLANK(H72)), "", TrajectoryInCM(H72,$A72,U$47))</f>
        <v/>
      </c>
      <c r="V72" s="12" t="str" cm="1">
        <f t="array" ref="V72">IF(OR(ISBLANK($A72),ISBLANK(I72)), "", TrajectoryInCM(I72,$A72,V$47))</f>
        <v/>
      </c>
      <c r="W72" s="13" t="str" cm="1">
        <f t="array" ref="W72">IF(OR(ISBLANK($A72),ISBLANK(J72)), "", TrajectoryInCM(J72,$A72,W$47))</f>
        <v/>
      </c>
      <c r="X72" s="13" t="str" cm="1">
        <f t="array" ref="X72">IF(OR(ISBLANK($A72),ISBLANK(K72)), "", TrajectoryInCM(K72,$A72,X$47))</f>
        <v/>
      </c>
      <c r="Y72" s="13" t="str" cm="1">
        <f t="array" ref="Y72">IF(OR(ISBLANK($A72),ISBLANK(L72)), "", TrajectoryInCM(L72,$A72,Y$47))</f>
        <v/>
      </c>
      <c r="Z72" s="13" t="str" cm="1">
        <f t="array" ref="Z72">IF(OR(ISBLANK($A72),ISBLANK(M72)), "", TrajectoryInCM(M72,$A72,Z$47))</f>
        <v/>
      </c>
      <c r="AA72" s="13" t="str" cm="1">
        <f t="array" ref="AA72">IF(OR(ISBLANK($A72),ISBLANK(N72)), "", TrajectoryInCM(N72,$A72,AA$47))</f>
        <v/>
      </c>
      <c r="AB72" s="13" t="str" cm="1">
        <f t="array" ref="AB72">IF(OR(ISBLANK($A72),ISBLANK(O72)), "", TrajectoryInCM(O72,$A72,AB$47))</f>
        <v/>
      </c>
      <c r="AC72" s="18" t="str" cm="1">
        <f t="array" ref="AC72">IF(OR(ISBLANK($O$8),ISBLANK($I$3)),"",TrajectoryErrorCM($O$8,1,$A72))</f>
        <v/>
      </c>
    </row>
    <row r="73" spans="1:29" x14ac:dyDescent="0.25">
      <c r="A73" s="1">
        <v>900</v>
      </c>
      <c r="B73" s="1"/>
      <c r="C73" s="13"/>
      <c r="D73" s="12"/>
      <c r="E73" s="12"/>
      <c r="F73" s="12"/>
      <c r="G73" s="12"/>
      <c r="H73" s="12"/>
      <c r="I73" s="12"/>
      <c r="J73" s="13"/>
      <c r="K73" s="13"/>
      <c r="L73" s="13"/>
      <c r="M73" s="13"/>
      <c r="N73" s="11"/>
      <c r="O73" s="13"/>
      <c r="P73" s="20" t="str" cm="1">
        <f t="array" ref="P73">IF(OR(ISBLANK($A73),ISBLANK(C73)), "", TrajectoryInCM(C73,$A73,P$47))</f>
        <v/>
      </c>
      <c r="Q73" s="12" t="str" cm="1">
        <f t="array" ref="Q73">IF(OR(ISBLANK($A73),ISBLANK(D73)), "", TrajectoryInCM(D73,$A73,Q$47))</f>
        <v/>
      </c>
      <c r="R73" s="12" t="str" cm="1">
        <f t="array" ref="R73">IF(OR(ISBLANK($A73),ISBLANK(E73)), "", TrajectoryInCM(E73,$A73,R$47))</f>
        <v/>
      </c>
      <c r="S73" s="12" t="str" cm="1">
        <f t="array" ref="S73">IF(OR(ISBLANK($A73),ISBLANK(F74)), "", TrajectoryInCM(F74,$A73,S$47))</f>
        <v/>
      </c>
      <c r="T73" s="12" t="str" cm="1">
        <f t="array" ref="T73">IF(OR(ISBLANK($A73),ISBLANK(G74)), "", TrajectoryInCM(G74,$A73,T$47))</f>
        <v/>
      </c>
      <c r="U73" s="12" t="str" cm="1">
        <f t="array" ref="U73">IF(OR(ISBLANK($A73),ISBLANK(H73)), "", TrajectoryInCM(H73,$A73,U$47))</f>
        <v/>
      </c>
      <c r="V73" s="12" t="str" cm="1">
        <f t="array" ref="V73">IF(OR(ISBLANK($A73),ISBLANK(I73)), "", TrajectoryInCM(I73,$A73,V$47))</f>
        <v/>
      </c>
      <c r="W73" s="13" t="str" cm="1">
        <f t="array" ref="W73">IF(OR(ISBLANK($A73),ISBLANK(J73)), "", TrajectoryInCM(J73,$A73,W$47))</f>
        <v/>
      </c>
      <c r="X73" s="13" t="str" cm="1">
        <f t="array" ref="X73">IF(OR(ISBLANK($A73),ISBLANK(K73)), "", TrajectoryInCM(K73,$A73,X$47))</f>
        <v/>
      </c>
      <c r="Y73" s="13" t="str" cm="1">
        <f t="array" ref="Y73">IF(OR(ISBLANK($A73),ISBLANK(L73)), "", TrajectoryInCM(L73,$A73,Y$47))</f>
        <v/>
      </c>
      <c r="Z73" s="13" t="str" cm="1">
        <f t="array" ref="Z73">IF(OR(ISBLANK($A73),ISBLANK(M73)), "", TrajectoryInCM(M73,$A73,Z$47))</f>
        <v/>
      </c>
      <c r="AA73" s="11" t="str" cm="1">
        <f t="array" ref="AA73">IF(OR(ISBLANK($A73),ISBLANK(N73)), "", TrajectoryInCM(N73,$A73,AA$47))</f>
        <v/>
      </c>
      <c r="AB73" s="13" t="str" cm="1">
        <f t="array" ref="AB73">IF(OR(ISBLANK($A73),ISBLANK(O73)), "", TrajectoryInCM(O73,$A73,AB$47))</f>
        <v/>
      </c>
      <c r="AC73" s="18" t="str" cm="1">
        <f t="array" ref="AC73">IF(OR(ISBLANK($O$8),ISBLANK($I$3)),"",TrajectoryErrorCM($O$8,1,$A73))</f>
        <v/>
      </c>
    </row>
    <row r="74" spans="1:29" x14ac:dyDescent="0.25">
      <c r="A74" s="1">
        <v>950</v>
      </c>
      <c r="B74" s="1"/>
      <c r="C74" s="13"/>
      <c r="D74" s="12"/>
      <c r="E74" s="12"/>
      <c r="F74" s="12"/>
      <c r="G74" s="12"/>
      <c r="H74" s="12"/>
      <c r="I74" s="12"/>
      <c r="J74" s="13"/>
      <c r="K74" s="13"/>
      <c r="L74" s="13"/>
      <c r="M74" s="13"/>
      <c r="N74" s="13"/>
      <c r="O74" s="13"/>
      <c r="P74" s="20" t="str" cm="1">
        <f t="array" ref="P74">IF(OR(ISBLANK($A74),ISBLANK(C74)), "", TrajectoryInCM(C74,$A74,P$47))</f>
        <v/>
      </c>
      <c r="Q74" s="12" t="str" cm="1">
        <f t="array" ref="Q74">IF(OR(ISBLANK($A74),ISBLANK(D74)), "", TrajectoryInCM(D74,$A74,Q$47))</f>
        <v/>
      </c>
      <c r="R74" s="12" t="str" cm="1">
        <f t="array" ref="R74">IF(OR(ISBLANK($A74),ISBLANK(E74)), "", TrajectoryInCM(E74,$A74,R$47))</f>
        <v/>
      </c>
      <c r="S74" s="12" t="str" cm="1">
        <f t="array" ref="S74">IF(OR(ISBLANK($A74),ISBLANK(F75)), "", TrajectoryInCM(F75,$A74,S$47))</f>
        <v/>
      </c>
      <c r="T74" s="12" t="str" cm="1">
        <f t="array" ref="T74">IF(OR(ISBLANK($A74),ISBLANK(G75)), "", TrajectoryInCM(G75,$A74,T$47))</f>
        <v/>
      </c>
      <c r="U74" s="12" t="str" cm="1">
        <f t="array" ref="U74">IF(OR(ISBLANK($A74),ISBLANK(H74)), "", TrajectoryInCM(H74,$A74,U$47))</f>
        <v/>
      </c>
      <c r="V74" s="12" t="str" cm="1">
        <f t="array" ref="V74">IF(OR(ISBLANK($A74),ISBLANK(I74)), "", TrajectoryInCM(I74,$A74,V$47))</f>
        <v/>
      </c>
      <c r="W74" s="13" t="str" cm="1">
        <f t="array" ref="W74">IF(OR(ISBLANK($A74),ISBLANK(J74)), "", TrajectoryInCM(J74,$A74,W$47))</f>
        <v/>
      </c>
      <c r="X74" s="13" t="str" cm="1">
        <f t="array" ref="X74">IF(OR(ISBLANK($A74),ISBLANK(K74)), "", TrajectoryInCM(K74,$A74,X$47))</f>
        <v/>
      </c>
      <c r="Y74" s="13" t="str" cm="1">
        <f t="array" ref="Y74">IF(OR(ISBLANK($A74),ISBLANK(L74)), "", TrajectoryInCM(L74,$A74,Y$47))</f>
        <v/>
      </c>
      <c r="Z74" s="13" t="str" cm="1">
        <f t="array" ref="Z74">IF(OR(ISBLANK($A74),ISBLANK(M74)), "", TrajectoryInCM(M74,$A74,Z$47))</f>
        <v/>
      </c>
      <c r="AA74" s="13" t="str" cm="1">
        <f t="array" ref="AA74">IF(OR(ISBLANK($A74),ISBLANK(N74)), "", TrajectoryInCM(N74,$A74,AA$47))</f>
        <v/>
      </c>
      <c r="AB74" s="13" t="str" cm="1">
        <f t="array" ref="AB74">IF(OR(ISBLANK($A74),ISBLANK(O74)), "", TrajectoryInCM(O74,$A74,AB$47))</f>
        <v/>
      </c>
      <c r="AC74" s="18" t="str" cm="1">
        <f t="array" ref="AC74">IF(OR(ISBLANK($O$8),ISBLANK($I$3)),"",TrajectoryErrorCM($O$8,1,$A74))</f>
        <v/>
      </c>
    </row>
    <row r="75" spans="1:29" x14ac:dyDescent="0.25">
      <c r="A75" s="1">
        <v>1000</v>
      </c>
      <c r="B75" s="1"/>
      <c r="C75" s="13"/>
      <c r="D75" s="12"/>
      <c r="E75" s="12"/>
      <c r="F75" s="12"/>
      <c r="G75" s="12"/>
      <c r="H75" s="12"/>
      <c r="I75" s="12"/>
      <c r="J75" s="13"/>
      <c r="K75" s="13"/>
      <c r="L75" s="13"/>
      <c r="M75" s="13"/>
      <c r="N75" s="13"/>
      <c r="O75" s="11"/>
      <c r="P75" s="20" t="str" cm="1">
        <f t="array" ref="P75">IF(OR(ISBLANK($A75),ISBLANK(C75)), "", TrajectoryInCM(C75,$A75,P$47))</f>
        <v/>
      </c>
      <c r="Q75" s="12" t="str" cm="1">
        <f t="array" ref="Q75">IF(OR(ISBLANK($A75),ISBLANK(D75)), "", TrajectoryInCM(D75,$A75,Q$47))</f>
        <v/>
      </c>
      <c r="R75" s="12" t="str" cm="1">
        <f t="array" ref="R75">IF(OR(ISBLANK($A75),ISBLANK(E75)), "", TrajectoryInCM(E75,$A75,R$47))</f>
        <v/>
      </c>
      <c r="S75" s="12" t="str" cm="1">
        <f t="array" ref="S75">IF(OR(ISBLANK($A75),ISBLANK(F76)), "", TrajectoryInCM(F76,$A75,S$47))</f>
        <v/>
      </c>
      <c r="T75" s="12" t="str" cm="1">
        <f t="array" ref="T75">IF(OR(ISBLANK($A75),ISBLANK(G76)), "", TrajectoryInCM(G76,$A75,T$47))</f>
        <v/>
      </c>
      <c r="U75" s="12" t="str" cm="1">
        <f t="array" ref="U75">IF(OR(ISBLANK($A75),ISBLANK(H75)), "", TrajectoryInCM(H75,$A75,U$47))</f>
        <v/>
      </c>
      <c r="V75" s="12" t="str" cm="1">
        <f t="array" ref="V75">IF(OR(ISBLANK($A75),ISBLANK(I75)), "", TrajectoryInCM(I75,$A75,V$47))</f>
        <v/>
      </c>
      <c r="W75" s="13" t="str" cm="1">
        <f t="array" ref="W75">IF(OR(ISBLANK($A75),ISBLANK(J75)), "", TrajectoryInCM(J75,$A75,W$47))</f>
        <v/>
      </c>
      <c r="X75" s="13" t="str" cm="1">
        <f t="array" ref="X75">IF(OR(ISBLANK($A75),ISBLANK(K75)), "", TrajectoryInCM(K75,$A75,X$47))</f>
        <v/>
      </c>
      <c r="Y75" s="13" t="str" cm="1">
        <f t="array" ref="Y75">IF(OR(ISBLANK($A75),ISBLANK(L75)), "", TrajectoryInCM(L75,$A75,Y$47))</f>
        <v/>
      </c>
      <c r="Z75" s="13" t="str" cm="1">
        <f t="array" ref="Z75">IF(OR(ISBLANK($A75),ISBLANK(M75)), "", TrajectoryInCM(M75,$A75,Z$47))</f>
        <v/>
      </c>
      <c r="AA75" s="13" t="str" cm="1">
        <f t="array" ref="AA75">IF(OR(ISBLANK($A75),ISBLANK(N75)), "", TrajectoryInCM(N75,$A75,AA$47))</f>
        <v/>
      </c>
      <c r="AB75" s="11" t="str" cm="1">
        <f t="array" ref="AB75">IF(OR(ISBLANK($A75),ISBLANK(O75)), "", TrajectoryInCM(O75,$A75,AB$47))</f>
        <v/>
      </c>
      <c r="AC75" s="18" t="str" cm="1">
        <f t="array" ref="AC75">IF(OR(ISBLANK($O$8),ISBLANK($I$3)),"",TrajectoryErrorCM($O$8,1,$A75))</f>
        <v/>
      </c>
    </row>
    <row r="76" spans="1:29" x14ac:dyDescent="0.25">
      <c r="F76" s="51"/>
      <c r="G76" s="51"/>
    </row>
    <row r="118" spans="1:29" x14ac:dyDescent="0.25">
      <c r="A118" s="27" t="s">
        <v>47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</row>
    <row r="119" spans="1:29" x14ac:dyDescent="0.25">
      <c r="A119" s="27" t="s">
        <v>48</v>
      </c>
      <c r="B119" s="28" t="str" cm="1">
        <f t="array" ref="B119">IF(OR(ISBLANK(B$118),B$118&lt;=0),"",ComputeLeastSquaresRegression(B$118,A$52:A$65,B$52:B$65))</f>
        <v/>
      </c>
      <c r="C119" s="28" t="str" cm="1">
        <f t="array" ref="C119">IF(OR(ISBLANK(C$118),C$118&lt;=0),"",ComputeLeastSquaresRegression(C$118,B$52:B$65,C$52:C$65))</f>
        <v/>
      </c>
      <c r="D119" s="28" t="str" cm="1">
        <f t="array" ref="D119">IF(OR(ISBLANK(D$118),D$118&lt;=0),"",ComputeLeastSquaresRegression(D$118,C$52:C$65,D$52:D$65))</f>
        <v/>
      </c>
      <c r="E119" s="28" t="str" cm="1">
        <f t="array" ref="E119">IF(OR(ISBLANK(E$118),E$118&lt;=0),"",ComputeLeastSquaresRegression(E$118,D$52:D$65,E$52:E$65))</f>
        <v/>
      </c>
      <c r="F119" s="28" t="str" cm="1">
        <f t="array" ref="F119">IF(OR(ISBLANK(F$118),F$118&lt;=0),"",ComputeLeastSquaresRegression(F$118,E$52:E$65,F$52:F$66))</f>
        <v/>
      </c>
      <c r="G119" s="28" t="str" cm="1">
        <f t="array" ref="G119">IF(OR(ISBLANK(G$118),G$118&lt;=0),"",ComputeLeastSquaresRegression(G$118,F$52:F$66,G$52:G$66))</f>
        <v/>
      </c>
      <c r="H119" s="28" t="str" cm="1">
        <f t="array" ref="H119">IF(OR(ISBLANK(H$118),H$118&lt;=0),"",ComputeLeastSquaresRegression(H$118,G$52:G$66,H$52:H$65))</f>
        <v/>
      </c>
      <c r="I119" s="28" t="str" cm="1">
        <f t="array" ref="I119">IF(OR(ISBLANK(I$118),I$118&lt;=0),"",ComputeLeastSquaresRegression(I$118,H$52:H$65,I$52:I$65))</f>
        <v/>
      </c>
      <c r="J119" s="28" t="str" cm="1">
        <f t="array" ref="J119">IF(OR(ISBLANK(J$118),J$118&lt;=0),"",ComputeLeastSquaresRegression(J$118,I$52:I$65,J$52:J$65))</f>
        <v/>
      </c>
      <c r="K119" s="28" t="str" cm="1">
        <f t="array" ref="K119">IF(OR(ISBLANK(K$118),K$118&lt;=0),"",ComputeLeastSquaresRegression(K$118,J$52:J$65,K$52:K$65))</f>
        <v/>
      </c>
      <c r="L119" s="28" t="str" cm="1">
        <f t="array" ref="L119">IF(OR(ISBLANK(L$118),L$118&lt;=0),"",ComputeLeastSquaresRegression(L$118,K$52:K$65,L$52:L$65))</f>
        <v/>
      </c>
      <c r="M119" s="28" t="str" cm="1">
        <f t="array" ref="M119">IF(OR(ISBLANK(M$118),M$118&lt;=0),"",ComputeLeastSquaresRegression(M$118,L$52:L$65,M$52:M$65))</f>
        <v/>
      </c>
      <c r="N119" s="28" t="str" cm="1">
        <f t="array" ref="N119">IF(OR(ISBLANK(N$118),N$118&lt;=0),"",ComputeLeastSquaresRegression(N$118,M$52:M$65,N$52:N$65))</f>
        <v/>
      </c>
      <c r="O119" s="28" t="str" cm="1">
        <f t="array" ref="O119">IF(OR(ISBLANK(O$118),O$118&lt;=0),"",ComputeLeastSquaresRegression(O$118,N$52:N$65,O$52:O$65))</f>
        <v/>
      </c>
      <c r="P119" s="28" t="str" cm="1">
        <f t="array" ref="P119">IF(OR(ISBLANK(P$118),P$118&lt;=0),"",ComputeLeastSquaresRegression(P$118,O$52:O$65,P$52:P$65))</f>
        <v/>
      </c>
      <c r="Q119" s="28" t="str" cm="1">
        <f t="array" ref="Q119">IF(OR(ISBLANK(Q$118),Q$118&lt;=0),"",ComputeLeastSquaresRegression(Q$118,P$52:P$65,Q$52:Q$65))</f>
        <v/>
      </c>
      <c r="R119" s="28" t="str" cm="1">
        <f t="array" ref="R119">IF(OR(ISBLANK(R$118),R$118&lt;=0),"",ComputeLeastSquaresRegression(R$118,Q$52:Q$65,R$52:R$65))</f>
        <v/>
      </c>
      <c r="S119" s="28" t="str" cm="1">
        <f t="array" ref="S119">IF(OR(ISBLANK(S$118),S$118&lt;=0),"",ComputeLeastSquaresRegression(S$118,R$52:R$65,S$52:S$65))</f>
        <v/>
      </c>
      <c r="T119" s="28" t="str" cm="1">
        <f t="array" ref="T119">IF(OR(ISBLANK(T$118),T$118&lt;=0),"",ComputeLeastSquaresRegression(T$118,S$52:S$65,T$52:T$65))</f>
        <v/>
      </c>
      <c r="U119" s="28" t="str" cm="1">
        <f t="array" ref="U119">IF(OR(ISBLANK(U$118),U$118&lt;=0),"",ComputeLeastSquaresRegression(U$118,T$52:T$65,U$52:U$65))</f>
        <v/>
      </c>
      <c r="V119" s="28" t="str" cm="1">
        <f t="array" ref="V119">IF(OR(ISBLANK(V$118),V$118&lt;=0),"",ComputeLeastSquaresRegression(V$118,U$52:U$65,V$52:V$65))</f>
        <v/>
      </c>
      <c r="W119" s="28" t="str" cm="1">
        <f t="array" ref="W119">IF(OR(ISBLANK(W$118),W$118&lt;=0),"",ComputeLeastSquaresRegression(W$118,V$52:V$65,W$52:W$65))</f>
        <v/>
      </c>
      <c r="X119" s="28" t="str" cm="1">
        <f t="array" ref="X119">IF(OR(ISBLANK(X$118),X$118&lt;=0),"",ComputeLeastSquaresRegression(X$118,W$52:W$65,X$52:X$65))</f>
        <v/>
      </c>
      <c r="Y119" s="28" t="str" cm="1">
        <f t="array" ref="Y119">IF(OR(ISBLANK(Y$118),Y$118&lt;=0),"",ComputeLeastSquaresRegression(Y$118,X$52:X$65,Y$52:Y$65))</f>
        <v/>
      </c>
      <c r="Z119" s="28" t="str" cm="1">
        <f t="array" ref="Z119">IF(OR(ISBLANK(Z$118),Z$118&lt;=0),"",ComputeLeastSquaresRegression(Z$118,Y$52:Y$65,Z$52:Z$65))</f>
        <v/>
      </c>
      <c r="AA119" s="28" t="str" cm="1">
        <f t="array" ref="AA119">IF(OR(ISBLANK(AA$118),AA$118&lt;=0),"",ComputeLeastSquaresRegression(AA$118,Z$52:Z$65,AA$52:AA$65))</f>
        <v/>
      </c>
      <c r="AB119" s="28" t="str" cm="1">
        <f t="array" ref="AB119">IF(OR(ISBLANK(AB$118),AB$118&lt;=0),"",ComputeLeastSquaresRegression(AB$118,AA$52:AA$65,AB$52:AB$65))</f>
        <v/>
      </c>
    </row>
    <row r="120" spans="1:29" x14ac:dyDescent="0.25">
      <c r="A120" s="27" t="s">
        <v>23</v>
      </c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15"/>
    </row>
    <row r="121" spans="1:29" x14ac:dyDescent="0.25">
      <c r="A121" s="27" t="s">
        <v>24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15"/>
    </row>
    <row r="122" spans="1:29" x14ac:dyDescent="0.25">
      <c r="A122" s="27" t="s">
        <v>25</v>
      </c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15"/>
    </row>
    <row r="123" spans="1:29" x14ac:dyDescent="0.25">
      <c r="A123" s="27" t="s">
        <v>26</v>
      </c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15"/>
    </row>
    <row r="124" spans="1:29" x14ac:dyDescent="0.25">
      <c r="A124" s="27" t="s">
        <v>27</v>
      </c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15"/>
    </row>
    <row r="125" spans="1:29" x14ac:dyDescent="0.25">
      <c r="A125" s="27" t="s">
        <v>28</v>
      </c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15"/>
    </row>
    <row r="126" spans="1:29" x14ac:dyDescent="0.25">
      <c r="A126" s="27" t="s">
        <v>29</v>
      </c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15"/>
    </row>
    <row r="127" spans="1:29" ht="15.75" thickBot="1" x14ac:dyDescent="0.3">
      <c r="C127" s="14"/>
      <c r="D127" s="62" t="s">
        <v>1</v>
      </c>
      <c r="E127" s="62" t="s">
        <v>2</v>
      </c>
      <c r="F127" s="62" t="s">
        <v>3</v>
      </c>
      <c r="G127" s="62" t="s">
        <v>4</v>
      </c>
      <c r="H127" s="62" t="s">
        <v>5</v>
      </c>
      <c r="I127" s="62" t="s">
        <v>18</v>
      </c>
      <c r="J127" s="62" t="s">
        <v>19</v>
      </c>
      <c r="K127" s="62" t="s">
        <v>38</v>
      </c>
      <c r="L127" s="62" t="s">
        <v>39</v>
      </c>
      <c r="M127" s="62" t="s">
        <v>40</v>
      </c>
      <c r="N127" s="62" t="s">
        <v>41</v>
      </c>
      <c r="O127" s="62" t="s">
        <v>42</v>
      </c>
      <c r="P127" s="14"/>
      <c r="Q127" s="25" t="s">
        <v>1</v>
      </c>
      <c r="R127" s="25" t="s">
        <v>2</v>
      </c>
      <c r="S127" s="25" t="s">
        <v>3</v>
      </c>
      <c r="T127" s="25" t="s">
        <v>4</v>
      </c>
      <c r="U127" s="25" t="s">
        <v>5</v>
      </c>
      <c r="V127" s="25" t="s">
        <v>18</v>
      </c>
      <c r="W127" s="26" t="s">
        <v>43</v>
      </c>
      <c r="X127" s="26" t="s">
        <v>38</v>
      </c>
      <c r="Y127" s="26" t="s">
        <v>39</v>
      </c>
      <c r="Z127" s="26" t="s">
        <v>40</v>
      </c>
      <c r="AA127" s="26" t="s">
        <v>41</v>
      </c>
      <c r="AB127" s="26" t="s">
        <v>42</v>
      </c>
      <c r="AC127" s="14"/>
    </row>
    <row r="128" spans="1:29" x14ac:dyDescent="0.25">
      <c r="A128" s="30"/>
      <c r="B128" s="31"/>
      <c r="C128" s="31"/>
      <c r="D128" s="60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2"/>
    </row>
    <row r="129" spans="1:29" ht="30" x14ac:dyDescent="0.25">
      <c r="A129" s="33" t="s">
        <v>0</v>
      </c>
      <c r="B129" s="34" t="s">
        <v>49</v>
      </c>
      <c r="C129" s="34" t="s">
        <v>45</v>
      </c>
      <c r="D129" s="58" t="s">
        <v>46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 t="s">
        <v>44</v>
      </c>
      <c r="Q129" s="142" t="s">
        <v>30</v>
      </c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3"/>
    </row>
    <row r="130" spans="1:29" x14ac:dyDescent="0.25">
      <c r="A130" s="35">
        <v>0</v>
      </c>
      <c r="B130" s="36" t="str" cm="1">
        <f t="array" ref="B130">IF( ISBLANK(B$120), "",EvaluatePolynomial(B$120:B$126,$A130))</f>
        <v/>
      </c>
      <c r="C130" s="36" t="str" cm="1">
        <f t="array" ref="C130">IF( ISBLANK(C$120), "",EvaluatePolynomial(C$120:C$126,$A130))</f>
        <v/>
      </c>
      <c r="D130" s="2" t="str" cm="1">
        <f t="array" ref="D130">IF( ISBLANK(D$120), "",EvaluatePolynomial(D$120:D$126,$A130))</f>
        <v/>
      </c>
      <c r="E130" s="2" t="str" cm="1">
        <f t="array" ref="E130">IF( ISBLANK(E$120), "",EvaluatePolynomial(E$120:E$126,$A130))</f>
        <v/>
      </c>
      <c r="H130" s="2" t="str" cm="1">
        <f t="array" ref="H130">IF( ISBLANK(H$120), "",EvaluatePolynomial(H$120:H$126,$A130))</f>
        <v/>
      </c>
      <c r="I130" s="2" t="str" cm="1">
        <f t="array" ref="I130">IF( ISBLANK(I$120), "",EvaluatePolynomial(I$120:I$126,$A130))</f>
        <v/>
      </c>
      <c r="J130" s="2" t="str" cm="1">
        <f t="array" ref="J130">IF( ISBLANK(J$120), "",EvaluatePolynomial(J$120:J$126,$A130))</f>
        <v/>
      </c>
      <c r="K130" s="2" t="str" cm="1">
        <f t="array" ref="K130">IF( ISBLANK(K$120), "",EvaluatePolynomial(K$120:K$126,$A130))</f>
        <v/>
      </c>
      <c r="L130" s="2" t="str" cm="1">
        <f t="array" ref="L130">IF( ISBLANK(L$120), "",EvaluatePolynomial(L$120:L$126,$A130))</f>
        <v/>
      </c>
      <c r="M130" s="2" t="str" cm="1">
        <f t="array" ref="M130">IF( ISBLANK(M$120), "",EvaluatePolynomial(M$120:M$126,$A130))</f>
        <v/>
      </c>
      <c r="N130" s="2" t="str" cm="1">
        <f t="array" ref="N130">IF( ISBLANK(N$120), "",EvaluatePolynomial(N$120:N$126,$A130))</f>
        <v/>
      </c>
      <c r="O130" s="2" t="str" cm="1">
        <f t="array" ref="O130">IF( ISBLANK(O$120), "",EvaluatePolynomial(O$120:O$126,$A130))</f>
        <v/>
      </c>
      <c r="P130" s="2" t="str" cm="1">
        <f t="array" ref="P130">IF( ISBLANK(P$120), "",EvaluatePolynomial(P$120:P$126,$A130))</f>
        <v/>
      </c>
      <c r="Q130" s="2" t="str" cm="1">
        <f t="array" ref="Q130">IF( ISBLANK(Q$120), "",EvaluatePolynomial(Q$120:Q$126,$A130))</f>
        <v/>
      </c>
      <c r="R130" s="2" t="str" cm="1">
        <f t="array" ref="R130">IF( ISBLANK(R$120), "",EvaluatePolynomial(R$120:R$126,$A130))</f>
        <v/>
      </c>
      <c r="S130" s="2" t="str" cm="1">
        <f t="array" ref="S130">IF( ISBLANK(S$120), "",EvaluatePolynomial(S$120:S$126,$A130))</f>
        <v/>
      </c>
      <c r="T130" s="2" t="str" cm="1">
        <f t="array" ref="T130">IF( ISBLANK(T$120), "",EvaluatePolynomial(T$120:T$126,$A130))</f>
        <v/>
      </c>
      <c r="U130" s="2" t="str" cm="1">
        <f t="array" ref="U130">IF( ISBLANK(U$120), "",EvaluatePolynomial(U$120:U$126,$A130))</f>
        <v/>
      </c>
      <c r="V130" s="2" t="str" cm="1">
        <f t="array" ref="V130">IF( ISBLANK(V$120), "",EvaluatePolynomial(V$120:V$126,$A130))</f>
        <v/>
      </c>
      <c r="W130" s="2" t="str" cm="1">
        <f t="array" ref="W130">IF( ISBLANK(W$120), "",EvaluatePolynomial(W$120:W$126,$A130))</f>
        <v/>
      </c>
      <c r="X130" s="2" t="str" cm="1">
        <f t="array" ref="X130">IF( ISBLANK(X$120), "",EvaluatePolynomial(X$120:X$126,$A130))</f>
        <v/>
      </c>
      <c r="Y130" s="2" t="str" cm="1">
        <f t="array" ref="Y130">IF( ISBLANK(Y$120), "",EvaluatePolynomial(Y$120:Y$126,$A130))</f>
        <v/>
      </c>
      <c r="Z130" s="2" t="str" cm="1">
        <f t="array" ref="Z130">IF( ISBLANK(Z$120), "",EvaluatePolynomial(Z$120:Z$126,$A130))</f>
        <v/>
      </c>
      <c r="AA130" s="2" t="str" cm="1">
        <f t="array" ref="AA130">IF( ISBLANK(AA$120), "",EvaluatePolynomial(AA$120:AA$126,$A130))</f>
        <v/>
      </c>
      <c r="AB130" s="37" t="str" cm="1">
        <f t="array" ref="AB130">IF( ISBLANK(AB$120), "",EvaluatePolynomial(AB$120:AB$126,$A130))</f>
        <v/>
      </c>
      <c r="AC130" s="2"/>
    </row>
    <row r="131" spans="1:29" x14ac:dyDescent="0.25">
      <c r="A131" s="35">
        <v>25</v>
      </c>
      <c r="B131" s="36" t="str" cm="1">
        <f t="array" ref="B131">IF( ISBLANK(B$120), "",EvaluatePolynomial(B$120:B$126,$A131))</f>
        <v/>
      </c>
      <c r="C131" s="36" t="str" cm="1">
        <f t="array" ref="C131">IF( ISBLANK(C$120), "",EvaluatePolynomial(C$120:C$126,$A131))</f>
        <v/>
      </c>
      <c r="D131" s="2" t="str" cm="1">
        <f t="array" ref="D131">IF( ISBLANK(D$120), "",EvaluatePolynomial(D$120:D$126,$A131))</f>
        <v/>
      </c>
      <c r="E131" s="2" t="str" cm="1">
        <f t="array" ref="E131">IF( ISBLANK(E$120), "",EvaluatePolynomial(E$120:E$126,$A131))</f>
        <v/>
      </c>
      <c r="F131" s="2" t="str" cm="1">
        <f t="array" ref="F131">IF( ISBLANK(F$120), "",EvaluatePolynomial(F$120:F$126,$A130))</f>
        <v/>
      </c>
      <c r="G131" s="2" t="str" cm="1">
        <f t="array" ref="G131">IF( ISBLANK(G$120), "",EvaluatePolynomial(G$120:G$126,$A130))</f>
        <v/>
      </c>
      <c r="H131" s="2" t="str" cm="1">
        <f t="array" ref="H131">IF( ISBLANK(H$120), "",EvaluatePolynomial(H$120:H$126,$A131))</f>
        <v/>
      </c>
      <c r="I131" s="2" t="str" cm="1">
        <f t="array" ref="I131">IF( ISBLANK(I$120), "",EvaluatePolynomial(I$120:I$126,$A131))</f>
        <v/>
      </c>
      <c r="J131" s="2" t="str" cm="1">
        <f t="array" ref="J131">IF( ISBLANK(J$120), "",EvaluatePolynomial(J$120:J$126,$A131))</f>
        <v/>
      </c>
      <c r="K131" s="2" t="str" cm="1">
        <f t="array" ref="K131">IF( ISBLANK(K$120), "",EvaluatePolynomial(K$120:K$126,$A131))</f>
        <v/>
      </c>
      <c r="L131" s="2" t="str" cm="1">
        <f t="array" ref="L131">IF( ISBLANK(L$120), "",EvaluatePolynomial(L$120:L$126,$A131))</f>
        <v/>
      </c>
      <c r="M131" s="2" t="str" cm="1">
        <f t="array" ref="M131">IF( ISBLANK(M$120), "",EvaluatePolynomial(M$120:M$126,$A131))</f>
        <v/>
      </c>
      <c r="N131" s="2" t="str" cm="1">
        <f t="array" ref="N131">IF( ISBLANK(N$120), "",EvaluatePolynomial(N$120:N$126,$A131))</f>
        <v/>
      </c>
      <c r="O131" s="2" t="str" cm="1">
        <f t="array" ref="O131">IF( ISBLANK(O$120), "",EvaluatePolynomial(O$120:O$126,$A131))</f>
        <v/>
      </c>
      <c r="P131" s="2" t="str" cm="1">
        <f t="array" ref="P131">IF( ISBLANK(P$120), "",EvaluatePolynomial(P$120:P$126,$A131))</f>
        <v/>
      </c>
      <c r="Q131" s="2" t="str" cm="1">
        <f t="array" ref="Q131">IF( ISBLANK(Q$120), "",EvaluatePolynomial(Q$120:Q$126,$A131))</f>
        <v/>
      </c>
      <c r="R131" s="2" t="str" cm="1">
        <f t="array" ref="R131">IF( ISBLANK(R$120), "",EvaluatePolynomial(R$120:R$126,$A131))</f>
        <v/>
      </c>
      <c r="S131" s="2" t="str" cm="1">
        <f t="array" ref="S131">IF( ISBLANK(S$120), "",EvaluatePolynomial(S$120:S$126,$A131))</f>
        <v/>
      </c>
      <c r="T131" s="2" t="str" cm="1">
        <f t="array" ref="T131">IF( ISBLANK(T$120), "",EvaluatePolynomial(T$120:T$126,$A131))</f>
        <v/>
      </c>
      <c r="U131" s="2" t="str" cm="1">
        <f t="array" ref="U131">IF( ISBLANK(U$120), "",EvaluatePolynomial(U$120:U$126,$A131))</f>
        <v/>
      </c>
      <c r="V131" s="2" t="str" cm="1">
        <f t="array" ref="V131">IF( ISBLANK(V$120), "",EvaluatePolynomial(V$120:V$126,$A131))</f>
        <v/>
      </c>
      <c r="W131" s="2" t="str" cm="1">
        <f t="array" ref="W131">IF( ISBLANK(W$120), "",EvaluatePolynomial(W$120:W$126,$A131))</f>
        <v/>
      </c>
      <c r="X131" s="2" t="str" cm="1">
        <f t="array" ref="X131">IF( ISBLANK(X$120), "",EvaluatePolynomial(X$120:X$126,$A131))</f>
        <v/>
      </c>
      <c r="Y131" s="2" t="str" cm="1">
        <f t="array" ref="Y131">IF( ISBLANK(Y$120), "",EvaluatePolynomial(Y$120:Y$126,$A131))</f>
        <v/>
      </c>
      <c r="Z131" s="2" t="str" cm="1">
        <f t="array" ref="Z131">IF( ISBLANK(Z$120), "",EvaluatePolynomial(Z$120:Z$126,$A131))</f>
        <v/>
      </c>
      <c r="AA131" s="2" t="str" cm="1">
        <f t="array" ref="AA131">IF( ISBLANK(AA$120), "",EvaluatePolynomial(AA$120:AA$126,$A131))</f>
        <v/>
      </c>
      <c r="AB131" s="37" t="str" cm="1">
        <f t="array" ref="AB131">IF( ISBLANK(AB$120), "",EvaluatePolynomial(AB$120:AB$126,$A131))</f>
        <v/>
      </c>
      <c r="AC131" s="2"/>
    </row>
    <row r="132" spans="1:29" x14ac:dyDescent="0.25">
      <c r="A132" s="35">
        <v>50</v>
      </c>
      <c r="B132" s="36" t="str" cm="1">
        <f t="array" ref="B132">IF( ISBLANK(B$120), "",EvaluatePolynomial(B$120:B$126,$A132))</f>
        <v/>
      </c>
      <c r="C132" s="36" t="str" cm="1">
        <f t="array" ref="C132">IF( ISBLANK(C$120), "",EvaluatePolynomial(C$120:C$126,$A132))</f>
        <v/>
      </c>
      <c r="D132" s="2" t="str" cm="1">
        <f t="array" ref="D132">IF( ISBLANK(D$120), "",EvaluatePolynomial(D$120:D$126,$A132))</f>
        <v/>
      </c>
      <c r="E132" s="2" t="str" cm="1">
        <f t="array" ref="E132">IF( ISBLANK(E$120), "",EvaluatePolynomial(E$120:E$126,$A132))</f>
        <v/>
      </c>
      <c r="F132" s="2" t="str" cm="1">
        <f t="array" ref="F132">IF( ISBLANK(F$120), "",EvaluatePolynomial(F$120:F$126,$A131))</f>
        <v/>
      </c>
      <c r="G132" s="2" t="str" cm="1">
        <f t="array" ref="G132">IF( ISBLANK(G$120), "",EvaluatePolynomial(G$120:G$126,$A131))</f>
        <v/>
      </c>
      <c r="H132" s="2" t="str" cm="1">
        <f t="array" ref="H132">IF( ISBLANK(H$120), "",EvaluatePolynomial(H$120:H$126,$A132))</f>
        <v/>
      </c>
      <c r="I132" s="2" t="str" cm="1">
        <f t="array" ref="I132">IF( ISBLANK(I$120), "",EvaluatePolynomial(I$120:I$126,$A132))</f>
        <v/>
      </c>
      <c r="J132" s="2" t="str" cm="1">
        <f t="array" ref="J132">IF( ISBLANK(J$120), "",EvaluatePolynomial(J$120:J$126,$A132))</f>
        <v/>
      </c>
      <c r="K132" s="2" t="str" cm="1">
        <f t="array" ref="K132">IF( ISBLANK(K$120), "",EvaluatePolynomial(K$120:K$126,$A132))</f>
        <v/>
      </c>
      <c r="L132" s="2" t="str" cm="1">
        <f t="array" ref="L132">IF( ISBLANK(L$120), "",EvaluatePolynomial(L$120:L$126,$A132))</f>
        <v/>
      </c>
      <c r="M132" s="2" t="str" cm="1">
        <f t="array" ref="M132">IF( ISBLANK(M$120), "",EvaluatePolynomial(M$120:M$126,$A132))</f>
        <v/>
      </c>
      <c r="N132" s="2" t="str" cm="1">
        <f t="array" ref="N132">IF( ISBLANK(N$120), "",EvaluatePolynomial(N$120:N$126,$A132))</f>
        <v/>
      </c>
      <c r="O132" s="2" t="str" cm="1">
        <f t="array" ref="O132">IF( ISBLANK(O$120), "",EvaluatePolynomial(O$120:O$126,$A132))</f>
        <v/>
      </c>
      <c r="P132" s="2" t="str" cm="1">
        <f t="array" ref="P132">IF( ISBLANK(P$120), "",EvaluatePolynomial(P$120:P$126,$A132))</f>
        <v/>
      </c>
      <c r="Q132" s="2" t="str" cm="1">
        <f t="array" ref="Q132">IF( ISBLANK(Q$120), "",EvaluatePolynomial(Q$120:Q$126,$A132))</f>
        <v/>
      </c>
      <c r="R132" s="2" t="str" cm="1">
        <f t="array" ref="R132">IF( ISBLANK(R$120), "",EvaluatePolynomial(R$120:R$126,$A132))</f>
        <v/>
      </c>
      <c r="S132" s="2" t="str" cm="1">
        <f t="array" ref="S132">IF( ISBLANK(S$120), "",EvaluatePolynomial(S$120:S$126,$A132))</f>
        <v/>
      </c>
      <c r="T132" s="2" t="str" cm="1">
        <f t="array" ref="T132">IF( ISBLANK(T$120), "",EvaluatePolynomial(T$120:T$126,$A132))</f>
        <v/>
      </c>
      <c r="U132" s="2" t="str" cm="1">
        <f t="array" ref="U132">IF( ISBLANK(U$120), "",EvaluatePolynomial(U$120:U$126,$A132))</f>
        <v/>
      </c>
      <c r="V132" s="2" t="str" cm="1">
        <f t="array" ref="V132">IF( ISBLANK(V$120), "",EvaluatePolynomial(V$120:V$126,$A132))</f>
        <v/>
      </c>
      <c r="W132" s="2" t="str" cm="1">
        <f t="array" ref="W132">IF( ISBLANK(W$120), "",EvaluatePolynomial(W$120:W$126,$A132))</f>
        <v/>
      </c>
      <c r="X132" s="2" t="str" cm="1">
        <f t="array" ref="X132">IF( ISBLANK(X$120), "",EvaluatePolynomial(X$120:X$126,$A132))</f>
        <v/>
      </c>
      <c r="Y132" s="2" t="str" cm="1">
        <f t="array" ref="Y132">IF( ISBLANK(Y$120), "",EvaluatePolynomial(Y$120:Y$126,$A132))</f>
        <v/>
      </c>
      <c r="Z132" s="2" t="str" cm="1">
        <f t="array" ref="Z132">IF( ISBLANK(Z$120), "",EvaluatePolynomial(Z$120:Z$126,$A132))</f>
        <v/>
      </c>
      <c r="AA132" s="2" t="str" cm="1">
        <f t="array" ref="AA132">IF( ISBLANK(AA$120), "",EvaluatePolynomial(AA$120:AA$126,$A132))</f>
        <v/>
      </c>
      <c r="AB132" s="37" t="str" cm="1">
        <f t="array" ref="AB132">IF( ISBLANK(AB$120), "",EvaluatePolynomial(AB$120:AB$126,$A132))</f>
        <v/>
      </c>
      <c r="AC132" s="2"/>
    </row>
    <row r="133" spans="1:29" x14ac:dyDescent="0.25">
      <c r="A133" s="35">
        <v>75</v>
      </c>
      <c r="B133" s="36" t="str" cm="1">
        <f t="array" ref="B133">IF( ISBLANK(B$120), "",EvaluatePolynomial(B$120:B$126,$A133))</f>
        <v/>
      </c>
      <c r="C133" s="36" t="str" cm="1">
        <f t="array" ref="C133">IF( ISBLANK(C$120), "",EvaluatePolynomial(C$120:C$126,$A133))</f>
        <v/>
      </c>
      <c r="D133" s="2" t="str" cm="1">
        <f t="array" ref="D133">IF( ISBLANK(D$120), "",EvaluatePolynomial(D$120:D$126,$A133))</f>
        <v/>
      </c>
      <c r="E133" s="2" t="str" cm="1">
        <f t="array" ref="E133">IF( ISBLANK(E$120), "",EvaluatePolynomial(E$120:E$126,$A133))</f>
        <v/>
      </c>
      <c r="F133" s="2" t="str" cm="1">
        <f t="array" ref="F133">IF( ISBLANK(F$120), "",EvaluatePolynomial(F$120:F$126,$A132))</f>
        <v/>
      </c>
      <c r="G133" s="2" t="str" cm="1">
        <f t="array" ref="G133">IF( ISBLANK(G$120), "",EvaluatePolynomial(G$120:G$126,$A132))</f>
        <v/>
      </c>
      <c r="H133" s="2" t="str" cm="1">
        <f t="array" ref="H133">IF( ISBLANK(H$120), "",EvaluatePolynomial(H$120:H$126,$A133))</f>
        <v/>
      </c>
      <c r="I133" s="2" t="str" cm="1">
        <f t="array" ref="I133">IF( ISBLANK(I$120), "",EvaluatePolynomial(I$120:I$126,$A133))</f>
        <v/>
      </c>
      <c r="J133" s="2" t="str" cm="1">
        <f t="array" ref="J133">IF( ISBLANK(J$120), "",EvaluatePolynomial(J$120:J$126,$A133))</f>
        <v/>
      </c>
      <c r="K133" s="2" t="str" cm="1">
        <f t="array" ref="K133">IF( ISBLANK(K$120), "",EvaluatePolynomial(K$120:K$126,$A133))</f>
        <v/>
      </c>
      <c r="L133" s="2" t="str" cm="1">
        <f t="array" ref="L133">IF( ISBLANK(L$120), "",EvaluatePolynomial(L$120:L$126,$A133))</f>
        <v/>
      </c>
      <c r="M133" s="2" t="str" cm="1">
        <f t="array" ref="M133">IF( ISBLANK(M$120), "",EvaluatePolynomial(M$120:M$126,$A133))</f>
        <v/>
      </c>
      <c r="N133" s="2" t="str" cm="1">
        <f t="array" ref="N133">IF( ISBLANK(N$120), "",EvaluatePolynomial(N$120:N$126,$A133))</f>
        <v/>
      </c>
      <c r="O133" s="2" t="str" cm="1">
        <f t="array" ref="O133">IF( ISBLANK(O$120), "",EvaluatePolynomial(O$120:O$126,$A133))</f>
        <v/>
      </c>
      <c r="P133" s="2" t="str" cm="1">
        <f t="array" ref="P133">IF( ISBLANK(P$120), "",EvaluatePolynomial(P$120:P$126,$A133))</f>
        <v/>
      </c>
      <c r="Q133" s="2" t="str" cm="1">
        <f t="array" ref="Q133">IF( ISBLANK(Q$120), "",EvaluatePolynomial(Q$120:Q$126,$A133))</f>
        <v/>
      </c>
      <c r="R133" s="2" t="str" cm="1">
        <f t="array" ref="R133">IF( ISBLANK(R$120), "",EvaluatePolynomial(R$120:R$126,$A133))</f>
        <v/>
      </c>
      <c r="S133" s="2" t="str" cm="1">
        <f t="array" ref="S133">IF( ISBLANK(S$120), "",EvaluatePolynomial(S$120:S$126,$A133))</f>
        <v/>
      </c>
      <c r="T133" s="2" t="str" cm="1">
        <f t="array" ref="T133">IF( ISBLANK(T$120), "",EvaluatePolynomial(T$120:T$126,$A133))</f>
        <v/>
      </c>
      <c r="U133" s="2" t="str" cm="1">
        <f t="array" ref="U133">IF( ISBLANK(U$120), "",EvaluatePolynomial(U$120:U$126,$A133))</f>
        <v/>
      </c>
      <c r="V133" s="2" t="str" cm="1">
        <f t="array" ref="V133">IF( ISBLANK(V$120), "",EvaluatePolynomial(V$120:V$126,$A133))</f>
        <v/>
      </c>
      <c r="W133" s="2" t="str" cm="1">
        <f t="array" ref="W133">IF( ISBLANK(W$120), "",EvaluatePolynomial(W$120:W$126,$A133))</f>
        <v/>
      </c>
      <c r="X133" s="2" t="str" cm="1">
        <f t="array" ref="X133">IF( ISBLANK(X$120), "",EvaluatePolynomial(X$120:X$126,$A133))</f>
        <v/>
      </c>
      <c r="Y133" s="2" t="str" cm="1">
        <f t="array" ref="Y133">IF( ISBLANK(Y$120), "",EvaluatePolynomial(Y$120:Y$126,$A133))</f>
        <v/>
      </c>
      <c r="Z133" s="2" t="str" cm="1">
        <f t="array" ref="Z133">IF( ISBLANK(Z$120), "",EvaluatePolynomial(Z$120:Z$126,$A133))</f>
        <v/>
      </c>
      <c r="AA133" s="2" t="str" cm="1">
        <f t="array" ref="AA133">IF( ISBLANK(AA$120), "",EvaluatePolynomial(AA$120:AA$126,$A133))</f>
        <v/>
      </c>
      <c r="AB133" s="37" t="str" cm="1">
        <f t="array" ref="AB133">IF( ISBLANK(AB$120), "",EvaluatePolynomial(AB$120:AB$126,$A133))</f>
        <v/>
      </c>
      <c r="AC133" s="2"/>
    </row>
    <row r="134" spans="1:29" x14ac:dyDescent="0.25">
      <c r="A134" s="35">
        <v>100</v>
      </c>
      <c r="B134" s="36" t="str" cm="1">
        <f t="array" ref="B134">IF( ISBLANK(B$120), "",EvaluatePolynomial(B$120:B$126,$A134))</f>
        <v/>
      </c>
      <c r="C134" s="36" t="str" cm="1">
        <f t="array" ref="C134">IF( ISBLANK(C$120), "",EvaluatePolynomial(C$120:C$126,$A134))</f>
        <v/>
      </c>
      <c r="D134" s="2" t="str" cm="1">
        <f t="array" ref="D134">IF( ISBLANK(D$120), "",EvaluatePolynomial(D$120:D$126,$A134))</f>
        <v/>
      </c>
      <c r="E134" s="2" t="str" cm="1">
        <f t="array" ref="E134">IF( ISBLANK(E$120), "",EvaluatePolynomial(E$120:E$126,$A134))</f>
        <v/>
      </c>
      <c r="F134" s="2" t="str" cm="1">
        <f t="array" ref="F134">IF( ISBLANK(F$120), "",EvaluatePolynomial(F$120:F$126,$A133))</f>
        <v/>
      </c>
      <c r="G134" s="2" t="str" cm="1">
        <f t="array" ref="G134">IF( ISBLANK(G$120), "",EvaluatePolynomial(G$120:G$126,$A133))</f>
        <v/>
      </c>
      <c r="H134" s="2" t="str" cm="1">
        <f t="array" ref="H134">IF( ISBLANK(H$120), "",EvaluatePolynomial(H$120:H$126,$A134))</f>
        <v/>
      </c>
      <c r="I134" s="2" t="str" cm="1">
        <f t="array" ref="I134">IF( ISBLANK(I$120), "",EvaluatePolynomial(I$120:I$126,$A134))</f>
        <v/>
      </c>
      <c r="J134" s="2" t="str" cm="1">
        <f t="array" ref="J134">IF( ISBLANK(J$120), "",EvaluatePolynomial(J$120:J$126,$A134))</f>
        <v/>
      </c>
      <c r="K134" s="2" t="str" cm="1">
        <f t="array" ref="K134">IF( ISBLANK(K$120), "",EvaluatePolynomial(K$120:K$126,$A134))</f>
        <v/>
      </c>
      <c r="L134" s="2" t="str" cm="1">
        <f t="array" ref="L134">IF( ISBLANK(L$120), "",EvaluatePolynomial(L$120:L$126,$A134))</f>
        <v/>
      </c>
      <c r="M134" s="2" t="str" cm="1">
        <f t="array" ref="M134">IF( ISBLANK(M$120), "",EvaluatePolynomial(M$120:M$126,$A134))</f>
        <v/>
      </c>
      <c r="N134" s="2" t="str" cm="1">
        <f t="array" ref="N134">IF( ISBLANK(N$120), "",EvaluatePolynomial(N$120:N$126,$A134))</f>
        <v/>
      </c>
      <c r="O134" s="2" t="str" cm="1">
        <f t="array" ref="O134">IF( ISBLANK(O$120), "",EvaluatePolynomial(O$120:O$126,$A134))</f>
        <v/>
      </c>
      <c r="P134" s="2" t="str" cm="1">
        <f t="array" ref="P134">IF( ISBLANK(P$120), "",EvaluatePolynomial(P$120:P$126,$A134))</f>
        <v/>
      </c>
      <c r="Q134" s="2" t="str" cm="1">
        <f t="array" ref="Q134">IF( ISBLANK(Q$120), "",EvaluatePolynomial(Q$120:Q$126,$A134))</f>
        <v/>
      </c>
      <c r="R134" s="2" t="str" cm="1">
        <f t="array" ref="R134">IF( ISBLANK(R$120), "",EvaluatePolynomial(R$120:R$126,$A134))</f>
        <v/>
      </c>
      <c r="S134" s="2" t="str" cm="1">
        <f t="array" ref="S134">IF( ISBLANK(S$120), "",EvaluatePolynomial(S$120:S$126,$A134))</f>
        <v/>
      </c>
      <c r="T134" s="2" t="str" cm="1">
        <f t="array" ref="T134">IF( ISBLANK(T$120), "",EvaluatePolynomial(T$120:T$126,$A134))</f>
        <v/>
      </c>
      <c r="U134" s="2" t="str" cm="1">
        <f t="array" ref="U134">IF( ISBLANK(U$120), "",EvaluatePolynomial(U$120:U$126,$A134))</f>
        <v/>
      </c>
      <c r="V134" s="2" t="str" cm="1">
        <f t="array" ref="V134">IF( ISBLANK(V$120), "",EvaluatePolynomial(V$120:V$126,$A134))</f>
        <v/>
      </c>
      <c r="W134" s="2" t="str" cm="1">
        <f t="array" ref="W134">IF( ISBLANK(W$120), "",EvaluatePolynomial(W$120:W$126,$A134))</f>
        <v/>
      </c>
      <c r="X134" s="2" t="str" cm="1">
        <f t="array" ref="X134">IF( ISBLANK(X$120), "",EvaluatePolynomial(X$120:X$126,$A134))</f>
        <v/>
      </c>
      <c r="Y134" s="2" t="str" cm="1">
        <f t="array" ref="Y134">IF( ISBLANK(Y$120), "",EvaluatePolynomial(Y$120:Y$126,$A134))</f>
        <v/>
      </c>
      <c r="Z134" s="2" t="str" cm="1">
        <f t="array" ref="Z134">IF( ISBLANK(Z$120), "",EvaluatePolynomial(Z$120:Z$126,$A134))</f>
        <v/>
      </c>
      <c r="AA134" s="2" t="str" cm="1">
        <f t="array" ref="AA134">IF( ISBLANK(AA$120), "",EvaluatePolynomial(AA$120:AA$126,$A134))</f>
        <v/>
      </c>
      <c r="AB134" s="37" t="str" cm="1">
        <f t="array" ref="AB134">IF( ISBLANK(AB$120), "",EvaluatePolynomial(AB$120:AB$126,$A134))</f>
        <v/>
      </c>
      <c r="AC134" s="2"/>
    </row>
    <row r="135" spans="1:29" x14ac:dyDescent="0.25">
      <c r="A135" s="35">
        <v>125</v>
      </c>
      <c r="B135" s="36" t="str" cm="1">
        <f t="array" ref="B135">IF( ISBLANK(B$120), "",EvaluatePolynomial(B$120:B$126,$A135))</f>
        <v/>
      </c>
      <c r="C135" s="36" t="str" cm="1">
        <f t="array" ref="C135">IF( ISBLANK(C$120), "",EvaluatePolynomial(C$120:C$126,$A135))</f>
        <v/>
      </c>
      <c r="D135" s="2" t="str" cm="1">
        <f t="array" ref="D135">IF( ISBLANK(D$120), "",EvaluatePolynomial(D$120:D$126,$A135))</f>
        <v/>
      </c>
      <c r="E135" s="2" t="str" cm="1">
        <f t="array" ref="E135">IF( ISBLANK(E$120), "",EvaluatePolynomial(E$120:E$126,$A135))</f>
        <v/>
      </c>
      <c r="F135" s="2" t="str" cm="1">
        <f t="array" ref="F135">IF( ISBLANK(F$120), "",EvaluatePolynomial(F$120:F$126,$A134))</f>
        <v/>
      </c>
      <c r="G135" s="2" t="str" cm="1">
        <f t="array" ref="G135">IF( ISBLANK(G$120), "",EvaluatePolynomial(G$120:G$126,$A134))</f>
        <v/>
      </c>
      <c r="H135" s="2" t="str" cm="1">
        <f t="array" ref="H135">IF( ISBLANK(H$120), "",EvaluatePolynomial(H$120:H$126,$A135))</f>
        <v/>
      </c>
      <c r="I135" s="2" t="str" cm="1">
        <f t="array" ref="I135">IF( ISBLANK(I$120), "",EvaluatePolynomial(I$120:I$126,$A135))</f>
        <v/>
      </c>
      <c r="J135" s="2" t="str" cm="1">
        <f t="array" ref="J135">IF( ISBLANK(J$120), "",EvaluatePolynomial(J$120:J$126,$A135))</f>
        <v/>
      </c>
      <c r="K135" s="2" t="str" cm="1">
        <f t="array" ref="K135">IF( ISBLANK(K$120), "",EvaluatePolynomial(K$120:K$126,$A135))</f>
        <v/>
      </c>
      <c r="L135" s="2" t="str" cm="1">
        <f t="array" ref="L135">IF( ISBLANK(L$120), "",EvaluatePolynomial(L$120:L$126,$A135))</f>
        <v/>
      </c>
      <c r="M135" s="2" t="str" cm="1">
        <f t="array" ref="M135">IF( ISBLANK(M$120), "",EvaluatePolynomial(M$120:M$126,$A135))</f>
        <v/>
      </c>
      <c r="N135" s="2" t="str" cm="1">
        <f t="array" ref="N135">IF( ISBLANK(N$120), "",EvaluatePolynomial(N$120:N$126,$A135))</f>
        <v/>
      </c>
      <c r="O135" s="2" t="str" cm="1">
        <f t="array" ref="O135">IF( ISBLANK(O$120), "",EvaluatePolynomial(O$120:O$126,$A135))</f>
        <v/>
      </c>
      <c r="P135" s="2" t="str" cm="1">
        <f t="array" ref="P135">IF( ISBLANK(P$120), "",EvaluatePolynomial(P$120:P$126,$A135))</f>
        <v/>
      </c>
      <c r="Q135" s="2" t="str" cm="1">
        <f t="array" ref="Q135">IF( ISBLANK(Q$120), "",EvaluatePolynomial(Q$120:Q$126,$A135))</f>
        <v/>
      </c>
      <c r="R135" s="2" t="str" cm="1">
        <f t="array" ref="R135">IF( ISBLANK(R$120), "",EvaluatePolynomial(R$120:R$126,$A135))</f>
        <v/>
      </c>
      <c r="S135" s="2" t="str" cm="1">
        <f t="array" ref="S135">IF( ISBLANK(S$120), "",EvaluatePolynomial(S$120:S$126,$A135))</f>
        <v/>
      </c>
      <c r="T135" s="2" t="str" cm="1">
        <f t="array" ref="T135">IF( ISBLANK(T$120), "",EvaluatePolynomial(T$120:T$126,$A135))</f>
        <v/>
      </c>
      <c r="U135" s="2" t="str" cm="1">
        <f t="array" ref="U135">IF( ISBLANK(U$120), "",EvaluatePolynomial(U$120:U$126,$A135))</f>
        <v/>
      </c>
      <c r="V135" s="2" t="str" cm="1">
        <f t="array" ref="V135">IF( ISBLANK(V$120), "",EvaluatePolynomial(V$120:V$126,$A135))</f>
        <v/>
      </c>
      <c r="W135" s="2" t="str" cm="1">
        <f t="array" ref="W135">IF( ISBLANK(W$120), "",EvaluatePolynomial(W$120:W$126,$A135))</f>
        <v/>
      </c>
      <c r="X135" s="2" t="str" cm="1">
        <f t="array" ref="X135">IF( ISBLANK(X$120), "",EvaluatePolynomial(X$120:X$126,$A135))</f>
        <v/>
      </c>
      <c r="Y135" s="2" t="str" cm="1">
        <f t="array" ref="Y135">IF( ISBLANK(Y$120), "",EvaluatePolynomial(Y$120:Y$126,$A135))</f>
        <v/>
      </c>
      <c r="Z135" s="2" t="str" cm="1">
        <f t="array" ref="Z135">IF( ISBLANK(Z$120), "",EvaluatePolynomial(Z$120:Z$126,$A135))</f>
        <v/>
      </c>
      <c r="AA135" s="2" t="str" cm="1">
        <f t="array" ref="AA135">IF( ISBLANK(AA$120), "",EvaluatePolynomial(AA$120:AA$126,$A135))</f>
        <v/>
      </c>
      <c r="AB135" s="37" t="str" cm="1">
        <f t="array" ref="AB135">IF( ISBLANK(AB$120), "",EvaluatePolynomial(AB$120:AB$126,$A135))</f>
        <v/>
      </c>
      <c r="AC135" s="2"/>
    </row>
    <row r="136" spans="1:29" x14ac:dyDescent="0.25">
      <c r="A136" s="35">
        <v>150</v>
      </c>
      <c r="B136" s="36" t="str" cm="1">
        <f t="array" ref="B136">IF( ISBLANK(B$120), "",EvaluatePolynomial(B$120:B$126,$A136))</f>
        <v/>
      </c>
      <c r="C136" s="36" t="str" cm="1">
        <f t="array" ref="C136">IF( ISBLANK(C$120), "",EvaluatePolynomial(C$120:C$126,$A136))</f>
        <v/>
      </c>
      <c r="D136" s="2" t="str" cm="1">
        <f t="array" ref="D136">IF( ISBLANK(D$120), "",EvaluatePolynomial(D$120:D$126,$A136))</f>
        <v/>
      </c>
      <c r="E136" s="2" t="str" cm="1">
        <f t="array" ref="E136">IF( ISBLANK(E$120), "",EvaluatePolynomial(E$120:E$126,$A136))</f>
        <v/>
      </c>
      <c r="F136" s="2" t="str" cm="1">
        <f t="array" ref="F136">IF( ISBLANK(F$120), "",EvaluatePolynomial(F$120:F$126,$A135))</f>
        <v/>
      </c>
      <c r="G136" s="2" t="str" cm="1">
        <f t="array" ref="G136">IF( ISBLANK(G$120), "",EvaluatePolynomial(G$120:G$126,$A135))</f>
        <v/>
      </c>
      <c r="H136" s="2" t="str" cm="1">
        <f t="array" ref="H136">IF( ISBLANK(H$120), "",EvaluatePolynomial(H$120:H$126,$A136))</f>
        <v/>
      </c>
      <c r="I136" s="2" t="str" cm="1">
        <f t="array" ref="I136">IF( ISBLANK(I$120), "",EvaluatePolynomial(I$120:I$126,$A136))</f>
        <v/>
      </c>
      <c r="J136" s="2" t="str" cm="1">
        <f t="array" ref="J136">IF( ISBLANK(J$120), "",EvaluatePolynomial(J$120:J$126,$A136))</f>
        <v/>
      </c>
      <c r="K136" s="2" t="str" cm="1">
        <f t="array" ref="K136">IF( ISBLANK(K$120), "",EvaluatePolynomial(K$120:K$126,$A136))</f>
        <v/>
      </c>
      <c r="L136" s="2" t="str" cm="1">
        <f t="array" ref="L136">IF( ISBLANK(L$120), "",EvaluatePolynomial(L$120:L$126,$A136))</f>
        <v/>
      </c>
      <c r="M136" s="2" t="str" cm="1">
        <f t="array" ref="M136">IF( ISBLANK(M$120), "",EvaluatePolynomial(M$120:M$126,$A136))</f>
        <v/>
      </c>
      <c r="N136" s="2" t="str" cm="1">
        <f t="array" ref="N136">IF( ISBLANK(N$120), "",EvaluatePolynomial(N$120:N$126,$A136))</f>
        <v/>
      </c>
      <c r="O136" s="2" t="str" cm="1">
        <f t="array" ref="O136">IF( ISBLANK(O$120), "",EvaluatePolynomial(O$120:O$126,$A136))</f>
        <v/>
      </c>
      <c r="P136" s="2" t="str" cm="1">
        <f t="array" ref="P136">IF( ISBLANK(P$120), "",EvaluatePolynomial(P$120:P$126,$A136))</f>
        <v/>
      </c>
      <c r="Q136" s="2" t="str" cm="1">
        <f t="array" ref="Q136">IF( ISBLANK(Q$120), "",EvaluatePolynomial(Q$120:Q$126,$A136))</f>
        <v/>
      </c>
      <c r="R136" s="2" t="str" cm="1">
        <f t="array" ref="R136">IF( ISBLANK(R$120), "",EvaluatePolynomial(R$120:R$126,$A136))</f>
        <v/>
      </c>
      <c r="S136" s="2" t="str" cm="1">
        <f t="array" ref="S136">IF( ISBLANK(S$120), "",EvaluatePolynomial(S$120:S$126,$A136))</f>
        <v/>
      </c>
      <c r="T136" s="2" t="str" cm="1">
        <f t="array" ref="T136">IF( ISBLANK(T$120), "",EvaluatePolynomial(T$120:T$126,$A136))</f>
        <v/>
      </c>
      <c r="U136" s="2" t="str" cm="1">
        <f t="array" ref="U136">IF( ISBLANK(U$120), "",EvaluatePolynomial(U$120:U$126,$A136))</f>
        <v/>
      </c>
      <c r="V136" s="2" t="str" cm="1">
        <f t="array" ref="V136">IF( ISBLANK(V$120), "",EvaluatePolynomial(V$120:V$126,$A136))</f>
        <v/>
      </c>
      <c r="W136" s="2" t="str" cm="1">
        <f t="array" ref="W136">IF( ISBLANK(W$120), "",EvaluatePolynomial(W$120:W$126,$A136))</f>
        <v/>
      </c>
      <c r="X136" s="2" t="str" cm="1">
        <f t="array" ref="X136">IF( ISBLANK(X$120), "",EvaluatePolynomial(X$120:X$126,$A136))</f>
        <v/>
      </c>
      <c r="Y136" s="2" t="str" cm="1">
        <f t="array" ref="Y136">IF( ISBLANK(Y$120), "",EvaluatePolynomial(Y$120:Y$126,$A136))</f>
        <v/>
      </c>
      <c r="Z136" s="2" t="str" cm="1">
        <f t="array" ref="Z136">IF( ISBLANK(Z$120), "",EvaluatePolynomial(Z$120:Z$126,$A136))</f>
        <v/>
      </c>
      <c r="AA136" s="2" t="str" cm="1">
        <f t="array" ref="AA136">IF( ISBLANK(AA$120), "",EvaluatePolynomial(AA$120:AA$126,$A136))</f>
        <v/>
      </c>
      <c r="AB136" s="37" t="str" cm="1">
        <f t="array" ref="AB136">IF( ISBLANK(AB$120), "",EvaluatePolynomial(AB$120:AB$126,$A136))</f>
        <v/>
      </c>
      <c r="AC136" s="2"/>
    </row>
    <row r="137" spans="1:29" x14ac:dyDescent="0.25">
      <c r="A137" s="35">
        <v>175</v>
      </c>
      <c r="B137" s="36" t="str" cm="1">
        <f t="array" ref="B137">IF( ISBLANK(B$120), "",EvaluatePolynomial(B$120:B$126,$A137))</f>
        <v/>
      </c>
      <c r="C137" s="36" t="str" cm="1">
        <f t="array" ref="C137">IF( ISBLANK(C$120), "",EvaluatePolynomial(C$120:C$126,$A137))</f>
        <v/>
      </c>
      <c r="D137" s="2" t="str" cm="1">
        <f t="array" ref="D137">IF( ISBLANK(D$120), "",EvaluatePolynomial(D$120:D$126,$A137))</f>
        <v/>
      </c>
      <c r="E137" s="2" t="str" cm="1">
        <f t="array" ref="E137">IF( ISBLANK(E$120), "",EvaluatePolynomial(E$120:E$126,$A137))</f>
        <v/>
      </c>
      <c r="F137" s="2" t="str" cm="1">
        <f t="array" ref="F137">IF( ISBLANK(F$120), "",EvaluatePolynomial(F$120:F$126,$A136))</f>
        <v/>
      </c>
      <c r="G137" s="2" t="str" cm="1">
        <f t="array" ref="G137">IF( ISBLANK(G$120), "",EvaluatePolynomial(G$120:G$126,$A136))</f>
        <v/>
      </c>
      <c r="H137" s="2" t="str" cm="1">
        <f t="array" ref="H137">IF( ISBLANK(H$120), "",EvaluatePolynomial(H$120:H$126,$A137))</f>
        <v/>
      </c>
      <c r="I137" s="2" t="str" cm="1">
        <f t="array" ref="I137">IF( ISBLANK(I$120), "",EvaluatePolynomial(I$120:I$126,$A137))</f>
        <v/>
      </c>
      <c r="J137" s="2" t="str" cm="1">
        <f t="array" ref="J137">IF( ISBLANK(J$120), "",EvaluatePolynomial(J$120:J$126,$A137))</f>
        <v/>
      </c>
      <c r="K137" s="2" t="str" cm="1">
        <f t="array" ref="K137">IF( ISBLANK(K$120), "",EvaluatePolynomial(K$120:K$126,$A137))</f>
        <v/>
      </c>
      <c r="L137" s="2" t="str" cm="1">
        <f t="array" ref="L137">IF( ISBLANK(L$120), "",EvaluatePolynomial(L$120:L$126,$A137))</f>
        <v/>
      </c>
      <c r="M137" s="2" t="str" cm="1">
        <f t="array" ref="M137">IF( ISBLANK(M$120), "",EvaluatePolynomial(M$120:M$126,$A137))</f>
        <v/>
      </c>
      <c r="N137" s="2" t="str" cm="1">
        <f t="array" ref="N137">IF( ISBLANK(N$120), "",EvaluatePolynomial(N$120:N$126,$A137))</f>
        <v/>
      </c>
      <c r="O137" s="2" t="str" cm="1">
        <f t="array" ref="O137">IF( ISBLANK(O$120), "",EvaluatePolynomial(O$120:O$126,$A137))</f>
        <v/>
      </c>
      <c r="P137" s="2" t="str" cm="1">
        <f t="array" ref="P137">IF( ISBLANK(P$120), "",EvaluatePolynomial(P$120:P$126,$A137))</f>
        <v/>
      </c>
      <c r="Q137" s="2" t="str" cm="1">
        <f t="array" ref="Q137">IF( ISBLANK(Q$120), "",EvaluatePolynomial(Q$120:Q$126,$A137))</f>
        <v/>
      </c>
      <c r="R137" s="2" t="str" cm="1">
        <f t="array" ref="R137">IF( ISBLANK(R$120), "",EvaluatePolynomial(R$120:R$126,$A137))</f>
        <v/>
      </c>
      <c r="S137" s="2" t="str" cm="1">
        <f t="array" ref="S137">IF( ISBLANK(S$120), "",EvaluatePolynomial(S$120:S$126,$A137))</f>
        <v/>
      </c>
      <c r="T137" s="2" t="str" cm="1">
        <f t="array" ref="T137">IF( ISBLANK(T$120), "",EvaluatePolynomial(T$120:T$126,$A137))</f>
        <v/>
      </c>
      <c r="U137" s="2" t="str" cm="1">
        <f t="array" ref="U137">IF( ISBLANK(U$120), "",EvaluatePolynomial(U$120:U$126,$A137))</f>
        <v/>
      </c>
      <c r="V137" s="2" t="str" cm="1">
        <f t="array" ref="V137">IF( ISBLANK(V$120), "",EvaluatePolynomial(V$120:V$126,$A137))</f>
        <v/>
      </c>
      <c r="W137" s="2" t="str" cm="1">
        <f t="array" ref="W137">IF( ISBLANK(W$120), "",EvaluatePolynomial(W$120:W$126,$A137))</f>
        <v/>
      </c>
      <c r="X137" s="2" t="str" cm="1">
        <f t="array" ref="X137">IF( ISBLANK(X$120), "",EvaluatePolynomial(X$120:X$126,$A137))</f>
        <v/>
      </c>
      <c r="Y137" s="2" t="str" cm="1">
        <f t="array" ref="Y137">IF( ISBLANK(Y$120), "",EvaluatePolynomial(Y$120:Y$126,$A137))</f>
        <v/>
      </c>
      <c r="Z137" s="2" t="str" cm="1">
        <f t="array" ref="Z137">IF( ISBLANK(Z$120), "",EvaluatePolynomial(Z$120:Z$126,$A137))</f>
        <v/>
      </c>
      <c r="AA137" s="2" t="str" cm="1">
        <f t="array" ref="AA137">IF( ISBLANK(AA$120), "",EvaluatePolynomial(AA$120:AA$126,$A137))</f>
        <v/>
      </c>
      <c r="AB137" s="37" t="str" cm="1">
        <f t="array" ref="AB137">IF( ISBLANK(AB$120), "",EvaluatePolynomial(AB$120:AB$126,$A137))</f>
        <v/>
      </c>
      <c r="AC137" s="2"/>
    </row>
    <row r="138" spans="1:29" x14ac:dyDescent="0.25">
      <c r="A138" s="35">
        <v>200</v>
      </c>
      <c r="B138" s="36" t="str" cm="1">
        <f t="array" ref="B138">IF( ISBLANK(B$120), "",EvaluatePolynomial(B$120:B$126,$A138))</f>
        <v/>
      </c>
      <c r="C138" s="36" t="str" cm="1">
        <f t="array" ref="C138">IF( ISBLANK(C$120), "",EvaluatePolynomial(C$120:C$126,$A138))</f>
        <v/>
      </c>
      <c r="D138" s="2" t="str" cm="1">
        <f t="array" ref="D138">IF( ISBLANK(D$120), "",EvaluatePolynomial(D$120:D$126,$A138))</f>
        <v/>
      </c>
      <c r="E138" s="2" t="str" cm="1">
        <f t="array" ref="E138">IF( ISBLANK(E$120), "",EvaluatePolynomial(E$120:E$126,$A138))</f>
        <v/>
      </c>
      <c r="F138" s="2" t="str" cm="1">
        <f t="array" ref="F138">IF( ISBLANK(F$120), "",EvaluatePolynomial(F$120:F$126,$A137))</f>
        <v/>
      </c>
      <c r="G138" s="2" t="str" cm="1">
        <f t="array" ref="G138">IF( ISBLANK(G$120), "",EvaluatePolynomial(G$120:G$126,$A137))</f>
        <v/>
      </c>
      <c r="H138" s="2" t="str" cm="1">
        <f t="array" ref="H138">IF( ISBLANK(H$120), "",EvaluatePolynomial(H$120:H$126,$A138))</f>
        <v/>
      </c>
      <c r="I138" s="2" t="str" cm="1">
        <f t="array" ref="I138">IF( ISBLANK(I$120), "",EvaluatePolynomial(I$120:I$126,$A138))</f>
        <v/>
      </c>
      <c r="J138" s="2" t="str" cm="1">
        <f t="array" ref="J138">IF( ISBLANK(J$120), "",EvaluatePolynomial(J$120:J$126,$A138))</f>
        <v/>
      </c>
      <c r="K138" s="2" t="str" cm="1">
        <f t="array" ref="K138">IF( ISBLANK(K$120), "",EvaluatePolynomial(K$120:K$126,$A138))</f>
        <v/>
      </c>
      <c r="L138" s="2" t="str" cm="1">
        <f t="array" ref="L138">IF( ISBLANK(L$120), "",EvaluatePolynomial(L$120:L$126,$A138))</f>
        <v/>
      </c>
      <c r="M138" s="2" t="str" cm="1">
        <f t="array" ref="M138">IF( ISBLANK(M$120), "",EvaluatePolynomial(M$120:M$126,$A138))</f>
        <v/>
      </c>
      <c r="N138" s="2" t="str" cm="1">
        <f t="array" ref="N138">IF( ISBLANK(N$120), "",EvaluatePolynomial(N$120:N$126,$A138))</f>
        <v/>
      </c>
      <c r="O138" s="2" t="str" cm="1">
        <f t="array" ref="O138">IF( ISBLANK(O$120), "",EvaluatePolynomial(O$120:O$126,$A138))</f>
        <v/>
      </c>
      <c r="P138" s="2" t="str" cm="1">
        <f t="array" ref="P138">IF( ISBLANK(P$120), "",EvaluatePolynomial(P$120:P$126,$A138))</f>
        <v/>
      </c>
      <c r="Q138" s="2" t="str" cm="1">
        <f t="array" ref="Q138">IF( ISBLANK(Q$120), "",EvaluatePolynomial(Q$120:Q$126,$A138))</f>
        <v/>
      </c>
      <c r="R138" s="2" t="str" cm="1">
        <f t="array" ref="R138">IF( ISBLANK(R$120), "",EvaluatePolynomial(R$120:R$126,$A138))</f>
        <v/>
      </c>
      <c r="S138" s="2" t="str" cm="1">
        <f t="array" ref="S138">IF( ISBLANK(S$120), "",EvaluatePolynomial(S$120:S$126,$A138))</f>
        <v/>
      </c>
      <c r="T138" s="2" t="str" cm="1">
        <f t="array" ref="T138">IF( ISBLANK(T$120), "",EvaluatePolynomial(T$120:T$126,$A138))</f>
        <v/>
      </c>
      <c r="U138" s="2" t="str" cm="1">
        <f t="array" ref="U138">IF( ISBLANK(U$120), "",EvaluatePolynomial(U$120:U$126,$A138))</f>
        <v/>
      </c>
      <c r="V138" s="2" t="str" cm="1">
        <f t="array" ref="V138">IF( ISBLANK(V$120), "",EvaluatePolynomial(V$120:V$126,$A138))</f>
        <v/>
      </c>
      <c r="W138" s="2" t="str" cm="1">
        <f t="array" ref="W138">IF( ISBLANK(W$120), "",EvaluatePolynomial(W$120:W$126,$A138))</f>
        <v/>
      </c>
      <c r="X138" s="2" t="str" cm="1">
        <f t="array" ref="X138">IF( ISBLANK(X$120), "",EvaluatePolynomial(X$120:X$126,$A138))</f>
        <v/>
      </c>
      <c r="Y138" s="2" t="str" cm="1">
        <f t="array" ref="Y138">IF( ISBLANK(Y$120), "",EvaluatePolynomial(Y$120:Y$126,$A138))</f>
        <v/>
      </c>
      <c r="Z138" s="2" t="str" cm="1">
        <f t="array" ref="Z138">IF( ISBLANK(Z$120), "",EvaluatePolynomial(Z$120:Z$126,$A138))</f>
        <v/>
      </c>
      <c r="AA138" s="2" t="str" cm="1">
        <f t="array" ref="AA138">IF( ISBLANK(AA$120), "",EvaluatePolynomial(AA$120:AA$126,$A138))</f>
        <v/>
      </c>
      <c r="AB138" s="37" t="str" cm="1">
        <f t="array" ref="AB138">IF( ISBLANK(AB$120), "",EvaluatePolynomial(AB$120:AB$126,$A138))</f>
        <v/>
      </c>
      <c r="AC138" s="2"/>
    </row>
    <row r="139" spans="1:29" x14ac:dyDescent="0.25">
      <c r="A139" s="35">
        <v>225</v>
      </c>
      <c r="B139" s="36" t="str" cm="1">
        <f t="array" ref="B139">IF( ISBLANK(B$120), "",EvaluatePolynomial(B$120:B$126,$A139))</f>
        <v/>
      </c>
      <c r="C139" s="36" t="str" cm="1">
        <f t="array" ref="C139">IF( ISBLANK(C$120), "",EvaluatePolynomial(C$120:C$126,$A139))</f>
        <v/>
      </c>
      <c r="D139" s="2" t="str" cm="1">
        <f t="array" ref="D139">IF( ISBLANK(D$120), "",EvaluatePolynomial(D$120:D$126,$A139))</f>
        <v/>
      </c>
      <c r="E139" s="2" t="str" cm="1">
        <f t="array" ref="E139">IF( ISBLANK(E$120), "",EvaluatePolynomial(E$120:E$126,$A139))</f>
        <v/>
      </c>
      <c r="F139" s="2" t="str" cm="1">
        <f t="array" ref="F139">IF( ISBLANK(F$120), "",EvaluatePolynomial(F$120:F$126,$A138))</f>
        <v/>
      </c>
      <c r="G139" s="2" t="str" cm="1">
        <f t="array" ref="G139">IF( ISBLANK(G$120), "",EvaluatePolynomial(G$120:G$126,$A138))</f>
        <v/>
      </c>
      <c r="H139" s="2" t="str" cm="1">
        <f t="array" ref="H139">IF( ISBLANK(H$120), "",EvaluatePolynomial(H$120:H$126,$A139))</f>
        <v/>
      </c>
      <c r="I139" s="2" t="str" cm="1">
        <f t="array" ref="I139">IF( ISBLANK(I$120), "",EvaluatePolynomial(I$120:I$126,$A139))</f>
        <v/>
      </c>
      <c r="J139" s="2" t="str" cm="1">
        <f t="array" ref="J139">IF( ISBLANK(J$120), "",EvaluatePolynomial(J$120:J$126,$A139))</f>
        <v/>
      </c>
      <c r="K139" s="2" t="str" cm="1">
        <f t="array" ref="K139">IF( ISBLANK(K$120), "",EvaluatePolynomial(K$120:K$126,$A139))</f>
        <v/>
      </c>
      <c r="L139" s="2" t="str" cm="1">
        <f t="array" ref="L139">IF( ISBLANK(L$120), "",EvaluatePolynomial(L$120:L$126,$A139))</f>
        <v/>
      </c>
      <c r="M139" s="2" t="str" cm="1">
        <f t="array" ref="M139">IF( ISBLANK(M$120), "",EvaluatePolynomial(M$120:M$126,$A139))</f>
        <v/>
      </c>
      <c r="N139" s="2" t="str" cm="1">
        <f t="array" ref="N139">IF( ISBLANK(N$120), "",EvaluatePolynomial(N$120:N$126,$A139))</f>
        <v/>
      </c>
      <c r="O139" s="2" t="str" cm="1">
        <f t="array" ref="O139">IF( ISBLANK(O$120), "",EvaluatePolynomial(O$120:O$126,$A139))</f>
        <v/>
      </c>
      <c r="P139" s="2" t="str" cm="1">
        <f t="array" ref="P139">IF( ISBLANK(P$120), "",EvaluatePolynomial(P$120:P$126,$A139))</f>
        <v/>
      </c>
      <c r="Q139" s="2" t="str" cm="1">
        <f t="array" ref="Q139">IF( ISBLANK(Q$120), "",EvaluatePolynomial(Q$120:Q$126,$A139))</f>
        <v/>
      </c>
      <c r="R139" s="2" t="str" cm="1">
        <f t="array" ref="R139">IF( ISBLANK(R$120), "",EvaluatePolynomial(R$120:R$126,$A139))</f>
        <v/>
      </c>
      <c r="S139" s="2" t="str" cm="1">
        <f t="array" ref="S139">IF( ISBLANK(S$120), "",EvaluatePolynomial(S$120:S$126,$A139))</f>
        <v/>
      </c>
      <c r="T139" s="2" t="str" cm="1">
        <f t="array" ref="T139">IF( ISBLANK(T$120), "",EvaluatePolynomial(T$120:T$126,$A139))</f>
        <v/>
      </c>
      <c r="U139" s="2" t="str" cm="1">
        <f t="array" ref="U139">IF( ISBLANK(U$120), "",EvaluatePolynomial(U$120:U$126,$A139))</f>
        <v/>
      </c>
      <c r="V139" s="2" t="str" cm="1">
        <f t="array" ref="V139">IF( ISBLANK(V$120), "",EvaluatePolynomial(V$120:V$126,$A139))</f>
        <v/>
      </c>
      <c r="W139" s="2" t="str" cm="1">
        <f t="array" ref="W139">IF( ISBLANK(W$120), "",EvaluatePolynomial(W$120:W$126,$A139))</f>
        <v/>
      </c>
      <c r="X139" s="2" t="str" cm="1">
        <f t="array" ref="X139">IF( ISBLANK(X$120), "",EvaluatePolynomial(X$120:X$126,$A139))</f>
        <v/>
      </c>
      <c r="Y139" s="2" t="str" cm="1">
        <f t="array" ref="Y139">IF( ISBLANK(Y$120), "",EvaluatePolynomial(Y$120:Y$126,$A139))</f>
        <v/>
      </c>
      <c r="Z139" s="2" t="str" cm="1">
        <f t="array" ref="Z139">IF( ISBLANK(Z$120), "",EvaluatePolynomial(Z$120:Z$126,$A139))</f>
        <v/>
      </c>
      <c r="AA139" s="2" t="str" cm="1">
        <f t="array" ref="AA139">IF( ISBLANK(AA$120), "",EvaluatePolynomial(AA$120:AA$126,$A139))</f>
        <v/>
      </c>
      <c r="AB139" s="37" t="str" cm="1">
        <f t="array" ref="AB139">IF( ISBLANK(AB$120), "",EvaluatePolynomial(AB$120:AB$126,$A139))</f>
        <v/>
      </c>
      <c r="AC139" s="2"/>
    </row>
    <row r="140" spans="1:29" x14ac:dyDescent="0.25">
      <c r="A140" s="35">
        <v>250</v>
      </c>
      <c r="B140" s="36" t="str" cm="1">
        <f t="array" ref="B140">IF( ISBLANK(B$120), "",EvaluatePolynomial(B$120:B$126,$A140))</f>
        <v/>
      </c>
      <c r="C140" s="36" t="str" cm="1">
        <f t="array" ref="C140">IF( ISBLANK(C$120), "",EvaluatePolynomial(C$120:C$126,$A140))</f>
        <v/>
      </c>
      <c r="D140" s="2" t="str" cm="1">
        <f t="array" ref="D140">IF( ISBLANK(D$120), "",EvaluatePolynomial(D$120:D$126,$A140))</f>
        <v/>
      </c>
      <c r="E140" s="2" t="str" cm="1">
        <f t="array" ref="E140">IF( ISBLANK(E$120), "",EvaluatePolynomial(E$120:E$126,$A140))</f>
        <v/>
      </c>
      <c r="F140" s="2" t="str" cm="1">
        <f t="array" ref="F140">IF( ISBLANK(F$120), "",EvaluatePolynomial(F$120:F$126,$A139))</f>
        <v/>
      </c>
      <c r="G140" s="2" t="str" cm="1">
        <f t="array" ref="G140">IF( ISBLANK(G$120), "",EvaluatePolynomial(G$120:G$126,$A139))</f>
        <v/>
      </c>
      <c r="H140" s="2" t="str" cm="1">
        <f t="array" ref="H140">IF( ISBLANK(H$120), "",EvaluatePolynomial(H$120:H$126,$A140))</f>
        <v/>
      </c>
      <c r="I140" s="2" t="str" cm="1">
        <f t="array" ref="I140">IF( ISBLANK(I$120), "",EvaluatePolynomial(I$120:I$126,$A140))</f>
        <v/>
      </c>
      <c r="J140" s="2" t="str" cm="1">
        <f t="array" ref="J140">IF( ISBLANK(J$120), "",EvaluatePolynomial(J$120:J$126,$A140))</f>
        <v/>
      </c>
      <c r="K140" s="2" t="str" cm="1">
        <f t="array" ref="K140">IF( ISBLANK(K$120), "",EvaluatePolynomial(K$120:K$126,$A140))</f>
        <v/>
      </c>
      <c r="L140" s="2" t="str" cm="1">
        <f t="array" ref="L140">IF( ISBLANK(L$120), "",EvaluatePolynomial(L$120:L$126,$A140))</f>
        <v/>
      </c>
      <c r="M140" s="2" t="str" cm="1">
        <f t="array" ref="M140">IF( ISBLANK(M$120), "",EvaluatePolynomial(M$120:M$126,$A140))</f>
        <v/>
      </c>
      <c r="N140" s="2" t="str" cm="1">
        <f t="array" ref="N140">IF( ISBLANK(N$120), "",EvaluatePolynomial(N$120:N$126,$A140))</f>
        <v/>
      </c>
      <c r="O140" s="2" t="str" cm="1">
        <f t="array" ref="O140">IF( ISBLANK(O$120), "",EvaluatePolynomial(O$120:O$126,$A140))</f>
        <v/>
      </c>
      <c r="P140" s="2" t="str" cm="1">
        <f t="array" ref="P140">IF( ISBLANK(P$120), "",EvaluatePolynomial(P$120:P$126,$A140))</f>
        <v/>
      </c>
      <c r="Q140" s="2" t="str" cm="1">
        <f t="array" ref="Q140">IF( ISBLANK(Q$120), "",EvaluatePolynomial(Q$120:Q$126,$A140))</f>
        <v/>
      </c>
      <c r="R140" s="2" t="str" cm="1">
        <f t="array" ref="R140">IF( ISBLANK(R$120), "",EvaluatePolynomial(R$120:R$126,$A140))</f>
        <v/>
      </c>
      <c r="S140" s="2" t="str" cm="1">
        <f t="array" ref="S140">IF( ISBLANK(S$120), "",EvaluatePolynomial(S$120:S$126,$A140))</f>
        <v/>
      </c>
      <c r="T140" s="2" t="str" cm="1">
        <f t="array" ref="T140">IF( ISBLANK(T$120), "",EvaluatePolynomial(T$120:T$126,$A140))</f>
        <v/>
      </c>
      <c r="U140" s="2" t="str" cm="1">
        <f t="array" ref="U140">IF( ISBLANK(U$120), "",EvaluatePolynomial(U$120:U$126,$A140))</f>
        <v/>
      </c>
      <c r="V140" s="2" t="str" cm="1">
        <f t="array" ref="V140">IF( ISBLANK(V$120), "",EvaluatePolynomial(V$120:V$126,$A140))</f>
        <v/>
      </c>
      <c r="W140" s="2" t="str" cm="1">
        <f t="array" ref="W140">IF( ISBLANK(W$120), "",EvaluatePolynomial(W$120:W$126,$A140))</f>
        <v/>
      </c>
      <c r="X140" s="2" t="str" cm="1">
        <f t="array" ref="X140">IF( ISBLANK(X$120), "",EvaluatePolynomial(X$120:X$126,$A140))</f>
        <v/>
      </c>
      <c r="Y140" s="2" t="str" cm="1">
        <f t="array" ref="Y140">IF( ISBLANK(Y$120), "",EvaluatePolynomial(Y$120:Y$126,$A140))</f>
        <v/>
      </c>
      <c r="Z140" s="2" t="str" cm="1">
        <f t="array" ref="Z140">IF( ISBLANK(Z$120), "",EvaluatePolynomial(Z$120:Z$126,$A140))</f>
        <v/>
      </c>
      <c r="AA140" s="2" t="str" cm="1">
        <f t="array" ref="AA140">IF( ISBLANK(AA$120), "",EvaluatePolynomial(AA$120:AA$126,$A140))</f>
        <v/>
      </c>
      <c r="AB140" s="37" t="str" cm="1">
        <f t="array" ref="AB140">IF( ISBLANK(AB$120), "",EvaluatePolynomial(AB$120:AB$126,$A140))</f>
        <v/>
      </c>
      <c r="AC140" s="2"/>
    </row>
    <row r="141" spans="1:29" x14ac:dyDescent="0.25">
      <c r="A141" s="35">
        <v>275</v>
      </c>
      <c r="B141" s="36" t="str" cm="1">
        <f t="array" ref="B141">IF( ISBLANK(B$120), "",EvaluatePolynomial(B$120:B$126,$A141))</f>
        <v/>
      </c>
      <c r="C141" s="36" t="str" cm="1">
        <f t="array" ref="C141">IF( ISBLANK(C$120), "",EvaluatePolynomial(C$120:C$126,$A141))</f>
        <v/>
      </c>
      <c r="D141" s="2" t="str" cm="1">
        <f t="array" ref="D141">IF( ISBLANK(D$120), "",EvaluatePolynomial(D$120:D$126,$A141))</f>
        <v/>
      </c>
      <c r="E141" s="2" t="str" cm="1">
        <f t="array" ref="E141">IF( ISBLANK(E$120), "",EvaluatePolynomial(E$120:E$126,$A141))</f>
        <v/>
      </c>
      <c r="F141" s="2" t="str" cm="1">
        <f t="array" ref="F141">IF( ISBLANK(F$120), "",EvaluatePolynomial(F$120:F$126,$A140))</f>
        <v/>
      </c>
      <c r="G141" s="2" t="str" cm="1">
        <f t="array" ref="G141">IF( ISBLANK(G$120), "",EvaluatePolynomial(G$120:G$126,$A140))</f>
        <v/>
      </c>
      <c r="H141" s="2" t="str" cm="1">
        <f t="array" ref="H141">IF( ISBLANK(H$120), "",EvaluatePolynomial(H$120:H$126,$A141))</f>
        <v/>
      </c>
      <c r="I141" s="2" t="str" cm="1">
        <f t="array" ref="I141">IF( ISBLANK(I$120), "",EvaluatePolynomial(I$120:I$126,$A141))</f>
        <v/>
      </c>
      <c r="J141" s="2" t="str" cm="1">
        <f t="array" ref="J141">IF( ISBLANK(J$120), "",EvaluatePolynomial(J$120:J$126,$A141))</f>
        <v/>
      </c>
      <c r="K141" s="2" t="str" cm="1">
        <f t="array" ref="K141">IF( ISBLANK(K$120), "",EvaluatePolynomial(K$120:K$126,$A141))</f>
        <v/>
      </c>
      <c r="L141" s="2" t="str" cm="1">
        <f t="array" ref="L141">IF( ISBLANK(L$120), "",EvaluatePolynomial(L$120:L$126,$A141))</f>
        <v/>
      </c>
      <c r="M141" s="2" t="str" cm="1">
        <f t="array" ref="M141">IF( ISBLANK(M$120), "",EvaluatePolynomial(M$120:M$126,$A141))</f>
        <v/>
      </c>
      <c r="N141" s="2" t="str" cm="1">
        <f t="array" ref="N141">IF( ISBLANK(N$120), "",EvaluatePolynomial(N$120:N$126,$A141))</f>
        <v/>
      </c>
      <c r="O141" s="2" t="str" cm="1">
        <f t="array" ref="O141">IF( ISBLANK(O$120), "",EvaluatePolynomial(O$120:O$126,$A141))</f>
        <v/>
      </c>
      <c r="P141" s="2" t="str" cm="1">
        <f t="array" ref="P141">IF( ISBLANK(P$120), "",EvaluatePolynomial(P$120:P$126,$A141))</f>
        <v/>
      </c>
      <c r="Q141" s="2" t="str" cm="1">
        <f t="array" ref="Q141">IF( ISBLANK(Q$120), "",EvaluatePolynomial(Q$120:Q$126,$A141))</f>
        <v/>
      </c>
      <c r="R141" s="2" t="str" cm="1">
        <f t="array" ref="R141">IF( ISBLANK(R$120), "",EvaluatePolynomial(R$120:R$126,$A141))</f>
        <v/>
      </c>
      <c r="S141" s="2" t="str" cm="1">
        <f t="array" ref="S141">IF( ISBLANK(S$120), "",EvaluatePolynomial(S$120:S$126,$A141))</f>
        <v/>
      </c>
      <c r="T141" s="2" t="str" cm="1">
        <f t="array" ref="T141">IF( ISBLANK(T$120), "",EvaluatePolynomial(T$120:T$126,$A141))</f>
        <v/>
      </c>
      <c r="U141" s="2" t="str" cm="1">
        <f t="array" ref="U141">IF( ISBLANK(U$120), "",EvaluatePolynomial(U$120:U$126,$A141))</f>
        <v/>
      </c>
      <c r="V141" s="2" t="str" cm="1">
        <f t="array" ref="V141">IF( ISBLANK(V$120), "",EvaluatePolynomial(V$120:V$126,$A141))</f>
        <v/>
      </c>
      <c r="W141" s="2" t="str" cm="1">
        <f t="array" ref="W141">IF( ISBLANK(W$120), "",EvaluatePolynomial(W$120:W$126,$A141))</f>
        <v/>
      </c>
      <c r="X141" s="2" t="str" cm="1">
        <f t="array" ref="X141">IF( ISBLANK(X$120), "",EvaluatePolynomial(X$120:X$126,$A141))</f>
        <v/>
      </c>
      <c r="Y141" s="2" t="str" cm="1">
        <f t="array" ref="Y141">IF( ISBLANK(Y$120), "",EvaluatePolynomial(Y$120:Y$126,$A141))</f>
        <v/>
      </c>
      <c r="Z141" s="2" t="str" cm="1">
        <f t="array" ref="Z141">IF( ISBLANK(Z$120), "",EvaluatePolynomial(Z$120:Z$126,$A141))</f>
        <v/>
      </c>
      <c r="AA141" s="2" t="str" cm="1">
        <f t="array" ref="AA141">IF( ISBLANK(AA$120), "",EvaluatePolynomial(AA$120:AA$126,$A141))</f>
        <v/>
      </c>
      <c r="AB141" s="37" t="str" cm="1">
        <f t="array" ref="AB141">IF( ISBLANK(AB$120), "",EvaluatePolynomial(AB$120:AB$126,$A141))</f>
        <v/>
      </c>
      <c r="AC141" s="2"/>
    </row>
    <row r="142" spans="1:29" x14ac:dyDescent="0.25">
      <c r="A142" s="35">
        <v>300</v>
      </c>
      <c r="B142" s="36" t="str" cm="1">
        <f t="array" ref="B142">IF( ISBLANK(B$120), "",EvaluatePolynomial(B$120:B$126,$A142))</f>
        <v/>
      </c>
      <c r="C142" s="36" t="str" cm="1">
        <f t="array" ref="C142">IF( ISBLANK(C$120), "",EvaluatePolynomial(C$120:C$126,$A142))</f>
        <v/>
      </c>
      <c r="D142" s="2" t="str" cm="1">
        <f t="array" ref="D142">IF( ISBLANK(D$120), "",EvaluatePolynomial(D$120:D$126,$A142))</f>
        <v/>
      </c>
      <c r="E142" s="2" t="str" cm="1">
        <f t="array" ref="E142">IF( ISBLANK(E$120), "",EvaluatePolynomial(E$120:E$126,$A142))</f>
        <v/>
      </c>
      <c r="F142" s="2" t="str" cm="1">
        <f t="array" ref="F142">IF( ISBLANK(F$120), "",EvaluatePolynomial(F$120:F$126,$A141))</f>
        <v/>
      </c>
      <c r="G142" s="2" t="str" cm="1">
        <f t="array" ref="G142">IF( ISBLANK(G$120), "",EvaluatePolynomial(G$120:G$126,$A141))</f>
        <v/>
      </c>
      <c r="H142" s="2" t="str" cm="1">
        <f t="array" ref="H142">IF( ISBLANK(H$120), "",EvaluatePolynomial(H$120:H$126,$A142))</f>
        <v/>
      </c>
      <c r="I142" s="2" t="str" cm="1">
        <f t="array" ref="I142">IF( ISBLANK(I$120), "",EvaluatePolynomial(I$120:I$126,$A142))</f>
        <v/>
      </c>
      <c r="J142" s="2" t="str" cm="1">
        <f t="array" ref="J142">IF( ISBLANK(J$120), "",EvaluatePolynomial(J$120:J$126,$A142))</f>
        <v/>
      </c>
      <c r="K142" s="2" t="str" cm="1">
        <f t="array" ref="K142">IF( ISBLANK(K$120), "",EvaluatePolynomial(K$120:K$126,$A142))</f>
        <v/>
      </c>
      <c r="L142" s="2" t="str" cm="1">
        <f t="array" ref="L142">IF( ISBLANK(L$120), "",EvaluatePolynomial(L$120:L$126,$A142))</f>
        <v/>
      </c>
      <c r="M142" s="2" t="str" cm="1">
        <f t="array" ref="M142">IF( ISBLANK(M$120), "",EvaluatePolynomial(M$120:M$126,$A142))</f>
        <v/>
      </c>
      <c r="N142" s="2" t="str" cm="1">
        <f t="array" ref="N142">IF( ISBLANK(N$120), "",EvaluatePolynomial(N$120:N$126,$A142))</f>
        <v/>
      </c>
      <c r="O142" s="2" t="str" cm="1">
        <f t="array" ref="O142">IF( ISBLANK(O$120), "",EvaluatePolynomial(O$120:O$126,$A142))</f>
        <v/>
      </c>
      <c r="P142" s="2" t="str" cm="1">
        <f t="array" ref="P142">IF( ISBLANK(P$120), "",EvaluatePolynomial(P$120:P$126,$A142))</f>
        <v/>
      </c>
      <c r="Q142" s="2" t="str" cm="1">
        <f t="array" ref="Q142">IF( ISBLANK(Q$120), "",EvaluatePolynomial(Q$120:Q$126,$A142))</f>
        <v/>
      </c>
      <c r="R142" s="2" t="str" cm="1">
        <f t="array" ref="R142">IF( ISBLANK(R$120), "",EvaluatePolynomial(R$120:R$126,$A142))</f>
        <v/>
      </c>
      <c r="S142" s="2" t="str" cm="1">
        <f t="array" ref="S142">IF( ISBLANK(S$120), "",EvaluatePolynomial(S$120:S$126,$A142))</f>
        <v/>
      </c>
      <c r="T142" s="2" t="str" cm="1">
        <f t="array" ref="T142">IF( ISBLANK(T$120), "",EvaluatePolynomial(T$120:T$126,$A142))</f>
        <v/>
      </c>
      <c r="U142" s="2" t="str" cm="1">
        <f t="array" ref="U142">IF( ISBLANK(U$120), "",EvaluatePolynomial(U$120:U$126,$A142))</f>
        <v/>
      </c>
      <c r="V142" s="2" t="str" cm="1">
        <f t="array" ref="V142">IF( ISBLANK(V$120), "",EvaluatePolynomial(V$120:V$126,$A142))</f>
        <v/>
      </c>
      <c r="W142" s="2" t="str" cm="1">
        <f t="array" ref="W142">IF( ISBLANK(W$120), "",EvaluatePolynomial(W$120:W$126,$A142))</f>
        <v/>
      </c>
      <c r="X142" s="2" t="str" cm="1">
        <f t="array" ref="X142">IF( ISBLANK(X$120), "",EvaluatePolynomial(X$120:X$126,$A142))</f>
        <v/>
      </c>
      <c r="Y142" s="2" t="str" cm="1">
        <f t="array" ref="Y142">IF( ISBLANK(Y$120), "",EvaluatePolynomial(Y$120:Y$126,$A142))</f>
        <v/>
      </c>
      <c r="Z142" s="2" t="str" cm="1">
        <f t="array" ref="Z142">IF( ISBLANK(Z$120), "",EvaluatePolynomial(Z$120:Z$126,$A142))</f>
        <v/>
      </c>
      <c r="AA142" s="2" t="str" cm="1">
        <f t="array" ref="AA142">IF( ISBLANK(AA$120), "",EvaluatePolynomial(AA$120:AA$126,$A142))</f>
        <v/>
      </c>
      <c r="AB142" s="37" t="str" cm="1">
        <f t="array" ref="AB142">IF( ISBLANK(AB$120), "",EvaluatePolynomial(AB$120:AB$126,$A142))</f>
        <v/>
      </c>
      <c r="AC142" s="2"/>
    </row>
    <row r="143" spans="1:29" x14ac:dyDescent="0.25">
      <c r="A143" s="35">
        <v>325</v>
      </c>
      <c r="B143" s="36" t="str" cm="1">
        <f t="array" ref="B143">IF( ISBLANK(B$120), "",EvaluatePolynomial(B$120:B$126,$A143))</f>
        <v/>
      </c>
      <c r="C143" s="36" t="str" cm="1">
        <f t="array" ref="C143">IF( ISBLANK(C$120), "",EvaluatePolynomial(C$120:C$126,$A143))</f>
        <v/>
      </c>
      <c r="D143" s="2" t="str" cm="1">
        <f t="array" ref="D143">IF( ISBLANK(D$120), "",EvaluatePolynomial(D$120:D$126,$A143))</f>
        <v/>
      </c>
      <c r="E143" s="2" t="str" cm="1">
        <f t="array" ref="E143">IF( ISBLANK(E$120), "",EvaluatePolynomial(E$120:E$126,$A143))</f>
        <v/>
      </c>
      <c r="F143" s="2" t="str" cm="1">
        <f t="array" ref="F143">IF( ISBLANK(F$120), "",EvaluatePolynomial(F$120:F$126,$A142))</f>
        <v/>
      </c>
      <c r="G143" s="2" t="str" cm="1">
        <f t="array" ref="G143">IF( ISBLANK(G$120), "",EvaluatePolynomial(G$120:G$126,$A142))</f>
        <v/>
      </c>
      <c r="H143" s="2" t="str" cm="1">
        <f t="array" ref="H143">IF( ISBLANK(H$120), "",EvaluatePolynomial(H$120:H$126,$A143))</f>
        <v/>
      </c>
      <c r="I143" s="2" t="str" cm="1">
        <f t="array" ref="I143">IF( ISBLANK(I$120), "",EvaluatePolynomial(I$120:I$126,$A143))</f>
        <v/>
      </c>
      <c r="J143" s="2" t="str" cm="1">
        <f t="array" ref="J143">IF( ISBLANK(J$120), "",EvaluatePolynomial(J$120:J$126,$A143))</f>
        <v/>
      </c>
      <c r="K143" s="2" t="str" cm="1">
        <f t="array" ref="K143">IF( ISBLANK(K$120), "",EvaluatePolynomial(K$120:K$126,$A143))</f>
        <v/>
      </c>
      <c r="L143" s="2" t="str" cm="1">
        <f t="array" ref="L143">IF( ISBLANK(L$120), "",EvaluatePolynomial(L$120:L$126,$A143))</f>
        <v/>
      </c>
      <c r="M143" s="2" t="str" cm="1">
        <f t="array" ref="M143">IF( ISBLANK(M$120), "",EvaluatePolynomial(M$120:M$126,$A143))</f>
        <v/>
      </c>
      <c r="N143" s="2" t="str" cm="1">
        <f t="array" ref="N143">IF( ISBLANK(N$120), "",EvaluatePolynomial(N$120:N$126,$A143))</f>
        <v/>
      </c>
      <c r="O143" s="2" t="str" cm="1">
        <f t="array" ref="O143">IF( ISBLANK(O$120), "",EvaluatePolynomial(O$120:O$126,$A143))</f>
        <v/>
      </c>
      <c r="P143" s="2" t="str" cm="1">
        <f t="array" ref="P143">IF( ISBLANK(P$120), "",EvaluatePolynomial(P$120:P$126,$A143))</f>
        <v/>
      </c>
      <c r="Q143" s="2" t="str" cm="1">
        <f t="array" ref="Q143">IF( ISBLANK(Q$120), "",EvaluatePolynomial(Q$120:Q$126,$A143))</f>
        <v/>
      </c>
      <c r="R143" s="2" t="str" cm="1">
        <f t="array" ref="R143">IF( ISBLANK(R$120), "",EvaluatePolynomial(R$120:R$126,$A143))</f>
        <v/>
      </c>
      <c r="S143" s="2" t="str" cm="1">
        <f t="array" ref="S143">IF( ISBLANK(S$120), "",EvaluatePolynomial(S$120:S$126,$A143))</f>
        <v/>
      </c>
      <c r="T143" s="2" t="str" cm="1">
        <f t="array" ref="T143">IF( ISBLANK(T$120), "",EvaluatePolynomial(T$120:T$126,$A143))</f>
        <v/>
      </c>
      <c r="U143" s="2" t="str" cm="1">
        <f t="array" ref="U143">IF( ISBLANK(U$120), "",EvaluatePolynomial(U$120:U$126,$A143))</f>
        <v/>
      </c>
      <c r="V143" s="2" t="str" cm="1">
        <f t="array" ref="V143">IF( ISBLANK(V$120), "",EvaluatePolynomial(V$120:V$126,$A143))</f>
        <v/>
      </c>
      <c r="W143" s="2" t="str" cm="1">
        <f t="array" ref="W143">IF( ISBLANK(W$120), "",EvaluatePolynomial(W$120:W$126,$A143))</f>
        <v/>
      </c>
      <c r="X143" s="2" t="str" cm="1">
        <f t="array" ref="X143">IF( ISBLANK(X$120), "",EvaluatePolynomial(X$120:X$126,$A143))</f>
        <v/>
      </c>
      <c r="Y143" s="2" t="str" cm="1">
        <f t="array" ref="Y143">IF( ISBLANK(Y$120), "",EvaluatePolynomial(Y$120:Y$126,$A143))</f>
        <v/>
      </c>
      <c r="Z143" s="2" t="str" cm="1">
        <f t="array" ref="Z143">IF( ISBLANK(Z$120), "",EvaluatePolynomial(Z$120:Z$126,$A143))</f>
        <v/>
      </c>
      <c r="AA143" s="2" t="str" cm="1">
        <f t="array" ref="AA143">IF( ISBLANK(AA$120), "",EvaluatePolynomial(AA$120:AA$126,$A143))</f>
        <v/>
      </c>
      <c r="AB143" s="37" t="str" cm="1">
        <f t="array" ref="AB143">IF( ISBLANK(AB$120), "",EvaluatePolynomial(AB$120:AB$126,$A143))</f>
        <v/>
      </c>
      <c r="AC143" s="2"/>
    </row>
    <row r="144" spans="1:29" x14ac:dyDescent="0.25">
      <c r="A144" s="35">
        <v>350</v>
      </c>
      <c r="B144" s="36" t="str" cm="1">
        <f t="array" ref="B144">IF( ISBLANK(B$120), "",EvaluatePolynomial(B$120:B$126,$A144))</f>
        <v/>
      </c>
      <c r="C144" s="36" t="str" cm="1">
        <f t="array" ref="C144">IF( ISBLANK(C$120), "",EvaluatePolynomial(C$120:C$126,$A144))</f>
        <v/>
      </c>
      <c r="D144" s="2" t="str" cm="1">
        <f t="array" ref="D144">IF( ISBLANK(D$120), "",EvaluatePolynomial(D$120:D$126,$A144))</f>
        <v/>
      </c>
      <c r="E144" s="2" t="str" cm="1">
        <f t="array" ref="E144">IF( ISBLANK(E$120), "",EvaluatePolynomial(E$120:E$126,$A144))</f>
        <v/>
      </c>
      <c r="F144" s="2" t="str" cm="1">
        <f t="array" ref="F144">IF( ISBLANK(F$120), "",EvaluatePolynomial(F$120:F$126,$A143))</f>
        <v/>
      </c>
      <c r="G144" s="2" t="str" cm="1">
        <f t="array" ref="G144">IF( ISBLANK(G$120), "",EvaluatePolynomial(G$120:G$126,$A143))</f>
        <v/>
      </c>
      <c r="H144" s="2" t="str" cm="1">
        <f t="array" ref="H144">IF( ISBLANK(H$120), "",EvaluatePolynomial(H$120:H$126,$A144))</f>
        <v/>
      </c>
      <c r="I144" s="2" t="str" cm="1">
        <f t="array" ref="I144">IF( ISBLANK(I$120), "",EvaluatePolynomial(I$120:I$126,$A144))</f>
        <v/>
      </c>
      <c r="J144" s="2" t="str" cm="1">
        <f t="array" ref="J144">IF( ISBLANK(J$120), "",EvaluatePolynomial(J$120:J$126,$A144))</f>
        <v/>
      </c>
      <c r="K144" s="2" t="str" cm="1">
        <f t="array" ref="K144">IF( ISBLANK(K$120), "",EvaluatePolynomial(K$120:K$126,$A144))</f>
        <v/>
      </c>
      <c r="L144" s="2" t="str" cm="1">
        <f t="array" ref="L144">IF( ISBLANK(L$120), "",EvaluatePolynomial(L$120:L$126,$A144))</f>
        <v/>
      </c>
      <c r="M144" s="2" t="str" cm="1">
        <f t="array" ref="M144">IF( ISBLANK(M$120), "",EvaluatePolynomial(M$120:M$126,$A144))</f>
        <v/>
      </c>
      <c r="N144" s="2" t="str" cm="1">
        <f t="array" ref="N144">IF( ISBLANK(N$120), "",EvaluatePolynomial(N$120:N$126,$A144))</f>
        <v/>
      </c>
      <c r="O144" s="2" t="str" cm="1">
        <f t="array" ref="O144">IF( ISBLANK(O$120), "",EvaluatePolynomial(O$120:O$126,$A144))</f>
        <v/>
      </c>
      <c r="P144" s="2" t="str" cm="1">
        <f t="array" ref="P144">IF( ISBLANK(P$120), "",EvaluatePolynomial(P$120:P$126,$A144))</f>
        <v/>
      </c>
      <c r="Q144" s="2" t="str" cm="1">
        <f t="array" ref="Q144">IF( ISBLANK(Q$120), "",EvaluatePolynomial(Q$120:Q$126,$A144))</f>
        <v/>
      </c>
      <c r="R144" s="2" t="str" cm="1">
        <f t="array" ref="R144">IF( ISBLANK(R$120), "",EvaluatePolynomial(R$120:R$126,$A144))</f>
        <v/>
      </c>
      <c r="S144" s="2" t="str" cm="1">
        <f t="array" ref="S144">IF( ISBLANK(S$120), "",EvaluatePolynomial(S$120:S$126,$A144))</f>
        <v/>
      </c>
      <c r="T144" s="2" t="str" cm="1">
        <f t="array" ref="T144">IF( ISBLANK(T$120), "",EvaluatePolynomial(T$120:T$126,$A144))</f>
        <v/>
      </c>
      <c r="U144" s="2" t="str" cm="1">
        <f t="array" ref="U144">IF( ISBLANK(U$120), "",EvaluatePolynomial(U$120:U$126,$A144))</f>
        <v/>
      </c>
      <c r="V144" s="2" t="str" cm="1">
        <f t="array" ref="V144">IF( ISBLANK(V$120), "",EvaluatePolynomial(V$120:V$126,$A144))</f>
        <v/>
      </c>
      <c r="W144" s="2" t="str" cm="1">
        <f t="array" ref="W144">IF( ISBLANK(W$120), "",EvaluatePolynomial(W$120:W$126,$A144))</f>
        <v/>
      </c>
      <c r="X144" s="2" t="str" cm="1">
        <f t="array" ref="X144">IF( ISBLANK(X$120), "",EvaluatePolynomial(X$120:X$126,$A144))</f>
        <v/>
      </c>
      <c r="Y144" s="2" t="str" cm="1">
        <f t="array" ref="Y144">IF( ISBLANK(Y$120), "",EvaluatePolynomial(Y$120:Y$126,$A144))</f>
        <v/>
      </c>
      <c r="Z144" s="2" t="str" cm="1">
        <f t="array" ref="Z144">IF( ISBLANK(Z$120), "",EvaluatePolynomial(Z$120:Z$126,$A144))</f>
        <v/>
      </c>
      <c r="AA144" s="2" t="str" cm="1">
        <f t="array" ref="AA144">IF( ISBLANK(AA$120), "",EvaluatePolynomial(AA$120:AA$126,$A144))</f>
        <v/>
      </c>
      <c r="AB144" s="37" t="str" cm="1">
        <f t="array" ref="AB144">IF( ISBLANK(AB$120), "",EvaluatePolynomial(AB$120:AB$126,$A144))</f>
        <v/>
      </c>
      <c r="AC144" s="2"/>
    </row>
    <row r="145" spans="1:31" x14ac:dyDescent="0.25">
      <c r="A145" s="35">
        <v>375</v>
      </c>
      <c r="B145" s="36" t="str" cm="1">
        <f t="array" ref="B145">IF( ISBLANK(B$120), "",EvaluatePolynomial(B$120:B$126,$A145))</f>
        <v/>
      </c>
      <c r="C145" s="36" t="str" cm="1">
        <f t="array" ref="C145">IF( ISBLANK(C$120), "",EvaluatePolynomial(C$120:C$126,$A145))</f>
        <v/>
      </c>
      <c r="D145" s="2" t="str" cm="1">
        <f t="array" ref="D145">IF( ISBLANK(D$120), "",EvaluatePolynomial(D$120:D$126,$A145))</f>
        <v/>
      </c>
      <c r="E145" s="2" t="str" cm="1">
        <f t="array" ref="E145">IF( ISBLANK(E$120), "",EvaluatePolynomial(E$120:E$126,$A145))</f>
        <v/>
      </c>
      <c r="F145" s="2" t="str" cm="1">
        <f t="array" ref="F145">IF( ISBLANK(F$120), "",EvaluatePolynomial(F$120:F$126,$A144))</f>
        <v/>
      </c>
      <c r="G145" s="2" t="str" cm="1">
        <f t="array" ref="G145">IF( ISBLANK(G$120), "",EvaluatePolynomial(G$120:G$126,$A144))</f>
        <v/>
      </c>
      <c r="H145" s="2" t="str" cm="1">
        <f t="array" ref="H145">IF( ISBLANK(H$120), "",EvaluatePolynomial(H$120:H$126,$A145))</f>
        <v/>
      </c>
      <c r="I145" s="2" t="str" cm="1">
        <f t="array" ref="I145">IF( ISBLANK(I$120), "",EvaluatePolynomial(I$120:I$126,$A145))</f>
        <v/>
      </c>
      <c r="J145" s="2" t="str" cm="1">
        <f t="array" ref="J145">IF( ISBLANK(J$120), "",EvaluatePolynomial(J$120:J$126,$A145))</f>
        <v/>
      </c>
      <c r="K145" s="2" t="str" cm="1">
        <f t="array" ref="K145">IF( ISBLANK(K$120), "",EvaluatePolynomial(K$120:K$126,$A145))</f>
        <v/>
      </c>
      <c r="L145" s="2" t="str" cm="1">
        <f t="array" ref="L145">IF( ISBLANK(L$120), "",EvaluatePolynomial(L$120:L$126,$A145))</f>
        <v/>
      </c>
      <c r="M145" s="2" t="str" cm="1">
        <f t="array" ref="M145">IF( ISBLANK(M$120), "",EvaluatePolynomial(M$120:M$126,$A145))</f>
        <v/>
      </c>
      <c r="N145" s="2" t="str" cm="1">
        <f t="array" ref="N145">IF( ISBLANK(N$120), "",EvaluatePolynomial(N$120:N$126,$A145))</f>
        <v/>
      </c>
      <c r="O145" s="2" t="str" cm="1">
        <f t="array" ref="O145">IF( ISBLANK(O$120), "",EvaluatePolynomial(O$120:O$126,$A145))</f>
        <v/>
      </c>
      <c r="P145" s="2" t="str" cm="1">
        <f t="array" ref="P145">IF( ISBLANK(P$120), "",EvaluatePolynomial(P$120:P$126,$A145))</f>
        <v/>
      </c>
      <c r="Q145" s="2" t="str" cm="1">
        <f t="array" ref="Q145">IF( ISBLANK(Q$120), "",EvaluatePolynomial(Q$120:Q$126,$A145))</f>
        <v/>
      </c>
      <c r="R145" s="2" t="str" cm="1">
        <f t="array" ref="R145">IF( ISBLANK(R$120), "",EvaluatePolynomial(R$120:R$126,$A145))</f>
        <v/>
      </c>
      <c r="S145" s="2" t="str" cm="1">
        <f t="array" ref="S145">IF( ISBLANK(S$120), "",EvaluatePolynomial(S$120:S$126,$A145))</f>
        <v/>
      </c>
      <c r="T145" s="2" t="str" cm="1">
        <f t="array" ref="T145">IF( ISBLANK(T$120), "",EvaluatePolynomial(T$120:T$126,$A145))</f>
        <v/>
      </c>
      <c r="U145" s="2" t="str" cm="1">
        <f t="array" ref="U145">IF( ISBLANK(U$120), "",EvaluatePolynomial(U$120:U$126,$A145))</f>
        <v/>
      </c>
      <c r="V145" s="2" t="str" cm="1">
        <f t="array" ref="V145">IF( ISBLANK(V$120), "",EvaluatePolynomial(V$120:V$126,$A145))</f>
        <v/>
      </c>
      <c r="W145" s="2" t="str" cm="1">
        <f t="array" ref="W145">IF( ISBLANK(W$120), "",EvaluatePolynomial(W$120:W$126,$A145))</f>
        <v/>
      </c>
      <c r="X145" s="2" t="str" cm="1">
        <f t="array" ref="X145">IF( ISBLANK(X$120), "",EvaluatePolynomial(X$120:X$126,$A145))</f>
        <v/>
      </c>
      <c r="Y145" s="2" t="str" cm="1">
        <f t="array" ref="Y145">IF( ISBLANK(Y$120), "",EvaluatePolynomial(Y$120:Y$126,$A145))</f>
        <v/>
      </c>
      <c r="Z145" s="2" t="str" cm="1">
        <f t="array" ref="Z145">IF( ISBLANK(Z$120), "",EvaluatePolynomial(Z$120:Z$126,$A145))</f>
        <v/>
      </c>
      <c r="AA145" s="2" t="str" cm="1">
        <f t="array" ref="AA145">IF( ISBLANK(AA$120), "",EvaluatePolynomial(AA$120:AA$126,$A145))</f>
        <v/>
      </c>
      <c r="AB145" s="37" t="str" cm="1">
        <f t="array" ref="AB145">IF( ISBLANK(AB$120), "",EvaluatePolynomial(AB$120:AB$126,$A145))</f>
        <v/>
      </c>
      <c r="AC145" s="2"/>
    </row>
    <row r="146" spans="1:31" x14ac:dyDescent="0.25">
      <c r="A146" s="35">
        <v>400</v>
      </c>
      <c r="B146" s="36" t="str" cm="1">
        <f t="array" ref="B146">IF( ISBLANK(B$120), "",EvaluatePolynomial(B$120:B$126,$A146))</f>
        <v/>
      </c>
      <c r="C146" s="36" t="str" cm="1">
        <f t="array" ref="C146">IF( ISBLANK(C$120), "",EvaluatePolynomial(C$120:C$126,$A146))</f>
        <v/>
      </c>
      <c r="D146" s="2" t="str" cm="1">
        <f t="array" ref="D146">IF( ISBLANK(D$120), "",EvaluatePolynomial(D$120:D$126,$A146))</f>
        <v/>
      </c>
      <c r="E146" s="2" t="str" cm="1">
        <f t="array" ref="E146">IF( ISBLANK(E$120), "",EvaluatePolynomial(E$120:E$126,$A146))</f>
        <v/>
      </c>
      <c r="F146" s="2" t="str" cm="1">
        <f t="array" ref="F146">IF( ISBLANK(F$120), "",EvaluatePolynomial(F$120:F$126,$A145))</f>
        <v/>
      </c>
      <c r="G146" s="2" t="str" cm="1">
        <f t="array" ref="G146">IF( ISBLANK(G$120), "",EvaluatePolynomial(G$120:G$126,$A145))</f>
        <v/>
      </c>
      <c r="H146" s="2" t="str" cm="1">
        <f t="array" ref="H146">IF( ISBLANK(H$120), "",EvaluatePolynomial(H$120:H$126,$A146))</f>
        <v/>
      </c>
      <c r="I146" s="2" t="str" cm="1">
        <f t="array" ref="I146">IF( ISBLANK(I$120), "",EvaluatePolynomial(I$120:I$126,$A146))</f>
        <v/>
      </c>
      <c r="J146" s="2" t="str" cm="1">
        <f t="array" ref="J146">IF( ISBLANK(J$120), "",EvaluatePolynomial(J$120:J$126,$A146))</f>
        <v/>
      </c>
      <c r="K146" s="2" t="str" cm="1">
        <f t="array" ref="K146">IF( ISBLANK(K$120), "",EvaluatePolynomial(K$120:K$126,$A146))</f>
        <v/>
      </c>
      <c r="L146" s="2" t="str" cm="1">
        <f t="array" ref="L146">IF( ISBLANK(L$120), "",EvaluatePolynomial(L$120:L$126,$A146))</f>
        <v/>
      </c>
      <c r="M146" s="2" t="str" cm="1">
        <f t="array" ref="M146">IF( ISBLANK(M$120), "",EvaluatePolynomial(M$120:M$126,$A146))</f>
        <v/>
      </c>
      <c r="N146" s="2" t="str" cm="1">
        <f t="array" ref="N146">IF( ISBLANK(N$120), "",EvaluatePolynomial(N$120:N$126,$A146))</f>
        <v/>
      </c>
      <c r="O146" s="2" t="str" cm="1">
        <f t="array" ref="O146">IF( ISBLANK(O$120), "",EvaluatePolynomial(O$120:O$126,$A146))</f>
        <v/>
      </c>
      <c r="P146" s="2" t="str" cm="1">
        <f t="array" ref="P146">IF( ISBLANK(P$120), "",EvaluatePolynomial(P$120:P$126,$A146))</f>
        <v/>
      </c>
      <c r="Q146" s="2" t="str" cm="1">
        <f t="array" ref="Q146">IF( ISBLANK(Q$120), "",EvaluatePolynomial(Q$120:Q$126,$A146))</f>
        <v/>
      </c>
      <c r="R146" s="2" t="str" cm="1">
        <f t="array" ref="R146">IF( ISBLANK(R$120), "",EvaluatePolynomial(R$120:R$126,$A146))</f>
        <v/>
      </c>
      <c r="S146" s="2" t="str" cm="1">
        <f t="array" ref="S146">IF( ISBLANK(S$120), "",EvaluatePolynomial(S$120:S$126,$A146))</f>
        <v/>
      </c>
      <c r="T146" s="2" t="str" cm="1">
        <f t="array" ref="T146">IF( ISBLANK(T$120), "",EvaluatePolynomial(T$120:T$126,$A146))</f>
        <v/>
      </c>
      <c r="U146" s="2" t="str" cm="1">
        <f t="array" ref="U146">IF( ISBLANK(U$120), "",EvaluatePolynomial(U$120:U$126,$A146))</f>
        <v/>
      </c>
      <c r="V146" s="2" t="str" cm="1">
        <f t="array" ref="V146">IF( ISBLANK(V$120), "",EvaluatePolynomial(V$120:V$126,$A146))</f>
        <v/>
      </c>
      <c r="W146" s="2" t="str" cm="1">
        <f t="array" ref="W146">IF( ISBLANK(W$120), "",EvaluatePolynomial(W$120:W$126,$A146))</f>
        <v/>
      </c>
      <c r="X146" s="2" t="str" cm="1">
        <f t="array" ref="X146">IF( ISBLANK(X$120), "",EvaluatePolynomial(X$120:X$126,$A146))</f>
        <v/>
      </c>
      <c r="Y146" s="2" t="str" cm="1">
        <f t="array" ref="Y146">IF( ISBLANK(Y$120), "",EvaluatePolynomial(Y$120:Y$126,$A146))</f>
        <v/>
      </c>
      <c r="Z146" s="2" t="str" cm="1">
        <f t="array" ref="Z146">IF( ISBLANK(Z$120), "",EvaluatePolynomial(Z$120:Z$126,$A146))</f>
        <v/>
      </c>
      <c r="AA146" s="2" t="str" cm="1">
        <f t="array" ref="AA146">IF( ISBLANK(AA$120), "",EvaluatePolynomial(AA$120:AA$126,$A146))</f>
        <v/>
      </c>
      <c r="AB146" s="37" t="str" cm="1">
        <f t="array" ref="AB146">IF( ISBLANK(AB$120), "",EvaluatePolynomial(AB$120:AB$126,$A146))</f>
        <v/>
      </c>
      <c r="AC146" s="2"/>
    </row>
    <row r="147" spans="1:31" x14ac:dyDescent="0.25">
      <c r="A147" s="35">
        <v>425</v>
      </c>
      <c r="B147" s="36" t="str" cm="1">
        <f t="array" ref="B147">IF( ISBLANK(B$120), "",EvaluatePolynomial(B$120:B$126,$A147))</f>
        <v/>
      </c>
      <c r="C147" s="36" t="str" cm="1">
        <f t="array" ref="C147">IF( ISBLANK(C$120), "",EvaluatePolynomial(C$120:C$126,$A147))</f>
        <v/>
      </c>
      <c r="D147" s="2" t="str" cm="1">
        <f t="array" ref="D147">IF( ISBLANK(D$120), "",EvaluatePolynomial(D$120:D$126,$A147))</f>
        <v/>
      </c>
      <c r="E147" s="2" t="str" cm="1">
        <f t="array" ref="E147">IF( ISBLANK(E$120), "",EvaluatePolynomial(E$120:E$126,$A147))</f>
        <v/>
      </c>
      <c r="F147" s="2" t="str" cm="1">
        <f t="array" ref="F147">IF( ISBLANK(F$120), "",EvaluatePolynomial(F$120:F$126,$A146))</f>
        <v/>
      </c>
      <c r="G147" s="2" t="str" cm="1">
        <f t="array" ref="G147">IF( ISBLANK(G$120), "",EvaluatePolynomial(G$120:G$126,$A146))</f>
        <v/>
      </c>
      <c r="H147" s="2" t="str" cm="1">
        <f t="array" ref="H147">IF( ISBLANK(H$120), "",EvaluatePolynomial(H$120:H$126,$A147))</f>
        <v/>
      </c>
      <c r="I147" s="2" t="str" cm="1">
        <f t="array" ref="I147">IF( ISBLANK(I$120), "",EvaluatePolynomial(I$120:I$126,$A147))</f>
        <v/>
      </c>
      <c r="J147" s="2" t="str" cm="1">
        <f t="array" ref="J147">IF( ISBLANK(J$120), "",EvaluatePolynomial(J$120:J$126,$A147))</f>
        <v/>
      </c>
      <c r="K147" s="2" t="str" cm="1">
        <f t="array" ref="K147">IF( ISBLANK(K$120), "",EvaluatePolynomial(K$120:K$126,$A147))</f>
        <v/>
      </c>
      <c r="L147" s="2" t="str" cm="1">
        <f t="array" ref="L147">IF( ISBLANK(L$120), "",EvaluatePolynomial(L$120:L$126,$A147))</f>
        <v/>
      </c>
      <c r="M147" s="2" t="str" cm="1">
        <f t="array" ref="M147">IF( ISBLANK(M$120), "",EvaluatePolynomial(M$120:M$126,$A147))</f>
        <v/>
      </c>
      <c r="N147" s="2" t="str" cm="1">
        <f t="array" ref="N147">IF( ISBLANK(N$120), "",EvaluatePolynomial(N$120:N$126,$A147))</f>
        <v/>
      </c>
      <c r="O147" s="2" t="str" cm="1">
        <f t="array" ref="O147">IF( ISBLANK(O$120), "",EvaluatePolynomial(O$120:O$126,$A147))</f>
        <v/>
      </c>
      <c r="P147" s="2" t="str" cm="1">
        <f t="array" ref="P147">IF( ISBLANK(P$120), "",EvaluatePolynomial(P$120:P$126,$A147))</f>
        <v/>
      </c>
      <c r="Q147" s="2" t="str" cm="1">
        <f t="array" ref="Q147">IF( ISBLANK(Q$120), "",EvaluatePolynomial(Q$120:Q$126,$A147))</f>
        <v/>
      </c>
      <c r="R147" s="2" t="str" cm="1">
        <f t="array" ref="R147">IF( ISBLANK(R$120), "",EvaluatePolynomial(R$120:R$126,$A147))</f>
        <v/>
      </c>
      <c r="S147" s="2" t="str" cm="1">
        <f t="array" ref="S147">IF( ISBLANK(S$120), "",EvaluatePolynomial(S$120:S$126,$A147))</f>
        <v/>
      </c>
      <c r="T147" s="2" t="str" cm="1">
        <f t="array" ref="T147">IF( ISBLANK(T$120), "",EvaluatePolynomial(T$120:T$126,$A147))</f>
        <v/>
      </c>
      <c r="U147" s="2" t="str" cm="1">
        <f t="array" ref="U147">IF( ISBLANK(U$120), "",EvaluatePolynomial(U$120:U$126,$A147))</f>
        <v/>
      </c>
      <c r="V147" s="2" t="str" cm="1">
        <f t="array" ref="V147">IF( ISBLANK(V$120), "",EvaluatePolynomial(V$120:V$126,$A147))</f>
        <v/>
      </c>
      <c r="W147" s="2" t="str" cm="1">
        <f t="array" ref="W147">IF( ISBLANK(W$120), "",EvaluatePolynomial(W$120:W$126,$A147))</f>
        <v/>
      </c>
      <c r="X147" s="2" t="str" cm="1">
        <f t="array" ref="X147">IF( ISBLANK(X$120), "",EvaluatePolynomial(X$120:X$126,$A147))</f>
        <v/>
      </c>
      <c r="Y147" s="2" t="str" cm="1">
        <f t="array" ref="Y147">IF( ISBLANK(Y$120), "",EvaluatePolynomial(Y$120:Y$126,$A147))</f>
        <v/>
      </c>
      <c r="Z147" s="2" t="str" cm="1">
        <f t="array" ref="Z147">IF( ISBLANK(Z$120), "",EvaluatePolynomial(Z$120:Z$126,$A147))</f>
        <v/>
      </c>
      <c r="AA147" s="2" t="str" cm="1">
        <f t="array" ref="AA147">IF( ISBLANK(AA$120), "",EvaluatePolynomial(AA$120:AA$126,$A147))</f>
        <v/>
      </c>
      <c r="AB147" s="37" t="str" cm="1">
        <f t="array" ref="AB147">IF( ISBLANK(AB$120), "",EvaluatePolynomial(AB$120:AB$126,$A147))</f>
        <v/>
      </c>
      <c r="AC147" s="2"/>
    </row>
    <row r="148" spans="1:31" x14ac:dyDescent="0.25">
      <c r="A148" s="35">
        <v>450</v>
      </c>
      <c r="B148" s="36" t="str" cm="1">
        <f t="array" ref="B148">IF( ISBLANK(B$120), "",EvaluatePolynomial(B$120:B$126,$A148))</f>
        <v/>
      </c>
      <c r="C148" s="36" t="str" cm="1">
        <f t="array" ref="C148">IF( ISBLANK(C$120), "",EvaluatePolynomial(C$120:C$126,$A148))</f>
        <v/>
      </c>
      <c r="D148" s="2" t="str" cm="1">
        <f t="array" ref="D148">IF( ISBLANK(D$120), "",EvaluatePolynomial(D$120:D$126,$A148))</f>
        <v/>
      </c>
      <c r="E148" s="2" t="str" cm="1">
        <f t="array" ref="E148">IF( ISBLANK(E$120), "",EvaluatePolynomial(E$120:E$126,$A148))</f>
        <v/>
      </c>
      <c r="F148" s="2" t="str" cm="1">
        <f t="array" ref="F148">IF( ISBLANK(F$120), "",EvaluatePolynomial(F$120:F$126,$A147))</f>
        <v/>
      </c>
      <c r="G148" s="2" t="str" cm="1">
        <f t="array" ref="G148">IF( ISBLANK(G$120), "",EvaluatePolynomial(G$120:G$126,$A147))</f>
        <v/>
      </c>
      <c r="H148" s="2" t="str" cm="1">
        <f t="array" ref="H148">IF( ISBLANK(H$120), "",EvaluatePolynomial(H$120:H$126,$A148))</f>
        <v/>
      </c>
      <c r="I148" s="2" t="str" cm="1">
        <f t="array" ref="I148">IF( ISBLANK(I$120), "",EvaluatePolynomial(I$120:I$126,$A148))</f>
        <v/>
      </c>
      <c r="J148" s="2" t="str" cm="1">
        <f t="array" ref="J148">IF( ISBLANK(J$120), "",EvaluatePolynomial(J$120:J$126,$A148))</f>
        <v/>
      </c>
      <c r="K148" s="2" t="str" cm="1">
        <f t="array" ref="K148">IF( ISBLANK(K$120), "",EvaluatePolynomial(K$120:K$126,$A148))</f>
        <v/>
      </c>
      <c r="L148" s="2" t="str" cm="1">
        <f t="array" ref="L148">IF( ISBLANK(L$120), "",EvaluatePolynomial(L$120:L$126,$A148))</f>
        <v/>
      </c>
      <c r="M148" s="2" t="str" cm="1">
        <f t="array" ref="M148">IF( ISBLANK(M$120), "",EvaluatePolynomial(M$120:M$126,$A148))</f>
        <v/>
      </c>
      <c r="N148" s="2" t="str" cm="1">
        <f t="array" ref="N148">IF( ISBLANK(N$120), "",EvaluatePolynomial(N$120:N$126,$A148))</f>
        <v/>
      </c>
      <c r="O148" s="2" t="str" cm="1">
        <f t="array" ref="O148">IF( ISBLANK(O$120), "",EvaluatePolynomial(O$120:O$126,$A148))</f>
        <v/>
      </c>
      <c r="P148" s="2" t="str" cm="1">
        <f t="array" ref="P148">IF( ISBLANK(P$120), "",EvaluatePolynomial(P$120:P$126,$A148))</f>
        <v/>
      </c>
      <c r="Q148" s="2" t="str" cm="1">
        <f t="array" ref="Q148">IF( ISBLANK(Q$120), "",EvaluatePolynomial(Q$120:Q$126,$A148))</f>
        <v/>
      </c>
      <c r="R148" s="2" t="str" cm="1">
        <f t="array" ref="R148">IF( ISBLANK(R$120), "",EvaluatePolynomial(R$120:R$126,$A148))</f>
        <v/>
      </c>
      <c r="S148" s="2" t="str" cm="1">
        <f t="array" ref="S148">IF( ISBLANK(S$120), "",EvaluatePolynomial(S$120:S$126,$A148))</f>
        <v/>
      </c>
      <c r="T148" s="2" t="str" cm="1">
        <f t="array" ref="T148">IF( ISBLANK(T$120), "",EvaluatePolynomial(T$120:T$126,$A148))</f>
        <v/>
      </c>
      <c r="U148" s="2" t="str" cm="1">
        <f t="array" ref="U148">IF( ISBLANK(U$120), "",EvaluatePolynomial(U$120:U$126,$A148))</f>
        <v/>
      </c>
      <c r="V148" s="2" t="str" cm="1">
        <f t="array" ref="V148">IF( ISBLANK(V$120), "",EvaluatePolynomial(V$120:V$126,$A148))</f>
        <v/>
      </c>
      <c r="W148" s="2" t="str" cm="1">
        <f t="array" ref="W148">IF( ISBLANK(W$120), "",EvaluatePolynomial(W$120:W$126,$A148))</f>
        <v/>
      </c>
      <c r="X148" s="2" t="str" cm="1">
        <f t="array" ref="X148">IF( ISBLANK(X$120), "",EvaluatePolynomial(X$120:X$126,$A148))</f>
        <v/>
      </c>
      <c r="Y148" s="2" t="str" cm="1">
        <f t="array" ref="Y148">IF( ISBLANK(Y$120), "",EvaluatePolynomial(Y$120:Y$126,$A148))</f>
        <v/>
      </c>
      <c r="Z148" s="2" t="str" cm="1">
        <f t="array" ref="Z148">IF( ISBLANK(Z$120), "",EvaluatePolynomial(Z$120:Z$126,$A148))</f>
        <v/>
      </c>
      <c r="AA148" s="2" t="str" cm="1">
        <f t="array" ref="AA148">IF( ISBLANK(AA$120), "",EvaluatePolynomial(AA$120:AA$126,$A148))</f>
        <v/>
      </c>
      <c r="AB148" s="37" t="str" cm="1">
        <f t="array" ref="AB148">IF( ISBLANK(AB$120), "",EvaluatePolynomial(AB$120:AB$126,$A148))</f>
        <v/>
      </c>
      <c r="AC148" s="2"/>
    </row>
    <row r="149" spans="1:31" x14ac:dyDescent="0.25">
      <c r="A149" s="35">
        <v>475</v>
      </c>
      <c r="B149" s="36" t="str" cm="1">
        <f t="array" ref="B149">IF( ISBLANK(B$120), "",EvaluatePolynomial(B$120:B$126,$A149))</f>
        <v/>
      </c>
      <c r="C149" s="36" t="str" cm="1">
        <f t="array" ref="C149">IF( ISBLANK(C$120), "",EvaluatePolynomial(C$120:C$126,$A149))</f>
        <v/>
      </c>
      <c r="D149" s="2" t="str" cm="1">
        <f t="array" ref="D149">IF( ISBLANK(D$120), "",EvaluatePolynomial(D$120:D$126,$A149))</f>
        <v/>
      </c>
      <c r="E149" s="2" t="str" cm="1">
        <f t="array" ref="E149">IF( ISBLANK(E$120), "",EvaluatePolynomial(E$120:E$126,$A149))</f>
        <v/>
      </c>
      <c r="F149" s="2" t="str" cm="1">
        <f t="array" ref="F149">IF( ISBLANK(F$120), "",EvaluatePolynomial(F$120:F$126,$A148))</f>
        <v/>
      </c>
      <c r="G149" s="2" t="str" cm="1">
        <f t="array" ref="G149">IF( ISBLANK(G$120), "",EvaluatePolynomial(G$120:G$126,$A148))</f>
        <v/>
      </c>
      <c r="H149" s="2" t="str" cm="1">
        <f t="array" ref="H149">IF( ISBLANK(H$120), "",EvaluatePolynomial(H$120:H$126,$A149))</f>
        <v/>
      </c>
      <c r="I149" s="2" t="str" cm="1">
        <f t="array" ref="I149">IF( ISBLANK(I$120), "",EvaluatePolynomial(I$120:I$126,$A149))</f>
        <v/>
      </c>
      <c r="J149" s="2" t="str" cm="1">
        <f t="array" ref="J149">IF( ISBLANK(J$120), "",EvaluatePolynomial(J$120:J$126,$A149))</f>
        <v/>
      </c>
      <c r="K149" s="2" t="str" cm="1">
        <f t="array" ref="K149">IF( ISBLANK(K$120), "",EvaluatePolynomial(K$120:K$126,$A149))</f>
        <v/>
      </c>
      <c r="L149" s="2" t="str" cm="1">
        <f t="array" ref="L149">IF( ISBLANK(L$120), "",EvaluatePolynomial(L$120:L$126,$A149))</f>
        <v/>
      </c>
      <c r="M149" s="2" t="str" cm="1">
        <f t="array" ref="M149">IF( ISBLANK(M$120), "",EvaluatePolynomial(M$120:M$126,$A149))</f>
        <v/>
      </c>
      <c r="N149" s="2" t="str" cm="1">
        <f t="array" ref="N149">IF( ISBLANK(N$120), "",EvaluatePolynomial(N$120:N$126,$A149))</f>
        <v/>
      </c>
      <c r="O149" s="2" t="str" cm="1">
        <f t="array" ref="O149">IF( ISBLANK(O$120), "",EvaluatePolynomial(O$120:O$126,$A149))</f>
        <v/>
      </c>
      <c r="P149" s="2" t="str" cm="1">
        <f t="array" ref="P149">IF( ISBLANK(P$120), "",EvaluatePolynomial(P$120:P$126,$A149))</f>
        <v/>
      </c>
      <c r="Q149" s="2" t="str" cm="1">
        <f t="array" ref="Q149">IF( ISBLANK(Q$120), "",EvaluatePolynomial(Q$120:Q$126,$A149))</f>
        <v/>
      </c>
      <c r="R149" s="2" t="str" cm="1">
        <f t="array" ref="R149">IF( ISBLANK(R$120), "",EvaluatePolynomial(R$120:R$126,$A149))</f>
        <v/>
      </c>
      <c r="S149" s="2" t="str" cm="1">
        <f t="array" ref="S149">IF( ISBLANK(S$120), "",EvaluatePolynomial(S$120:S$126,$A149))</f>
        <v/>
      </c>
      <c r="T149" s="2" t="str" cm="1">
        <f t="array" ref="T149">IF( ISBLANK(T$120), "",EvaluatePolynomial(T$120:T$126,$A149))</f>
        <v/>
      </c>
      <c r="U149" s="2" t="str" cm="1">
        <f t="array" ref="U149">IF( ISBLANK(U$120), "",EvaluatePolynomial(U$120:U$126,$A149))</f>
        <v/>
      </c>
      <c r="V149" s="2" t="str" cm="1">
        <f t="array" ref="V149">IF( ISBLANK(V$120), "",EvaluatePolynomial(V$120:V$126,$A149))</f>
        <v/>
      </c>
      <c r="W149" s="2" t="str" cm="1">
        <f t="array" ref="W149">IF( ISBLANK(W$120), "",EvaluatePolynomial(W$120:W$126,$A149))</f>
        <v/>
      </c>
      <c r="X149" s="2" t="str" cm="1">
        <f t="array" ref="X149">IF( ISBLANK(X$120), "",EvaluatePolynomial(X$120:X$126,$A149))</f>
        <v/>
      </c>
      <c r="Y149" s="2" t="str" cm="1">
        <f t="array" ref="Y149">IF( ISBLANK(Y$120), "",EvaluatePolynomial(Y$120:Y$126,$A149))</f>
        <v/>
      </c>
      <c r="Z149" s="2" t="str" cm="1">
        <f t="array" ref="Z149">IF( ISBLANK(Z$120), "",EvaluatePolynomial(Z$120:Z$126,$A149))</f>
        <v/>
      </c>
      <c r="AA149" s="2" t="str" cm="1">
        <f t="array" ref="AA149">IF( ISBLANK(AA$120), "",EvaluatePolynomial(AA$120:AA$126,$A149))</f>
        <v/>
      </c>
      <c r="AB149" s="37" t="str" cm="1">
        <f t="array" ref="AB149">IF( ISBLANK(AB$120), "",EvaluatePolynomial(AB$120:AB$126,$A149))</f>
        <v/>
      </c>
      <c r="AC149" s="2"/>
    </row>
    <row r="150" spans="1:31" x14ac:dyDescent="0.25">
      <c r="A150" s="35">
        <v>500</v>
      </c>
      <c r="B150" s="36" t="str" cm="1">
        <f t="array" ref="B150">IF( ISBLANK(B$120), "",EvaluatePolynomial(B$120:B$126,$A150))</f>
        <v/>
      </c>
      <c r="C150" s="36" t="str" cm="1">
        <f t="array" ref="C150">IF( ISBLANK(C$120), "",EvaluatePolynomial(C$120:C$126,$A150))</f>
        <v/>
      </c>
      <c r="D150" s="2" t="str" cm="1">
        <f t="array" ref="D150">IF( ISBLANK(D$120), "",EvaluatePolynomial(D$120:D$126,$A150))</f>
        <v/>
      </c>
      <c r="E150" s="2" t="str" cm="1">
        <f t="array" ref="E150">IF( ISBLANK(E$120), "",EvaluatePolynomial(E$120:E$126,$A150))</f>
        <v/>
      </c>
      <c r="F150" s="2" t="str" cm="1">
        <f t="array" ref="F150">IF( ISBLANK(F$120), "",EvaluatePolynomial(F$120:F$126,$A149))</f>
        <v/>
      </c>
      <c r="G150" s="2" t="str" cm="1">
        <f t="array" ref="G150">IF( ISBLANK(G$120), "",EvaluatePolynomial(G$120:G$126,$A149))</f>
        <v/>
      </c>
      <c r="H150" s="2" t="str" cm="1">
        <f t="array" ref="H150">IF( ISBLANK(H$120), "",EvaluatePolynomial(H$120:H$126,$A150))</f>
        <v/>
      </c>
      <c r="I150" s="2" t="str" cm="1">
        <f t="array" ref="I150">IF( ISBLANK(I$120), "",EvaluatePolynomial(I$120:I$126,$A150))</f>
        <v/>
      </c>
      <c r="J150" s="2" t="str" cm="1">
        <f t="array" ref="J150">IF( ISBLANK(J$120), "",EvaluatePolynomial(J$120:J$126,$A150))</f>
        <v/>
      </c>
      <c r="K150" s="2" t="str" cm="1">
        <f t="array" ref="K150">IF( ISBLANK(K$120), "",EvaluatePolynomial(K$120:K$126,$A150))</f>
        <v/>
      </c>
      <c r="L150" s="2" t="str" cm="1">
        <f t="array" ref="L150">IF( ISBLANK(L$120), "",EvaluatePolynomial(L$120:L$126,$A150))</f>
        <v/>
      </c>
      <c r="M150" s="2" t="str" cm="1">
        <f t="array" ref="M150">IF( ISBLANK(M$120), "",EvaluatePolynomial(M$120:M$126,$A150))</f>
        <v/>
      </c>
      <c r="N150" s="2" t="str" cm="1">
        <f t="array" ref="N150">IF( ISBLANK(N$120), "",EvaluatePolynomial(N$120:N$126,$A150))</f>
        <v/>
      </c>
      <c r="O150" s="2" t="str" cm="1">
        <f t="array" ref="O150">IF( ISBLANK(O$120), "",EvaluatePolynomial(O$120:O$126,$A150))</f>
        <v/>
      </c>
      <c r="P150" s="2" t="str" cm="1">
        <f t="array" ref="P150">IF( ISBLANK(P$120), "",EvaluatePolynomial(P$120:P$126,$A150))</f>
        <v/>
      </c>
      <c r="Q150" s="2" t="str" cm="1">
        <f t="array" ref="Q150">IF( ISBLANK(Q$120), "",EvaluatePolynomial(Q$120:Q$126,$A150))</f>
        <v/>
      </c>
      <c r="R150" s="2" t="str" cm="1">
        <f t="array" ref="R150">IF( ISBLANK(R$120), "",EvaluatePolynomial(R$120:R$126,$A150))</f>
        <v/>
      </c>
      <c r="S150" s="2" t="str" cm="1">
        <f t="array" ref="S150">IF( ISBLANK(S$120), "",EvaluatePolynomial(S$120:S$126,$A150))</f>
        <v/>
      </c>
      <c r="T150" s="2" t="str" cm="1">
        <f t="array" ref="T150">IF( ISBLANK(T$120), "",EvaluatePolynomial(T$120:T$126,$A150))</f>
        <v/>
      </c>
      <c r="U150" s="2" t="str" cm="1">
        <f t="array" ref="U150">IF( ISBLANK(U$120), "",EvaluatePolynomial(U$120:U$126,$A150))</f>
        <v/>
      </c>
      <c r="V150" s="2" t="str" cm="1">
        <f t="array" ref="V150">IF( ISBLANK(V$120), "",EvaluatePolynomial(V$120:V$126,$A150))</f>
        <v/>
      </c>
      <c r="W150" s="2" t="str" cm="1">
        <f t="array" ref="W150">IF( ISBLANK(W$120), "",EvaluatePolynomial(W$120:W$126,$A150))</f>
        <v/>
      </c>
      <c r="X150" s="2" t="str" cm="1">
        <f t="array" ref="X150">IF( ISBLANK(X$120), "",EvaluatePolynomial(X$120:X$126,$A150))</f>
        <v/>
      </c>
      <c r="Y150" s="2" t="str" cm="1">
        <f t="array" ref="Y150">IF( ISBLANK(Y$120), "",EvaluatePolynomial(Y$120:Y$126,$A150))</f>
        <v/>
      </c>
      <c r="Z150" s="2" t="str" cm="1">
        <f t="array" ref="Z150">IF( ISBLANK(Z$120), "",EvaluatePolynomial(Z$120:Z$126,$A150))</f>
        <v/>
      </c>
      <c r="AA150" s="2" t="str" cm="1">
        <f t="array" ref="AA150">IF( ISBLANK(AA$120), "",EvaluatePolynomial(AA$120:AA$126,$A150))</f>
        <v/>
      </c>
      <c r="AB150" s="37" t="str" cm="1">
        <f t="array" ref="AB150">IF( ISBLANK(AB$120), "",EvaluatePolynomial(AB$120:AB$126,$A150))</f>
        <v/>
      </c>
      <c r="AC150" s="2"/>
    </row>
    <row r="151" spans="1:31" x14ac:dyDescent="0.25">
      <c r="A151" s="35">
        <v>525</v>
      </c>
      <c r="B151" t="str" cm="1">
        <f t="array" ref="B151">IF( ISBLANK(B$120), "",EvaluatePolynomial(B$120:B$126,$A151))</f>
        <v/>
      </c>
      <c r="C151" t="str" cm="1">
        <f t="array" ref="C151">IF( ISBLANK(C$120), "",EvaluatePolynomial(C$120:C$126,$A151))</f>
        <v/>
      </c>
      <c r="D151" t="str" cm="1">
        <f t="array" ref="D151">IF( ISBLANK(D$120), "",EvaluatePolynomial(D$120:D$126,$A151))</f>
        <v/>
      </c>
      <c r="E151" t="str" cm="1">
        <f t="array" ref="E151">IF( ISBLANK(E$120), "",EvaluatePolynomial(E$120:E$126,$A151))</f>
        <v/>
      </c>
      <c r="F151" s="2" t="str" cm="1">
        <f t="array" ref="F151">IF( ISBLANK(F$120), "",EvaluatePolynomial(F$120:F$126,$A150))</f>
        <v/>
      </c>
      <c r="G151" s="2" t="str" cm="1">
        <f t="array" ref="G151">IF( ISBLANK(G$120), "",EvaluatePolynomial(G$120:G$126,$A150))</f>
        <v/>
      </c>
      <c r="H151" t="str" cm="1">
        <f t="array" ref="H151">IF( ISBLANK(H$120), "",EvaluatePolynomial(H$120:H$126,$A151))</f>
        <v/>
      </c>
      <c r="I151" t="str" cm="1">
        <f t="array" ref="I151">IF( ISBLANK(I$120), "",EvaluatePolynomial(I$120:I$126,$A151))</f>
        <v/>
      </c>
      <c r="J151" t="str" cm="1">
        <f t="array" ref="J151">IF( ISBLANK(J$120), "",EvaluatePolynomial(J$120:J$126,$A151))</f>
        <v/>
      </c>
      <c r="K151" t="str" cm="1">
        <f t="array" ref="K151">IF( ISBLANK(K$120), "",EvaluatePolynomial(K$120:K$126,$A151))</f>
        <v/>
      </c>
      <c r="L151" t="str" cm="1">
        <f t="array" ref="L151">IF( ISBLANK(L$120), "",EvaluatePolynomial(L$120:L$126,$A151))</f>
        <v/>
      </c>
      <c r="M151" t="str" cm="1">
        <f t="array" ref="M151">IF( ISBLANK(M$120), "",EvaluatePolynomial(M$120:M$126,$A151))</f>
        <v/>
      </c>
      <c r="N151" t="str" cm="1">
        <f t="array" ref="N151">IF( ISBLANK(N$120), "",EvaluatePolynomial(N$120:N$126,$A151))</f>
        <v/>
      </c>
      <c r="O151" t="str" cm="1">
        <f t="array" ref="O151">IF( ISBLANK(O$120), "",EvaluatePolynomial(O$120:O$126,$A151))</f>
        <v/>
      </c>
      <c r="P151" t="str" cm="1">
        <f t="array" ref="P151">IF( ISBLANK(P$120), "",EvaluatePolynomial(P$120:P$126,$A151))</f>
        <v/>
      </c>
      <c r="Q151" t="str" cm="1">
        <f t="array" ref="Q151">IF( ISBLANK(Q$120), "",EvaluatePolynomial(Q$120:Q$126,$A151))</f>
        <v/>
      </c>
      <c r="R151" t="str" cm="1">
        <f t="array" ref="R151">IF( ISBLANK(R$120), "",EvaluatePolynomial(R$120:R$126,$A151))</f>
        <v/>
      </c>
      <c r="S151" t="str" cm="1">
        <f t="array" ref="S151">IF( ISBLANK(S$120), "",EvaluatePolynomial(S$120:S$126,$A151))</f>
        <v/>
      </c>
      <c r="T151" t="str" cm="1">
        <f t="array" ref="T151">IF( ISBLANK(T$120), "",EvaluatePolynomial(T$120:T$126,$A151))</f>
        <v/>
      </c>
      <c r="U151" t="str" cm="1">
        <f t="array" ref="U151">IF( ISBLANK(U$120), "",EvaluatePolynomial(U$120:U$126,$A151))</f>
        <v/>
      </c>
      <c r="V151" t="str" cm="1">
        <f t="array" ref="V151">IF( ISBLANK(V$120), "",EvaluatePolynomial(V$120:V$126,$A151))</f>
        <v/>
      </c>
      <c r="W151" t="str" cm="1">
        <f t="array" ref="W151">IF( ISBLANK(W$120), "",EvaluatePolynomial(W$120:W$126,$A151))</f>
        <v/>
      </c>
      <c r="X151" t="str" cm="1">
        <f t="array" ref="X151">IF( ISBLANK(X$120), "",EvaluatePolynomial(X$120:X$126,$A151))</f>
        <v/>
      </c>
      <c r="Y151" t="str" cm="1">
        <f t="array" ref="Y151">IF( ISBLANK(Y$120), "",EvaluatePolynomial(Y$120:Y$126,$A151))</f>
        <v/>
      </c>
      <c r="Z151" t="str" cm="1">
        <f t="array" ref="Z151">IF( ISBLANK(Z$120), "",EvaluatePolynomial(Z$120:Z$126,$A151))</f>
        <v/>
      </c>
      <c r="AA151" t="str" cm="1">
        <f t="array" ref="AA151">IF( ISBLANK(AA$120), "",EvaluatePolynomial(AA$120:AA$126,$A151))</f>
        <v/>
      </c>
      <c r="AB151" s="38" t="str" cm="1">
        <f t="array" ref="AB151">IF( ISBLANK(AB$120), "",EvaluatePolynomial(AB$120:AB$126,$A151))</f>
        <v/>
      </c>
    </row>
    <row r="152" spans="1:31" x14ac:dyDescent="0.25">
      <c r="A152" s="35">
        <v>550</v>
      </c>
      <c r="B152" t="str" cm="1">
        <f t="array" ref="B152">IF( ISBLANK(B$120), "",EvaluatePolynomial(B$120:B$126,$A152))</f>
        <v/>
      </c>
      <c r="C152" t="str" cm="1">
        <f t="array" ref="C152">IF( ISBLANK(C$120), "",EvaluatePolynomial(C$120:C$126,$A152))</f>
        <v/>
      </c>
      <c r="D152" t="str" cm="1">
        <f t="array" ref="D152">IF( ISBLANK(D$120), "",EvaluatePolynomial(D$120:D$126,$A152))</f>
        <v/>
      </c>
      <c r="E152" t="str" cm="1">
        <f t="array" ref="E152">IF( ISBLANK(E$120), "",EvaluatePolynomial(E$120:E$126,$A152))</f>
        <v/>
      </c>
      <c r="F152" t="str" cm="1">
        <f t="array" ref="F152">IF( ISBLANK(F$120), "",EvaluatePolynomial(F$120:F$126,$A151))</f>
        <v/>
      </c>
      <c r="G152" t="str" cm="1">
        <f t="array" ref="G152">IF( ISBLANK(G$120), "",EvaluatePolynomial(G$120:G$126,$A151))</f>
        <v/>
      </c>
      <c r="H152" t="str" cm="1">
        <f t="array" ref="H152">IF( ISBLANK(H$120), "",EvaluatePolynomial(H$120:H$126,$A152))</f>
        <v/>
      </c>
      <c r="I152" t="str" cm="1">
        <f t="array" ref="I152">IF( ISBLANK(I$120), "",EvaluatePolynomial(I$120:I$126,$A152))</f>
        <v/>
      </c>
      <c r="J152" t="str" cm="1">
        <f t="array" ref="J152">IF( ISBLANK(J$120), "",EvaluatePolynomial(J$120:J$126,$A152))</f>
        <v/>
      </c>
      <c r="K152" t="str" cm="1">
        <f t="array" ref="K152">IF( ISBLANK(K$120), "",EvaluatePolynomial(K$120:K$126,$A152))</f>
        <v/>
      </c>
      <c r="L152" t="str" cm="1">
        <f t="array" ref="L152">IF( ISBLANK(L$120), "",EvaluatePolynomial(L$120:L$126,$A152))</f>
        <v/>
      </c>
      <c r="M152" t="str" cm="1">
        <f t="array" ref="M152">IF( ISBLANK(M$120), "",EvaluatePolynomial(M$120:M$126,$A152))</f>
        <v/>
      </c>
      <c r="N152" t="str" cm="1">
        <f t="array" ref="N152">IF( ISBLANK(N$120), "",EvaluatePolynomial(N$120:N$126,$A152))</f>
        <v/>
      </c>
      <c r="O152" t="str" cm="1">
        <f t="array" ref="O152">IF( ISBLANK(O$120), "",EvaluatePolynomial(O$120:O$126,$A152))</f>
        <v/>
      </c>
      <c r="P152" t="str" cm="1">
        <f t="array" ref="P152">IF( ISBLANK(P$120), "",EvaluatePolynomial(P$120:P$126,$A152))</f>
        <v/>
      </c>
      <c r="Q152" t="str" cm="1">
        <f t="array" ref="Q152">IF( ISBLANK(Q$120), "",EvaluatePolynomial(Q$120:Q$126,$A152))</f>
        <v/>
      </c>
      <c r="R152" t="str" cm="1">
        <f t="array" ref="R152">IF( ISBLANK(R$120), "",EvaluatePolynomial(R$120:R$126,$A152))</f>
        <v/>
      </c>
      <c r="S152" t="str" cm="1">
        <f t="array" ref="S152">IF( ISBLANK(S$120), "",EvaluatePolynomial(S$120:S$126,$A152))</f>
        <v/>
      </c>
      <c r="T152" t="str" cm="1">
        <f t="array" ref="T152">IF( ISBLANK(T$120), "",EvaluatePolynomial(T$120:T$126,$A152))</f>
        <v/>
      </c>
      <c r="U152" t="str" cm="1">
        <f t="array" ref="U152">IF( ISBLANK(U$120), "",EvaluatePolynomial(U$120:U$126,$A152))</f>
        <v/>
      </c>
      <c r="V152" t="str" cm="1">
        <f t="array" ref="V152">IF( ISBLANK(V$120), "",EvaluatePolynomial(V$120:V$126,$A152))</f>
        <v/>
      </c>
      <c r="W152" t="str" cm="1">
        <f t="array" ref="W152">IF( ISBLANK(W$120), "",EvaluatePolynomial(W$120:W$126,$A152))</f>
        <v/>
      </c>
      <c r="X152" t="str" cm="1">
        <f t="array" ref="X152">IF( ISBLANK(X$120), "",EvaluatePolynomial(X$120:X$126,$A152))</f>
        <v/>
      </c>
      <c r="Y152" t="str" cm="1">
        <f t="array" ref="Y152">IF( ISBLANK(Y$120), "",EvaluatePolynomial(Y$120:Y$126,$A152))</f>
        <v/>
      </c>
      <c r="Z152" t="str" cm="1">
        <f t="array" ref="Z152">IF( ISBLANK(Z$120), "",EvaluatePolynomial(Z$120:Z$126,$A152))</f>
        <v/>
      </c>
      <c r="AA152" t="str" cm="1">
        <f t="array" ref="AA152">IF( ISBLANK(AA$120), "",EvaluatePolynomial(AA$120:AA$126,$A152))</f>
        <v/>
      </c>
      <c r="AB152" s="38" t="str" cm="1">
        <f t="array" ref="AB152">IF( ISBLANK(AB$120), "",EvaluatePolynomial(AB$120:AB$126,$A152))</f>
        <v/>
      </c>
    </row>
    <row r="153" spans="1:31" x14ac:dyDescent="0.25">
      <c r="A153" s="35">
        <v>575</v>
      </c>
      <c r="B153" t="str" cm="1">
        <f t="array" ref="B153">IF( ISBLANK(B$120), "",EvaluatePolynomial(B$120:B$126,$A153))</f>
        <v/>
      </c>
      <c r="C153" t="str" cm="1">
        <f t="array" ref="C153">IF( ISBLANK(C$120), "",EvaluatePolynomial(C$120:C$126,$A153))</f>
        <v/>
      </c>
      <c r="D153" t="str" cm="1">
        <f t="array" ref="D153">IF( ISBLANK(D$120), "",EvaluatePolynomial(D$120:D$126,$A153))</f>
        <v/>
      </c>
      <c r="E153" t="str" cm="1">
        <f t="array" ref="E153">IF( ISBLANK(E$120), "",EvaluatePolynomial(E$120:E$126,$A153))</f>
        <v/>
      </c>
      <c r="F153" t="str" cm="1">
        <f t="array" ref="F153">IF( ISBLANK(F$120), "",EvaluatePolynomial(F$120:F$126,$A152))</f>
        <v/>
      </c>
      <c r="G153" t="str" cm="1">
        <f t="array" ref="G153">IF( ISBLANK(G$120), "",EvaluatePolynomial(G$120:G$126,$A152))</f>
        <v/>
      </c>
      <c r="H153" t="str" cm="1">
        <f t="array" ref="H153">IF( ISBLANK(H$120), "",EvaluatePolynomial(H$120:H$126,$A153))</f>
        <v/>
      </c>
      <c r="I153" t="str" cm="1">
        <f t="array" ref="I153">IF( ISBLANK(I$120), "",EvaluatePolynomial(I$120:I$126,$A153))</f>
        <v/>
      </c>
      <c r="J153" t="str" cm="1">
        <f t="array" ref="J153">IF( ISBLANK(J$120), "",EvaluatePolynomial(J$120:J$126,$A153))</f>
        <v/>
      </c>
      <c r="K153" t="str" cm="1">
        <f t="array" ref="K153">IF( ISBLANK(K$120), "",EvaluatePolynomial(K$120:K$126,$A153))</f>
        <v/>
      </c>
      <c r="L153" t="str" cm="1">
        <f t="array" ref="L153">IF( ISBLANK(L$120), "",EvaluatePolynomial(L$120:L$126,$A153))</f>
        <v/>
      </c>
      <c r="M153" t="str" cm="1">
        <f t="array" ref="M153">IF( ISBLANK(M$120), "",EvaluatePolynomial(M$120:M$126,$A153))</f>
        <v/>
      </c>
      <c r="N153" t="str" cm="1">
        <f t="array" ref="N153">IF( ISBLANK(N$120), "",EvaluatePolynomial(N$120:N$126,$A153))</f>
        <v/>
      </c>
      <c r="O153" t="str" cm="1">
        <f t="array" ref="O153">IF( ISBLANK(O$120), "",EvaluatePolynomial(O$120:O$126,$A153))</f>
        <v/>
      </c>
      <c r="P153" t="str" cm="1">
        <f t="array" ref="P153">IF( ISBLANK(P$120), "",EvaluatePolynomial(P$120:P$126,$A153))</f>
        <v/>
      </c>
      <c r="Q153" t="str" cm="1">
        <f t="array" ref="Q153">IF( ISBLANK(Q$120), "",EvaluatePolynomial(Q$120:Q$126,$A153))</f>
        <v/>
      </c>
      <c r="R153" t="str" cm="1">
        <f t="array" ref="R153">IF( ISBLANK(R$120), "",EvaluatePolynomial(R$120:R$126,$A153))</f>
        <v/>
      </c>
      <c r="S153" t="str" cm="1">
        <f t="array" ref="S153">IF( ISBLANK(S$120), "",EvaluatePolynomial(S$120:S$126,$A153))</f>
        <v/>
      </c>
      <c r="T153" t="str" cm="1">
        <f t="array" ref="T153">IF( ISBLANK(T$120), "",EvaluatePolynomial(T$120:T$126,$A153))</f>
        <v/>
      </c>
      <c r="U153" t="str" cm="1">
        <f t="array" ref="U153">IF( ISBLANK(U$120), "",EvaluatePolynomial(U$120:U$126,$A153))</f>
        <v/>
      </c>
      <c r="V153" t="str" cm="1">
        <f t="array" ref="V153">IF( ISBLANK(V$120), "",EvaluatePolynomial(V$120:V$126,$A153))</f>
        <v/>
      </c>
      <c r="W153" t="str" cm="1">
        <f t="array" ref="W153">IF( ISBLANK(W$120), "",EvaluatePolynomial(W$120:W$126,$A153))</f>
        <v/>
      </c>
      <c r="X153" t="str" cm="1">
        <f t="array" ref="X153">IF( ISBLANK(X$120), "",EvaluatePolynomial(X$120:X$126,$A153))</f>
        <v/>
      </c>
      <c r="Y153" t="str" cm="1">
        <f t="array" ref="Y153">IF( ISBLANK(Y$120), "",EvaluatePolynomial(Y$120:Y$126,$A153))</f>
        <v/>
      </c>
      <c r="Z153" t="str" cm="1">
        <f t="array" ref="Z153">IF( ISBLANK(Z$120), "",EvaluatePolynomial(Z$120:Z$126,$A153))</f>
        <v/>
      </c>
      <c r="AA153" t="str" cm="1">
        <f t="array" ref="AA153">IF( ISBLANK(AA$120), "",EvaluatePolynomial(AA$120:AA$126,$A153))</f>
        <v/>
      </c>
      <c r="AB153" s="38" t="str" cm="1">
        <f t="array" ref="AB153">IF( ISBLANK(AB$120), "",EvaluatePolynomial(AB$120:AB$126,$A153))</f>
        <v/>
      </c>
    </row>
    <row r="154" spans="1:31" x14ac:dyDescent="0.25">
      <c r="A154" s="35">
        <v>600</v>
      </c>
      <c r="B154" t="str" cm="1">
        <f t="array" ref="B154">IF( ISBLANK(B$120), "",EvaluatePolynomial(B$120:B$126,$A154))</f>
        <v/>
      </c>
      <c r="C154" t="str" cm="1">
        <f t="array" ref="C154">IF( ISBLANK(C$120), "",EvaluatePolynomial(C$120:C$126,$A154))</f>
        <v/>
      </c>
      <c r="D154" t="str" cm="1">
        <f t="array" ref="D154">IF( ISBLANK(D$120), "",EvaluatePolynomial(D$120:D$126,$A154))</f>
        <v/>
      </c>
      <c r="E154" t="str" cm="1">
        <f t="array" ref="E154">IF( ISBLANK(E$120), "",EvaluatePolynomial(E$120:E$126,$A154))</f>
        <v/>
      </c>
      <c r="F154" t="str" cm="1">
        <f t="array" ref="F154">IF( ISBLANK(F$120), "",EvaluatePolynomial(F$120:F$126,$A153))</f>
        <v/>
      </c>
      <c r="G154" t="str" cm="1">
        <f t="array" ref="G154">IF( ISBLANK(G$120), "",EvaluatePolynomial(G$120:G$126,$A153))</f>
        <v/>
      </c>
      <c r="H154" t="str" cm="1">
        <f t="array" ref="H154">IF( ISBLANK(H$120), "",EvaluatePolynomial(H$120:H$126,$A154))</f>
        <v/>
      </c>
      <c r="I154" t="str" cm="1">
        <f t="array" ref="I154">IF( ISBLANK(I$120), "",EvaluatePolynomial(I$120:I$126,$A154))</f>
        <v/>
      </c>
      <c r="J154" t="str" cm="1">
        <f t="array" ref="J154">IF( ISBLANK(J$120), "",EvaluatePolynomial(J$120:J$126,$A154))</f>
        <v/>
      </c>
      <c r="K154" t="str" cm="1">
        <f t="array" ref="K154">IF( ISBLANK(K$120), "",EvaluatePolynomial(K$120:K$126,$A154))</f>
        <v/>
      </c>
      <c r="L154" t="str" cm="1">
        <f t="array" ref="L154">IF( ISBLANK(L$120), "",EvaluatePolynomial(L$120:L$126,$A154))</f>
        <v/>
      </c>
      <c r="M154" t="str" cm="1">
        <f t="array" ref="M154">IF( ISBLANK(M$120), "",EvaluatePolynomial(M$120:M$126,$A154))</f>
        <v/>
      </c>
      <c r="N154" t="str" cm="1">
        <f t="array" ref="N154">IF( ISBLANK(N$120), "",EvaluatePolynomial(N$120:N$126,$A154))</f>
        <v/>
      </c>
      <c r="O154" t="str" cm="1">
        <f t="array" ref="O154">IF( ISBLANK(O$120), "",EvaluatePolynomial(O$120:O$126,$A154))</f>
        <v/>
      </c>
      <c r="P154" t="str" cm="1">
        <f t="array" ref="P154">IF( ISBLANK(P$120), "",EvaluatePolynomial(P$120:P$126,$A154))</f>
        <v/>
      </c>
      <c r="Q154" t="str" cm="1">
        <f t="array" ref="Q154">IF( ISBLANK(Q$120), "",EvaluatePolynomial(Q$120:Q$126,$A154))</f>
        <v/>
      </c>
      <c r="R154" t="str" cm="1">
        <f t="array" ref="R154">IF( ISBLANK(R$120), "",EvaluatePolynomial(R$120:R$126,$A154))</f>
        <v/>
      </c>
      <c r="S154" t="str" cm="1">
        <f t="array" ref="S154">IF( ISBLANK(S$120), "",EvaluatePolynomial(S$120:S$126,$A154))</f>
        <v/>
      </c>
      <c r="T154" t="str" cm="1">
        <f t="array" ref="T154">IF( ISBLANK(T$120), "",EvaluatePolynomial(T$120:T$126,$A154))</f>
        <v/>
      </c>
      <c r="U154" t="str" cm="1">
        <f t="array" ref="U154">IF( ISBLANK(U$120), "",EvaluatePolynomial(U$120:U$126,$A154))</f>
        <v/>
      </c>
      <c r="V154" t="str" cm="1">
        <f t="array" ref="V154">IF( ISBLANK(V$120), "",EvaluatePolynomial(V$120:V$126,$A154))</f>
        <v/>
      </c>
      <c r="W154" t="str" cm="1">
        <f t="array" ref="W154">IF( ISBLANK(W$120), "",EvaluatePolynomial(W$120:W$126,$A154))</f>
        <v/>
      </c>
      <c r="X154" t="str" cm="1">
        <f t="array" ref="X154">IF( ISBLANK(X$120), "",EvaluatePolynomial(X$120:X$126,$A154))</f>
        <v/>
      </c>
      <c r="Y154" t="str" cm="1">
        <f t="array" ref="Y154">IF( ISBLANK(Y$120), "",EvaluatePolynomial(Y$120:Y$126,$A154))</f>
        <v/>
      </c>
      <c r="Z154" t="str" cm="1">
        <f t="array" ref="Z154">IF( ISBLANK(Z$120), "",EvaluatePolynomial(Z$120:Z$126,$A154))</f>
        <v/>
      </c>
      <c r="AA154" t="str" cm="1">
        <f t="array" ref="AA154">IF( ISBLANK(AA$120), "",EvaluatePolynomial(AA$120:AA$126,$A154))</f>
        <v/>
      </c>
      <c r="AB154" s="38" t="str" cm="1">
        <f t="array" ref="AB154">IF( ISBLANK(AB$120), "",EvaluatePolynomial(AB$120:AB$126,$A154))</f>
        <v/>
      </c>
    </row>
    <row r="155" spans="1:31" x14ac:dyDescent="0.25">
      <c r="A155" s="35">
        <v>625</v>
      </c>
      <c r="B155" t="str" cm="1">
        <f t="array" ref="B155">IF( ISBLANK(B$120), "",EvaluatePolynomial(B$120:B$126,$A155))</f>
        <v/>
      </c>
      <c r="C155" t="str" cm="1">
        <f t="array" ref="C155">IF( ISBLANK(C$120), "",EvaluatePolynomial(C$120:C$126,$A155))</f>
        <v/>
      </c>
      <c r="D155" t="str" cm="1">
        <f t="array" ref="D155">IF( ISBLANK(D$120), "",EvaluatePolynomial(D$120:D$126,$A155))</f>
        <v/>
      </c>
      <c r="E155" t="str" cm="1">
        <f t="array" ref="E155">IF( ISBLANK(E$120), "",EvaluatePolynomial(E$120:E$126,$A155))</f>
        <v/>
      </c>
      <c r="F155" t="str" cm="1">
        <f t="array" ref="F155">IF( ISBLANK(F$120), "",EvaluatePolynomial(F$120:F$126,$A154))</f>
        <v/>
      </c>
      <c r="G155" t="str" cm="1">
        <f t="array" ref="G155">IF( ISBLANK(G$120), "",EvaluatePolynomial(G$120:G$126,$A154))</f>
        <v/>
      </c>
      <c r="H155" t="str" cm="1">
        <f t="array" ref="H155">IF( ISBLANK(H$120), "",EvaluatePolynomial(H$120:H$126,$A155))</f>
        <v/>
      </c>
      <c r="I155" t="str" cm="1">
        <f t="array" ref="I155">IF( ISBLANK(I$120), "",EvaluatePolynomial(I$120:I$126,$A155))</f>
        <v/>
      </c>
      <c r="J155" t="str" cm="1">
        <f t="array" ref="J155">IF( ISBLANK(J$120), "",EvaluatePolynomial(J$120:J$126,$A155))</f>
        <v/>
      </c>
      <c r="K155" t="str" cm="1">
        <f t="array" ref="K155">IF( ISBLANK(K$120), "",EvaluatePolynomial(K$120:K$126,$A155))</f>
        <v/>
      </c>
      <c r="L155" t="str" cm="1">
        <f t="array" ref="L155">IF( ISBLANK(L$120), "",EvaluatePolynomial(L$120:L$126,$A155))</f>
        <v/>
      </c>
      <c r="M155" t="str" cm="1">
        <f t="array" ref="M155">IF( ISBLANK(M$120), "",EvaluatePolynomial(M$120:M$126,$A155))</f>
        <v/>
      </c>
      <c r="N155" t="str" cm="1">
        <f t="array" ref="N155">IF( ISBLANK(N$120), "",EvaluatePolynomial(N$120:N$126,$A155))</f>
        <v/>
      </c>
      <c r="O155" t="str" cm="1">
        <f t="array" ref="O155">IF( ISBLANK(O$120), "",EvaluatePolynomial(O$120:O$126,$A155))</f>
        <v/>
      </c>
      <c r="P155" t="str" cm="1">
        <f t="array" ref="P155">IF( ISBLANK(P$120), "",EvaluatePolynomial(P$120:P$126,$A155))</f>
        <v/>
      </c>
      <c r="Q155" t="str" cm="1">
        <f t="array" ref="Q155">IF( ISBLANK(Q$120), "",EvaluatePolynomial(Q$120:Q$126,$A155))</f>
        <v/>
      </c>
      <c r="R155" t="str" cm="1">
        <f t="array" ref="R155">IF( ISBLANK(R$120), "",EvaluatePolynomial(R$120:R$126,$A155))</f>
        <v/>
      </c>
      <c r="S155" t="str" cm="1">
        <f t="array" ref="S155">IF( ISBLANK(S$120), "",EvaluatePolynomial(S$120:S$126,$A155))</f>
        <v/>
      </c>
      <c r="T155" t="str" cm="1">
        <f t="array" ref="T155">IF( ISBLANK(T$120), "",EvaluatePolynomial(T$120:T$126,$A155))</f>
        <v/>
      </c>
      <c r="U155" t="str" cm="1">
        <f t="array" ref="U155">IF( ISBLANK(U$120), "",EvaluatePolynomial(U$120:U$126,$A155))</f>
        <v/>
      </c>
      <c r="V155" t="str" cm="1">
        <f t="array" ref="V155">IF( ISBLANK(V$120), "",EvaluatePolynomial(V$120:V$126,$A155))</f>
        <v/>
      </c>
      <c r="W155" t="str" cm="1">
        <f t="array" ref="W155">IF( ISBLANK(W$120), "",EvaluatePolynomial(W$120:W$126,$A155))</f>
        <v/>
      </c>
      <c r="X155" t="str" cm="1">
        <f t="array" ref="X155">IF( ISBLANK(X$120), "",EvaluatePolynomial(X$120:X$126,$A155))</f>
        <v/>
      </c>
      <c r="Y155" t="str" cm="1">
        <f t="array" ref="Y155">IF( ISBLANK(Y$120), "",EvaluatePolynomial(Y$120:Y$126,$A155))</f>
        <v/>
      </c>
      <c r="Z155" t="str" cm="1">
        <f t="array" ref="Z155">IF( ISBLANK(Z$120), "",EvaluatePolynomial(Z$120:Z$126,$A155))</f>
        <v/>
      </c>
      <c r="AA155" t="str" cm="1">
        <f t="array" ref="AA155">IF( ISBLANK(AA$120), "",EvaluatePolynomial(AA$120:AA$126,$A155))</f>
        <v/>
      </c>
      <c r="AB155" s="38" t="str" cm="1">
        <f t="array" ref="AB155">IF( ISBLANK(AB$120), "",EvaluatePolynomial(AB$120:AB$126,$A155))</f>
        <v/>
      </c>
    </row>
    <row r="156" spans="1:31" x14ac:dyDescent="0.25">
      <c r="A156" s="35">
        <v>650</v>
      </c>
      <c r="B156" t="str" cm="1">
        <f t="array" ref="B156">IF( ISBLANK(B$120), "",EvaluatePolynomial(B$120:B$126,$A156))</f>
        <v/>
      </c>
      <c r="C156" t="str" cm="1">
        <f t="array" ref="C156">IF( ISBLANK(C$120), "",EvaluatePolynomial(C$120:C$126,$A156))</f>
        <v/>
      </c>
      <c r="D156" t="str" cm="1">
        <f t="array" ref="D156">IF( ISBLANK(D$120), "",EvaluatePolynomial(D$120:D$126,$A156))</f>
        <v/>
      </c>
      <c r="E156" t="str" cm="1">
        <f t="array" ref="E156">IF( ISBLANK(E$120), "",EvaluatePolynomial(E$120:E$126,$A156))</f>
        <v/>
      </c>
      <c r="F156" t="str" cm="1">
        <f t="array" ref="F156">IF( ISBLANK(F$120), "",EvaluatePolynomial(F$120:F$126,$A155))</f>
        <v/>
      </c>
      <c r="G156" t="str" cm="1">
        <f t="array" ref="G156">IF( ISBLANK(G$120), "",EvaluatePolynomial(G$120:G$126,$A155))</f>
        <v/>
      </c>
      <c r="H156" t="str" cm="1">
        <f t="array" ref="H156">IF( ISBLANK(H$120), "",EvaluatePolynomial(H$120:H$126,$A156))</f>
        <v/>
      </c>
      <c r="I156" t="str" cm="1">
        <f t="array" ref="I156">IF( ISBLANK(I$120), "",EvaluatePolynomial(I$120:I$126,$A156))</f>
        <v/>
      </c>
      <c r="J156" t="str" cm="1">
        <f t="array" ref="J156">IF( ISBLANK(J$120), "",EvaluatePolynomial(J$120:J$126,$A156))</f>
        <v/>
      </c>
      <c r="K156" t="str" cm="1">
        <f t="array" ref="K156">IF( ISBLANK(K$120), "",EvaluatePolynomial(K$120:K$126,$A156))</f>
        <v/>
      </c>
      <c r="L156" t="str" cm="1">
        <f t="array" ref="L156">IF( ISBLANK(L$120), "",EvaluatePolynomial(L$120:L$126,$A156))</f>
        <v/>
      </c>
      <c r="M156" t="str" cm="1">
        <f t="array" ref="M156">IF( ISBLANK(M$120), "",EvaluatePolynomial(M$120:M$126,$A156))</f>
        <v/>
      </c>
      <c r="N156" t="str" cm="1">
        <f t="array" ref="N156">IF( ISBLANK(N$120), "",EvaluatePolynomial(N$120:N$126,$A156))</f>
        <v/>
      </c>
      <c r="O156" t="str" cm="1">
        <f t="array" ref="O156">IF( ISBLANK(O$120), "",EvaluatePolynomial(O$120:O$126,$A156))</f>
        <v/>
      </c>
      <c r="P156" t="str" cm="1">
        <f t="array" ref="P156">IF( ISBLANK(P$120), "",EvaluatePolynomial(P$120:P$126,$A156))</f>
        <v/>
      </c>
      <c r="Q156" t="str" cm="1">
        <f t="array" ref="Q156">IF( ISBLANK(Q$120), "",EvaluatePolynomial(Q$120:Q$126,$A156))</f>
        <v/>
      </c>
      <c r="R156" t="str" cm="1">
        <f t="array" ref="R156">IF( ISBLANK(R$120), "",EvaluatePolynomial(R$120:R$126,$A156))</f>
        <v/>
      </c>
      <c r="S156" t="str" cm="1">
        <f t="array" ref="S156">IF( ISBLANK(S$120), "",EvaluatePolynomial(S$120:S$126,$A156))</f>
        <v/>
      </c>
      <c r="T156" t="str" cm="1">
        <f t="array" ref="T156">IF( ISBLANK(T$120), "",EvaluatePolynomial(T$120:T$126,$A156))</f>
        <v/>
      </c>
      <c r="U156" t="str" cm="1">
        <f t="array" ref="U156">IF( ISBLANK(U$120), "",EvaluatePolynomial(U$120:U$126,$A156))</f>
        <v/>
      </c>
      <c r="V156" t="str" cm="1">
        <f t="array" ref="V156">IF( ISBLANK(V$120), "",EvaluatePolynomial(V$120:V$126,$A156))</f>
        <v/>
      </c>
      <c r="W156" t="str" cm="1">
        <f t="array" ref="W156">IF( ISBLANK(W$120), "",EvaluatePolynomial(W$120:W$126,$A156))</f>
        <v/>
      </c>
      <c r="X156" t="str" cm="1">
        <f t="array" ref="X156">IF( ISBLANK(X$120), "",EvaluatePolynomial(X$120:X$126,$A156))</f>
        <v/>
      </c>
      <c r="Y156" t="str" cm="1">
        <f t="array" ref="Y156">IF( ISBLANK(Y$120), "",EvaluatePolynomial(Y$120:Y$126,$A156))</f>
        <v/>
      </c>
      <c r="Z156" t="str" cm="1">
        <f t="array" ref="Z156">IF( ISBLANK(Z$120), "",EvaluatePolynomial(Z$120:Z$126,$A156))</f>
        <v/>
      </c>
      <c r="AA156" t="str" cm="1">
        <f t="array" ref="AA156">IF( ISBLANK(AA$120), "",EvaluatePolynomial(AA$120:AA$126,$A156))</f>
        <v/>
      </c>
      <c r="AB156" s="38" t="str" cm="1">
        <f t="array" ref="AB156">IF( ISBLANK(AB$120), "",EvaluatePolynomial(AB$120:AB$126,$A156))</f>
        <v/>
      </c>
    </row>
    <row r="157" spans="1:31" x14ac:dyDescent="0.25">
      <c r="A157" s="35">
        <v>675</v>
      </c>
      <c r="B157" t="str" cm="1">
        <f t="array" ref="B157">IF( ISBLANK(B$120), "",EvaluatePolynomial(B$120:B$126,$A157))</f>
        <v/>
      </c>
      <c r="C157" t="str" cm="1">
        <f t="array" ref="C157">IF( ISBLANK(C$120), "",EvaluatePolynomial(C$120:C$126,$A157))</f>
        <v/>
      </c>
      <c r="D157" t="str" cm="1">
        <f t="array" ref="D157">IF( ISBLANK(D$120), "",EvaluatePolynomial(D$120:D$126,$A157))</f>
        <v/>
      </c>
      <c r="E157" t="str" cm="1">
        <f t="array" ref="E157">IF( ISBLANK(E$120), "",EvaluatePolynomial(E$120:E$126,$A157))</f>
        <v/>
      </c>
      <c r="F157" t="str" cm="1">
        <f t="array" ref="F157">IF( ISBLANK(F$120), "",EvaluatePolynomial(F$120:F$126,$A156))</f>
        <v/>
      </c>
      <c r="G157" t="str" cm="1">
        <f t="array" ref="G157">IF( ISBLANK(G$120), "",EvaluatePolynomial(G$120:G$126,$A156))</f>
        <v/>
      </c>
      <c r="H157" t="str" cm="1">
        <f t="array" ref="H157">IF( ISBLANK(H$120), "",EvaluatePolynomial(H$120:H$126,$A157))</f>
        <v/>
      </c>
      <c r="I157" t="str" cm="1">
        <f t="array" ref="I157">IF( ISBLANK(I$120), "",EvaluatePolynomial(I$120:I$126,$A157))</f>
        <v/>
      </c>
      <c r="J157" s="1" t="str" cm="1">
        <f t="array" ref="J157">IF( ISBLANK(J$120), "",EvaluatePolynomial(J$120:J$126,$A157))</f>
        <v/>
      </c>
      <c r="K157" s="1" t="str" cm="1">
        <f t="array" ref="K157">IF( ISBLANK(K$120), "",EvaluatePolynomial(K$120:K$126,$A157))</f>
        <v/>
      </c>
      <c r="L157" s="1" t="str" cm="1">
        <f t="array" ref="L157">IF( ISBLANK(L$120), "",EvaluatePolynomial(L$120:L$126,$A157))</f>
        <v/>
      </c>
      <c r="M157" s="1" t="str" cm="1">
        <f t="array" ref="M157">IF( ISBLANK(M$120), "",EvaluatePolynomial(M$120:M$126,$A157))</f>
        <v/>
      </c>
      <c r="N157" s="1" t="str" cm="1">
        <f t="array" ref="N157">IF( ISBLANK(N$120), "",EvaluatePolynomial(N$120:N$126,$A157))</f>
        <v/>
      </c>
      <c r="O157" s="1" t="str" cm="1">
        <f t="array" ref="O157">IF( ISBLANK(O$120), "",EvaluatePolynomial(O$120:O$126,$A157))</f>
        <v/>
      </c>
      <c r="P157" s="1" t="str" cm="1">
        <f t="array" ref="P157">IF( ISBLANK(P$120), "",EvaluatePolynomial(P$120:P$126,$A157))</f>
        <v/>
      </c>
      <c r="Q157" s="1" t="str" cm="1">
        <f t="array" ref="Q157">IF( ISBLANK(Q$120), "",EvaluatePolynomial(Q$120:Q$126,$A157))</f>
        <v/>
      </c>
      <c r="R157" s="1" t="str" cm="1">
        <f t="array" ref="R157">IF( ISBLANK(R$120), "",EvaluatePolynomial(R$120:R$126,$A157))</f>
        <v/>
      </c>
      <c r="S157" s="1" t="str" cm="1">
        <f t="array" ref="S157">IF( ISBLANK(S$120), "",EvaluatePolynomial(S$120:S$126,$A157))</f>
        <v/>
      </c>
      <c r="T157" s="1" t="str" cm="1">
        <f t="array" ref="T157">IF( ISBLANK(T$120), "",EvaluatePolynomial(T$120:T$126,$A157))</f>
        <v/>
      </c>
      <c r="U157" s="1" t="str" cm="1">
        <f t="array" ref="U157">IF( ISBLANK(U$120), "",EvaluatePolynomial(U$120:U$126,$A157))</f>
        <v/>
      </c>
      <c r="V157" s="1" t="str" cm="1">
        <f t="array" ref="V157">IF( ISBLANK(V$120), "",EvaluatePolynomial(V$120:V$126,$A157))</f>
        <v/>
      </c>
      <c r="W157" s="1" t="str" cm="1">
        <f t="array" ref="W157">IF( ISBLANK(W$120), "",EvaluatePolynomial(W$120:W$126,$A157))</f>
        <v/>
      </c>
      <c r="X157" s="1" t="str" cm="1">
        <f t="array" ref="X157">IF( ISBLANK(X$120), "",EvaluatePolynomial(X$120:X$126,$A157))</f>
        <v/>
      </c>
      <c r="Y157" s="1" t="str" cm="1">
        <f t="array" ref="Y157">IF( ISBLANK(Y$120), "",EvaluatePolynomial(Y$120:Y$126,$A157))</f>
        <v/>
      </c>
      <c r="Z157" s="1" t="str" cm="1">
        <f t="array" ref="Z157">IF( ISBLANK(Z$120), "",EvaluatePolynomial(Z$120:Z$126,$A157))</f>
        <v/>
      </c>
      <c r="AA157" s="1" t="str" cm="1">
        <f t="array" ref="AA157">IF( ISBLANK(AA$120), "",EvaluatePolynomial(AA$120:AA$126,$A157))</f>
        <v/>
      </c>
      <c r="AB157" s="39" t="str" cm="1">
        <f t="array" ref="AB157">IF( ISBLANK(AB$120), "",EvaluatePolynomial(AB$120:AB$126,$A157))</f>
        <v/>
      </c>
      <c r="AC157" s="1"/>
      <c r="AD157" s="1"/>
      <c r="AE157" s="1"/>
    </row>
    <row r="158" spans="1:31" x14ac:dyDescent="0.25">
      <c r="A158" s="35">
        <v>700</v>
      </c>
      <c r="B158" t="str" cm="1">
        <f t="array" ref="B158">IF( ISBLANK(B$120), "",EvaluatePolynomial(B$120:B$126,$A158))</f>
        <v/>
      </c>
      <c r="C158" t="str" cm="1">
        <f t="array" ref="C158">IF( ISBLANK(C$120), "",EvaluatePolynomial(C$120:C$126,$A158))</f>
        <v/>
      </c>
      <c r="D158" t="str" cm="1">
        <f t="array" ref="D158">IF( ISBLANK(D$120), "",EvaluatePolynomial(D$120:D$126,$A158))</f>
        <v/>
      </c>
      <c r="E158" t="str" cm="1">
        <f t="array" ref="E158">IF( ISBLANK(E$120), "",EvaluatePolynomial(E$120:E$126,$A158))</f>
        <v/>
      </c>
      <c r="F158" t="str" cm="1">
        <f t="array" ref="F158">IF( ISBLANK(F$120), "",EvaluatePolynomial(F$120:F$126,$A157))</f>
        <v/>
      </c>
      <c r="G158" t="str" cm="1">
        <f t="array" ref="G158">IF( ISBLANK(G$120), "",EvaluatePolynomial(G$120:G$126,$A157))</f>
        <v/>
      </c>
      <c r="H158" t="str" cm="1">
        <f t="array" ref="H158">IF( ISBLANK(H$120), "",EvaluatePolynomial(H$120:H$126,$A158))</f>
        <v/>
      </c>
      <c r="I158" t="str" cm="1">
        <f t="array" ref="I158">IF( ISBLANK(I$120), "",EvaluatePolynomial(I$120:I$126,$A158))</f>
        <v/>
      </c>
      <c r="J158" s="1" t="str" cm="1">
        <f t="array" ref="J158">IF( ISBLANK(J$120), "",EvaluatePolynomial(J$120:J$126,$A158))</f>
        <v/>
      </c>
      <c r="K158" s="1" t="str" cm="1">
        <f t="array" ref="K158">IF( ISBLANK(K$120), "",EvaluatePolynomial(K$120:K$126,$A158))</f>
        <v/>
      </c>
      <c r="L158" s="1" t="str" cm="1">
        <f t="array" ref="L158">IF( ISBLANK(L$120), "",EvaluatePolynomial(L$120:L$126,$A158))</f>
        <v/>
      </c>
      <c r="M158" s="1" t="str" cm="1">
        <f t="array" ref="M158">IF( ISBLANK(M$120), "",EvaluatePolynomial(M$120:M$126,$A158))</f>
        <v/>
      </c>
      <c r="N158" s="1" t="str" cm="1">
        <f t="array" ref="N158">IF( ISBLANK(N$120), "",EvaluatePolynomial(N$120:N$126,$A158))</f>
        <v/>
      </c>
      <c r="O158" s="1" t="str" cm="1">
        <f t="array" ref="O158">IF( ISBLANK(O$120), "",EvaluatePolynomial(O$120:O$126,$A158))</f>
        <v/>
      </c>
      <c r="P158" s="1" t="str" cm="1">
        <f t="array" ref="P158">IF( ISBLANK(P$120), "",EvaluatePolynomial(P$120:P$126,$A158))</f>
        <v/>
      </c>
      <c r="Q158" s="1" t="str" cm="1">
        <f t="array" ref="Q158">IF( ISBLANK(Q$120), "",EvaluatePolynomial(Q$120:Q$126,$A158))</f>
        <v/>
      </c>
      <c r="R158" s="1" t="str" cm="1">
        <f t="array" ref="R158">IF( ISBLANK(R$120), "",EvaluatePolynomial(R$120:R$126,$A158))</f>
        <v/>
      </c>
      <c r="S158" s="1" t="str" cm="1">
        <f t="array" ref="S158">IF( ISBLANK(S$120), "",EvaluatePolynomial(S$120:S$126,$A158))</f>
        <v/>
      </c>
      <c r="T158" s="1" t="str" cm="1">
        <f t="array" ref="T158">IF( ISBLANK(T$120), "",EvaluatePolynomial(T$120:T$126,$A158))</f>
        <v/>
      </c>
      <c r="U158" s="1" t="str" cm="1">
        <f t="array" ref="U158">IF( ISBLANK(U$120), "",EvaluatePolynomial(U$120:U$126,$A158))</f>
        <v/>
      </c>
      <c r="V158" s="1" t="str" cm="1">
        <f t="array" ref="V158">IF( ISBLANK(V$120), "",EvaluatePolynomial(V$120:V$126,$A158))</f>
        <v/>
      </c>
      <c r="W158" s="1" t="str" cm="1">
        <f t="array" ref="W158">IF( ISBLANK(W$120), "",EvaluatePolynomial(W$120:W$126,$A158))</f>
        <v/>
      </c>
      <c r="X158" s="1" t="str" cm="1">
        <f t="array" ref="X158">IF( ISBLANK(X$120), "",EvaluatePolynomial(X$120:X$126,$A158))</f>
        <v/>
      </c>
      <c r="Y158" s="1" t="str" cm="1">
        <f t="array" ref="Y158">IF( ISBLANK(Y$120), "",EvaluatePolynomial(Y$120:Y$126,$A158))</f>
        <v/>
      </c>
      <c r="Z158" s="1" t="str" cm="1">
        <f t="array" ref="Z158">IF( ISBLANK(Z$120), "",EvaluatePolynomial(Z$120:Z$126,$A158))</f>
        <v/>
      </c>
      <c r="AA158" s="1" t="str" cm="1">
        <f t="array" ref="AA158">IF( ISBLANK(AA$120), "",EvaluatePolynomial(AA$120:AA$126,$A158))</f>
        <v/>
      </c>
      <c r="AB158" s="39" t="str" cm="1">
        <f t="array" ref="AB158">IF( ISBLANK(AB$120), "",EvaluatePolynomial(AB$120:AB$126,$A158))</f>
        <v/>
      </c>
      <c r="AC158" s="1"/>
      <c r="AD158" s="1"/>
      <c r="AE158" s="1"/>
    </row>
    <row r="159" spans="1:31" x14ac:dyDescent="0.25">
      <c r="A159" s="35">
        <v>725</v>
      </c>
      <c r="B159" t="str" cm="1">
        <f t="array" ref="B159">IF( ISBLANK(B$120), "",EvaluatePolynomial(B$120:B$126,$A159))</f>
        <v/>
      </c>
      <c r="C159" t="str" cm="1">
        <f t="array" ref="C159">IF( ISBLANK(C$120), "",EvaluatePolynomial(C$120:C$126,$A159))</f>
        <v/>
      </c>
      <c r="D159" t="str" cm="1">
        <f t="array" ref="D159">IF( ISBLANK(D$120), "",EvaluatePolynomial(D$120:D$126,$A159))</f>
        <v/>
      </c>
      <c r="E159" t="str" cm="1">
        <f t="array" ref="E159">IF( ISBLANK(E$120), "",EvaluatePolynomial(E$120:E$126,$A159))</f>
        <v/>
      </c>
      <c r="F159" t="str" cm="1">
        <f t="array" ref="F159">IF( ISBLANK(F$120), "",EvaluatePolynomial(F$120:F$126,$A158))</f>
        <v/>
      </c>
      <c r="G159" t="str" cm="1">
        <f t="array" ref="G159">IF( ISBLANK(G$120), "",EvaluatePolynomial(G$120:G$126,$A158))</f>
        <v/>
      </c>
      <c r="H159" t="str" cm="1">
        <f t="array" ref="H159">IF( ISBLANK(H$120), "",EvaluatePolynomial(H$120:H$126,$A159))</f>
        <v/>
      </c>
      <c r="I159" t="str" cm="1">
        <f t="array" ref="I159">IF( ISBLANK(I$120), "",EvaluatePolynomial(I$120:I$126,$A159))</f>
        <v/>
      </c>
      <c r="J159" s="1" t="str" cm="1">
        <f t="array" ref="J159">IF( ISBLANK(J$120), "",EvaluatePolynomial(J$120:J$126,$A159))</f>
        <v/>
      </c>
      <c r="K159" s="1" t="str" cm="1">
        <f t="array" ref="K159">IF( ISBLANK(K$120), "",EvaluatePolynomial(K$120:K$126,$A159))</f>
        <v/>
      </c>
      <c r="L159" s="1" t="str" cm="1">
        <f t="array" ref="L159">IF( ISBLANK(L$120), "",EvaluatePolynomial(L$120:L$126,$A159))</f>
        <v/>
      </c>
      <c r="M159" s="1" t="str" cm="1">
        <f t="array" ref="M159">IF( ISBLANK(M$120), "",EvaluatePolynomial(M$120:M$126,$A159))</f>
        <v/>
      </c>
      <c r="N159" s="1" t="str" cm="1">
        <f t="array" ref="N159">IF( ISBLANK(N$120), "",EvaluatePolynomial(N$120:N$126,$A159))</f>
        <v/>
      </c>
      <c r="O159" s="1" t="str" cm="1">
        <f t="array" ref="O159">IF( ISBLANK(O$120), "",EvaluatePolynomial(O$120:O$126,$A159))</f>
        <v/>
      </c>
      <c r="P159" s="1" t="str" cm="1">
        <f t="array" ref="P159">IF( ISBLANK(P$120), "",EvaluatePolynomial(P$120:P$126,$A159))</f>
        <v/>
      </c>
      <c r="Q159" s="1" t="str" cm="1">
        <f t="array" ref="Q159">IF( ISBLANK(Q$120), "",EvaluatePolynomial(Q$120:Q$126,$A159))</f>
        <v/>
      </c>
      <c r="R159" s="1" t="str" cm="1">
        <f t="array" ref="R159">IF( ISBLANK(R$120), "",EvaluatePolynomial(R$120:R$126,$A159))</f>
        <v/>
      </c>
      <c r="S159" s="1" t="str" cm="1">
        <f t="array" ref="S159">IF( ISBLANK(S$120), "",EvaluatePolynomial(S$120:S$126,$A159))</f>
        <v/>
      </c>
      <c r="T159" s="1" t="str" cm="1">
        <f t="array" ref="T159">IF( ISBLANK(T$120), "",EvaluatePolynomial(T$120:T$126,$A159))</f>
        <v/>
      </c>
      <c r="U159" s="1" t="str" cm="1">
        <f t="array" ref="U159">IF( ISBLANK(U$120), "",EvaluatePolynomial(U$120:U$126,$A159))</f>
        <v/>
      </c>
      <c r="V159" s="1" t="str" cm="1">
        <f t="array" ref="V159">IF( ISBLANK(V$120), "",EvaluatePolynomial(V$120:V$126,$A159))</f>
        <v/>
      </c>
      <c r="W159" s="1" t="str" cm="1">
        <f t="array" ref="W159">IF( ISBLANK(W$120), "",EvaluatePolynomial(W$120:W$126,$A159))</f>
        <v/>
      </c>
      <c r="X159" s="1" t="str" cm="1">
        <f t="array" ref="X159">IF( ISBLANK(X$120), "",EvaluatePolynomial(X$120:X$126,$A159))</f>
        <v/>
      </c>
      <c r="Y159" s="1" t="str" cm="1">
        <f t="array" ref="Y159">IF( ISBLANK(Y$120), "",EvaluatePolynomial(Y$120:Y$126,$A159))</f>
        <v/>
      </c>
      <c r="Z159" s="1" t="str" cm="1">
        <f t="array" ref="Z159">IF( ISBLANK(Z$120), "",EvaluatePolynomial(Z$120:Z$126,$A159))</f>
        <v/>
      </c>
      <c r="AA159" s="1" t="str" cm="1">
        <f t="array" ref="AA159">IF( ISBLANK(AA$120), "",EvaluatePolynomial(AA$120:AA$126,$A159))</f>
        <v/>
      </c>
      <c r="AB159" s="39" t="str" cm="1">
        <f t="array" ref="AB159">IF( ISBLANK(AB$120), "",EvaluatePolynomial(AB$120:AB$126,$A159))</f>
        <v/>
      </c>
      <c r="AC159" s="1"/>
      <c r="AD159" s="1"/>
      <c r="AE159" s="1"/>
    </row>
    <row r="160" spans="1:31" x14ac:dyDescent="0.25">
      <c r="A160" s="35">
        <v>750</v>
      </c>
      <c r="B160" t="str" cm="1">
        <f t="array" ref="B160">IF( ISBLANK(B$120), "",EvaluatePolynomial(B$120:B$126,$A160))</f>
        <v/>
      </c>
      <c r="C160" t="str" cm="1">
        <f t="array" ref="C160">IF( ISBLANK(C$120), "",EvaluatePolynomial(C$120:C$126,$A160))</f>
        <v/>
      </c>
      <c r="D160" t="str" cm="1">
        <f t="array" ref="D160">IF( ISBLANK(D$120), "",EvaluatePolynomial(D$120:D$126,$A160))</f>
        <v/>
      </c>
      <c r="E160" t="str" cm="1">
        <f t="array" ref="E160">IF( ISBLANK(E$120), "",EvaluatePolynomial(E$120:E$126,$A160))</f>
        <v/>
      </c>
      <c r="F160" t="str" cm="1">
        <f t="array" ref="F160">IF( ISBLANK(F$120), "",EvaluatePolynomial(F$120:F$126,$A159))</f>
        <v/>
      </c>
      <c r="G160" t="str" cm="1">
        <f t="array" ref="G160">IF( ISBLANK(G$120), "",EvaluatePolynomial(G$120:G$126,$A159))</f>
        <v/>
      </c>
      <c r="H160" t="str" cm="1">
        <f t="array" ref="H160">IF( ISBLANK(H$120), "",EvaluatePolynomial(H$120:H$126,$A160))</f>
        <v/>
      </c>
      <c r="I160" t="str" cm="1">
        <f t="array" ref="I160">IF( ISBLANK(I$120), "",EvaluatePolynomial(I$120:I$126,$A160))</f>
        <v/>
      </c>
      <c r="J160" s="1" t="str" cm="1">
        <f t="array" ref="J160">IF( ISBLANK(J$120), "",EvaluatePolynomial(J$120:J$126,$A160))</f>
        <v/>
      </c>
      <c r="K160" s="1" t="str" cm="1">
        <f t="array" ref="K160">IF( ISBLANK(K$120), "",EvaluatePolynomial(K$120:K$126,$A160))</f>
        <v/>
      </c>
      <c r="L160" s="1" t="str" cm="1">
        <f t="array" ref="L160">IF( ISBLANK(L$120), "",EvaluatePolynomial(L$120:L$126,$A160))</f>
        <v/>
      </c>
      <c r="M160" s="1" t="str" cm="1">
        <f t="array" ref="M160">IF( ISBLANK(M$120), "",EvaluatePolynomial(M$120:M$126,$A160))</f>
        <v/>
      </c>
      <c r="N160" s="1" t="str" cm="1">
        <f t="array" ref="N160">IF( ISBLANK(N$120), "",EvaluatePolynomial(N$120:N$126,$A160))</f>
        <v/>
      </c>
      <c r="O160" s="1" t="str" cm="1">
        <f t="array" ref="O160">IF( ISBLANK(O$120), "",EvaluatePolynomial(O$120:O$126,$A160))</f>
        <v/>
      </c>
      <c r="P160" s="1" t="str" cm="1">
        <f t="array" ref="P160">IF( ISBLANK(P$120), "",EvaluatePolynomial(P$120:P$126,$A160))</f>
        <v/>
      </c>
      <c r="Q160" s="1" t="str" cm="1">
        <f t="array" ref="Q160">IF( ISBLANK(Q$120), "",EvaluatePolynomial(Q$120:Q$126,$A160))</f>
        <v/>
      </c>
      <c r="R160" s="1" t="str" cm="1">
        <f t="array" ref="R160">IF( ISBLANK(R$120), "",EvaluatePolynomial(R$120:R$126,$A160))</f>
        <v/>
      </c>
      <c r="S160" s="1" t="str" cm="1">
        <f t="array" ref="S160">IF( ISBLANK(S$120), "",EvaluatePolynomial(S$120:S$126,$A160))</f>
        <v/>
      </c>
      <c r="T160" s="1" t="str" cm="1">
        <f t="array" ref="T160">IF( ISBLANK(T$120), "",EvaluatePolynomial(T$120:T$126,$A160))</f>
        <v/>
      </c>
      <c r="U160" s="1" t="str" cm="1">
        <f t="array" ref="U160">IF( ISBLANK(U$120), "",EvaluatePolynomial(U$120:U$126,$A160))</f>
        <v/>
      </c>
      <c r="V160" s="1" t="str" cm="1">
        <f t="array" ref="V160">IF( ISBLANK(V$120), "",EvaluatePolynomial(V$120:V$126,$A160))</f>
        <v/>
      </c>
      <c r="W160" s="1" t="str" cm="1">
        <f t="array" ref="W160">IF( ISBLANK(W$120), "",EvaluatePolynomial(W$120:W$126,$A160))</f>
        <v/>
      </c>
      <c r="X160" s="1" t="str" cm="1">
        <f t="array" ref="X160">IF( ISBLANK(X$120), "",EvaluatePolynomial(X$120:X$126,$A160))</f>
        <v/>
      </c>
      <c r="Y160" s="1" t="str" cm="1">
        <f t="array" ref="Y160">IF( ISBLANK(Y$120), "",EvaluatePolynomial(Y$120:Y$126,$A160))</f>
        <v/>
      </c>
      <c r="Z160" s="1" t="str" cm="1">
        <f t="array" ref="Z160">IF( ISBLANK(Z$120), "",EvaluatePolynomial(Z$120:Z$126,$A160))</f>
        <v/>
      </c>
      <c r="AA160" s="1" t="str" cm="1">
        <f t="array" ref="AA160">IF( ISBLANK(AA$120), "",EvaluatePolynomial(AA$120:AA$126,$A160))</f>
        <v/>
      </c>
      <c r="AB160" s="39" t="str" cm="1">
        <f t="array" ref="AB160">IF( ISBLANK(AB$120), "",EvaluatePolynomial(AB$120:AB$126,$A160))</f>
        <v/>
      </c>
      <c r="AC160" s="1"/>
      <c r="AD160" s="1"/>
      <c r="AE160" s="1"/>
    </row>
    <row r="161" spans="1:31" x14ac:dyDescent="0.25">
      <c r="A161" s="35">
        <v>775</v>
      </c>
      <c r="B161" t="str" cm="1">
        <f t="array" ref="B161">IF( ISBLANK(B$120), "",EvaluatePolynomial(B$120:B$126,$A161))</f>
        <v/>
      </c>
      <c r="C161" t="str" cm="1">
        <f t="array" ref="C161">IF( ISBLANK(C$120), "",EvaluatePolynomial(C$120:C$126,$A161))</f>
        <v/>
      </c>
      <c r="D161" t="str" cm="1">
        <f t="array" ref="D161">IF( ISBLANK(D$120), "",EvaluatePolynomial(D$120:D$126,$A161))</f>
        <v/>
      </c>
      <c r="E161" t="str" cm="1">
        <f t="array" ref="E161">IF( ISBLANK(E$120), "",EvaluatePolynomial(E$120:E$126,$A161))</f>
        <v/>
      </c>
      <c r="F161" t="str" cm="1">
        <f t="array" ref="F161">IF( ISBLANK(F$120), "",EvaluatePolynomial(F$120:F$126,$A160))</f>
        <v/>
      </c>
      <c r="G161" t="str" cm="1">
        <f t="array" ref="G161">IF( ISBLANK(G$120), "",EvaluatePolynomial(G$120:G$126,$A160))</f>
        <v/>
      </c>
      <c r="H161" t="str" cm="1">
        <f t="array" ref="H161">IF( ISBLANK(H$120), "",EvaluatePolynomial(H$120:H$126,$A161))</f>
        <v/>
      </c>
      <c r="I161" t="str" cm="1">
        <f t="array" ref="I161">IF( ISBLANK(I$120), "",EvaluatePolynomial(I$120:I$126,$A161))</f>
        <v/>
      </c>
      <c r="J161" s="1" t="str" cm="1">
        <f t="array" ref="J161">IF( ISBLANK(J$120), "",EvaluatePolynomial(J$120:J$126,$A161))</f>
        <v/>
      </c>
      <c r="K161" s="1" t="str" cm="1">
        <f t="array" ref="K161">IF( ISBLANK(K$120), "",EvaluatePolynomial(K$120:K$126,$A161))</f>
        <v/>
      </c>
      <c r="L161" s="1" t="str" cm="1">
        <f t="array" ref="L161">IF( ISBLANK(L$120), "",EvaluatePolynomial(L$120:L$126,$A161))</f>
        <v/>
      </c>
      <c r="M161" s="1" t="str" cm="1">
        <f t="array" ref="M161">IF( ISBLANK(M$120), "",EvaluatePolynomial(M$120:M$126,$A161))</f>
        <v/>
      </c>
      <c r="N161" s="1" t="str" cm="1">
        <f t="array" ref="N161">IF( ISBLANK(N$120), "",EvaluatePolynomial(N$120:N$126,$A161))</f>
        <v/>
      </c>
      <c r="O161" s="1" t="str" cm="1">
        <f t="array" ref="O161">IF( ISBLANK(O$120), "",EvaluatePolynomial(O$120:O$126,$A161))</f>
        <v/>
      </c>
      <c r="P161" s="1" t="str" cm="1">
        <f t="array" ref="P161">IF( ISBLANK(P$120), "",EvaluatePolynomial(P$120:P$126,$A161))</f>
        <v/>
      </c>
      <c r="Q161" s="1" t="str" cm="1">
        <f t="array" ref="Q161">IF( ISBLANK(Q$120), "",EvaluatePolynomial(Q$120:Q$126,$A161))</f>
        <v/>
      </c>
      <c r="R161" s="1" t="str" cm="1">
        <f t="array" ref="R161">IF( ISBLANK(R$120), "",EvaluatePolynomial(R$120:R$126,$A161))</f>
        <v/>
      </c>
      <c r="S161" s="1" t="str" cm="1">
        <f t="array" ref="S161">IF( ISBLANK(S$120), "",EvaluatePolynomial(S$120:S$126,$A161))</f>
        <v/>
      </c>
      <c r="T161" s="1" t="str" cm="1">
        <f t="array" ref="T161">IF( ISBLANK(T$120), "",EvaluatePolynomial(T$120:T$126,$A161))</f>
        <v/>
      </c>
      <c r="U161" s="1" t="str" cm="1">
        <f t="array" ref="U161">IF( ISBLANK(U$120), "",EvaluatePolynomial(U$120:U$126,$A161))</f>
        <v/>
      </c>
      <c r="V161" s="1" t="str" cm="1">
        <f t="array" ref="V161">IF( ISBLANK(V$120), "",EvaluatePolynomial(V$120:V$126,$A161))</f>
        <v/>
      </c>
      <c r="W161" s="1" t="str" cm="1">
        <f t="array" ref="W161">IF( ISBLANK(W$120), "",EvaluatePolynomial(W$120:W$126,$A161))</f>
        <v/>
      </c>
      <c r="X161" s="1" t="str" cm="1">
        <f t="array" ref="X161">IF( ISBLANK(X$120), "",EvaluatePolynomial(X$120:X$126,$A161))</f>
        <v/>
      </c>
      <c r="Y161" s="1" t="str" cm="1">
        <f t="array" ref="Y161">IF( ISBLANK(Y$120), "",EvaluatePolynomial(Y$120:Y$126,$A161))</f>
        <v/>
      </c>
      <c r="Z161" s="1" t="str" cm="1">
        <f t="array" ref="Z161">IF( ISBLANK(Z$120), "",EvaluatePolynomial(Z$120:Z$126,$A161))</f>
        <v/>
      </c>
      <c r="AA161" s="1" t="str" cm="1">
        <f t="array" ref="AA161">IF( ISBLANK(AA$120), "",EvaluatePolynomial(AA$120:AA$126,$A161))</f>
        <v/>
      </c>
      <c r="AB161" s="39" t="str" cm="1">
        <f t="array" ref="AB161">IF( ISBLANK(AB$120), "",EvaluatePolynomial(AB$120:AB$126,$A161))</f>
        <v/>
      </c>
      <c r="AC161" s="1"/>
      <c r="AD161" s="1"/>
      <c r="AE161" s="1"/>
    </row>
    <row r="162" spans="1:31" x14ac:dyDescent="0.25">
      <c r="A162" s="35">
        <v>800</v>
      </c>
      <c r="B162" t="str" cm="1">
        <f t="array" ref="B162">IF( ISBLANK(B$120), "",EvaluatePolynomial(B$120:B$126,$A162))</f>
        <v/>
      </c>
      <c r="C162" t="str" cm="1">
        <f t="array" ref="C162">IF( ISBLANK(C$120), "",EvaluatePolynomial(C$120:C$126,$A162))</f>
        <v/>
      </c>
      <c r="D162" t="str" cm="1">
        <f t="array" ref="D162">IF( ISBLANK(D$120), "",EvaluatePolynomial(D$120:D$126,$A162))</f>
        <v/>
      </c>
      <c r="E162" t="str" cm="1">
        <f t="array" ref="E162">IF( ISBLANK(E$120), "",EvaluatePolynomial(E$120:E$126,$A162))</f>
        <v/>
      </c>
      <c r="F162" t="str" cm="1">
        <f t="array" ref="F162">IF( ISBLANK(F$120), "",EvaluatePolynomial(F$120:F$126,$A161))</f>
        <v/>
      </c>
      <c r="G162" t="str" cm="1">
        <f t="array" ref="G162">IF( ISBLANK(G$120), "",EvaluatePolynomial(G$120:G$126,$A161))</f>
        <v/>
      </c>
      <c r="H162" t="str" cm="1">
        <f t="array" ref="H162">IF( ISBLANK(H$120), "",EvaluatePolynomial(H$120:H$126,$A162))</f>
        <v/>
      </c>
      <c r="I162" t="str" cm="1">
        <f t="array" ref="I162">IF( ISBLANK(I$120), "",EvaluatePolynomial(I$120:I$126,$A162))</f>
        <v/>
      </c>
      <c r="J162" s="1" t="str" cm="1">
        <f t="array" ref="J162">IF( ISBLANK(J$120), "",EvaluatePolynomial(J$120:J$126,$A162))</f>
        <v/>
      </c>
      <c r="K162" s="1" t="str" cm="1">
        <f t="array" ref="K162">IF( ISBLANK(K$120), "",EvaluatePolynomial(K$120:K$126,$A162))</f>
        <v/>
      </c>
      <c r="L162" s="1" t="str" cm="1">
        <f t="array" ref="L162">IF( ISBLANK(L$120), "",EvaluatePolynomial(L$120:L$126,$A162))</f>
        <v/>
      </c>
      <c r="M162" s="1" t="str" cm="1">
        <f t="array" ref="M162">IF( ISBLANK(M$120), "",EvaluatePolynomial(M$120:M$126,$A162))</f>
        <v/>
      </c>
      <c r="N162" s="1" t="str" cm="1">
        <f t="array" ref="N162">IF( ISBLANK(N$120), "",EvaluatePolynomial(N$120:N$126,$A162))</f>
        <v/>
      </c>
      <c r="O162" s="1" t="str" cm="1">
        <f t="array" ref="O162">IF( ISBLANK(O$120), "",EvaluatePolynomial(O$120:O$126,$A162))</f>
        <v/>
      </c>
      <c r="P162" s="1" t="str" cm="1">
        <f t="array" ref="P162">IF( ISBLANK(P$120), "",EvaluatePolynomial(P$120:P$126,$A162))</f>
        <v/>
      </c>
      <c r="Q162" s="1" t="str" cm="1">
        <f t="array" ref="Q162">IF( ISBLANK(Q$120), "",EvaluatePolynomial(Q$120:Q$126,$A162))</f>
        <v/>
      </c>
      <c r="R162" s="1" t="str" cm="1">
        <f t="array" ref="R162">IF( ISBLANK(R$120), "",EvaluatePolynomial(R$120:R$126,$A162))</f>
        <v/>
      </c>
      <c r="S162" s="1" t="str" cm="1">
        <f t="array" ref="S162">IF( ISBLANK(S$120), "",EvaluatePolynomial(S$120:S$126,$A162))</f>
        <v/>
      </c>
      <c r="T162" s="1" t="str" cm="1">
        <f t="array" ref="T162">IF( ISBLANK(T$120), "",EvaluatePolynomial(T$120:T$126,$A162))</f>
        <v/>
      </c>
      <c r="U162" s="1" t="str" cm="1">
        <f t="array" ref="U162">IF( ISBLANK(U$120), "",EvaluatePolynomial(U$120:U$126,$A162))</f>
        <v/>
      </c>
      <c r="V162" s="1" t="str" cm="1">
        <f t="array" ref="V162">IF( ISBLANK(V$120), "",EvaluatePolynomial(V$120:V$126,$A162))</f>
        <v/>
      </c>
      <c r="W162" s="1" t="str" cm="1">
        <f t="array" ref="W162">IF( ISBLANK(W$120), "",EvaluatePolynomial(W$120:W$126,$A162))</f>
        <v/>
      </c>
      <c r="X162" s="1" t="str" cm="1">
        <f t="array" ref="X162">IF( ISBLANK(X$120), "",EvaluatePolynomial(X$120:X$126,$A162))</f>
        <v/>
      </c>
      <c r="Y162" s="1" t="str" cm="1">
        <f t="array" ref="Y162">IF( ISBLANK(Y$120), "",EvaluatePolynomial(Y$120:Y$126,$A162))</f>
        <v/>
      </c>
      <c r="Z162" s="1" t="str" cm="1">
        <f t="array" ref="Z162">IF( ISBLANK(Z$120), "",EvaluatePolynomial(Z$120:Z$126,$A162))</f>
        <v/>
      </c>
      <c r="AA162" s="1" t="str" cm="1">
        <f t="array" ref="AA162">IF( ISBLANK(AA$120), "",EvaluatePolynomial(AA$120:AA$126,$A162))</f>
        <v/>
      </c>
      <c r="AB162" s="39" t="str" cm="1">
        <f t="array" ref="AB162">IF( ISBLANK(AB$120), "",EvaluatePolynomial(AB$120:AB$126,$A162))</f>
        <v/>
      </c>
      <c r="AC162" s="1"/>
      <c r="AD162" s="1"/>
      <c r="AE162" s="1"/>
    </row>
    <row r="163" spans="1:31" x14ac:dyDescent="0.25">
      <c r="A163" s="35">
        <v>825</v>
      </c>
      <c r="B163" t="str" cm="1">
        <f t="array" ref="B163">IF( ISBLANK(B$120), "",EvaluatePolynomial(B$120:B$126,$A163))</f>
        <v/>
      </c>
      <c r="C163" t="str" cm="1">
        <f t="array" ref="C163">IF( ISBLANK(C$120), "",EvaluatePolynomial(C$120:C$126,$A163))</f>
        <v/>
      </c>
      <c r="D163" t="str" cm="1">
        <f t="array" ref="D163">IF( ISBLANK(D$120), "",EvaluatePolynomial(D$120:D$126,$A163))</f>
        <v/>
      </c>
      <c r="E163" t="str" cm="1">
        <f t="array" ref="E163">IF( ISBLANK(E$120), "",EvaluatePolynomial(E$120:E$126,$A163))</f>
        <v/>
      </c>
      <c r="F163" t="str" cm="1">
        <f t="array" ref="F163">IF( ISBLANK(F$120), "",EvaluatePolynomial(F$120:F$126,$A162))</f>
        <v/>
      </c>
      <c r="G163" t="str" cm="1">
        <f t="array" ref="G163">IF( ISBLANK(G$120), "",EvaluatePolynomial(G$120:G$126,$A162))</f>
        <v/>
      </c>
      <c r="H163" t="str" cm="1">
        <f t="array" ref="H163">IF( ISBLANK(H$120), "",EvaluatePolynomial(H$120:H$126,$A163))</f>
        <v/>
      </c>
      <c r="I163" t="str" cm="1">
        <f t="array" ref="I163">IF( ISBLANK(I$120), "",EvaluatePolynomial(I$120:I$126,$A163))</f>
        <v/>
      </c>
      <c r="J163" s="1" t="str" cm="1">
        <f t="array" ref="J163">IF( ISBLANK(J$120), "",EvaluatePolynomial(J$120:J$126,$A163))</f>
        <v/>
      </c>
      <c r="K163" s="1" t="str" cm="1">
        <f t="array" ref="K163">IF( ISBLANK(K$120), "",EvaluatePolynomial(K$120:K$126,$A163))</f>
        <v/>
      </c>
      <c r="L163" s="1" t="str" cm="1">
        <f t="array" ref="L163">IF( ISBLANK(L$120), "",EvaluatePolynomial(L$120:L$126,$A163))</f>
        <v/>
      </c>
      <c r="M163" s="1" t="str" cm="1">
        <f t="array" ref="M163">IF( ISBLANK(M$120), "",EvaluatePolynomial(M$120:M$126,$A163))</f>
        <v/>
      </c>
      <c r="N163" s="1" t="str" cm="1">
        <f t="array" ref="N163">IF( ISBLANK(N$120), "",EvaluatePolynomial(N$120:N$126,$A163))</f>
        <v/>
      </c>
      <c r="O163" s="1" t="str" cm="1">
        <f t="array" ref="O163">IF( ISBLANK(O$120), "",EvaluatePolynomial(O$120:O$126,$A163))</f>
        <v/>
      </c>
      <c r="P163" s="1" t="str" cm="1">
        <f t="array" ref="P163">IF( ISBLANK(P$120), "",EvaluatePolynomial(P$120:P$126,$A163))</f>
        <v/>
      </c>
      <c r="Q163" s="1" t="str" cm="1">
        <f t="array" ref="Q163">IF( ISBLANK(Q$120), "",EvaluatePolynomial(Q$120:Q$126,$A163))</f>
        <v/>
      </c>
      <c r="R163" s="1" t="str" cm="1">
        <f t="array" ref="R163">IF( ISBLANK(R$120), "",EvaluatePolynomial(R$120:R$126,$A163))</f>
        <v/>
      </c>
      <c r="S163" s="1" t="str" cm="1">
        <f t="array" ref="S163">IF( ISBLANK(S$120), "",EvaluatePolynomial(S$120:S$126,$A163))</f>
        <v/>
      </c>
      <c r="T163" s="1" t="str" cm="1">
        <f t="array" ref="T163">IF( ISBLANK(T$120), "",EvaluatePolynomial(T$120:T$126,$A163))</f>
        <v/>
      </c>
      <c r="U163" s="1" t="str" cm="1">
        <f t="array" ref="U163">IF( ISBLANK(U$120), "",EvaluatePolynomial(U$120:U$126,$A163))</f>
        <v/>
      </c>
      <c r="V163" s="1" t="str" cm="1">
        <f t="array" ref="V163">IF( ISBLANK(V$120), "",EvaluatePolynomial(V$120:V$126,$A163))</f>
        <v/>
      </c>
      <c r="W163" s="1" t="str" cm="1">
        <f t="array" ref="W163">IF( ISBLANK(W$120), "",EvaluatePolynomial(W$120:W$126,$A163))</f>
        <v/>
      </c>
      <c r="X163" s="1" t="str" cm="1">
        <f t="array" ref="X163">IF( ISBLANK(X$120), "",EvaluatePolynomial(X$120:X$126,$A163))</f>
        <v/>
      </c>
      <c r="Y163" s="1" t="str" cm="1">
        <f t="array" ref="Y163">IF( ISBLANK(Y$120), "",EvaluatePolynomial(Y$120:Y$126,$A163))</f>
        <v/>
      </c>
      <c r="Z163" s="1" t="str" cm="1">
        <f t="array" ref="Z163">IF( ISBLANK(Z$120), "",EvaluatePolynomial(Z$120:Z$126,$A163))</f>
        <v/>
      </c>
      <c r="AA163" s="1" t="str" cm="1">
        <f t="array" ref="AA163">IF( ISBLANK(AA$120), "",EvaluatePolynomial(AA$120:AA$126,$A163))</f>
        <v/>
      </c>
      <c r="AB163" s="39" t="str" cm="1">
        <f t="array" ref="AB163">IF( ISBLANK(AB$120), "",EvaluatePolynomial(AB$120:AB$126,$A163))</f>
        <v/>
      </c>
      <c r="AC163" s="1"/>
      <c r="AD163" s="1"/>
      <c r="AE163" s="1"/>
    </row>
    <row r="164" spans="1:31" x14ac:dyDescent="0.25">
      <c r="A164" s="35">
        <v>850</v>
      </c>
      <c r="B164" t="str" cm="1">
        <f t="array" ref="B164">IF( ISBLANK(B$120), "",EvaluatePolynomial(B$120:B$126,$A164))</f>
        <v/>
      </c>
      <c r="C164" t="str" cm="1">
        <f t="array" ref="C164">IF( ISBLANK(C$120), "",EvaluatePolynomial(C$120:C$126,$A164))</f>
        <v/>
      </c>
      <c r="D164" t="str" cm="1">
        <f t="array" ref="D164">IF( ISBLANK(D$120), "",EvaluatePolynomial(D$120:D$126,$A164))</f>
        <v/>
      </c>
      <c r="E164" t="str" cm="1">
        <f t="array" ref="E164">IF( ISBLANK(E$120), "",EvaluatePolynomial(E$120:E$126,$A164))</f>
        <v/>
      </c>
      <c r="F164" t="str" cm="1">
        <f t="array" ref="F164">IF( ISBLANK(F$120), "",EvaluatePolynomial(F$120:F$126,$A163))</f>
        <v/>
      </c>
      <c r="G164" t="str" cm="1">
        <f t="array" ref="G164">IF( ISBLANK(G$120), "",EvaluatePolynomial(G$120:G$126,$A163))</f>
        <v/>
      </c>
      <c r="H164" t="str" cm="1">
        <f t="array" ref="H164">IF( ISBLANK(H$120), "",EvaluatePolynomial(H$120:H$126,$A164))</f>
        <v/>
      </c>
      <c r="I164" t="str" cm="1">
        <f t="array" ref="I164">IF( ISBLANK(I$120), "",EvaluatePolynomial(I$120:I$126,$A164))</f>
        <v/>
      </c>
      <c r="J164" s="1" t="str" cm="1">
        <f t="array" ref="J164">IF( ISBLANK(J$120), "",EvaluatePolynomial(J$120:J$126,$A164))</f>
        <v/>
      </c>
      <c r="K164" s="1" t="str" cm="1">
        <f t="array" ref="K164">IF( ISBLANK(K$120), "",EvaluatePolynomial(K$120:K$126,$A164))</f>
        <v/>
      </c>
      <c r="L164" s="1" t="str" cm="1">
        <f t="array" ref="L164">IF( ISBLANK(L$120), "",EvaluatePolynomial(L$120:L$126,$A164))</f>
        <v/>
      </c>
      <c r="M164" s="1" t="str" cm="1">
        <f t="array" ref="M164">IF( ISBLANK(M$120), "",EvaluatePolynomial(M$120:M$126,$A164))</f>
        <v/>
      </c>
      <c r="N164" s="1" t="str" cm="1">
        <f t="array" ref="N164">IF( ISBLANK(N$120), "",EvaluatePolynomial(N$120:N$126,$A164))</f>
        <v/>
      </c>
      <c r="O164" s="1" t="str" cm="1">
        <f t="array" ref="O164">IF( ISBLANK(O$120), "",EvaluatePolynomial(O$120:O$126,$A164))</f>
        <v/>
      </c>
      <c r="P164" s="1" t="str" cm="1">
        <f t="array" ref="P164">IF( ISBLANK(P$120), "",EvaluatePolynomial(P$120:P$126,$A164))</f>
        <v/>
      </c>
      <c r="Q164" s="1" t="str" cm="1">
        <f t="array" ref="Q164">IF( ISBLANK(Q$120), "",EvaluatePolynomial(Q$120:Q$126,$A164))</f>
        <v/>
      </c>
      <c r="R164" s="1" t="str" cm="1">
        <f t="array" ref="R164">IF( ISBLANK(R$120), "",EvaluatePolynomial(R$120:R$126,$A164))</f>
        <v/>
      </c>
      <c r="S164" s="1" t="str" cm="1">
        <f t="array" ref="S164">IF( ISBLANK(S$120), "",EvaluatePolynomial(S$120:S$126,$A164))</f>
        <v/>
      </c>
      <c r="T164" s="1" t="str" cm="1">
        <f t="array" ref="T164">IF( ISBLANK(T$120), "",EvaluatePolynomial(T$120:T$126,$A164))</f>
        <v/>
      </c>
      <c r="U164" s="1" t="str" cm="1">
        <f t="array" ref="U164">IF( ISBLANK(U$120), "",EvaluatePolynomial(U$120:U$126,$A164))</f>
        <v/>
      </c>
      <c r="V164" s="1" t="str" cm="1">
        <f t="array" ref="V164">IF( ISBLANK(V$120), "",EvaluatePolynomial(V$120:V$126,$A164))</f>
        <v/>
      </c>
      <c r="W164" s="1" t="str" cm="1">
        <f t="array" ref="W164">IF( ISBLANK(W$120), "",EvaluatePolynomial(W$120:W$126,$A164))</f>
        <v/>
      </c>
      <c r="X164" s="1" t="str" cm="1">
        <f t="array" ref="X164">IF( ISBLANK(X$120), "",EvaluatePolynomial(X$120:X$126,$A164))</f>
        <v/>
      </c>
      <c r="Y164" s="1" t="str" cm="1">
        <f t="array" ref="Y164">IF( ISBLANK(Y$120), "",EvaluatePolynomial(Y$120:Y$126,$A164))</f>
        <v/>
      </c>
      <c r="Z164" s="1" t="str" cm="1">
        <f t="array" ref="Z164">IF( ISBLANK(Z$120), "",EvaluatePolynomial(Z$120:Z$126,$A164))</f>
        <v/>
      </c>
      <c r="AA164" s="1" t="str" cm="1">
        <f t="array" ref="AA164">IF( ISBLANK(AA$120), "",EvaluatePolynomial(AA$120:AA$126,$A164))</f>
        <v/>
      </c>
      <c r="AB164" s="39" t="str" cm="1">
        <f t="array" ref="AB164">IF( ISBLANK(AB$120), "",EvaluatePolynomial(AB$120:AB$126,$A164))</f>
        <v/>
      </c>
      <c r="AC164" s="1"/>
      <c r="AD164" s="1"/>
      <c r="AE164" s="1"/>
    </row>
    <row r="165" spans="1:31" x14ac:dyDescent="0.25">
      <c r="A165" s="35">
        <v>875</v>
      </c>
      <c r="B165" t="str" cm="1">
        <f t="array" ref="B165">IF( ISBLANK(B$120), "",EvaluatePolynomial(B$120:B$126,$A165))</f>
        <v/>
      </c>
      <c r="C165" t="str" cm="1">
        <f t="array" ref="C165">IF( ISBLANK(C$120), "",EvaluatePolynomial(C$120:C$126,$A165))</f>
        <v/>
      </c>
      <c r="D165" t="str" cm="1">
        <f t="array" ref="D165">IF( ISBLANK(D$120), "",EvaluatePolynomial(D$120:D$126,$A165))</f>
        <v/>
      </c>
      <c r="E165" t="str" cm="1">
        <f t="array" ref="E165">IF( ISBLANK(E$120), "",EvaluatePolynomial(E$120:E$126,$A165))</f>
        <v/>
      </c>
      <c r="F165" t="str" cm="1">
        <f t="array" ref="F165">IF( ISBLANK(F$120), "",EvaluatePolynomial(F$120:F$126,$A164))</f>
        <v/>
      </c>
      <c r="G165" t="str" cm="1">
        <f t="array" ref="G165">IF( ISBLANK(G$120), "",EvaluatePolynomial(G$120:G$126,$A164))</f>
        <v/>
      </c>
      <c r="H165" t="str" cm="1">
        <f t="array" ref="H165">IF( ISBLANK(H$120), "",EvaluatePolynomial(H$120:H$126,$A165))</f>
        <v/>
      </c>
      <c r="I165" t="str" cm="1">
        <f t="array" ref="I165">IF( ISBLANK(I$120), "",EvaluatePolynomial(I$120:I$126,$A165))</f>
        <v/>
      </c>
      <c r="J165" s="1" t="str" cm="1">
        <f t="array" ref="J165">IF( ISBLANK(J$120), "",EvaluatePolynomial(J$120:J$126,$A165))</f>
        <v/>
      </c>
      <c r="K165" s="1" t="str" cm="1">
        <f t="array" ref="K165">IF( ISBLANK(K$120), "",EvaluatePolynomial(K$120:K$126,$A165))</f>
        <v/>
      </c>
      <c r="L165" s="1" t="str" cm="1">
        <f t="array" ref="L165">IF( ISBLANK(L$120), "",EvaluatePolynomial(L$120:L$126,$A165))</f>
        <v/>
      </c>
      <c r="M165" s="1" t="str" cm="1">
        <f t="array" ref="M165">IF( ISBLANK(M$120), "",EvaluatePolynomial(M$120:M$126,$A165))</f>
        <v/>
      </c>
      <c r="N165" s="1" t="str" cm="1">
        <f t="array" ref="N165">IF( ISBLANK(N$120), "",EvaluatePolynomial(N$120:N$126,$A165))</f>
        <v/>
      </c>
      <c r="O165" s="1" t="str" cm="1">
        <f t="array" ref="O165">IF( ISBLANK(O$120), "",EvaluatePolynomial(O$120:O$126,$A165))</f>
        <v/>
      </c>
      <c r="P165" s="1" t="str" cm="1">
        <f t="array" ref="P165">IF( ISBLANK(P$120), "",EvaluatePolynomial(P$120:P$126,$A165))</f>
        <v/>
      </c>
      <c r="Q165" s="1" t="str" cm="1">
        <f t="array" ref="Q165">IF( ISBLANK(Q$120), "",EvaluatePolynomial(Q$120:Q$126,$A165))</f>
        <v/>
      </c>
      <c r="R165" s="1" t="str" cm="1">
        <f t="array" ref="R165">IF( ISBLANK(R$120), "",EvaluatePolynomial(R$120:R$126,$A165))</f>
        <v/>
      </c>
      <c r="S165" s="1" t="str" cm="1">
        <f t="array" ref="S165">IF( ISBLANK(S$120), "",EvaluatePolynomial(S$120:S$126,$A165))</f>
        <v/>
      </c>
      <c r="T165" s="1" t="str" cm="1">
        <f t="array" ref="T165">IF( ISBLANK(T$120), "",EvaluatePolynomial(T$120:T$126,$A165))</f>
        <v/>
      </c>
      <c r="U165" s="1" t="str" cm="1">
        <f t="array" ref="U165">IF( ISBLANK(U$120), "",EvaluatePolynomial(U$120:U$126,$A165))</f>
        <v/>
      </c>
      <c r="V165" s="1" t="str" cm="1">
        <f t="array" ref="V165">IF( ISBLANK(V$120), "",EvaluatePolynomial(V$120:V$126,$A165))</f>
        <v/>
      </c>
      <c r="W165" s="1" t="str" cm="1">
        <f t="array" ref="W165">IF( ISBLANK(W$120), "",EvaluatePolynomial(W$120:W$126,$A165))</f>
        <v/>
      </c>
      <c r="X165" s="1" t="str" cm="1">
        <f t="array" ref="X165">IF( ISBLANK(X$120), "",EvaluatePolynomial(X$120:X$126,$A165))</f>
        <v/>
      </c>
      <c r="Y165" s="1" t="str" cm="1">
        <f t="array" ref="Y165">IF( ISBLANK(Y$120), "",EvaluatePolynomial(Y$120:Y$126,$A165))</f>
        <v/>
      </c>
      <c r="Z165" s="1" t="str" cm="1">
        <f t="array" ref="Z165">IF( ISBLANK(Z$120), "",EvaluatePolynomial(Z$120:Z$126,$A165))</f>
        <v/>
      </c>
      <c r="AA165" s="1" t="str" cm="1">
        <f t="array" ref="AA165">IF( ISBLANK(AA$120), "",EvaluatePolynomial(AA$120:AA$126,$A165))</f>
        <v/>
      </c>
      <c r="AB165" s="39" t="str" cm="1">
        <f t="array" ref="AB165">IF( ISBLANK(AB$120), "",EvaluatePolynomial(AB$120:AB$126,$A165))</f>
        <v/>
      </c>
      <c r="AC165" s="1"/>
      <c r="AD165" s="1"/>
      <c r="AE165" s="1"/>
    </row>
    <row r="166" spans="1:31" x14ac:dyDescent="0.25">
      <c r="A166" s="35">
        <v>900</v>
      </c>
      <c r="B166" t="str" cm="1">
        <f t="array" ref="B166">IF( ISBLANK(B$120), "",EvaluatePolynomial(B$120:B$126,$A166))</f>
        <v/>
      </c>
      <c r="C166" t="str" cm="1">
        <f t="array" ref="C166">IF( ISBLANK(C$120), "",EvaluatePolynomial(C$120:C$126,$A166))</f>
        <v/>
      </c>
      <c r="D166" t="str" cm="1">
        <f t="array" ref="D166">IF( ISBLANK(D$120), "",EvaluatePolynomial(D$120:D$126,$A166))</f>
        <v/>
      </c>
      <c r="E166" t="str" cm="1">
        <f t="array" ref="E166">IF( ISBLANK(E$120), "",EvaluatePolynomial(E$120:E$126,$A166))</f>
        <v/>
      </c>
      <c r="F166" t="str" cm="1">
        <f t="array" ref="F166">IF( ISBLANK(F$120), "",EvaluatePolynomial(F$120:F$126,$A165))</f>
        <v/>
      </c>
      <c r="G166" t="str" cm="1">
        <f t="array" ref="G166">IF( ISBLANK(G$120), "",EvaluatePolynomial(G$120:G$126,$A165))</f>
        <v/>
      </c>
      <c r="H166" t="str" cm="1">
        <f t="array" ref="H166">IF( ISBLANK(H$120), "",EvaluatePolynomial(H$120:H$126,$A166))</f>
        <v/>
      </c>
      <c r="I166" t="str" cm="1">
        <f t="array" ref="I166">IF( ISBLANK(I$120), "",EvaluatePolynomial(I$120:I$126,$A166))</f>
        <v/>
      </c>
      <c r="J166" s="1" t="str" cm="1">
        <f t="array" ref="J166">IF( ISBLANK(J$120), "",EvaluatePolynomial(J$120:J$126,$A166))</f>
        <v/>
      </c>
      <c r="K166" s="1" t="str" cm="1">
        <f t="array" ref="K166">IF( ISBLANK(K$120), "",EvaluatePolynomial(K$120:K$126,$A166))</f>
        <v/>
      </c>
      <c r="L166" s="1" t="str" cm="1">
        <f t="array" ref="L166">IF( ISBLANK(L$120), "",EvaluatePolynomial(L$120:L$126,$A166))</f>
        <v/>
      </c>
      <c r="M166" s="1" t="str" cm="1">
        <f t="array" ref="M166">IF( ISBLANK(M$120), "",EvaluatePolynomial(M$120:M$126,$A166))</f>
        <v/>
      </c>
      <c r="N166" s="1" t="str" cm="1">
        <f t="array" ref="N166">IF( ISBLANK(N$120), "",EvaluatePolynomial(N$120:N$126,$A166))</f>
        <v/>
      </c>
      <c r="O166" s="1" t="str" cm="1">
        <f t="array" ref="O166">IF( ISBLANK(O$120), "",EvaluatePolynomial(O$120:O$126,$A166))</f>
        <v/>
      </c>
      <c r="P166" s="1" t="str" cm="1">
        <f t="array" ref="P166">IF( ISBLANK(P$120), "",EvaluatePolynomial(P$120:P$126,$A166))</f>
        <v/>
      </c>
      <c r="Q166" s="1" t="str" cm="1">
        <f t="array" ref="Q166">IF( ISBLANK(Q$120), "",EvaluatePolynomial(Q$120:Q$126,$A166))</f>
        <v/>
      </c>
      <c r="R166" s="1" t="str" cm="1">
        <f t="array" ref="R166">IF( ISBLANK(R$120), "",EvaluatePolynomial(R$120:R$126,$A166))</f>
        <v/>
      </c>
      <c r="S166" s="1" t="str" cm="1">
        <f t="array" ref="S166">IF( ISBLANK(S$120), "",EvaluatePolynomial(S$120:S$126,$A166))</f>
        <v/>
      </c>
      <c r="T166" s="1" t="str" cm="1">
        <f t="array" ref="T166">IF( ISBLANK(T$120), "",EvaluatePolynomial(T$120:T$126,$A166))</f>
        <v/>
      </c>
      <c r="U166" s="1" t="str" cm="1">
        <f t="array" ref="U166">IF( ISBLANK(U$120), "",EvaluatePolynomial(U$120:U$126,$A166))</f>
        <v/>
      </c>
      <c r="V166" s="1" t="str" cm="1">
        <f t="array" ref="V166">IF( ISBLANK(V$120), "",EvaluatePolynomial(V$120:V$126,$A166))</f>
        <v/>
      </c>
      <c r="W166" s="1" t="str" cm="1">
        <f t="array" ref="W166">IF( ISBLANK(W$120), "",EvaluatePolynomial(W$120:W$126,$A166))</f>
        <v/>
      </c>
      <c r="X166" s="1" t="str" cm="1">
        <f t="array" ref="X166">IF( ISBLANK(X$120), "",EvaluatePolynomial(X$120:X$126,$A166))</f>
        <v/>
      </c>
      <c r="Y166" s="1" t="str" cm="1">
        <f t="array" ref="Y166">IF( ISBLANK(Y$120), "",EvaluatePolynomial(Y$120:Y$126,$A166))</f>
        <v/>
      </c>
      <c r="Z166" s="1" t="str" cm="1">
        <f t="array" ref="Z166">IF( ISBLANK(Z$120), "",EvaluatePolynomial(Z$120:Z$126,$A166))</f>
        <v/>
      </c>
      <c r="AA166" s="1" t="str" cm="1">
        <f t="array" ref="AA166">IF( ISBLANK(AA$120), "",EvaluatePolynomial(AA$120:AA$126,$A166))</f>
        <v/>
      </c>
      <c r="AB166" s="39" t="str" cm="1">
        <f t="array" ref="AB166">IF( ISBLANK(AB$120), "",EvaluatePolynomial(AB$120:AB$126,$A166))</f>
        <v/>
      </c>
      <c r="AC166" s="1"/>
      <c r="AD166" s="1"/>
      <c r="AE166" s="1"/>
    </row>
    <row r="167" spans="1:31" x14ac:dyDescent="0.25">
      <c r="A167" s="35">
        <v>925</v>
      </c>
      <c r="B167" t="str" cm="1">
        <f t="array" ref="B167">IF( ISBLANK(B$120), "",EvaluatePolynomial(B$120:B$126,$A167))</f>
        <v/>
      </c>
      <c r="C167" t="str" cm="1">
        <f t="array" ref="C167">IF( ISBLANK(C$120), "",EvaluatePolynomial(C$120:C$126,$A167))</f>
        <v/>
      </c>
      <c r="D167" t="str" cm="1">
        <f t="array" ref="D167">IF( ISBLANK(D$120), "",EvaluatePolynomial(D$120:D$126,$A167))</f>
        <v/>
      </c>
      <c r="E167" t="str" cm="1">
        <f t="array" ref="E167">IF( ISBLANK(E$120), "",EvaluatePolynomial(E$120:E$126,$A167))</f>
        <v/>
      </c>
      <c r="F167" t="str" cm="1">
        <f t="array" ref="F167">IF( ISBLANK(F$120), "",EvaluatePolynomial(F$120:F$126,$A166))</f>
        <v/>
      </c>
      <c r="G167" t="str" cm="1">
        <f t="array" ref="G167">IF( ISBLANK(G$120), "",EvaluatePolynomial(G$120:G$126,$A166))</f>
        <v/>
      </c>
      <c r="H167" t="str" cm="1">
        <f t="array" ref="H167">IF( ISBLANK(H$120), "",EvaluatePolynomial(H$120:H$126,$A167))</f>
        <v/>
      </c>
      <c r="I167" t="str" cm="1">
        <f t="array" ref="I167">IF( ISBLANK(I$120), "",EvaluatePolynomial(I$120:I$126,$A167))</f>
        <v/>
      </c>
      <c r="J167" s="1" t="str" cm="1">
        <f t="array" ref="J167">IF( ISBLANK(J$120), "",EvaluatePolynomial(J$120:J$126,$A167))</f>
        <v/>
      </c>
      <c r="K167" s="1" t="str" cm="1">
        <f t="array" ref="K167">IF( ISBLANK(K$120), "",EvaluatePolynomial(K$120:K$126,$A167))</f>
        <v/>
      </c>
      <c r="L167" s="1" t="str" cm="1">
        <f t="array" ref="L167">IF( ISBLANK(L$120), "",EvaluatePolynomial(L$120:L$126,$A167))</f>
        <v/>
      </c>
      <c r="M167" s="1" t="str" cm="1">
        <f t="array" ref="M167">IF( ISBLANK(M$120), "",EvaluatePolynomial(M$120:M$126,$A167))</f>
        <v/>
      </c>
      <c r="N167" s="1" t="str" cm="1">
        <f t="array" ref="N167">IF( ISBLANK(N$120), "",EvaluatePolynomial(N$120:N$126,$A167))</f>
        <v/>
      </c>
      <c r="O167" s="1" t="str" cm="1">
        <f t="array" ref="O167">IF( ISBLANK(O$120), "",EvaluatePolynomial(O$120:O$126,$A167))</f>
        <v/>
      </c>
      <c r="P167" s="1" t="str" cm="1">
        <f t="array" ref="P167">IF( ISBLANK(P$120), "",EvaluatePolynomial(P$120:P$126,$A167))</f>
        <v/>
      </c>
      <c r="Q167" s="1" t="str" cm="1">
        <f t="array" ref="Q167">IF( ISBLANK(Q$120), "",EvaluatePolynomial(Q$120:Q$126,$A167))</f>
        <v/>
      </c>
      <c r="R167" s="1" t="str" cm="1">
        <f t="array" ref="R167">IF( ISBLANK(R$120), "",EvaluatePolynomial(R$120:R$126,$A167))</f>
        <v/>
      </c>
      <c r="S167" s="1" t="str" cm="1">
        <f t="array" ref="S167">IF( ISBLANK(S$120), "",EvaluatePolynomial(S$120:S$126,$A167))</f>
        <v/>
      </c>
      <c r="T167" s="1" t="str" cm="1">
        <f t="array" ref="T167">IF( ISBLANK(T$120), "",EvaluatePolynomial(T$120:T$126,$A167))</f>
        <v/>
      </c>
      <c r="U167" s="1" t="str" cm="1">
        <f t="array" ref="U167">IF( ISBLANK(U$120), "",EvaluatePolynomial(U$120:U$126,$A167))</f>
        <v/>
      </c>
      <c r="V167" s="1" t="str" cm="1">
        <f t="array" ref="V167">IF( ISBLANK(V$120), "",EvaluatePolynomial(V$120:V$126,$A167))</f>
        <v/>
      </c>
      <c r="W167" s="1" t="str" cm="1">
        <f t="array" ref="W167">IF( ISBLANK(W$120), "",EvaluatePolynomial(W$120:W$126,$A167))</f>
        <v/>
      </c>
      <c r="X167" s="1" t="str" cm="1">
        <f t="array" ref="X167">IF( ISBLANK(X$120), "",EvaluatePolynomial(X$120:X$126,$A167))</f>
        <v/>
      </c>
      <c r="Y167" s="1" t="str" cm="1">
        <f t="array" ref="Y167">IF( ISBLANK(Y$120), "",EvaluatePolynomial(Y$120:Y$126,$A167))</f>
        <v/>
      </c>
      <c r="Z167" s="1" t="str" cm="1">
        <f t="array" ref="Z167">IF( ISBLANK(Z$120), "",EvaluatePolynomial(Z$120:Z$126,$A167))</f>
        <v/>
      </c>
      <c r="AA167" s="1" t="str" cm="1">
        <f t="array" ref="AA167">IF( ISBLANK(AA$120), "",EvaluatePolynomial(AA$120:AA$126,$A167))</f>
        <v/>
      </c>
      <c r="AB167" s="39" t="str" cm="1">
        <f t="array" ref="AB167">IF( ISBLANK(AB$120), "",EvaluatePolynomial(AB$120:AB$126,$A167))</f>
        <v/>
      </c>
      <c r="AC167" s="1"/>
      <c r="AD167" s="1"/>
      <c r="AE167" s="1"/>
    </row>
    <row r="168" spans="1:31" x14ac:dyDescent="0.25">
      <c r="A168" s="35">
        <v>950</v>
      </c>
      <c r="B168" t="str" cm="1">
        <f t="array" ref="B168">IF( ISBLANK(B$120), "",EvaluatePolynomial(B$120:B$126,$A168))</f>
        <v/>
      </c>
      <c r="C168" t="str" cm="1">
        <f t="array" ref="C168">IF( ISBLANK(C$120), "",EvaluatePolynomial(C$120:C$126,$A168))</f>
        <v/>
      </c>
      <c r="D168" t="str" cm="1">
        <f t="array" ref="D168">IF( ISBLANK(D$120), "",EvaluatePolynomial(D$120:D$126,$A168))</f>
        <v/>
      </c>
      <c r="E168" t="str" cm="1">
        <f t="array" ref="E168">IF( ISBLANK(E$120), "",EvaluatePolynomial(E$120:E$126,$A168))</f>
        <v/>
      </c>
      <c r="F168" t="str" cm="1">
        <f t="array" ref="F168">IF( ISBLANK(F$120), "",EvaluatePolynomial(F$120:F$126,$A167))</f>
        <v/>
      </c>
      <c r="G168" t="str" cm="1">
        <f t="array" ref="G168">IF( ISBLANK(G$120), "",EvaluatePolynomial(G$120:G$126,$A167))</f>
        <v/>
      </c>
      <c r="H168" t="str" cm="1">
        <f t="array" ref="H168">IF( ISBLANK(H$120), "",EvaluatePolynomial(H$120:H$126,$A168))</f>
        <v/>
      </c>
      <c r="I168" t="str" cm="1">
        <f t="array" ref="I168">IF( ISBLANK(I$120), "",EvaluatePolynomial(I$120:I$126,$A168))</f>
        <v/>
      </c>
      <c r="J168" s="1" t="str" cm="1">
        <f t="array" ref="J168">IF( ISBLANK(J$120), "",EvaluatePolynomial(J$120:J$126,$A168))</f>
        <v/>
      </c>
      <c r="K168" s="1" t="str" cm="1">
        <f t="array" ref="K168">IF( ISBLANK(K$120), "",EvaluatePolynomial(K$120:K$126,$A168))</f>
        <v/>
      </c>
      <c r="L168" s="1" t="str" cm="1">
        <f t="array" ref="L168">IF( ISBLANK(L$120), "",EvaluatePolynomial(L$120:L$126,$A168))</f>
        <v/>
      </c>
      <c r="M168" s="1" t="str" cm="1">
        <f t="array" ref="M168">IF( ISBLANK(M$120), "",EvaluatePolynomial(M$120:M$126,$A168))</f>
        <v/>
      </c>
      <c r="N168" s="1" t="str" cm="1">
        <f t="array" ref="N168">IF( ISBLANK(N$120), "",EvaluatePolynomial(N$120:N$126,$A168))</f>
        <v/>
      </c>
      <c r="O168" s="1" t="str" cm="1">
        <f t="array" ref="O168">IF( ISBLANK(O$120), "",EvaluatePolynomial(O$120:O$126,$A168))</f>
        <v/>
      </c>
      <c r="P168" s="1" t="str" cm="1">
        <f t="array" ref="P168">IF( ISBLANK(P$120), "",EvaluatePolynomial(P$120:P$126,$A168))</f>
        <v/>
      </c>
      <c r="Q168" s="1" t="str" cm="1">
        <f t="array" ref="Q168">IF( ISBLANK(Q$120), "",EvaluatePolynomial(Q$120:Q$126,$A168))</f>
        <v/>
      </c>
      <c r="R168" s="1" t="str" cm="1">
        <f t="array" ref="R168">IF( ISBLANK(R$120), "",EvaluatePolynomial(R$120:R$126,$A168))</f>
        <v/>
      </c>
      <c r="S168" s="1" t="str" cm="1">
        <f t="array" ref="S168">IF( ISBLANK(S$120), "",EvaluatePolynomial(S$120:S$126,$A168))</f>
        <v/>
      </c>
      <c r="T168" s="1" t="str" cm="1">
        <f t="array" ref="T168">IF( ISBLANK(T$120), "",EvaluatePolynomial(T$120:T$126,$A168))</f>
        <v/>
      </c>
      <c r="U168" s="1" t="str" cm="1">
        <f t="array" ref="U168">IF( ISBLANK(U$120), "",EvaluatePolynomial(U$120:U$126,$A168))</f>
        <v/>
      </c>
      <c r="V168" s="1" t="str" cm="1">
        <f t="array" ref="V168">IF( ISBLANK(V$120), "",EvaluatePolynomial(V$120:V$126,$A168))</f>
        <v/>
      </c>
      <c r="W168" s="1" t="str" cm="1">
        <f t="array" ref="W168">IF( ISBLANK(W$120), "",EvaluatePolynomial(W$120:W$126,$A168))</f>
        <v/>
      </c>
      <c r="X168" s="1" t="str" cm="1">
        <f t="array" ref="X168">IF( ISBLANK(X$120), "",EvaluatePolynomial(X$120:X$126,$A168))</f>
        <v/>
      </c>
      <c r="Y168" s="1" t="str" cm="1">
        <f t="array" ref="Y168">IF( ISBLANK(Y$120), "",EvaluatePolynomial(Y$120:Y$126,$A168))</f>
        <v/>
      </c>
      <c r="Z168" s="1" t="str" cm="1">
        <f t="array" ref="Z168">IF( ISBLANK(Z$120), "",EvaluatePolynomial(Z$120:Z$126,$A168))</f>
        <v/>
      </c>
      <c r="AA168" s="1" t="str" cm="1">
        <f t="array" ref="AA168">IF( ISBLANK(AA$120), "",EvaluatePolynomial(AA$120:AA$126,$A168))</f>
        <v/>
      </c>
      <c r="AB168" s="39" t="str" cm="1">
        <f t="array" ref="AB168">IF( ISBLANK(AB$120), "",EvaluatePolynomial(AB$120:AB$126,$A168))</f>
        <v/>
      </c>
      <c r="AC168" s="1"/>
      <c r="AD168" s="1"/>
      <c r="AE168" s="1"/>
    </row>
    <row r="169" spans="1:31" x14ac:dyDescent="0.25">
      <c r="A169" s="35">
        <v>975</v>
      </c>
      <c r="B169" t="str" cm="1">
        <f t="array" ref="B169">IF( ISBLANK(B$120), "",EvaluatePolynomial(B$120:B$126,$A169))</f>
        <v/>
      </c>
      <c r="C169" t="str" cm="1">
        <f t="array" ref="C169">IF( ISBLANK(C$120), "",EvaluatePolynomial(C$120:C$126,$A169))</f>
        <v/>
      </c>
      <c r="D169" t="str" cm="1">
        <f t="array" ref="D169">IF( ISBLANK(D$120), "",EvaluatePolynomial(D$120:D$126,$A169))</f>
        <v/>
      </c>
      <c r="E169" t="str" cm="1">
        <f t="array" ref="E169">IF( ISBLANK(E$120), "",EvaluatePolynomial(E$120:E$126,$A169))</f>
        <v/>
      </c>
      <c r="F169" t="str" cm="1">
        <f t="array" ref="F169">IF( ISBLANK(F$120), "",EvaluatePolynomial(F$120:F$126,$A168))</f>
        <v/>
      </c>
      <c r="G169" t="str" cm="1">
        <f t="array" ref="G169">IF( ISBLANK(G$120), "",EvaluatePolynomial(G$120:G$126,$A168))</f>
        <v/>
      </c>
      <c r="H169" t="str" cm="1">
        <f t="array" ref="H169">IF( ISBLANK(H$120), "",EvaluatePolynomial(H$120:H$126,$A169))</f>
        <v/>
      </c>
      <c r="I169" t="str" cm="1">
        <f t="array" ref="I169">IF( ISBLANK(I$120), "",EvaluatePolynomial(I$120:I$126,$A169))</f>
        <v/>
      </c>
      <c r="J169" s="1" t="str" cm="1">
        <f t="array" ref="J169">IF( ISBLANK(J$120), "",EvaluatePolynomial(J$120:J$126,$A169))</f>
        <v/>
      </c>
      <c r="K169" s="1" t="str" cm="1">
        <f t="array" ref="K169">IF( ISBLANK(K$120), "",EvaluatePolynomial(K$120:K$126,$A169))</f>
        <v/>
      </c>
      <c r="L169" s="1" t="str" cm="1">
        <f t="array" ref="L169">IF( ISBLANK(L$120), "",EvaluatePolynomial(L$120:L$126,$A169))</f>
        <v/>
      </c>
      <c r="M169" s="1" t="str" cm="1">
        <f t="array" ref="M169">IF( ISBLANK(M$120), "",EvaluatePolynomial(M$120:M$126,$A169))</f>
        <v/>
      </c>
      <c r="N169" s="1" t="str" cm="1">
        <f t="array" ref="N169">IF( ISBLANK(N$120), "",EvaluatePolynomial(N$120:N$126,$A169))</f>
        <v/>
      </c>
      <c r="O169" s="1" t="str" cm="1">
        <f t="array" ref="O169">IF( ISBLANK(O$120), "",EvaluatePolynomial(O$120:O$126,$A169))</f>
        <v/>
      </c>
      <c r="P169" s="1" t="str" cm="1">
        <f t="array" ref="P169">IF( ISBLANK(P$120), "",EvaluatePolynomial(P$120:P$126,$A169))</f>
        <v/>
      </c>
      <c r="Q169" s="1" t="str" cm="1">
        <f t="array" ref="Q169">IF( ISBLANK(Q$120), "",EvaluatePolynomial(Q$120:Q$126,$A169))</f>
        <v/>
      </c>
      <c r="R169" s="1" t="str" cm="1">
        <f t="array" ref="R169">IF( ISBLANK(R$120), "",EvaluatePolynomial(R$120:R$126,$A169))</f>
        <v/>
      </c>
      <c r="S169" s="1" t="str" cm="1">
        <f t="array" ref="S169">IF( ISBLANK(S$120), "",EvaluatePolynomial(S$120:S$126,$A169))</f>
        <v/>
      </c>
      <c r="T169" s="1" t="str" cm="1">
        <f t="array" ref="T169">IF( ISBLANK(T$120), "",EvaluatePolynomial(T$120:T$126,$A169))</f>
        <v/>
      </c>
      <c r="U169" s="1" t="str" cm="1">
        <f t="array" ref="U169">IF( ISBLANK(U$120), "",EvaluatePolynomial(U$120:U$126,$A169))</f>
        <v/>
      </c>
      <c r="V169" s="1" t="str" cm="1">
        <f t="array" ref="V169">IF( ISBLANK(V$120), "",EvaluatePolynomial(V$120:V$126,$A169))</f>
        <v/>
      </c>
      <c r="W169" s="1" t="str" cm="1">
        <f t="array" ref="W169">IF( ISBLANK(W$120), "",EvaluatePolynomial(W$120:W$126,$A169))</f>
        <v/>
      </c>
      <c r="X169" s="1" t="str" cm="1">
        <f t="array" ref="X169">IF( ISBLANK(X$120), "",EvaluatePolynomial(X$120:X$126,$A169))</f>
        <v/>
      </c>
      <c r="Y169" s="1" t="str" cm="1">
        <f t="array" ref="Y169">IF( ISBLANK(Y$120), "",EvaluatePolynomial(Y$120:Y$126,$A169))</f>
        <v/>
      </c>
      <c r="Z169" s="1" t="str" cm="1">
        <f t="array" ref="Z169">IF( ISBLANK(Z$120), "",EvaluatePolynomial(Z$120:Z$126,$A169))</f>
        <v/>
      </c>
      <c r="AA169" s="1" t="str" cm="1">
        <f t="array" ref="AA169">IF( ISBLANK(AA$120), "",EvaluatePolynomial(AA$120:AA$126,$A169))</f>
        <v/>
      </c>
      <c r="AB169" s="39" t="str" cm="1">
        <f t="array" ref="AB169">IF( ISBLANK(AB$120), "",EvaluatePolynomial(AB$120:AB$126,$A169))</f>
        <v/>
      </c>
      <c r="AC169" s="1"/>
      <c r="AD169" s="1"/>
      <c r="AE169" s="1"/>
    </row>
    <row r="170" spans="1:31" ht="15.75" thickBot="1" x14ac:dyDescent="0.3">
      <c r="A170" s="40">
        <v>1000</v>
      </c>
      <c r="B170" s="41" t="str" cm="1">
        <f t="array" ref="B170">IF( ISBLANK(B$120), "",EvaluatePolynomial(B$120:B$126,$A170))</f>
        <v/>
      </c>
      <c r="C170" s="41" t="str" cm="1">
        <f t="array" ref="C170">IF( ISBLANK(C$120), "",EvaluatePolynomial(C$120:C$126,$A170))</f>
        <v/>
      </c>
      <c r="D170" s="41" t="str" cm="1">
        <f t="array" ref="D170">IF( ISBLANK(D$120), "",EvaluatePolynomial(D$120:D$126,$A170))</f>
        <v/>
      </c>
      <c r="E170" s="41" t="str" cm="1">
        <f t="array" ref="E170">IF( ISBLANK(E$120), "",EvaluatePolynomial(E$120:E$126,$A170))</f>
        <v/>
      </c>
      <c r="F170" s="41" t="str" cm="1">
        <f t="array" ref="F170">IF( ISBLANK(F$120), "",EvaluatePolynomial(F$120:F$126,$A169))</f>
        <v/>
      </c>
      <c r="G170" s="41" t="str" cm="1">
        <f t="array" ref="G170">IF( ISBLANK(G$120), "",EvaluatePolynomial(G$120:G$126,$A169))</f>
        <v/>
      </c>
      <c r="H170" s="41" t="str" cm="1">
        <f t="array" ref="H170">IF( ISBLANK(H$120), "",EvaluatePolynomial(H$120:H$126,$A170))</f>
        <v/>
      </c>
      <c r="I170" s="41" t="str" cm="1">
        <f t="array" ref="I170">IF( ISBLANK(I$120), "",EvaluatePolynomial(I$120:I$126,$A170))</f>
        <v/>
      </c>
      <c r="J170" s="42" t="str" cm="1">
        <f t="array" ref="J170">IF( ISBLANK(J$120), "",EvaluatePolynomial(J$120:J$126,$A170))</f>
        <v/>
      </c>
      <c r="K170" s="42" t="str" cm="1">
        <f t="array" ref="K170">IF( ISBLANK(K$120), "",EvaluatePolynomial(K$120:K$126,$A170))</f>
        <v/>
      </c>
      <c r="L170" s="42" t="str" cm="1">
        <f t="array" ref="L170">IF( ISBLANK(L$120), "",EvaluatePolynomial(L$120:L$126,$A170))</f>
        <v/>
      </c>
      <c r="M170" s="42" t="str" cm="1">
        <f t="array" ref="M170">IF( ISBLANK(M$120), "",EvaluatePolynomial(M$120:M$126,$A170))</f>
        <v/>
      </c>
      <c r="N170" s="42" t="str" cm="1">
        <f t="array" ref="N170">IF( ISBLANK(N$120), "",EvaluatePolynomial(N$120:N$126,$A170))</f>
        <v/>
      </c>
      <c r="O170" s="42" t="str" cm="1">
        <f t="array" ref="O170">IF( ISBLANK(O$120), "",EvaluatePolynomial(O$120:O$126,$A170))</f>
        <v/>
      </c>
      <c r="P170" s="42" t="str" cm="1">
        <f t="array" ref="P170">IF( ISBLANK(P$120), "",EvaluatePolynomial(P$120:P$126,$A170))</f>
        <v/>
      </c>
      <c r="Q170" s="42" t="str" cm="1">
        <f t="array" ref="Q170">IF( ISBLANK(Q$120), "",EvaluatePolynomial(Q$120:Q$126,$A170))</f>
        <v/>
      </c>
      <c r="R170" s="42" t="str" cm="1">
        <f t="array" ref="R170">IF( ISBLANK(R$120), "",EvaluatePolynomial(R$120:R$126,$A170))</f>
        <v/>
      </c>
      <c r="S170" s="42" t="str" cm="1">
        <f t="array" ref="S170">IF( ISBLANK(S$120), "",EvaluatePolynomial(S$120:S$126,$A170))</f>
        <v/>
      </c>
      <c r="T170" s="42" t="str" cm="1">
        <f t="array" ref="T170">IF( ISBLANK(T$120), "",EvaluatePolynomial(T$120:T$126,$A170))</f>
        <v/>
      </c>
      <c r="U170" s="42" t="str" cm="1">
        <f t="array" ref="U170">IF( ISBLANK(U$120), "",EvaluatePolynomial(U$120:U$126,$A170))</f>
        <v/>
      </c>
      <c r="V170" s="42" t="str" cm="1">
        <f t="array" ref="V170">IF( ISBLANK(V$120), "",EvaluatePolynomial(V$120:V$126,$A170))</f>
        <v/>
      </c>
      <c r="W170" s="42" t="str" cm="1">
        <f t="array" ref="W170">IF( ISBLANK(W$120), "",EvaluatePolynomial(W$120:W$126,$A170))</f>
        <v/>
      </c>
      <c r="X170" s="42" t="str" cm="1">
        <f t="array" ref="X170">IF( ISBLANK(X$120), "",EvaluatePolynomial(X$120:X$126,$A170))</f>
        <v/>
      </c>
      <c r="Y170" s="42" t="str" cm="1">
        <f t="array" ref="Y170">IF( ISBLANK(Y$120), "",EvaluatePolynomial(Y$120:Y$126,$A170))</f>
        <v/>
      </c>
      <c r="Z170" s="42" t="str" cm="1">
        <f t="array" ref="Z170">IF( ISBLANK(Z$120), "",EvaluatePolynomial(Z$120:Z$126,$A170))</f>
        <v/>
      </c>
      <c r="AA170" s="42" t="str" cm="1">
        <f t="array" ref="AA170">IF( ISBLANK(AA$120), "",EvaluatePolynomial(AA$120:AA$126,$A170))</f>
        <v/>
      </c>
      <c r="AB170" s="43" t="str" cm="1">
        <f t="array" ref="AB170">IF( ISBLANK(AB$120), "",EvaluatePolynomial(AB$120:AB$126,$A170))</f>
        <v/>
      </c>
      <c r="AC170" s="1"/>
      <c r="AD170" s="1"/>
      <c r="AE170" s="1"/>
    </row>
    <row r="171" spans="1:31" x14ac:dyDescent="0.25">
      <c r="F171" t="str" cm="1">
        <f t="array" ref="F171">IF( ISBLANK(F$120), "",EvaluatePolynomial(F$120:F$126,$A170))</f>
        <v/>
      </c>
      <c r="G171" t="str" cm="1">
        <f t="array" ref="G171">IF( ISBLANK(G$120), "",EvaluatePolynomial(G$120:G$126,$A170))</f>
        <v/>
      </c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F172" s="47"/>
      <c r="G172" s="47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57" t="s">
        <v>58</v>
      </c>
      <c r="B181" s="57" t="s">
        <v>36</v>
      </c>
      <c r="C181" s="57" t="s">
        <v>37</v>
      </c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t="s">
        <v>60</v>
      </c>
      <c r="B182" t="s">
        <v>13</v>
      </c>
      <c r="C182" s="46" t="e">
        <f>IF(ISBLANK($B182),"",VLOOKUP($B182,$D$8:$D$9,2,FALSE))</f>
        <v>#N/A</v>
      </c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t="30" x14ac:dyDescent="0.25">
      <c r="A183" s="57" t="s">
        <v>50</v>
      </c>
      <c r="B183" s="57" t="s">
        <v>51</v>
      </c>
      <c r="C183" s="57" t="s">
        <v>52</v>
      </c>
      <c r="D183" s="57" t="s">
        <v>53</v>
      </c>
      <c r="E183" s="57" t="s">
        <v>54</v>
      </c>
      <c r="F183" s="57" t="s">
        <v>21</v>
      </c>
      <c r="G183" s="57" t="s">
        <v>55</v>
      </c>
      <c r="H183" s="57" t="s">
        <v>56</v>
      </c>
      <c r="I183" s="57" t="s">
        <v>57</v>
      </c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1"/>
      <c r="B184" s="1"/>
      <c r="C184" s="1"/>
      <c r="D184" s="1"/>
      <c r="E184" s="1"/>
      <c r="H184" s="1"/>
      <c r="I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1"/>
      <c r="B185" s="1"/>
      <c r="C185" s="1"/>
      <c r="D185" s="1"/>
      <c r="E185" s="1"/>
      <c r="F185" s="1"/>
      <c r="G185" s="1"/>
      <c r="H185" s="1"/>
      <c r="I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1"/>
      <c r="B186" s="1"/>
      <c r="C186" s="1"/>
      <c r="D186" s="1"/>
      <c r="E186" s="1"/>
      <c r="F186" s="1"/>
      <c r="G186" s="1"/>
      <c r="H186" s="1"/>
      <c r="I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1"/>
      <c r="B187" s="1"/>
      <c r="C187" s="1"/>
      <c r="D187" s="1"/>
      <c r="E187" s="1"/>
      <c r="F187" s="1"/>
      <c r="G187" s="1"/>
      <c r="H187" s="1"/>
      <c r="I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1"/>
      <c r="B188" s="1"/>
      <c r="C188" s="1"/>
      <c r="D188" s="1"/>
      <c r="E188" s="1"/>
      <c r="F188" s="1"/>
      <c r="G188" s="1"/>
      <c r="H188" s="1"/>
      <c r="I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1"/>
      <c r="B189" s="1"/>
      <c r="C189" s="1"/>
      <c r="D189" s="1"/>
      <c r="E189" s="1"/>
      <c r="F189" s="1"/>
      <c r="G189" s="1"/>
      <c r="H189" s="1"/>
      <c r="I189" s="1"/>
    </row>
    <row r="190" spans="1:31" x14ac:dyDescent="0.25">
      <c r="A190" s="1"/>
      <c r="B190" s="1"/>
      <c r="C190" s="1"/>
      <c r="D190" s="1"/>
      <c r="E190" s="1"/>
      <c r="F190" s="1"/>
      <c r="G190" s="1"/>
      <c r="H190" s="1"/>
      <c r="I190" s="1"/>
    </row>
    <row r="191" spans="1:31" x14ac:dyDescent="0.25">
      <c r="A191" s="1"/>
      <c r="B191" s="1"/>
      <c r="C191" s="1"/>
      <c r="D191" s="1"/>
      <c r="E191" s="1"/>
      <c r="F191" s="1"/>
      <c r="G191" s="1"/>
      <c r="H191" s="1"/>
      <c r="I191" s="1"/>
    </row>
    <row r="192" spans="1:31" x14ac:dyDescent="0.25">
      <c r="A192" s="1"/>
      <c r="B192" s="1"/>
      <c r="C192" s="1"/>
      <c r="D192" s="1"/>
      <c r="E192" s="1"/>
      <c r="F192" s="1"/>
      <c r="G192" s="1"/>
      <c r="H192" s="1"/>
      <c r="I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1"/>
      <c r="B193" s="1"/>
      <c r="C193" s="1"/>
      <c r="D193" s="1"/>
      <c r="E193" s="1"/>
      <c r="F193" s="1"/>
      <c r="G193" s="1"/>
      <c r="H193" s="1"/>
      <c r="I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1"/>
      <c r="B194" s="1"/>
      <c r="C194" s="1"/>
      <c r="D194" s="1"/>
      <c r="E194" s="1"/>
      <c r="F194" s="1"/>
      <c r="G194" s="1"/>
      <c r="H194" s="1"/>
      <c r="I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1"/>
      <c r="B195" s="1"/>
      <c r="C195" s="1"/>
      <c r="D195" s="1"/>
      <c r="E195" s="1"/>
      <c r="F195" s="1"/>
      <c r="G195" s="1"/>
      <c r="H195" s="1"/>
      <c r="I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1"/>
      <c r="B196" s="1"/>
      <c r="C196" s="1"/>
      <c r="D196" s="1"/>
      <c r="E196" s="1"/>
      <c r="F196" s="1"/>
      <c r="G196" s="1"/>
      <c r="H196" s="1"/>
      <c r="I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1"/>
      <c r="B197" s="1"/>
      <c r="C197" s="1"/>
      <c r="D197" s="1"/>
      <c r="E197" s="1"/>
      <c r="F197" s="1"/>
      <c r="G197" s="1"/>
      <c r="H197" s="1"/>
      <c r="I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1"/>
      <c r="B198" s="1"/>
      <c r="C198" s="1"/>
      <c r="D198" s="1"/>
      <c r="E198" s="1"/>
      <c r="F198" s="1"/>
      <c r="G198" s="1"/>
      <c r="H198" s="1"/>
      <c r="I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1"/>
      <c r="B199" s="1"/>
      <c r="C199" s="1"/>
      <c r="D199" s="1"/>
      <c r="E199" s="1"/>
      <c r="F199" s="1"/>
      <c r="G199" s="1"/>
      <c r="H199" s="1"/>
      <c r="I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A200" s="1"/>
      <c r="B200" s="1"/>
      <c r="C200" s="1"/>
      <c r="D200" s="1"/>
      <c r="E200" s="1"/>
      <c r="F200" s="1"/>
      <c r="G200" s="1"/>
      <c r="H200" s="1"/>
      <c r="I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A201" s="1"/>
      <c r="B201" s="1"/>
      <c r="C201" s="1"/>
      <c r="D201" s="1"/>
      <c r="E201" s="1"/>
      <c r="F201" s="1"/>
      <c r="G201" s="1"/>
      <c r="H201" s="1"/>
      <c r="I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x14ac:dyDescent="0.25">
      <c r="A202" s="1"/>
      <c r="B202" s="1"/>
      <c r="C202" s="1"/>
      <c r="D202" s="1"/>
      <c r="E202" s="1"/>
      <c r="F202" s="1"/>
      <c r="G202" s="1"/>
      <c r="H202" s="1"/>
      <c r="I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x14ac:dyDescent="0.25">
      <c r="A203" s="1"/>
      <c r="B203" s="1"/>
      <c r="C203" s="1"/>
      <c r="D203" s="1"/>
      <c r="E203" s="1"/>
      <c r="F203" s="1"/>
      <c r="G203" s="1"/>
      <c r="H203" s="1"/>
      <c r="I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x14ac:dyDescent="0.25">
      <c r="A204" s="1"/>
      <c r="B204" s="1"/>
      <c r="C204" s="1"/>
      <c r="D204" s="1"/>
      <c r="E204" s="1"/>
      <c r="F204" s="1"/>
      <c r="G204" s="1"/>
      <c r="H204" s="1"/>
      <c r="I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x14ac:dyDescent="0.25">
      <c r="A205" s="35"/>
      <c r="B205" s="1"/>
      <c r="C205" s="1"/>
      <c r="D205" s="1"/>
      <c r="E205" s="1"/>
      <c r="F205" s="1"/>
      <c r="G205" s="1"/>
      <c r="H205" s="1"/>
      <c r="I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x14ac:dyDescent="0.25">
      <c r="A206" s="35"/>
      <c r="B206" s="1"/>
      <c r="C206" s="1"/>
      <c r="D206" s="1"/>
      <c r="E206" s="1"/>
      <c r="F206" s="1"/>
      <c r="G206" s="1"/>
      <c r="H206" s="1"/>
      <c r="I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x14ac:dyDescent="0.25">
      <c r="A207" s="35"/>
      <c r="B207" s="1"/>
      <c r="C207" s="1"/>
      <c r="D207" s="1"/>
      <c r="E207" s="1"/>
      <c r="F207" s="1"/>
      <c r="G207" s="1"/>
      <c r="H207" s="1"/>
      <c r="I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x14ac:dyDescent="0.25">
      <c r="A208" s="35"/>
      <c r="B208" s="1"/>
      <c r="C208" s="1"/>
      <c r="D208" s="1"/>
      <c r="E208" s="1"/>
      <c r="F208" s="1"/>
      <c r="G208" s="1"/>
      <c r="H208" s="1"/>
      <c r="I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x14ac:dyDescent="0.25">
      <c r="A209" s="35"/>
      <c r="B209" s="1"/>
      <c r="C209" s="1"/>
      <c r="D209" s="1"/>
      <c r="E209" s="1"/>
      <c r="F209" s="1"/>
      <c r="G209" s="1"/>
      <c r="H209" s="1"/>
      <c r="I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x14ac:dyDescent="0.25">
      <c r="A210" s="35"/>
      <c r="B210" s="1"/>
      <c r="C210" s="1"/>
      <c r="D210" s="1"/>
      <c r="E210" s="1"/>
      <c r="F210" s="1"/>
      <c r="G210" s="1"/>
      <c r="H210" s="1"/>
      <c r="I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x14ac:dyDescent="0.25">
      <c r="A211" s="35"/>
      <c r="B211" s="1"/>
      <c r="C211" s="1"/>
      <c r="D211" s="1"/>
      <c r="E211" s="1"/>
      <c r="F211" s="1"/>
      <c r="G211" s="1"/>
      <c r="H211" s="1"/>
      <c r="I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 x14ac:dyDescent="0.25">
      <c r="A212" s="35"/>
      <c r="B212" s="1"/>
      <c r="C212" s="1"/>
      <c r="D212" s="1"/>
      <c r="E212" s="1"/>
      <c r="F212" s="1"/>
      <c r="G212" s="1"/>
      <c r="H212" s="1"/>
      <c r="I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31" x14ac:dyDescent="0.25">
      <c r="A213" s="35"/>
      <c r="B213" s="1"/>
      <c r="C213" s="1"/>
      <c r="D213" s="1"/>
      <c r="E213" s="1"/>
      <c r="F213" s="1"/>
      <c r="G213" s="1"/>
      <c r="H213" s="1"/>
      <c r="I213" s="1"/>
    </row>
    <row r="214" spans="1:31" x14ac:dyDescent="0.25">
      <c r="A214" s="35"/>
      <c r="B214" s="1"/>
      <c r="C214" s="1"/>
      <c r="D214" s="1"/>
      <c r="E214" s="1"/>
      <c r="F214" s="1"/>
      <c r="G214" s="1"/>
      <c r="H214" s="1"/>
      <c r="I214" s="1"/>
    </row>
    <row r="215" spans="1:31" x14ac:dyDescent="0.25">
      <c r="A215" s="35"/>
      <c r="B215" s="1"/>
      <c r="C215" s="1"/>
      <c r="D215" s="1"/>
      <c r="E215" s="1"/>
      <c r="F215" s="1"/>
      <c r="G215" s="1"/>
      <c r="H215" s="1"/>
      <c r="I215" s="1"/>
    </row>
    <row r="216" spans="1:31" x14ac:dyDescent="0.25">
      <c r="A216" s="35"/>
      <c r="B216" s="1"/>
      <c r="C216" s="1"/>
      <c r="D216" s="1"/>
      <c r="E216" s="1"/>
      <c r="F216" s="1"/>
      <c r="G216" s="1"/>
      <c r="H216" s="1"/>
      <c r="I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x14ac:dyDescent="0.25">
      <c r="A217" s="35"/>
      <c r="B217" s="1"/>
      <c r="C217" s="1"/>
      <c r="D217" s="1"/>
      <c r="E217" s="1"/>
      <c r="F217" s="1"/>
      <c r="G217" s="1"/>
      <c r="H217" s="1"/>
      <c r="I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x14ac:dyDescent="0.25">
      <c r="A218" s="35"/>
      <c r="B218" s="1"/>
      <c r="C218" s="1"/>
      <c r="D218" s="1"/>
      <c r="E218" s="1"/>
      <c r="F218" s="1"/>
      <c r="G218" s="1"/>
      <c r="H218" s="1"/>
      <c r="I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x14ac:dyDescent="0.25">
      <c r="A219" s="35"/>
      <c r="B219" s="1"/>
      <c r="C219" s="1"/>
      <c r="D219" s="1"/>
      <c r="E219" s="1"/>
      <c r="F219" s="1"/>
      <c r="G219" s="1"/>
      <c r="H219" s="1"/>
      <c r="I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x14ac:dyDescent="0.25">
      <c r="A220" s="35"/>
      <c r="B220" s="1"/>
      <c r="C220" s="1"/>
      <c r="D220" s="1"/>
      <c r="E220" s="1"/>
      <c r="F220" s="1"/>
      <c r="G220" s="1"/>
      <c r="H220" s="1"/>
      <c r="I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x14ac:dyDescent="0.25">
      <c r="A221" s="35"/>
      <c r="B221" s="1"/>
      <c r="C221" s="1"/>
      <c r="D221" s="1"/>
      <c r="E221" s="1"/>
      <c r="F221" s="1"/>
      <c r="G221" s="1"/>
      <c r="H221" s="1"/>
      <c r="I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 x14ac:dyDescent="0.25">
      <c r="A222" s="35"/>
      <c r="B222" s="1"/>
      <c r="C222" s="1"/>
      <c r="D222" s="1"/>
      <c r="E222" s="1"/>
      <c r="F222" s="1"/>
      <c r="G222" s="1"/>
      <c r="H222" s="1"/>
      <c r="I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 x14ac:dyDescent="0.25">
      <c r="A223" s="35"/>
      <c r="B223" s="1"/>
      <c r="C223" s="1"/>
      <c r="D223" s="1"/>
      <c r="E223" s="1"/>
      <c r="F223" s="1"/>
      <c r="G223" s="1"/>
      <c r="H223" s="1"/>
      <c r="I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 x14ac:dyDescent="0.25">
      <c r="A224" s="1"/>
      <c r="B224" s="1"/>
      <c r="C224" s="1"/>
      <c r="D224" s="1"/>
      <c r="E224" s="1"/>
      <c r="F224" s="1"/>
      <c r="G224" s="1"/>
      <c r="H224" s="1"/>
      <c r="I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x14ac:dyDescent="0.25">
      <c r="F225" s="1"/>
      <c r="G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 x14ac:dyDescent="0.25"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 x14ac:dyDescent="0.25">
      <c r="A227" s="57" t="s">
        <v>59</v>
      </c>
      <c r="B227" s="57" t="s">
        <v>36</v>
      </c>
      <c r="C227" s="57" t="s">
        <v>37</v>
      </c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x14ac:dyDescent="0.25">
      <c r="A228" t="s">
        <v>61</v>
      </c>
      <c r="B228" t="s">
        <v>13</v>
      </c>
      <c r="C228" s="46" t="e">
        <f>IF(ISBLANK($B228),"",VLOOKUP($B228,$D$8:$D$9,2,FALSE))</f>
        <v>#N/A</v>
      </c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ht="30" x14ac:dyDescent="0.25">
      <c r="A229" s="57" t="s">
        <v>6</v>
      </c>
      <c r="B229" s="57" t="s">
        <v>7</v>
      </c>
      <c r="C229" s="57" t="s">
        <v>8</v>
      </c>
      <c r="D229" s="57" t="s">
        <v>9</v>
      </c>
      <c r="E229" s="57" t="s">
        <v>10</v>
      </c>
      <c r="F229" s="57" t="s">
        <v>11</v>
      </c>
      <c r="G229" s="57" t="s">
        <v>20</v>
      </c>
      <c r="H229" s="57" t="s">
        <v>21</v>
      </c>
      <c r="I229" s="57" t="s">
        <v>22</v>
      </c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x14ac:dyDescent="0.25">
      <c r="A230" s="1"/>
      <c r="B230" s="1"/>
      <c r="C230" s="1"/>
      <c r="D230" s="1"/>
      <c r="E230" s="1"/>
      <c r="H230" s="1"/>
      <c r="I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x14ac:dyDescent="0.25">
      <c r="A231" s="1"/>
      <c r="B231" s="1"/>
      <c r="C231" s="1"/>
      <c r="D231" s="1"/>
      <c r="E231" s="1"/>
      <c r="F231" s="1"/>
      <c r="G231" s="1"/>
      <c r="H231" s="1"/>
      <c r="I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x14ac:dyDescent="0.25">
      <c r="A232" s="1"/>
      <c r="B232" s="1"/>
      <c r="C232" s="1"/>
      <c r="D232" s="1"/>
      <c r="E232" s="1"/>
      <c r="F232" s="1"/>
      <c r="G232" s="1"/>
      <c r="H232" s="1"/>
      <c r="I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x14ac:dyDescent="0.25">
      <c r="A233" s="1"/>
      <c r="B233" s="1"/>
      <c r="C233" s="1"/>
      <c r="D233" s="1"/>
      <c r="E233" s="1"/>
      <c r="F233" s="1"/>
      <c r="G233" s="1"/>
      <c r="H233" s="1"/>
      <c r="I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x14ac:dyDescent="0.25">
      <c r="A234" s="1"/>
      <c r="B234" s="1"/>
      <c r="C234" s="1"/>
      <c r="D234" s="1"/>
      <c r="E234" s="1"/>
      <c r="F234" s="1"/>
      <c r="G234" s="1"/>
      <c r="H234" s="1"/>
      <c r="I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x14ac:dyDescent="0.25">
      <c r="A235" s="1"/>
      <c r="B235" s="1"/>
      <c r="C235" s="1"/>
      <c r="D235" s="1"/>
      <c r="E235" s="1"/>
      <c r="F235" s="1"/>
      <c r="G235" s="1"/>
      <c r="H235" s="1"/>
      <c r="I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x14ac:dyDescent="0.25">
      <c r="A236" s="1"/>
      <c r="B236" s="1"/>
      <c r="C236" s="1"/>
      <c r="D236" s="1"/>
      <c r="E236" s="1"/>
      <c r="F236" s="1"/>
      <c r="G236" s="1"/>
      <c r="H236" s="1"/>
      <c r="I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x14ac:dyDescent="0.25">
      <c r="A237" s="1"/>
      <c r="B237" s="1"/>
      <c r="C237" s="1"/>
      <c r="D237" s="1"/>
      <c r="E237" s="1"/>
      <c r="F237" s="1"/>
      <c r="G237" s="1"/>
      <c r="H237" s="1"/>
      <c r="I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 x14ac:dyDescent="0.25">
      <c r="A238" s="1"/>
      <c r="B238" s="1"/>
      <c r="C238" s="1"/>
      <c r="D238" s="1"/>
      <c r="E238" s="1"/>
      <c r="F238" s="1"/>
      <c r="G238" s="1"/>
      <c r="H238" s="1"/>
      <c r="I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 x14ac:dyDescent="0.25">
      <c r="A239" s="1"/>
      <c r="B239" s="1"/>
      <c r="C239" s="1"/>
      <c r="D239" s="1"/>
      <c r="E239" s="1"/>
      <c r="F239" s="1"/>
      <c r="G239" s="1"/>
      <c r="H239" s="1"/>
      <c r="I239" s="1"/>
    </row>
    <row r="240" spans="1:31" x14ac:dyDescent="0.25">
      <c r="A240" s="1"/>
      <c r="B240" s="1"/>
      <c r="C240" s="1"/>
      <c r="D240" s="1"/>
      <c r="E240" s="1"/>
      <c r="F240" s="1"/>
      <c r="G240" s="1"/>
      <c r="H240" s="1"/>
      <c r="I240" s="1"/>
    </row>
    <row r="241" spans="1:31" x14ac:dyDescent="0.25">
      <c r="A241" s="1"/>
      <c r="B241" s="1"/>
      <c r="C241" s="1"/>
      <c r="D241" s="1"/>
      <c r="E241" s="1"/>
      <c r="F241" s="1"/>
      <c r="G241" s="1"/>
      <c r="H241" s="1"/>
      <c r="I241" s="1"/>
    </row>
    <row r="242" spans="1:31" x14ac:dyDescent="0.25">
      <c r="A242" s="1"/>
      <c r="B242" s="1"/>
      <c r="C242" s="1"/>
      <c r="D242" s="1"/>
      <c r="E242" s="1"/>
      <c r="F242" s="1"/>
      <c r="G242" s="1"/>
      <c r="H242" s="1"/>
      <c r="I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 x14ac:dyDescent="0.25">
      <c r="A243" s="1"/>
      <c r="B243" s="1"/>
      <c r="C243" s="1"/>
      <c r="D243" s="1"/>
      <c r="E243" s="1"/>
      <c r="F243" s="1"/>
      <c r="G243" s="1"/>
      <c r="H243" s="1"/>
      <c r="I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 x14ac:dyDescent="0.25">
      <c r="A244" s="1"/>
      <c r="B244" s="1"/>
      <c r="C244" s="1"/>
      <c r="D244" s="1"/>
      <c r="E244" s="1"/>
      <c r="F244" s="1"/>
      <c r="G244" s="1"/>
      <c r="H244" s="1"/>
      <c r="I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 x14ac:dyDescent="0.25">
      <c r="A245" s="1"/>
      <c r="B245" s="1"/>
      <c r="C245" s="1"/>
      <c r="D245" s="1"/>
      <c r="E245" s="1"/>
      <c r="F245" s="1"/>
      <c r="G245" s="1"/>
      <c r="H245" s="1"/>
      <c r="I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 x14ac:dyDescent="0.25">
      <c r="A246" s="1"/>
      <c r="B246" s="1"/>
      <c r="C246" s="1"/>
      <c r="D246" s="1"/>
      <c r="E246" s="1"/>
      <c r="F246" s="1"/>
      <c r="G246" s="1"/>
      <c r="H246" s="1"/>
      <c r="I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 x14ac:dyDescent="0.25">
      <c r="A247" s="1"/>
      <c r="B247" s="1"/>
      <c r="C247" s="1"/>
      <c r="D247" s="1"/>
      <c r="E247" s="1"/>
      <c r="F247" s="1"/>
      <c r="G247" s="1"/>
      <c r="H247" s="1"/>
      <c r="I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 x14ac:dyDescent="0.25">
      <c r="A248" s="1"/>
      <c r="B248" s="1"/>
      <c r="C248" s="1"/>
      <c r="D248" s="1"/>
      <c r="E248" s="1"/>
      <c r="F248" s="1"/>
      <c r="G248" s="1"/>
      <c r="H248" s="1"/>
      <c r="I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 x14ac:dyDescent="0.25">
      <c r="A249" s="1"/>
      <c r="B249" s="1"/>
      <c r="C249" s="1"/>
      <c r="D249" s="1"/>
      <c r="E249" s="1"/>
      <c r="F249" s="1"/>
      <c r="G249" s="1"/>
      <c r="H249" s="1"/>
      <c r="I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 x14ac:dyDescent="0.25">
      <c r="A250" s="1"/>
      <c r="B250" s="1"/>
      <c r="C250" s="1"/>
      <c r="D250" s="1"/>
      <c r="E250" s="1"/>
      <c r="F250" s="1"/>
      <c r="G250" s="1"/>
      <c r="H250" s="1"/>
      <c r="I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 x14ac:dyDescent="0.25">
      <c r="A251" s="1"/>
      <c r="B251" s="1"/>
      <c r="C251" s="1"/>
      <c r="D251" s="1"/>
      <c r="E251" s="1"/>
      <c r="F251" s="1"/>
      <c r="G251" s="1"/>
      <c r="H251" s="1"/>
      <c r="I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x14ac:dyDescent="0.25">
      <c r="A252" s="1"/>
      <c r="B252" s="1"/>
      <c r="C252" s="1"/>
      <c r="D252" s="1"/>
      <c r="E252" s="1"/>
      <c r="F252" s="1"/>
      <c r="G252" s="1"/>
      <c r="H252" s="1"/>
      <c r="I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x14ac:dyDescent="0.25">
      <c r="A253" s="1"/>
      <c r="B253" s="1"/>
      <c r="C253" s="1"/>
      <c r="D253" s="1"/>
      <c r="E253" s="1"/>
      <c r="F253" s="1"/>
      <c r="G253" s="1"/>
      <c r="H253" s="1"/>
      <c r="I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x14ac:dyDescent="0.25">
      <c r="A254" s="1"/>
      <c r="B254" s="1"/>
      <c r="C254" s="1"/>
      <c r="D254" s="1"/>
      <c r="E254" s="1"/>
      <c r="F254" s="1"/>
      <c r="G254" s="1"/>
      <c r="H254" s="1"/>
      <c r="I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x14ac:dyDescent="0.25">
      <c r="A255" s="1"/>
      <c r="B255" s="1"/>
      <c r="C255" s="1"/>
      <c r="D255" s="1"/>
      <c r="E255" s="1"/>
      <c r="F255" s="1"/>
      <c r="G255" s="1"/>
      <c r="H255" s="1"/>
      <c r="I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x14ac:dyDescent="0.25">
      <c r="A256" s="1"/>
      <c r="B256" s="1"/>
      <c r="C256" s="1"/>
      <c r="D256" s="1"/>
      <c r="E256" s="1"/>
      <c r="F256" s="1"/>
      <c r="G256" s="1"/>
      <c r="H256" s="1"/>
      <c r="I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x14ac:dyDescent="0.25">
      <c r="A257" s="1"/>
      <c r="B257" s="1"/>
      <c r="C257" s="1"/>
      <c r="D257" s="1"/>
      <c r="E257" s="1"/>
      <c r="F257" s="1"/>
      <c r="G257" s="1"/>
      <c r="H257" s="1"/>
      <c r="I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x14ac:dyDescent="0.25">
      <c r="A258" s="1"/>
      <c r="B258" s="1"/>
      <c r="C258" s="1"/>
      <c r="D258" s="1"/>
      <c r="E258" s="1"/>
      <c r="F258" s="1"/>
      <c r="G258" s="1"/>
      <c r="H258" s="1"/>
      <c r="I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x14ac:dyDescent="0.25">
      <c r="A259" s="1"/>
      <c r="B259" s="1"/>
      <c r="C259" s="1"/>
      <c r="D259" s="1"/>
      <c r="E259" s="1"/>
      <c r="F259" s="1"/>
      <c r="G259" s="1"/>
      <c r="H259" s="1"/>
      <c r="I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x14ac:dyDescent="0.25">
      <c r="A260" s="1"/>
      <c r="B260" s="1"/>
      <c r="C260" s="1"/>
      <c r="D260" s="1"/>
      <c r="E260" s="1"/>
      <c r="F260" s="1"/>
      <c r="G260" s="1"/>
      <c r="H260" s="1"/>
      <c r="I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 x14ac:dyDescent="0.25">
      <c r="A261" s="1"/>
      <c r="B261" s="1"/>
      <c r="C261" s="1"/>
      <c r="D261" s="1"/>
      <c r="E261" s="1"/>
      <c r="F261" s="1"/>
      <c r="G261" s="1"/>
      <c r="H261" s="1"/>
      <c r="I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 x14ac:dyDescent="0.25">
      <c r="A262" s="1"/>
      <c r="B262" s="1"/>
      <c r="C262" s="1"/>
      <c r="D262" s="1"/>
      <c r="E262" s="1"/>
      <c r="F262" s="1"/>
      <c r="G262" s="1"/>
      <c r="H262" s="1"/>
      <c r="I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 x14ac:dyDescent="0.25">
      <c r="A263" s="1"/>
      <c r="B263" s="1"/>
      <c r="C263" s="1"/>
      <c r="D263" s="1"/>
      <c r="E263" s="1"/>
      <c r="F263" s="1"/>
      <c r="G263" s="1"/>
      <c r="H263" s="1"/>
      <c r="I263" s="1"/>
    </row>
    <row r="264" spans="1:31" x14ac:dyDescent="0.25">
      <c r="A264" s="1"/>
      <c r="B264" s="1"/>
      <c r="C264" s="1"/>
      <c r="D264" s="1"/>
      <c r="E264" s="1"/>
      <c r="F264" s="1"/>
      <c r="G264" s="1"/>
      <c r="H264" s="1"/>
      <c r="I264" s="1"/>
    </row>
    <row r="265" spans="1:31" x14ac:dyDescent="0.25">
      <c r="A265" s="1"/>
      <c r="B265" s="1"/>
      <c r="C265" s="1"/>
      <c r="D265" s="1"/>
      <c r="E265" s="1"/>
      <c r="F265" s="1"/>
      <c r="G265" s="1"/>
      <c r="H265" s="1"/>
      <c r="I265" s="1"/>
    </row>
    <row r="266" spans="1:31" x14ac:dyDescent="0.25">
      <c r="A266" s="1"/>
      <c r="B266" s="1"/>
      <c r="C266" s="1"/>
      <c r="D266" s="1"/>
      <c r="E266" s="1"/>
      <c r="F266" s="1"/>
      <c r="G266" s="1"/>
      <c r="H266" s="1"/>
      <c r="I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x14ac:dyDescent="0.25">
      <c r="A267" s="1"/>
      <c r="B267" s="1"/>
      <c r="C267" s="1"/>
      <c r="D267" s="1"/>
      <c r="E267" s="1"/>
      <c r="F267" s="1"/>
      <c r="G267" s="1"/>
      <c r="H267" s="1"/>
      <c r="I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x14ac:dyDescent="0.25">
      <c r="A268" s="1"/>
      <c r="B268" s="1"/>
      <c r="C268" s="1"/>
      <c r="D268" s="1"/>
      <c r="E268" s="1"/>
      <c r="F268" s="1"/>
      <c r="G268" s="1"/>
      <c r="H268" s="1"/>
      <c r="I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 x14ac:dyDescent="0.25">
      <c r="A269" s="1"/>
      <c r="B269" s="1"/>
      <c r="C269" s="1"/>
      <c r="D269" s="1"/>
      <c r="E269" s="1"/>
      <c r="F269" s="1"/>
      <c r="G269" s="1"/>
      <c r="H269" s="1"/>
      <c r="I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31" x14ac:dyDescent="0.25">
      <c r="A270" s="1"/>
      <c r="B270" s="1"/>
      <c r="C270" s="1"/>
      <c r="D270" s="1"/>
      <c r="E270" s="1"/>
      <c r="F270" s="1"/>
      <c r="G270" s="1"/>
      <c r="H270" s="1"/>
      <c r="I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31" x14ac:dyDescent="0.25">
      <c r="F271" s="1"/>
      <c r="G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1:31" x14ac:dyDescent="0.25"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1:31" x14ac:dyDescent="0.25"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1:31" x14ac:dyDescent="0.25">
      <c r="A274" s="1"/>
      <c r="B274" s="1"/>
      <c r="C274" s="1"/>
      <c r="D274" s="1"/>
      <c r="E274" s="1"/>
      <c r="H274" s="1"/>
      <c r="I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x14ac:dyDescent="0.25">
      <c r="A275" s="1"/>
      <c r="B275" s="1"/>
      <c r="C275" s="1"/>
      <c r="D275" s="1"/>
      <c r="E275" s="1"/>
      <c r="F275" s="1"/>
      <c r="G275" s="1"/>
      <c r="H275" s="1"/>
      <c r="I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x14ac:dyDescent="0.25">
      <c r="A276" s="1"/>
      <c r="B276" s="1"/>
      <c r="C276" s="1"/>
      <c r="D276" s="1"/>
      <c r="E276" s="1"/>
      <c r="F276" s="1"/>
      <c r="G276" s="1"/>
      <c r="H276" s="1"/>
      <c r="I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x14ac:dyDescent="0.25">
      <c r="A277" s="1"/>
      <c r="B277" s="1"/>
      <c r="C277" s="1"/>
      <c r="D277" s="1"/>
      <c r="E277" s="1"/>
      <c r="F277" s="1"/>
      <c r="G277" s="1"/>
      <c r="H277" s="1"/>
      <c r="I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x14ac:dyDescent="0.25">
      <c r="A278" s="1"/>
      <c r="B278" s="1"/>
      <c r="C278" s="1"/>
      <c r="D278" s="1"/>
      <c r="E278" s="1"/>
      <c r="F278" s="1"/>
      <c r="G278" s="1"/>
      <c r="H278" s="1"/>
      <c r="I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x14ac:dyDescent="0.25">
      <c r="A279" s="1"/>
      <c r="B279" s="1"/>
      <c r="C279" s="1"/>
      <c r="D279" s="1"/>
      <c r="E279" s="1"/>
      <c r="F279" s="1"/>
      <c r="G279" s="1"/>
      <c r="H279" s="1"/>
      <c r="I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x14ac:dyDescent="0.25">
      <c r="A280" s="1"/>
      <c r="B280" s="1"/>
      <c r="C280" s="1"/>
      <c r="D280" s="1"/>
      <c r="E280" s="1"/>
      <c r="F280" s="1"/>
      <c r="G280" s="1"/>
      <c r="H280" s="1"/>
      <c r="I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x14ac:dyDescent="0.25">
      <c r="A281" s="1"/>
      <c r="B281" s="1"/>
      <c r="C281" s="1"/>
      <c r="D281" s="1"/>
      <c r="E281" s="1"/>
      <c r="F281" s="1"/>
      <c r="G281" s="1"/>
      <c r="H281" s="1"/>
      <c r="I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x14ac:dyDescent="0.25">
      <c r="A282" s="1"/>
      <c r="B282" s="1"/>
      <c r="C282" s="1"/>
      <c r="D282" s="1"/>
      <c r="E282" s="1"/>
      <c r="F282" s="1"/>
      <c r="G282" s="1"/>
      <c r="H282" s="1"/>
      <c r="I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x14ac:dyDescent="0.25">
      <c r="A283" s="1"/>
      <c r="B283" s="1"/>
      <c r="C283" s="1"/>
      <c r="D283" s="1"/>
      <c r="E283" s="1"/>
      <c r="F283" s="1"/>
      <c r="G283" s="1"/>
      <c r="H283" s="1"/>
      <c r="I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x14ac:dyDescent="0.25">
      <c r="A284" s="1"/>
      <c r="B284" s="1"/>
      <c r="C284" s="1"/>
      <c r="D284" s="1"/>
      <c r="E284" s="1"/>
      <c r="F284" s="1"/>
      <c r="G284" s="1"/>
      <c r="H284" s="1"/>
      <c r="I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x14ac:dyDescent="0.25">
      <c r="A285" s="1"/>
      <c r="B285" s="1"/>
      <c r="C285" s="1"/>
      <c r="D285" s="1"/>
      <c r="E285" s="1"/>
      <c r="F285" s="1"/>
      <c r="G285" s="1"/>
      <c r="H285" s="1"/>
      <c r="I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x14ac:dyDescent="0.25">
      <c r="A286" s="1"/>
      <c r="B286" s="1"/>
      <c r="C286" s="1"/>
      <c r="D286" s="1"/>
      <c r="E286" s="1"/>
      <c r="F286" s="1"/>
      <c r="G286" s="1"/>
      <c r="H286" s="1"/>
      <c r="I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x14ac:dyDescent="0.25">
      <c r="A287" s="1"/>
      <c r="B287" s="1"/>
      <c r="C287" s="1"/>
      <c r="D287" s="1"/>
      <c r="E287" s="1"/>
      <c r="F287" s="1"/>
      <c r="G287" s="1"/>
      <c r="H287" s="1"/>
      <c r="I287" s="1"/>
    </row>
    <row r="288" spans="1:31" x14ac:dyDescent="0.25">
      <c r="A288" s="1"/>
      <c r="B288" s="1"/>
      <c r="C288" s="1"/>
      <c r="D288" s="1"/>
      <c r="E288" s="1"/>
      <c r="F288" s="1"/>
      <c r="G288" s="1"/>
      <c r="H288" s="1"/>
      <c r="I288" s="1"/>
    </row>
    <row r="289" spans="1:31" x14ac:dyDescent="0.25">
      <c r="A289" s="1"/>
      <c r="B289" s="1"/>
      <c r="C289" s="1"/>
      <c r="D289" s="1"/>
      <c r="E289" s="1"/>
      <c r="F289" s="1"/>
      <c r="G289" s="1"/>
      <c r="H289" s="1"/>
      <c r="I289" s="1"/>
    </row>
    <row r="290" spans="1:31" x14ac:dyDescent="0.25">
      <c r="A290" s="1"/>
      <c r="B290" s="1"/>
      <c r="C290" s="1"/>
      <c r="D290" s="1"/>
      <c r="E290" s="1"/>
      <c r="F290" s="1"/>
      <c r="G290" s="1"/>
      <c r="H290" s="1"/>
      <c r="I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x14ac:dyDescent="0.25">
      <c r="A291" s="1"/>
      <c r="B291" s="1"/>
      <c r="C291" s="1"/>
      <c r="D291" s="1"/>
      <c r="E291" s="1"/>
      <c r="F291" s="1"/>
      <c r="G291" s="1"/>
      <c r="H291" s="1"/>
      <c r="I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 x14ac:dyDescent="0.25">
      <c r="A292" s="1"/>
      <c r="B292" s="1"/>
      <c r="C292" s="1"/>
      <c r="D292" s="1"/>
      <c r="E292" s="1"/>
      <c r="F292" s="1"/>
      <c r="G292" s="1"/>
      <c r="H292" s="1"/>
      <c r="I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 x14ac:dyDescent="0.25">
      <c r="A293" s="1"/>
      <c r="B293" s="1"/>
      <c r="C293" s="1"/>
      <c r="D293" s="1"/>
      <c r="E293" s="1"/>
      <c r="F293" s="1"/>
      <c r="G293" s="1"/>
      <c r="H293" s="1"/>
      <c r="I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x14ac:dyDescent="0.25">
      <c r="A294" s="1"/>
      <c r="B294" s="1"/>
      <c r="C294" s="1"/>
      <c r="D294" s="1"/>
      <c r="E294" s="1"/>
      <c r="F294" s="1"/>
      <c r="G294" s="1"/>
      <c r="H294" s="1"/>
      <c r="I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x14ac:dyDescent="0.25">
      <c r="F295" s="1"/>
      <c r="G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x14ac:dyDescent="0.25"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x14ac:dyDescent="0.25"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x14ac:dyDescent="0.25">
      <c r="A298" s="1"/>
      <c r="B298" s="1"/>
      <c r="C298" s="1"/>
      <c r="D298" s="1"/>
      <c r="E298" s="1"/>
      <c r="H298" s="1"/>
      <c r="I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x14ac:dyDescent="0.25">
      <c r="A299" s="1"/>
      <c r="B299" s="1"/>
      <c r="C299" s="1"/>
      <c r="D299" s="1"/>
      <c r="E299" s="1"/>
      <c r="F299" s="1"/>
      <c r="G299" s="1"/>
      <c r="H299" s="1"/>
      <c r="I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x14ac:dyDescent="0.25">
      <c r="A300" s="1"/>
      <c r="B300" s="1"/>
      <c r="C300" s="1"/>
      <c r="D300" s="1"/>
      <c r="E300" s="1"/>
      <c r="F300" s="1"/>
      <c r="G300" s="1"/>
      <c r="H300" s="1"/>
      <c r="I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</row>
    <row r="301" spans="1:31" x14ac:dyDescent="0.25">
      <c r="A301" s="1"/>
      <c r="B301" s="1"/>
      <c r="C301" s="1"/>
      <c r="D301" s="1"/>
      <c r="E301" s="1"/>
      <c r="F301" s="1"/>
      <c r="G301" s="1"/>
      <c r="H301" s="1"/>
      <c r="I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</row>
    <row r="302" spans="1:31" x14ac:dyDescent="0.25">
      <c r="A302" s="1"/>
      <c r="B302" s="1"/>
      <c r="C302" s="1"/>
      <c r="D302" s="1"/>
      <c r="E302" s="1"/>
      <c r="F302" s="1"/>
      <c r="G302" s="1"/>
      <c r="H302" s="1"/>
      <c r="I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</row>
    <row r="303" spans="1:31" x14ac:dyDescent="0.25">
      <c r="A303" s="1"/>
      <c r="B303" s="1"/>
      <c r="C303" s="1"/>
      <c r="D303" s="1"/>
      <c r="E303" s="1"/>
      <c r="F303" s="1"/>
      <c r="G303" s="1"/>
      <c r="H303" s="1"/>
      <c r="I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</row>
    <row r="304" spans="1:31" x14ac:dyDescent="0.25">
      <c r="A304" s="1"/>
      <c r="B304" s="1"/>
      <c r="C304" s="1"/>
      <c r="D304" s="1"/>
      <c r="E304" s="1"/>
      <c r="F304" s="1"/>
      <c r="G304" s="1"/>
      <c r="H304" s="1"/>
      <c r="I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 x14ac:dyDescent="0.25">
      <c r="A305" s="1"/>
      <c r="B305" s="1"/>
      <c r="C305" s="1"/>
      <c r="D305" s="1"/>
      <c r="E305" s="1"/>
      <c r="F305" s="1"/>
      <c r="G305" s="1"/>
      <c r="H305" s="1"/>
      <c r="I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 x14ac:dyDescent="0.25">
      <c r="A306" s="1"/>
      <c r="B306" s="1"/>
      <c r="C306" s="1"/>
      <c r="D306" s="1"/>
      <c r="E306" s="1"/>
      <c r="F306" s="1"/>
      <c r="G306" s="1"/>
      <c r="H306" s="1"/>
      <c r="I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x14ac:dyDescent="0.25">
      <c r="A307" s="1"/>
      <c r="B307" s="1"/>
      <c r="C307" s="1"/>
      <c r="D307" s="1"/>
      <c r="E307" s="1"/>
      <c r="F307" s="1"/>
      <c r="G307" s="1"/>
      <c r="H307" s="1"/>
      <c r="I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x14ac:dyDescent="0.25">
      <c r="A308" s="1"/>
      <c r="B308" s="1"/>
      <c r="C308" s="1"/>
      <c r="D308" s="1"/>
      <c r="E308" s="1"/>
      <c r="F308" s="1"/>
      <c r="G308" s="1"/>
      <c r="H308" s="1"/>
      <c r="I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 x14ac:dyDescent="0.25">
      <c r="A309" s="1"/>
      <c r="B309" s="1"/>
      <c r="C309" s="1"/>
      <c r="D309" s="1"/>
      <c r="E309" s="1"/>
      <c r="F309" s="1"/>
      <c r="G309" s="1"/>
      <c r="H309" s="1"/>
      <c r="I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 x14ac:dyDescent="0.25">
      <c r="A310" s="1"/>
      <c r="B310" s="1"/>
      <c r="C310" s="1"/>
      <c r="D310" s="1"/>
      <c r="E310" s="1"/>
      <c r="F310" s="1"/>
      <c r="G310" s="1"/>
      <c r="H310" s="1"/>
      <c r="I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x14ac:dyDescent="0.25">
      <c r="A311" s="1"/>
      <c r="B311" s="1"/>
      <c r="C311" s="1"/>
      <c r="D311" s="1"/>
      <c r="E311" s="1"/>
      <c r="F311" s="1"/>
      <c r="G311" s="1"/>
      <c r="H311" s="1"/>
      <c r="I311" s="1"/>
    </row>
    <row r="312" spans="1:31" x14ac:dyDescent="0.25">
      <c r="A312" s="1"/>
      <c r="B312" s="1"/>
      <c r="C312" s="1"/>
      <c r="D312" s="1"/>
      <c r="E312" s="1"/>
      <c r="F312" s="1"/>
      <c r="G312" s="1"/>
      <c r="H312" s="1"/>
      <c r="I312" s="1"/>
    </row>
    <row r="313" spans="1:31" x14ac:dyDescent="0.25">
      <c r="A313" s="1"/>
      <c r="B313" s="1"/>
      <c r="C313" s="1"/>
      <c r="D313" s="1"/>
      <c r="E313" s="1"/>
      <c r="F313" s="1"/>
      <c r="G313" s="1"/>
      <c r="H313" s="1"/>
      <c r="I313" s="1"/>
    </row>
    <row r="314" spans="1:31" x14ac:dyDescent="0.25">
      <c r="A314" s="1"/>
      <c r="B314" s="1"/>
      <c r="C314" s="1"/>
      <c r="D314" s="1"/>
      <c r="E314" s="1"/>
      <c r="F314" s="1"/>
      <c r="G314" s="1"/>
      <c r="H314" s="1"/>
      <c r="I314" s="1"/>
    </row>
    <row r="315" spans="1:31" x14ac:dyDescent="0.25">
      <c r="A315" s="1"/>
      <c r="B315" s="1"/>
      <c r="C315" s="1"/>
      <c r="D315" s="1"/>
      <c r="E315" s="1"/>
      <c r="F315" s="1"/>
      <c r="G315" s="1"/>
      <c r="H315" s="1"/>
      <c r="I315" s="1"/>
    </row>
    <row r="316" spans="1:31" x14ac:dyDescent="0.25">
      <c r="A316" s="1"/>
      <c r="B316" s="1"/>
      <c r="C316" s="1"/>
      <c r="D316" s="1"/>
      <c r="E316" s="1"/>
      <c r="F316" s="1"/>
      <c r="G316" s="1"/>
      <c r="H316" s="1"/>
      <c r="I316" s="1"/>
    </row>
    <row r="317" spans="1:31" x14ac:dyDescent="0.25">
      <c r="A317" s="1"/>
      <c r="B317" s="1"/>
      <c r="C317" s="1"/>
      <c r="D317" s="1"/>
      <c r="E317" s="1"/>
      <c r="F317" s="1"/>
      <c r="G317" s="1"/>
      <c r="H317" s="1"/>
      <c r="I317" s="1"/>
    </row>
    <row r="318" spans="1:31" x14ac:dyDescent="0.25">
      <c r="A318" s="1"/>
      <c r="B318" s="1"/>
      <c r="C318" s="1"/>
      <c r="D318" s="1"/>
      <c r="E318" s="1"/>
      <c r="F318" s="1"/>
      <c r="G318" s="1"/>
      <c r="H318" s="1"/>
      <c r="I318" s="1"/>
    </row>
    <row r="319" spans="1:31" x14ac:dyDescent="0.25">
      <c r="F319" s="1"/>
      <c r="G319" s="1"/>
    </row>
    <row r="322" spans="1:9" x14ac:dyDescent="0.25">
      <c r="A322" s="1"/>
      <c r="B322" s="1"/>
      <c r="C322" s="1"/>
      <c r="D322" s="1"/>
      <c r="E322" s="1"/>
      <c r="H322" s="1"/>
      <c r="I322" s="1"/>
    </row>
    <row r="323" spans="1:9" x14ac:dyDescent="0.25">
      <c r="A323" s="1"/>
      <c r="B323" s="1"/>
      <c r="C323" s="1"/>
      <c r="D323" s="1"/>
      <c r="E323" s="1"/>
      <c r="F323" s="1"/>
      <c r="G323" s="1"/>
      <c r="H323" s="1"/>
      <c r="I323" s="1"/>
    </row>
    <row r="324" spans="1:9" x14ac:dyDescent="0.25">
      <c r="A324" s="1"/>
      <c r="B324" s="1"/>
      <c r="C324" s="1"/>
      <c r="D324" s="1"/>
      <c r="E324" s="1"/>
      <c r="F324" s="1"/>
      <c r="G324" s="1"/>
      <c r="H324" s="1"/>
      <c r="I324" s="1"/>
    </row>
    <row r="325" spans="1:9" x14ac:dyDescent="0.25">
      <c r="A325" s="1"/>
      <c r="B325" s="1"/>
      <c r="C325" s="1"/>
      <c r="D325" s="1"/>
      <c r="E325" s="1"/>
      <c r="F325" s="1"/>
      <c r="G325" s="1"/>
      <c r="H325" s="1"/>
      <c r="I325" s="1"/>
    </row>
    <row r="326" spans="1:9" x14ac:dyDescent="0.25">
      <c r="A326" s="1"/>
      <c r="B326" s="1"/>
      <c r="C326" s="1"/>
      <c r="D326" s="1"/>
      <c r="E326" s="1"/>
      <c r="F326" s="1"/>
      <c r="G326" s="1"/>
      <c r="H326" s="1"/>
      <c r="I326" s="1"/>
    </row>
    <row r="327" spans="1:9" x14ac:dyDescent="0.25">
      <c r="A327" s="1"/>
      <c r="B327" s="1"/>
      <c r="C327" s="1"/>
      <c r="D327" s="1"/>
      <c r="E327" s="1"/>
      <c r="F327" s="1"/>
      <c r="G327" s="1"/>
      <c r="H327" s="1"/>
      <c r="I327" s="1"/>
    </row>
    <row r="328" spans="1:9" x14ac:dyDescent="0.25">
      <c r="A328" s="1"/>
      <c r="B328" s="1"/>
      <c r="C328" s="1"/>
      <c r="D328" s="1"/>
      <c r="E328" s="1"/>
      <c r="F328" s="1"/>
      <c r="G328" s="1"/>
      <c r="H328" s="1"/>
      <c r="I328" s="1"/>
    </row>
    <row r="329" spans="1:9" x14ac:dyDescent="0.25">
      <c r="A329" s="1"/>
      <c r="B329" s="1"/>
      <c r="C329" s="1"/>
      <c r="D329" s="1"/>
      <c r="E329" s="1"/>
      <c r="F329" s="1"/>
      <c r="G329" s="1"/>
      <c r="H329" s="1"/>
      <c r="I329" s="1"/>
    </row>
    <row r="330" spans="1:9" x14ac:dyDescent="0.25">
      <c r="A330" s="1"/>
      <c r="B330" s="1"/>
      <c r="C330" s="1"/>
      <c r="D330" s="1"/>
      <c r="E330" s="1"/>
      <c r="F330" s="1"/>
      <c r="G330" s="1"/>
      <c r="H330" s="1"/>
      <c r="I330" s="1"/>
    </row>
    <row r="331" spans="1:9" x14ac:dyDescent="0.25">
      <c r="A331" s="1"/>
      <c r="B331" s="1"/>
      <c r="C331" s="1"/>
      <c r="D331" s="1"/>
      <c r="E331" s="1"/>
      <c r="F331" s="1"/>
      <c r="G331" s="1"/>
      <c r="H331" s="1"/>
      <c r="I331" s="1"/>
    </row>
    <row r="332" spans="1:9" x14ac:dyDescent="0.25">
      <c r="A332" s="1"/>
      <c r="B332" s="1"/>
      <c r="C332" s="1"/>
      <c r="D332" s="1"/>
      <c r="E332" s="1"/>
      <c r="F332" s="1"/>
      <c r="G332" s="1"/>
      <c r="H332" s="1"/>
      <c r="I332" s="1"/>
    </row>
    <row r="333" spans="1:9" x14ac:dyDescent="0.25">
      <c r="A333" s="1"/>
      <c r="B333" s="1"/>
      <c r="C333" s="1"/>
      <c r="D333" s="1"/>
      <c r="E333" s="1"/>
      <c r="F333" s="1"/>
      <c r="G333" s="1"/>
      <c r="H333" s="1"/>
      <c r="I333" s="1"/>
    </row>
    <row r="334" spans="1:9" x14ac:dyDescent="0.25">
      <c r="A334" s="1"/>
      <c r="B334" s="1"/>
      <c r="C334" s="1"/>
      <c r="D334" s="1"/>
      <c r="E334" s="1"/>
      <c r="F334" s="1"/>
      <c r="G334" s="1"/>
      <c r="H334" s="1"/>
      <c r="I334" s="1"/>
    </row>
    <row r="335" spans="1:9" x14ac:dyDescent="0.25">
      <c r="A335" s="1"/>
      <c r="B335" s="1"/>
      <c r="C335" s="1"/>
      <c r="D335" s="1"/>
      <c r="E335" s="1"/>
      <c r="F335" s="1"/>
      <c r="G335" s="1"/>
      <c r="H335" s="1"/>
      <c r="I335" s="1"/>
    </row>
    <row r="336" spans="1:9" x14ac:dyDescent="0.25">
      <c r="A336" s="1"/>
      <c r="B336" s="1"/>
      <c r="C336" s="1"/>
      <c r="D336" s="1"/>
      <c r="E336" s="1"/>
      <c r="F336" s="1"/>
      <c r="G336" s="1"/>
      <c r="H336" s="1"/>
      <c r="I336" s="1"/>
    </row>
    <row r="337" spans="1:9" x14ac:dyDescent="0.25">
      <c r="A337" s="1"/>
      <c r="B337" s="1"/>
      <c r="C337" s="1"/>
      <c r="D337" s="1"/>
      <c r="E337" s="1"/>
      <c r="F337" s="1"/>
      <c r="G337" s="1"/>
      <c r="H337" s="1"/>
      <c r="I337" s="1"/>
    </row>
    <row r="338" spans="1:9" x14ac:dyDescent="0.25">
      <c r="A338" s="1"/>
      <c r="B338" s="1"/>
      <c r="C338" s="1"/>
      <c r="D338" s="1"/>
      <c r="E338" s="1"/>
      <c r="F338" s="1"/>
      <c r="G338" s="1"/>
      <c r="H338" s="1"/>
      <c r="I338" s="1"/>
    </row>
    <row r="339" spans="1:9" x14ac:dyDescent="0.25">
      <c r="A339" s="1"/>
      <c r="B339" s="1"/>
      <c r="C339" s="1"/>
      <c r="D339" s="1"/>
      <c r="E339" s="1"/>
      <c r="F339" s="1"/>
      <c r="G339" s="1"/>
      <c r="H339" s="1"/>
      <c r="I339" s="1"/>
    </row>
    <row r="340" spans="1:9" x14ac:dyDescent="0.25">
      <c r="A340" s="1"/>
      <c r="B340" s="1"/>
      <c r="C340" s="1"/>
      <c r="D340" s="1"/>
      <c r="E340" s="1"/>
      <c r="F340" s="1"/>
      <c r="G340" s="1"/>
      <c r="H340" s="1"/>
      <c r="I340" s="1"/>
    </row>
    <row r="341" spans="1:9" x14ac:dyDescent="0.25">
      <c r="A341" s="1"/>
      <c r="B341" s="1"/>
      <c r="C341" s="1"/>
      <c r="D341" s="1"/>
      <c r="E341" s="1"/>
      <c r="F341" s="1"/>
      <c r="G341" s="1"/>
      <c r="H341" s="1"/>
      <c r="I341" s="1"/>
    </row>
    <row r="342" spans="1:9" x14ac:dyDescent="0.25">
      <c r="A342" s="1"/>
      <c r="B342" s="1"/>
      <c r="C342" s="1"/>
      <c r="D342" s="1"/>
      <c r="E342" s="1"/>
      <c r="F342" s="1"/>
      <c r="G342" s="1"/>
      <c r="H342" s="1"/>
      <c r="I342" s="1"/>
    </row>
    <row r="343" spans="1:9" x14ac:dyDescent="0.25">
      <c r="F343" s="1"/>
      <c r="G343" s="1"/>
    </row>
  </sheetData>
  <dataConsolidate/>
  <mergeCells count="14">
    <mergeCell ref="L2:P2"/>
    <mergeCell ref="B22:F22"/>
    <mergeCell ref="H2:J2"/>
    <mergeCell ref="I3:J3"/>
    <mergeCell ref="Q129:AB129"/>
    <mergeCell ref="Q50:U50"/>
    <mergeCell ref="P45:AB45"/>
    <mergeCell ref="B2:C2"/>
    <mergeCell ref="D2:E2"/>
    <mergeCell ref="A4:F4"/>
    <mergeCell ref="B14:F14"/>
    <mergeCell ref="A30:F30"/>
    <mergeCell ref="L11:O11"/>
    <mergeCell ref="G14:J14"/>
  </mergeCells>
  <dataValidations count="12">
    <dataValidation type="list" allowBlank="1" showInputMessage="1" showErrorMessage="1" sqref="B182 B228" xr:uid="{262933F1-ECA3-4BA1-A923-C138B050469A}">
      <formula1>$D$8:$D$9</formula1>
    </dataValidation>
    <dataValidation type="list" allowBlank="1" showInputMessage="1" showErrorMessage="1" sqref="E6:E8" xr:uid="{8607A9A1-E9E2-422A-9ABF-D33C60041EA1}">
      <formula1>"in,cm"</formula1>
    </dataValidation>
    <dataValidation type="list" allowBlank="1" showInputMessage="1" showErrorMessage="1" sqref="E11" xr:uid="{65DAEDF3-4851-45F5-9CE6-964E7D6E2565}">
      <formula1>"kg,lbm"</formula1>
    </dataValidation>
    <dataValidation type="list" allowBlank="1" showInputMessage="1" showErrorMessage="1" sqref="B2:C2" xr:uid="{92AF7544-092D-4265-AA8A-5D54B247E45E}">
      <formula1>Chamberings</formula1>
    </dataValidation>
    <dataValidation type="list" allowBlank="1" showInputMessage="1" showErrorMessage="1" sqref="F32" xr:uid="{F0F36C68-7195-4E56-A4A8-9C73BEB590BE}">
      <formula1>MassWeightUnits</formula1>
    </dataValidation>
    <dataValidation type="list" allowBlank="1" showInputMessage="1" showErrorMessage="1" sqref="C33 E33 N14 P14" xr:uid="{A3DA70AE-C25F-4D96-83A1-AC3F7CDB6D57}">
      <formula1>VelocityUnits</formula1>
    </dataValidation>
    <dataValidation type="list" allowBlank="1" showInputMessage="1" showErrorMessage="1" sqref="C34 E34" xr:uid="{7FCCE9C3-63BB-44CB-9B3C-8151D97D7DB7}">
      <formula1>EnergyUnits</formula1>
    </dataValidation>
    <dataValidation type="list" allowBlank="1" showInputMessage="1" showErrorMessage="1" sqref="N12 N15 N3 P5:P8" xr:uid="{62E63F1A-9E14-4E47-8DDE-16953CFD0A5B}">
      <formula1>AngularUnits</formula1>
    </dataValidation>
    <dataValidation type="list" allowBlank="1" showInputMessage="1" showErrorMessage="1" sqref="N13 P13" xr:uid="{F518A436-8650-4193-BE12-79AC4145E664}">
      <formula1>LengthUnits</formula1>
    </dataValidation>
    <dataValidation type="list" allowBlank="1" showInputMessage="1" showErrorMessage="1" sqref="B118:AB118" xr:uid="{6995E572-FF85-45C8-85F6-31BC090BCD87}">
      <formula1>"0,1,2,3,4,5,6"</formula1>
    </dataValidation>
    <dataValidation type="list" allowBlank="1" showInputMessage="1" showErrorMessage="1" sqref="C32 E32" xr:uid="{4D5CC8E1-C400-4F30-9E28-D36A9F3A1D78}">
      <formula1>WeightUnits</formula1>
    </dataValidation>
    <dataValidation type="list" allowBlank="1" showInputMessage="1" showErrorMessage="1" sqref="I3:J3" xr:uid="{B2505EEA-9D5B-4E50-9202-1D10575E026D}">
      <formula1>RiflescopeNames</formula1>
    </dataValidation>
  </dataValidations>
  <pageMargins left="0.7" right="0.7" top="0.75" bottom="0.75" header="0.3" footer="0.3"/>
  <pageSetup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A812C-DC49-4ADF-9B54-DA1FA3345497}">
  <sheetPr codeName="shPBRTable"/>
  <dimension ref="A1"/>
  <sheetViews>
    <sheetView topLeftCell="A27" workbookViewId="0">
      <selection activeCell="O45" sqref="O45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1D1DC-E019-44ED-896C-D12CEEA0227C}">
  <sheetPr codeName="shEffectiveRangeTable"/>
  <dimension ref="A1"/>
  <sheetViews>
    <sheetView workbookViewId="0">
      <selection activeCell="G25" sqref="G25"/>
    </sheetView>
  </sheetViews>
  <sheetFormatPr defaultRowHeight="15" x14ac:dyDescent="0.25"/>
  <cols>
    <col min="11" max="11" width="21.7109375" bestFit="1" customWidth="1"/>
    <col min="12" max="12" width="18.7109375" bestFit="1" customWidth="1"/>
    <col min="13" max="13" width="19" bestFit="1" customWidth="1"/>
    <col min="14" max="14" width="14.85546875" bestFit="1" customWidth="1"/>
    <col min="15" max="15" width="24.42578125" bestFit="1" customWidth="1"/>
    <col min="16" max="16" width="24.7109375" bestFit="1" customWidth="1"/>
    <col min="17" max="17" width="24.85546875" bestFit="1" customWidth="1"/>
    <col min="18" max="18" width="25.140625" bestFit="1" customWidth="1"/>
    <col min="19" max="19" width="14.570312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9B3C5A-3429-468C-A934-DF8D5C96278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</vt:i4>
      </vt:variant>
    </vt:vector>
  </HeadingPairs>
  <TitlesOfParts>
    <vt:vector size="18" baseType="lpstr">
      <vt:lpstr>Constants</vt:lpstr>
      <vt:lpstr>Ammunition Data</vt:lpstr>
      <vt:lpstr>RiflescopeData</vt:lpstr>
      <vt:lpstr>RifleLoadouts</vt:lpstr>
      <vt:lpstr>SpeciesEnergyTable</vt:lpstr>
      <vt:lpstr>Ballistics Data</vt:lpstr>
      <vt:lpstr>Point Blank Range Table</vt:lpstr>
      <vt:lpstr>Effective Range Table</vt:lpstr>
      <vt:lpstr>AngularUnits</vt:lpstr>
      <vt:lpstr>Chamberings</vt:lpstr>
      <vt:lpstr>EnergyUnits</vt:lpstr>
      <vt:lpstr>LengthUnits</vt:lpstr>
      <vt:lpstr>RiflescopeNames</vt:lpstr>
      <vt:lpstr>SpeciesTiers</vt:lpstr>
      <vt:lpstr>Specifications</vt:lpstr>
      <vt:lpstr>VelocityUnits</vt:lpstr>
      <vt:lpstr>WeaponsTiers</vt:lpstr>
      <vt:lpstr>WeightUnits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2024-10-24T20:03:09Z</dcterms:modified>
</cp:coreProperties>
</file>