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1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2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6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7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18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19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SteyrProHunter2-7mm-08Rem\"/>
    </mc:Choice>
  </mc:AlternateContent>
  <xr:revisionPtr revIDLastSave="0" documentId="13_ncr:1_{A1A6A1D1-B08C-4EBD-949F-78432419A2B5}" xr6:coauthVersionLast="47" xr6:coauthVersionMax="47" xr10:uidLastSave="{00000000-0000-0000-0000-000000000000}"/>
  <bookViews>
    <workbookView xWindow="-120" yWindow="-120" windowWidth="51840" windowHeight="21120" activeTab="2" xr2:uid="{2F0FA23F-61CC-43E6-AF0F-86720E5DCFA1}"/>
  </bookViews>
  <sheets>
    <sheet name="Federal TrophyBonded PHP" sheetId="7" r:id="rId1"/>
    <sheet name="Federal Power-Shok SP" sheetId="4" r:id="rId2"/>
    <sheet name="Federal Barnes TSX HP" sheetId="9" r:id="rId3"/>
    <sheet name="Bullet Comparisons" sheetId="1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9" l="1"/>
  <c r="H6" i="9" s="1"/>
  <c r="G6" i="9" s="1"/>
  <c r="H3" i="9"/>
  <c r="H2" i="9"/>
  <c r="H7" i="4"/>
  <c r="H6" i="4"/>
  <c r="G6" i="4" s="1"/>
  <c r="H3" i="4"/>
  <c r="H2" i="4"/>
  <c r="H7" i="7"/>
  <c r="H6" i="7" s="1"/>
  <c r="G6" i="7" s="1"/>
  <c r="H3" i="7"/>
  <c r="H2" i="7"/>
  <c r="C17" i="9"/>
  <c r="C16" i="9"/>
  <c r="B13" i="9"/>
  <c r="D13" i="9" s="1"/>
  <c r="P22" i="4"/>
  <c r="O22" i="4"/>
  <c r="N22" i="4"/>
  <c r="M22" i="4"/>
  <c r="L22" i="4"/>
  <c r="K22" i="4"/>
  <c r="J22" i="4"/>
  <c r="C17" i="4"/>
  <c r="C16" i="4"/>
  <c r="C19" i="4" s="1"/>
  <c r="B13" i="4"/>
  <c r="D13" i="4" s="1"/>
  <c r="C17" i="7"/>
  <c r="C16" i="7"/>
  <c r="C19" i="7" s="1"/>
  <c r="H297" i="7" a="1"/>
  <c r="F293" i="7" a="1"/>
  <c r="F291" i="7" a="1"/>
  <c r="F287" i="7" a="1"/>
  <c r="F285" i="7" a="1"/>
  <c r="F281" i="7" a="1"/>
  <c r="F279" i="7" a="1"/>
  <c r="E297" i="7" a="1"/>
  <c r="E291" i="7" a="1"/>
  <c r="E287" i="7" a="1"/>
  <c r="E283" i="7" a="1"/>
  <c r="E281" i="7" a="1"/>
  <c r="D297" i="7" a="1"/>
  <c r="D289" i="7" a="1"/>
  <c r="D283" i="7" a="1"/>
  <c r="D279" i="7" a="1"/>
  <c r="C297" i="7" a="1"/>
  <c r="C289" i="7" a="1"/>
  <c r="C281" i="7" a="1"/>
  <c r="I292" i="7" a="1"/>
  <c r="I288" i="7" a="1"/>
  <c r="I280" i="7" a="1"/>
  <c r="H296" i="7" a="1"/>
  <c r="H288" i="7" a="1"/>
  <c r="H278" i="7" a="1"/>
  <c r="F296" i="7" a="1"/>
  <c r="F288" i="7" a="1"/>
  <c r="F280" i="7" a="1"/>
  <c r="E296" i="7" a="1"/>
  <c r="E282" i="7" a="1"/>
  <c r="D294" i="7" a="1"/>
  <c r="D284" i="7" a="1"/>
  <c r="I297" i="7" a="1"/>
  <c r="I295" i="7" a="1"/>
  <c r="I293" i="7" a="1"/>
  <c r="I291" i="7" a="1"/>
  <c r="I289" i="7" a="1"/>
  <c r="I287" i="7" a="1"/>
  <c r="I285" i="7" a="1"/>
  <c r="I283" i="7" a="1"/>
  <c r="I281" i="7" a="1"/>
  <c r="I279" i="7" a="1"/>
  <c r="H295" i="7" a="1"/>
  <c r="H293" i="7" a="1"/>
  <c r="H291" i="7" a="1"/>
  <c r="H289" i="7" a="1"/>
  <c r="H287" i="7" a="1"/>
  <c r="H285" i="7" a="1"/>
  <c r="H283" i="7" a="1"/>
  <c r="H281" i="7" a="1"/>
  <c r="H279" i="7" a="1"/>
  <c r="F295" i="7" a="1"/>
  <c r="F289" i="7" a="1"/>
  <c r="F283" i="7" a="1"/>
  <c r="E295" i="7" a="1"/>
  <c r="E293" i="7" a="1"/>
  <c r="E289" i="7" a="1"/>
  <c r="E285" i="7" a="1"/>
  <c r="E279" i="7" a="1"/>
  <c r="D295" i="7" a="1"/>
  <c r="D291" i="7" a="1"/>
  <c r="D287" i="7" a="1"/>
  <c r="D281" i="7" a="1"/>
  <c r="C293" i="7" a="1"/>
  <c r="C287" i="7" a="1"/>
  <c r="C283" i="7" a="1"/>
  <c r="I294" i="7" a="1"/>
  <c r="I282" i="7" a="1"/>
  <c r="H290" i="7" a="1"/>
  <c r="H286" i="7" a="1"/>
  <c r="H280" i="7" a="1"/>
  <c r="F292" i="7" a="1"/>
  <c r="F286" i="7" a="1"/>
  <c r="E294" i="7" a="1"/>
  <c r="E286" i="7" a="1"/>
  <c r="E278" i="7" a="1"/>
  <c r="D296" i="7" a="1"/>
  <c r="D286" i="7" a="1"/>
  <c r="D293" i="7" a="1"/>
  <c r="D285" i="7" a="1"/>
  <c r="C295" i="7" a="1"/>
  <c r="C285" i="7" a="1"/>
  <c r="I296" i="7" a="1"/>
  <c r="I284" i="7" a="1"/>
  <c r="H292" i="7" a="1"/>
  <c r="H284" i="7" a="1"/>
  <c r="F290" i="7" a="1"/>
  <c r="F284" i="7" a="1"/>
  <c r="F278" i="7" a="1"/>
  <c r="E292" i="7" a="1"/>
  <c r="E288" i="7" a="1"/>
  <c r="E280" i="7" a="1"/>
  <c r="D290" i="7" a="1"/>
  <c r="D282" i="7" a="1"/>
  <c r="D278" i="7" a="1"/>
  <c r="F297" i="7" a="1"/>
  <c r="C291" i="7" a="1"/>
  <c r="C279" i="7" a="1"/>
  <c r="I290" i="7" a="1"/>
  <c r="I286" i="7" a="1"/>
  <c r="I278" i="7" a="1"/>
  <c r="H294" i="7" a="1"/>
  <c r="H282" i="7" a="1"/>
  <c r="F294" i="7" a="1"/>
  <c r="F282" i="7" a="1"/>
  <c r="E290" i="7" a="1"/>
  <c r="E284" i="7" a="1"/>
  <c r="D292" i="7" a="1"/>
  <c r="D288" i="7" a="1"/>
  <c r="D280" i="7" a="1"/>
  <c r="C294" i="7" a="1"/>
  <c r="C290" i="7" a="1"/>
  <c r="C286" i="7" a="1"/>
  <c r="C284" i="7" a="1"/>
  <c r="C282" i="7" a="1"/>
  <c r="C280" i="7" a="1"/>
  <c r="C278" i="7" a="1"/>
  <c r="C296" i="7" a="1"/>
  <c r="C292" i="7" a="1"/>
  <c r="C288" i="7" a="1"/>
  <c r="P35" i="9" a="1"/>
  <c r="P33" i="9" a="1"/>
  <c r="P29" i="9" a="1"/>
  <c r="P27" i="9" a="1"/>
  <c r="P25" i="9" a="1"/>
  <c r="P23" i="9" a="1"/>
  <c r="N31" i="9" a="1"/>
  <c r="N29" i="9" a="1"/>
  <c r="N25" i="9" a="1"/>
  <c r="M31" i="9" a="1"/>
  <c r="M27" i="9" a="1"/>
  <c r="L35" i="9" a="1"/>
  <c r="L27" i="9" a="1"/>
  <c r="K35" i="9" a="1"/>
  <c r="P34" i="9" a="1"/>
  <c r="P28" i="9" a="1"/>
  <c r="N30" i="9" a="1"/>
  <c r="M30" i="9" a="1"/>
  <c r="L26" i="9" a="1"/>
  <c r="K32" i="9" a="1"/>
  <c r="K24" i="9" a="1"/>
  <c r="N35" i="9" a="1"/>
  <c r="N23" i="9" a="1"/>
  <c r="M35" i="9" a="1"/>
  <c r="M23" i="9" a="1"/>
  <c r="L33" i="9" a="1"/>
  <c r="L25" i="9" a="1"/>
  <c r="K29" i="9" a="1"/>
  <c r="K25" i="9" a="1"/>
  <c r="P30" i="9" a="1"/>
  <c r="P24" i="9" a="1"/>
  <c r="N34" i="9" a="1"/>
  <c r="N24" i="9" a="1"/>
  <c r="M28" i="9" a="1"/>
  <c r="L28" i="9" a="1"/>
  <c r="K26" i="9" a="1"/>
  <c r="P31" i="9" a="1"/>
  <c r="N33" i="9" a="1"/>
  <c r="N27" i="9" a="1"/>
  <c r="M33" i="9" a="1"/>
  <c r="M29" i="9" a="1"/>
  <c r="L31" i="9" a="1"/>
  <c r="L29" i="9" a="1"/>
  <c r="L23" i="9" a="1"/>
  <c r="K33" i="9" a="1"/>
  <c r="K27" i="9" a="1"/>
  <c r="K23" i="9" a="1"/>
  <c r="P32" i="9" a="1"/>
  <c r="P26" i="9" a="1"/>
  <c r="N32" i="9" a="1"/>
  <c r="N26" i="9" a="1"/>
  <c r="M34" i="9" a="1"/>
  <c r="M24" i="9" a="1"/>
  <c r="L32" i="9" a="1"/>
  <c r="L24" i="9" a="1"/>
  <c r="K30" i="9" a="1"/>
  <c r="M32" i="9" a="1"/>
  <c r="L34" i="9" a="1"/>
  <c r="K34" i="9" a="1"/>
  <c r="M25" i="9" a="1"/>
  <c r="K31" i="9" a="1"/>
  <c r="N28" i="9" a="1"/>
  <c r="M26" i="9" a="1"/>
  <c r="L30" i="9" a="1"/>
  <c r="K28" i="9" a="1"/>
  <c r="B12" i="9" a="1"/>
  <c r="N35" i="4" a="1"/>
  <c r="N27" i="4" a="1"/>
  <c r="M31" i="4" a="1"/>
  <c r="M25" i="4" a="1"/>
  <c r="L35" i="4" a="1"/>
  <c r="K33" i="4" a="1"/>
  <c r="K23" i="4" a="1"/>
  <c r="P24" i="4" a="1"/>
  <c r="N30" i="4" a="1"/>
  <c r="M34" i="4" a="1"/>
  <c r="L34" i="4" a="1"/>
  <c r="K34" i="4" a="1"/>
  <c r="K24" i="4" a="1"/>
  <c r="N29" i="4" a="1"/>
  <c r="M29" i="4" a="1"/>
  <c r="L25" i="4" a="1"/>
  <c r="K25" i="4" a="1"/>
  <c r="P34" i="4" a="1"/>
  <c r="P28" i="4" a="1"/>
  <c r="N32" i="4" a="1"/>
  <c r="M28" i="4" a="1"/>
  <c r="M24" i="4" a="1"/>
  <c r="L26" i="4" a="1"/>
  <c r="K32" i="4" a="1"/>
  <c r="P33" i="4" a="1"/>
  <c r="P29" i="4" a="1"/>
  <c r="P27" i="4" a="1"/>
  <c r="P23" i="4" a="1"/>
  <c r="N33" i="4" a="1"/>
  <c r="N25" i="4" a="1"/>
  <c r="M35" i="4" a="1"/>
  <c r="L31" i="4" a="1"/>
  <c r="K29" i="4" a="1"/>
  <c r="P26" i="4" a="1"/>
  <c r="N24" i="4" a="1"/>
  <c r="M26" i="4" a="1"/>
  <c r="K30" i="4" a="1"/>
  <c r="P35" i="4" a="1"/>
  <c r="P31" i="4" a="1"/>
  <c r="P25" i="4" a="1"/>
  <c r="N31" i="4" a="1"/>
  <c r="N23" i="4" a="1"/>
  <c r="M33" i="4" a="1"/>
  <c r="M23" i="4" a="1"/>
  <c r="L33" i="4" a="1"/>
  <c r="K27" i="4" a="1"/>
  <c r="P30" i="4" a="1"/>
  <c r="N26" i="4" a="1"/>
  <c r="L28" i="4" a="1"/>
  <c r="K28" i="4" a="1"/>
  <c r="M27" i="4" a="1"/>
  <c r="L29" i="4" a="1"/>
  <c r="L23" i="4" a="1"/>
  <c r="K31" i="4" a="1"/>
  <c r="P32" i="4" a="1"/>
  <c r="N28" i="4" a="1"/>
  <c r="M30" i="4" a="1"/>
  <c r="L30" i="4" a="1"/>
  <c r="L27" i="4" a="1"/>
  <c r="K35" i="4" a="1"/>
  <c r="N34" i="4" a="1"/>
  <c r="M32" i="4" a="1"/>
  <c r="L32" i="4" a="1"/>
  <c r="L24" i="4" a="1"/>
  <c r="K26" i="4" a="1"/>
  <c r="B12" i="4" a="1"/>
  <c r="B12" i="7" a="1"/>
  <c r="N27" i="7" a="1"/>
  <c r="L35" i="7" a="1"/>
  <c r="K27" i="7" a="1"/>
  <c r="N29" i="7" a="1"/>
  <c r="M29" i="7" a="1"/>
  <c r="K24" i="7" a="1"/>
  <c r="P23" i="7" a="1"/>
  <c r="K29" i="7" a="1"/>
  <c r="L34" i="7" a="1"/>
  <c r="K26" i="7" a="1"/>
  <c r="P25" i="7" a="1"/>
  <c r="K31" i="7" a="1"/>
  <c r="M25" i="7" a="1"/>
  <c r="P35" i="7" a="1"/>
  <c r="L33" i="7" a="1"/>
  <c r="N30" i="7" a="1"/>
  <c r="P27" i="7" a="1"/>
  <c r="L25" i="7" a="1"/>
  <c r="L30" i="7" a="1"/>
  <c r="M27" i="7" a="1"/>
  <c r="N32" i="7" a="1"/>
  <c r="M24" i="7" a="1"/>
  <c r="P26" i="7" a="1"/>
  <c r="K32" i="7" a="1"/>
  <c r="L29" i="7" a="1"/>
  <c r="M34" i="7" a="1"/>
  <c r="P28" i="7" a="1"/>
  <c r="N28" i="7" a="1"/>
  <c r="K23" i="7" a="1"/>
  <c r="L28" i="7" a="1"/>
  <c r="M33" i="7" a="1"/>
  <c r="N33" i="7" a="1"/>
  <c r="K33" i="7" a="1"/>
  <c r="M30" i="7" a="1"/>
  <c r="K25" i="7" a="1"/>
  <c r="P24" i="7" a="1"/>
  <c r="M35" i="7" a="1"/>
  <c r="L27" i="7" a="1"/>
  <c r="N24" i="7" a="1"/>
  <c r="K35" i="7" a="1"/>
  <c r="P34" i="7" a="1"/>
  <c r="L24" i="7" a="1"/>
  <c r="P31" i="7" a="1"/>
  <c r="N31" i="7" a="1"/>
  <c r="M23" i="7" a="1"/>
  <c r="L23" i="7" a="1"/>
  <c r="P32" i="7" a="1"/>
  <c r="K30" i="7" a="1"/>
  <c r="P29" i="7" a="1"/>
  <c r="M32" i="7" a="1"/>
  <c r="L32" i="7" a="1"/>
  <c r="N26" i="7" a="1"/>
  <c r="M26" i="7" a="1"/>
  <c r="L26" i="7" a="1"/>
  <c r="K34" i="7" a="1"/>
  <c r="L31" i="7" a="1"/>
  <c r="M28" i="7" a="1"/>
  <c r="N25" i="7" a="1"/>
  <c r="K28" i="7" a="1"/>
  <c r="N35" i="7" a="1"/>
  <c r="N34" i="7" a="1"/>
  <c r="N23" i="7" a="1"/>
  <c r="M31" i="7" a="1"/>
  <c r="P33" i="7" a="1"/>
  <c r="P30" i="7" a="1"/>
  <c r="O30" i="9" a="1"/>
  <c r="O27" i="9" a="1"/>
  <c r="O32" i="9" a="1"/>
  <c r="O26" i="9" a="1"/>
  <c r="O35" i="9" a="1"/>
  <c r="O34" i="9" a="1"/>
  <c r="O33" i="9" a="1"/>
  <c r="O24" i="9" a="1"/>
  <c r="O29" i="9" a="1"/>
  <c r="O25" i="9" a="1"/>
  <c r="O28" i="9" a="1"/>
  <c r="O23" i="9" a="1"/>
  <c r="O31" i="9" a="1"/>
  <c r="J32" i="9" a="1"/>
  <c r="J33" i="9" a="1"/>
  <c r="J25" i="9" a="1"/>
  <c r="J26" i="9" a="1"/>
  <c r="J34" i="9" a="1"/>
  <c r="J31" i="9" a="1"/>
  <c r="J23" i="9" a="1"/>
  <c r="J29" i="9" a="1"/>
  <c r="J30" i="9" a="1"/>
  <c r="J35" i="9" a="1"/>
  <c r="J24" i="9" a="1"/>
  <c r="J28" i="9" a="1"/>
  <c r="J27" i="9" a="1"/>
  <c r="E19" i="9" a="1"/>
  <c r="O27" i="4" a="1"/>
  <c r="O32" i="4" a="1"/>
  <c r="O29" i="4" a="1"/>
  <c r="O28" i="4" a="1"/>
  <c r="O31" i="4" a="1"/>
  <c r="O33" i="4" a="1"/>
  <c r="O26" i="4" a="1"/>
  <c r="O23" i="4" a="1"/>
  <c r="O24" i="4" a="1"/>
  <c r="O34" i="4" a="1"/>
  <c r="O25" i="4" a="1"/>
  <c r="O35" i="4" a="1"/>
  <c r="O30" i="4" a="1"/>
  <c r="O32" i="7" a="1"/>
  <c r="O31" i="7" a="1"/>
  <c r="O28" i="7" a="1"/>
  <c r="O35" i="7" a="1"/>
  <c r="O27" i="7" a="1"/>
  <c r="O30" i="7" a="1"/>
  <c r="O34" i="7" a="1"/>
  <c r="O26" i="7" a="1"/>
  <c r="O33" i="7" a="1"/>
  <c r="O29" i="7" a="1"/>
  <c r="O23" i="7" a="1"/>
  <c r="O25" i="7" a="1"/>
  <c r="O24" i="7" a="1"/>
  <c r="J34" i="7" a="1"/>
  <c r="J23" i="7" a="1"/>
  <c r="J28" i="7" a="1"/>
  <c r="J27" i="7" a="1"/>
  <c r="J35" i="7" a="1"/>
  <c r="J32" i="7" a="1"/>
  <c r="J30" i="7" a="1"/>
  <c r="J33" i="7" a="1"/>
  <c r="J24" i="7" a="1"/>
  <c r="J31" i="7" a="1"/>
  <c r="J29" i="7" a="1"/>
  <c r="J26" i="7" a="1"/>
  <c r="J25" i="7" a="1"/>
  <c r="J24" i="4" a="1"/>
  <c r="J30" i="4" a="1"/>
  <c r="J28" i="4" a="1"/>
  <c r="J31" i="4" a="1"/>
  <c r="J32" i="4" a="1"/>
  <c r="J35" i="4" a="1"/>
  <c r="J29" i="4" a="1"/>
  <c r="J23" i="4" a="1"/>
  <c r="J34" i="4" a="1"/>
  <c r="J25" i="4" a="1"/>
  <c r="J26" i="4" a="1"/>
  <c r="J33" i="4" a="1"/>
  <c r="J27" i="4" a="1"/>
  <c r="E19" i="7" a="1"/>
  <c r="E19" i="9" l="1"/>
  <c r="C19" i="9"/>
  <c r="E19" i="7"/>
  <c r="C288" i="7"/>
  <c r="C292" i="7"/>
  <c r="C296" i="7"/>
  <c r="C278" i="7"/>
  <c r="C280" i="7"/>
  <c r="C282" i="7"/>
  <c r="C284" i="7"/>
  <c r="C286" i="7"/>
  <c r="C290" i="7"/>
  <c r="C294" i="7"/>
  <c r="D280" i="7"/>
  <c r="D288" i="7"/>
  <c r="D292" i="7"/>
  <c r="E284" i="7"/>
  <c r="E290" i="7"/>
  <c r="F282" i="7"/>
  <c r="F294" i="7"/>
  <c r="H282" i="7"/>
  <c r="H294" i="7"/>
  <c r="I278" i="7"/>
  <c r="I286" i="7"/>
  <c r="I290" i="7"/>
  <c r="C279" i="7"/>
  <c r="C291" i="7"/>
  <c r="F297" i="7"/>
  <c r="D278" i="7"/>
  <c r="D282" i="7"/>
  <c r="D290" i="7"/>
  <c r="E280" i="7"/>
  <c r="E288" i="7"/>
  <c r="E292" i="7"/>
  <c r="F278" i="7"/>
  <c r="F284" i="7"/>
  <c r="F290" i="7"/>
  <c r="H284" i="7"/>
  <c r="H292" i="7"/>
  <c r="I284" i="7"/>
  <c r="I296" i="7"/>
  <c r="C285" i="7"/>
  <c r="C295" i="7"/>
  <c r="D285" i="7"/>
  <c r="D293" i="7"/>
  <c r="D286" i="7"/>
  <c r="D296" i="7"/>
  <c r="E278" i="7"/>
  <c r="E286" i="7"/>
  <c r="E294" i="7"/>
  <c r="F286" i="7"/>
  <c r="F292" i="7"/>
  <c r="H280" i="7"/>
  <c r="H286" i="7"/>
  <c r="H290" i="7"/>
  <c r="I282" i="7"/>
  <c r="I294" i="7"/>
  <c r="C283" i="7"/>
  <c r="C287" i="7"/>
  <c r="C293" i="7"/>
  <c r="D281" i="7"/>
  <c r="D287" i="7"/>
  <c r="D291" i="7"/>
  <c r="D295" i="7"/>
  <c r="E279" i="7"/>
  <c r="E285" i="7"/>
  <c r="E289" i="7"/>
  <c r="E293" i="7"/>
  <c r="E295" i="7"/>
  <c r="F283" i="7"/>
  <c r="F289" i="7"/>
  <c r="F295" i="7"/>
  <c r="H279" i="7"/>
  <c r="H281" i="7"/>
  <c r="H283" i="7"/>
  <c r="H285" i="7"/>
  <c r="H287" i="7"/>
  <c r="H289" i="7"/>
  <c r="H291" i="7"/>
  <c r="H293" i="7"/>
  <c r="H295" i="7"/>
  <c r="I279" i="7"/>
  <c r="I281" i="7"/>
  <c r="I283" i="7"/>
  <c r="I285" i="7"/>
  <c r="I287" i="7"/>
  <c r="I289" i="7"/>
  <c r="I291" i="7"/>
  <c r="I293" i="7"/>
  <c r="I295" i="7"/>
  <c r="I297" i="7"/>
  <c r="D284" i="7"/>
  <c r="D294" i="7"/>
  <c r="E282" i="7"/>
  <c r="E296" i="7"/>
  <c r="F280" i="7"/>
  <c r="F288" i="7"/>
  <c r="F296" i="7"/>
  <c r="H278" i="7"/>
  <c r="H288" i="7"/>
  <c r="H296" i="7"/>
  <c r="I280" i="7"/>
  <c r="I288" i="7"/>
  <c r="I292" i="7"/>
  <c r="C281" i="7"/>
  <c r="C289" i="7"/>
  <c r="C297" i="7"/>
  <c r="D279" i="7"/>
  <c r="D283" i="7"/>
  <c r="D289" i="7"/>
  <c r="D297" i="7"/>
  <c r="E281" i="7"/>
  <c r="E283" i="7"/>
  <c r="E287" i="7"/>
  <c r="E291" i="7"/>
  <c r="E297" i="7"/>
  <c r="F279" i="7"/>
  <c r="F281" i="7"/>
  <c r="F285" i="7"/>
  <c r="F287" i="7"/>
  <c r="F291" i="7"/>
  <c r="F293" i="7"/>
  <c r="H297" i="7"/>
  <c r="P22" i="9"/>
  <c r="J22" i="9"/>
  <c r="L22" i="9"/>
  <c r="O22" i="9"/>
  <c r="K22" i="9"/>
  <c r="M22" i="9"/>
  <c r="N22" i="9"/>
  <c r="J26" i="9"/>
  <c r="K28" i="9"/>
  <c r="L30" i="9"/>
  <c r="M26" i="9"/>
  <c r="N28" i="9"/>
  <c r="O28" i="9"/>
  <c r="J35" i="9"/>
  <c r="K31" i="9"/>
  <c r="M25" i="9"/>
  <c r="J30" i="9"/>
  <c r="K34" i="9"/>
  <c r="L34" i="9"/>
  <c r="M32" i="9"/>
  <c r="J27" i="9"/>
  <c r="J28" i="9"/>
  <c r="K30" i="9"/>
  <c r="L24" i="9"/>
  <c r="L32" i="9"/>
  <c r="M24" i="9"/>
  <c r="M34" i="9"/>
  <c r="N26" i="9"/>
  <c r="N32" i="9"/>
  <c r="O26" i="9"/>
  <c r="O32" i="9"/>
  <c r="P26" i="9"/>
  <c r="P32" i="9"/>
  <c r="J23" i="9"/>
  <c r="J31" i="9"/>
  <c r="K23" i="9"/>
  <c r="K27" i="9"/>
  <c r="K33" i="9"/>
  <c r="L23" i="9"/>
  <c r="L29" i="9"/>
  <c r="L31" i="9"/>
  <c r="M29" i="9"/>
  <c r="M33" i="9"/>
  <c r="N27" i="9"/>
  <c r="N33" i="9"/>
  <c r="O31" i="9"/>
  <c r="P31" i="9"/>
  <c r="J32" i="9"/>
  <c r="K26" i="9"/>
  <c r="L28" i="9"/>
  <c r="M28" i="9"/>
  <c r="N24" i="9"/>
  <c r="N34" i="9"/>
  <c r="O24" i="9"/>
  <c r="O34" i="9"/>
  <c r="P24" i="9"/>
  <c r="P30" i="9"/>
  <c r="J29" i="9"/>
  <c r="K25" i="9"/>
  <c r="K29" i="9"/>
  <c r="L25" i="9"/>
  <c r="L33" i="9"/>
  <c r="M23" i="9"/>
  <c r="M35" i="9"/>
  <c r="N23" i="9"/>
  <c r="N35" i="9"/>
  <c r="O27" i="9"/>
  <c r="J24" i="9"/>
  <c r="J34" i="9"/>
  <c r="K24" i="9"/>
  <c r="K32" i="9"/>
  <c r="L26" i="9"/>
  <c r="M30" i="9"/>
  <c r="N30" i="9"/>
  <c r="O30" i="9"/>
  <c r="P28" i="9"/>
  <c r="P34" i="9"/>
  <c r="J25" i="9"/>
  <c r="J33" i="9"/>
  <c r="K35" i="9"/>
  <c r="L27" i="9"/>
  <c r="L35" i="9"/>
  <c r="M27" i="9"/>
  <c r="M31" i="9"/>
  <c r="N25" i="9"/>
  <c r="N29" i="9"/>
  <c r="N31" i="9"/>
  <c r="O23" i="9"/>
  <c r="O25" i="9"/>
  <c r="O29" i="9"/>
  <c r="O33" i="9"/>
  <c r="O35" i="9"/>
  <c r="P23" i="9"/>
  <c r="P25" i="9"/>
  <c r="P27" i="9"/>
  <c r="P29" i="9"/>
  <c r="P33" i="9"/>
  <c r="P35" i="9"/>
  <c r="B12" i="9"/>
  <c r="J26" i="4"/>
  <c r="K26" i="4"/>
  <c r="L24" i="4"/>
  <c r="L32" i="4"/>
  <c r="M32" i="4"/>
  <c r="N34" i="4"/>
  <c r="O34" i="4"/>
  <c r="J25" i="4"/>
  <c r="J35" i="4"/>
  <c r="K35" i="4"/>
  <c r="L27" i="4"/>
  <c r="O35" i="4"/>
  <c r="J24" i="4"/>
  <c r="L30" i="4"/>
  <c r="M30" i="4"/>
  <c r="N28" i="4"/>
  <c r="O24" i="4"/>
  <c r="O26" i="4"/>
  <c r="P32" i="4"/>
  <c r="J33" i="4"/>
  <c r="K31" i="4"/>
  <c r="L23" i="4"/>
  <c r="L29" i="4"/>
  <c r="M27" i="4"/>
  <c r="O27" i="4"/>
  <c r="J28" i="4"/>
  <c r="K28" i="4"/>
  <c r="L28" i="4"/>
  <c r="N26" i="4"/>
  <c r="P30" i="4"/>
  <c r="J23" i="4"/>
  <c r="K27" i="4"/>
  <c r="L33" i="4"/>
  <c r="M23" i="4"/>
  <c r="M33" i="4"/>
  <c r="N23" i="4"/>
  <c r="N31" i="4"/>
  <c r="O25" i="4"/>
  <c r="P25" i="4"/>
  <c r="P31" i="4"/>
  <c r="P35" i="4"/>
  <c r="J34" i="4"/>
  <c r="K30" i="4"/>
  <c r="M26" i="4"/>
  <c r="N24" i="4"/>
  <c r="O30" i="4"/>
  <c r="P26" i="4"/>
  <c r="J31" i="4"/>
  <c r="K29" i="4"/>
  <c r="L31" i="4"/>
  <c r="M35" i="4"/>
  <c r="N25" i="4"/>
  <c r="N33" i="4"/>
  <c r="O23" i="4"/>
  <c r="O33" i="4"/>
  <c r="P23" i="4"/>
  <c r="P27" i="4"/>
  <c r="P29" i="4"/>
  <c r="P33" i="4"/>
  <c r="J30" i="4"/>
  <c r="K32" i="4"/>
  <c r="L26" i="4"/>
  <c r="M24" i="4"/>
  <c r="M28" i="4"/>
  <c r="N32" i="4"/>
  <c r="O28" i="4"/>
  <c r="P28" i="4"/>
  <c r="P34" i="4"/>
  <c r="J29" i="4"/>
  <c r="K25" i="4"/>
  <c r="L25" i="4"/>
  <c r="M29" i="4"/>
  <c r="N29" i="4"/>
  <c r="O29" i="4"/>
  <c r="J32" i="4"/>
  <c r="K24" i="4"/>
  <c r="K34" i="4"/>
  <c r="L34" i="4"/>
  <c r="M34" i="4"/>
  <c r="N30" i="4"/>
  <c r="O32" i="4"/>
  <c r="P24" i="4"/>
  <c r="J27" i="4"/>
  <c r="K23" i="4"/>
  <c r="K33" i="4"/>
  <c r="L35" i="4"/>
  <c r="M25" i="4"/>
  <c r="M31" i="4"/>
  <c r="N27" i="4"/>
  <c r="N35" i="4"/>
  <c r="O31" i="4"/>
  <c r="B12" i="4"/>
  <c r="B12" i="7"/>
  <c r="O30" i="7"/>
  <c r="P30" i="7"/>
  <c r="O25" i="7"/>
  <c r="P33" i="7"/>
  <c r="M31" i="7"/>
  <c r="N23" i="7"/>
  <c r="N34" i="7"/>
  <c r="N35" i="7"/>
  <c r="K28" i="7"/>
  <c r="N25" i="7"/>
  <c r="M28" i="7"/>
  <c r="L31" i="7"/>
  <c r="K34" i="7"/>
  <c r="L26" i="7"/>
  <c r="M26" i="7"/>
  <c r="N26" i="7"/>
  <c r="O26" i="7"/>
  <c r="L32" i="7"/>
  <c r="M32" i="7"/>
  <c r="P29" i="7"/>
  <c r="K30" i="7"/>
  <c r="P32" i="7"/>
  <c r="L23" i="7"/>
  <c r="M23" i="7"/>
  <c r="N31" i="7"/>
  <c r="O31" i="7"/>
  <c r="P31" i="7"/>
  <c r="O34" i="7"/>
  <c r="L24" i="7"/>
  <c r="P34" i="7"/>
  <c r="K35" i="7"/>
  <c r="N24" i="7"/>
  <c r="L27" i="7"/>
  <c r="O24" i="7"/>
  <c r="M35" i="7"/>
  <c r="P24" i="7"/>
  <c r="K25" i="7"/>
  <c r="O27" i="7"/>
  <c r="M30" i="7"/>
  <c r="K33" i="7"/>
  <c r="O35" i="7"/>
  <c r="N33" i="7"/>
  <c r="O33" i="7"/>
  <c r="O28" i="7"/>
  <c r="M33" i="7"/>
  <c r="L28" i="7"/>
  <c r="K23" i="7"/>
  <c r="N28" i="7"/>
  <c r="P28" i="7"/>
  <c r="O23" i="7"/>
  <c r="M34" i="7"/>
  <c r="L29" i="7"/>
  <c r="K32" i="7"/>
  <c r="P26" i="7"/>
  <c r="M24" i="7"/>
  <c r="O29" i="7"/>
  <c r="N32" i="7"/>
  <c r="M27" i="7"/>
  <c r="O32" i="7"/>
  <c r="L30" i="7"/>
  <c r="L25" i="7"/>
  <c r="P27" i="7"/>
  <c r="N30" i="7"/>
  <c r="L33" i="7"/>
  <c r="P35" i="7"/>
  <c r="M25" i="7"/>
  <c r="K31" i="7"/>
  <c r="P25" i="7"/>
  <c r="K26" i="7"/>
  <c r="L34" i="7"/>
  <c r="K29" i="7"/>
  <c r="P23" i="7"/>
  <c r="K24" i="7"/>
  <c r="M29" i="7"/>
  <c r="N29" i="7"/>
  <c r="K27" i="7"/>
  <c r="L35" i="7"/>
  <c r="N27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I250" i="7" a="1"/>
  <c r="I250" i="7" s="1"/>
  <c r="I249" i="7" a="1"/>
  <c r="I249" i="7" s="1"/>
  <c r="I248" i="7" a="1"/>
  <c r="I248" i="7" s="1"/>
  <c r="I247" i="7" a="1"/>
  <c r="I247" i="7" s="1"/>
  <c r="I250" i="4" a="1"/>
  <c r="I250" i="4" s="1"/>
  <c r="I249" i="4" a="1"/>
  <c r="I249" i="4" s="1"/>
  <c r="I248" i="4" a="1"/>
  <c r="I248" i="4" s="1"/>
  <c r="I247" i="4" a="1"/>
  <c r="I247" i="4" s="1"/>
  <c r="I250" i="9" a="1"/>
  <c r="I250" i="9" s="1"/>
  <c r="I249" i="9" a="1"/>
  <c r="I249" i="9" s="1"/>
  <c r="I248" i="9" a="1"/>
  <c r="I248" i="9" s="1"/>
  <c r="I247" i="9" a="1"/>
  <c r="I247" i="9" s="1"/>
  <c r="C2" i="7"/>
  <c r="C3" i="9"/>
  <c r="C3" i="7"/>
  <c r="C9" i="4"/>
  <c r="C3" i="4"/>
  <c r="C9" i="9"/>
  <c r="B7" i="9"/>
  <c r="C7" i="9" s="1"/>
  <c r="C6" i="9"/>
  <c r="C2" i="9"/>
  <c r="C10" i="7"/>
  <c r="B13" i="7"/>
  <c r="K22" i="7" s="1"/>
  <c r="B7" i="7"/>
  <c r="C7" i="7" s="1"/>
  <c r="C6" i="7"/>
  <c r="C6" i="4"/>
  <c r="C2" i="4"/>
  <c r="B7" i="4"/>
  <c r="C7" i="4" s="1"/>
  <c r="I257" i="9" a="1"/>
  <c r="I267" i="7" a="1"/>
  <c r="I277" i="4" a="1"/>
  <c r="I259" i="7" a="1"/>
  <c r="I272" i="9" a="1"/>
  <c r="I270" i="4" a="1"/>
  <c r="I269" i="4" a="1"/>
  <c r="I261" i="7" a="1"/>
  <c r="I273" i="4" a="1"/>
  <c r="I274" i="9" a="1"/>
  <c r="I264" i="7" a="1"/>
  <c r="I268" i="7" a="1"/>
  <c r="I269" i="7" a="1"/>
  <c r="I261" i="4" a="1"/>
  <c r="I267" i="9" a="1"/>
  <c r="I273" i="7" a="1"/>
  <c r="I270" i="9" a="1"/>
  <c r="I267" i="4" a="1"/>
  <c r="I274" i="4" a="1"/>
  <c r="I259" i="9" a="1"/>
  <c r="I260" i="9" a="1"/>
  <c r="I263" i="7" a="1"/>
  <c r="I257" i="7" a="1"/>
  <c r="I275" i="9" a="1"/>
  <c r="I276" i="9" a="1"/>
  <c r="I275" i="4" a="1"/>
  <c r="I264" i="9" a="1"/>
  <c r="I268" i="9" a="1"/>
  <c r="I271" i="7" a="1"/>
  <c r="I265" i="7" a="1"/>
  <c r="I273" i="9" a="1"/>
  <c r="I257" i="4" a="1"/>
  <c r="I271" i="9" a="1"/>
  <c r="I260" i="7" a="1"/>
  <c r="I258" i="9" a="1"/>
  <c r="I262" i="7" a="1"/>
  <c r="I265" i="9" a="1"/>
  <c r="I269" i="9" a="1"/>
  <c r="I276" i="7" a="1"/>
  <c r="I262" i="4" a="1"/>
  <c r="I276" i="4" a="1"/>
  <c r="I272" i="7" a="1"/>
  <c r="I265" i="4" a="1"/>
  <c r="I258" i="4" a="1"/>
  <c r="I258" i="7" a="1"/>
  <c r="I272" i="4" a="1"/>
  <c r="I270" i="7" a="1"/>
  <c r="I274" i="7" a="1"/>
  <c r="I266" i="7" a="1"/>
  <c r="I271" i="4" a="1"/>
  <c r="I277" i="7" a="1"/>
  <c r="I266" i="9" a="1"/>
  <c r="I275" i="7" a="1"/>
  <c r="I261" i="9" a="1"/>
  <c r="I277" i="9" a="1"/>
  <c r="I259" i="4" a="1"/>
  <c r="I266" i="4" a="1"/>
  <c r="I262" i="9" a="1"/>
  <c r="I263" i="4" a="1"/>
  <c r="I260" i="4" a="1"/>
  <c r="I263" i="9" a="1"/>
  <c r="I264" i="4" a="1"/>
  <c r="I268" i="4" a="1"/>
  <c r="B18" i="9" l="1"/>
  <c r="C12" i="9"/>
  <c r="B250" i="9" a="1"/>
  <c r="B250" i="9" s="1"/>
  <c r="E247" i="9" a="1"/>
  <c r="E247" i="9" s="1"/>
  <c r="G247" i="9" a="1"/>
  <c r="G247" i="9" s="1"/>
  <c r="I257" i="9"/>
  <c r="B18" i="4"/>
  <c r="C12" i="4"/>
  <c r="C12" i="7"/>
  <c r="B18" i="7"/>
  <c r="G248" i="4" a="1"/>
  <c r="G248" i="4" s="1"/>
  <c r="F247" i="4" a="1"/>
  <c r="F247" i="4" s="1"/>
  <c r="H247" i="4" a="1"/>
  <c r="H247" i="4" s="1"/>
  <c r="D248" i="9" a="1"/>
  <c r="D248" i="9" s="1"/>
  <c r="H249" i="4" a="1"/>
  <c r="H249" i="4" s="1"/>
  <c r="C248" i="7" a="1"/>
  <c r="C248" i="7" s="1"/>
  <c r="F250" i="9" a="1"/>
  <c r="F250" i="9" s="1"/>
  <c r="H247" i="9" a="1"/>
  <c r="H247" i="9" s="1"/>
  <c r="H250" i="9" a="1"/>
  <c r="H250" i="9" s="1"/>
  <c r="H248" i="9" a="1"/>
  <c r="H248" i="9" s="1"/>
  <c r="G250" i="9" a="1"/>
  <c r="G250" i="9" s="1"/>
  <c r="F247" i="9" a="1"/>
  <c r="F247" i="9" s="1"/>
  <c r="D250" i="9" a="1"/>
  <c r="D250" i="9" s="1"/>
  <c r="C249" i="9" a="1"/>
  <c r="C249" i="9" s="1"/>
  <c r="C250" i="9" a="1"/>
  <c r="C250" i="9" s="1"/>
  <c r="B248" i="9" a="1"/>
  <c r="B248" i="9" s="1"/>
  <c r="C248" i="9" a="1"/>
  <c r="C248" i="9" s="1"/>
  <c r="G248" i="9" a="1"/>
  <c r="G248" i="9" s="1"/>
  <c r="D249" i="9" a="1"/>
  <c r="D249" i="9" s="1"/>
  <c r="H249" i="9" a="1"/>
  <c r="H249" i="9" s="1"/>
  <c r="E248" i="9" a="1"/>
  <c r="E248" i="9" s="1"/>
  <c r="F249" i="9" a="1"/>
  <c r="F249" i="9" s="1"/>
  <c r="B247" i="9" a="1"/>
  <c r="B247" i="9" s="1"/>
  <c r="C247" i="9" a="1"/>
  <c r="C247" i="9" s="1"/>
  <c r="D247" i="9" a="1"/>
  <c r="D247" i="9" s="1"/>
  <c r="F248" i="9" a="1"/>
  <c r="F248" i="9" s="1"/>
  <c r="E250" i="9" a="1"/>
  <c r="E250" i="9" s="1"/>
  <c r="B249" i="9" a="1"/>
  <c r="B249" i="9" s="1"/>
  <c r="E249" i="9" a="1"/>
  <c r="E249" i="9" s="1"/>
  <c r="G249" i="9" a="1"/>
  <c r="G249" i="9" s="1"/>
  <c r="G249" i="4" a="1"/>
  <c r="G249" i="4" s="1"/>
  <c r="F248" i="4" a="1"/>
  <c r="F248" i="4" s="1"/>
  <c r="F249" i="4" a="1"/>
  <c r="F249" i="4" s="1"/>
  <c r="F250" i="4" a="1"/>
  <c r="F250" i="4" s="1"/>
  <c r="G250" i="4" a="1"/>
  <c r="G250" i="4" s="1"/>
  <c r="H250" i="4" a="1"/>
  <c r="H250" i="4" s="1"/>
  <c r="G247" i="4" a="1"/>
  <c r="G247" i="4" s="1"/>
  <c r="H248" i="4" a="1"/>
  <c r="H248" i="4" s="1"/>
  <c r="B248" i="4" a="1"/>
  <c r="B248" i="4" s="1"/>
  <c r="B249" i="4" a="1"/>
  <c r="B249" i="4" s="1"/>
  <c r="C248" i="4" a="1"/>
  <c r="C248" i="4" s="1"/>
  <c r="I263" i="9"/>
  <c r="I262" i="9"/>
  <c r="I277" i="9"/>
  <c r="I261" i="9"/>
  <c r="I266" i="9"/>
  <c r="I269" i="9"/>
  <c r="I265" i="9"/>
  <c r="I258" i="9"/>
  <c r="I271" i="9"/>
  <c r="I273" i="9"/>
  <c r="I268" i="9"/>
  <c r="I264" i="9"/>
  <c r="I276" i="9"/>
  <c r="I275" i="9"/>
  <c r="I260" i="9"/>
  <c r="I259" i="9"/>
  <c r="I270" i="9"/>
  <c r="I267" i="9"/>
  <c r="I274" i="9"/>
  <c r="I272" i="9"/>
  <c r="H247" i="7" a="1"/>
  <c r="H247" i="7" s="1"/>
  <c r="H249" i="7" a="1"/>
  <c r="H249" i="7" s="1"/>
  <c r="G247" i="7" a="1"/>
  <c r="G247" i="7" s="1"/>
  <c r="D248" i="7" a="1"/>
  <c r="D248" i="7" s="1"/>
  <c r="C249" i="7" a="1"/>
  <c r="C249" i="7" s="1"/>
  <c r="C250" i="7" a="1"/>
  <c r="C250" i="7" s="1"/>
  <c r="C247" i="7" a="1"/>
  <c r="C247" i="7" s="1"/>
  <c r="D247" i="7" a="1"/>
  <c r="D247" i="7" s="1"/>
  <c r="F248" i="7" a="1"/>
  <c r="F248" i="7" s="1"/>
  <c r="H248" i="7" a="1"/>
  <c r="H248" i="7" s="1"/>
  <c r="D249" i="7" a="1"/>
  <c r="D249" i="7" s="1"/>
  <c r="E249" i="7" a="1"/>
  <c r="E249" i="7" s="1"/>
  <c r="E247" i="7" a="1"/>
  <c r="E247" i="7" s="1"/>
  <c r="I272" i="7"/>
  <c r="I262" i="7"/>
  <c r="I266" i="7"/>
  <c r="I274" i="7"/>
  <c r="I258" i="7"/>
  <c r="I264" i="7"/>
  <c r="I268" i="7"/>
  <c r="I270" i="7"/>
  <c r="I260" i="7"/>
  <c r="I276" i="7"/>
  <c r="I257" i="7"/>
  <c r="I259" i="7"/>
  <c r="I261" i="7"/>
  <c r="I263" i="7"/>
  <c r="I265" i="7"/>
  <c r="I267" i="7"/>
  <c r="I269" i="7"/>
  <c r="I271" i="7"/>
  <c r="I273" i="7"/>
  <c r="I275" i="7"/>
  <c r="I277" i="7"/>
  <c r="I270" i="4"/>
  <c r="I272" i="4"/>
  <c r="I258" i="4"/>
  <c r="I262" i="4"/>
  <c r="I264" i="4"/>
  <c r="I268" i="4"/>
  <c r="I274" i="4"/>
  <c r="I257" i="4"/>
  <c r="I259" i="4"/>
  <c r="I261" i="4"/>
  <c r="I263" i="4"/>
  <c r="I265" i="4"/>
  <c r="I267" i="4"/>
  <c r="I269" i="4"/>
  <c r="I271" i="4"/>
  <c r="I273" i="4"/>
  <c r="I275" i="4"/>
  <c r="I277" i="4"/>
  <c r="I260" i="4"/>
  <c r="I266" i="4"/>
  <c r="I276" i="4"/>
  <c r="N22" i="7"/>
  <c r="F249" i="7" s="1" a="1"/>
  <c r="F249" i="7" s="1"/>
  <c r="P22" i="7"/>
  <c r="H250" i="7" s="1" a="1"/>
  <c r="H250" i="7" s="1"/>
  <c r="O22" i="7"/>
  <c r="G250" i="7" s="1" a="1"/>
  <c r="G250" i="7" s="1"/>
  <c r="L22" i="7"/>
  <c r="D250" i="7" s="1" a="1"/>
  <c r="D250" i="7" s="1"/>
  <c r="M22" i="7"/>
  <c r="E250" i="7" s="1" a="1"/>
  <c r="E250" i="7" s="1"/>
  <c r="D13" i="7"/>
  <c r="J22" i="7"/>
  <c r="B249" i="7" s="1" a="1"/>
  <c r="B249" i="7" s="1"/>
  <c r="B247" i="4" a="1"/>
  <c r="B247" i="4" s="1"/>
  <c r="C249" i="4" a="1"/>
  <c r="C249" i="4" s="1"/>
  <c r="D250" i="4" a="1"/>
  <c r="D250" i="4" s="1"/>
  <c r="E249" i="4" a="1"/>
  <c r="E249" i="4" s="1"/>
  <c r="C271" i="7" a="1"/>
  <c r="C262" i="7" a="1"/>
  <c r="C264" i="7" a="1"/>
  <c r="C272" i="7" a="1"/>
  <c r="C267" i="7" a="1"/>
  <c r="C265" i="7" a="1"/>
  <c r="C275" i="7" a="1"/>
  <c r="C257" i="7" a="1"/>
  <c r="C258" i="7" a="1"/>
  <c r="C268" i="7" a="1"/>
  <c r="C273" i="7" a="1"/>
  <c r="C266" i="7" a="1"/>
  <c r="C260" i="7" a="1"/>
  <c r="C261" i="7" a="1"/>
  <c r="C269" i="7" a="1"/>
  <c r="C277" i="7" a="1"/>
  <c r="C270" i="7" a="1"/>
  <c r="C263" i="7" a="1"/>
  <c r="C274" i="7" a="1"/>
  <c r="C259" i="7" a="1"/>
  <c r="C276" i="7" a="1"/>
  <c r="H258" i="7" a="1"/>
  <c r="H274" i="7" a="1"/>
  <c r="H270" i="7" a="1"/>
  <c r="H259" i="7" a="1"/>
  <c r="H263" i="7" a="1"/>
  <c r="H267" i="7" a="1"/>
  <c r="H275" i="7" a="1"/>
  <c r="H264" i="7" a="1"/>
  <c r="H272" i="7" a="1"/>
  <c r="H261" i="7" a="1"/>
  <c r="H265" i="7" a="1"/>
  <c r="H269" i="7" a="1"/>
  <c r="H273" i="7" a="1"/>
  <c r="H277" i="7" a="1"/>
  <c r="H262" i="7" a="1"/>
  <c r="H266" i="7" a="1"/>
  <c r="H271" i="7" a="1"/>
  <c r="H260" i="7" a="1"/>
  <c r="H268" i="7" a="1"/>
  <c r="H276" i="7" a="1"/>
  <c r="H257" i="7" a="1"/>
  <c r="D262" i="7" a="1"/>
  <c r="D263" i="7" a="1"/>
  <c r="D264" i="7" a="1"/>
  <c r="D266" i="7" a="1"/>
  <c r="D270" i="7" a="1"/>
  <c r="D272" i="7" a="1"/>
  <c r="D273" i="7" a="1"/>
  <c r="D258" i="7" a="1"/>
  <c r="D274" i="7" a="1"/>
  <c r="D259" i="7" a="1"/>
  <c r="D275" i="7" a="1"/>
  <c r="D260" i="7" a="1"/>
  <c r="D276" i="7" a="1"/>
  <c r="D265" i="7" a="1"/>
  <c r="D267" i="7" a="1"/>
  <c r="D268" i="7" a="1"/>
  <c r="D269" i="7" a="1"/>
  <c r="D271" i="7" a="1"/>
  <c r="D261" i="7" a="1"/>
  <c r="D277" i="7" a="1"/>
  <c r="C264" i="9" a="1"/>
  <c r="C259" i="9" a="1"/>
  <c r="C261" i="9" a="1"/>
  <c r="C274" i="9" a="1"/>
  <c r="C258" i="9" a="1"/>
  <c r="C273" i="9" a="1"/>
  <c r="C257" i="9" a="1"/>
  <c r="C266" i="9" a="1"/>
  <c r="C270" i="9" a="1"/>
  <c r="C260" i="9" a="1"/>
  <c r="C263" i="9" a="1"/>
  <c r="C267" i="9" a="1"/>
  <c r="C277" i="9" a="1"/>
  <c r="C275" i="9" a="1"/>
  <c r="C262" i="9" a="1"/>
  <c r="C272" i="9" a="1"/>
  <c r="C276" i="9" a="1"/>
  <c r="C271" i="9" a="1"/>
  <c r="C268" i="9" a="1"/>
  <c r="C269" i="9" a="1"/>
  <c r="C265" i="9" a="1"/>
  <c r="D273" i="9" a="1"/>
  <c r="D257" i="9" a="1"/>
  <c r="D268" i="9" a="1"/>
  <c r="D263" i="9" a="1"/>
  <c r="D272" i="9" a="1"/>
  <c r="D269" i="9" a="1"/>
  <c r="D259" i="9" a="1"/>
  <c r="D277" i="9" a="1"/>
  <c r="D270" i="9" a="1"/>
  <c r="D266" i="9" a="1"/>
  <c r="D275" i="9" a="1"/>
  <c r="D261" i="9" a="1"/>
  <c r="D265" i="9" a="1"/>
  <c r="D258" i="9" a="1"/>
  <c r="D267" i="9" a="1"/>
  <c r="D264" i="9" a="1"/>
  <c r="D274" i="9" a="1"/>
  <c r="D276" i="9" a="1"/>
  <c r="D262" i="9" a="1"/>
  <c r="D271" i="9" a="1"/>
  <c r="D260" i="9" a="1"/>
  <c r="H277" i="9" a="1"/>
  <c r="H261" i="9" a="1"/>
  <c r="H268" i="9" a="1"/>
  <c r="H272" i="9" a="1"/>
  <c r="H262" i="9" a="1"/>
  <c r="H264" i="9" a="1"/>
  <c r="H259" i="9" a="1"/>
  <c r="H270" i="9" a="1"/>
  <c r="H265" i="9" a="1"/>
  <c r="H274" i="9" a="1"/>
  <c r="H269" i="9" a="1"/>
  <c r="H276" i="9" a="1"/>
  <c r="H271" i="9" a="1"/>
  <c r="H257" i="9" a="1"/>
  <c r="H263" i="9" a="1"/>
  <c r="H258" i="9" a="1"/>
  <c r="H267" i="9" a="1"/>
  <c r="H260" i="9" a="1"/>
  <c r="H273" i="9" a="1"/>
  <c r="H266" i="9" a="1"/>
  <c r="H275" i="9" a="1"/>
  <c r="F275" i="9" a="1"/>
  <c r="F259" i="9" a="1"/>
  <c r="F272" i="9" a="1"/>
  <c r="F258" i="9" a="1"/>
  <c r="F262" i="9" a="1"/>
  <c r="F268" i="9" a="1"/>
  <c r="F261" i="9" a="1"/>
  <c r="F274" i="9" a="1"/>
  <c r="F273" i="9" a="1"/>
  <c r="F270" i="9" a="1"/>
  <c r="F276" i="9" a="1"/>
  <c r="F264" i="9" a="1"/>
  <c r="F277" i="9" a="1"/>
  <c r="F263" i="9" a="1"/>
  <c r="F265" i="9" a="1"/>
  <c r="F269" i="9" a="1"/>
  <c r="F267" i="9" a="1"/>
  <c r="F271" i="9" a="1"/>
  <c r="F260" i="9" a="1"/>
  <c r="F257" i="9" a="1"/>
  <c r="F266" i="9" a="1"/>
  <c r="E260" i="9" a="1"/>
  <c r="E264" i="9" a="1"/>
  <c r="E276" i="9" a="1"/>
  <c r="E277" i="9" a="1"/>
  <c r="E269" i="9" a="1"/>
  <c r="E267" i="9" a="1"/>
  <c r="E270" i="9" a="1"/>
  <c r="E268" i="9" a="1"/>
  <c r="E262" i="9" a="1"/>
  <c r="E258" i="9" a="1"/>
  <c r="E265" i="9" a="1"/>
  <c r="E257" i="9" a="1"/>
  <c r="E273" i="9" a="1"/>
  <c r="E271" i="9" a="1"/>
  <c r="E263" i="9" a="1"/>
  <c r="E261" i="9" a="1"/>
  <c r="E259" i="9" a="1"/>
  <c r="E275" i="9" a="1"/>
  <c r="E274" i="9" a="1"/>
  <c r="E272" i="9" a="1"/>
  <c r="E266" i="9" a="1"/>
  <c r="F262" i="4" a="1"/>
  <c r="F269" i="4" a="1"/>
  <c r="F271" i="4" a="1"/>
  <c r="F258" i="4" a="1"/>
  <c r="F274" i="4" a="1"/>
  <c r="F276" i="4" a="1"/>
  <c r="F267" i="4" a="1"/>
  <c r="F273" i="4" a="1"/>
  <c r="F263" i="4" a="1"/>
  <c r="F266" i="4" a="1"/>
  <c r="F257" i="4" a="1"/>
  <c r="F264" i="4" a="1"/>
  <c r="F260" i="4" a="1"/>
  <c r="F261" i="4" a="1"/>
  <c r="F277" i="4" a="1"/>
  <c r="F268" i="4" a="1"/>
  <c r="F265" i="4" a="1"/>
  <c r="F272" i="4" a="1"/>
  <c r="F270" i="4" a="1"/>
  <c r="F259" i="4" a="1"/>
  <c r="F275" i="4" a="1"/>
  <c r="H268" i="4" a="1"/>
  <c r="H264" i="4" a="1"/>
  <c r="H271" i="4" a="1"/>
  <c r="H257" i="4" a="1"/>
  <c r="H273" i="4" a="1"/>
  <c r="H259" i="4" a="1"/>
  <c r="H275" i="4" a="1"/>
  <c r="H266" i="4" a="1"/>
  <c r="H260" i="4" a="1"/>
  <c r="H276" i="4" a="1"/>
  <c r="H274" i="4" a="1"/>
  <c r="H265" i="4" a="1"/>
  <c r="H269" i="4" a="1"/>
  <c r="H263" i="4" a="1"/>
  <c r="H270" i="4" a="1"/>
  <c r="H262" i="4" a="1"/>
  <c r="H267" i="4" a="1"/>
  <c r="H258" i="4" a="1"/>
  <c r="H261" i="4" a="1"/>
  <c r="H277" i="4" a="1"/>
  <c r="H272" i="4" a="1"/>
  <c r="D257" i="7" a="1"/>
  <c r="G274" i="9" a="1"/>
  <c r="G258" i="9" a="1"/>
  <c r="G276" i="9" a="1"/>
  <c r="G270" i="9" a="1"/>
  <c r="G275" i="9" a="1"/>
  <c r="G266" i="9" a="1"/>
  <c r="G268" i="9" a="1"/>
  <c r="G272" i="9" a="1"/>
  <c r="G263" i="9" a="1"/>
  <c r="G257" i="9" a="1"/>
  <c r="G261" i="9" a="1"/>
  <c r="G264" i="9" a="1"/>
  <c r="G259" i="9" a="1"/>
  <c r="G273" i="9" a="1"/>
  <c r="G265" i="9" a="1"/>
  <c r="G267" i="9" a="1"/>
  <c r="G260" i="9" a="1"/>
  <c r="G262" i="9" a="1"/>
  <c r="G277" i="9" a="1"/>
  <c r="G269" i="9" a="1"/>
  <c r="G271" i="9" a="1"/>
  <c r="B257" i="9" a="1"/>
  <c r="B266" i="9" a="1"/>
  <c r="B259" i="9" a="1"/>
  <c r="B277" i="9" a="1"/>
  <c r="B263" i="9" a="1"/>
  <c r="B265" i="9" a="1"/>
  <c r="B275" i="9" a="1"/>
  <c r="B268" i="9" a="1"/>
  <c r="B260" i="9" a="1"/>
  <c r="B273" i="9" a="1"/>
  <c r="B274" i="9" a="1"/>
  <c r="B272" i="9" a="1"/>
  <c r="B261" i="9" a="1"/>
  <c r="B270" i="9" a="1"/>
  <c r="B271" i="9" a="1"/>
  <c r="B258" i="9" a="1"/>
  <c r="B269" i="9" a="1"/>
  <c r="B267" i="9" a="1"/>
  <c r="B276" i="9" a="1"/>
  <c r="B264" i="9" a="1"/>
  <c r="B262" i="9" a="1"/>
  <c r="G258" i="4" a="1"/>
  <c r="G274" i="4" a="1"/>
  <c r="G259" i="4" a="1"/>
  <c r="G262" i="4" a="1"/>
  <c r="G264" i="4" a="1"/>
  <c r="G260" i="4" a="1"/>
  <c r="G273" i="4" a="1"/>
  <c r="G269" i="4" a="1"/>
  <c r="G270" i="4" a="1"/>
  <c r="G276" i="4" a="1"/>
  <c r="G265" i="4" a="1"/>
  <c r="G268" i="4" a="1"/>
  <c r="G271" i="4" a="1"/>
  <c r="G266" i="4" a="1"/>
  <c r="G272" i="4" a="1"/>
  <c r="G257" i="4" a="1"/>
  <c r="G275" i="4" a="1"/>
  <c r="G261" i="4" a="1"/>
  <c r="G267" i="4" a="1"/>
  <c r="G277" i="4" a="1"/>
  <c r="G263" i="4" a="1"/>
  <c r="D17" i="9" l="1"/>
  <c r="E17" i="9" s="1"/>
  <c r="D16" i="9"/>
  <c r="E16" i="9" s="1"/>
  <c r="C250" i="4" a="1"/>
  <c r="C250" i="4" s="1"/>
  <c r="B250" i="4" a="1"/>
  <c r="B250" i="4" s="1"/>
  <c r="E247" i="4" a="1"/>
  <c r="E247" i="4" s="1"/>
  <c r="C247" i="4" a="1"/>
  <c r="C247" i="4" s="1"/>
  <c r="D248" i="4" a="1"/>
  <c r="D248" i="4" s="1"/>
  <c r="E250" i="4" a="1"/>
  <c r="E250" i="4" s="1"/>
  <c r="D247" i="4" a="1"/>
  <c r="D247" i="4" s="1"/>
  <c r="D249" i="4" a="1"/>
  <c r="D249" i="4" s="1"/>
  <c r="D16" i="4"/>
  <c r="D17" i="4"/>
  <c r="E17" i="4" s="1"/>
  <c r="E248" i="4" a="1"/>
  <c r="E248" i="4" s="1"/>
  <c r="E248" i="7" a="1"/>
  <c r="E248" i="7" s="1"/>
  <c r="D17" i="7"/>
  <c r="E17" i="7" s="1"/>
  <c r="D16" i="7"/>
  <c r="E16" i="7" s="1"/>
  <c r="D277" i="7"/>
  <c r="D261" i="7"/>
  <c r="D271" i="7"/>
  <c r="D269" i="7"/>
  <c r="D268" i="7"/>
  <c r="D267" i="7"/>
  <c r="D265" i="7"/>
  <c r="D276" i="7"/>
  <c r="D260" i="7"/>
  <c r="D275" i="7"/>
  <c r="D259" i="7"/>
  <c r="D274" i="7"/>
  <c r="D258" i="7"/>
  <c r="D273" i="7"/>
  <c r="D272" i="7"/>
  <c r="D270" i="7"/>
  <c r="D266" i="7"/>
  <c r="D264" i="7"/>
  <c r="D263" i="7"/>
  <c r="D262" i="7"/>
  <c r="H257" i="7"/>
  <c r="H276" i="7"/>
  <c r="H268" i="7"/>
  <c r="H260" i="7"/>
  <c r="H271" i="7"/>
  <c r="H266" i="7"/>
  <c r="H262" i="7"/>
  <c r="H277" i="7"/>
  <c r="H273" i="7"/>
  <c r="H269" i="7"/>
  <c r="H265" i="7"/>
  <c r="H261" i="7"/>
  <c r="H272" i="7"/>
  <c r="H264" i="7"/>
  <c r="H275" i="7"/>
  <c r="H267" i="7"/>
  <c r="H263" i="7"/>
  <c r="H259" i="7"/>
  <c r="H270" i="7"/>
  <c r="H274" i="7"/>
  <c r="H258" i="7"/>
  <c r="C276" i="7"/>
  <c r="C259" i="7"/>
  <c r="C274" i="7"/>
  <c r="C263" i="7"/>
  <c r="C270" i="7"/>
  <c r="C277" i="7"/>
  <c r="C269" i="7"/>
  <c r="C261" i="7"/>
  <c r="C260" i="7"/>
  <c r="C266" i="7"/>
  <c r="C273" i="7"/>
  <c r="C268" i="7"/>
  <c r="C258" i="7"/>
  <c r="C257" i="7"/>
  <c r="C275" i="7"/>
  <c r="C265" i="7"/>
  <c r="C267" i="7"/>
  <c r="C272" i="7"/>
  <c r="C264" i="7"/>
  <c r="C262" i="7"/>
  <c r="C271" i="7"/>
  <c r="G249" i="7" a="1"/>
  <c r="G249" i="7" s="1"/>
  <c r="F247" i="7" a="1"/>
  <c r="F247" i="7" s="1"/>
  <c r="B247" i="7" a="1"/>
  <c r="B247" i="7" s="1"/>
  <c r="B248" i="7" a="1"/>
  <c r="B248" i="7" s="1"/>
  <c r="G248" i="7" a="1"/>
  <c r="G248" i="7" s="1"/>
  <c r="F250" i="7" a="1"/>
  <c r="F250" i="7" s="1"/>
  <c r="B250" i="7" a="1"/>
  <c r="B250" i="7" s="1"/>
  <c r="E266" i="9"/>
  <c r="E272" i="9"/>
  <c r="E274" i="9"/>
  <c r="E275" i="9"/>
  <c r="E259" i="9"/>
  <c r="E261" i="9"/>
  <c r="E263" i="9"/>
  <c r="E271" i="9"/>
  <c r="E273" i="9"/>
  <c r="E257" i="9"/>
  <c r="E265" i="9"/>
  <c r="E258" i="9"/>
  <c r="E262" i="9"/>
  <c r="E268" i="9"/>
  <c r="E270" i="9"/>
  <c r="E267" i="9"/>
  <c r="E269" i="9"/>
  <c r="E277" i="9"/>
  <c r="E276" i="9"/>
  <c r="E264" i="9"/>
  <c r="E260" i="9"/>
  <c r="F266" i="9"/>
  <c r="F257" i="9"/>
  <c r="F260" i="9"/>
  <c r="F271" i="9"/>
  <c r="F267" i="9"/>
  <c r="F269" i="9"/>
  <c r="F265" i="9"/>
  <c r="F263" i="9"/>
  <c r="F277" i="9"/>
  <c r="F264" i="9"/>
  <c r="F276" i="9"/>
  <c r="F270" i="9"/>
  <c r="F273" i="9"/>
  <c r="F274" i="9"/>
  <c r="F261" i="9"/>
  <c r="F268" i="9"/>
  <c r="F262" i="9"/>
  <c r="F258" i="9"/>
  <c r="F272" i="9"/>
  <c r="F259" i="9"/>
  <c r="F275" i="9"/>
  <c r="G275" i="9"/>
  <c r="G273" i="9"/>
  <c r="G270" i="9"/>
  <c r="G259" i="9"/>
  <c r="G266" i="9"/>
  <c r="G271" i="9"/>
  <c r="G276" i="9"/>
  <c r="G258" i="9"/>
  <c r="G274" i="9"/>
  <c r="G264" i="9"/>
  <c r="G269" i="9"/>
  <c r="G261" i="9"/>
  <c r="G277" i="9"/>
  <c r="G257" i="9"/>
  <c r="G262" i="9"/>
  <c r="G260" i="9"/>
  <c r="G267" i="9"/>
  <c r="G265" i="9"/>
  <c r="G263" i="9"/>
  <c r="G272" i="9"/>
  <c r="G268" i="9"/>
  <c r="B260" i="9"/>
  <c r="B274" i="9"/>
  <c r="B276" i="9"/>
  <c r="B267" i="9"/>
  <c r="B262" i="9"/>
  <c r="B269" i="9"/>
  <c r="B258" i="9"/>
  <c r="B270" i="9"/>
  <c r="B261" i="9"/>
  <c r="B268" i="9"/>
  <c r="B273" i="9"/>
  <c r="B275" i="9"/>
  <c r="B257" i="9"/>
  <c r="B265" i="9"/>
  <c r="B263" i="9"/>
  <c r="B277" i="9"/>
  <c r="B259" i="9"/>
  <c r="B266" i="9"/>
  <c r="B264" i="9"/>
  <c r="B272" i="9"/>
  <c r="B271" i="9"/>
  <c r="H275" i="9"/>
  <c r="H266" i="9"/>
  <c r="H273" i="9"/>
  <c r="H260" i="9"/>
  <c r="H267" i="9"/>
  <c r="H258" i="9"/>
  <c r="H263" i="9"/>
  <c r="H257" i="9"/>
  <c r="H271" i="9"/>
  <c r="H276" i="9"/>
  <c r="H269" i="9"/>
  <c r="H274" i="9"/>
  <c r="H265" i="9"/>
  <c r="H270" i="9"/>
  <c r="H259" i="9"/>
  <c r="H264" i="9"/>
  <c r="H262" i="9"/>
  <c r="H272" i="9"/>
  <c r="H268" i="9"/>
  <c r="H261" i="9"/>
  <c r="H277" i="9"/>
  <c r="D260" i="9"/>
  <c r="D271" i="9"/>
  <c r="D262" i="9"/>
  <c r="D276" i="9"/>
  <c r="D274" i="9"/>
  <c r="D264" i="9"/>
  <c r="D267" i="9"/>
  <c r="D258" i="9"/>
  <c r="D265" i="9"/>
  <c r="D261" i="9"/>
  <c r="D275" i="9"/>
  <c r="D266" i="9"/>
  <c r="D270" i="9"/>
  <c r="D277" i="9"/>
  <c r="D259" i="9"/>
  <c r="D269" i="9"/>
  <c r="D272" i="9"/>
  <c r="D263" i="9"/>
  <c r="D268" i="9"/>
  <c r="D257" i="9"/>
  <c r="D273" i="9"/>
  <c r="C265" i="9"/>
  <c r="C269" i="9"/>
  <c r="C268" i="9"/>
  <c r="C271" i="9"/>
  <c r="C276" i="9"/>
  <c r="C272" i="9"/>
  <c r="C262" i="9"/>
  <c r="C275" i="9"/>
  <c r="C277" i="9"/>
  <c r="C267" i="9"/>
  <c r="C263" i="9"/>
  <c r="C260" i="9"/>
  <c r="C270" i="9"/>
  <c r="C266" i="9"/>
  <c r="C257" i="9"/>
  <c r="C273" i="9"/>
  <c r="C258" i="9"/>
  <c r="C274" i="9"/>
  <c r="C261" i="9"/>
  <c r="C259" i="9"/>
  <c r="C264" i="9"/>
  <c r="H272" i="4"/>
  <c r="H277" i="4"/>
  <c r="H261" i="4"/>
  <c r="H258" i="4"/>
  <c r="H267" i="4"/>
  <c r="H262" i="4"/>
  <c r="H270" i="4"/>
  <c r="H263" i="4"/>
  <c r="H269" i="4"/>
  <c r="H265" i="4"/>
  <c r="H274" i="4"/>
  <c r="H276" i="4"/>
  <c r="H260" i="4"/>
  <c r="H266" i="4"/>
  <c r="H275" i="4"/>
  <c r="H259" i="4"/>
  <c r="H273" i="4"/>
  <c r="H257" i="4"/>
  <c r="H271" i="4"/>
  <c r="H264" i="4"/>
  <c r="H268" i="4"/>
  <c r="G268" i="4"/>
  <c r="G265" i="4"/>
  <c r="G274" i="4"/>
  <c r="G258" i="4"/>
  <c r="G276" i="4"/>
  <c r="G277" i="4"/>
  <c r="G261" i="4"/>
  <c r="G275" i="4"/>
  <c r="G270" i="4"/>
  <c r="G263" i="4"/>
  <c r="G257" i="4"/>
  <c r="G269" i="4"/>
  <c r="G272" i="4"/>
  <c r="G273" i="4"/>
  <c r="G267" i="4"/>
  <c r="G260" i="4"/>
  <c r="G266" i="4"/>
  <c r="G264" i="4"/>
  <c r="G262" i="4"/>
  <c r="G271" i="4"/>
  <c r="G259" i="4"/>
  <c r="F275" i="4"/>
  <c r="F259" i="4"/>
  <c r="F270" i="4"/>
  <c r="F272" i="4"/>
  <c r="F265" i="4"/>
  <c r="F268" i="4"/>
  <c r="F277" i="4"/>
  <c r="F261" i="4"/>
  <c r="F260" i="4"/>
  <c r="F264" i="4"/>
  <c r="F257" i="4"/>
  <c r="F266" i="4"/>
  <c r="F263" i="4"/>
  <c r="F273" i="4"/>
  <c r="F267" i="4"/>
  <c r="F276" i="4"/>
  <c r="F274" i="4"/>
  <c r="F258" i="4"/>
  <c r="F271" i="4"/>
  <c r="F269" i="4"/>
  <c r="F262" i="4"/>
  <c r="D257" i="7"/>
  <c r="C270" i="4" a="1"/>
  <c r="C264" i="4" a="1"/>
  <c r="C257" i="4" a="1"/>
  <c r="C261" i="4" a="1"/>
  <c r="C265" i="4" a="1"/>
  <c r="C275" i="4" a="1"/>
  <c r="C259" i="4" a="1"/>
  <c r="C273" i="4" a="1"/>
  <c r="C266" i="4" a="1"/>
  <c r="C272" i="4" a="1"/>
  <c r="C268" i="4" a="1"/>
  <c r="C262" i="4" a="1"/>
  <c r="C277" i="4" a="1"/>
  <c r="C263" i="4" a="1"/>
  <c r="C271" i="4" a="1"/>
  <c r="C276" i="4" a="1"/>
  <c r="C260" i="4" a="1"/>
  <c r="C274" i="4" a="1"/>
  <c r="C258" i="4" a="1"/>
  <c r="C267" i="4" a="1"/>
  <c r="C269" i="4" a="1"/>
  <c r="D260" i="4" a="1"/>
  <c r="D276" i="4" a="1"/>
  <c r="D267" i="4" a="1"/>
  <c r="D269" i="4" a="1"/>
  <c r="D272" i="4" a="1"/>
  <c r="D265" i="4" a="1"/>
  <c r="D270" i="4" a="1"/>
  <c r="D261" i="4" a="1"/>
  <c r="D277" i="4" a="1"/>
  <c r="D259" i="4" a="1"/>
  <c r="D275" i="4" a="1"/>
  <c r="D264" i="4" a="1"/>
  <c r="D271" i="4" a="1"/>
  <c r="D262" i="4" a="1"/>
  <c r="D268" i="4" a="1"/>
  <c r="D258" i="4" a="1"/>
  <c r="D263" i="4" a="1"/>
  <c r="D266" i="4" a="1"/>
  <c r="D257" i="4" a="1"/>
  <c r="D273" i="4" a="1"/>
  <c r="D274" i="4" a="1"/>
  <c r="E259" i="4" a="1"/>
  <c r="E266" i="4" a="1"/>
  <c r="E263" i="4" a="1"/>
  <c r="E267" i="4" a="1"/>
  <c r="E261" i="4" a="1"/>
  <c r="E275" i="4" a="1"/>
  <c r="E257" i="4" a="1"/>
  <c r="E268" i="4" a="1"/>
  <c r="E277" i="4" a="1"/>
  <c r="E272" i="4" a="1"/>
  <c r="E271" i="4" a="1"/>
  <c r="E273" i="4" a="1"/>
  <c r="E270" i="4" a="1"/>
  <c r="E264" i="4" a="1"/>
  <c r="E274" i="4" a="1"/>
  <c r="E258" i="4" a="1"/>
  <c r="E265" i="4" a="1"/>
  <c r="E262" i="4" a="1"/>
  <c r="E276" i="4" a="1"/>
  <c r="E260" i="4" a="1"/>
  <c r="E269" i="4" a="1"/>
  <c r="E257" i="7" a="1"/>
  <c r="E277" i="7" a="1"/>
  <c r="E269" i="7" a="1"/>
  <c r="E261" i="7" a="1"/>
  <c r="E272" i="7" a="1"/>
  <c r="E260" i="7" a="1"/>
  <c r="E263" i="7" a="1"/>
  <c r="E273" i="7" a="1"/>
  <c r="E265" i="7" a="1"/>
  <c r="E268" i="7" a="1"/>
  <c r="E271" i="7" a="1"/>
  <c r="E274" i="7" a="1"/>
  <c r="E276" i="7" a="1"/>
  <c r="E267" i="7" a="1"/>
  <c r="E259" i="7" a="1"/>
  <c r="E266" i="7" a="1"/>
  <c r="E270" i="7" a="1"/>
  <c r="E258" i="7" a="1"/>
  <c r="E264" i="7" a="1"/>
  <c r="E275" i="7" a="1"/>
  <c r="E262" i="7" a="1"/>
  <c r="F275" i="7" a="1"/>
  <c r="F266" i="7" a="1"/>
  <c r="F263" i="7" a="1"/>
  <c r="F270" i="7" a="1"/>
  <c r="F267" i="7" a="1"/>
  <c r="F262" i="7" a="1"/>
  <c r="F271" i="7" a="1"/>
  <c r="F264" i="7" a="1"/>
  <c r="F268" i="7" a="1"/>
  <c r="F276" i="7" a="1"/>
  <c r="F261" i="7" a="1"/>
  <c r="F265" i="7" a="1"/>
  <c r="F269" i="7" a="1"/>
  <c r="F273" i="7" a="1"/>
  <c r="F258" i="7" a="1"/>
  <c r="F274" i="7" a="1"/>
  <c r="F259" i="7" a="1"/>
  <c r="F260" i="7" a="1"/>
  <c r="F272" i="7" a="1"/>
  <c r="F277" i="7" a="1"/>
  <c r="F257" i="7" a="1"/>
  <c r="Q26" i="9" a="1"/>
  <c r="Q23" i="9" a="1"/>
  <c r="Q28" i="9" a="1"/>
  <c r="Q24" i="9" a="1"/>
  <c r="Q25" i="9" a="1"/>
  <c r="Q29" i="9" a="1"/>
  <c r="Q30" i="9" a="1"/>
  <c r="Q31" i="9" a="1"/>
  <c r="Q33" i="9" a="1"/>
  <c r="Q34" i="9" a="1"/>
  <c r="Q35" i="9" a="1"/>
  <c r="Q27" i="9" a="1"/>
  <c r="Q32" i="9" a="1"/>
  <c r="G264" i="7" a="1"/>
  <c r="G274" i="7" a="1"/>
  <c r="G273" i="7" a="1"/>
  <c r="G269" i="7" a="1"/>
  <c r="G260" i="7" a="1"/>
  <c r="G271" i="7" a="1"/>
  <c r="G263" i="7" a="1"/>
  <c r="G282" i="7" a="1"/>
  <c r="G294" i="7" a="1"/>
  <c r="G291" i="7" a="1"/>
  <c r="G289" i="7" a="1"/>
  <c r="G297" i="7" a="1"/>
  <c r="G290" i="7" a="1"/>
  <c r="G295" i="7" a="1"/>
  <c r="G293" i="7" a="1"/>
  <c r="G284" i="7" a="1"/>
  <c r="G288" i="7" a="1"/>
  <c r="G278" i="7" a="1"/>
  <c r="G281" i="7" a="1"/>
  <c r="G283" i="7" a="1"/>
  <c r="G292" i="7" a="1"/>
  <c r="G286" i="7" a="1"/>
  <c r="G296" i="7" a="1"/>
  <c r="G287" i="7" a="1"/>
  <c r="G279" i="7" a="1"/>
  <c r="G280" i="7" a="1"/>
  <c r="G285" i="7" a="1"/>
  <c r="G275" i="7" a="1"/>
  <c r="G258" i="7" a="1"/>
  <c r="G267" i="7" a="1"/>
  <c r="G259" i="7" a="1"/>
  <c r="G261" i="7" a="1"/>
  <c r="G272" i="7" a="1"/>
  <c r="G266" i="7" a="1"/>
  <c r="G265" i="7" a="1"/>
  <c r="G262" i="7" a="1"/>
  <c r="G257" i="7" a="1"/>
  <c r="G270" i="7" a="1"/>
  <c r="G277" i="7" a="1"/>
  <c r="G276" i="7" a="1"/>
  <c r="G268" i="7" a="1"/>
  <c r="B257" i="7" a="1"/>
  <c r="B264" i="7" a="1"/>
  <c r="B297" i="7" a="1"/>
  <c r="B281" i="7" a="1"/>
  <c r="B282" i="7" a="1"/>
  <c r="B293" i="7" a="1"/>
  <c r="B292" i="7" a="1"/>
  <c r="B287" i="7" a="1"/>
  <c r="B284" i="7" a="1"/>
  <c r="B289" i="7" a="1"/>
  <c r="B291" i="7" a="1"/>
  <c r="B296" i="7" a="1"/>
  <c r="B286" i="7" a="1"/>
  <c r="B279" i="7" a="1"/>
  <c r="B290" i="7" a="1"/>
  <c r="B278" i="7" a="1"/>
  <c r="B280" i="7" a="1"/>
  <c r="B285" i="7" a="1"/>
  <c r="B295" i="7" a="1"/>
  <c r="B288" i="7" a="1"/>
  <c r="B294" i="7" a="1"/>
  <c r="B283" i="7" a="1"/>
  <c r="B262" i="7" a="1"/>
  <c r="B276" i="7" a="1"/>
  <c r="B266" i="7" a="1"/>
  <c r="B275" i="7" a="1"/>
  <c r="B268" i="7" a="1"/>
  <c r="B273" i="7" a="1"/>
  <c r="B267" i="7" a="1"/>
  <c r="B269" i="7" a="1"/>
  <c r="B277" i="7" a="1"/>
  <c r="B265" i="7" a="1"/>
  <c r="B259" i="7" a="1"/>
  <c r="B270" i="7" a="1"/>
  <c r="B258" i="7" a="1"/>
  <c r="B271" i="7" a="1"/>
  <c r="B261" i="7" a="1"/>
  <c r="B260" i="7" a="1"/>
  <c r="B274" i="7" a="1"/>
  <c r="B272" i="7" a="1"/>
  <c r="B263" i="7" a="1"/>
  <c r="B268" i="4" a="1"/>
  <c r="B263" i="4" a="1"/>
  <c r="B273" i="4" a="1"/>
  <c r="B257" i="4" a="1"/>
  <c r="B259" i="4" a="1"/>
  <c r="B277" i="4" a="1"/>
  <c r="B270" i="4" a="1"/>
  <c r="B272" i="4" a="1"/>
  <c r="B276" i="4" a="1"/>
  <c r="B275" i="4" a="1"/>
  <c r="B260" i="4" a="1"/>
  <c r="B274" i="4" a="1"/>
  <c r="B264" i="4" a="1"/>
  <c r="B271" i="4" a="1"/>
  <c r="B265" i="4" a="1"/>
  <c r="B267" i="4" a="1"/>
  <c r="B261" i="4" a="1"/>
  <c r="B266" i="4" a="1"/>
  <c r="B269" i="4" a="1"/>
  <c r="B262" i="4" a="1"/>
  <c r="B258" i="4" a="1"/>
  <c r="E19" i="4" a="1"/>
  <c r="Q27" i="7" a="1"/>
  <c r="Q35" i="7" a="1"/>
  <c r="Q23" i="7" a="1"/>
  <c r="Q25" i="7" a="1"/>
  <c r="Q32" i="7" a="1"/>
  <c r="Q34" i="7" a="1"/>
  <c r="Q33" i="7" a="1"/>
  <c r="Q28" i="7" a="1"/>
  <c r="Q31" i="7" a="1"/>
  <c r="Q30" i="7" a="1"/>
  <c r="Q29" i="7" a="1"/>
  <c r="Q24" i="7" a="1"/>
  <c r="Q26" i="7" a="1"/>
  <c r="Q32" i="9" l="1"/>
  <c r="Q27" i="9"/>
  <c r="Q35" i="9"/>
  <c r="Q34" i="9"/>
  <c r="Q33" i="9"/>
  <c r="Q31" i="9"/>
  <c r="Q30" i="9"/>
  <c r="Q29" i="9"/>
  <c r="Q25" i="9"/>
  <c r="Q24" i="9"/>
  <c r="Q28" i="9"/>
  <c r="Q23" i="9"/>
  <c r="Q26" i="9"/>
  <c r="F19" i="9"/>
  <c r="G285" i="7"/>
  <c r="G280" i="7"/>
  <c r="G279" i="7"/>
  <c r="G287" i="7"/>
  <c r="G296" i="7"/>
  <c r="G286" i="7"/>
  <c r="G292" i="7"/>
  <c r="G283" i="7"/>
  <c r="G281" i="7"/>
  <c r="G278" i="7"/>
  <c r="G288" i="7"/>
  <c r="G284" i="7"/>
  <c r="G293" i="7"/>
  <c r="G295" i="7"/>
  <c r="G290" i="7"/>
  <c r="G297" i="7"/>
  <c r="G289" i="7"/>
  <c r="G291" i="7"/>
  <c r="G294" i="7"/>
  <c r="G282" i="7"/>
  <c r="B283" i="7"/>
  <c r="B294" i="7"/>
  <c r="B288" i="7"/>
  <c r="B295" i="7"/>
  <c r="B285" i="7"/>
  <c r="B280" i="7"/>
  <c r="B278" i="7"/>
  <c r="B290" i="7"/>
  <c r="B279" i="7"/>
  <c r="B286" i="7"/>
  <c r="B296" i="7"/>
  <c r="B291" i="7"/>
  <c r="B289" i="7"/>
  <c r="B284" i="7"/>
  <c r="B287" i="7"/>
  <c r="B292" i="7"/>
  <c r="B293" i="7"/>
  <c r="B282" i="7"/>
  <c r="B281" i="7"/>
  <c r="B297" i="7"/>
  <c r="E19" i="4"/>
  <c r="E16" i="4"/>
  <c r="Q26" i="7"/>
  <c r="Q24" i="7"/>
  <c r="Q29" i="7"/>
  <c r="Q30" i="7"/>
  <c r="Q31" i="7"/>
  <c r="Q28" i="7"/>
  <c r="Q33" i="7"/>
  <c r="Q34" i="7"/>
  <c r="Q32" i="7"/>
  <c r="Q25" i="7"/>
  <c r="Q23" i="7"/>
  <c r="Q35" i="7"/>
  <c r="Q27" i="7"/>
  <c r="E269" i="4"/>
  <c r="E260" i="4"/>
  <c r="E276" i="4"/>
  <c r="E262" i="4"/>
  <c r="E265" i="4"/>
  <c r="E258" i="4"/>
  <c r="E274" i="4"/>
  <c r="E264" i="4"/>
  <c r="E270" i="4"/>
  <c r="E273" i="4"/>
  <c r="E271" i="4"/>
  <c r="E272" i="4"/>
  <c r="E277" i="4"/>
  <c r="E268" i="4"/>
  <c r="E257" i="4"/>
  <c r="E275" i="4"/>
  <c r="E261" i="4"/>
  <c r="E267" i="4"/>
  <c r="E263" i="4"/>
  <c r="E266" i="4"/>
  <c r="E259" i="4"/>
  <c r="D274" i="4"/>
  <c r="D273" i="4"/>
  <c r="D257" i="4"/>
  <c r="D266" i="4"/>
  <c r="D263" i="4"/>
  <c r="D258" i="4"/>
  <c r="D268" i="4"/>
  <c r="D262" i="4"/>
  <c r="D271" i="4"/>
  <c r="D264" i="4"/>
  <c r="D275" i="4"/>
  <c r="D259" i="4"/>
  <c r="D277" i="4"/>
  <c r="D261" i="4"/>
  <c r="D270" i="4"/>
  <c r="D265" i="4"/>
  <c r="D272" i="4"/>
  <c r="D269" i="4"/>
  <c r="D267" i="4"/>
  <c r="D276" i="4"/>
  <c r="D260" i="4"/>
  <c r="B267" i="4"/>
  <c r="B258" i="4"/>
  <c r="B274" i="4"/>
  <c r="B265" i="4"/>
  <c r="B262" i="4"/>
  <c r="B270" i="4"/>
  <c r="B260" i="4"/>
  <c r="B277" i="4"/>
  <c r="B269" i="4"/>
  <c r="B259" i="4"/>
  <c r="B275" i="4"/>
  <c r="B257" i="4"/>
  <c r="B273" i="4"/>
  <c r="B266" i="4"/>
  <c r="B276" i="4"/>
  <c r="B272" i="4"/>
  <c r="B263" i="4"/>
  <c r="B268" i="4"/>
  <c r="B271" i="4"/>
  <c r="B261" i="4"/>
  <c r="B264" i="4"/>
  <c r="C269" i="4"/>
  <c r="C267" i="4"/>
  <c r="C258" i="4"/>
  <c r="C274" i="4"/>
  <c r="C260" i="4"/>
  <c r="C276" i="4"/>
  <c r="C271" i="4"/>
  <c r="C263" i="4"/>
  <c r="C277" i="4"/>
  <c r="C262" i="4"/>
  <c r="C268" i="4"/>
  <c r="C272" i="4"/>
  <c r="C266" i="4"/>
  <c r="C273" i="4"/>
  <c r="C259" i="4"/>
  <c r="C275" i="4"/>
  <c r="C265" i="4"/>
  <c r="C261" i="4"/>
  <c r="C257" i="4"/>
  <c r="C264" i="4"/>
  <c r="C270" i="4"/>
  <c r="E262" i="7"/>
  <c r="E275" i="7"/>
  <c r="E264" i="7"/>
  <c r="E258" i="7"/>
  <c r="E270" i="7"/>
  <c r="E266" i="7"/>
  <c r="E259" i="7"/>
  <c r="E267" i="7"/>
  <c r="E276" i="7"/>
  <c r="E274" i="7"/>
  <c r="E271" i="7"/>
  <c r="E268" i="7"/>
  <c r="E265" i="7"/>
  <c r="E273" i="7"/>
  <c r="E263" i="7"/>
  <c r="E260" i="7"/>
  <c r="E272" i="7"/>
  <c r="E261" i="7"/>
  <c r="E269" i="7"/>
  <c r="E277" i="7"/>
  <c r="E257" i="7"/>
  <c r="F257" i="7"/>
  <c r="F277" i="7"/>
  <c r="F272" i="7"/>
  <c r="F260" i="7"/>
  <c r="F259" i="7"/>
  <c r="F274" i="7"/>
  <c r="F258" i="7"/>
  <c r="F273" i="7"/>
  <c r="F269" i="7"/>
  <c r="F265" i="7"/>
  <c r="F261" i="7"/>
  <c r="F276" i="7"/>
  <c r="F268" i="7"/>
  <c r="F264" i="7"/>
  <c r="F271" i="7"/>
  <c r="F262" i="7"/>
  <c r="F267" i="7"/>
  <c r="F270" i="7"/>
  <c r="F263" i="7"/>
  <c r="F266" i="7"/>
  <c r="F275" i="7"/>
  <c r="G262" i="7"/>
  <c r="G267" i="7"/>
  <c r="G266" i="7"/>
  <c r="G270" i="7"/>
  <c r="G263" i="7"/>
  <c r="G271" i="7"/>
  <c r="G260" i="7"/>
  <c r="G272" i="7"/>
  <c r="G261" i="7"/>
  <c r="G265" i="7"/>
  <c r="G269" i="7"/>
  <c r="G273" i="7"/>
  <c r="G258" i="7"/>
  <c r="G274" i="7"/>
  <c r="G259" i="7"/>
  <c r="G275" i="7"/>
  <c r="G264" i="7"/>
  <c r="G268" i="7"/>
  <c r="G276" i="7"/>
  <c r="G277" i="7"/>
  <c r="G257" i="7"/>
  <c r="B274" i="7"/>
  <c r="B260" i="7"/>
  <c r="B258" i="7"/>
  <c r="B273" i="7"/>
  <c r="B259" i="7"/>
  <c r="B265" i="7"/>
  <c r="B277" i="7"/>
  <c r="B269" i="7"/>
  <c r="B261" i="7"/>
  <c r="B268" i="7"/>
  <c r="B275" i="7"/>
  <c r="B266" i="7"/>
  <c r="B276" i="7"/>
  <c r="B267" i="7"/>
  <c r="B262" i="7"/>
  <c r="B264" i="7"/>
  <c r="B257" i="7"/>
  <c r="B271" i="7"/>
  <c r="B263" i="7"/>
  <c r="B270" i="7"/>
  <c r="B272" i="7"/>
  <c r="Q34" i="4" a="1"/>
  <c r="Q25" i="4" a="1"/>
  <c r="Q23" i="4" a="1"/>
  <c r="Q29" i="4" a="1"/>
  <c r="Q30" i="4" a="1"/>
  <c r="Q33" i="4" a="1"/>
  <c r="Q28" i="4" a="1"/>
  <c r="Q27" i="4" a="1"/>
  <c r="Q31" i="4" a="1"/>
  <c r="Q24" i="4" a="1"/>
  <c r="Q26" i="4" a="1"/>
  <c r="Q32" i="4" a="1"/>
  <c r="Q35" i="4" a="1"/>
  <c r="Q35" i="4" l="1"/>
  <c r="Q32" i="4"/>
  <c r="Q26" i="4"/>
  <c r="Q24" i="4"/>
  <c r="Q31" i="4"/>
  <c r="Q27" i="4"/>
  <c r="Q28" i="4"/>
  <c r="Q33" i="4"/>
  <c r="Q30" i="4"/>
  <c r="Q29" i="4"/>
  <c r="Q23" i="4"/>
  <c r="Q25" i="4"/>
  <c r="Q3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<sst xmlns="http://schemas.openxmlformats.org/spreadsheetml/2006/main" count="432" uniqueCount="80">
  <si>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</si>
  <si>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</si>
  <si>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</si>
  <si>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</si>
  <si>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</si>
  <si>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</si>
  <si>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</si>
  <si>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</si>
  <si>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</si>
  <si>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</si>
  <si>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</si>
  <si>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</si>
  <si>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</si>
  <si>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</si>
  <si>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</si>
  <si>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</si>
  <si>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</si>
  <si>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</si>
  <si>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</si>
  <si>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</si>
  <si>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</si>
  <si>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</si>
  <si>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</si>
  <si>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</si>
  <si>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</si>
  <si>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</si>
  <si>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</si>
  <si>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</si>
  <si>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Soft Point</t>
  </si>
  <si>
    <t>Estimated Error</t>
  </si>
  <si>
    <t>(cm)</t>
  </si>
  <si>
    <t>400m zero</t>
  </si>
  <si>
    <t>500m zero</t>
  </si>
  <si>
    <t>50m zero(G1 BC)</t>
  </si>
  <si>
    <t>Wind Drift</t>
  </si>
  <si>
    <t>Wind Drift (MOA)</t>
  </si>
  <si>
    <t>Wind Drift (MILS)</t>
  </si>
  <si>
    <t>Hollow Point</t>
  </si>
  <si>
    <t>Federal Barnes TSX</t>
  </si>
  <si>
    <t>Hornady 50m zero(G1 BC)</t>
  </si>
  <si>
    <t>Hornady 100m zero</t>
  </si>
  <si>
    <t>Hornady(150m zero)</t>
  </si>
  <si>
    <t>Hornady(200m zero)</t>
  </si>
  <si>
    <t>Hornady(300m zero)</t>
  </si>
  <si>
    <t>Hornday(400m zero)</t>
  </si>
  <si>
    <t>Hornady(500m Zero)</t>
  </si>
  <si>
    <t>Hornady 150m zero</t>
  </si>
  <si>
    <t>7mm-08 Remington</t>
  </si>
  <si>
    <t>Federal Power-Shok</t>
  </si>
  <si>
    <t>Federal Trophy-Bonded Tip</t>
  </si>
  <si>
    <t>Polymer-Tipped Hollow Point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</si>
  <si>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</si>
  <si>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</si>
  <si>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</si>
  <si>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</si>
  <si>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</si>
  <si>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</si>
  <si>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</si>
  <si>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</si>
  <si>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Trajectory Drop Polynomial Coefficients</t>
  </si>
  <si>
    <t>Energy Polynomial Coefficients</t>
  </si>
  <si>
    <t>Bushnell Elite Tactical FFP @21x</t>
  </si>
  <si>
    <t>Rifle Precision(MOA)</t>
  </si>
  <si>
    <t>Rifle Precision(MILS), Error(MILS)</t>
  </si>
  <si>
    <t>HunterSense POI Diameter</t>
  </si>
  <si>
    <t>Wind (m/s),(km/hr)</t>
  </si>
  <si>
    <t>Angular Resolution Scale Factor(su to mils)</t>
  </si>
  <si>
    <t>Outer Circle(scope units),(MILS)</t>
  </si>
  <si>
    <t>Inner Circle(scope units),(MILS)</t>
  </si>
  <si>
    <t>Error(SU)</t>
  </si>
  <si>
    <t>MILS</t>
  </si>
  <si>
    <t>Error(MILS)</t>
  </si>
  <si>
    <t>SU</t>
  </si>
  <si>
    <t>Probable Error</t>
  </si>
  <si>
    <t>Manufacturer's Data Sheet</t>
  </si>
  <si>
    <t>Bullet Weight(gr),(g)</t>
  </si>
  <si>
    <t>Caliber(in),(mm)</t>
  </si>
  <si>
    <t>n/a</t>
  </si>
  <si>
    <t>Muzzle Energy(flb),(J)</t>
  </si>
  <si>
    <t>Muzzle Velocity(fps),(m/s)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</si>
</sst>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E+00"/>
    <numFmt numFmtId="166" formatCode="0.000000E+00"/>
    <numFmt numFmtId="167" formatCode="0.000000"/>
    <numFmt numFmtId="168" formatCode="0.0000"/>
    <numFmt numFmtId="169" formatCode="#,##0.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4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165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164" fontId="0" fillId="3" borderId="0" xfId="0" applyNumberFormat="1" applyFill="1"/>
    <xf numFmtId="164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 wrapText="1"/>
    </xf>
    <xf numFmtId="168" fontId="0" fillId="0" borderId="0" xfId="0" applyNumberFormat="1"/>
    <xf numFmtId="0" fontId="0" fillId="4" borderId="0" xfId="0" applyFill="1"/>
    <xf numFmtId="0" fontId="0" fillId="0" borderId="2" xfId="0" applyBorder="1"/>
    <xf numFmtId="2" fontId="0" fillId="4" borderId="2" xfId="0" applyNumberFormat="1" applyFill="1" applyBorder="1"/>
    <xf numFmtId="2" fontId="0" fillId="0" borderId="2" xfId="0" applyNumberFormat="1" applyBorder="1"/>
    <xf numFmtId="0" fontId="0" fillId="4" borderId="1" xfId="0" applyFill="1" applyBorder="1"/>
    <xf numFmtId="2" fontId="1" fillId="4" borderId="1" xfId="0" applyNumberFormat="1" applyFont="1" applyFill="1" applyBorder="1"/>
    <xf numFmtId="2" fontId="1" fillId="4" borderId="2" xfId="0" applyNumberFormat="1" applyFont="1" applyFill="1" applyBorder="1"/>
    <xf numFmtId="0" fontId="0" fillId="0" borderId="6" xfId="0" applyBorder="1"/>
    <xf numFmtId="2" fontId="0" fillId="6" borderId="6" xfId="0" applyNumberFormat="1" applyFill="1" applyBorder="1"/>
    <xf numFmtId="0" fontId="1" fillId="6" borderId="0" xfId="0" applyFont="1" applyFill="1"/>
    <xf numFmtId="164" fontId="1" fillId="6" borderId="0" xfId="0" applyNumberFormat="1" applyFont="1" applyFill="1"/>
    <xf numFmtId="169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6" borderId="6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42227584455168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5276151468969604"/>
                  <c:y val="-0.3756199721371332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PHP'!$B$22:$B$35</c:f>
              <c:numCache>
                <c:formatCode>0.00</c:formatCode>
                <c:ptCount val="14"/>
                <c:pt idx="0">
                  <c:v>3303.8</c:v>
                </c:pt>
                <c:pt idx="1">
                  <c:v>3200.7</c:v>
                </c:pt>
                <c:pt idx="2">
                  <c:v>3096.6</c:v>
                </c:pt>
                <c:pt idx="3">
                  <c:v>2924.9</c:v>
                </c:pt>
                <c:pt idx="4">
                  <c:v>2807.6</c:v>
                </c:pt>
                <c:pt idx="5">
                  <c:v>2696.2</c:v>
                </c:pt>
                <c:pt idx="6">
                  <c:v>2570.6999999999998</c:v>
                </c:pt>
                <c:pt idx="7">
                  <c:v>2346.4</c:v>
                </c:pt>
                <c:pt idx="8">
                  <c:v>2145.9</c:v>
                </c:pt>
                <c:pt idx="9">
                  <c:v>1957.1</c:v>
                </c:pt>
                <c:pt idx="10">
                  <c:v>1787.4</c:v>
                </c:pt>
                <c:pt idx="11">
                  <c:v>1615.2</c:v>
                </c:pt>
                <c:pt idx="12">
                  <c:v>1468.8</c:v>
                </c:pt>
                <c:pt idx="13">
                  <c:v>1329.5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F-48FA-B84C-E6FD606F265E}"/>
            </c:ext>
          </c:extLst>
        </c:ser>
        <c:ser>
          <c:idx val="1"/>
          <c:order val="1"/>
          <c:tx>
            <c:strRef>
              <c:f>'Federal TrophyBonded PHP'!$A$78</c:f>
              <c:strCache>
                <c:ptCount val="1"/>
                <c:pt idx="0">
                  <c:v>Hornady 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1089323511980355"/>
                  <c:y val="-0.1258195833647126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PHP'!$C$80:$C$100</c:f>
              <c:numCache>
                <c:formatCode>0.00</c:formatCode>
                <c:ptCount val="21"/>
                <c:pt idx="0">
                  <c:v>3309</c:v>
                </c:pt>
                <c:pt idx="1">
                  <c:v>3171</c:v>
                </c:pt>
                <c:pt idx="2">
                  <c:v>3039</c:v>
                </c:pt>
                <c:pt idx="3">
                  <c:v>2910</c:v>
                </c:pt>
                <c:pt idx="4">
                  <c:v>2787</c:v>
                </c:pt>
                <c:pt idx="5">
                  <c:v>2667</c:v>
                </c:pt>
                <c:pt idx="6">
                  <c:v>2551</c:v>
                </c:pt>
                <c:pt idx="7">
                  <c:v>2440</c:v>
                </c:pt>
                <c:pt idx="8">
                  <c:v>2332</c:v>
                </c:pt>
                <c:pt idx="9">
                  <c:v>2228</c:v>
                </c:pt>
                <c:pt idx="10">
                  <c:v>2127</c:v>
                </c:pt>
                <c:pt idx="11">
                  <c:v>2030</c:v>
                </c:pt>
                <c:pt idx="12">
                  <c:v>1937</c:v>
                </c:pt>
                <c:pt idx="13">
                  <c:v>1846</c:v>
                </c:pt>
                <c:pt idx="14">
                  <c:v>1760</c:v>
                </c:pt>
                <c:pt idx="15">
                  <c:v>1676</c:v>
                </c:pt>
                <c:pt idx="16">
                  <c:v>1596</c:v>
                </c:pt>
                <c:pt idx="17">
                  <c:v>1519</c:v>
                </c:pt>
                <c:pt idx="18">
                  <c:v>1445</c:v>
                </c:pt>
                <c:pt idx="19">
                  <c:v>1374</c:v>
                </c:pt>
                <c:pt idx="20">
                  <c:v>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F-48FA-B84C-E6FD606F2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762107683510532E-2"/>
          <c:y val="9.1242312423124236E-2"/>
          <c:w val="0.79369939194398886"/>
          <c:h val="0.88169741697416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9059755355131992"/>
                  <c:y val="-0.3825189102284723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4.6687502171003894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-14.062501483154483</c:v>
                </c:pt>
                <c:pt idx="9">
                  <c:v>-33.750014238288458</c:v>
                </c:pt>
                <c:pt idx="10">
                  <c:v>-59.062556063296277</c:v>
                </c:pt>
                <c:pt idx="11">
                  <c:v>-90.000151875307537</c:v>
                </c:pt>
                <c:pt idx="12">
                  <c:v>-135.06790560926547</c:v>
                </c:pt>
                <c:pt idx="13">
                  <c:v>-187.42587785691833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A-49DF-9E05-061F28355714}"/>
            </c:ext>
          </c:extLst>
        </c:ser>
        <c:ser>
          <c:idx val="1"/>
          <c:order val="1"/>
          <c:tx>
            <c:strRef>
              <c:f>'Federal TrophyBonded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5531159026710435"/>
                  <c:y val="-0.2499725910644933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-3.0000000400000006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-39.960023632680461</c:v>
                </c:pt>
                <c:pt idx="10">
                  <c:v>-70.000093333482667</c:v>
                </c:pt>
                <c:pt idx="11">
                  <c:v>-93.28016909287939</c:v>
                </c:pt>
                <c:pt idx="12">
                  <c:v>-135.00040500145803</c:v>
                </c:pt>
                <c:pt idx="13">
                  <c:v>-183.40082250598704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1A-49DF-9E05-061F28355714}"/>
            </c:ext>
          </c:extLst>
        </c:ser>
        <c:ser>
          <c:idx val="2"/>
          <c:order val="2"/>
          <c:tx>
            <c:strRef>
              <c:f>'Federal TrophyBonded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6130140701266994"/>
                  <c:y val="-0.1383422920843381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1.5000000200000003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-30.600010612084422</c:v>
                </c:pt>
                <c:pt idx="10">
                  <c:v>-58.380054142139294</c:v>
                </c:pt>
                <c:pt idx="11">
                  <c:v>-90.000151875307537</c:v>
                </c:pt>
                <c:pt idx="12">
                  <c:v>-120.0602848721356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1A-49DF-9E05-061F28355714}"/>
            </c:ext>
          </c:extLst>
        </c:ser>
        <c:ser>
          <c:idx val="3"/>
          <c:order val="3"/>
          <c:tx>
            <c:strRef>
              <c:f>'Federal TrophyBonded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6796208323373886"/>
                  <c:y val="-8.4212259445429101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-22.500004218750952</c:v>
                </c:pt>
                <c:pt idx="10">
                  <c:v>-46.620027571460533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1A-49DF-9E05-061F28355714}"/>
            </c:ext>
          </c:extLst>
        </c:ser>
        <c:ser>
          <c:idx val="4"/>
          <c:order val="4"/>
          <c:tx>
            <c:strRef>
              <c:f>'Federal TrophyBonded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6010344366355679"/>
                  <c:y val="0.169275454959274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6.0000028800016576</c:v>
                </c:pt>
                <c:pt idx="3">
                  <c:v>9.9900059081701151</c:v>
                </c:pt>
                <c:pt idx="4">
                  <c:v>13.320007877560153</c:v>
                </c:pt>
                <c:pt idx="5">
                  <c:v>16.650009846950191</c:v>
                </c:pt>
                <c:pt idx="6">
                  <c:v>18.750009765631106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-75.06006961132195</c:v>
                </c:pt>
                <c:pt idx="13">
                  <c:v>-112.50018984413441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1A-49DF-9E05-061F28355714}"/>
            </c:ext>
          </c:extLst>
        </c:ser>
        <c:ser>
          <c:idx val="5"/>
          <c:order val="5"/>
          <c:tx>
            <c:strRef>
              <c:f>'Federal TrophyBonded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703580099319651"/>
                  <c:y val="0.4068688923109703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2.500000833333667</c:v>
                </c:pt>
                <c:pt idx="2">
                  <c:v>11.000017746701026</c:v>
                </c:pt>
                <c:pt idx="3">
                  <c:v>17.490031704914887</c:v>
                </c:pt>
                <c:pt idx="4">
                  <c:v>23.320042273219848</c:v>
                </c:pt>
                <c:pt idx="5">
                  <c:v>29.150052841524811</c:v>
                </c:pt>
                <c:pt idx="6">
                  <c:v>33.750056953240325</c:v>
                </c:pt>
                <c:pt idx="7">
                  <c:v>40.000053333418663</c:v>
                </c:pt>
                <c:pt idx="8">
                  <c:v>37.500028125025317</c:v>
                </c:pt>
                <c:pt idx="9">
                  <c:v>30.000010000004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-60.00002880001658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1A-49DF-9E05-061F28355714}"/>
            </c:ext>
          </c:extLst>
        </c:ser>
        <c:ser>
          <c:idx val="6"/>
          <c:order val="6"/>
          <c:tx>
            <c:strRef>
              <c:f>'Federal TrophyBonded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6130140701266994"/>
                  <c:y val="0.6193530329004077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5.6250094922067211</c:v>
                </c:pt>
                <c:pt idx="2">
                  <c:v>16.660061654624414</c:v>
                </c:pt>
                <c:pt idx="3">
                  <c:v>24.990092481936625</c:v>
                </c:pt>
                <c:pt idx="4">
                  <c:v>33.320123309248828</c:v>
                </c:pt>
                <c:pt idx="5">
                  <c:v>41.650154136561042</c:v>
                </c:pt>
                <c:pt idx="6">
                  <c:v>52.500214376050444</c:v>
                </c:pt>
                <c:pt idx="7">
                  <c:v>60.800187297119045</c:v>
                </c:pt>
                <c:pt idx="8">
                  <c:v>66.700158262297563</c:v>
                </c:pt>
                <c:pt idx="9">
                  <c:v>69.96012681965955</c:v>
                </c:pt>
                <c:pt idx="10">
                  <c:v>61.250062526118263</c:v>
                </c:pt>
                <c:pt idx="11">
                  <c:v>50.800027311790949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1A-49DF-9E05-061F283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000740619126841E-2"/>
          <c:y val="8.8309523809523824E-2"/>
          <c:w val="0.77271724809929465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3.2921876076193818E-2"/>
                  <c:y val="-0.656724034495688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 PHP'!$C$23:$C$35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6.25E-2</c:v>
                </c:pt>
                <c:pt idx="6">
                  <c:v>-6.25E-2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-0.66700000000000004</c:v>
                </c:pt>
                <c:pt idx="12">
                  <c:v>-0.83299999999999996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1-46CD-A99D-303BAE36DD8A}"/>
            </c:ext>
          </c:extLst>
        </c:ser>
        <c:ser>
          <c:idx val="1"/>
          <c:order val="1"/>
          <c:tx>
            <c:strRef>
              <c:f>'Federal TrophyBonded PHP'!$D$21</c:f>
              <c:strCache>
                <c:ptCount val="1"/>
                <c:pt idx="0">
                  <c:v>100m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9220509323764357"/>
                  <c:y val="-0.6165453693288338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-6.25E-2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-0.125</c:v>
                </c:pt>
                <c:pt idx="7">
                  <c:v>-0.25</c:v>
                </c:pt>
                <c:pt idx="8">
                  <c:v>-0.33300000000000002</c:v>
                </c:pt>
                <c:pt idx="9">
                  <c:v>-0.5</c:v>
                </c:pt>
                <c:pt idx="10">
                  <c:v>-0.58299999999999996</c:v>
                </c:pt>
                <c:pt idx="11">
                  <c:v>-0.75</c:v>
                </c:pt>
                <c:pt idx="12">
                  <c:v>-0.91700000000000004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4E1-46CD-A99D-303BAE36DD8A}"/>
            </c:ext>
          </c:extLst>
        </c:ser>
        <c:ser>
          <c:idx val="2"/>
          <c:order val="2"/>
          <c:tx>
            <c:strRef>
              <c:f>'Federal TrophyBonded PHP'!$E$21</c:f>
              <c:strCache>
                <c:ptCount val="1"/>
                <c:pt idx="0">
                  <c:v>150m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2450972594402741"/>
                  <c:y val="-0.509240719910011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PHP'!$E$23:$E$35</c:f>
              <c:numCache>
                <c:formatCode>0.000</c:formatCode>
                <c:ptCount val="13"/>
                <c:pt idx="0">
                  <c:v>-0.3</c:v>
                </c:pt>
                <c:pt idx="1">
                  <c:v>0</c:v>
                </c:pt>
                <c:pt idx="2">
                  <c:v>0.05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-0.125</c:v>
                </c:pt>
                <c:pt idx="8">
                  <c:v>-0.255</c:v>
                </c:pt>
                <c:pt idx="9">
                  <c:v>-0.41699999999999998</c:v>
                </c:pt>
                <c:pt idx="10">
                  <c:v>-0.5625</c:v>
                </c:pt>
                <c:pt idx="11">
                  <c:v>-0.66700000000000004</c:v>
                </c:pt>
                <c:pt idx="12">
                  <c:v>-0.875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4E1-46CD-A99D-303BAE36DD8A}"/>
            </c:ext>
          </c:extLst>
        </c:ser>
        <c:ser>
          <c:idx val="3"/>
          <c:order val="3"/>
          <c:tx>
            <c:strRef>
              <c:f>'Federal TrophyBonded PHP'!$F$21</c:f>
              <c:strCache>
                <c:ptCount val="1"/>
                <c:pt idx="0">
                  <c:v>200m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2029705253229187"/>
                  <c:y val="-0.393432320959880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-0.1875</c:v>
                </c:pt>
                <c:pt idx="9">
                  <c:v>-0.33300000000000002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4E1-46CD-A99D-303BAE36DD8A}"/>
            </c:ext>
          </c:extLst>
        </c:ser>
        <c:ser>
          <c:idx val="4"/>
          <c:order val="4"/>
          <c:tx>
            <c:strRef>
              <c:f>'Federal TrophyBonded PHP'!$G$21</c:f>
              <c:strCache>
                <c:ptCount val="1"/>
                <c:pt idx="0">
                  <c:v>300m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0.11839718022718344"/>
                  <c:y val="8.5466254218222806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PHP'!$G$23:$G$35</c:f>
              <c:numCache>
                <c:formatCode>0.000</c:formatCode>
                <c:ptCount val="13"/>
                <c:pt idx="0">
                  <c:v>0</c:v>
                </c:pt>
                <c:pt idx="1">
                  <c:v>0.3</c:v>
                </c:pt>
                <c:pt idx="2">
                  <c:v>0.33300000000000002</c:v>
                </c:pt>
                <c:pt idx="3">
                  <c:v>0.33300000000000002</c:v>
                </c:pt>
                <c:pt idx="4">
                  <c:v>0.33300000000000002</c:v>
                </c:pt>
                <c:pt idx="5">
                  <c:v>0.3125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-0.41699999999999998</c:v>
                </c:pt>
                <c:pt idx="12">
                  <c:v>-0.5625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4E1-46CD-A99D-303BAE36DD8A}"/>
            </c:ext>
          </c:extLst>
        </c:ser>
        <c:ser>
          <c:idx val="5"/>
          <c:order val="5"/>
          <c:tx>
            <c:strRef>
              <c:f>'Federal TrophyBonded PHP'!$H$21</c:f>
              <c:strCache>
                <c:ptCount val="1"/>
                <c:pt idx="0">
                  <c:v>400m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4.8305875617157143E-2"/>
                  <c:y val="0.2436914135733033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PHP'!$H$23:$H$35</c:f>
              <c:numCache>
                <c:formatCode>0.000</c:formatCode>
                <c:ptCount val="13"/>
                <c:pt idx="0">
                  <c:v>0.25</c:v>
                </c:pt>
                <c:pt idx="1">
                  <c:v>0.55000000000000004</c:v>
                </c:pt>
                <c:pt idx="2">
                  <c:v>0.58299999999999996</c:v>
                </c:pt>
                <c:pt idx="3">
                  <c:v>0.58299999999999996</c:v>
                </c:pt>
                <c:pt idx="4">
                  <c:v>0.58299999999999996</c:v>
                </c:pt>
                <c:pt idx="5">
                  <c:v>0.5625</c:v>
                </c:pt>
                <c:pt idx="6">
                  <c:v>0.5</c:v>
                </c:pt>
                <c:pt idx="7">
                  <c:v>0.375</c:v>
                </c:pt>
                <c:pt idx="8">
                  <c:v>0.25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4E1-46CD-A99D-303BAE36DD8A}"/>
            </c:ext>
          </c:extLst>
        </c:ser>
        <c:ser>
          <c:idx val="6"/>
          <c:order val="6"/>
          <c:tx>
            <c:strRef>
              <c:f>'Federal TrophyBonded PHP'!$I$21</c:f>
              <c:strCache>
                <c:ptCount val="1"/>
                <c:pt idx="0">
                  <c:v>500m zero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3.3704914044024252E-2"/>
                  <c:y val="0.4005866141732283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PHP'!$I$23:$I$35</c:f>
              <c:numCache>
                <c:formatCode>0.000</c:formatCode>
                <c:ptCount val="13"/>
                <c:pt idx="0">
                  <c:v>0.5625</c:v>
                </c:pt>
                <c:pt idx="1">
                  <c:v>0.83299999999999996</c:v>
                </c:pt>
                <c:pt idx="2">
                  <c:v>0.83299999999999996</c:v>
                </c:pt>
                <c:pt idx="3">
                  <c:v>0.83299999999999996</c:v>
                </c:pt>
                <c:pt idx="4">
                  <c:v>0.83299999999999996</c:v>
                </c:pt>
                <c:pt idx="5">
                  <c:v>0.875</c:v>
                </c:pt>
                <c:pt idx="6">
                  <c:v>0.76</c:v>
                </c:pt>
                <c:pt idx="7">
                  <c:v>0.66700000000000004</c:v>
                </c:pt>
                <c:pt idx="8">
                  <c:v>0.58299999999999996</c:v>
                </c:pt>
                <c:pt idx="9">
                  <c:v>0.4375</c:v>
                </c:pt>
                <c:pt idx="10">
                  <c:v>0.3175</c:v>
                </c:pt>
                <c:pt idx="11">
                  <c:v>0.125</c:v>
                </c:pt>
                <c:pt idx="12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4E1-46CD-A99D-303BAE36D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  <c:extLst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687084677035259"/>
                  <c:y val="-0.4585711822518535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4.6687502171003894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-14.062501483154483</c:v>
                </c:pt>
                <c:pt idx="9">
                  <c:v>-33.750014238288458</c:v>
                </c:pt>
                <c:pt idx="10">
                  <c:v>-59.062556063296277</c:v>
                </c:pt>
                <c:pt idx="11">
                  <c:v>-90.000151875307537</c:v>
                </c:pt>
                <c:pt idx="12">
                  <c:v>-135.06790560926547</c:v>
                </c:pt>
                <c:pt idx="13">
                  <c:v>-187.42587785691833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0-4F76-B979-F476DADACA5E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352653775759186"/>
                  <c:y val="-0.2633152607748849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-7.5</c:v>
                </c:pt>
                <c:pt idx="8">
                  <c:v>-12.4</c:v>
                </c:pt>
                <c:pt idx="9">
                  <c:v>-18.399999999999999</c:v>
                </c:pt>
                <c:pt idx="10">
                  <c:v>-25.6</c:v>
                </c:pt>
                <c:pt idx="11">
                  <c:v>-34.6</c:v>
                </c:pt>
                <c:pt idx="12">
                  <c:v>-44.6</c:v>
                </c:pt>
                <c:pt idx="13">
                  <c:v>-56.1</c:v>
                </c:pt>
                <c:pt idx="14">
                  <c:v>-69.7</c:v>
                </c:pt>
                <c:pt idx="15">
                  <c:v>-84.4</c:v>
                </c:pt>
                <c:pt idx="16">
                  <c:v>-101</c:v>
                </c:pt>
                <c:pt idx="17">
                  <c:v>-120</c:v>
                </c:pt>
                <c:pt idx="18">
                  <c:v>-140.30000000000001</c:v>
                </c:pt>
                <c:pt idx="19">
                  <c:v>-162.69999999999999</c:v>
                </c:pt>
                <c:pt idx="20">
                  <c:v>-187.3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0-4F76-B979-F476DADAC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041717629994098"/>
                  <c:y val="-0.390685087975114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-3.0000000400000006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-39.960023632680461</c:v>
                </c:pt>
                <c:pt idx="10">
                  <c:v>-70.000093333482667</c:v>
                </c:pt>
                <c:pt idx="11">
                  <c:v>-93.28016909287939</c:v>
                </c:pt>
                <c:pt idx="12">
                  <c:v>-135.00040500145803</c:v>
                </c:pt>
                <c:pt idx="13">
                  <c:v>-183.40082250598704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5-48BC-BA0D-D37C8846C012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</c:v>
                </c:pt>
                <c:pt idx="7">
                  <c:v>-7.6</c:v>
                </c:pt>
                <c:pt idx="8">
                  <c:v>-12.6</c:v>
                </c:pt>
                <c:pt idx="9">
                  <c:v>-18.600000000000001</c:v>
                </c:pt>
                <c:pt idx="10">
                  <c:v>-25.8</c:v>
                </c:pt>
                <c:pt idx="11">
                  <c:v>-34.799999999999997</c:v>
                </c:pt>
                <c:pt idx="12">
                  <c:v>-44.8</c:v>
                </c:pt>
                <c:pt idx="13">
                  <c:v>-56.3</c:v>
                </c:pt>
                <c:pt idx="14">
                  <c:v>-69.900000000000006</c:v>
                </c:pt>
                <c:pt idx="15">
                  <c:v>-84.7</c:v>
                </c:pt>
                <c:pt idx="16">
                  <c:v>-101.3</c:v>
                </c:pt>
                <c:pt idx="17">
                  <c:v>-120.3</c:v>
                </c:pt>
                <c:pt idx="18">
                  <c:v>-140.69999999999999</c:v>
                </c:pt>
                <c:pt idx="19">
                  <c:v>-163.1</c:v>
                </c:pt>
                <c:pt idx="20">
                  <c:v>-187.6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5-48BC-BA0D-D37C8846C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67337966461067"/>
                  <c:y val="-0.4428849518810149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1.5000000200000003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-30.600010612084422</c:v>
                </c:pt>
                <c:pt idx="10">
                  <c:v>-58.380054142139294</c:v>
                </c:pt>
                <c:pt idx="11">
                  <c:v>-90.000151875307537</c:v>
                </c:pt>
                <c:pt idx="12">
                  <c:v>-120.0602848721356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2-4319-B86A-11D7CA45D520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2.7</c:v>
                </c:pt>
                <c:pt idx="5">
                  <c:v>1.9</c:v>
                </c:pt>
                <c:pt idx="6">
                  <c:v>0</c:v>
                </c:pt>
                <c:pt idx="7">
                  <c:v>-2.9</c:v>
                </c:pt>
                <c:pt idx="8">
                  <c:v>-7.2</c:v>
                </c:pt>
                <c:pt idx="9">
                  <c:v>-12.5</c:v>
                </c:pt>
                <c:pt idx="10">
                  <c:v>-19.100000000000001</c:v>
                </c:pt>
                <c:pt idx="11">
                  <c:v>-27.4</c:v>
                </c:pt>
                <c:pt idx="12">
                  <c:v>-36.799999999999997</c:v>
                </c:pt>
                <c:pt idx="13">
                  <c:v>-47.6</c:v>
                </c:pt>
                <c:pt idx="14">
                  <c:v>-60.5</c:v>
                </c:pt>
                <c:pt idx="15">
                  <c:v>-74.7</c:v>
                </c:pt>
                <c:pt idx="16">
                  <c:v>-90.5</c:v>
                </c:pt>
                <c:pt idx="17">
                  <c:v>-108.9</c:v>
                </c:pt>
                <c:pt idx="18">
                  <c:v>-128.6</c:v>
                </c:pt>
                <c:pt idx="19">
                  <c:v>-150.30000000000001</c:v>
                </c:pt>
                <c:pt idx="20">
                  <c:v>-174.2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2-4319-B86A-11D7CA45D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-22.500004218750952</c:v>
                </c:pt>
                <c:pt idx="10">
                  <c:v>-46.620027571460533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7D5-89E2-DF4D4D339874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3.1</c:v>
                </c:pt>
                <c:pt idx="3">
                  <c:v>5.2</c:v>
                </c:pt>
                <c:pt idx="4">
                  <c:v>6.3</c:v>
                </c:pt>
                <c:pt idx="5">
                  <c:v>6.4</c:v>
                </c:pt>
                <c:pt idx="6">
                  <c:v>5.4</c:v>
                </c:pt>
                <c:pt idx="7">
                  <c:v>3.3</c:v>
                </c:pt>
                <c:pt idx="8">
                  <c:v>0</c:v>
                </c:pt>
                <c:pt idx="9">
                  <c:v>-4.5</c:v>
                </c:pt>
                <c:pt idx="10">
                  <c:v>-10.199999999999999</c:v>
                </c:pt>
                <c:pt idx="11">
                  <c:v>-17.5</c:v>
                </c:pt>
                <c:pt idx="12">
                  <c:v>-26</c:v>
                </c:pt>
                <c:pt idx="13">
                  <c:v>-36</c:v>
                </c:pt>
                <c:pt idx="14">
                  <c:v>-48</c:v>
                </c:pt>
                <c:pt idx="15">
                  <c:v>-61.2</c:v>
                </c:pt>
                <c:pt idx="16">
                  <c:v>-76.2</c:v>
                </c:pt>
                <c:pt idx="17">
                  <c:v>-93.7</c:v>
                </c:pt>
                <c:pt idx="18">
                  <c:v>-112.5</c:v>
                </c:pt>
                <c:pt idx="19">
                  <c:v>-133.4</c:v>
                </c:pt>
                <c:pt idx="20">
                  <c:v>-156.4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7D5-89E2-DF4D4D339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6.0000028800016576</c:v>
                </c:pt>
                <c:pt idx="3">
                  <c:v>9.9900059081701151</c:v>
                </c:pt>
                <c:pt idx="4">
                  <c:v>13.320007877560153</c:v>
                </c:pt>
                <c:pt idx="5">
                  <c:v>16.650009846950191</c:v>
                </c:pt>
                <c:pt idx="6">
                  <c:v>18.750009765631106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-75.06006961132195</c:v>
                </c:pt>
                <c:pt idx="13">
                  <c:v>-112.50018984413441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3D0-A9AA-3F45FE58E044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y = -7.411784E-07x</a:t>
                    </a:r>
                    <a:r>
                      <a:rPr lang="en-US" baseline="30000"/>
                      <a:t>3</a:t>
                    </a:r>
                    <a:r>
                      <a:rPr lang="en-US" baseline="0"/>
                      <a:t> - 5.611420E-04x</a:t>
                    </a:r>
                    <a:r>
                      <a:rPr lang="en-US" baseline="30000"/>
                      <a:t>2</a:t>
                    </a:r>
                    <a:r>
                      <a:rPr lang="en-US" baseline="0"/>
                      <a:t> + 2.473580E-01x - </a:t>
                    </a:r>
                    <a:r>
                      <a:rPr lang="en-US" sz="1000" baseline="0"/>
                      <a:t>3.5696</a:t>
                    </a:r>
                    <a:r>
                      <a:rPr lang="en-US" baseline="0"/>
                      <a:t>50E+00</a:t>
                    </a:r>
                    <a:br>
                      <a:rPr lang="en-US" baseline="0"/>
                    </a:br>
                    <a:r>
                      <a:rPr lang="en-US" baseline="0"/>
                      <a:t>R² = 9.999858E-01</a:t>
                    </a:r>
                    <a:endParaRPr lang="en-US"/>
                  </a:p>
                </c:rich>
              </c:tx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2.2000000000000002</c:v>
                </c:pt>
                <c:pt idx="2">
                  <c:v>7.5</c:v>
                </c:pt>
                <c:pt idx="3">
                  <c:v>11.7</c:v>
                </c:pt>
                <c:pt idx="4">
                  <c:v>14.9</c:v>
                </c:pt>
                <c:pt idx="5">
                  <c:v>17.3</c:v>
                </c:pt>
                <c:pt idx="6">
                  <c:v>18.399999999999999</c:v>
                </c:pt>
                <c:pt idx="7">
                  <c:v>18.5</c:v>
                </c:pt>
                <c:pt idx="8">
                  <c:v>17.399999999999999</c:v>
                </c:pt>
                <c:pt idx="9">
                  <c:v>15.1</c:v>
                </c:pt>
                <c:pt idx="10">
                  <c:v>11.5</c:v>
                </c:pt>
                <c:pt idx="11">
                  <c:v>6.4</c:v>
                </c:pt>
                <c:pt idx="12">
                  <c:v>0.1</c:v>
                </c:pt>
                <c:pt idx="13">
                  <c:v>-7.8</c:v>
                </c:pt>
                <c:pt idx="14">
                  <c:v>-17.600000000000001</c:v>
                </c:pt>
                <c:pt idx="15">
                  <c:v>-28.7</c:v>
                </c:pt>
                <c:pt idx="16">
                  <c:v>-41.5</c:v>
                </c:pt>
                <c:pt idx="17">
                  <c:v>-56.7</c:v>
                </c:pt>
                <c:pt idx="18">
                  <c:v>-73.400000000000006</c:v>
                </c:pt>
                <c:pt idx="19">
                  <c:v>-92.1</c:v>
                </c:pt>
                <c:pt idx="20">
                  <c:v>-113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0-43D0-A9AA-3F45FE58E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594031556409451E-2"/>
                  <c:y val="-0.5575070477301448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2.500000833333667</c:v>
                </c:pt>
                <c:pt idx="2">
                  <c:v>11.000017746701026</c:v>
                </c:pt>
                <c:pt idx="3">
                  <c:v>17.490031704914887</c:v>
                </c:pt>
                <c:pt idx="4">
                  <c:v>23.320042273219848</c:v>
                </c:pt>
                <c:pt idx="5">
                  <c:v>29.150052841524811</c:v>
                </c:pt>
                <c:pt idx="6">
                  <c:v>33.750056953240325</c:v>
                </c:pt>
                <c:pt idx="7">
                  <c:v>40.000053333418663</c:v>
                </c:pt>
                <c:pt idx="8">
                  <c:v>37.500028125025317</c:v>
                </c:pt>
                <c:pt idx="9">
                  <c:v>30.000010000004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-60.00002880001658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F-4B73-8A03-A1503FADBFF0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4.8</c:v>
                </c:pt>
                <c:pt idx="2">
                  <c:v>12.8</c:v>
                </c:pt>
                <c:pt idx="3">
                  <c:v>19.5</c:v>
                </c:pt>
                <c:pt idx="4">
                  <c:v>25.4</c:v>
                </c:pt>
                <c:pt idx="5">
                  <c:v>30.3</c:v>
                </c:pt>
                <c:pt idx="6">
                  <c:v>34.1</c:v>
                </c:pt>
                <c:pt idx="7">
                  <c:v>36.799999999999997</c:v>
                </c:pt>
                <c:pt idx="8">
                  <c:v>38.299999999999997</c:v>
                </c:pt>
                <c:pt idx="9">
                  <c:v>38.6</c:v>
                </c:pt>
                <c:pt idx="10">
                  <c:v>37.6</c:v>
                </c:pt>
                <c:pt idx="11">
                  <c:v>35.200000000000003</c:v>
                </c:pt>
                <c:pt idx="12">
                  <c:v>31.4</c:v>
                </c:pt>
                <c:pt idx="13">
                  <c:v>26.1</c:v>
                </c:pt>
                <c:pt idx="14">
                  <c:v>19</c:v>
                </c:pt>
                <c:pt idx="15">
                  <c:v>10.5</c:v>
                </c:pt>
                <c:pt idx="16">
                  <c:v>0.2</c:v>
                </c:pt>
                <c:pt idx="17">
                  <c:v>-12.3</c:v>
                </c:pt>
                <c:pt idx="18">
                  <c:v>-26.4</c:v>
                </c:pt>
                <c:pt idx="19">
                  <c:v>-42.6</c:v>
                </c:pt>
                <c:pt idx="20">
                  <c:v>-60.9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F-4B73-8A03-A1503FADBFF0}"/>
            </c:ext>
          </c:extLst>
        </c:ser>
        <c:ser>
          <c:idx val="2"/>
          <c:order val="2"/>
          <c:tx>
            <c:strRef>
              <c:f>'Federal TrophyBonded PHP'!$K$198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TrophyBonded PHP'!$K$200:$K$220</c:f>
              <c:numCache>
                <c:formatCode>0.00</c:formatCode>
                <c:ptCount val="21"/>
              </c:numCache>
            </c:numRef>
          </c:xVal>
          <c:yVal>
            <c:numRef>
              <c:f>'Federal TrophyBonded PHP'!$L$200:$L$220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D4-4EF2-A380-2904394EF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5.6250094922067211</c:v>
                </c:pt>
                <c:pt idx="2">
                  <c:v>16.660061654624414</c:v>
                </c:pt>
                <c:pt idx="3">
                  <c:v>24.990092481936625</c:v>
                </c:pt>
                <c:pt idx="4">
                  <c:v>33.320123309248828</c:v>
                </c:pt>
                <c:pt idx="5">
                  <c:v>41.650154136561042</c:v>
                </c:pt>
                <c:pt idx="6">
                  <c:v>52.500214376050444</c:v>
                </c:pt>
                <c:pt idx="7">
                  <c:v>60.800187297119045</c:v>
                </c:pt>
                <c:pt idx="8">
                  <c:v>66.700158262297563</c:v>
                </c:pt>
                <c:pt idx="9">
                  <c:v>69.96012681965955</c:v>
                </c:pt>
                <c:pt idx="10">
                  <c:v>61.250062526118263</c:v>
                </c:pt>
                <c:pt idx="11">
                  <c:v>50.800027311790949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2-46B8-8175-822AAE95CE77}"/>
            </c:ext>
          </c:extLst>
        </c:ser>
        <c:ser>
          <c:idx val="1"/>
          <c:order val="1"/>
          <c:tx>
            <c:strRef>
              <c:f>'Federal TrophyBonded PHP'!$A$77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7.9</c:v>
                </c:pt>
                <c:pt idx="2">
                  <c:v>19</c:v>
                </c:pt>
                <c:pt idx="3">
                  <c:v>28.8</c:v>
                </c:pt>
                <c:pt idx="4">
                  <c:v>37.6</c:v>
                </c:pt>
                <c:pt idx="5">
                  <c:v>45.8</c:v>
                </c:pt>
                <c:pt idx="6">
                  <c:v>52.6</c:v>
                </c:pt>
                <c:pt idx="7">
                  <c:v>58.3</c:v>
                </c:pt>
                <c:pt idx="8">
                  <c:v>63</c:v>
                </c:pt>
                <c:pt idx="9">
                  <c:v>66.3</c:v>
                </c:pt>
                <c:pt idx="10">
                  <c:v>68.3</c:v>
                </c:pt>
                <c:pt idx="11">
                  <c:v>69</c:v>
                </c:pt>
                <c:pt idx="12">
                  <c:v>68.3</c:v>
                </c:pt>
                <c:pt idx="13">
                  <c:v>66.099999999999994</c:v>
                </c:pt>
                <c:pt idx="14">
                  <c:v>62.1</c:v>
                </c:pt>
                <c:pt idx="15">
                  <c:v>56.6</c:v>
                </c:pt>
                <c:pt idx="16">
                  <c:v>49.4</c:v>
                </c:pt>
                <c:pt idx="17">
                  <c:v>40</c:v>
                </c:pt>
                <c:pt idx="18">
                  <c:v>28.9</c:v>
                </c:pt>
                <c:pt idx="19">
                  <c:v>15.8</c:v>
                </c:pt>
                <c:pt idx="20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2-46B8-8175-822AAE95C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SP'!$B$22:$B$35</c:f>
              <c:numCache>
                <c:formatCode>0.00</c:formatCode>
                <c:ptCount val="14"/>
                <c:pt idx="0">
                  <c:v>3170.7</c:v>
                </c:pt>
                <c:pt idx="1">
                  <c:v>3048.8</c:v>
                </c:pt>
                <c:pt idx="2">
                  <c:v>2922</c:v>
                </c:pt>
                <c:pt idx="3">
                  <c:v>2821.5</c:v>
                </c:pt>
                <c:pt idx="4">
                  <c:v>2669.3</c:v>
                </c:pt>
                <c:pt idx="5">
                  <c:v>2543.4</c:v>
                </c:pt>
                <c:pt idx="6">
                  <c:v>2426.1</c:v>
                </c:pt>
                <c:pt idx="7">
                  <c:v>2193</c:v>
                </c:pt>
                <c:pt idx="8">
                  <c:v>1990.6</c:v>
                </c:pt>
                <c:pt idx="9">
                  <c:v>1804.8</c:v>
                </c:pt>
                <c:pt idx="10">
                  <c:v>1626.3</c:v>
                </c:pt>
                <c:pt idx="11">
                  <c:v>1469.5</c:v>
                </c:pt>
                <c:pt idx="12">
                  <c:v>1334.2</c:v>
                </c:pt>
                <c:pt idx="13">
                  <c:v>1201.8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'Federal Power-Shok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Power-Shok SP'!$C$80:$C$100</c:f>
              <c:numCache>
                <c:formatCode>0.00</c:formatCode>
                <c:ptCount val="21"/>
                <c:pt idx="0">
                  <c:v>3171</c:v>
                </c:pt>
                <c:pt idx="1">
                  <c:v>3028</c:v>
                </c:pt>
                <c:pt idx="2">
                  <c:v>2891</c:v>
                </c:pt>
                <c:pt idx="3">
                  <c:v>2759</c:v>
                </c:pt>
                <c:pt idx="4">
                  <c:v>2632</c:v>
                </c:pt>
                <c:pt idx="5">
                  <c:v>2509</c:v>
                </c:pt>
                <c:pt idx="6">
                  <c:v>2391</c:v>
                </c:pt>
                <c:pt idx="7">
                  <c:v>2277</c:v>
                </c:pt>
                <c:pt idx="8">
                  <c:v>2167</c:v>
                </c:pt>
                <c:pt idx="9">
                  <c:v>2062</c:v>
                </c:pt>
                <c:pt idx="10">
                  <c:v>1960</c:v>
                </c:pt>
                <c:pt idx="11">
                  <c:v>1863</c:v>
                </c:pt>
                <c:pt idx="12">
                  <c:v>1769</c:v>
                </c:pt>
                <c:pt idx="13">
                  <c:v>1679</c:v>
                </c:pt>
                <c:pt idx="14">
                  <c:v>1593</c:v>
                </c:pt>
                <c:pt idx="15">
                  <c:v>1511</c:v>
                </c:pt>
                <c:pt idx="16">
                  <c:v>1432</c:v>
                </c:pt>
                <c:pt idx="17">
                  <c:v>1357</c:v>
                </c:pt>
                <c:pt idx="18">
                  <c:v>1285</c:v>
                </c:pt>
                <c:pt idx="19">
                  <c:v>1217</c:v>
                </c:pt>
                <c:pt idx="20">
                  <c:v>1154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4.6687502171003894</c:v>
                </c:pt>
                <c:pt idx="6">
                  <c:v>0.33750000005695308</c:v>
                </c:pt>
                <c:pt idx="7">
                  <c:v>-5.6250001483154337</c:v>
                </c:pt>
                <c:pt idx="8">
                  <c:v>-21.093755005647179</c:v>
                </c:pt>
                <c:pt idx="9">
                  <c:v>-44.955033648881447</c:v>
                </c:pt>
                <c:pt idx="10">
                  <c:v>-78.750132890894093</c:v>
                </c:pt>
                <c:pt idx="11">
                  <c:v>-112.50029663179792</c:v>
                </c:pt>
                <c:pt idx="12">
                  <c:v>-164.53198316416825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'Federal Power-Shok SP'!$K$21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-13.360001987184569</c:v>
                </c:pt>
                <c:pt idx="8">
                  <c:v>-25.00000833333667</c:v>
                </c:pt>
                <c:pt idx="9">
                  <c:v>-50.040046407547969</c:v>
                </c:pt>
                <c:pt idx="10">
                  <c:v>-77.000124226907175</c:v>
                </c:pt>
                <c:pt idx="11">
                  <c:v>-108.32026478049552</c:v>
                </c:pt>
                <c:pt idx="12">
                  <c:v>-157.50064312815135</c:v>
                </c:pt>
                <c:pt idx="13">
                  <c:v>-220.0014197443279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'Federal Power-Shok SP'!$L$21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-18.750003515625792</c:v>
                </c:pt>
                <c:pt idx="9">
                  <c:v>-39.960023632680461</c:v>
                </c:pt>
                <c:pt idx="10">
                  <c:v>-70.000093333482667</c:v>
                </c:pt>
                <c:pt idx="11">
                  <c:v>-100.00020833385418</c:v>
                </c:pt>
                <c:pt idx="12">
                  <c:v>-149.94055489161974</c:v>
                </c:pt>
                <c:pt idx="13">
                  <c:v>-200.00106667349337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'Federal 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2.5000002083333537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9.3750017578128961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-123.75031195406865</c:v>
                </c:pt>
                <c:pt idx="13">
                  <c:v>-180.0007776040311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'Federal 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12.510011601886992</c:v>
                </c:pt>
                <c:pt idx="4">
                  <c:v>16.680015469182656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-73.800066164231168</c:v>
                </c:pt>
                <c:pt idx="13">
                  <c:v>-130.00029293412544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'Federal Power-Shok SP'!$O$21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'Federal Power-Shok SP'!$A$22:$A$35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'Federal Power-Shok SP'!$O$22:$O$35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3.7500028125025313</c:v>
                      </c:pt>
                      <c:pt idx="2">
                        <c:v>13.34003165245951</c:v>
                      </c:pt>
                      <c:pt idx="3">
                        <c:v>20.625051992344773</c:v>
                      </c:pt>
                      <c:pt idx="4">
                        <c:v>27.500069323126365</c:v>
                      </c:pt>
                      <c:pt idx="5">
                        <c:v>34.375086653907957</c:v>
                      </c:pt>
                      <c:pt idx="6">
                        <c:v>40.020094957378532</c:v>
                      </c:pt>
                      <c:pt idx="7">
                        <c:v>45.000075937653769</c:v>
                      </c:pt>
                      <c:pt idx="8">
                        <c:v>43.750044661513051</c:v>
                      </c:pt>
                      <c:pt idx="9">
                        <c:v>37.500019531262211</c:v>
                      </c:pt>
                      <c:pt idx="10">
                        <c:v>17.500001458333479</c:v>
                      </c:pt>
                      <c:pt idx="11">
                        <c:v>0</c:v>
                      </c:pt>
                      <c:pt idx="12">
                        <c:v>-30.060004471165279</c:v>
                      </c:pt>
                      <c:pt idx="13">
                        <c:v>-66.600039387800763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C58-4D06-8D06-CB901B32B0F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Power-Shok SP'!$P$21</c15:sqref>
                        </c15:formulaRef>
                      </c:ext>
                    </c:extLst>
                    <c:strCache>
                      <c:ptCount val="1"/>
                      <c:pt idx="0">
                        <c:v>500m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Power-Shok SP'!$A$22:$A$35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Power-Shok SP'!$P$22:$P$35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7.500022500081001</c:v>
                      </c:pt>
                      <c:pt idx="2">
                        <c:v>20.000106667349339</c:v>
                      </c:pt>
                      <c:pt idx="3">
                        <c:v>33.750227814345294</c:v>
                      </c:pt>
                      <c:pt idx="4">
                        <c:v>45.000303752460397</c:v>
                      </c:pt>
                      <c:pt idx="5">
                        <c:v>56.250379690575492</c:v>
                      </c:pt>
                      <c:pt idx="6">
                        <c:v>60.000320002048014</c:v>
                      </c:pt>
                      <c:pt idx="7">
                        <c:v>73.360329002394806</c:v>
                      </c:pt>
                      <c:pt idx="8">
                        <c:v>83.300308273122084</c:v>
                      </c:pt>
                      <c:pt idx="9">
                        <c:v>81.240198585371644</c:v>
                      </c:pt>
                      <c:pt idx="10">
                        <c:v>77.000124226907175</c:v>
                      </c:pt>
                      <c:pt idx="11">
                        <c:v>60.000045000040501</c:v>
                      </c:pt>
                      <c:pt idx="12">
                        <c:v>33.750006328126425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C58-4D06-8D06-CB901B32B0F2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042806742711284"/>
                  <c:y val="-0.675410948631421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Power-Shok SP'!$C$23:$C$35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5.0000000000000001E-3</c:v>
                </c:pt>
                <c:pt idx="6">
                  <c:v>-6.25E-2</c:v>
                </c:pt>
                <c:pt idx="7">
                  <c:v>-0.1875</c:v>
                </c:pt>
                <c:pt idx="8">
                  <c:v>-0.33300000000000002</c:v>
                </c:pt>
                <c:pt idx="9">
                  <c:v>-0.5</c:v>
                </c:pt>
                <c:pt idx="10">
                  <c:v>-0.625</c:v>
                </c:pt>
                <c:pt idx="11">
                  <c:v>-0.8125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'Federal 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157934514862182"/>
                  <c:y val="-0.666135358080239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Power-Shok SP'!$D$23:$D$35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-0.16700000000000001</c:v>
                </c:pt>
                <c:pt idx="7">
                  <c:v>-0.25</c:v>
                </c:pt>
                <c:pt idx="8">
                  <c:v>-0.41699999999999998</c:v>
                </c:pt>
                <c:pt idx="9">
                  <c:v>-0.55000000000000004</c:v>
                </c:pt>
                <c:pt idx="10">
                  <c:v>-0.67700000000000005</c:v>
                </c:pt>
                <c:pt idx="11">
                  <c:v>-0.875</c:v>
                </c:pt>
                <c:pt idx="12">
                  <c:v>-1.1000000000000001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'Federal 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598416754899404"/>
                  <c:y val="-0.442339332583427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Power-Shok SP'!$E$23:$E$35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-0.1875</c:v>
                </c:pt>
                <c:pt idx="8">
                  <c:v>-0.33300000000000002</c:v>
                </c:pt>
                <c:pt idx="9">
                  <c:v>-0.5</c:v>
                </c:pt>
                <c:pt idx="10">
                  <c:v>-0.625</c:v>
                </c:pt>
                <c:pt idx="11">
                  <c:v>-0.83299999999999996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'Federal Power-Shok SP'!$F$21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54875032285899"/>
                  <c:y val="-0.5245011248593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Power-Shok SP'!$F$23:$F$35</c:f>
              <c:numCache>
                <c:formatCode>0.000</c:formatCode>
                <c:ptCount val="13"/>
                <c:pt idx="0">
                  <c:v>-0.16700000000000001</c:v>
                </c:pt>
                <c:pt idx="1">
                  <c:v>0.125</c:v>
                </c:pt>
                <c:pt idx="2">
                  <c:v>0.16700000000000001</c:v>
                </c:pt>
                <c:pt idx="3">
                  <c:v>0.16700000000000001</c:v>
                </c:pt>
                <c:pt idx="4">
                  <c:v>0.1875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-0.6875</c:v>
                </c:pt>
                <c:pt idx="12">
                  <c:v>-0.9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'Federal Power-Shok SP'!$G$21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Power-Shok SP'!$G$23:$G$35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0.33300000000000002</c:v>
                </c:pt>
                <c:pt idx="2">
                  <c:v>0.41699999999999998</c:v>
                </c:pt>
                <c:pt idx="3">
                  <c:v>0.41699999999999998</c:v>
                </c:pt>
                <c:pt idx="4">
                  <c:v>0.375</c:v>
                </c:pt>
                <c:pt idx="5">
                  <c:v>0.33300000000000002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-0.41</c:v>
                </c:pt>
                <c:pt idx="12">
                  <c:v>-0.65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'Federal Power-Shok SP'!$H$21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8512116008082194"/>
                  <c:y val="0.27143832020997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Power-Shok SP'!$H$23:$H$35</c:f>
              <c:numCache>
                <c:formatCode>0.000</c:formatCode>
                <c:ptCount val="13"/>
                <c:pt idx="0">
                  <c:v>0.375</c:v>
                </c:pt>
                <c:pt idx="1">
                  <c:v>0.66700000000000004</c:v>
                </c:pt>
                <c:pt idx="2">
                  <c:v>0.6875</c:v>
                </c:pt>
                <c:pt idx="3">
                  <c:v>0.6875</c:v>
                </c:pt>
                <c:pt idx="4">
                  <c:v>0.6875</c:v>
                </c:pt>
                <c:pt idx="5">
                  <c:v>0.66700000000000004</c:v>
                </c:pt>
                <c:pt idx="6">
                  <c:v>0.5625</c:v>
                </c:pt>
                <c:pt idx="7">
                  <c:v>0.4375</c:v>
                </c:pt>
                <c:pt idx="8">
                  <c:v>0.3125</c:v>
                </c:pt>
                <c:pt idx="9">
                  <c:v>0.125</c:v>
                </c:pt>
                <c:pt idx="10">
                  <c:v>0</c:v>
                </c:pt>
                <c:pt idx="11">
                  <c:v>-0.16700000000000001</c:v>
                </c:pt>
                <c:pt idx="12">
                  <c:v>-0.33300000000000002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'Federal Power-Shok SP'!$I$21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30075379240069444"/>
                  <c:y val="0.419986689163854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'Federal Power-Shok SP'!#REF!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Power-Shok SP'!$I$23:$I$35</c:f>
              <c:numCache>
                <c:formatCode>0.000</c:formatCode>
                <c:ptCount val="13"/>
                <c:pt idx="0">
                  <c:v>0.75</c:v>
                </c:pt>
                <c:pt idx="1">
                  <c:v>1</c:v>
                </c:pt>
                <c:pt idx="2">
                  <c:v>1.125</c:v>
                </c:pt>
                <c:pt idx="3">
                  <c:v>1.125</c:v>
                </c:pt>
                <c:pt idx="4">
                  <c:v>1.125</c:v>
                </c:pt>
                <c:pt idx="5">
                  <c:v>1</c:v>
                </c:pt>
                <c:pt idx="6">
                  <c:v>0.91700000000000004</c:v>
                </c:pt>
                <c:pt idx="7">
                  <c:v>0.83299999999999996</c:v>
                </c:pt>
                <c:pt idx="8">
                  <c:v>0.67700000000000005</c:v>
                </c:pt>
                <c:pt idx="9">
                  <c:v>0.55000000000000004</c:v>
                </c:pt>
                <c:pt idx="10">
                  <c:v>0.375</c:v>
                </c:pt>
                <c:pt idx="11">
                  <c:v>0.1875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93772105009507"/>
                  <c:y val="-0.2041846593993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4.6687502171003894</c:v>
                </c:pt>
                <c:pt idx="6">
                  <c:v>0.33750000005695308</c:v>
                </c:pt>
                <c:pt idx="7">
                  <c:v>-5.6250001483154337</c:v>
                </c:pt>
                <c:pt idx="8">
                  <c:v>-21.093755005647179</c:v>
                </c:pt>
                <c:pt idx="9">
                  <c:v>-44.955033648881447</c:v>
                </c:pt>
                <c:pt idx="10">
                  <c:v>-78.750132890894093</c:v>
                </c:pt>
                <c:pt idx="11">
                  <c:v>-112.50029663179792</c:v>
                </c:pt>
                <c:pt idx="12">
                  <c:v>-164.53198316416825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'Federal Power-Shok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Power-Shok SP'!$D$80:$D$100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-0.4</c:v>
                </c:pt>
                <c:pt idx="5">
                  <c:v>-2.2999999999999998</c:v>
                </c:pt>
                <c:pt idx="6">
                  <c:v>-5.3</c:v>
                </c:pt>
                <c:pt idx="7">
                  <c:v>-9.6999999999999993</c:v>
                </c:pt>
                <c:pt idx="8">
                  <c:v>-15.5</c:v>
                </c:pt>
                <c:pt idx="9">
                  <c:v>-22.6</c:v>
                </c:pt>
                <c:pt idx="10">
                  <c:v>-31.2</c:v>
                </c:pt>
                <c:pt idx="11">
                  <c:v>-41.7</c:v>
                </c:pt>
                <c:pt idx="12">
                  <c:v>-53.5</c:v>
                </c:pt>
                <c:pt idx="13">
                  <c:v>-67</c:v>
                </c:pt>
                <c:pt idx="14">
                  <c:v>-83.1</c:v>
                </c:pt>
                <c:pt idx="15">
                  <c:v>-100.5</c:v>
                </c:pt>
                <c:pt idx="16">
                  <c:v>-120</c:v>
                </c:pt>
                <c:pt idx="17">
                  <c:v>-142.5</c:v>
                </c:pt>
                <c:pt idx="18">
                  <c:v>-166.7</c:v>
                </c:pt>
                <c:pt idx="19">
                  <c:v>-193.3</c:v>
                </c:pt>
                <c:pt idx="20">
                  <c:v>-222.5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-13.360001987184569</c:v>
                </c:pt>
                <c:pt idx="8">
                  <c:v>-25.00000833333667</c:v>
                </c:pt>
                <c:pt idx="9">
                  <c:v>-50.040046407547969</c:v>
                </c:pt>
                <c:pt idx="10">
                  <c:v>-77.000124226907175</c:v>
                </c:pt>
                <c:pt idx="11">
                  <c:v>-108.32026478049552</c:v>
                </c:pt>
                <c:pt idx="12">
                  <c:v>-157.50064312815135</c:v>
                </c:pt>
                <c:pt idx="13">
                  <c:v>-220.0014197443279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'Federal Power-Shok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Power-Shok SP'!$D$104:$D$124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-1.8</c:v>
                </c:pt>
                <c:pt idx="6">
                  <c:v>-4.8</c:v>
                </c:pt>
                <c:pt idx="7">
                  <c:v>-9</c:v>
                </c:pt>
                <c:pt idx="8">
                  <c:v>-14.8</c:v>
                </c:pt>
                <c:pt idx="9">
                  <c:v>-21.8</c:v>
                </c:pt>
                <c:pt idx="10">
                  <c:v>-30.2</c:v>
                </c:pt>
                <c:pt idx="11">
                  <c:v>-40.700000000000003</c:v>
                </c:pt>
                <c:pt idx="12">
                  <c:v>-52.4</c:v>
                </c:pt>
                <c:pt idx="13">
                  <c:v>-65.8</c:v>
                </c:pt>
                <c:pt idx="14">
                  <c:v>-81.7</c:v>
                </c:pt>
                <c:pt idx="15">
                  <c:v>-99.1</c:v>
                </c:pt>
                <c:pt idx="16">
                  <c:v>-118.5</c:v>
                </c:pt>
                <c:pt idx="17">
                  <c:v>-140.9</c:v>
                </c:pt>
                <c:pt idx="18">
                  <c:v>-165</c:v>
                </c:pt>
                <c:pt idx="19">
                  <c:v>-191.5</c:v>
                </c:pt>
                <c:pt idx="20">
                  <c:v>-220.6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-18.750003515625792</c:v>
                </c:pt>
                <c:pt idx="9">
                  <c:v>-39.960023632680461</c:v>
                </c:pt>
                <c:pt idx="10">
                  <c:v>-70.000093333482667</c:v>
                </c:pt>
                <c:pt idx="11">
                  <c:v>-100.00020833385418</c:v>
                </c:pt>
                <c:pt idx="12">
                  <c:v>-149.94055489161974</c:v>
                </c:pt>
                <c:pt idx="13">
                  <c:v>-200.00106667349337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'Federal Power-Shok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Power-Shok SP'!$D$128:$D$148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-0.5</c:v>
                </c:pt>
                <c:pt idx="2">
                  <c:v>1.8</c:v>
                </c:pt>
                <c:pt idx="3">
                  <c:v>3.1</c:v>
                </c:pt>
                <c:pt idx="4">
                  <c:v>3.2</c:v>
                </c:pt>
                <c:pt idx="5">
                  <c:v>2.2000000000000002</c:v>
                </c:pt>
                <c:pt idx="6">
                  <c:v>0</c:v>
                </c:pt>
                <c:pt idx="7">
                  <c:v>-3.4</c:v>
                </c:pt>
                <c:pt idx="8">
                  <c:v>-8.4</c:v>
                </c:pt>
                <c:pt idx="9">
                  <c:v>-14.6</c:v>
                </c:pt>
                <c:pt idx="10">
                  <c:v>-22.2</c:v>
                </c:pt>
                <c:pt idx="11">
                  <c:v>-31.8</c:v>
                </c:pt>
                <c:pt idx="12">
                  <c:v>-42.8</c:v>
                </c:pt>
                <c:pt idx="13">
                  <c:v>-55.4</c:v>
                </c:pt>
                <c:pt idx="14">
                  <c:v>-70.5</c:v>
                </c:pt>
                <c:pt idx="15">
                  <c:v>-87.1</c:v>
                </c:pt>
                <c:pt idx="16">
                  <c:v>-105.7</c:v>
                </c:pt>
                <c:pt idx="17">
                  <c:v>-127.3</c:v>
                </c:pt>
                <c:pt idx="18">
                  <c:v>-150.6</c:v>
                </c:pt>
                <c:pt idx="19">
                  <c:v>-176.3</c:v>
                </c:pt>
                <c:pt idx="20">
                  <c:v>-204.6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2.5000002083333537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9.3750017578128961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-123.75031195406865</c:v>
                </c:pt>
                <c:pt idx="13">
                  <c:v>-180.0007776040311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'Federal Power-Shok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Power-Shok SP'!$D$152:$D$172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0.5</c:v>
                </c:pt>
                <c:pt idx="2">
                  <c:v>3.9</c:v>
                </c:pt>
                <c:pt idx="3">
                  <c:v>6.2</c:v>
                </c:pt>
                <c:pt idx="4">
                  <c:v>7.4</c:v>
                </c:pt>
                <c:pt idx="5">
                  <c:v>7.4</c:v>
                </c:pt>
                <c:pt idx="6">
                  <c:v>6.2</c:v>
                </c:pt>
                <c:pt idx="7">
                  <c:v>3.8</c:v>
                </c:pt>
                <c:pt idx="8">
                  <c:v>-0.1</c:v>
                </c:pt>
                <c:pt idx="9">
                  <c:v>-5.2</c:v>
                </c:pt>
                <c:pt idx="10">
                  <c:v>-11.9</c:v>
                </c:pt>
                <c:pt idx="11">
                  <c:v>-20.399999999999999</c:v>
                </c:pt>
                <c:pt idx="12">
                  <c:v>-30.3</c:v>
                </c:pt>
                <c:pt idx="13">
                  <c:v>-42</c:v>
                </c:pt>
                <c:pt idx="14">
                  <c:v>-56</c:v>
                </c:pt>
                <c:pt idx="15">
                  <c:v>-71.5</c:v>
                </c:pt>
                <c:pt idx="16">
                  <c:v>-89.1</c:v>
                </c:pt>
                <c:pt idx="17">
                  <c:v>-109.7</c:v>
                </c:pt>
                <c:pt idx="18">
                  <c:v>-131.9</c:v>
                </c:pt>
                <c:pt idx="19">
                  <c:v>-156.6</c:v>
                </c:pt>
                <c:pt idx="20">
                  <c:v>-184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layout>
        <c:manualLayout>
          <c:xMode val="edge"/>
          <c:yMode val="edge"/>
          <c:x val="2.5266481384663824E-4"/>
          <c:y val="0.462962962962963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12.510011601886992</c:v>
                </c:pt>
                <c:pt idx="4">
                  <c:v>16.680015469182656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-73.800066164231168</c:v>
                </c:pt>
                <c:pt idx="13">
                  <c:v>-130.00029293412544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1"/>
          <c:order val="1"/>
          <c:tx>
            <c:strRef>
              <c:f>'Federal Power-Shok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Power-Shok SP'!$D$176:$D$196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3</c:v>
                </c:pt>
                <c:pt idx="2">
                  <c:v>9</c:v>
                </c:pt>
                <c:pt idx="3">
                  <c:v>13.8</c:v>
                </c:pt>
                <c:pt idx="4">
                  <c:v>17.399999999999999</c:v>
                </c:pt>
                <c:pt idx="5">
                  <c:v>20.100000000000001</c:v>
                </c:pt>
                <c:pt idx="6">
                  <c:v>21.4</c:v>
                </c:pt>
                <c:pt idx="7">
                  <c:v>21.5</c:v>
                </c:pt>
                <c:pt idx="8">
                  <c:v>20.2</c:v>
                </c:pt>
                <c:pt idx="9">
                  <c:v>17.5</c:v>
                </c:pt>
                <c:pt idx="10">
                  <c:v>13.3</c:v>
                </c:pt>
                <c:pt idx="11">
                  <c:v>7.4</c:v>
                </c:pt>
                <c:pt idx="12">
                  <c:v>0</c:v>
                </c:pt>
                <c:pt idx="13">
                  <c:v>-9.1999999999999993</c:v>
                </c:pt>
                <c:pt idx="14">
                  <c:v>-20.6</c:v>
                </c:pt>
                <c:pt idx="15">
                  <c:v>-33.6</c:v>
                </c:pt>
                <c:pt idx="16">
                  <c:v>-48.8</c:v>
                </c:pt>
                <c:pt idx="17">
                  <c:v>-66.7</c:v>
                </c:pt>
                <c:pt idx="18">
                  <c:v>-86.5</c:v>
                </c:pt>
                <c:pt idx="19">
                  <c:v>-108.7</c:v>
                </c:pt>
                <c:pt idx="20">
                  <c:v>-133.5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9-4B49-A310-17615B48A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13.34003165245951</c:v>
                </c:pt>
                <c:pt idx="3">
                  <c:v>20.625051992344773</c:v>
                </c:pt>
                <c:pt idx="4">
                  <c:v>27.500069323126365</c:v>
                </c:pt>
                <c:pt idx="5">
                  <c:v>34.375086653907957</c:v>
                </c:pt>
                <c:pt idx="6">
                  <c:v>40.020094957378532</c:v>
                </c:pt>
                <c:pt idx="7">
                  <c:v>45.000075937653769</c:v>
                </c:pt>
                <c:pt idx="8">
                  <c:v>43.750044661513051</c:v>
                </c:pt>
                <c:pt idx="9">
                  <c:v>37.500019531262211</c:v>
                </c:pt>
                <c:pt idx="10">
                  <c:v>17.500001458333479</c:v>
                </c:pt>
                <c:pt idx="11">
                  <c:v>0</c:v>
                </c:pt>
                <c:pt idx="12">
                  <c:v>-30.060004471165279</c:v>
                </c:pt>
                <c:pt idx="13">
                  <c:v>-66.600039387800763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1"/>
          <c:order val="1"/>
          <c:tx>
            <c:strRef>
              <c:f>'Federal Power-Shok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Power-Shok SP'!$D$200:$D$220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15.2</c:v>
                </c:pt>
                <c:pt idx="3">
                  <c:v>22.9</c:v>
                </c:pt>
                <c:pt idx="4">
                  <c:v>29.6</c:v>
                </c:pt>
                <c:pt idx="5">
                  <c:v>35.4</c:v>
                </c:pt>
                <c:pt idx="6">
                  <c:v>39.700000000000003</c:v>
                </c:pt>
                <c:pt idx="7">
                  <c:v>42.8</c:v>
                </c:pt>
                <c:pt idx="8">
                  <c:v>44.6</c:v>
                </c:pt>
                <c:pt idx="9">
                  <c:v>44.9</c:v>
                </c:pt>
                <c:pt idx="10">
                  <c:v>43.8</c:v>
                </c:pt>
                <c:pt idx="11">
                  <c:v>41</c:v>
                </c:pt>
                <c:pt idx="12">
                  <c:v>36.6</c:v>
                </c:pt>
                <c:pt idx="13">
                  <c:v>30.4</c:v>
                </c:pt>
                <c:pt idx="14">
                  <c:v>22.1</c:v>
                </c:pt>
                <c:pt idx="15">
                  <c:v>12.1</c:v>
                </c:pt>
                <c:pt idx="16">
                  <c:v>0</c:v>
                </c:pt>
                <c:pt idx="17">
                  <c:v>-14.9</c:v>
                </c:pt>
                <c:pt idx="18">
                  <c:v>-31.6</c:v>
                </c:pt>
                <c:pt idx="19">
                  <c:v>-50.8</c:v>
                </c:pt>
                <c:pt idx="20">
                  <c:v>-72.599999999999994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1-4001-A4D3-B20E76782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7.500022500081001</c:v>
                </c:pt>
                <c:pt idx="2">
                  <c:v>20.000106667349339</c:v>
                </c:pt>
                <c:pt idx="3">
                  <c:v>33.750227814345294</c:v>
                </c:pt>
                <c:pt idx="4">
                  <c:v>45.000303752460397</c:v>
                </c:pt>
                <c:pt idx="5">
                  <c:v>56.250379690575492</c:v>
                </c:pt>
                <c:pt idx="6">
                  <c:v>60.000320002048014</c:v>
                </c:pt>
                <c:pt idx="7">
                  <c:v>73.360329002394806</c:v>
                </c:pt>
                <c:pt idx="8">
                  <c:v>83.300308273122084</c:v>
                </c:pt>
                <c:pt idx="9">
                  <c:v>81.240198585371644</c:v>
                </c:pt>
                <c:pt idx="10">
                  <c:v>77.000124226907175</c:v>
                </c:pt>
                <c:pt idx="11">
                  <c:v>60.000045000040501</c:v>
                </c:pt>
                <c:pt idx="12">
                  <c:v>33.750006328126425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1"/>
          <c:order val="1"/>
          <c:tx>
            <c:strRef>
              <c:f>'Federal Power-Shok SP'!$A$77</c:f>
              <c:strCache>
                <c:ptCount val="1"/>
                <c:pt idx="0">
                  <c:v>Hornady Standard Ballistics Calculator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Power-Shok SP'!$A$224:$A$244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Power-Shok SP'!$D$224:$D$244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9.6999999999999993</c:v>
                </c:pt>
                <c:pt idx="2">
                  <c:v>22.5</c:v>
                </c:pt>
                <c:pt idx="3">
                  <c:v>33.9</c:v>
                </c:pt>
                <c:pt idx="4">
                  <c:v>44.2</c:v>
                </c:pt>
                <c:pt idx="5">
                  <c:v>53.6</c:v>
                </c:pt>
                <c:pt idx="6">
                  <c:v>61.6</c:v>
                </c:pt>
                <c:pt idx="7">
                  <c:v>68.3</c:v>
                </c:pt>
                <c:pt idx="8">
                  <c:v>73.8</c:v>
                </c:pt>
                <c:pt idx="9">
                  <c:v>77.8</c:v>
                </c:pt>
                <c:pt idx="10">
                  <c:v>80.2</c:v>
                </c:pt>
                <c:pt idx="11">
                  <c:v>81.099999999999994</c:v>
                </c:pt>
                <c:pt idx="12">
                  <c:v>80.3</c:v>
                </c:pt>
                <c:pt idx="13">
                  <c:v>77.8</c:v>
                </c:pt>
                <c:pt idx="14">
                  <c:v>73.2</c:v>
                </c:pt>
                <c:pt idx="15">
                  <c:v>66.7</c:v>
                </c:pt>
                <c:pt idx="16">
                  <c:v>58.3</c:v>
                </c:pt>
                <c:pt idx="17">
                  <c:v>47.1</c:v>
                </c:pt>
                <c:pt idx="18">
                  <c:v>34</c:v>
                </c:pt>
                <c:pt idx="19">
                  <c:v>18.399999999999999</c:v>
                </c:pt>
                <c:pt idx="2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D8-49E5-9864-9116BB66C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40989331978664"/>
                  <c:y val="-0.3854574050170674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HP'!$B$22:$B$35</c:f>
              <c:numCache>
                <c:formatCode>0.00</c:formatCode>
                <c:ptCount val="14"/>
                <c:pt idx="0">
                  <c:v>3351.2</c:v>
                </c:pt>
                <c:pt idx="1">
                  <c:v>3236.7</c:v>
                </c:pt>
                <c:pt idx="2">
                  <c:v>3091.7</c:v>
                </c:pt>
                <c:pt idx="3">
                  <c:v>2932.6</c:v>
                </c:pt>
                <c:pt idx="4">
                  <c:v>2801.8</c:v>
                </c:pt>
                <c:pt idx="5">
                  <c:v>2680.8</c:v>
                </c:pt>
                <c:pt idx="6">
                  <c:v>2547.8000000000002</c:v>
                </c:pt>
                <c:pt idx="7">
                  <c:v>2309</c:v>
                </c:pt>
                <c:pt idx="8">
                  <c:v>2093.6999999999998</c:v>
                </c:pt>
                <c:pt idx="9">
                  <c:v>1894.7</c:v>
                </c:pt>
                <c:pt idx="10">
                  <c:v>1706.6</c:v>
                </c:pt>
                <c:pt idx="11">
                  <c:v>1532.8</c:v>
                </c:pt>
                <c:pt idx="12">
                  <c:v>1382.3</c:v>
                </c:pt>
                <c:pt idx="13">
                  <c:v>1235.4000000000001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F-455C-85F5-DC58B028502A}"/>
            </c:ext>
          </c:extLst>
        </c:ser>
        <c:ser>
          <c:idx val="1"/>
          <c:order val="1"/>
          <c:tx>
            <c:strRef>
              <c:f>'Federal Barnes TSX HP'!$A$78</c:f>
              <c:strCache>
                <c:ptCount val="1"/>
                <c:pt idx="0">
                  <c:v>Hornady 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058504783676232E-2"/>
                  <c:y val="9.559563153528512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HP'!$C$80:$C$100</c:f>
              <c:numCache>
                <c:formatCode>0.00</c:formatCode>
                <c:ptCount val="21"/>
                <c:pt idx="0">
                  <c:v>3352</c:v>
                </c:pt>
                <c:pt idx="1">
                  <c:v>3200</c:v>
                </c:pt>
                <c:pt idx="2">
                  <c:v>3055</c:v>
                </c:pt>
                <c:pt idx="3">
                  <c:v>2914</c:v>
                </c:pt>
                <c:pt idx="4">
                  <c:v>2779</c:v>
                </c:pt>
                <c:pt idx="5">
                  <c:v>2649</c:v>
                </c:pt>
                <c:pt idx="6">
                  <c:v>2524</c:v>
                </c:pt>
                <c:pt idx="7">
                  <c:v>2403</c:v>
                </c:pt>
                <c:pt idx="8">
                  <c:v>2287</c:v>
                </c:pt>
                <c:pt idx="9">
                  <c:v>2175</c:v>
                </c:pt>
                <c:pt idx="10">
                  <c:v>2068</c:v>
                </c:pt>
                <c:pt idx="11">
                  <c:v>1964</c:v>
                </c:pt>
                <c:pt idx="12">
                  <c:v>1865</c:v>
                </c:pt>
                <c:pt idx="13">
                  <c:v>1770</c:v>
                </c:pt>
                <c:pt idx="14">
                  <c:v>1678</c:v>
                </c:pt>
                <c:pt idx="15">
                  <c:v>1591</c:v>
                </c:pt>
                <c:pt idx="16">
                  <c:v>1507</c:v>
                </c:pt>
                <c:pt idx="17">
                  <c:v>1427</c:v>
                </c:pt>
                <c:pt idx="18">
                  <c:v>1350</c:v>
                </c:pt>
                <c:pt idx="19">
                  <c:v>1278</c:v>
                </c:pt>
                <c:pt idx="20">
                  <c:v>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9F-455C-85F5-DC58B028502A}"/>
            </c:ext>
          </c:extLst>
        </c:ser>
        <c:ser>
          <c:idx val="2"/>
          <c:order val="2"/>
          <c:tx>
            <c:strRef>
              <c:f>'Federal Barnes TSX HP'!$K$78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HP'!$K$80:$K$100</c:f>
              <c:numCache>
                <c:formatCode>0.00</c:formatCode>
                <c:ptCount val="21"/>
              </c:numCache>
            </c:numRef>
          </c:xVal>
          <c:yVal>
            <c:numRef>
              <c:f>'Federal Barnes TSX HP'!$S$80:$S$100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FA-4479-B5EB-341726232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7.2262752791490428E-2"/>
                  <c:y val="-7.955370892291599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2.3750000000178621E-2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4.4531251308250486</c:v>
                </c:pt>
                <c:pt idx="7">
                  <c:v>-5.9375001744333975</c:v>
                </c:pt>
                <c:pt idx="8">
                  <c:v>-14.843751744334149</c:v>
                </c:pt>
                <c:pt idx="9">
                  <c:v>-35.625016745614914</c:v>
                </c:pt>
                <c:pt idx="10">
                  <c:v>-62.343815935905212</c:v>
                </c:pt>
                <c:pt idx="11">
                  <c:v>-95.000178620194674</c:v>
                </c:pt>
                <c:pt idx="12">
                  <c:v>-146.95364738662394</c:v>
                </c:pt>
                <c:pt idx="13">
                  <c:v>-197.83853244589636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2-415D-9AB8-76C3A8303056}"/>
            </c:ext>
          </c:extLst>
        </c:ser>
        <c:ser>
          <c:idx val="1"/>
          <c:order val="1"/>
          <c:tx>
            <c:strRef>
              <c:f>'Federal Barnes TSX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-3.5000022866684599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-39.960023632680461</c:v>
                </c:pt>
                <c:pt idx="10">
                  <c:v>-70.000093333482667</c:v>
                </c:pt>
                <c:pt idx="11">
                  <c:v>-100.00020833385418</c:v>
                </c:pt>
                <c:pt idx="12">
                  <c:v>-135.00040500145803</c:v>
                </c:pt>
                <c:pt idx="13">
                  <c:v>-187.50087891119387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2-415D-9AB8-76C3A8303056}"/>
            </c:ext>
          </c:extLst>
        </c:ser>
        <c:ser>
          <c:idx val="2"/>
          <c:order val="2"/>
          <c:tx>
            <c:strRef>
              <c:f>'Federal Barnes TSX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1.8750000390625008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-36.000017280009942</c:v>
                </c:pt>
                <c:pt idx="10">
                  <c:v>-58.380054142139294</c:v>
                </c:pt>
                <c:pt idx="11">
                  <c:v>-90.000151875307537</c:v>
                </c:pt>
                <c:pt idx="12">
                  <c:v>-123.75031195406865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C2-415D-9AB8-76C3A8303056}"/>
            </c:ext>
          </c:extLst>
        </c:ser>
        <c:ser>
          <c:idx val="3"/>
          <c:order val="3"/>
          <c:tx>
            <c:strRef>
              <c:f>'Federal Barnes TSX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-2.0000004266667757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-10.000000533333367</c:v>
                </c:pt>
                <c:pt idx="9">
                  <c:v>-22.500004218750952</c:v>
                </c:pt>
                <c:pt idx="10">
                  <c:v>-49.000032013358435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-162.50057213783393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C2-415D-9AB8-76C3A8303056}"/>
            </c:ext>
          </c:extLst>
        </c:ser>
        <c:ser>
          <c:idx val="4"/>
          <c:order val="4"/>
          <c:tx>
            <c:strRef>
              <c:f>'Federal Barnes TSX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6.0000028800016576</c:v>
                </c:pt>
                <c:pt idx="3">
                  <c:v>10.50000686000538</c:v>
                </c:pt>
                <c:pt idx="4">
                  <c:v>14.00000914667384</c:v>
                </c:pt>
                <c:pt idx="5">
                  <c:v>16.50000958320668</c:v>
                </c:pt>
                <c:pt idx="6">
                  <c:v>18.750009765631106</c:v>
                </c:pt>
                <c:pt idx="7">
                  <c:v>19.600006274615744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-75.06006961132195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C2-415D-9AB8-76C3A8303056}"/>
            </c:ext>
          </c:extLst>
        </c:ser>
        <c:ser>
          <c:idx val="5"/>
          <c:order val="5"/>
          <c:tx>
            <c:strRef>
              <c:f>'Federal Barnes TSX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2.500000833333667</c:v>
                </c:pt>
                <c:pt idx="2">
                  <c:v>11.250018984413442</c:v>
                </c:pt>
                <c:pt idx="3">
                  <c:v>18.000034560079627</c:v>
                </c:pt>
                <c:pt idx="4">
                  <c:v>25.000052083463544</c:v>
                </c:pt>
                <c:pt idx="5">
                  <c:v>29.150052841524811</c:v>
                </c:pt>
                <c:pt idx="6">
                  <c:v>34.980063409829775</c:v>
                </c:pt>
                <c:pt idx="7">
                  <c:v>40.000053333418663</c:v>
                </c:pt>
                <c:pt idx="8">
                  <c:v>37.500028125025317</c:v>
                </c:pt>
                <c:pt idx="9">
                  <c:v>30.000010000004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-62.500032552103676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C2-415D-9AB8-76C3A8303056}"/>
            </c:ext>
          </c:extLst>
        </c:ser>
        <c:ser>
          <c:idx val="6"/>
          <c:order val="6"/>
          <c:tx>
            <c:strRef>
              <c:f>'Federal Barnes TSX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0535927298151193"/>
                  <c:y val="-0.17740806384441798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5.8300105683049619</c:v>
                </c:pt>
                <c:pt idx="2">
                  <c:v>17.000065506969573</c:v>
                </c:pt>
                <c:pt idx="3">
                  <c:v>27.510123375898054</c:v>
                </c:pt>
                <c:pt idx="4">
                  <c:v>36.680164501197403</c:v>
                </c:pt>
                <c:pt idx="5">
                  <c:v>45.000194401007775</c:v>
                </c:pt>
                <c:pt idx="6">
                  <c:v>52.500214376050444</c:v>
                </c:pt>
                <c:pt idx="7">
                  <c:v>65.000228855133571</c:v>
                </c:pt>
                <c:pt idx="8">
                  <c:v>68.750173307815913</c:v>
                </c:pt>
                <c:pt idx="9">
                  <c:v>72.000138240318506</c:v>
                </c:pt>
                <c:pt idx="10">
                  <c:v>70.000093333482667</c:v>
                </c:pt>
                <c:pt idx="11">
                  <c:v>53.280031510240612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C2-415D-9AB8-76C3A830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2644337714915357"/>
                  <c:y val="-0.62147787776527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'Barnes TSX HP'!#REF!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'Barnes TSX HP'!#REF!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1E-3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6.25E-2</c:v>
                </c:pt>
                <c:pt idx="6">
                  <c:v>-6.25E-2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-0.6875</c:v>
                </c:pt>
                <c:pt idx="12">
                  <c:v>-0.83299999999999996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7D-4054-BF3D-212F278022ED}"/>
            </c:ext>
          </c:extLst>
        </c:ser>
        <c:ser>
          <c:idx val="1"/>
          <c:order val="1"/>
          <c:tx>
            <c:strRef>
              <c:f>'Federal 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636846770866436"/>
                  <c:y val="-0.45491882264716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'Barnes TSX HP'!#REF!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'Barnes TSX HP'!#REF!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HP'!$D$23:$D$35</c:f>
              <c:numCache>
                <c:formatCode>0.000</c:formatCode>
                <c:ptCount val="13"/>
                <c:pt idx="0">
                  <c:v>-0.35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-0.25</c:v>
                </c:pt>
                <c:pt idx="8">
                  <c:v>-0.33300000000000002</c:v>
                </c:pt>
                <c:pt idx="9">
                  <c:v>-0.5</c:v>
                </c:pt>
                <c:pt idx="10">
                  <c:v>-0.625</c:v>
                </c:pt>
                <c:pt idx="11">
                  <c:v>-0.75</c:v>
                </c:pt>
                <c:pt idx="12">
                  <c:v>-0.9375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7D-4054-BF3D-212F278022ED}"/>
            </c:ext>
          </c:extLst>
        </c:ser>
        <c:ser>
          <c:idx val="2"/>
          <c:order val="2"/>
          <c:tx>
            <c:strRef>
              <c:f>'Federal 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690258674931309"/>
                  <c:y val="-0.487390138732658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HP'!$E$23:$E$35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6.25E-2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-0.125</c:v>
                </c:pt>
                <c:pt idx="8">
                  <c:v>-0.3</c:v>
                </c:pt>
                <c:pt idx="9">
                  <c:v>-0.41699999999999998</c:v>
                </c:pt>
                <c:pt idx="10">
                  <c:v>-0.5625</c:v>
                </c:pt>
                <c:pt idx="11">
                  <c:v>-0.6875</c:v>
                </c:pt>
                <c:pt idx="12">
                  <c:v>-0.875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D-4054-BF3D-212F278022ED}"/>
            </c:ext>
          </c:extLst>
        </c:ser>
        <c:ser>
          <c:idx val="3"/>
          <c:order val="3"/>
          <c:tx>
            <c:strRef>
              <c:f>'Federal Barnes TSX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690258674931309"/>
                  <c:y val="-0.275610048743906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HP'!$F$23:$F$35</c:f>
              <c:numCache>
                <c:formatCode>0.000</c:formatCode>
                <c:ptCount val="13"/>
                <c:pt idx="0">
                  <c:v>-0.2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</c:v>
                </c:pt>
                <c:pt idx="8">
                  <c:v>-0.1875</c:v>
                </c:pt>
                <c:pt idx="9">
                  <c:v>-0.35</c:v>
                </c:pt>
                <c:pt idx="10">
                  <c:v>-0.5</c:v>
                </c:pt>
                <c:pt idx="11">
                  <c:v>-0.625</c:v>
                </c:pt>
                <c:pt idx="12">
                  <c:v>-0.8125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7D-4054-BF3D-212F278022ED}"/>
            </c:ext>
          </c:extLst>
        </c:ser>
        <c:ser>
          <c:idx val="4"/>
          <c:order val="4"/>
          <c:tx>
            <c:strRef>
              <c:f>'Federal Barnes TSX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912534806712349"/>
                  <c:y val="-5.472778402699662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HP'!$G$23:$G$35</c:f>
              <c:numCache>
                <c:formatCode>0.000</c:formatCode>
                <c:ptCount val="13"/>
                <c:pt idx="0">
                  <c:v>0</c:v>
                </c:pt>
                <c:pt idx="1">
                  <c:v>0.3</c:v>
                </c:pt>
                <c:pt idx="2">
                  <c:v>0.35</c:v>
                </c:pt>
                <c:pt idx="3">
                  <c:v>0.35</c:v>
                </c:pt>
                <c:pt idx="4">
                  <c:v>0.33</c:v>
                </c:pt>
                <c:pt idx="5">
                  <c:v>0.3125</c:v>
                </c:pt>
                <c:pt idx="6">
                  <c:v>0.245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-0.41699999999999998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17D-4054-BF3D-212F278022ED}"/>
            </c:ext>
          </c:extLst>
        </c:ser>
        <c:ser>
          <c:idx val="5"/>
          <c:order val="5"/>
          <c:tx>
            <c:strRef>
              <c:f>'Federal Barnes TSX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121688759214175"/>
                  <c:y val="0.222765841769778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HP'!$H$23:$H$35</c:f>
              <c:numCache>
                <c:formatCode>0.000</c:formatCode>
                <c:ptCount val="13"/>
                <c:pt idx="0">
                  <c:v>0.25</c:v>
                </c:pt>
                <c:pt idx="1">
                  <c:v>0.5625</c:v>
                </c:pt>
                <c:pt idx="2">
                  <c:v>0.6</c:v>
                </c:pt>
                <c:pt idx="3">
                  <c:v>0.625</c:v>
                </c:pt>
                <c:pt idx="4">
                  <c:v>0.58299999999999996</c:v>
                </c:pt>
                <c:pt idx="5">
                  <c:v>0.58299999999999996</c:v>
                </c:pt>
                <c:pt idx="6">
                  <c:v>0.5</c:v>
                </c:pt>
                <c:pt idx="7">
                  <c:v>0.375</c:v>
                </c:pt>
                <c:pt idx="8">
                  <c:v>0.25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17D-4054-BF3D-212F278022ED}"/>
            </c:ext>
          </c:extLst>
        </c:ser>
        <c:ser>
          <c:idx val="6"/>
          <c:order val="6"/>
          <c:tx>
            <c:strRef>
              <c:f>'Federal Barnes TSX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4473685992115163"/>
                  <c:y val="0.4232032245969253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HP'!$I$23:$I$35</c:f>
              <c:numCache>
                <c:formatCode>0.000</c:formatCode>
                <c:ptCount val="13"/>
                <c:pt idx="0">
                  <c:v>0.58299999999999996</c:v>
                </c:pt>
                <c:pt idx="1">
                  <c:v>0.85</c:v>
                </c:pt>
                <c:pt idx="2">
                  <c:v>0.91700000000000004</c:v>
                </c:pt>
                <c:pt idx="3">
                  <c:v>0.91700000000000004</c:v>
                </c:pt>
                <c:pt idx="4">
                  <c:v>0.9</c:v>
                </c:pt>
                <c:pt idx="5">
                  <c:v>0.875</c:v>
                </c:pt>
                <c:pt idx="6">
                  <c:v>0.8125</c:v>
                </c:pt>
                <c:pt idx="7">
                  <c:v>0.6875</c:v>
                </c:pt>
                <c:pt idx="8">
                  <c:v>0.6</c:v>
                </c:pt>
                <c:pt idx="9">
                  <c:v>0.5</c:v>
                </c:pt>
                <c:pt idx="10">
                  <c:v>0.33300000000000002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17D-4054-BF3D-212F27802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'Federal Barnes TSX HP'!$K$78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Barnes TSX HP'!$K$80:$K$100</c:f>
              <c:numCache>
                <c:formatCode>0.00</c:formatCode>
                <c:ptCount val="21"/>
              </c:numCache>
            </c:numRef>
          </c:xVal>
          <c:yVal>
            <c:numRef>
              <c:f>'Federal Barnes TSX HP'!$L$80:$L$100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D8-4832-8EF2-D5952CF0686A}"/>
            </c:ext>
          </c:extLst>
        </c:ser>
        <c:ser>
          <c:idx val="0"/>
          <c:order val="1"/>
          <c:tx>
            <c:strRef>
              <c:f>'Federal Barnes TSX HP'!$A$78</c:f>
              <c:strCache>
                <c:ptCount val="1"/>
                <c:pt idx="0">
                  <c:v>Hornady 50m zero(G1 BC)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-7.5</c:v>
                </c:pt>
                <c:pt idx="8">
                  <c:v>-12.5</c:v>
                </c:pt>
                <c:pt idx="9">
                  <c:v>-18.5</c:v>
                </c:pt>
                <c:pt idx="10">
                  <c:v>-25.9</c:v>
                </c:pt>
                <c:pt idx="11">
                  <c:v>-34.9</c:v>
                </c:pt>
                <c:pt idx="12">
                  <c:v>-45.2</c:v>
                </c:pt>
                <c:pt idx="13">
                  <c:v>-57</c:v>
                </c:pt>
                <c:pt idx="14">
                  <c:v>-70.900000000000006</c:v>
                </c:pt>
                <c:pt idx="15">
                  <c:v>-86.1</c:v>
                </c:pt>
                <c:pt idx="16">
                  <c:v>-103.2</c:v>
                </c:pt>
                <c:pt idx="17">
                  <c:v>-122.9</c:v>
                </c:pt>
                <c:pt idx="18">
                  <c:v>-144.1</c:v>
                </c:pt>
                <c:pt idx="19">
                  <c:v>-167.4</c:v>
                </c:pt>
                <c:pt idx="20">
                  <c:v>-193.1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D8-4832-8EF2-D5952CF0686A}"/>
            </c:ext>
          </c:extLst>
        </c:ser>
        <c:ser>
          <c:idx val="2"/>
          <c:order val="2"/>
          <c:tx>
            <c:strRef>
              <c:f>'Federal Barnes TSX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2.3750000000178621E-2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4.4531251308250486</c:v>
                </c:pt>
                <c:pt idx="7">
                  <c:v>-5.9375001744333975</c:v>
                </c:pt>
                <c:pt idx="8">
                  <c:v>-14.843751744334149</c:v>
                </c:pt>
                <c:pt idx="9">
                  <c:v>-35.625016745614914</c:v>
                </c:pt>
                <c:pt idx="10">
                  <c:v>-62.343815935905212</c:v>
                </c:pt>
                <c:pt idx="11">
                  <c:v>-95.000178620194674</c:v>
                </c:pt>
                <c:pt idx="12">
                  <c:v>-146.95364738662394</c:v>
                </c:pt>
                <c:pt idx="13">
                  <c:v>-197.83853244589636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D8-4832-8EF2-D5952CF06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-3.5000022866684599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-39.960023632680461</c:v>
                </c:pt>
                <c:pt idx="10">
                  <c:v>-70.000093333482667</c:v>
                </c:pt>
                <c:pt idx="11">
                  <c:v>-100.00020833385418</c:v>
                </c:pt>
                <c:pt idx="12">
                  <c:v>-135.00040500145803</c:v>
                </c:pt>
                <c:pt idx="13">
                  <c:v>-187.50087891119387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03-41A0-B0ED-60A4788E0721}"/>
            </c:ext>
          </c:extLst>
        </c:ser>
        <c:ser>
          <c:idx val="1"/>
          <c:order val="1"/>
          <c:tx>
            <c:strRef>
              <c:f>'Federal Barnes TSX HP'!$A$102</c:f>
              <c:strCache>
                <c:ptCount val="1"/>
                <c:pt idx="0">
                  <c:v>Hornady 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</c:v>
                </c:pt>
                <c:pt idx="7">
                  <c:v>-7.6</c:v>
                </c:pt>
                <c:pt idx="8">
                  <c:v>-12.6</c:v>
                </c:pt>
                <c:pt idx="9">
                  <c:v>-18.7</c:v>
                </c:pt>
                <c:pt idx="10">
                  <c:v>-26</c:v>
                </c:pt>
                <c:pt idx="11">
                  <c:v>-35.1</c:v>
                </c:pt>
                <c:pt idx="12">
                  <c:v>-45.4</c:v>
                </c:pt>
                <c:pt idx="13">
                  <c:v>-57.2</c:v>
                </c:pt>
                <c:pt idx="14">
                  <c:v>-71.2</c:v>
                </c:pt>
                <c:pt idx="15">
                  <c:v>-86.4</c:v>
                </c:pt>
                <c:pt idx="16">
                  <c:v>-103.5</c:v>
                </c:pt>
                <c:pt idx="17">
                  <c:v>-123.2</c:v>
                </c:pt>
                <c:pt idx="18">
                  <c:v>-144.4</c:v>
                </c:pt>
                <c:pt idx="19">
                  <c:v>-167.8</c:v>
                </c:pt>
                <c:pt idx="20">
                  <c:v>-193.5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03-41A0-B0ED-60A4788E0721}"/>
            </c:ext>
          </c:extLst>
        </c:ser>
        <c:ser>
          <c:idx val="2"/>
          <c:order val="2"/>
          <c:tx>
            <c:strRef>
              <c:f>'Federal Barnes TSX HP'!$K$102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HP'!$K$104:$K$124</c:f>
              <c:numCache>
                <c:formatCode>0.00</c:formatCode>
                <c:ptCount val="21"/>
              </c:numCache>
            </c:numRef>
          </c:xVal>
          <c:yVal>
            <c:numRef>
              <c:f>'Federal Barnes TSX HP'!$L$104:$L$124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88-4EB1-8C9E-355FD0F68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1.8750000390625008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-36.000017280009942</c:v>
                </c:pt>
                <c:pt idx="10">
                  <c:v>-58.380054142139294</c:v>
                </c:pt>
                <c:pt idx="11">
                  <c:v>-90.000151875307537</c:v>
                </c:pt>
                <c:pt idx="12">
                  <c:v>-123.75031195406865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D-434D-A014-8E554FDD2C35}"/>
            </c:ext>
          </c:extLst>
        </c:ser>
        <c:ser>
          <c:idx val="1"/>
          <c:order val="1"/>
          <c:tx>
            <c:strRef>
              <c:f>'Federal Barnes TSX HP'!$A$126</c:f>
              <c:strCache>
                <c:ptCount val="1"/>
                <c:pt idx="0">
                  <c:v>Hornady(150m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2.7</c:v>
                </c:pt>
                <c:pt idx="5">
                  <c:v>1.9</c:v>
                </c:pt>
                <c:pt idx="6">
                  <c:v>0</c:v>
                </c:pt>
                <c:pt idx="7">
                  <c:v>-2.9</c:v>
                </c:pt>
                <c:pt idx="8">
                  <c:v>-7.2</c:v>
                </c:pt>
                <c:pt idx="9">
                  <c:v>-12.6</c:v>
                </c:pt>
                <c:pt idx="10">
                  <c:v>-19.3</c:v>
                </c:pt>
                <c:pt idx="11">
                  <c:v>-27.7</c:v>
                </c:pt>
                <c:pt idx="12">
                  <c:v>-37.299999999999997</c:v>
                </c:pt>
                <c:pt idx="13">
                  <c:v>-48.5</c:v>
                </c:pt>
                <c:pt idx="14">
                  <c:v>-61.8</c:v>
                </c:pt>
                <c:pt idx="15">
                  <c:v>-76.3</c:v>
                </c:pt>
                <c:pt idx="16">
                  <c:v>-92.7</c:v>
                </c:pt>
                <c:pt idx="17">
                  <c:v>-111.8</c:v>
                </c:pt>
                <c:pt idx="18">
                  <c:v>-132.30000000000001</c:v>
                </c:pt>
                <c:pt idx="19">
                  <c:v>-155</c:v>
                </c:pt>
                <c:pt idx="20">
                  <c:v>-180.1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D-434D-A014-8E554FDD2C35}"/>
            </c:ext>
          </c:extLst>
        </c:ser>
        <c:ser>
          <c:idx val="2"/>
          <c:order val="2"/>
          <c:tx>
            <c:strRef>
              <c:f>'Federal Barnes TSX HP'!$K$126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HP'!$K$128:$K$148</c:f>
              <c:numCache>
                <c:formatCode>0.00</c:formatCode>
                <c:ptCount val="21"/>
              </c:numCache>
            </c:numRef>
          </c:xVal>
          <c:yVal>
            <c:numRef>
              <c:f>'Federal Barnes TSX HP'!$L$128:$L$148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3C-44A2-9D19-A54EB5037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-2.0000004266667757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-10.000000533333367</c:v>
                </c:pt>
                <c:pt idx="9">
                  <c:v>-22.500004218750952</c:v>
                </c:pt>
                <c:pt idx="10">
                  <c:v>-49.000032013358435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-162.50057213783393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6-44BC-864B-017E09325CA7}"/>
            </c:ext>
          </c:extLst>
        </c:ser>
        <c:ser>
          <c:idx val="1"/>
          <c:order val="1"/>
          <c:tx>
            <c:strRef>
              <c:f>'Federal Barnes TSX HP'!$A$150</c:f>
              <c:strCache>
                <c:ptCount val="1"/>
                <c:pt idx="0">
                  <c:v>Hornady(200m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</c:v>
                </c:pt>
                <c:pt idx="2">
                  <c:v>3.1</c:v>
                </c:pt>
                <c:pt idx="3">
                  <c:v>5.2</c:v>
                </c:pt>
                <c:pt idx="4">
                  <c:v>6.3</c:v>
                </c:pt>
                <c:pt idx="5">
                  <c:v>6.4</c:v>
                </c:pt>
                <c:pt idx="6">
                  <c:v>5.4</c:v>
                </c:pt>
                <c:pt idx="7">
                  <c:v>3.3</c:v>
                </c:pt>
                <c:pt idx="8">
                  <c:v>-0.1</c:v>
                </c:pt>
                <c:pt idx="9">
                  <c:v>-4.5999999999999996</c:v>
                </c:pt>
                <c:pt idx="10">
                  <c:v>-10.4</c:v>
                </c:pt>
                <c:pt idx="11">
                  <c:v>-17.899999999999999</c:v>
                </c:pt>
                <c:pt idx="12">
                  <c:v>-26.6</c:v>
                </c:pt>
                <c:pt idx="13">
                  <c:v>-36.9</c:v>
                </c:pt>
                <c:pt idx="14">
                  <c:v>-49.2</c:v>
                </c:pt>
                <c:pt idx="15">
                  <c:v>-62.9</c:v>
                </c:pt>
                <c:pt idx="16">
                  <c:v>-78.400000000000006</c:v>
                </c:pt>
                <c:pt idx="17">
                  <c:v>-96.6</c:v>
                </c:pt>
                <c:pt idx="18">
                  <c:v>-116.2</c:v>
                </c:pt>
                <c:pt idx="19">
                  <c:v>-138.1</c:v>
                </c:pt>
                <c:pt idx="20">
                  <c:v>-162.19999999999999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6-44BC-864B-017E09325CA7}"/>
            </c:ext>
          </c:extLst>
        </c:ser>
        <c:ser>
          <c:idx val="2"/>
          <c:order val="2"/>
          <c:tx>
            <c:strRef>
              <c:f>'Federal Barnes TSX HP'!$K$150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HP'!$K$152:$K$172</c:f>
              <c:numCache>
                <c:formatCode>0.00</c:formatCode>
                <c:ptCount val="21"/>
              </c:numCache>
            </c:numRef>
          </c:xVal>
          <c:yVal>
            <c:numRef>
              <c:f>'Federal Barnes TSX HP'!$L$152:$L$172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60-4265-AC32-64CF6B372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6.0000028800016576</c:v>
                </c:pt>
                <c:pt idx="3">
                  <c:v>10.50000686000538</c:v>
                </c:pt>
                <c:pt idx="4">
                  <c:v>14.00000914667384</c:v>
                </c:pt>
                <c:pt idx="5">
                  <c:v>16.50000958320668</c:v>
                </c:pt>
                <c:pt idx="6">
                  <c:v>18.750009765631106</c:v>
                </c:pt>
                <c:pt idx="7">
                  <c:v>19.600006274615744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-75.06006961132195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0-4A45-AFC4-9DA271B2CC54}"/>
            </c:ext>
          </c:extLst>
        </c:ser>
        <c:ser>
          <c:idx val="1"/>
          <c:order val="1"/>
          <c:tx>
            <c:strRef>
              <c:f>'Federal Barnes TSX HP'!$A$174</c:f>
              <c:strCache>
                <c:ptCount val="1"/>
                <c:pt idx="0">
                  <c:v>Hornady(300m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2.2999999999999998</c:v>
                </c:pt>
                <c:pt idx="2">
                  <c:v>7.6</c:v>
                </c:pt>
                <c:pt idx="3">
                  <c:v>11.8</c:v>
                </c:pt>
                <c:pt idx="4">
                  <c:v>15.1</c:v>
                </c:pt>
                <c:pt idx="5">
                  <c:v>17.5</c:v>
                </c:pt>
                <c:pt idx="6">
                  <c:v>18.7</c:v>
                </c:pt>
                <c:pt idx="7">
                  <c:v>18.8</c:v>
                </c:pt>
                <c:pt idx="8">
                  <c:v>17.7</c:v>
                </c:pt>
                <c:pt idx="9">
                  <c:v>15.4</c:v>
                </c:pt>
                <c:pt idx="10">
                  <c:v>11.8</c:v>
                </c:pt>
                <c:pt idx="11">
                  <c:v>6.5</c:v>
                </c:pt>
                <c:pt idx="12">
                  <c:v>0</c:v>
                </c:pt>
                <c:pt idx="13">
                  <c:v>-8</c:v>
                </c:pt>
                <c:pt idx="14">
                  <c:v>-18.100000000000001</c:v>
                </c:pt>
                <c:pt idx="15">
                  <c:v>-29.6</c:v>
                </c:pt>
                <c:pt idx="16">
                  <c:v>-43</c:v>
                </c:pt>
                <c:pt idx="17">
                  <c:v>-58.8</c:v>
                </c:pt>
                <c:pt idx="18">
                  <c:v>-76.3</c:v>
                </c:pt>
                <c:pt idx="19">
                  <c:v>-95.9</c:v>
                </c:pt>
                <c:pt idx="20">
                  <c:v>-117.9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A0-4A45-AFC4-9DA271B2CC54}"/>
            </c:ext>
          </c:extLst>
        </c:ser>
        <c:ser>
          <c:idx val="2"/>
          <c:order val="2"/>
          <c:tx>
            <c:strRef>
              <c:f>'Federal Barnes TSX HP'!$K$174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HP'!$K$176:$K$196</c:f>
              <c:numCache>
                <c:formatCode>0.00</c:formatCode>
                <c:ptCount val="21"/>
              </c:numCache>
            </c:numRef>
          </c:xVal>
          <c:yVal>
            <c:numRef>
              <c:f>'Federal Barnes TSX HP'!$L$176:$L$196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BF-4735-88FB-83BF87A32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2.500000833333667</c:v>
                </c:pt>
                <c:pt idx="2">
                  <c:v>11.250018984413442</c:v>
                </c:pt>
                <c:pt idx="3">
                  <c:v>18.000034560079627</c:v>
                </c:pt>
                <c:pt idx="4">
                  <c:v>25.000052083463544</c:v>
                </c:pt>
                <c:pt idx="5">
                  <c:v>29.150052841524811</c:v>
                </c:pt>
                <c:pt idx="6">
                  <c:v>34.980063409829775</c:v>
                </c:pt>
                <c:pt idx="7">
                  <c:v>40.000053333418663</c:v>
                </c:pt>
                <c:pt idx="8">
                  <c:v>37.500028125025317</c:v>
                </c:pt>
                <c:pt idx="9">
                  <c:v>30.000010000004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-62.500032552103676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6-450A-88A7-9BE18054F380}"/>
            </c:ext>
          </c:extLst>
        </c:ser>
        <c:ser>
          <c:idx val="1"/>
          <c:order val="1"/>
          <c:tx>
            <c:strRef>
              <c:f>'Federal Barnes TSX HP'!$A$198</c:f>
              <c:strCache>
                <c:ptCount val="1"/>
                <c:pt idx="0">
                  <c:v>Hornday(400m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4.9000000000000004</c:v>
                </c:pt>
                <c:pt idx="2">
                  <c:v>13.1</c:v>
                </c:pt>
                <c:pt idx="3">
                  <c:v>20</c:v>
                </c:pt>
                <c:pt idx="4">
                  <c:v>25.9</c:v>
                </c:pt>
                <c:pt idx="5">
                  <c:v>31.1</c:v>
                </c:pt>
                <c:pt idx="6">
                  <c:v>35</c:v>
                </c:pt>
                <c:pt idx="7">
                  <c:v>37.700000000000003</c:v>
                </c:pt>
                <c:pt idx="8">
                  <c:v>39.4</c:v>
                </c:pt>
                <c:pt idx="9">
                  <c:v>39.700000000000003</c:v>
                </c:pt>
                <c:pt idx="10">
                  <c:v>38.799999999999997</c:v>
                </c:pt>
                <c:pt idx="11">
                  <c:v>36.299999999999997</c:v>
                </c:pt>
                <c:pt idx="12">
                  <c:v>32.5</c:v>
                </c:pt>
                <c:pt idx="13">
                  <c:v>27.1</c:v>
                </c:pt>
                <c:pt idx="14">
                  <c:v>19.8</c:v>
                </c:pt>
                <c:pt idx="15">
                  <c:v>10.9</c:v>
                </c:pt>
                <c:pt idx="16">
                  <c:v>0.3</c:v>
                </c:pt>
                <c:pt idx="17">
                  <c:v>-12.9</c:v>
                </c:pt>
                <c:pt idx="18">
                  <c:v>-27.6</c:v>
                </c:pt>
                <c:pt idx="19">
                  <c:v>-44.6</c:v>
                </c:pt>
                <c:pt idx="20">
                  <c:v>-63.9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6-450A-88A7-9BE18054F380}"/>
            </c:ext>
          </c:extLst>
        </c:ser>
        <c:ser>
          <c:idx val="2"/>
          <c:order val="2"/>
          <c:tx>
            <c:strRef>
              <c:f>'Federal Barnes TSX HP'!$K$198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HP'!$K$200:$K$220</c:f>
              <c:numCache>
                <c:formatCode>0.00</c:formatCode>
                <c:ptCount val="21"/>
              </c:numCache>
            </c:numRef>
          </c:xVal>
          <c:yVal>
            <c:numRef>
              <c:f>'Federal Barnes TSX HP'!$L$200:$L$220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83-40F5-9603-E99C51FDE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5.8300105683049619</c:v>
                </c:pt>
                <c:pt idx="2">
                  <c:v>17.000065506969573</c:v>
                </c:pt>
                <c:pt idx="3">
                  <c:v>27.510123375898054</c:v>
                </c:pt>
                <c:pt idx="4">
                  <c:v>36.680164501197403</c:v>
                </c:pt>
                <c:pt idx="5">
                  <c:v>45.000194401007775</c:v>
                </c:pt>
                <c:pt idx="6">
                  <c:v>52.500214376050444</c:v>
                </c:pt>
                <c:pt idx="7">
                  <c:v>65.000228855133571</c:v>
                </c:pt>
                <c:pt idx="8">
                  <c:v>68.750173307815913</c:v>
                </c:pt>
                <c:pt idx="9">
                  <c:v>72.000138240318506</c:v>
                </c:pt>
                <c:pt idx="10">
                  <c:v>70.000093333482667</c:v>
                </c:pt>
                <c:pt idx="11">
                  <c:v>53.280031510240612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CAA-88FE-6C7B46EFE220}"/>
            </c:ext>
          </c:extLst>
        </c:ser>
        <c:ser>
          <c:idx val="1"/>
          <c:order val="1"/>
          <c:tx>
            <c:strRef>
              <c:f>'Federal Barnes TSX HP'!$A$222</c:f>
              <c:strCache>
                <c:ptCount val="1"/>
                <c:pt idx="0">
                  <c:v>Hornady(500m Zero)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8.1</c:v>
                </c:pt>
                <c:pt idx="2">
                  <c:v>19.600000000000001</c:v>
                </c:pt>
                <c:pt idx="3">
                  <c:v>29.7</c:v>
                </c:pt>
                <c:pt idx="4">
                  <c:v>38.799999999999997</c:v>
                </c:pt>
                <c:pt idx="5">
                  <c:v>47.2</c:v>
                </c:pt>
                <c:pt idx="6">
                  <c:v>54.3</c:v>
                </c:pt>
                <c:pt idx="7">
                  <c:v>60.3</c:v>
                </c:pt>
                <c:pt idx="8">
                  <c:v>65.2</c:v>
                </c:pt>
                <c:pt idx="9">
                  <c:v>68.8</c:v>
                </c:pt>
                <c:pt idx="10">
                  <c:v>71</c:v>
                </c:pt>
                <c:pt idx="11">
                  <c:v>71.8</c:v>
                </c:pt>
                <c:pt idx="12">
                  <c:v>71.2</c:v>
                </c:pt>
                <c:pt idx="13">
                  <c:v>69</c:v>
                </c:pt>
                <c:pt idx="14">
                  <c:v>64.900000000000006</c:v>
                </c:pt>
                <c:pt idx="15">
                  <c:v>59.3</c:v>
                </c:pt>
                <c:pt idx="16">
                  <c:v>51.8</c:v>
                </c:pt>
                <c:pt idx="17">
                  <c:v>42</c:v>
                </c:pt>
                <c:pt idx="18">
                  <c:v>30.4</c:v>
                </c:pt>
                <c:pt idx="19">
                  <c:v>16.600000000000001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CAA-88FE-6C7B46EFE220}"/>
            </c:ext>
          </c:extLst>
        </c:ser>
        <c:ser>
          <c:idx val="2"/>
          <c:order val="2"/>
          <c:tx>
            <c:strRef>
              <c:f>'Federal Barnes TSX HP'!$K$222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HP'!$K$224:$K$244</c:f>
              <c:numCache>
                <c:formatCode>0.00</c:formatCode>
                <c:ptCount val="21"/>
              </c:numCache>
            </c:numRef>
          </c:xVal>
          <c:yVal>
            <c:numRef>
              <c:f>'Federal Barnes TSX HP'!$L$224:$L$244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C7-4121-9370-C10A3DBAD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Measured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SP'!$B$1:$D$1</c:f>
              <c:strCache>
                <c:ptCount val="1"/>
                <c:pt idx="0">
                  <c:v>7mm-08 Remington Federal Power-Shok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SP'!$B$22:$B$35</c:f>
              <c:numCache>
                <c:formatCode>0.00</c:formatCode>
                <c:ptCount val="14"/>
                <c:pt idx="0">
                  <c:v>3170.7</c:v>
                </c:pt>
                <c:pt idx="1">
                  <c:v>3048.8</c:v>
                </c:pt>
                <c:pt idx="2">
                  <c:v>2922</c:v>
                </c:pt>
                <c:pt idx="3">
                  <c:v>2821.5</c:v>
                </c:pt>
                <c:pt idx="4">
                  <c:v>2669.3</c:v>
                </c:pt>
                <c:pt idx="5">
                  <c:v>2543.4</c:v>
                </c:pt>
                <c:pt idx="6">
                  <c:v>2426.1</c:v>
                </c:pt>
                <c:pt idx="7">
                  <c:v>2193</c:v>
                </c:pt>
                <c:pt idx="8">
                  <c:v>1990.6</c:v>
                </c:pt>
                <c:pt idx="9">
                  <c:v>1804.8</c:v>
                </c:pt>
                <c:pt idx="10">
                  <c:v>1626.3</c:v>
                </c:pt>
                <c:pt idx="11">
                  <c:v>1469.5</c:v>
                </c:pt>
                <c:pt idx="12">
                  <c:v>1334.2</c:v>
                </c:pt>
                <c:pt idx="13">
                  <c:v>1201.8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4C-4E6E-B777-EB70836EE91E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7mm-08 Remington Federal Trophy-Bonded Tip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PHP'!$B$22:$B$35</c:f>
              <c:numCache>
                <c:formatCode>0.00</c:formatCode>
                <c:ptCount val="14"/>
                <c:pt idx="0">
                  <c:v>3303.8</c:v>
                </c:pt>
                <c:pt idx="1">
                  <c:v>3200.7</c:v>
                </c:pt>
                <c:pt idx="2">
                  <c:v>3096.6</c:v>
                </c:pt>
                <c:pt idx="3">
                  <c:v>2924.9</c:v>
                </c:pt>
                <c:pt idx="4">
                  <c:v>2807.6</c:v>
                </c:pt>
                <c:pt idx="5">
                  <c:v>2696.2</c:v>
                </c:pt>
                <c:pt idx="6">
                  <c:v>2570.6999999999998</c:v>
                </c:pt>
                <c:pt idx="7">
                  <c:v>2346.4</c:v>
                </c:pt>
                <c:pt idx="8">
                  <c:v>2145.9</c:v>
                </c:pt>
                <c:pt idx="9">
                  <c:v>1957.1</c:v>
                </c:pt>
                <c:pt idx="10">
                  <c:v>1787.4</c:v>
                </c:pt>
                <c:pt idx="11">
                  <c:v>1615.2</c:v>
                </c:pt>
                <c:pt idx="12">
                  <c:v>1468.8</c:v>
                </c:pt>
                <c:pt idx="13">
                  <c:v>1329.5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4C-4E6E-B777-EB70836EE91E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7mm-08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HP'!$B$22:$B$35</c:f>
              <c:numCache>
                <c:formatCode>0.00</c:formatCode>
                <c:ptCount val="14"/>
                <c:pt idx="0">
                  <c:v>3351.2</c:v>
                </c:pt>
                <c:pt idx="1">
                  <c:v>3236.7</c:v>
                </c:pt>
                <c:pt idx="2">
                  <c:v>3091.7</c:v>
                </c:pt>
                <c:pt idx="3">
                  <c:v>2932.6</c:v>
                </c:pt>
                <c:pt idx="4">
                  <c:v>2801.8</c:v>
                </c:pt>
                <c:pt idx="5">
                  <c:v>2680.8</c:v>
                </c:pt>
                <c:pt idx="6">
                  <c:v>2547.8000000000002</c:v>
                </c:pt>
                <c:pt idx="7">
                  <c:v>2309</c:v>
                </c:pt>
                <c:pt idx="8">
                  <c:v>2093.6999999999998</c:v>
                </c:pt>
                <c:pt idx="9">
                  <c:v>1894.7</c:v>
                </c:pt>
                <c:pt idx="10">
                  <c:v>1706.6</c:v>
                </c:pt>
                <c:pt idx="11">
                  <c:v>1532.8</c:v>
                </c:pt>
                <c:pt idx="12">
                  <c:v>1382.3</c:v>
                </c:pt>
                <c:pt idx="13">
                  <c:v>1235.4000000000001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4C-4E6E-B777-EB70836EE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ax val="3500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Bullet Trajectory Comparison: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SP'!$B$1:$D$1</c:f>
              <c:strCache>
                <c:ptCount val="1"/>
                <c:pt idx="0">
                  <c:v>7mm-08 Remington Federal Power-Shok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-13.360001987184569</c:v>
                </c:pt>
                <c:pt idx="8">
                  <c:v>-25.00000833333667</c:v>
                </c:pt>
                <c:pt idx="9">
                  <c:v>-50.040046407547969</c:v>
                </c:pt>
                <c:pt idx="10">
                  <c:v>-77.000124226907175</c:v>
                </c:pt>
                <c:pt idx="11">
                  <c:v>-108.32026478049552</c:v>
                </c:pt>
                <c:pt idx="12">
                  <c:v>-157.50064312815135</c:v>
                </c:pt>
                <c:pt idx="13">
                  <c:v>-220.0014197443279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F2-439F-BC07-2778BF632C71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7mm-08 Remington Federal Trophy-Bonded Tip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-3.0000000400000006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-39.960023632680461</c:v>
                </c:pt>
                <c:pt idx="10">
                  <c:v>-70.000093333482667</c:v>
                </c:pt>
                <c:pt idx="11">
                  <c:v>-93.28016909287939</c:v>
                </c:pt>
                <c:pt idx="12">
                  <c:v>-135.00040500145803</c:v>
                </c:pt>
                <c:pt idx="13">
                  <c:v>-183.40082250598704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F2-439F-BC07-2778BF632C71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7mm-08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-3.5000022866684599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-39.960023632680461</c:v>
                </c:pt>
                <c:pt idx="10">
                  <c:v>-70.000093333482667</c:v>
                </c:pt>
                <c:pt idx="11">
                  <c:v>-100.00020833385418</c:v>
                </c:pt>
                <c:pt idx="12">
                  <c:v>-135.00040500145803</c:v>
                </c:pt>
                <c:pt idx="13">
                  <c:v>-187.50087891119387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F2-439F-BC07-2778BF63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19759"/>
        <c:axId val="863128879"/>
      </c:scatterChart>
      <c:valAx>
        <c:axId val="86311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28879"/>
        <c:crosses val="autoZero"/>
        <c:crossBetween val="midCat"/>
      </c:valAx>
      <c:valAx>
        <c:axId val="86312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1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Predicted Energy vs Range: Hornady Standard Calculator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SP'!$B$1:$D$1</c:f>
              <c:strCache>
                <c:ptCount val="1"/>
                <c:pt idx="0">
                  <c:v>7mm-08 Remington Federal Power-Shok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Power-Shok SP'!$C$80:$C$100</c:f>
              <c:numCache>
                <c:formatCode>0.00</c:formatCode>
                <c:ptCount val="21"/>
                <c:pt idx="0">
                  <c:v>3171</c:v>
                </c:pt>
                <c:pt idx="1">
                  <c:v>3028</c:v>
                </c:pt>
                <c:pt idx="2">
                  <c:v>2891</c:v>
                </c:pt>
                <c:pt idx="3">
                  <c:v>2759</c:v>
                </c:pt>
                <c:pt idx="4">
                  <c:v>2632</c:v>
                </c:pt>
                <c:pt idx="5">
                  <c:v>2509</c:v>
                </c:pt>
                <c:pt idx="6">
                  <c:v>2391</c:v>
                </c:pt>
                <c:pt idx="7">
                  <c:v>2277</c:v>
                </c:pt>
                <c:pt idx="8">
                  <c:v>2167</c:v>
                </c:pt>
                <c:pt idx="9">
                  <c:v>2062</c:v>
                </c:pt>
                <c:pt idx="10">
                  <c:v>1960</c:v>
                </c:pt>
                <c:pt idx="11">
                  <c:v>1863</c:v>
                </c:pt>
                <c:pt idx="12">
                  <c:v>1769</c:v>
                </c:pt>
                <c:pt idx="13">
                  <c:v>1679</c:v>
                </c:pt>
                <c:pt idx="14">
                  <c:v>1593</c:v>
                </c:pt>
                <c:pt idx="15">
                  <c:v>1511</c:v>
                </c:pt>
                <c:pt idx="16">
                  <c:v>1432</c:v>
                </c:pt>
                <c:pt idx="17">
                  <c:v>1357</c:v>
                </c:pt>
                <c:pt idx="18">
                  <c:v>1285</c:v>
                </c:pt>
                <c:pt idx="19">
                  <c:v>1217</c:v>
                </c:pt>
                <c:pt idx="20">
                  <c:v>1154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D0-4B10-B218-3AAA6FBEAA64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7mm-08 Remington Federal Trophy-Bonded Tip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PHP'!$C$80:$C$100</c:f>
              <c:numCache>
                <c:formatCode>0.00</c:formatCode>
                <c:ptCount val="21"/>
                <c:pt idx="0">
                  <c:v>3309</c:v>
                </c:pt>
                <c:pt idx="1">
                  <c:v>3171</c:v>
                </c:pt>
                <c:pt idx="2">
                  <c:v>3039</c:v>
                </c:pt>
                <c:pt idx="3">
                  <c:v>2910</c:v>
                </c:pt>
                <c:pt idx="4">
                  <c:v>2787</c:v>
                </c:pt>
                <c:pt idx="5">
                  <c:v>2667</c:v>
                </c:pt>
                <c:pt idx="6">
                  <c:v>2551</c:v>
                </c:pt>
                <c:pt idx="7">
                  <c:v>2440</c:v>
                </c:pt>
                <c:pt idx="8">
                  <c:v>2332</c:v>
                </c:pt>
                <c:pt idx="9">
                  <c:v>2228</c:v>
                </c:pt>
                <c:pt idx="10">
                  <c:v>2127</c:v>
                </c:pt>
                <c:pt idx="11">
                  <c:v>2030</c:v>
                </c:pt>
                <c:pt idx="12">
                  <c:v>1937</c:v>
                </c:pt>
                <c:pt idx="13">
                  <c:v>1846</c:v>
                </c:pt>
                <c:pt idx="14">
                  <c:v>1760</c:v>
                </c:pt>
                <c:pt idx="15">
                  <c:v>1676</c:v>
                </c:pt>
                <c:pt idx="16">
                  <c:v>1596</c:v>
                </c:pt>
                <c:pt idx="17">
                  <c:v>1519</c:v>
                </c:pt>
                <c:pt idx="18">
                  <c:v>1445</c:v>
                </c:pt>
                <c:pt idx="19">
                  <c:v>1374</c:v>
                </c:pt>
                <c:pt idx="20">
                  <c:v>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D0-4B10-B218-3AAA6FBEAA64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7mm-08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HP'!$C$80:$C$100</c:f>
              <c:numCache>
                <c:formatCode>0.00</c:formatCode>
                <c:ptCount val="21"/>
                <c:pt idx="0">
                  <c:v>3352</c:v>
                </c:pt>
                <c:pt idx="1">
                  <c:v>3200</c:v>
                </c:pt>
                <c:pt idx="2">
                  <c:v>3055</c:v>
                </c:pt>
                <c:pt idx="3">
                  <c:v>2914</c:v>
                </c:pt>
                <c:pt idx="4">
                  <c:v>2779</c:v>
                </c:pt>
                <c:pt idx="5">
                  <c:v>2649</c:v>
                </c:pt>
                <c:pt idx="6">
                  <c:v>2524</c:v>
                </c:pt>
                <c:pt idx="7">
                  <c:v>2403</c:v>
                </c:pt>
                <c:pt idx="8">
                  <c:v>2287</c:v>
                </c:pt>
                <c:pt idx="9">
                  <c:v>2175</c:v>
                </c:pt>
                <c:pt idx="10">
                  <c:v>2068</c:v>
                </c:pt>
                <c:pt idx="11">
                  <c:v>1964</c:v>
                </c:pt>
                <c:pt idx="12">
                  <c:v>1865</c:v>
                </c:pt>
                <c:pt idx="13">
                  <c:v>1770</c:v>
                </c:pt>
                <c:pt idx="14">
                  <c:v>1678</c:v>
                </c:pt>
                <c:pt idx="15">
                  <c:v>1591</c:v>
                </c:pt>
                <c:pt idx="16">
                  <c:v>1507</c:v>
                </c:pt>
                <c:pt idx="17">
                  <c:v>1427</c:v>
                </c:pt>
                <c:pt idx="18">
                  <c:v>1350</c:v>
                </c:pt>
                <c:pt idx="19">
                  <c:v>1278</c:v>
                </c:pt>
                <c:pt idx="20">
                  <c:v>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D0-4B10-B218-3AAA6FBEA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Calculated ComeUps(MILS) vs Range: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SP'!$B$1:$D$1</c:f>
              <c:strCache>
                <c:ptCount val="1"/>
                <c:pt idx="0">
                  <c:v>7mm-08 Remington Federal Power-Shok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'Federal Power-Shok SP'!$C$12</c:f>
                <c:numCache>
                  <c:formatCode>General</c:formatCode>
                  <c:ptCount val="1"/>
                  <c:pt idx="0">
                    <c:v>7.2722052166430393E-2</c:v>
                  </c:pt>
                </c:numCache>
              </c:numRef>
            </c:plus>
            <c:minus>
              <c:numRef>
                <c:f>'Federal Power-Shok SP'!$C$12</c:f>
                <c:numCache>
                  <c:formatCode>General</c:formatCode>
                  <c:ptCount val="1"/>
                  <c:pt idx="0">
                    <c:v>7.2722052166430393E-2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PHP'!$B$257:$B$277</c:f>
              <c:numCache>
                <c:formatCode>0.000</c:formatCode>
                <c:ptCount val="21"/>
                <c:pt idx="0">
                  <c:v>-</c:v>
                </c:pt>
                <c:pt idx="1">
                  <c:v>0.64899361107137588</c:v>
                </c:pt>
                <c:pt idx="2">
                  <c:v>-0.18402115911768893</c:v>
                </c:pt>
                <c:pt idx="3">
                  <c:v>-0.3617077235145808</c:v>
                </c:pt>
                <c:pt idx="4">
                  <c:v>-0.36465189864872227</c:v>
                </c:pt>
                <c:pt idx="5">
                  <c:v>-0.28897084782599797</c:v>
                </c:pt>
                <c:pt idx="6">
                  <c:v>-0.1667036254817027</c:v>
                </c:pt>
                <c:pt idx="7">
                  <c:v>-1.1581254945248632E-2</c:v>
                </c:pt>
                <c:pt idx="8">
                  <c:v>0.16953075211865826</c:v>
                </c:pt>
                <c:pt idx="9">
                  <c:v>0.37281822256295899</c:v>
                </c:pt>
                <c:pt idx="10">
                  <c:v>0.59599265249941835</c:v>
                </c:pt>
                <c:pt idx="11">
                  <c:v>0.83759772127188636</c:v>
                </c:pt>
                <c:pt idx="12">
                  <c:v>1.09666254844293</c:v>
                </c:pt>
                <c:pt idx="13">
                  <c:v>1.3725149860174033</c:v>
                </c:pt>
                <c:pt idx="14">
                  <c:v>1.6646749282844877</c:v>
                </c:pt>
                <c:pt idx="15">
                  <c:v>1.9727902977229164</c:v>
                </c:pt>
                <c:pt idx="16">
                  <c:v>2.2965970361917383</c:v>
                </c:pt>
                <c:pt idx="17">
                  <c:v>2.6358932168772857</c:v>
                </c:pt>
                <c:pt idx="18">
                  <c:v>2.990521785591151</c:v>
                </c:pt>
                <c:pt idx="19">
                  <c:v>3.3603587521845912</c:v>
                </c:pt>
                <c:pt idx="20">
                  <c:v>3.7453049245386101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F4-4D3F-9F71-FF967CAFB8F8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7mm-08 Remington Federal Trophy-Bonded Tip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PHP'!$B$257:$B$277</c:f>
              <c:numCache>
                <c:formatCode>0.000</c:formatCode>
                <c:ptCount val="21"/>
                <c:pt idx="0">
                  <c:v>-</c:v>
                </c:pt>
                <c:pt idx="1">
                  <c:v>0.64899361107137588</c:v>
                </c:pt>
                <c:pt idx="2">
                  <c:v>-0.18402115911768893</c:v>
                </c:pt>
                <c:pt idx="3">
                  <c:v>-0.3617077235145808</c:v>
                </c:pt>
                <c:pt idx="4">
                  <c:v>-0.36465189864872227</c:v>
                </c:pt>
                <c:pt idx="5">
                  <c:v>-0.28897084782599797</c:v>
                </c:pt>
                <c:pt idx="6">
                  <c:v>-0.1667036254817027</c:v>
                </c:pt>
                <c:pt idx="7">
                  <c:v>-1.1581254945248632E-2</c:v>
                </c:pt>
                <c:pt idx="8">
                  <c:v>0.16953075211865826</c:v>
                </c:pt>
                <c:pt idx="9">
                  <c:v>0.37281822256295899</c:v>
                </c:pt>
                <c:pt idx="10">
                  <c:v>0.59599265249941835</c:v>
                </c:pt>
                <c:pt idx="11">
                  <c:v>0.83759772127188636</c:v>
                </c:pt>
                <c:pt idx="12">
                  <c:v>1.09666254844293</c:v>
                </c:pt>
                <c:pt idx="13">
                  <c:v>1.3725149860174033</c:v>
                </c:pt>
                <c:pt idx="14">
                  <c:v>1.6646749282844877</c:v>
                </c:pt>
                <c:pt idx="15">
                  <c:v>1.9727902977229164</c:v>
                </c:pt>
                <c:pt idx="16">
                  <c:v>2.2965970361917383</c:v>
                </c:pt>
                <c:pt idx="17">
                  <c:v>2.6358932168772857</c:v>
                </c:pt>
                <c:pt idx="18">
                  <c:v>2.990521785591151</c:v>
                </c:pt>
                <c:pt idx="19">
                  <c:v>3.3603587521845912</c:v>
                </c:pt>
                <c:pt idx="20">
                  <c:v>3.7453049245386101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F4-4D3F-9F71-FF967CAFB8F8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7mm-08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HP'!$B$257:$B$277</c:f>
              <c:numCache>
                <c:formatCode>0.000</c:formatCode>
                <c:ptCount val="21"/>
                <c:pt idx="0">
                  <c:v>-</c:v>
                </c:pt>
                <c:pt idx="1">
                  <c:v>0.679424688193489</c:v>
                </c:pt>
                <c:pt idx="2">
                  <c:v>-0.21329244519370824</c:v>
                </c:pt>
                <c:pt idx="3">
                  <c:v>-0.40142208352535647</c:v>
                </c:pt>
                <c:pt idx="4">
                  <c:v>-0.40208813422222328</c:v>
                </c:pt>
                <c:pt idx="5">
                  <c:v>-0.31871537876846251</c:v>
                </c:pt>
                <c:pt idx="6">
                  <c:v>-0.18577874432545832</c:v>
                </c:pt>
                <c:pt idx="7">
                  <c:v>-1.8053199676661514E-2</c:v>
                </c:pt>
                <c:pt idx="8">
                  <c:v>0.17707377078620304</c:v>
                </c:pt>
                <c:pt idx="9">
                  <c:v>0.39549800906773219</c:v>
                </c:pt>
                <c:pt idx="10">
                  <c:v>0.63475702037068393</c:v>
                </c:pt>
                <c:pt idx="11">
                  <c:v>0.89328376255135955</c:v>
                </c:pt>
                <c:pt idx="12">
                  <c:v>1.1700335408472924</c:v>
                </c:pt>
                <c:pt idx="13">
                  <c:v>1.4642831050383136</c:v>
                </c:pt>
                <c:pt idx="14">
                  <c:v>1.7755158478243027</c:v>
                </c:pt>
                <c:pt idx="15">
                  <c:v>2.1033529238518374</c:v>
                </c:pt>
                <c:pt idx="16">
                  <c:v>2.4475101991058525</c:v>
                </c:pt>
                <c:pt idx="17">
                  <c:v>2.807770394633649</c:v>
                </c:pt>
                <c:pt idx="18">
                  <c:v>3.1839645156942407</c:v>
                </c:pt>
                <c:pt idx="19">
                  <c:v>3.5759591453868467</c:v>
                </c:pt>
                <c:pt idx="20">
                  <c:v>3.9836475501908448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F4-4D3F-9F71-FF967CAFB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ComeUp(MILS)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Calculated ComeUps(MILS) vs Range: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02559085220659E-2"/>
          <c:y val="5.6083916083916094E-2"/>
          <c:w val="0.66997250933910069"/>
          <c:h val="0.901639410458308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Power-Shok SP'!$B$1:$D$1</c:f>
              <c:strCache>
                <c:ptCount val="1"/>
                <c:pt idx="0">
                  <c:v>7mm-08 Remington Federal Power-Shok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Power-Shok SP'!$C$12</c:f>
                <c:numCache>
                  <c:formatCode>General</c:formatCode>
                  <c:ptCount val="1"/>
                  <c:pt idx="0">
                    <c:v>7.2722052166430393E-2</c:v>
                  </c:pt>
                </c:numCache>
                <c:extLst xmlns:c15="http://schemas.microsoft.com/office/drawing/2012/chart"/>
              </c:numRef>
            </c:plus>
            <c:minus>
              <c:numRef>
                <c:f>'Federal Power-Shok SP'!$C$12</c:f>
                <c:numCache>
                  <c:formatCode>General</c:formatCode>
                  <c:ptCount val="1"/>
                  <c:pt idx="0">
                    <c:v>7.2722052166430393E-2</c:v>
                  </c:pt>
                </c:numCache>
                <c:extLst xmlns:c15="http://schemas.microsoft.com/office/drawing/2012/chart"/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TrophyBonded PHP'!$C$257:$C$277</c:f>
              <c:numCache>
                <c:formatCode>0.000</c:formatCode>
                <c:ptCount val="21"/>
                <c:pt idx="0">
                  <c:v>0</c:v>
                </c:pt>
                <c:pt idx="1">
                  <c:v>0.90781699540429683</c:v>
                </c:pt>
                <c:pt idx="2">
                  <c:v>0.1492777506305592</c:v>
                </c:pt>
                <c:pt idx="3">
                  <c:v>6.3451522708932542E-4</c:v>
                </c:pt>
                <c:pt idx="4">
                  <c:v>1.2251729927705669E-2</c:v>
                </c:pt>
                <c:pt idx="5">
                  <c:v>9.4202282879171956E-2</c:v>
                </c:pt>
                <c:pt idx="6">
                  <c:v>0.2165104701304095</c:v>
                </c:pt>
                <c:pt idx="7">
                  <c:v>0.36632956141667022</c:v>
                </c:pt>
                <c:pt idx="8">
                  <c:v>0.53723619160558034</c:v>
                </c:pt>
                <c:pt idx="9">
                  <c:v>0.72566182451248717</c:v>
                </c:pt>
                <c:pt idx="10">
                  <c:v>0.92946533842659962</c:v>
                </c:pt>
                <c:pt idx="11">
                  <c:v>1.1472842013501414</c:v>
                </c:pt>
                <c:pt idx="12">
                  <c:v>1.378210058617928</c:v>
                </c:pt>
                <c:pt idx="13">
                  <c:v>1.6216140493079096</c:v>
                </c:pt>
                <c:pt idx="14">
                  <c:v>1.8770469870471922</c:v>
                </c:pt>
                <c:pt idx="15">
                  <c:v>2.1441794684956546</c:v>
                </c:pt>
                <c:pt idx="16">
                  <c:v>2.4227644411482037</c:v>
                </c:pt>
                <c:pt idx="17">
                  <c:v>2.7126129825009491</c:v>
                </c:pt>
                <c:pt idx="18">
                  <c:v>3.0135781528286385</c:v>
                </c:pt>
                <c:pt idx="19">
                  <c:v>3.3255439470850217</c:v>
                </c:pt>
                <c:pt idx="20">
                  <c:v>3.6484175612330993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BD6-4CD3-91E1-667B61EB1234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7mm-08 Remington Federal Trophy-Bonded Tip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'Federal TrophyBonded PHP'!$E$19</c:f>
                <c:numCache>
                  <c:formatCode>General</c:formatCode>
                  <c:ptCount val="1"/>
                  <c:pt idx="0">
                    <c:v>0.15024454823627703</c:v>
                  </c:pt>
                </c:numCache>
              </c:numRef>
            </c:plus>
            <c:minus>
              <c:numRef>
                <c:f>'Federal TrophyBonded PHP'!$E$19</c:f>
                <c:numCache>
                  <c:formatCode>General</c:formatCode>
                  <c:ptCount val="1"/>
                  <c:pt idx="0">
                    <c:v>0.15024454823627703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PHP'!$C$257:$C$277</c:f>
              <c:numCache>
                <c:formatCode>0.000</c:formatCode>
                <c:ptCount val="21"/>
                <c:pt idx="0">
                  <c:v>0</c:v>
                </c:pt>
                <c:pt idx="1">
                  <c:v>0.90781699540429683</c:v>
                </c:pt>
                <c:pt idx="2">
                  <c:v>0.1492777506305592</c:v>
                </c:pt>
                <c:pt idx="3">
                  <c:v>6.3451522708932542E-4</c:v>
                </c:pt>
                <c:pt idx="4">
                  <c:v>1.2251729927705669E-2</c:v>
                </c:pt>
                <c:pt idx="5">
                  <c:v>9.4202282879171956E-2</c:v>
                </c:pt>
                <c:pt idx="6">
                  <c:v>0.2165104701304095</c:v>
                </c:pt>
                <c:pt idx="7">
                  <c:v>0.36632956141667022</c:v>
                </c:pt>
                <c:pt idx="8">
                  <c:v>0.53723619160558034</c:v>
                </c:pt>
                <c:pt idx="9">
                  <c:v>0.72566182451248717</c:v>
                </c:pt>
                <c:pt idx="10">
                  <c:v>0.92946533842659962</c:v>
                </c:pt>
                <c:pt idx="11">
                  <c:v>1.1472842013501414</c:v>
                </c:pt>
                <c:pt idx="12">
                  <c:v>1.378210058617928</c:v>
                </c:pt>
                <c:pt idx="13">
                  <c:v>1.6216140493079096</c:v>
                </c:pt>
                <c:pt idx="14">
                  <c:v>1.8770469870471922</c:v>
                </c:pt>
                <c:pt idx="15">
                  <c:v>2.1441794684956546</c:v>
                </c:pt>
                <c:pt idx="16">
                  <c:v>2.4227644411482037</c:v>
                </c:pt>
                <c:pt idx="17">
                  <c:v>2.7126129825009491</c:v>
                </c:pt>
                <c:pt idx="18">
                  <c:v>3.0135781528286385</c:v>
                </c:pt>
                <c:pt idx="19">
                  <c:v>3.3255439470850217</c:v>
                </c:pt>
                <c:pt idx="20">
                  <c:v>3.6484175612330993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D6-4CD3-91E1-667B61EB1234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7mm-08 Remington Federal Barnes TSX Hollow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'Federal Barnes TSX HP'!$C$257:$C$277</c:f>
              <c:numCache>
                <c:formatCode>0.000</c:formatCode>
                <c:ptCount val="21"/>
                <c:pt idx="0">
                  <c:v>0</c:v>
                </c:pt>
                <c:pt idx="1">
                  <c:v>0.98273011154150836</c:v>
                </c:pt>
                <c:pt idx="2">
                  <c:v>0.1656409196634856</c:v>
                </c:pt>
                <c:pt idx="3">
                  <c:v>2.280604617403753E-3</c:v>
                </c:pt>
                <c:pt idx="4">
                  <c:v>1.0071106028573669E-2</c:v>
                </c:pt>
                <c:pt idx="5">
                  <c:v>9.2496811822057504E-2</c:v>
                </c:pt>
                <c:pt idx="6">
                  <c:v>0.21738585130620927</c:v>
                </c:pt>
                <c:pt idx="7">
                  <c:v>0.37095027989889512</c:v>
                </c:pt>
                <c:pt idx="8">
                  <c:v>0.54629612530904792</c:v>
                </c:pt>
                <c:pt idx="9">
                  <c:v>0.73959340293051923</c:v>
                </c:pt>
                <c:pt idx="10">
                  <c:v>0.94854412199962024</c:v>
                </c:pt>
                <c:pt idx="11">
                  <c:v>1.1716859247576397</c:v>
                </c:pt>
                <c:pt idx="12">
                  <c:v>1.4080439060321035</c:v>
                </c:pt>
                <c:pt idx="13">
                  <c:v>1.6569431314728371</c:v>
                </c:pt>
                <c:pt idx="14">
                  <c:v>1.9179015051154307</c:v>
                </c:pt>
                <c:pt idx="15">
                  <c:v>2.1905654899193165</c:v>
                </c:pt>
                <c:pt idx="16">
                  <c:v>2.4746699331040682</c:v>
                </c:pt>
                <c:pt idx="17">
                  <c:v>2.770012070778773</c:v>
                </c:pt>
                <c:pt idx="18">
                  <c:v>3.0764341976949425</c:v>
                </c:pt>
                <c:pt idx="19">
                  <c:v>3.3938118097090326</c:v>
                </c:pt>
                <c:pt idx="20">
                  <c:v>3.7220453035062087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BD6-4CD3-91E1-667B61EB1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  <c:extLst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ComeUp(MILS)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 Calculated ComeUps(MILS) vs Range: 150m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Power-Shok SP'!$B$1:$D$1</c:f>
              <c:strCache>
                <c:ptCount val="1"/>
                <c:pt idx="0">
                  <c:v>7mm-08 Remington Federal Power-Shok Soft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PHP'!$D$257:$D$277</c:f>
              <c:numCache>
                <c:formatCode>0.000</c:formatCode>
                <c:ptCount val="21"/>
                <c:pt idx="0">
                  <c:v>0</c:v>
                </c:pt>
                <c:pt idx="1">
                  <c:v>0.78532359133478569</c:v>
                </c:pt>
                <c:pt idx="2">
                  <c:v>-3.6110531041894559E-2</c:v>
                </c:pt>
                <c:pt idx="3">
                  <c:v>-0.21831520188517481</c:v>
                </c:pt>
                <c:pt idx="4">
                  <c:v>-0.23094863174182556</c:v>
                </c:pt>
                <c:pt idx="5">
                  <c:v>-0.16794246272120128</c:v>
                </c:pt>
                <c:pt idx="6">
                  <c:v>-6.0607242193086268E-2</c:v>
                </c:pt>
                <c:pt idx="7">
                  <c:v>7.763822382689721E-2</c:v>
                </c:pt>
                <c:pt idx="8">
                  <c:v>0.24008453233093829</c:v>
                </c:pt>
                <c:pt idx="9">
                  <c:v>0.42300423720358632</c:v>
                </c:pt>
                <c:pt idx="10">
                  <c:v>0.62416087077557103</c:v>
                </c:pt>
                <c:pt idx="11">
                  <c:v>0.84213122634826576</c:v>
                </c:pt>
                <c:pt idx="12">
                  <c:v>1.0759664994559195</c:v>
                </c:pt>
                <c:pt idx="13">
                  <c:v>1.3250098254683969</c:v>
                </c:pt>
                <c:pt idx="14">
                  <c:v>1.588792015364173</c:v>
                </c:pt>
                <c:pt idx="15">
                  <c:v>1.8669689971941288</c:v>
                </c:pt>
                <c:pt idx="16">
                  <c:v>2.1592827169964259</c:v>
                </c:pt>
                <c:pt idx="17">
                  <c:v>2.4655358393884805</c:v>
                </c:pt>
                <c:pt idx="18">
                  <c:v>2.7855748812949521</c:v>
                </c:pt>
                <c:pt idx="19">
                  <c:v>3.1192786718668857</c:v>
                </c:pt>
                <c:pt idx="20">
                  <c:v>3.4665502744251175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C-4F76-984B-2558BA8A37AD}"/>
            </c:ext>
          </c:extLst>
        </c:ser>
        <c:ser>
          <c:idx val="1"/>
          <c:order val="1"/>
          <c:tx>
            <c:strRef>
              <c:f>'Federal TrophyBonded PHP'!$B$1:$D$1</c:f>
              <c:strCache>
                <c:ptCount val="1"/>
                <c:pt idx="0">
                  <c:v>7mm-08 Remington Federal Trophy-Bonded Tip Polymer-Tipped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PHP'!$D$257:$D$277</c:f>
              <c:numCache>
                <c:formatCode>0.000</c:formatCode>
                <c:ptCount val="21"/>
                <c:pt idx="0">
                  <c:v>0</c:v>
                </c:pt>
                <c:pt idx="1">
                  <c:v>0.78532359133478569</c:v>
                </c:pt>
                <c:pt idx="2">
                  <c:v>-3.6110531041894559E-2</c:v>
                </c:pt>
                <c:pt idx="3">
                  <c:v>-0.21831520188517481</c:v>
                </c:pt>
                <c:pt idx="4">
                  <c:v>-0.23094863174182556</c:v>
                </c:pt>
                <c:pt idx="5">
                  <c:v>-0.16794246272120128</c:v>
                </c:pt>
                <c:pt idx="6">
                  <c:v>-6.0607242193086268E-2</c:v>
                </c:pt>
                <c:pt idx="7">
                  <c:v>7.763822382689721E-2</c:v>
                </c:pt>
                <c:pt idx="8">
                  <c:v>0.24008453233093829</c:v>
                </c:pt>
                <c:pt idx="9">
                  <c:v>0.42300423720358632</c:v>
                </c:pt>
                <c:pt idx="10">
                  <c:v>0.62416087077557103</c:v>
                </c:pt>
                <c:pt idx="11">
                  <c:v>0.84213122634826576</c:v>
                </c:pt>
                <c:pt idx="12">
                  <c:v>1.0759664994559195</c:v>
                </c:pt>
                <c:pt idx="13">
                  <c:v>1.3250098254683969</c:v>
                </c:pt>
                <c:pt idx="14">
                  <c:v>1.588792015364173</c:v>
                </c:pt>
                <c:pt idx="15">
                  <c:v>1.8669689971941288</c:v>
                </c:pt>
                <c:pt idx="16">
                  <c:v>2.1592827169964259</c:v>
                </c:pt>
                <c:pt idx="17">
                  <c:v>2.4655358393884805</c:v>
                </c:pt>
                <c:pt idx="18">
                  <c:v>2.7855748812949521</c:v>
                </c:pt>
                <c:pt idx="19">
                  <c:v>3.1192786718668857</c:v>
                </c:pt>
                <c:pt idx="20">
                  <c:v>3.4665502744251175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EC-4F76-984B-2558BA8A37AD}"/>
            </c:ext>
          </c:extLst>
        </c:ser>
        <c:ser>
          <c:idx val="2"/>
          <c:order val="2"/>
          <c:tx>
            <c:strRef>
              <c:f>'Federal Barnes TSX HP'!$B$1:$D$1</c:f>
              <c:strCache>
                <c:ptCount val="1"/>
                <c:pt idx="0">
                  <c:v>7mm-08 Remington Federal 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HP'!$A$257:$A$277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HP'!$D$257:$D$277</c:f>
              <c:numCache>
                <c:formatCode>0.000</c:formatCode>
                <c:ptCount val="21"/>
                <c:pt idx="0">
                  <c:v>0</c:v>
                </c:pt>
                <c:pt idx="1">
                  <c:v>0.76311116146506741</c:v>
                </c:pt>
                <c:pt idx="2">
                  <c:v>-7.5307142840372349E-2</c:v>
                </c:pt>
                <c:pt idx="3">
                  <c:v>-0.24956483873422844</c:v>
                </c:pt>
                <c:pt idx="4">
                  <c:v>-0.24947758836863479</c:v>
                </c:pt>
                <c:pt idx="5">
                  <c:v>-0.17300852417401827</c:v>
                </c:pt>
                <c:pt idx="6">
                  <c:v>-5.2812023627188072E-2</c:v>
                </c:pt>
                <c:pt idx="7">
                  <c:v>9.7117180067509273E-2</c:v>
                </c:pt>
                <c:pt idx="8">
                  <c:v>0.26978172030790037</c:v>
                </c:pt>
                <c:pt idx="9">
                  <c:v>0.46129417120388927</c:v>
                </c:pt>
                <c:pt idx="10">
                  <c:v>0.66932207722141757</c:v>
                </c:pt>
                <c:pt idx="11">
                  <c:v>0.89238114847517624</c:v>
                </c:pt>
                <c:pt idx="12">
                  <c:v>1.1294818583749591</c:v>
                </c:pt>
                <c:pt idx="13">
                  <c:v>1.3799391500506224</c:v>
                </c:pt>
                <c:pt idx="14">
                  <c:v>1.6432636971663506</c:v>
                </c:pt>
                <c:pt idx="15">
                  <c:v>1.9190966604092121</c:v>
                </c:pt>
                <c:pt idx="16">
                  <c:v>2.2071689102945067</c:v>
                </c:pt>
                <c:pt idx="17">
                  <c:v>2.5072746419221716</c:v>
                </c:pt>
                <c:pt idx="18">
                  <c:v>2.8192537848143786</c:v>
                </c:pt>
                <c:pt idx="19">
                  <c:v>3.1429799675412644</c:v>
                </c:pt>
                <c:pt idx="20">
                  <c:v>3.4783520929589375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EC-4F76-984B-2558BA8A3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ComeUp(MILS)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466725</xdr:colOff>
      <xdr:row>13</xdr:row>
      <xdr:rowOff>176211</xdr:rowOff>
    </xdr:from>
    <xdr:to>
      <xdr:col>34</xdr:col>
      <xdr:colOff>247650</xdr:colOff>
      <xdr:row>42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5F181-8F8E-4DBC-A2D2-4172758DD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44</xdr:row>
      <xdr:rowOff>142875</xdr:rowOff>
    </xdr:from>
    <xdr:to>
      <xdr:col>20</xdr:col>
      <xdr:colOff>342900</xdr:colOff>
      <xdr:row>71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728D3-F186-4623-A143-AB591C42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7402BB-2BF0-4DC7-9DB4-00DE58D3C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490536</xdr:colOff>
      <xdr:row>76</xdr:row>
      <xdr:rowOff>104774</xdr:rowOff>
    </xdr:from>
    <xdr:to>
      <xdr:col>23</xdr:col>
      <xdr:colOff>438149</xdr:colOff>
      <xdr:row>97</xdr:row>
      <xdr:rowOff>19049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9F5638-237F-4D4A-AB45-60E587099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385762</xdr:colOff>
      <xdr:row>100</xdr:row>
      <xdr:rowOff>142875</xdr:rowOff>
    </xdr:from>
    <xdr:to>
      <xdr:col>24</xdr:col>
      <xdr:colOff>123825</xdr:colOff>
      <xdr:row>122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6E68B6-BB28-4637-BC4D-BD0C82CC3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342900</xdr:colOff>
      <xdr:row>125</xdr:row>
      <xdr:rowOff>123825</xdr:rowOff>
    </xdr:from>
    <xdr:to>
      <xdr:col>24</xdr:col>
      <xdr:colOff>80963</xdr:colOff>
      <xdr:row>147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B52A56-276D-4245-92D7-4DEA164FC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276225</xdr:colOff>
      <xdr:row>154</xdr:row>
      <xdr:rowOff>76200</xdr:rowOff>
    </xdr:from>
    <xdr:to>
      <xdr:col>28</xdr:col>
      <xdr:colOff>23813</xdr:colOff>
      <xdr:row>176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6CB536-295B-4BB9-9E20-E60220705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47625</xdr:colOff>
      <xdr:row>178</xdr:row>
      <xdr:rowOff>0</xdr:rowOff>
    </xdr:from>
    <xdr:to>
      <xdr:col>23</xdr:col>
      <xdr:colOff>395288</xdr:colOff>
      <xdr:row>199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FDFD91-1C02-4DFC-A478-6FBBC67D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28575</xdr:colOff>
      <xdr:row>200</xdr:row>
      <xdr:rowOff>171450</xdr:rowOff>
    </xdr:from>
    <xdr:to>
      <xdr:col>23</xdr:col>
      <xdr:colOff>376238</xdr:colOff>
      <xdr:row>222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FF1A85-A193-450B-9C0E-0F441DFE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266700</xdr:colOff>
      <xdr:row>224</xdr:row>
      <xdr:rowOff>38100</xdr:rowOff>
    </xdr:from>
    <xdr:to>
      <xdr:col>24</xdr:col>
      <xdr:colOff>4763</xdr:colOff>
      <xdr:row>245</xdr:row>
      <xdr:rowOff>342900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8D7813-F898-45BB-BD78-29AF880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35</xdr:row>
      <xdr:rowOff>185736</xdr:rowOff>
    </xdr:from>
    <xdr:to>
      <xdr:col>38</xdr:col>
      <xdr:colOff>304800</xdr:colOff>
      <xdr:row>62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1166811</xdr:colOff>
      <xdr:row>77</xdr:row>
      <xdr:rowOff>142874</xdr:rowOff>
    </xdr:from>
    <xdr:to>
      <xdr:col>24</xdr:col>
      <xdr:colOff>180974</xdr:colOff>
      <xdr:row>98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4762</xdr:colOff>
      <xdr:row>102</xdr:row>
      <xdr:rowOff>57150</xdr:rowOff>
    </xdr:from>
    <xdr:to>
      <xdr:col>25</xdr:col>
      <xdr:colOff>66675</xdr:colOff>
      <xdr:row>123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142875</xdr:colOff>
      <xdr:row>126</xdr:row>
      <xdr:rowOff>133350</xdr:rowOff>
    </xdr:from>
    <xdr:to>
      <xdr:col>25</xdr:col>
      <xdr:colOff>204788</xdr:colOff>
      <xdr:row>148</xdr:row>
      <xdr:rowOff>57150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1238250</xdr:colOff>
      <xdr:row>151</xdr:row>
      <xdr:rowOff>152400</xdr:rowOff>
    </xdr:from>
    <xdr:to>
      <xdr:col>29</xdr:col>
      <xdr:colOff>52388</xdr:colOff>
      <xdr:row>173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1181100</xdr:colOff>
      <xdr:row>176</xdr:row>
      <xdr:rowOff>0</xdr:rowOff>
    </xdr:from>
    <xdr:to>
      <xdr:col>24</xdr:col>
      <xdr:colOff>595313</xdr:colOff>
      <xdr:row>197</xdr:row>
      <xdr:rowOff>114300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1190626</xdr:colOff>
      <xdr:row>200</xdr:row>
      <xdr:rowOff>95250</xdr:rowOff>
    </xdr:from>
    <xdr:to>
      <xdr:col>27</xdr:col>
      <xdr:colOff>180976</xdr:colOff>
      <xdr:row>222</xdr:row>
      <xdr:rowOff>19050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47625</xdr:colOff>
      <xdr:row>225</xdr:row>
      <xdr:rowOff>9525</xdr:rowOff>
    </xdr:from>
    <xdr:to>
      <xdr:col>25</xdr:col>
      <xdr:colOff>109538</xdr:colOff>
      <xdr:row>246</xdr:row>
      <xdr:rowOff>123825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714375</xdr:colOff>
      <xdr:row>19</xdr:row>
      <xdr:rowOff>33336</xdr:rowOff>
    </xdr:from>
    <xdr:to>
      <xdr:col>31</xdr:col>
      <xdr:colOff>361950</xdr:colOff>
      <xdr:row>46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E6A51-E5A8-4074-93A2-2CC9820E6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44</xdr:row>
      <xdr:rowOff>142875</xdr:rowOff>
    </xdr:from>
    <xdr:to>
      <xdr:col>20</xdr:col>
      <xdr:colOff>342900</xdr:colOff>
      <xdr:row>71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C30077-6748-48EB-A0FC-67AC796CD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F28282-A2CC-49F9-A510-87D3832D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1185861</xdr:colOff>
      <xdr:row>76</xdr:row>
      <xdr:rowOff>161924</xdr:rowOff>
    </xdr:from>
    <xdr:to>
      <xdr:col>22</xdr:col>
      <xdr:colOff>485774</xdr:colOff>
      <xdr:row>97</xdr:row>
      <xdr:rowOff>76199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561CF-2863-4ECB-8894-DF3B8505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1252537</xdr:colOff>
      <xdr:row>102</xdr:row>
      <xdr:rowOff>57150</xdr:rowOff>
    </xdr:from>
    <xdr:to>
      <xdr:col>23</xdr:col>
      <xdr:colOff>342900</xdr:colOff>
      <xdr:row>123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BFBF2-04C5-477D-8475-AAE80F6F5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1209675</xdr:colOff>
      <xdr:row>127</xdr:row>
      <xdr:rowOff>9525</xdr:rowOff>
    </xdr:from>
    <xdr:to>
      <xdr:col>23</xdr:col>
      <xdr:colOff>300038</xdr:colOff>
      <xdr:row>148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A31281-B167-4F00-BCCE-3F730AAD5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1209675</xdr:colOff>
      <xdr:row>151</xdr:row>
      <xdr:rowOff>28575</xdr:rowOff>
    </xdr:from>
    <xdr:to>
      <xdr:col>27</xdr:col>
      <xdr:colOff>309563</xdr:colOff>
      <xdr:row>172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88D8E4-B7A3-431B-949D-69DDFFDC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9525</xdr:colOff>
      <xdr:row>175</xdr:row>
      <xdr:rowOff>38100</xdr:rowOff>
    </xdr:from>
    <xdr:to>
      <xdr:col>23</xdr:col>
      <xdr:colOff>357188</xdr:colOff>
      <xdr:row>196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23DF8A-8483-417B-8F21-37367116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57150</xdr:colOff>
      <xdr:row>198</xdr:row>
      <xdr:rowOff>171450</xdr:rowOff>
    </xdr:from>
    <xdr:to>
      <xdr:col>23</xdr:col>
      <xdr:colOff>404813</xdr:colOff>
      <xdr:row>220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FE0C8-D986-4075-993E-0E905291B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57150</xdr:colOff>
      <xdr:row>222</xdr:row>
      <xdr:rowOff>171450</xdr:rowOff>
    </xdr:from>
    <xdr:to>
      <xdr:col>23</xdr:col>
      <xdr:colOff>404813</xdr:colOff>
      <xdr:row>244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493508C-34D5-41FE-852D-0A4E589CE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71436</xdr:colOff>
      <xdr:row>2</xdr:row>
      <xdr:rowOff>114300</xdr:rowOff>
    </xdr:from>
    <xdr:to>
      <xdr:col>18</xdr:col>
      <xdr:colOff>571500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7EB98-0B67-7798-FAC3-3AB7BB812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395286</xdr:colOff>
      <xdr:row>3</xdr:row>
      <xdr:rowOff>133350</xdr:rowOff>
    </xdr:from>
    <xdr:to>
      <xdr:col>57</xdr:col>
      <xdr:colOff>457199</xdr:colOff>
      <xdr:row>36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B2767E-EA95-7AD4-0B4E-F70C378A9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571500</xdr:colOff>
      <xdr:row>3</xdr:row>
      <xdr:rowOff>171449</xdr:rowOff>
    </xdr:from>
    <xdr:to>
      <xdr:col>40</xdr:col>
      <xdr:colOff>19050</xdr:colOff>
      <xdr:row>46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52B5D1-86D7-4BF9-B413-725D344C3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581025</xdr:colOff>
      <xdr:row>49</xdr:row>
      <xdr:rowOff>0</xdr:rowOff>
    </xdr:from>
    <xdr:to>
      <xdr:col>18</xdr:col>
      <xdr:colOff>471489</xdr:colOff>
      <xdr:row>91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09642C0-8D80-4DDB-A0B6-E624EED442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571499</xdr:colOff>
      <xdr:row>48</xdr:row>
      <xdr:rowOff>180975</xdr:rowOff>
    </xdr:from>
    <xdr:to>
      <xdr:col>37</xdr:col>
      <xdr:colOff>447674</xdr:colOff>
      <xdr:row>91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CDBA28F-BBF7-4200-9FFF-F0C591EC5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96</xdr:row>
      <xdr:rowOff>0</xdr:rowOff>
    </xdr:from>
    <xdr:to>
      <xdr:col>18</xdr:col>
      <xdr:colOff>500064</xdr:colOff>
      <xdr:row>138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778BDD0-A357-4EB3-81E5-E48C19666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4D47-F432-4863-9EF4-99AB69591884}">
  <sheetPr codeName="Sheet1"/>
  <dimension ref="A1:S297"/>
  <sheetViews>
    <sheetView topLeftCell="A154" workbookViewId="0">
      <selection activeCell="O19" sqref="O19"/>
    </sheetView>
  </sheetViews>
  <sheetFormatPr defaultRowHeight="15" x14ac:dyDescent="0.25"/>
  <cols>
    <col min="1" max="1" width="34.5703125" customWidth="1"/>
    <col min="2" max="2" width="18.140625" customWidth="1"/>
    <col min="3" max="3" width="21.5703125" customWidth="1"/>
    <col min="4" max="4" width="17.7109375" customWidth="1"/>
    <col min="5" max="5" width="16.28515625" customWidth="1"/>
    <col min="6" max="6" width="30.5703125" customWidth="1"/>
    <col min="7" max="7" width="22" customWidth="1"/>
    <col min="8" max="8" width="21" customWidth="1"/>
    <col min="9" max="9" width="23.14062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s="21" t="s">
        <v>18</v>
      </c>
      <c r="B1" t="s">
        <v>47</v>
      </c>
      <c r="C1" t="s">
        <v>49</v>
      </c>
      <c r="D1" t="s">
        <v>50</v>
      </c>
      <c r="F1" s="42" t="s">
        <v>74</v>
      </c>
      <c r="G1" s="42"/>
      <c r="H1" s="42"/>
      <c r="I1" s="42"/>
    </row>
    <row r="2" spans="1:9" x14ac:dyDescent="0.25">
      <c r="A2" s="21" t="s">
        <v>20</v>
      </c>
      <c r="B2" s="2">
        <v>140</v>
      </c>
      <c r="C2" s="2">
        <f>CONVERT($B$2,"grain","g")</f>
        <v>9.0718473999999993</v>
      </c>
      <c r="F2" t="s">
        <v>75</v>
      </c>
      <c r="G2" s="2">
        <v>140</v>
      </c>
      <c r="H2" s="2">
        <f>CONVERT($G$2,"grain","g")</f>
        <v>9.0718473999999993</v>
      </c>
    </row>
    <row r="3" spans="1:9" x14ac:dyDescent="0.25">
      <c r="A3" s="21" t="s">
        <v>0</v>
      </c>
      <c r="B3" s="2">
        <v>0.28399999999999997</v>
      </c>
      <c r="C3" s="2">
        <f>CONVERT($B$3,"in","mm")</f>
        <v>7.2135999999999996</v>
      </c>
      <c r="F3" t="s">
        <v>76</v>
      </c>
      <c r="G3" s="2">
        <v>0.28399999999999997</v>
      </c>
      <c r="H3" s="2">
        <f>CONVERT($G$3,"in","mm")</f>
        <v>7.2135999999999996</v>
      </c>
    </row>
    <row r="4" spans="1:9" x14ac:dyDescent="0.25">
      <c r="A4" s="21" t="s">
        <v>11</v>
      </c>
      <c r="B4" s="2"/>
      <c r="C4" s="2"/>
      <c r="F4" t="s">
        <v>11</v>
      </c>
      <c r="G4" s="2" t="s">
        <v>77</v>
      </c>
      <c r="H4" s="2"/>
    </row>
    <row r="5" spans="1:9" x14ac:dyDescent="0.25">
      <c r="A5" s="21" t="s">
        <v>21</v>
      </c>
      <c r="B5" s="2">
        <v>0.43</v>
      </c>
      <c r="C5" s="2"/>
      <c r="F5" t="s">
        <v>21</v>
      </c>
      <c r="G5" s="2">
        <v>0.43</v>
      </c>
      <c r="H5" s="2"/>
    </row>
    <row r="6" spans="1:9" x14ac:dyDescent="0.25">
      <c r="A6" s="21" t="s">
        <v>22</v>
      </c>
      <c r="B6" s="2">
        <v>3309</v>
      </c>
      <c r="C6" s="2">
        <f>CONVERT($B$6,"J","flb")</f>
        <v>2440.593151958471</v>
      </c>
      <c r="F6" t="s">
        <v>78</v>
      </c>
      <c r="G6" s="2">
        <f>CONVERT($H$6,"J","flb")</f>
        <v>2436.746493450873</v>
      </c>
      <c r="H6" s="2">
        <f>($C$2/1000)*$H$7*$H$7/2</f>
        <v>3303.7846313542964</v>
      </c>
    </row>
    <row r="7" spans="1:9" x14ac:dyDescent="0.25">
      <c r="A7" s="21" t="s">
        <v>19</v>
      </c>
      <c r="B7" s="2">
        <f xml:space="preserve"> SQRT(2*$B$6/(CONVERT($B$2,"grain","g")/1000))</f>
        <v>854.1133563934942</v>
      </c>
      <c r="C7" s="2">
        <f>CONVERT($B$7,"m","ft")</f>
        <v>2802.2091745193379</v>
      </c>
      <c r="F7" t="s">
        <v>79</v>
      </c>
      <c r="G7" s="2">
        <v>2800</v>
      </c>
      <c r="H7" s="2">
        <f>CONVERT($G$7,"ft","m")</f>
        <v>853.44</v>
      </c>
    </row>
    <row r="8" spans="1:9" x14ac:dyDescent="0.25">
      <c r="A8" s="21" t="s">
        <v>1</v>
      </c>
      <c r="B8" s="2">
        <v>0</v>
      </c>
      <c r="C8" s="2"/>
    </row>
    <row r="9" spans="1:9" x14ac:dyDescent="0.25">
      <c r="A9" s="21" t="s">
        <v>3</v>
      </c>
      <c r="B9" s="2">
        <v>270</v>
      </c>
      <c r="C9" s="2"/>
    </row>
    <row r="10" spans="1:9" x14ac:dyDescent="0.25">
      <c r="A10" s="21" t="s">
        <v>65</v>
      </c>
      <c r="B10" s="2">
        <v>8.9</v>
      </c>
      <c r="C10" s="2">
        <f>CONVERT($B$10,"m/sec","km/hr")</f>
        <v>32.04</v>
      </c>
    </row>
    <row r="11" spans="1:9" x14ac:dyDescent="0.25">
      <c r="A11" s="21" t="s">
        <v>62</v>
      </c>
      <c r="B11" s="2">
        <v>0.5</v>
      </c>
      <c r="C11" s="28"/>
    </row>
    <row r="12" spans="1:9" x14ac:dyDescent="0.25">
      <c r="A12" s="21" t="s">
        <v>63</v>
      </c>
      <c r="B12" s="2" cm="1">
        <f t="array" ref="B12">MOAToMRAD($B$11)</f>
        <v>0.14544410433286079</v>
      </c>
      <c r="C12" s="28">
        <f>$B$12/2</f>
        <v>7.2722052166430393E-2</v>
      </c>
    </row>
    <row r="13" spans="1:9" x14ac:dyDescent="0.25">
      <c r="A13" s="21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1" t="s">
        <v>5</v>
      </c>
      <c r="B14" t="s">
        <v>61</v>
      </c>
    </row>
    <row r="15" spans="1:9" x14ac:dyDescent="0.25">
      <c r="A15" t="s">
        <v>64</v>
      </c>
      <c r="B15" s="20" t="s">
        <v>72</v>
      </c>
      <c r="C15" s="20" t="s">
        <v>69</v>
      </c>
      <c r="D15" s="20" t="s">
        <v>70</v>
      </c>
      <c r="E15" s="20" t="s">
        <v>71</v>
      </c>
    </row>
    <row r="16" spans="1:9" x14ac:dyDescent="0.25">
      <c r="A16" s="21" t="s">
        <v>67</v>
      </c>
      <c r="B16" s="2">
        <v>0.625</v>
      </c>
      <c r="C16">
        <f>$B16/2</f>
        <v>0.3125</v>
      </c>
      <c r="D16" s="2">
        <f>$B$16 * $B$18</f>
        <v>0.36361026083215198</v>
      </c>
      <c r="E16" s="25">
        <f>$D16/2</f>
        <v>0.18180513041607599</v>
      </c>
    </row>
    <row r="17" spans="1:17" x14ac:dyDescent="0.25">
      <c r="A17" s="21" t="s">
        <v>68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5">
        <f>$D17/2</f>
        <v>7.2722052166430393E-2</v>
      </c>
    </row>
    <row r="18" spans="1:17" x14ac:dyDescent="0.25">
      <c r="A18" s="11" t="s">
        <v>66</v>
      </c>
      <c r="B18" s="12">
        <f>$B$12/$B$17</f>
        <v>0.58177641733144314</v>
      </c>
      <c r="C18" s="2"/>
      <c r="J18" s="2">
        <v>4.5</v>
      </c>
      <c r="K18" s="2">
        <v>4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</row>
    <row r="19" spans="1:17" x14ac:dyDescent="0.25">
      <c r="A19" s="38" t="s">
        <v>73</v>
      </c>
      <c r="B19" s="39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7" x14ac:dyDescent="0.25">
      <c r="C20" s="41" t="s">
        <v>24</v>
      </c>
      <c r="D20" s="41"/>
      <c r="E20" s="41"/>
      <c r="F20" s="41"/>
      <c r="G20" s="41"/>
      <c r="H20" s="13"/>
      <c r="I20" s="13"/>
      <c r="J20" s="41" t="s">
        <v>25</v>
      </c>
      <c r="K20" s="41"/>
      <c r="L20" s="41"/>
      <c r="M20" s="41"/>
      <c r="N20" s="41"/>
      <c r="O20" s="13"/>
      <c r="P20" s="13"/>
      <c r="Q20" s="33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30" t="s">
        <v>32</v>
      </c>
      <c r="Q21" s="33" t="s">
        <v>30</v>
      </c>
    </row>
    <row r="22" spans="1:17" x14ac:dyDescent="0.25">
      <c r="A22" s="1">
        <v>0</v>
      </c>
      <c r="B22" s="1">
        <v>3303.8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1">
        <f t="shared" si="1"/>
        <v>-3.81</v>
      </c>
      <c r="Q22" s="34">
        <v>0</v>
      </c>
    </row>
    <row r="23" spans="1:17" x14ac:dyDescent="0.25">
      <c r="A23" s="1">
        <v>25</v>
      </c>
      <c r="B23" s="1">
        <v>3200.7</v>
      </c>
      <c r="C23" s="6">
        <v>-0.25</v>
      </c>
      <c r="D23" s="6">
        <v>-0.33300000000000002</v>
      </c>
      <c r="E23" s="6">
        <v>-0.3</v>
      </c>
      <c r="F23" s="6">
        <v>-0.1875</v>
      </c>
      <c r="G23" s="6">
        <v>0</v>
      </c>
      <c r="H23" s="6">
        <v>0.25</v>
      </c>
      <c r="I23" s="14">
        <v>0.5625</v>
      </c>
      <c r="J23" s="9" cm="1">
        <f t="array" ref="J23">TrajectoryDropInCM(C23,$A23,J$18)</f>
        <v>-2.8125011865240381</v>
      </c>
      <c r="K23" s="9" cm="1">
        <f t="array" ref="K23">TrajectoryDropInCM(D23,$A23,K$18)</f>
        <v>-3.3300019693900382</v>
      </c>
      <c r="L23" s="9" cm="1">
        <f t="array" ref="L23">TrajectoryDropInCM(E23,$A23,L$18)</f>
        <v>-3.0000014400008288</v>
      </c>
      <c r="M23" s="9" cm="1">
        <f t="array" ref="M23">TrajectoryDropInCM(F23,$A23,M$18)</f>
        <v>-1.8750003515625793</v>
      </c>
      <c r="N23" s="9" cm="1">
        <f t="array" ref="N23">TrajectoryDropInCM(G23,$A23,N$18)</f>
        <v>0</v>
      </c>
      <c r="O23" s="9" cm="1">
        <f t="array" ref="O23">TrajectoryDropInCM(H23,$A23,O$18)</f>
        <v>2.500000833333667</v>
      </c>
      <c r="P23" s="32" cm="1">
        <f t="array" ref="P23">TrajectoryDropInCM(I23,$A23,P$18)</f>
        <v>5.6250094922067211</v>
      </c>
      <c r="Q23" s="34" cm="1">
        <f t="array" ref="Q23">TrajectoryErrorCM($E$19,1,$A23)</f>
        <v>0.37561137059069255</v>
      </c>
    </row>
    <row r="24" spans="1:17" x14ac:dyDescent="0.25">
      <c r="A24" s="1">
        <v>50</v>
      </c>
      <c r="B24" s="1">
        <v>3096.6</v>
      </c>
      <c r="C24" s="7">
        <v>0</v>
      </c>
      <c r="D24" s="6">
        <v>-6.25E-2</v>
      </c>
      <c r="E24" s="6">
        <v>0</v>
      </c>
      <c r="F24" s="6">
        <v>8.3000000000000004E-2</v>
      </c>
      <c r="G24" s="6">
        <v>0.3</v>
      </c>
      <c r="H24" s="6">
        <v>0.55000000000000004</v>
      </c>
      <c r="I24" s="14">
        <v>0.83299999999999996</v>
      </c>
      <c r="J24" s="9" cm="1">
        <f t="array" ref="J24">TrajectoryDropInCM(C24,$A24,J$18)</f>
        <v>0</v>
      </c>
      <c r="K24" s="9" cm="1">
        <f t="array" ref="K24">TrajectoryDropInCM(D24,$A24,K$18)</f>
        <v>-1.250000026041667</v>
      </c>
      <c r="L24" s="9" cm="1">
        <f t="array" ref="L24">TrajectoryDropInCM(E24,$A24,L$18)</f>
        <v>0</v>
      </c>
      <c r="M24" s="9" cm="1">
        <f t="array" ref="M24">TrajectoryDropInCM(F24,$A24,M$18)</f>
        <v>1.660000060990616</v>
      </c>
      <c r="N24" s="9" cm="1">
        <f t="array" ref="N24">TrajectoryDropInCM(G24,$A24,N$18)</f>
        <v>6.0000028800016576</v>
      </c>
      <c r="O24" s="9" cm="1">
        <f t="array" ref="O24">TrajectoryDropInCM(H24,$A24,O$18)</f>
        <v>11.000017746701026</v>
      </c>
      <c r="P24" s="32" cm="1">
        <f t="array" ref="P24">TrajectoryDropInCM(I24,$A24,P$18)</f>
        <v>16.660061654624414</v>
      </c>
      <c r="Q24" s="34" cm="1">
        <f t="array" ref="Q24">TrajectoryErrorCM($E$19,1,$A24)</f>
        <v>0.7512227411813851</v>
      </c>
    </row>
    <row r="25" spans="1:17" x14ac:dyDescent="0.25">
      <c r="A25" s="1">
        <v>75</v>
      </c>
      <c r="B25" s="1">
        <v>2924.9</v>
      </c>
      <c r="C25" s="6">
        <v>8.3000000000000004E-2</v>
      </c>
      <c r="D25" s="6">
        <v>0</v>
      </c>
      <c r="E25" s="6">
        <v>0.05</v>
      </c>
      <c r="F25" s="6">
        <v>0.125</v>
      </c>
      <c r="G25" s="6">
        <v>0.33300000000000002</v>
      </c>
      <c r="H25" s="6">
        <v>0.58299999999999996</v>
      </c>
      <c r="I25" s="14">
        <v>0.83299999999999996</v>
      </c>
      <c r="J25" s="9" cm="1">
        <f t="array" ref="J25">TrajectoryDropInCM(C25,$A25,J$18)</f>
        <v>2.8012501302602333</v>
      </c>
      <c r="K25" s="9" cm="1">
        <f t="array" ref="K25">TrajectoryDropInCM(D25,$A25,K$18)</f>
        <v>0</v>
      </c>
      <c r="L25" s="9" cm="1">
        <f t="array" ref="L25">TrajectoryDropInCM(E25,$A25,L$18)</f>
        <v>1.5000000200000003</v>
      </c>
      <c r="M25" s="9" cm="1">
        <f t="array" ref="M25">TrajectoryDropInCM(F25,$A25,M$18)</f>
        <v>3.7500003125000307</v>
      </c>
      <c r="N25" s="9" cm="1">
        <f t="array" ref="N25">TrajectoryDropInCM(G25,$A25,N$18)</f>
        <v>9.9900059081701151</v>
      </c>
      <c r="O25" s="9" cm="1">
        <f t="array" ref="O25">TrajectoryDropInCM(H25,$A25,O$18)</f>
        <v>17.490031704914887</v>
      </c>
      <c r="P25" s="32" cm="1">
        <f t="array" ref="P25">TrajectoryDropInCM(I25,$A25,P$18)</f>
        <v>24.990092481936625</v>
      </c>
      <c r="Q25" s="34" cm="1">
        <f t="array" ref="Q25">TrajectoryErrorCM($E$19,1,$A25)</f>
        <v>1.1268341117720777</v>
      </c>
    </row>
    <row r="26" spans="1:17" x14ac:dyDescent="0.25">
      <c r="A26" s="1">
        <v>100</v>
      </c>
      <c r="B26" s="1">
        <v>2807.6</v>
      </c>
      <c r="C26" s="6">
        <v>8.3000000000000004E-2</v>
      </c>
      <c r="D26" s="7">
        <v>0</v>
      </c>
      <c r="E26" s="6">
        <v>6.25E-2</v>
      </c>
      <c r="F26" s="6">
        <v>0.125</v>
      </c>
      <c r="G26" s="6">
        <v>0.33300000000000002</v>
      </c>
      <c r="H26" s="6">
        <v>0.58299999999999996</v>
      </c>
      <c r="I26" s="14">
        <v>0.83299999999999996</v>
      </c>
      <c r="J26" s="9" cm="1">
        <f t="array" ref="J26">TrajectoryDropInCM(C26,$A26,J$18)</f>
        <v>3.7350001736803113</v>
      </c>
      <c r="K26" s="9" cm="1">
        <f t="array" ref="K26">TrajectoryDropInCM(D26,$A26,K$18)</f>
        <v>0</v>
      </c>
      <c r="L26" s="9" cm="1">
        <f t="array" ref="L26">TrajectoryDropInCM(E26,$A26,L$18)</f>
        <v>2.5000000520833341</v>
      </c>
      <c r="M26" s="9" cm="1">
        <f t="array" ref="M26">TrajectoryDropInCM(F26,$A26,M$18)</f>
        <v>5.0000004166667074</v>
      </c>
      <c r="N26" s="9" cm="1">
        <f t="array" ref="N26">TrajectoryDropInCM(G26,$A26,N$18)</f>
        <v>13.320007877560153</v>
      </c>
      <c r="O26" s="9" cm="1">
        <f t="array" ref="O26">TrajectoryDropInCM(H26,$A26,O$18)</f>
        <v>23.320042273219848</v>
      </c>
      <c r="P26" s="32" cm="1">
        <f t="array" ref="P26">TrajectoryDropInCM(I26,$A26,P$18)</f>
        <v>33.320123309248828</v>
      </c>
      <c r="Q26" s="34" cm="1">
        <f t="array" ref="Q26">TrajectoryErrorCM($E$19,1,$A26)</f>
        <v>1.5024454823627702</v>
      </c>
    </row>
    <row r="27" spans="1:17" x14ac:dyDescent="0.25">
      <c r="A27" s="1">
        <v>125</v>
      </c>
      <c r="B27" s="1">
        <v>2696.2</v>
      </c>
      <c r="C27" s="6">
        <v>8.3000000000000004E-2</v>
      </c>
      <c r="D27" s="6">
        <v>0</v>
      </c>
      <c r="E27" s="6">
        <v>6.25E-2</v>
      </c>
      <c r="F27" s="6">
        <v>0.125</v>
      </c>
      <c r="G27" s="6">
        <v>0.33300000000000002</v>
      </c>
      <c r="H27" s="6">
        <v>0.58299999999999996</v>
      </c>
      <c r="I27" s="14">
        <v>0.83299999999999996</v>
      </c>
      <c r="J27" s="9" cm="1">
        <f t="array" ref="J27">TrajectoryDropInCM(C27,$A27,J$18)</f>
        <v>4.6687502171003894</v>
      </c>
      <c r="K27" s="9" cm="1">
        <f t="array" ref="K27">TrajectoryDropInCM(D27,$A27,K$18)</f>
        <v>0</v>
      </c>
      <c r="L27" s="9" cm="1">
        <f t="array" ref="L27">TrajectoryDropInCM(E27,$A27,L$18)</f>
        <v>3.1250000651041678</v>
      </c>
      <c r="M27" s="9" cm="1">
        <f t="array" ref="M27">TrajectoryDropInCM(F27,$A27,M$18)</f>
        <v>6.2500005208333844</v>
      </c>
      <c r="N27" s="9" cm="1">
        <f t="array" ref="N27">TrajectoryDropInCM(G27,$A27,N$18)</f>
        <v>16.650009846950191</v>
      </c>
      <c r="O27" s="9" cm="1">
        <f t="array" ref="O27">TrajectoryDropInCM(H27,$A27,O$18)</f>
        <v>29.150052841524811</v>
      </c>
      <c r="P27" s="32" cm="1">
        <f t="array" ref="P27">TrajectoryDropInCM(I27,$A27,P$18)</f>
        <v>41.650154136561042</v>
      </c>
      <c r="Q27" s="34" cm="1">
        <f t="array" ref="Q27">TrajectoryErrorCM($E$19,1,$A27)</f>
        <v>1.8780568529534629</v>
      </c>
    </row>
    <row r="28" spans="1:17" x14ac:dyDescent="0.25">
      <c r="A28" s="1">
        <v>150</v>
      </c>
      <c r="B28" s="1">
        <v>2570.6999999999998</v>
      </c>
      <c r="C28" s="6">
        <v>6.25E-2</v>
      </c>
      <c r="D28" s="6">
        <v>-0.05</v>
      </c>
      <c r="E28" s="7">
        <v>0</v>
      </c>
      <c r="F28" s="6">
        <v>8.3000000000000004E-2</v>
      </c>
      <c r="G28" s="6">
        <v>0.3125</v>
      </c>
      <c r="H28" s="6">
        <v>0.5625</v>
      </c>
      <c r="I28" s="14">
        <v>0.875</v>
      </c>
      <c r="J28" s="9" cm="1">
        <f t="array" ref="J28">TrajectoryDropInCM(C28,$A28,J$18)</f>
        <v>4.2187501112365755</v>
      </c>
      <c r="K28" s="9" cm="1">
        <f t="array" ref="K28">TrajectoryDropInCM(D28,$A28,K$18)</f>
        <v>-3.0000000400000006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18.750009765631106</v>
      </c>
      <c r="O28" s="9" cm="1">
        <f t="array" ref="O28">TrajectoryDropInCM(H28,$A28,O$18)</f>
        <v>33.750056953240325</v>
      </c>
      <c r="P28" s="32" cm="1">
        <f t="array" ref="P28">TrajectoryDropInCM(I28,$A28,P$18)</f>
        <v>52.500214376050444</v>
      </c>
      <c r="Q28" s="34" cm="1">
        <f t="array" ref="Q28">TrajectoryErrorCM($E$19,1,$A28)</f>
        <v>2.2536682235441554</v>
      </c>
    </row>
    <row r="29" spans="1:17" x14ac:dyDescent="0.25">
      <c r="A29" s="1">
        <v>200</v>
      </c>
      <c r="B29" s="1">
        <v>2346.4</v>
      </c>
      <c r="C29" s="6">
        <v>-6.25E-2</v>
      </c>
      <c r="D29" s="6">
        <v>-0.125</v>
      </c>
      <c r="E29" s="6">
        <v>-8.3000000000000004E-2</v>
      </c>
      <c r="F29" s="7">
        <v>0</v>
      </c>
      <c r="G29" s="6">
        <v>0.25</v>
      </c>
      <c r="H29" s="6">
        <v>0.5</v>
      </c>
      <c r="I29" s="14">
        <v>0.76</v>
      </c>
      <c r="J29" s="9" cm="1">
        <f t="array" ref="J29">TrajectoryDropInCM(C29,$A29,J$18)</f>
        <v>-5.6250001483154337</v>
      </c>
      <c r="K29" s="9" cm="1">
        <f t="array" ref="K29">TrajectoryDropInCM(D29,$A29,K$18)</f>
        <v>-10.000000833333415</v>
      </c>
      <c r="L29" s="9" cm="1">
        <f t="array" ref="L29">TrajectoryDropInCM(E29,$A29,L$18)</f>
        <v>-6.6400002439624641</v>
      </c>
      <c r="M29" s="9" cm="1">
        <f t="array" ref="M29">TrajectoryDropInCM(F29,$A29,M$18)</f>
        <v>0</v>
      </c>
      <c r="N29" s="9" cm="1">
        <f t="array" ref="N29">TrajectoryDropInCM(G29,$A29,N$18)</f>
        <v>20.000006666669336</v>
      </c>
      <c r="O29" s="9" cm="1">
        <f t="array" ref="O29">TrajectoryDropInCM(H29,$A29,O$18)</f>
        <v>40.000053333418663</v>
      </c>
      <c r="P29" s="32" cm="1">
        <f t="array" ref="P29">TrajectoryDropInCM(I29,$A29,P$18)</f>
        <v>60.800187297119045</v>
      </c>
      <c r="Q29" s="34" cm="1">
        <f t="array" ref="Q29">TrajectoryErrorCM($E$19,1,$A29)</f>
        <v>3.0048909647255404</v>
      </c>
    </row>
    <row r="30" spans="1:17" x14ac:dyDescent="0.25">
      <c r="A30" s="1">
        <v>250</v>
      </c>
      <c r="B30" s="1">
        <v>2145.9</v>
      </c>
      <c r="C30" s="6">
        <v>-0.125</v>
      </c>
      <c r="D30" s="6">
        <v>-0.25</v>
      </c>
      <c r="E30" s="6">
        <v>-0.125</v>
      </c>
      <c r="F30" s="6">
        <v>-8.3000000000000004E-2</v>
      </c>
      <c r="G30" s="6">
        <v>0.125</v>
      </c>
      <c r="H30" s="6">
        <v>0.375</v>
      </c>
      <c r="I30" s="14">
        <v>0.66700000000000004</v>
      </c>
      <c r="J30" s="9" cm="1">
        <f t="array" ref="J30">TrajectoryDropInCM(C30,$A30,J$18)</f>
        <v>-14.062501483154483</v>
      </c>
      <c r="K30" s="9" cm="1">
        <f t="array" ref="K30">TrajectoryDropInCM(D30,$A30,K$18)</f>
        <v>-25.00000833333667</v>
      </c>
      <c r="L30" s="9" cm="1">
        <f t="array" ref="L30">TrajectoryDropInCM(E30,$A30,L$18)</f>
        <v>-12.500001041666769</v>
      </c>
      <c r="M30" s="9" cm="1">
        <f t="array" ref="M30">TrajectoryDropInCM(F30,$A30,M$18)</f>
        <v>-8.3000003049530804</v>
      </c>
      <c r="N30" s="9" cm="1">
        <f t="array" ref="N30">TrajectoryDropInCM(G30,$A30,N$18)</f>
        <v>12.500001041666769</v>
      </c>
      <c r="O30" s="9" cm="1">
        <f t="array" ref="O30">TrajectoryDropInCM(H30,$A30,O$18)</f>
        <v>37.500028125025317</v>
      </c>
      <c r="P30" s="32" cm="1">
        <f t="array" ref="P30">TrajectoryDropInCM(I30,$A30,P$18)</f>
        <v>66.700158262297563</v>
      </c>
      <c r="Q30" s="34" cm="1">
        <f t="array" ref="Q30">TrajectoryErrorCM($E$19,1,$A30)</f>
        <v>3.7561137059069258</v>
      </c>
    </row>
    <row r="31" spans="1:17" x14ac:dyDescent="0.25">
      <c r="A31" s="1">
        <v>300</v>
      </c>
      <c r="B31" s="1">
        <v>1957.1</v>
      </c>
      <c r="C31" s="6">
        <v>-0.25</v>
      </c>
      <c r="D31" s="6">
        <v>-0.33300000000000002</v>
      </c>
      <c r="E31" s="6">
        <v>-0.255</v>
      </c>
      <c r="F31" s="6">
        <v>-0.1875</v>
      </c>
      <c r="G31" s="7">
        <v>0</v>
      </c>
      <c r="H31" s="17">
        <v>0.25</v>
      </c>
      <c r="I31" s="18">
        <v>0.58299999999999996</v>
      </c>
      <c r="J31" s="9" cm="1">
        <f t="array" ref="J31">TrajectoryDropInCM(C31,$A31,J$18)</f>
        <v>-33.750014238288458</v>
      </c>
      <c r="K31" s="9" cm="1">
        <f t="array" ref="K31">TrajectoryDropInCM(D31,$A31,K$18)</f>
        <v>-39.960023632680461</v>
      </c>
      <c r="L31" s="9" cm="1">
        <f t="array" ref="L31">TrajectoryDropInCM(E31,$A31,L$18)</f>
        <v>-30.600010612084422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30.000010000004</v>
      </c>
      <c r="P31" s="32" cm="1">
        <f t="array" ref="P31">TrajectoryDropInCM(I31,$A31,P$18)</f>
        <v>69.96012681965955</v>
      </c>
      <c r="Q31" s="34" cm="1">
        <f t="array" ref="Q31">TrajectoryErrorCM($E$19,1,$A31)</f>
        <v>4.5073364470883108</v>
      </c>
    </row>
    <row r="32" spans="1:17" x14ac:dyDescent="0.25">
      <c r="A32" s="1">
        <v>350</v>
      </c>
      <c r="B32" s="1">
        <v>1787.4</v>
      </c>
      <c r="C32" s="6">
        <v>-0.375</v>
      </c>
      <c r="D32" s="6">
        <v>-0.5</v>
      </c>
      <c r="E32" s="6">
        <v>-0.41699999999999998</v>
      </c>
      <c r="F32" s="6">
        <v>-0.33300000000000002</v>
      </c>
      <c r="G32" s="6">
        <v>-0.125</v>
      </c>
      <c r="H32" s="6">
        <v>0.125</v>
      </c>
      <c r="I32" s="14">
        <v>0.4375</v>
      </c>
      <c r="J32" s="9" cm="1">
        <f t="array" ref="J32">TrajectoryDropInCM(C32,$A32,J$18)</f>
        <v>-59.062556063296277</v>
      </c>
      <c r="K32" s="9" cm="1">
        <f t="array" ref="K32">TrajectoryDropInCM(D32,$A32,K$18)</f>
        <v>-70.000093333482667</v>
      </c>
      <c r="L32" s="9" cm="1">
        <f t="array" ref="L32">TrajectoryDropInCM(E32,$A32,L$18)</f>
        <v>-58.380054142139294</v>
      </c>
      <c r="M32" s="9" cm="1">
        <f t="array" ref="M32">TrajectoryDropInCM(F32,$A32,M$18)</f>
        <v>-46.620027571460533</v>
      </c>
      <c r="N32" s="9" cm="1">
        <f t="array" ref="N32">TrajectoryDropInCM(G32,$A32,N$18)</f>
        <v>-17.500001458333479</v>
      </c>
      <c r="O32" s="9" cm="1">
        <f t="array" ref="O32">TrajectoryDropInCM(H32,$A32,O$18)</f>
        <v>17.500001458333479</v>
      </c>
      <c r="P32" s="32" cm="1">
        <f t="array" ref="P32">TrajectoryDropInCM(I32,$A32,P$18)</f>
        <v>61.250062526118263</v>
      </c>
      <c r="Q32" s="34" cm="1">
        <f t="array" ref="Q32">TrajectoryErrorCM($E$19,1,$A32)</f>
        <v>5.2585591882696958</v>
      </c>
    </row>
    <row r="33" spans="1:17" x14ac:dyDescent="0.25">
      <c r="A33" s="1">
        <v>400</v>
      </c>
      <c r="B33" s="1">
        <v>1615.2</v>
      </c>
      <c r="C33" s="6">
        <v>-0.5</v>
      </c>
      <c r="D33" s="6">
        <v>-0.58299999999999996</v>
      </c>
      <c r="E33" s="6">
        <v>-0.5625</v>
      </c>
      <c r="F33" s="6">
        <v>-0.5</v>
      </c>
      <c r="G33" s="6">
        <v>-0.25</v>
      </c>
      <c r="H33" s="7">
        <v>0</v>
      </c>
      <c r="I33" s="14">
        <v>0.3175</v>
      </c>
      <c r="J33" s="9" cm="1">
        <f t="array" ref="J33">TrajectoryDropInCM(C33,$A33,J$18)</f>
        <v>-90.000151875307537</v>
      </c>
      <c r="K33" s="9" cm="1">
        <f t="array" ref="K33">TrajectoryDropInCM(D33,$A33,K$18)</f>
        <v>-93.28016909287939</v>
      </c>
      <c r="L33" s="9" cm="1">
        <f t="array" ref="L33">TrajectoryDropInCM(E33,$A33,L$18)</f>
        <v>-90.000151875307537</v>
      </c>
      <c r="M33" s="9" cm="1">
        <f t="array" ref="M33">TrajectoryDropInCM(F33,$A33,M$18)</f>
        <v>-80.000106666837326</v>
      </c>
      <c r="N33" s="9" cm="1">
        <f t="array" ref="N33">TrajectoryDropInCM(G33,$A33,N$18)</f>
        <v>-40.000013333338671</v>
      </c>
      <c r="O33" s="9" cm="1">
        <f t="array" ref="O33">TrajectoryDropInCM(H33,$A33,O$18)</f>
        <v>0</v>
      </c>
      <c r="P33" s="32" cm="1">
        <f t="array" ref="P33">TrajectoryDropInCM(I33,$A33,P$18)</f>
        <v>50.800027311790949</v>
      </c>
      <c r="Q33" s="34" cm="1">
        <f t="array" ref="Q33">TrajectoryErrorCM($E$19,1,$A33)</f>
        <v>6.0097819294510808</v>
      </c>
    </row>
    <row r="34" spans="1:17" x14ac:dyDescent="0.25">
      <c r="A34" s="1">
        <v>450</v>
      </c>
      <c r="B34" s="1">
        <v>1468.8</v>
      </c>
      <c r="C34" s="6">
        <v>-0.66700000000000004</v>
      </c>
      <c r="D34" s="6">
        <v>-0.75</v>
      </c>
      <c r="E34" s="6">
        <v>-0.66700000000000004</v>
      </c>
      <c r="F34" s="6">
        <v>-0.625</v>
      </c>
      <c r="G34" s="6">
        <v>-0.41699999999999998</v>
      </c>
      <c r="H34" s="6">
        <v>-0.125</v>
      </c>
      <c r="I34" s="14">
        <v>0.125</v>
      </c>
      <c r="J34" s="9" cm="1">
        <f t="array" ref="J34">TrajectoryDropInCM(C34,$A34,J$18)</f>
        <v>-135.06790560926547</v>
      </c>
      <c r="K34" s="9" cm="1">
        <f t="array" ref="K34">TrajectoryDropInCM(D34,$A34,K$18)</f>
        <v>-135.00040500145803</v>
      </c>
      <c r="L34" s="9" cm="1">
        <f t="array" ref="L34">TrajectoryDropInCM(E34,$A34,L$18)</f>
        <v>-120.0602848721356</v>
      </c>
      <c r="M34" s="9" cm="1">
        <f t="array" ref="M34">TrajectoryDropInCM(F34,$A34,M$18)</f>
        <v>-112.50023437558593</v>
      </c>
      <c r="N34" s="9" cm="1">
        <f t="array" ref="N34">TrajectoryDropInCM(G34,$A34,N$18)</f>
        <v>-75.06006961132195</v>
      </c>
      <c r="O34" s="9" cm="1">
        <f t="array" ref="O34">TrajectoryDropInCM(H34,$A34,O$18)</f>
        <v>-22.500001875000187</v>
      </c>
      <c r="P34" s="32" cm="1">
        <f t="array" ref="P34">TrajectoryDropInCM(I34,$A34,P$18)</f>
        <v>22.500001875000187</v>
      </c>
      <c r="Q34" s="34" cm="1">
        <f t="array" ref="Q34">TrajectoryErrorCM($E$19,1,$A34)</f>
        <v>6.7610046706324667</v>
      </c>
    </row>
    <row r="35" spans="1:17" x14ac:dyDescent="0.25">
      <c r="A35" s="1">
        <v>500</v>
      </c>
      <c r="B35" s="1">
        <v>1329.5</v>
      </c>
      <c r="C35" s="6">
        <v>-0.83299999999999996</v>
      </c>
      <c r="D35" s="6">
        <v>-0.91700000000000004</v>
      </c>
      <c r="E35" s="6">
        <v>-0.875</v>
      </c>
      <c r="F35" s="6">
        <v>-0.75</v>
      </c>
      <c r="G35" s="6">
        <v>-0.5625</v>
      </c>
      <c r="H35" s="6">
        <v>-0.3</v>
      </c>
      <c r="I35" s="15">
        <v>0</v>
      </c>
      <c r="J35" s="9" cm="1">
        <f t="array" ref="J35">TrajectoryDropInCM(C35,$A35,J$18)</f>
        <v>-187.42587785691833</v>
      </c>
      <c r="K35" s="9" cm="1">
        <f t="array" ref="K35">TrajectoryDropInCM(D35,$A35,K$18)</f>
        <v>-183.40082250598704</v>
      </c>
      <c r="L35" s="9" cm="1">
        <f t="array" ref="L35">TrajectoryDropInCM(E35,$A35,L$18)</f>
        <v>-175.00071458683482</v>
      </c>
      <c r="M35" s="9" cm="1">
        <f t="array" ref="M35">TrajectoryDropInCM(F35,$A35,M$18)</f>
        <v>-150.00045000162001</v>
      </c>
      <c r="N35" s="9" cm="1">
        <f t="array" ref="N35">TrajectoryDropInCM(G35,$A35,N$18)</f>
        <v>-112.50018984413441</v>
      </c>
      <c r="O35" s="9" cm="1">
        <f t="array" ref="O35">TrajectoryDropInCM(H35,$A35,O$18)</f>
        <v>-60.00002880001658</v>
      </c>
      <c r="P35" s="32" cm="1">
        <f t="array" ref="P35">TrajectoryDropInCM(I35,$A35,P$18)</f>
        <v>0</v>
      </c>
      <c r="Q35" s="34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39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</row>
    <row r="80" spans="1:19" x14ac:dyDescent="0.25">
      <c r="A80" s="1">
        <v>0</v>
      </c>
      <c r="B80" s="1">
        <v>854</v>
      </c>
      <c r="C80" s="1">
        <v>3309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836</v>
      </c>
      <c r="C81" s="1">
        <v>3171</v>
      </c>
      <c r="D81" s="1">
        <v>-1.5</v>
      </c>
      <c r="E81" s="1">
        <v>2.1</v>
      </c>
      <c r="F81" s="1">
        <v>0.6</v>
      </c>
      <c r="G81" s="1">
        <v>0</v>
      </c>
      <c r="H81" s="1">
        <v>-1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818</v>
      </c>
      <c r="C82" s="10">
        <v>3039</v>
      </c>
      <c r="D82" s="10">
        <v>0</v>
      </c>
      <c r="E82" s="10">
        <v>0</v>
      </c>
      <c r="F82" s="10">
        <v>0</v>
      </c>
      <c r="G82" s="1">
        <v>-1</v>
      </c>
      <c r="H82" s="10">
        <v>-1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801</v>
      </c>
      <c r="C83" s="1">
        <v>2910</v>
      </c>
      <c r="D83" s="1">
        <v>0.5</v>
      </c>
      <c r="E83" s="1">
        <v>-0.2</v>
      </c>
      <c r="F83" s="1">
        <v>-0.1</v>
      </c>
      <c r="G83" s="1">
        <v>-2</v>
      </c>
      <c r="H83" s="1">
        <v>-1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784</v>
      </c>
      <c r="C84" s="1">
        <v>2787</v>
      </c>
      <c r="D84" s="1">
        <v>0.1</v>
      </c>
      <c r="E84" s="1">
        <v>0</v>
      </c>
      <c r="F84" s="1">
        <v>0</v>
      </c>
      <c r="G84" s="1">
        <v>-4</v>
      </c>
      <c r="H84" s="1">
        <v>-2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767</v>
      </c>
      <c r="C85" s="1">
        <v>2667</v>
      </c>
      <c r="D85" s="1">
        <v>-1.4</v>
      </c>
      <c r="E85" s="1">
        <v>0.4</v>
      </c>
      <c r="F85" s="1">
        <v>0.1</v>
      </c>
      <c r="G85" s="1">
        <v>-7</v>
      </c>
      <c r="H85" s="1">
        <v>-2</v>
      </c>
      <c r="I85" s="1">
        <v>-1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750</v>
      </c>
      <c r="C86" s="1">
        <v>2551</v>
      </c>
      <c r="D86" s="1">
        <v>-3.9</v>
      </c>
      <c r="E86" s="1">
        <v>0.9</v>
      </c>
      <c r="F86" s="1">
        <v>0.3</v>
      </c>
      <c r="G86" s="1">
        <v>-10</v>
      </c>
      <c r="H86" s="1">
        <v>-2</v>
      </c>
      <c r="I86" s="1">
        <v>-1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733</v>
      </c>
      <c r="C87" s="1">
        <v>2440</v>
      </c>
      <c r="D87" s="1">
        <v>-7.5</v>
      </c>
      <c r="E87" s="1">
        <v>1.5</v>
      </c>
      <c r="F87" s="1">
        <v>0.4</v>
      </c>
      <c r="G87" s="1">
        <v>-13</v>
      </c>
      <c r="H87" s="1">
        <v>-3</v>
      </c>
      <c r="I87" s="1">
        <v>-1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717</v>
      </c>
      <c r="C88" s="1">
        <v>2332</v>
      </c>
      <c r="D88" s="1">
        <v>-12.4</v>
      </c>
      <c r="E88" s="1">
        <v>2.1</v>
      </c>
      <c r="F88" s="1">
        <v>0.6</v>
      </c>
      <c r="G88" s="1">
        <v>-18</v>
      </c>
      <c r="H88" s="1">
        <v>-3</v>
      </c>
      <c r="I88" s="1">
        <v>-1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701</v>
      </c>
      <c r="C89" s="1">
        <v>2228</v>
      </c>
      <c r="D89" s="1">
        <v>-18.399999999999999</v>
      </c>
      <c r="E89" s="1">
        <v>2.8</v>
      </c>
      <c r="F89" s="1">
        <v>0.8</v>
      </c>
      <c r="G89" s="1">
        <v>-23</v>
      </c>
      <c r="H89" s="1">
        <v>-4</v>
      </c>
      <c r="I89" s="1">
        <v>-1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685</v>
      </c>
      <c r="C90" s="1">
        <v>2127</v>
      </c>
      <c r="D90" s="1">
        <v>-25.6</v>
      </c>
      <c r="E90" s="1">
        <v>3.5</v>
      </c>
      <c r="F90" s="1">
        <v>1</v>
      </c>
      <c r="G90" s="1">
        <v>-28</v>
      </c>
      <c r="H90" s="1">
        <v>-4</v>
      </c>
      <c r="I90" s="1">
        <v>-1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669</v>
      </c>
      <c r="C91" s="1">
        <v>2030</v>
      </c>
      <c r="D91" s="1">
        <v>-34.6</v>
      </c>
      <c r="E91" s="1">
        <v>4.3</v>
      </c>
      <c r="F91" s="1">
        <v>1.3</v>
      </c>
      <c r="G91" s="1">
        <v>-34</v>
      </c>
      <c r="H91" s="1">
        <v>-5</v>
      </c>
      <c r="I91" s="1">
        <v>-1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653</v>
      </c>
      <c r="C92" s="1">
        <v>1937</v>
      </c>
      <c r="D92" s="1">
        <v>-44.6</v>
      </c>
      <c r="E92" s="1">
        <v>5.0999999999999996</v>
      </c>
      <c r="F92" s="1">
        <v>1.5</v>
      </c>
      <c r="G92" s="1">
        <v>-41</v>
      </c>
      <c r="H92" s="1">
        <v>-5</v>
      </c>
      <c r="I92" s="1">
        <v>-2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638</v>
      </c>
      <c r="C93" s="1">
        <v>1846</v>
      </c>
      <c r="D93" s="1">
        <v>-56.1</v>
      </c>
      <c r="E93" s="1">
        <v>5.9</v>
      </c>
      <c r="F93" s="1">
        <v>1.7</v>
      </c>
      <c r="G93" s="1">
        <v>-49</v>
      </c>
      <c r="H93" s="1">
        <v>-6</v>
      </c>
      <c r="I93" s="1">
        <v>-2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623</v>
      </c>
      <c r="C94" s="1">
        <v>1760</v>
      </c>
      <c r="D94" s="1">
        <v>-69.7</v>
      </c>
      <c r="E94" s="1">
        <v>6.8</v>
      </c>
      <c r="F94" s="1">
        <v>2</v>
      </c>
      <c r="G94" s="1">
        <v>-57</v>
      </c>
      <c r="H94" s="1">
        <v>-6</v>
      </c>
      <c r="I94" s="1">
        <v>-2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608</v>
      </c>
      <c r="C95" s="1">
        <v>1676</v>
      </c>
      <c r="D95" s="1">
        <v>-84.4</v>
      </c>
      <c r="E95" s="1">
        <v>7.7</v>
      </c>
      <c r="F95" s="1">
        <v>2.2999999999999998</v>
      </c>
      <c r="G95" s="1">
        <v>-67</v>
      </c>
      <c r="H95" s="1">
        <v>-7</v>
      </c>
      <c r="I95" s="1">
        <v>-2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593</v>
      </c>
      <c r="C96" s="1">
        <v>1596</v>
      </c>
      <c r="D96" s="1">
        <v>-101</v>
      </c>
      <c r="E96" s="1">
        <v>8.6999999999999993</v>
      </c>
      <c r="F96" s="1">
        <v>2.5</v>
      </c>
      <c r="G96" s="1">
        <v>-77</v>
      </c>
      <c r="H96" s="1">
        <v>-7</v>
      </c>
      <c r="I96" s="1">
        <v>-2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579</v>
      </c>
      <c r="C97" s="1">
        <v>1519</v>
      </c>
      <c r="D97" s="1">
        <v>-120</v>
      </c>
      <c r="E97" s="1">
        <v>9.6999999999999993</v>
      </c>
      <c r="F97" s="1">
        <v>2.8</v>
      </c>
      <c r="G97" s="1">
        <v>-88</v>
      </c>
      <c r="H97" s="1">
        <v>-8</v>
      </c>
      <c r="I97" s="1">
        <v>-2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564</v>
      </c>
      <c r="C98" s="1">
        <v>1445</v>
      </c>
      <c r="D98" s="1">
        <v>-140.30000000000001</v>
      </c>
      <c r="E98" s="1">
        <v>10.7</v>
      </c>
      <c r="F98" s="1">
        <v>3.1</v>
      </c>
      <c r="G98" s="1">
        <v>-99</v>
      </c>
      <c r="H98" s="1">
        <v>-8</v>
      </c>
      <c r="I98" s="1">
        <v>-2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550</v>
      </c>
      <c r="C99" s="1">
        <v>1374</v>
      </c>
      <c r="D99" s="1">
        <v>-162.69999999999999</v>
      </c>
      <c r="E99" s="1">
        <v>11.8</v>
      </c>
      <c r="F99" s="1">
        <v>3.4</v>
      </c>
      <c r="G99" s="1">
        <v>-112</v>
      </c>
      <c r="H99" s="1">
        <v>-9</v>
      </c>
      <c r="I99" s="1">
        <v>-3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537</v>
      </c>
      <c r="C100" s="1">
        <v>1309</v>
      </c>
      <c r="D100" s="1">
        <v>-187.3</v>
      </c>
      <c r="E100" s="1">
        <v>12.9</v>
      </c>
      <c r="F100" s="1">
        <v>3.8</v>
      </c>
      <c r="G100" s="1">
        <v>-125</v>
      </c>
      <c r="H100" s="1">
        <v>-9</v>
      </c>
      <c r="I100" s="1">
        <v>-3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40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</row>
    <row r="104" spans="1:19" x14ac:dyDescent="0.25">
      <c r="A104" s="1">
        <v>0</v>
      </c>
      <c r="B104" s="1">
        <v>854</v>
      </c>
      <c r="C104" s="1">
        <v>3309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836</v>
      </c>
      <c r="C105" s="1">
        <v>3171</v>
      </c>
      <c r="D105" s="1">
        <v>-1.5</v>
      </c>
      <c r="E105" s="1">
        <v>2.1</v>
      </c>
      <c r="F105" s="1">
        <v>0.6</v>
      </c>
      <c r="G105">
        <v>0</v>
      </c>
      <c r="H105">
        <v>-1</v>
      </c>
      <c r="I105">
        <v>0</v>
      </c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818</v>
      </c>
      <c r="C106" s="1">
        <v>3039</v>
      </c>
      <c r="D106" s="1">
        <v>0</v>
      </c>
      <c r="E106" s="1">
        <v>0</v>
      </c>
      <c r="F106" s="1">
        <v>0</v>
      </c>
      <c r="G106">
        <v>-1</v>
      </c>
      <c r="H106">
        <v>-1</v>
      </c>
      <c r="I106">
        <v>0</v>
      </c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801</v>
      </c>
      <c r="C107" s="1">
        <v>2910</v>
      </c>
      <c r="D107" s="1">
        <v>0.5</v>
      </c>
      <c r="E107" s="1">
        <v>-0.2</v>
      </c>
      <c r="F107" s="1">
        <v>-0.1</v>
      </c>
      <c r="G107">
        <v>-2</v>
      </c>
      <c r="H107">
        <v>-1</v>
      </c>
      <c r="I107">
        <v>0</v>
      </c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784</v>
      </c>
      <c r="C108" s="10">
        <v>2787</v>
      </c>
      <c r="D108" s="10">
        <v>0</v>
      </c>
      <c r="E108" s="10">
        <v>0</v>
      </c>
      <c r="F108" s="10">
        <v>0</v>
      </c>
      <c r="G108">
        <v>-4</v>
      </c>
      <c r="H108">
        <v>-2</v>
      </c>
      <c r="I108">
        <v>0</v>
      </c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767</v>
      </c>
      <c r="C109" s="1">
        <v>2667</v>
      </c>
      <c r="D109" s="1">
        <v>-1.5</v>
      </c>
      <c r="E109" s="1">
        <v>0.4</v>
      </c>
      <c r="F109" s="1">
        <v>0.1</v>
      </c>
      <c r="G109">
        <v>-7</v>
      </c>
      <c r="H109">
        <v>-2</v>
      </c>
      <c r="I109">
        <v>-1</v>
      </c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750</v>
      </c>
      <c r="C110" s="1">
        <v>2551</v>
      </c>
      <c r="D110" s="1">
        <v>-4</v>
      </c>
      <c r="E110" s="1">
        <v>0.9</v>
      </c>
      <c r="F110" s="1">
        <v>0.3</v>
      </c>
      <c r="G110">
        <v>-10</v>
      </c>
      <c r="H110">
        <v>-2</v>
      </c>
      <c r="I110">
        <v>-1</v>
      </c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733</v>
      </c>
      <c r="C111" s="1">
        <v>2440</v>
      </c>
      <c r="D111" s="1">
        <v>-7.6</v>
      </c>
      <c r="E111" s="1">
        <v>1.5</v>
      </c>
      <c r="F111" s="1">
        <v>0.4</v>
      </c>
      <c r="G111">
        <v>-13</v>
      </c>
      <c r="H111">
        <v>-3</v>
      </c>
      <c r="I111">
        <v>-1</v>
      </c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717</v>
      </c>
      <c r="C112" s="1">
        <v>2332</v>
      </c>
      <c r="D112" s="1">
        <v>-12.6</v>
      </c>
      <c r="E112" s="1">
        <v>2.2000000000000002</v>
      </c>
      <c r="F112" s="1">
        <v>0.6</v>
      </c>
      <c r="G112">
        <v>-18</v>
      </c>
      <c r="H112">
        <v>-3</v>
      </c>
      <c r="I112">
        <v>-1</v>
      </c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701</v>
      </c>
      <c r="C113" s="1">
        <v>2228</v>
      </c>
      <c r="D113" s="1">
        <v>-18.600000000000001</v>
      </c>
      <c r="E113" s="1">
        <v>2.8</v>
      </c>
      <c r="F113" s="1">
        <v>0.8</v>
      </c>
      <c r="G113">
        <v>-23</v>
      </c>
      <c r="H113">
        <v>-4</v>
      </c>
      <c r="I113">
        <v>-1</v>
      </c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685</v>
      </c>
      <c r="C114" s="1">
        <v>2127</v>
      </c>
      <c r="D114" s="1">
        <v>-25.8</v>
      </c>
      <c r="E114" s="1">
        <v>3.6</v>
      </c>
      <c r="F114" s="1">
        <v>1</v>
      </c>
      <c r="G114">
        <v>-28</v>
      </c>
      <c r="H114">
        <v>-4</v>
      </c>
      <c r="I114">
        <v>-1</v>
      </c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669</v>
      </c>
      <c r="C115" s="1">
        <v>2030</v>
      </c>
      <c r="D115" s="1">
        <v>-34.799999999999997</v>
      </c>
      <c r="E115" s="1">
        <v>4.3</v>
      </c>
      <c r="F115" s="1">
        <v>1.3</v>
      </c>
      <c r="G115">
        <v>-34</v>
      </c>
      <c r="H115">
        <v>-5</v>
      </c>
      <c r="I115">
        <v>-1</v>
      </c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653</v>
      </c>
      <c r="C116" s="1">
        <v>1937</v>
      </c>
      <c r="D116" s="1">
        <v>-44.8</v>
      </c>
      <c r="E116" s="1">
        <v>5.0999999999999996</v>
      </c>
      <c r="F116" s="1">
        <v>1.5</v>
      </c>
      <c r="G116">
        <v>-41</v>
      </c>
      <c r="H116">
        <v>-5</v>
      </c>
      <c r="I116">
        <v>-2</v>
      </c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638</v>
      </c>
      <c r="C117" s="1">
        <v>1846</v>
      </c>
      <c r="D117" s="1">
        <v>-56.3</v>
      </c>
      <c r="E117" s="1">
        <v>6</v>
      </c>
      <c r="F117" s="1">
        <v>1.7</v>
      </c>
      <c r="G117">
        <v>-49</v>
      </c>
      <c r="H117">
        <v>-6</v>
      </c>
      <c r="I117">
        <v>-2</v>
      </c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623</v>
      </c>
      <c r="C118" s="1">
        <v>1760</v>
      </c>
      <c r="D118" s="1">
        <v>-69.900000000000006</v>
      </c>
      <c r="E118" s="1">
        <v>6.9</v>
      </c>
      <c r="F118" s="1">
        <v>2</v>
      </c>
      <c r="G118">
        <v>-57</v>
      </c>
      <c r="H118">
        <v>-6</v>
      </c>
      <c r="I118">
        <v>-2</v>
      </c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608</v>
      </c>
      <c r="C119" s="1">
        <v>1676</v>
      </c>
      <c r="D119" s="1">
        <v>-84.7</v>
      </c>
      <c r="E119" s="1">
        <v>7.8</v>
      </c>
      <c r="F119" s="1">
        <v>2.2999999999999998</v>
      </c>
      <c r="G119">
        <v>-67</v>
      </c>
      <c r="H119">
        <v>-7</v>
      </c>
      <c r="I119">
        <v>-2</v>
      </c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593</v>
      </c>
      <c r="C120" s="1">
        <v>1596</v>
      </c>
      <c r="D120" s="1">
        <v>-101.3</v>
      </c>
      <c r="E120" s="1">
        <v>8.6999999999999993</v>
      </c>
      <c r="F120" s="1">
        <v>2.5</v>
      </c>
      <c r="G120">
        <v>-77</v>
      </c>
      <c r="H120">
        <v>-7</v>
      </c>
      <c r="I120">
        <v>-2</v>
      </c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579</v>
      </c>
      <c r="C121" s="1">
        <v>1519</v>
      </c>
      <c r="D121" s="1">
        <v>-120.3</v>
      </c>
      <c r="E121" s="1">
        <v>9.6999999999999993</v>
      </c>
      <c r="F121" s="1">
        <v>2.8</v>
      </c>
      <c r="G121">
        <v>-88</v>
      </c>
      <c r="H121">
        <v>-8</v>
      </c>
      <c r="I121">
        <v>-2</v>
      </c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564</v>
      </c>
      <c r="C122" s="1">
        <v>1445</v>
      </c>
      <c r="D122" s="1">
        <v>-140.69999999999999</v>
      </c>
      <c r="E122" s="1">
        <v>10.7</v>
      </c>
      <c r="F122" s="1">
        <v>3.1</v>
      </c>
      <c r="G122">
        <v>-99</v>
      </c>
      <c r="H122">
        <v>-8</v>
      </c>
      <c r="I122">
        <v>-2</v>
      </c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550</v>
      </c>
      <c r="C123" s="1">
        <v>1374</v>
      </c>
      <c r="D123" s="1">
        <v>-163.1</v>
      </c>
      <c r="E123" s="1">
        <v>11.8</v>
      </c>
      <c r="F123" s="1">
        <v>3.4</v>
      </c>
      <c r="G123">
        <v>-112</v>
      </c>
      <c r="H123">
        <v>-9</v>
      </c>
      <c r="I123">
        <v>-3</v>
      </c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537</v>
      </c>
      <c r="C124" s="1">
        <v>1309</v>
      </c>
      <c r="D124" s="1">
        <v>-187.6</v>
      </c>
      <c r="E124" s="1">
        <v>12.9</v>
      </c>
      <c r="F124" s="1">
        <v>3.8</v>
      </c>
      <c r="G124">
        <v>-125</v>
      </c>
      <c r="H124">
        <v>-9</v>
      </c>
      <c r="I124">
        <v>-3</v>
      </c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46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</row>
    <row r="128" spans="1:19" x14ac:dyDescent="0.25">
      <c r="A128" s="1">
        <v>0</v>
      </c>
      <c r="B128" s="1">
        <v>854</v>
      </c>
      <c r="C128" s="1">
        <v>3309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836</v>
      </c>
      <c r="C129" s="1">
        <v>3171</v>
      </c>
      <c r="D129" s="1">
        <v>-0.8</v>
      </c>
      <c r="E129" s="1">
        <v>1.2</v>
      </c>
      <c r="F129" s="1">
        <v>0.3</v>
      </c>
      <c r="G129">
        <v>0</v>
      </c>
      <c r="H129">
        <v>-1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818</v>
      </c>
      <c r="C130" s="1">
        <v>3039</v>
      </c>
      <c r="D130" s="1">
        <v>1.3</v>
      </c>
      <c r="E130" s="1">
        <v>-0.9</v>
      </c>
      <c r="F130" s="1">
        <v>-0.3</v>
      </c>
      <c r="G130">
        <v>-1</v>
      </c>
      <c r="H130">
        <v>-1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801</v>
      </c>
      <c r="C131" s="1">
        <v>2910</v>
      </c>
      <c r="D131" s="1">
        <v>2.5</v>
      </c>
      <c r="E131" s="1">
        <v>-1.1000000000000001</v>
      </c>
      <c r="F131" s="1">
        <v>-0.3</v>
      </c>
      <c r="G131">
        <v>-2</v>
      </c>
      <c r="H131">
        <v>-1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784</v>
      </c>
      <c r="C132" s="1">
        <v>2787</v>
      </c>
      <c r="D132" s="1">
        <v>2.7</v>
      </c>
      <c r="E132" s="1">
        <v>-0.9</v>
      </c>
      <c r="F132" s="1">
        <v>-0.3</v>
      </c>
      <c r="G132">
        <v>-4</v>
      </c>
      <c r="H132">
        <v>-2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767</v>
      </c>
      <c r="C133" s="1">
        <v>2667</v>
      </c>
      <c r="D133" s="1">
        <v>1.9</v>
      </c>
      <c r="E133" s="1">
        <v>-0.5</v>
      </c>
      <c r="F133" s="1">
        <v>-0.1</v>
      </c>
      <c r="G133">
        <v>-7</v>
      </c>
      <c r="H133">
        <v>-2</v>
      </c>
      <c r="I133">
        <v>-1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750</v>
      </c>
      <c r="C134" s="10">
        <v>2551</v>
      </c>
      <c r="D134" s="10">
        <v>0</v>
      </c>
      <c r="E134" s="10">
        <v>0</v>
      </c>
      <c r="F134" s="10">
        <v>0</v>
      </c>
      <c r="G134">
        <v>-10</v>
      </c>
      <c r="H134">
        <v>-2</v>
      </c>
      <c r="I134">
        <v>-1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733</v>
      </c>
      <c r="C135" s="1">
        <v>2440</v>
      </c>
      <c r="D135" s="1">
        <v>-2.9</v>
      </c>
      <c r="E135" s="1">
        <v>0.6</v>
      </c>
      <c r="F135" s="1">
        <v>0.2</v>
      </c>
      <c r="G135">
        <v>-13</v>
      </c>
      <c r="H135">
        <v>-3</v>
      </c>
      <c r="I135">
        <v>-1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717</v>
      </c>
      <c r="C136" s="1">
        <v>2332</v>
      </c>
      <c r="D136" s="1">
        <v>-7.2</v>
      </c>
      <c r="E136" s="1">
        <v>1.2</v>
      </c>
      <c r="F136" s="1">
        <v>0.4</v>
      </c>
      <c r="G136">
        <v>-18</v>
      </c>
      <c r="H136">
        <v>-3</v>
      </c>
      <c r="I136">
        <v>-1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701</v>
      </c>
      <c r="C137" s="1">
        <v>2228</v>
      </c>
      <c r="D137" s="1">
        <v>-12.5</v>
      </c>
      <c r="E137" s="1">
        <v>1.9</v>
      </c>
      <c r="F137" s="1">
        <v>0.6</v>
      </c>
      <c r="G137">
        <v>-23</v>
      </c>
      <c r="H137">
        <v>-4</v>
      </c>
      <c r="I137">
        <v>-1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685</v>
      </c>
      <c r="C138" s="1">
        <v>2127</v>
      </c>
      <c r="D138" s="1">
        <v>-19.100000000000001</v>
      </c>
      <c r="E138" s="1">
        <v>2.6</v>
      </c>
      <c r="F138" s="1">
        <v>0.8</v>
      </c>
      <c r="G138">
        <v>-28</v>
      </c>
      <c r="H138">
        <v>-4</v>
      </c>
      <c r="I138">
        <v>-1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669</v>
      </c>
      <c r="C139" s="1">
        <v>2030</v>
      </c>
      <c r="D139" s="1">
        <v>-27.4</v>
      </c>
      <c r="E139" s="1">
        <v>3.4</v>
      </c>
      <c r="F139" s="1">
        <v>1</v>
      </c>
      <c r="G139">
        <v>-34</v>
      </c>
      <c r="H139">
        <v>-5</v>
      </c>
      <c r="I139">
        <v>-1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653</v>
      </c>
      <c r="C140" s="1">
        <v>1937</v>
      </c>
      <c r="D140" s="1">
        <v>-36.799999999999997</v>
      </c>
      <c r="E140" s="1">
        <v>4.2</v>
      </c>
      <c r="F140" s="1">
        <v>1.2</v>
      </c>
      <c r="G140">
        <v>-41</v>
      </c>
      <c r="H140">
        <v>-5</v>
      </c>
      <c r="I140">
        <v>-2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638</v>
      </c>
      <c r="C141" s="1">
        <v>1846</v>
      </c>
      <c r="D141" s="1">
        <v>-47.6</v>
      </c>
      <c r="E141" s="1">
        <v>5</v>
      </c>
      <c r="F141" s="1">
        <v>1.5</v>
      </c>
      <c r="G141">
        <v>-49</v>
      </c>
      <c r="H141">
        <v>-6</v>
      </c>
      <c r="I141">
        <v>-2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623</v>
      </c>
      <c r="C142" s="1">
        <v>1760</v>
      </c>
      <c r="D142" s="1">
        <v>-60.5</v>
      </c>
      <c r="E142" s="1">
        <v>5.9</v>
      </c>
      <c r="F142" s="1">
        <v>1.7</v>
      </c>
      <c r="G142">
        <v>-57</v>
      </c>
      <c r="H142">
        <v>-6</v>
      </c>
      <c r="I142">
        <v>-2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608</v>
      </c>
      <c r="C143" s="1">
        <v>1676</v>
      </c>
      <c r="D143" s="1">
        <v>-74.7</v>
      </c>
      <c r="E143" s="1">
        <v>6.8</v>
      </c>
      <c r="F143" s="1">
        <v>2</v>
      </c>
      <c r="G143">
        <v>-67</v>
      </c>
      <c r="H143">
        <v>-7</v>
      </c>
      <c r="I143">
        <v>-2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593</v>
      </c>
      <c r="C144" s="1">
        <v>1596</v>
      </c>
      <c r="D144" s="1">
        <v>-90.5</v>
      </c>
      <c r="E144" s="1">
        <v>7.8</v>
      </c>
      <c r="F144" s="1">
        <v>2.2999999999999998</v>
      </c>
      <c r="G144">
        <v>-77</v>
      </c>
      <c r="H144">
        <v>-7</v>
      </c>
      <c r="I144">
        <v>-2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579</v>
      </c>
      <c r="C145" s="1">
        <v>1519</v>
      </c>
      <c r="D145" s="1">
        <v>-108.9</v>
      </c>
      <c r="E145" s="1">
        <v>8.8000000000000007</v>
      </c>
      <c r="F145" s="1">
        <v>2.6</v>
      </c>
      <c r="G145">
        <v>-88</v>
      </c>
      <c r="H145">
        <v>-8</v>
      </c>
      <c r="I145">
        <v>-2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564</v>
      </c>
      <c r="C146" s="1">
        <v>1445</v>
      </c>
      <c r="D146" s="1">
        <v>-128.6</v>
      </c>
      <c r="E146" s="1">
        <v>9.8000000000000007</v>
      </c>
      <c r="F146" s="1">
        <v>2.9</v>
      </c>
      <c r="G146">
        <v>-99</v>
      </c>
      <c r="H146">
        <v>-8</v>
      </c>
      <c r="I146">
        <v>-2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550</v>
      </c>
      <c r="C147" s="1">
        <v>1374</v>
      </c>
      <c r="D147" s="1">
        <v>-150.30000000000001</v>
      </c>
      <c r="E147" s="1">
        <v>10.9</v>
      </c>
      <c r="F147" s="1">
        <v>3.2</v>
      </c>
      <c r="G147">
        <v>-112</v>
      </c>
      <c r="H147">
        <v>-9</v>
      </c>
      <c r="I147">
        <v>-3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537</v>
      </c>
      <c r="C148" s="1">
        <v>1309</v>
      </c>
      <c r="D148" s="1">
        <v>-174.2</v>
      </c>
      <c r="E148" s="1">
        <v>12</v>
      </c>
      <c r="F148" s="1">
        <v>3.5</v>
      </c>
      <c r="G148">
        <v>-125</v>
      </c>
      <c r="H148">
        <v>-9</v>
      </c>
      <c r="I148">
        <v>-3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9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</row>
    <row r="152" spans="1:19" x14ac:dyDescent="0.25">
      <c r="A152" s="1">
        <v>0</v>
      </c>
      <c r="B152" s="1">
        <v>854</v>
      </c>
      <c r="C152" s="1">
        <v>3309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836</v>
      </c>
      <c r="C153" s="1">
        <v>3171</v>
      </c>
      <c r="D153" s="1">
        <v>0.1</v>
      </c>
      <c r="E153" s="1">
        <v>-0.1</v>
      </c>
      <c r="F153" s="1">
        <v>0</v>
      </c>
      <c r="G153">
        <v>0</v>
      </c>
      <c r="H153">
        <v>-1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818</v>
      </c>
      <c r="C154" s="1">
        <v>3039</v>
      </c>
      <c r="D154" s="1">
        <v>3.1</v>
      </c>
      <c r="E154" s="1">
        <v>-2.1</v>
      </c>
      <c r="F154" s="1">
        <v>-0.6</v>
      </c>
      <c r="G154">
        <v>-1</v>
      </c>
      <c r="H154">
        <v>-1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801</v>
      </c>
      <c r="C155" s="1">
        <v>2910</v>
      </c>
      <c r="D155" s="1">
        <v>5.2</v>
      </c>
      <c r="E155" s="1">
        <v>-2.4</v>
      </c>
      <c r="F155" s="1">
        <v>-0.7</v>
      </c>
      <c r="G155">
        <v>-2</v>
      </c>
      <c r="H155">
        <v>-1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784</v>
      </c>
      <c r="C156" s="1">
        <v>2787</v>
      </c>
      <c r="D156" s="1">
        <v>6.3</v>
      </c>
      <c r="E156" s="1">
        <v>-2.2000000000000002</v>
      </c>
      <c r="F156" s="1">
        <v>-0.6</v>
      </c>
      <c r="G156">
        <v>-4</v>
      </c>
      <c r="H156">
        <v>-2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767</v>
      </c>
      <c r="C157" s="1">
        <v>2667</v>
      </c>
      <c r="D157" s="1">
        <v>6.4</v>
      </c>
      <c r="E157" s="1">
        <v>-1.7</v>
      </c>
      <c r="F157" s="1">
        <v>-0.5</v>
      </c>
      <c r="G157">
        <v>-7</v>
      </c>
      <c r="H157">
        <v>-2</v>
      </c>
      <c r="I157">
        <v>-1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750</v>
      </c>
      <c r="C158" s="1">
        <v>2551</v>
      </c>
      <c r="D158" s="1">
        <v>5.4</v>
      </c>
      <c r="E158" s="1">
        <v>-1.2</v>
      </c>
      <c r="F158" s="1">
        <v>-0.4</v>
      </c>
      <c r="G158">
        <v>-10</v>
      </c>
      <c r="H158">
        <v>-2</v>
      </c>
      <c r="I158">
        <v>-1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733</v>
      </c>
      <c r="C159" s="1">
        <v>2440</v>
      </c>
      <c r="D159" s="1">
        <v>3.3</v>
      </c>
      <c r="E159" s="1">
        <v>-0.7</v>
      </c>
      <c r="F159" s="1">
        <v>-0.2</v>
      </c>
      <c r="G159">
        <v>-13</v>
      </c>
      <c r="H159">
        <v>-3</v>
      </c>
      <c r="I159">
        <v>-1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717</v>
      </c>
      <c r="C160" s="10">
        <v>2332</v>
      </c>
      <c r="D160" s="10">
        <v>0</v>
      </c>
      <c r="E160" s="10">
        <v>0</v>
      </c>
      <c r="F160" s="10">
        <v>0</v>
      </c>
      <c r="G160">
        <v>-18</v>
      </c>
      <c r="H160">
        <v>-3</v>
      </c>
      <c r="I160">
        <v>-1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701</v>
      </c>
      <c r="C161" s="1">
        <v>2228</v>
      </c>
      <c r="D161" s="1">
        <v>-4.5</v>
      </c>
      <c r="E161" s="1">
        <v>0.7</v>
      </c>
      <c r="F161" s="1">
        <v>0.2</v>
      </c>
      <c r="G161">
        <v>-23</v>
      </c>
      <c r="H161">
        <v>-4</v>
      </c>
      <c r="I161">
        <v>-1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685</v>
      </c>
      <c r="C162" s="1">
        <v>2127</v>
      </c>
      <c r="D162" s="1">
        <v>-10.199999999999999</v>
      </c>
      <c r="E162" s="1">
        <v>1.4</v>
      </c>
      <c r="F162" s="1">
        <v>0.4</v>
      </c>
      <c r="G162">
        <v>-28</v>
      </c>
      <c r="H162">
        <v>-4</v>
      </c>
      <c r="I162">
        <v>-1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669</v>
      </c>
      <c r="C163" s="1">
        <v>2030</v>
      </c>
      <c r="D163" s="1">
        <v>-17.5</v>
      </c>
      <c r="E163" s="1">
        <v>2.2000000000000002</v>
      </c>
      <c r="F163" s="1">
        <v>0.6</v>
      </c>
      <c r="G163">
        <v>-34</v>
      </c>
      <c r="H163">
        <v>-5</v>
      </c>
      <c r="I163">
        <v>-1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653</v>
      </c>
      <c r="C164" s="1">
        <v>1937</v>
      </c>
      <c r="D164" s="1">
        <v>-26</v>
      </c>
      <c r="E164" s="1">
        <v>3</v>
      </c>
      <c r="F164" s="1">
        <v>0.9</v>
      </c>
      <c r="G164">
        <v>-41</v>
      </c>
      <c r="H164">
        <v>-5</v>
      </c>
      <c r="I164">
        <v>-2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638</v>
      </c>
      <c r="C165" s="1">
        <v>1846</v>
      </c>
      <c r="D165" s="1">
        <v>-36</v>
      </c>
      <c r="E165" s="1">
        <v>3.8</v>
      </c>
      <c r="F165" s="1">
        <v>1.1000000000000001</v>
      </c>
      <c r="G165">
        <v>-49</v>
      </c>
      <c r="H165">
        <v>-6</v>
      </c>
      <c r="I165">
        <v>-2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623</v>
      </c>
      <c r="C166" s="1">
        <v>1760</v>
      </c>
      <c r="D166" s="1">
        <v>-48</v>
      </c>
      <c r="E166" s="1">
        <v>4.7</v>
      </c>
      <c r="F166" s="1">
        <v>1.4</v>
      </c>
      <c r="G166">
        <v>-57</v>
      </c>
      <c r="H166">
        <v>-6</v>
      </c>
      <c r="I166">
        <v>-2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608</v>
      </c>
      <c r="C167" s="1">
        <v>1676</v>
      </c>
      <c r="D167" s="1">
        <v>-61.2</v>
      </c>
      <c r="E167" s="1">
        <v>5.6</v>
      </c>
      <c r="F167" s="1">
        <v>1.6</v>
      </c>
      <c r="G167">
        <v>-67</v>
      </c>
      <c r="H167">
        <v>-7</v>
      </c>
      <c r="I167">
        <v>-2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593</v>
      </c>
      <c r="C168" s="1">
        <v>1596</v>
      </c>
      <c r="D168" s="1">
        <v>-76.2</v>
      </c>
      <c r="E168" s="1">
        <v>6.6</v>
      </c>
      <c r="F168" s="1">
        <v>1.9</v>
      </c>
      <c r="G168">
        <v>-77</v>
      </c>
      <c r="H168">
        <v>-7</v>
      </c>
      <c r="I168">
        <v>-2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579</v>
      </c>
      <c r="C169" s="1">
        <v>1519</v>
      </c>
      <c r="D169" s="1">
        <v>-93.7</v>
      </c>
      <c r="E169" s="1">
        <v>7.6</v>
      </c>
      <c r="F169" s="1">
        <v>2.2000000000000002</v>
      </c>
      <c r="G169">
        <v>-88</v>
      </c>
      <c r="H169">
        <v>-8</v>
      </c>
      <c r="I169">
        <v>-2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564</v>
      </c>
      <c r="C170" s="1">
        <v>1445</v>
      </c>
      <c r="D170" s="1">
        <v>-112.5</v>
      </c>
      <c r="E170" s="1">
        <v>8.6</v>
      </c>
      <c r="F170" s="1">
        <v>2.5</v>
      </c>
      <c r="G170">
        <v>-99</v>
      </c>
      <c r="H170">
        <v>-8</v>
      </c>
      <c r="I170">
        <v>-2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550</v>
      </c>
      <c r="C171" s="1">
        <v>1374</v>
      </c>
      <c r="D171" s="1">
        <v>-133.4</v>
      </c>
      <c r="E171" s="1">
        <v>9.6999999999999993</v>
      </c>
      <c r="F171" s="1">
        <v>2.8</v>
      </c>
      <c r="G171">
        <v>-112</v>
      </c>
      <c r="H171">
        <v>-9</v>
      </c>
      <c r="I171">
        <v>-3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537</v>
      </c>
      <c r="C172" s="1">
        <v>1308</v>
      </c>
      <c r="D172" s="1">
        <v>-156.4</v>
      </c>
      <c r="E172" s="1">
        <v>10.8</v>
      </c>
      <c r="F172" s="1">
        <v>3.1</v>
      </c>
      <c r="G172">
        <v>-125</v>
      </c>
      <c r="H172">
        <v>-9</v>
      </c>
      <c r="I172">
        <v>-3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10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</row>
    <row r="176" spans="1:19" x14ac:dyDescent="0.25">
      <c r="A176" s="1">
        <v>0</v>
      </c>
      <c r="B176" s="1">
        <v>854</v>
      </c>
      <c r="C176" s="1">
        <v>3309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836</v>
      </c>
      <c r="C177" s="1">
        <v>3171</v>
      </c>
      <c r="D177" s="1">
        <v>2.2000000000000002</v>
      </c>
      <c r="E177" s="1">
        <v>-3.1</v>
      </c>
      <c r="F177" s="1">
        <v>-0.9</v>
      </c>
      <c r="G177">
        <v>0</v>
      </c>
      <c r="H177">
        <v>-1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818</v>
      </c>
      <c r="C178" s="1">
        <v>3039</v>
      </c>
      <c r="D178" s="1">
        <v>7.5</v>
      </c>
      <c r="E178" s="1">
        <v>-5.0999999999999996</v>
      </c>
      <c r="F178" s="1">
        <v>-1.5</v>
      </c>
      <c r="G178">
        <v>-1</v>
      </c>
      <c r="H178">
        <v>-1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801</v>
      </c>
      <c r="C179" s="1">
        <v>2910</v>
      </c>
      <c r="D179" s="1">
        <v>11.7</v>
      </c>
      <c r="E179" s="1">
        <v>-5.4</v>
      </c>
      <c r="F179" s="1">
        <v>-1.6</v>
      </c>
      <c r="G179">
        <v>-2</v>
      </c>
      <c r="H179">
        <v>-1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784</v>
      </c>
      <c r="C180" s="1">
        <v>2787</v>
      </c>
      <c r="D180" s="1">
        <v>14.9</v>
      </c>
      <c r="E180" s="1">
        <v>-5.0999999999999996</v>
      </c>
      <c r="F180" s="1">
        <v>-1.5</v>
      </c>
      <c r="G180">
        <v>-4</v>
      </c>
      <c r="H180">
        <v>-2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767</v>
      </c>
      <c r="C181" s="1">
        <v>2667</v>
      </c>
      <c r="D181" s="1">
        <v>17.3</v>
      </c>
      <c r="E181" s="1">
        <v>-4.7</v>
      </c>
      <c r="F181" s="1">
        <v>-1.4</v>
      </c>
      <c r="G181">
        <v>-7</v>
      </c>
      <c r="H181">
        <v>-2</v>
      </c>
      <c r="I181">
        <v>-1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750</v>
      </c>
      <c r="C182" s="1">
        <v>2551</v>
      </c>
      <c r="D182" s="1">
        <v>18.399999999999999</v>
      </c>
      <c r="E182" s="1">
        <v>-4.2</v>
      </c>
      <c r="F182" s="1">
        <v>-1.2</v>
      </c>
      <c r="G182">
        <v>-10</v>
      </c>
      <c r="H182">
        <v>-2</v>
      </c>
      <c r="I182">
        <v>-1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733</v>
      </c>
      <c r="C183" s="1">
        <v>2440</v>
      </c>
      <c r="D183" s="1">
        <v>18.5</v>
      </c>
      <c r="E183" s="1">
        <v>-3.6</v>
      </c>
      <c r="F183" s="1">
        <v>-1.1000000000000001</v>
      </c>
      <c r="G183">
        <v>-13</v>
      </c>
      <c r="H183">
        <v>-3</v>
      </c>
      <c r="I183">
        <v>-1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717</v>
      </c>
      <c r="C184" s="1">
        <v>2332</v>
      </c>
      <c r="D184" s="1">
        <v>17.399999999999999</v>
      </c>
      <c r="E184" s="1">
        <v>-3</v>
      </c>
      <c r="F184" s="1">
        <v>-0.9</v>
      </c>
      <c r="G184">
        <v>-18</v>
      </c>
      <c r="H184">
        <v>-3</v>
      </c>
      <c r="I184">
        <v>-1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701</v>
      </c>
      <c r="C185" s="1">
        <v>2228</v>
      </c>
      <c r="D185" s="1">
        <v>15.1</v>
      </c>
      <c r="E185" s="1">
        <v>-2.2999999999999998</v>
      </c>
      <c r="F185" s="1">
        <v>-0.7</v>
      </c>
      <c r="G185">
        <v>-23</v>
      </c>
      <c r="H185">
        <v>-4</v>
      </c>
      <c r="I185">
        <v>-1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685</v>
      </c>
      <c r="C186" s="1">
        <v>2127</v>
      </c>
      <c r="D186" s="1">
        <v>11.5</v>
      </c>
      <c r="E186" s="1">
        <v>-1.6</v>
      </c>
      <c r="F186" s="1">
        <v>-0.5</v>
      </c>
      <c r="G186">
        <v>-28</v>
      </c>
      <c r="H186">
        <v>-4</v>
      </c>
      <c r="I186">
        <v>-1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669</v>
      </c>
      <c r="C187" s="1">
        <v>2030</v>
      </c>
      <c r="D187" s="1">
        <v>6.4</v>
      </c>
      <c r="E187" s="1">
        <v>-0.8</v>
      </c>
      <c r="F187" s="1">
        <v>-0.2</v>
      </c>
      <c r="G187">
        <v>-34</v>
      </c>
      <c r="H187">
        <v>-5</v>
      </c>
      <c r="I187">
        <v>-1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653</v>
      </c>
      <c r="C188" s="10">
        <v>1937</v>
      </c>
      <c r="D188" s="10">
        <v>0.1</v>
      </c>
      <c r="E188" s="10">
        <v>0</v>
      </c>
      <c r="F188" s="10">
        <v>0</v>
      </c>
      <c r="G188">
        <v>-41</v>
      </c>
      <c r="H188">
        <v>-5</v>
      </c>
      <c r="I188">
        <v>-2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638</v>
      </c>
      <c r="C189" s="1">
        <v>1846</v>
      </c>
      <c r="D189" s="1">
        <v>-7.8</v>
      </c>
      <c r="E189" s="1">
        <v>0.8</v>
      </c>
      <c r="F189" s="1">
        <v>0.2</v>
      </c>
      <c r="G189">
        <v>-49</v>
      </c>
      <c r="H189">
        <v>-6</v>
      </c>
      <c r="I189">
        <v>-2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623</v>
      </c>
      <c r="C190" s="1">
        <v>1760</v>
      </c>
      <c r="D190" s="1">
        <v>-17.600000000000001</v>
      </c>
      <c r="E190" s="1">
        <v>1.7</v>
      </c>
      <c r="F190" s="1">
        <v>0.5</v>
      </c>
      <c r="G190">
        <v>-57</v>
      </c>
      <c r="H190">
        <v>-6</v>
      </c>
      <c r="I190">
        <v>-2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608</v>
      </c>
      <c r="C191" s="1">
        <v>1676</v>
      </c>
      <c r="D191" s="1">
        <v>-28.7</v>
      </c>
      <c r="E191" s="1">
        <v>2.6</v>
      </c>
      <c r="F191" s="1">
        <v>0.8</v>
      </c>
      <c r="G191">
        <v>-67</v>
      </c>
      <c r="H191">
        <v>-7</v>
      </c>
      <c r="I191">
        <v>-2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593</v>
      </c>
      <c r="C192" s="1">
        <v>1596</v>
      </c>
      <c r="D192" s="1">
        <v>-41.5</v>
      </c>
      <c r="E192" s="1">
        <v>3.6</v>
      </c>
      <c r="F192" s="1">
        <v>1</v>
      </c>
      <c r="G192">
        <v>-77</v>
      </c>
      <c r="H192">
        <v>-7</v>
      </c>
      <c r="I192">
        <v>-2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579</v>
      </c>
      <c r="C193" s="1">
        <v>1519</v>
      </c>
      <c r="D193" s="1">
        <v>-56.7</v>
      </c>
      <c r="E193" s="1">
        <v>4.5999999999999996</v>
      </c>
      <c r="F193" s="1">
        <v>1.3</v>
      </c>
      <c r="G193">
        <v>-88</v>
      </c>
      <c r="H193">
        <v>-8</v>
      </c>
      <c r="I193">
        <v>-2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564</v>
      </c>
      <c r="C194" s="1">
        <v>1445</v>
      </c>
      <c r="D194" s="1">
        <v>-73.400000000000006</v>
      </c>
      <c r="E194" s="1">
        <v>5.6</v>
      </c>
      <c r="F194" s="1">
        <v>1.6</v>
      </c>
      <c r="G194">
        <v>-99</v>
      </c>
      <c r="H194">
        <v>-8</v>
      </c>
      <c r="I194">
        <v>-2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550</v>
      </c>
      <c r="C195" s="1">
        <v>1374</v>
      </c>
      <c r="D195" s="1">
        <v>-92.1</v>
      </c>
      <c r="E195" s="1">
        <v>6.7</v>
      </c>
      <c r="F195" s="1">
        <v>1.9</v>
      </c>
      <c r="G195">
        <v>-112</v>
      </c>
      <c r="H195">
        <v>-9</v>
      </c>
      <c r="I195">
        <v>-3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537</v>
      </c>
      <c r="C196" s="1">
        <v>1308</v>
      </c>
      <c r="D196" s="1">
        <v>-113</v>
      </c>
      <c r="E196" s="1">
        <v>7.8</v>
      </c>
      <c r="F196" s="1">
        <v>2.2999999999999998</v>
      </c>
      <c r="G196">
        <v>-125</v>
      </c>
      <c r="H196">
        <v>-9</v>
      </c>
      <c r="I196">
        <v>-3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31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</row>
    <row r="200" spans="1:19" x14ac:dyDescent="0.25">
      <c r="A200" s="1">
        <v>0</v>
      </c>
      <c r="B200" s="1">
        <v>854</v>
      </c>
      <c r="C200" s="1">
        <v>3309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836</v>
      </c>
      <c r="C201" s="1">
        <v>3171</v>
      </c>
      <c r="D201" s="1">
        <v>4.8</v>
      </c>
      <c r="E201" s="1">
        <v>-6.6</v>
      </c>
      <c r="F201" s="1">
        <v>-1.9</v>
      </c>
      <c r="G201">
        <v>0</v>
      </c>
      <c r="H201">
        <v>-1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818</v>
      </c>
      <c r="C202" s="1">
        <v>3039</v>
      </c>
      <c r="D202" s="1">
        <v>12.8</v>
      </c>
      <c r="E202" s="1">
        <v>-8.6999999999999993</v>
      </c>
      <c r="F202" s="1">
        <v>-2.5</v>
      </c>
      <c r="G202">
        <v>-1</v>
      </c>
      <c r="H202">
        <v>-1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801</v>
      </c>
      <c r="C203" s="1">
        <v>2910</v>
      </c>
      <c r="D203" s="1">
        <v>19.5</v>
      </c>
      <c r="E203" s="1">
        <v>-8.9</v>
      </c>
      <c r="F203" s="1">
        <v>-2.6</v>
      </c>
      <c r="G203">
        <v>-2</v>
      </c>
      <c r="H203">
        <v>-1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784</v>
      </c>
      <c r="C204" s="1">
        <v>2786</v>
      </c>
      <c r="D204" s="1">
        <v>25.4</v>
      </c>
      <c r="E204" s="1">
        <v>-8.6999999999999993</v>
      </c>
      <c r="F204" s="1">
        <v>-2.5</v>
      </c>
      <c r="G204">
        <v>-4</v>
      </c>
      <c r="H204">
        <v>-2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767</v>
      </c>
      <c r="C205" s="1">
        <v>2667</v>
      </c>
      <c r="D205" s="1">
        <v>30.3</v>
      </c>
      <c r="E205" s="1">
        <v>-8.3000000000000007</v>
      </c>
      <c r="F205" s="1">
        <v>-2.4</v>
      </c>
      <c r="G205">
        <v>-7</v>
      </c>
      <c r="H205">
        <v>-2</v>
      </c>
      <c r="I205">
        <v>-1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750</v>
      </c>
      <c r="C206" s="1">
        <v>2551</v>
      </c>
      <c r="D206" s="1">
        <v>34.1</v>
      </c>
      <c r="E206" s="1">
        <v>-7.8</v>
      </c>
      <c r="F206" s="1">
        <v>-2.2999999999999998</v>
      </c>
      <c r="G206">
        <v>-10</v>
      </c>
      <c r="H206">
        <v>-2</v>
      </c>
      <c r="I206">
        <v>-1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733</v>
      </c>
      <c r="C207" s="1">
        <v>2440</v>
      </c>
      <c r="D207" s="1">
        <v>36.799999999999997</v>
      </c>
      <c r="E207" s="1">
        <v>-7.2</v>
      </c>
      <c r="F207" s="1">
        <v>-2.1</v>
      </c>
      <c r="G207">
        <v>-13</v>
      </c>
      <c r="H207">
        <v>-3</v>
      </c>
      <c r="I207">
        <v>-1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717</v>
      </c>
      <c r="C208" s="1">
        <v>2332</v>
      </c>
      <c r="D208" s="1">
        <v>38.299999999999997</v>
      </c>
      <c r="E208" s="1">
        <v>-6.6</v>
      </c>
      <c r="F208" s="1">
        <v>-1.9</v>
      </c>
      <c r="G208">
        <v>-18</v>
      </c>
      <c r="H208">
        <v>-3</v>
      </c>
      <c r="I208">
        <v>-1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701</v>
      </c>
      <c r="C209" s="1">
        <v>2227</v>
      </c>
      <c r="D209" s="1">
        <v>38.6</v>
      </c>
      <c r="E209" s="1">
        <v>-5.9</v>
      </c>
      <c r="F209" s="1">
        <v>-1.7</v>
      </c>
      <c r="G209">
        <v>-23</v>
      </c>
      <c r="H209">
        <v>-4</v>
      </c>
      <c r="I209">
        <v>-1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685</v>
      </c>
      <c r="C210" s="1">
        <v>2127</v>
      </c>
      <c r="D210" s="1">
        <v>37.6</v>
      </c>
      <c r="E210" s="1">
        <v>-5.2</v>
      </c>
      <c r="F210" s="1">
        <v>-1.5</v>
      </c>
      <c r="G210">
        <v>-28</v>
      </c>
      <c r="H210">
        <v>-4</v>
      </c>
      <c r="I210">
        <v>-1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669</v>
      </c>
      <c r="C211" s="1">
        <v>2030</v>
      </c>
      <c r="D211" s="1">
        <v>35.200000000000003</v>
      </c>
      <c r="E211" s="1">
        <v>-4.4000000000000004</v>
      </c>
      <c r="F211" s="1">
        <v>-1.3</v>
      </c>
      <c r="G211">
        <v>-34</v>
      </c>
      <c r="H211">
        <v>-5</v>
      </c>
      <c r="I211">
        <v>-1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653</v>
      </c>
      <c r="C212" s="1">
        <v>1936</v>
      </c>
      <c r="D212" s="1">
        <v>31.4</v>
      </c>
      <c r="E212" s="1">
        <v>-3.6</v>
      </c>
      <c r="F212" s="1">
        <v>-1</v>
      </c>
      <c r="G212">
        <v>-41</v>
      </c>
      <c r="H212">
        <v>-5</v>
      </c>
      <c r="I212">
        <v>-2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638</v>
      </c>
      <c r="C213" s="1">
        <v>1846</v>
      </c>
      <c r="D213" s="1">
        <v>26.1</v>
      </c>
      <c r="E213" s="1">
        <v>-2.8</v>
      </c>
      <c r="F213" s="1">
        <v>-0.8</v>
      </c>
      <c r="G213">
        <v>-49</v>
      </c>
      <c r="H213">
        <v>-6</v>
      </c>
      <c r="I213">
        <v>-2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623</v>
      </c>
      <c r="C214" s="1">
        <v>1760</v>
      </c>
      <c r="D214" s="1">
        <v>19</v>
      </c>
      <c r="E214" s="1">
        <v>-1.9</v>
      </c>
      <c r="F214" s="1">
        <v>-0.5</v>
      </c>
      <c r="G214">
        <v>-57</v>
      </c>
      <c r="H214">
        <v>-6</v>
      </c>
      <c r="I214">
        <v>-2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608</v>
      </c>
      <c r="C215" s="1">
        <v>1676</v>
      </c>
      <c r="D215" s="1">
        <v>10.5</v>
      </c>
      <c r="E215" s="1">
        <v>-1</v>
      </c>
      <c r="F215" s="1">
        <v>-0.3</v>
      </c>
      <c r="G215">
        <v>-67</v>
      </c>
      <c r="H215">
        <v>-7</v>
      </c>
      <c r="I215">
        <v>-2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593</v>
      </c>
      <c r="C216" s="10">
        <v>1596</v>
      </c>
      <c r="D216" s="10">
        <v>0.2</v>
      </c>
      <c r="E216" s="10">
        <v>0</v>
      </c>
      <c r="F216" s="10">
        <v>0</v>
      </c>
      <c r="G216">
        <v>-77</v>
      </c>
      <c r="H216">
        <v>-7</v>
      </c>
      <c r="I216">
        <v>-2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579</v>
      </c>
      <c r="C217" s="1">
        <v>1519</v>
      </c>
      <c r="D217" s="1">
        <v>-12.3</v>
      </c>
      <c r="E217" s="1">
        <v>1</v>
      </c>
      <c r="F217" s="1">
        <v>0.3</v>
      </c>
      <c r="G217">
        <v>-88</v>
      </c>
      <c r="H217">
        <v>-8</v>
      </c>
      <c r="I217">
        <v>-2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564</v>
      </c>
      <c r="C218" s="1">
        <v>1445</v>
      </c>
      <c r="D218" s="1">
        <v>-26.4</v>
      </c>
      <c r="E218" s="1">
        <v>2</v>
      </c>
      <c r="F218" s="1">
        <v>0.6</v>
      </c>
      <c r="G218">
        <v>-99</v>
      </c>
      <c r="H218">
        <v>-8</v>
      </c>
      <c r="I218">
        <v>-2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550</v>
      </c>
      <c r="C219" s="1">
        <v>1374</v>
      </c>
      <c r="D219" s="1">
        <v>-42.6</v>
      </c>
      <c r="E219" s="1">
        <v>3.1</v>
      </c>
      <c r="F219" s="1">
        <v>0.9</v>
      </c>
      <c r="G219">
        <v>-112</v>
      </c>
      <c r="H219">
        <v>-9</v>
      </c>
      <c r="I219">
        <v>-3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537</v>
      </c>
      <c r="C220" s="1">
        <v>1308</v>
      </c>
      <c r="D220" s="1">
        <v>-60.9</v>
      </c>
      <c r="E220" s="1">
        <v>4.2</v>
      </c>
      <c r="F220" s="1">
        <v>1.2</v>
      </c>
      <c r="G220">
        <v>-125</v>
      </c>
      <c r="H220">
        <v>-9</v>
      </c>
      <c r="I220">
        <v>-3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32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</row>
    <row r="224" spans="1:19" x14ac:dyDescent="0.25">
      <c r="A224" s="1">
        <v>0</v>
      </c>
      <c r="B224" s="1">
        <v>854</v>
      </c>
      <c r="C224" s="1">
        <v>3309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836</v>
      </c>
      <c r="C225" s="1">
        <v>3171</v>
      </c>
      <c r="D225" s="1">
        <v>7.9</v>
      </c>
      <c r="E225" s="1">
        <v>-10.9</v>
      </c>
      <c r="F225" s="1">
        <v>-3.2</v>
      </c>
      <c r="G225" s="2">
        <v>0</v>
      </c>
      <c r="H225" s="2">
        <v>-1</v>
      </c>
      <c r="I225" s="2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818</v>
      </c>
      <c r="C226" s="1">
        <v>3039</v>
      </c>
      <c r="D226" s="1">
        <v>19</v>
      </c>
      <c r="E226" s="1">
        <v>-12.9</v>
      </c>
      <c r="F226" s="1">
        <v>-3.8</v>
      </c>
      <c r="G226" s="2">
        <v>-1</v>
      </c>
      <c r="H226" s="2">
        <v>-1</v>
      </c>
      <c r="I226" s="2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801</v>
      </c>
      <c r="C227" s="1">
        <v>2910</v>
      </c>
      <c r="D227" s="1">
        <v>28.8</v>
      </c>
      <c r="E227" s="1">
        <v>-13.2</v>
      </c>
      <c r="F227" s="1">
        <v>-3.8</v>
      </c>
      <c r="G227" s="2">
        <v>-2</v>
      </c>
      <c r="H227" s="2">
        <v>-1</v>
      </c>
      <c r="I227" s="2">
        <v>0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784</v>
      </c>
      <c r="C228" s="1">
        <v>2786</v>
      </c>
      <c r="D228" s="1">
        <v>37.6</v>
      </c>
      <c r="E228" s="1">
        <v>-13</v>
      </c>
      <c r="F228" s="1">
        <v>-3.8</v>
      </c>
      <c r="G228" s="2">
        <v>-4</v>
      </c>
      <c r="H228" s="2">
        <v>-2</v>
      </c>
      <c r="I228" s="2">
        <v>0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767</v>
      </c>
      <c r="C229" s="1">
        <v>2667</v>
      </c>
      <c r="D229" s="1">
        <v>45.8</v>
      </c>
      <c r="E229" s="1">
        <v>-12.5</v>
      </c>
      <c r="F229" s="1">
        <v>-3.7</v>
      </c>
      <c r="G229" s="2">
        <v>-7</v>
      </c>
      <c r="H229" s="2">
        <v>-2</v>
      </c>
      <c r="I229" s="2">
        <v>-1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750</v>
      </c>
      <c r="C230" s="1">
        <v>2551</v>
      </c>
      <c r="D230" s="1">
        <v>52.6</v>
      </c>
      <c r="E230" s="1">
        <v>-12</v>
      </c>
      <c r="F230" s="1">
        <v>-3.5</v>
      </c>
      <c r="G230" s="2">
        <v>-10</v>
      </c>
      <c r="H230" s="2">
        <v>-2</v>
      </c>
      <c r="I230" s="2">
        <v>-1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733</v>
      </c>
      <c r="C231" s="1">
        <v>2439</v>
      </c>
      <c r="D231" s="1">
        <v>58.3</v>
      </c>
      <c r="E231" s="1">
        <v>-11.5</v>
      </c>
      <c r="F231" s="1">
        <v>-3.3</v>
      </c>
      <c r="G231" s="2">
        <v>-13</v>
      </c>
      <c r="H231" s="2">
        <v>-3</v>
      </c>
      <c r="I231" s="2">
        <v>-1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717</v>
      </c>
      <c r="C232" s="1">
        <v>2332</v>
      </c>
      <c r="D232" s="1">
        <v>63</v>
      </c>
      <c r="E232" s="1">
        <v>-10.8</v>
      </c>
      <c r="F232" s="1">
        <v>-3.1</v>
      </c>
      <c r="G232" s="2">
        <v>-18</v>
      </c>
      <c r="H232" s="2">
        <v>-3</v>
      </c>
      <c r="I232" s="2">
        <v>-1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701</v>
      </c>
      <c r="C233" s="1">
        <v>2227</v>
      </c>
      <c r="D233" s="1">
        <v>66.3</v>
      </c>
      <c r="E233" s="1">
        <v>-10.1</v>
      </c>
      <c r="F233" s="1">
        <v>-2.9</v>
      </c>
      <c r="G233" s="2">
        <v>-23</v>
      </c>
      <c r="H233" s="2">
        <v>-4</v>
      </c>
      <c r="I233" s="2">
        <v>-1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685</v>
      </c>
      <c r="C234" s="1">
        <v>2127</v>
      </c>
      <c r="D234" s="1">
        <v>68.3</v>
      </c>
      <c r="E234" s="1">
        <v>-9.4</v>
      </c>
      <c r="F234" s="1">
        <v>-2.7</v>
      </c>
      <c r="G234" s="2">
        <v>-28</v>
      </c>
      <c r="H234" s="2">
        <v>-4</v>
      </c>
      <c r="I234" s="2">
        <v>-1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669</v>
      </c>
      <c r="C235" s="1">
        <v>2030</v>
      </c>
      <c r="D235" s="1">
        <v>69</v>
      </c>
      <c r="E235" s="1">
        <v>-8.6</v>
      </c>
      <c r="F235" s="1">
        <v>-2.5</v>
      </c>
      <c r="G235" s="2">
        <v>-34</v>
      </c>
      <c r="H235" s="2">
        <v>-5</v>
      </c>
      <c r="I235" s="2">
        <v>-1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653</v>
      </c>
      <c r="C236" s="1">
        <v>1936</v>
      </c>
      <c r="D236" s="1">
        <v>68.3</v>
      </c>
      <c r="E236" s="1">
        <v>-7.8</v>
      </c>
      <c r="F236" s="1">
        <v>-2.2999999999999998</v>
      </c>
      <c r="G236" s="2">
        <v>-41</v>
      </c>
      <c r="H236" s="2">
        <v>-5</v>
      </c>
      <c r="I236" s="2">
        <v>-2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638</v>
      </c>
      <c r="C237" s="1">
        <v>1846</v>
      </c>
      <c r="D237" s="1">
        <v>66.099999999999994</v>
      </c>
      <c r="E237" s="1">
        <v>-7</v>
      </c>
      <c r="F237" s="1">
        <v>-2</v>
      </c>
      <c r="G237" s="2">
        <v>-49</v>
      </c>
      <c r="H237" s="2">
        <v>-6</v>
      </c>
      <c r="I237" s="2">
        <v>-2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623</v>
      </c>
      <c r="C238" s="1">
        <v>1760</v>
      </c>
      <c r="D238" s="1">
        <v>62.1</v>
      </c>
      <c r="E238" s="1">
        <v>-6.1</v>
      </c>
      <c r="F238" s="1">
        <v>-1.8</v>
      </c>
      <c r="G238" s="2">
        <v>-58</v>
      </c>
      <c r="H238" s="2">
        <v>-6</v>
      </c>
      <c r="I238" s="2">
        <v>-2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608</v>
      </c>
      <c r="C239" s="1">
        <v>1676</v>
      </c>
      <c r="D239" s="1">
        <v>56.6</v>
      </c>
      <c r="E239" s="1">
        <v>-5.2</v>
      </c>
      <c r="F239" s="1">
        <v>-1.5</v>
      </c>
      <c r="G239" s="2">
        <v>-67</v>
      </c>
      <c r="H239" s="2">
        <v>-7</v>
      </c>
      <c r="I239" s="2">
        <v>-2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593</v>
      </c>
      <c r="C240" s="1">
        <v>1596</v>
      </c>
      <c r="D240" s="1">
        <v>49.4</v>
      </c>
      <c r="E240" s="1">
        <v>-4.3</v>
      </c>
      <c r="F240" s="1">
        <v>-1.2</v>
      </c>
      <c r="G240" s="2">
        <v>-77</v>
      </c>
      <c r="H240" s="2">
        <v>-7</v>
      </c>
      <c r="I240" s="2">
        <v>-2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579</v>
      </c>
      <c r="C241" s="1">
        <v>1519</v>
      </c>
      <c r="D241" s="1">
        <v>40</v>
      </c>
      <c r="E241" s="1">
        <v>-3.2</v>
      </c>
      <c r="F241" s="1">
        <v>-0.9</v>
      </c>
      <c r="G241" s="2">
        <v>-88</v>
      </c>
      <c r="H241" s="2">
        <v>-8</v>
      </c>
      <c r="I241" s="2">
        <v>-2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564</v>
      </c>
      <c r="C242" s="1">
        <v>1445</v>
      </c>
      <c r="D242" s="1">
        <v>28.9</v>
      </c>
      <c r="E242" s="1">
        <v>-2.2000000000000002</v>
      </c>
      <c r="F242" s="1">
        <v>-0.6</v>
      </c>
      <c r="G242" s="2">
        <v>-100</v>
      </c>
      <c r="H242" s="2">
        <v>-8</v>
      </c>
      <c r="I242" s="2">
        <v>-2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550</v>
      </c>
      <c r="C243" s="1">
        <v>1374</v>
      </c>
      <c r="D243" s="1">
        <v>15.8</v>
      </c>
      <c r="E243" s="1">
        <v>-1.1000000000000001</v>
      </c>
      <c r="F243" s="1">
        <v>-0.3</v>
      </c>
      <c r="G243" s="2">
        <v>-112</v>
      </c>
      <c r="H243" s="2">
        <v>-9</v>
      </c>
      <c r="I243" s="2">
        <v>-3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0">
        <v>500</v>
      </c>
      <c r="B244" s="10">
        <v>537</v>
      </c>
      <c r="C244" s="10">
        <v>1308</v>
      </c>
      <c r="D244" s="10">
        <v>0.6</v>
      </c>
      <c r="E244" s="10">
        <v>0</v>
      </c>
      <c r="F244" s="10">
        <v>0</v>
      </c>
      <c r="G244" s="2">
        <v>-125</v>
      </c>
      <c r="H244" s="2">
        <v>-9</v>
      </c>
      <c r="I244" s="2">
        <v>-3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ht="30" x14ac:dyDescent="0.25">
      <c r="A246" t="s">
        <v>59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27" t="s">
        <v>60</v>
      </c>
    </row>
    <row r="247" spans="1:19" x14ac:dyDescent="0.25">
      <c r="A247" t="s">
        <v>51</v>
      </c>
      <c r="B247" s="22" cm="1">
        <f t="array" ref="B247">INDEX(LINEST(J$22:J$35,$A$22:$A$35^{1,2,3}), 1,4)</f>
        <v>-4.8058581652942287</v>
      </c>
      <c r="C247" s="22" cm="1">
        <f t="array" ref="C247">INDEX(LINEST(K$22:K$35,$A$22:$A$35^{1,2,3}), 1,4)</f>
        <v>-4.4963555926618142</v>
      </c>
      <c r="D247" s="23" cm="1">
        <f t="array" ref="D247">INDEX(LINEST(L$22:L$35,$A$22:$A$35^{1,2,3}), 1,4)</f>
        <v>-4.696582105467705</v>
      </c>
      <c r="E247" s="23" cm="1">
        <f t="array" ref="E247">INDEX(LINEST(M$22:M$35,$A$22:$A$35^{1,2,3}), 1,4)</f>
        <v>-5.6406971174374938</v>
      </c>
      <c r="F247" s="23" cm="1">
        <f t="array" ref="F247">INDEX(LINEST(N$22:N$35,$A$22:$A$35^{1,2,3}), 1,4)</f>
        <v>-5.230091930316167</v>
      </c>
      <c r="G247" s="23" cm="1">
        <f t="array" ref="G247">INDEX(LINEST(O$22:O$35,$A$22:$A$35^{1,2,3}), 1,4)</f>
        <v>-5.0582007791226964</v>
      </c>
      <c r="H247" s="23" cm="1">
        <f t="array" ref="H247">INDEX(LINEST(P$22:P$35,$A$22:$A$35^{1,2,3}), 1,4)</f>
        <v>-4.7870458345242497</v>
      </c>
      <c r="I247" s="23" cm="1">
        <f t="array" ref="I247">INDEX(LINEST(B$22:B$35,$A$22:$A$35^{1,2,3}), 1,4)</f>
        <v>3325.3776668602427</v>
      </c>
      <c r="J247" s="22"/>
    </row>
    <row r="248" spans="1:19" x14ac:dyDescent="0.25">
      <c r="A248" t="s">
        <v>52</v>
      </c>
      <c r="B248" s="23" cm="1">
        <f t="array" ref="B248">INDEX(LINEST(J$22:J$35,$A$22:$A$35^{1,2,3}), 1,3)</f>
        <v>0.138695940082982</v>
      </c>
      <c r="C248" s="22" cm="1">
        <f t="array" ref="C248">INDEX(LINEST(K$22:K$35,$A$22:$A$35^{1,2,3}), 1,3)</f>
        <v>0.10210751850703616</v>
      </c>
      <c r="D248" s="23" cm="1">
        <f t="array" ref="D248">INDEX(LINEST(L$22:L$35,$A$22:$A$35^{1,2,3}), 1,3)</f>
        <v>0.11981730454314514</v>
      </c>
      <c r="E248" s="23" cm="1">
        <f t="array" ref="E248">INDEX(LINEST(M$22:M$35,$A$22:$A$35^{1,2,3}), 1,3)</f>
        <v>0.19278319858491677</v>
      </c>
      <c r="F248" s="23" cm="1">
        <f t="array" ref="F248">INDEX(LINEST(N$22:N$35,$A$22:$A$35^{1,2,3}), 1,3)</f>
        <v>0.25953850921939253</v>
      </c>
      <c r="G248" s="23" cm="1">
        <f t="array" ref="G248">INDEX(LINEST(O$22:O$35,$A$22:$A$35^{1,2,3}), 1,3)</f>
        <v>0.35630455829139884</v>
      </c>
      <c r="H248" s="23" cm="1">
        <f t="array" ref="H248">INDEX(LINEST(P$22:P$35,$A$22:$A$35^{1,2,3}), 1,3)</f>
        <v>0.44100426952428662</v>
      </c>
      <c r="I248" s="23" cm="1">
        <f t="array" ref="I248">INDEX(LINEST(B$22:B$35,$A$22:$A$35^{1,2,3}), 1,3)</f>
        <v>-5.4128567344230634</v>
      </c>
      <c r="J248" s="22"/>
      <c r="K248" s="26"/>
      <c r="L248" s="26"/>
      <c r="M248" s="26"/>
      <c r="N248" s="42"/>
      <c r="O248" s="42"/>
    </row>
    <row r="249" spans="1:19" x14ac:dyDescent="0.25">
      <c r="A249" t="s">
        <v>53</v>
      </c>
      <c r="B249" s="23" cm="1">
        <f t="array" ref="B249">INDEX(LINEST(J$22:J$35,$A$22:$A$35^{1,2,3}), 1,2)</f>
        <v>-4.2534474896146628E-4</v>
      </c>
      <c r="C249" s="23" cm="1">
        <f t="array" ref="C249">INDEX(LINEST(K$22:K$35,$A$22:$A$35^{1,2,3}), 1,2)</f>
        <v>-5.00635912942346E-4</v>
      </c>
      <c r="D249" s="23" cm="1">
        <f t="array" ref="D249">INDEX(LINEST(L$22:L$35,$A$22:$A$35^{1,2,3}), 1,2)</f>
        <v>-3.9341817004120825E-4</v>
      </c>
      <c r="E249" s="23" cm="1">
        <f t="array" ref="E249">INDEX(LINEST(M$22:M$35,$A$22:$A$35^{1,2,3}), 1,2)</f>
        <v>-7.0867274821894419E-4</v>
      </c>
      <c r="F249" s="23" cm="1">
        <f t="array" ref="F249">INDEX(LINEST(N$22:N$35,$A$22:$A$35^{1,2,3}), 1,2)</f>
        <v>-5.6585800626033115E-4</v>
      </c>
      <c r="G249" s="23" cm="1">
        <f t="array" ref="G249">INDEX(LINEST(O$22:O$35,$A$22:$A$35^{1,2,3}), 1,2)</f>
        <v>-5.7000595507534666E-4</v>
      </c>
      <c r="H249" s="23" cm="1">
        <f t="array" ref="H249">INDEX(LINEST(P$22:P$35,$A$22:$A$35^{1,2,3}), 1,2)</f>
        <v>-3.4860991621080297E-4</v>
      </c>
      <c r="I249" s="23" cm="1">
        <f t="array" ref="I249">INDEX(LINEST(B$22:B$35,$A$22:$A$35^{1,2,3}), 1,2)</f>
        <v>2.8003753629345482E-3</v>
      </c>
      <c r="J249" s="22"/>
      <c r="K249" s="20"/>
      <c r="L249" s="20"/>
      <c r="M249" s="20"/>
      <c r="N249" s="20"/>
      <c r="O249" s="20"/>
    </row>
    <row r="250" spans="1:19" x14ac:dyDescent="0.25">
      <c r="A250" t="s">
        <v>54</v>
      </c>
      <c r="B250" s="22" cm="1">
        <f t="array" ref="B250">INDEX(LINEST(J$22:J$35,$A$22:$A$35^{1,2,3}), 1)</f>
        <v>-1.1637693669020857E-6</v>
      </c>
      <c r="C250" s="22" cm="1">
        <f t="array" ref="C250">INDEX(LINEST(K$22:K$35,$A$22:$A$35^{1,2,3}), 1)</f>
        <v>-8.3055442789539779E-7</v>
      </c>
      <c r="D250" s="23" cm="1">
        <f t="array" ref="D250">INDEX(LINEST(L$22:L$35,$A$22:$A$35^{1,2,3}), 1)</f>
        <v>-1.0414803310164695E-6</v>
      </c>
      <c r="E250" s="23" cm="1">
        <f t="array" ref="E250">INDEX(LINEST(M$22:M$35,$A$22:$A$35^{1,2,3}), 1)</f>
        <v>-5.2803703294651055E-7</v>
      </c>
      <c r="F250" s="23" cm="1">
        <f t="array" ref="F250">INDEX(LINEST(N$22:N$35,$A$22:$A$35^{1,2,3}), 1)</f>
        <v>-7.7145198242840134E-7</v>
      </c>
      <c r="G250" s="23" cm="1">
        <f t="array" ref="G250">INDEX(LINEST(O$22:O$35,$A$22:$A$35^{1,2,3}), 1)</f>
        <v>-7.1532246116621413E-7</v>
      </c>
      <c r="H250" s="23" cm="1">
        <f t="array" ref="H250">INDEX(LINEST(P$22:P$35,$A$22:$A$35^{1,2,3}), 1)</f>
        <v>-1.0482091355349481E-6</v>
      </c>
      <c r="I250" s="23" cm="1">
        <f t="array" ref="I250">INDEX(LINEST(B$22:B$35,$A$22:$A$35^{1,2,3}), 1)</f>
        <v>1.1074959399241419E-7</v>
      </c>
      <c r="J250" s="22"/>
      <c r="K250" s="19"/>
      <c r="L250" s="19"/>
      <c r="M250" s="19"/>
      <c r="N250" s="19"/>
      <c r="O250" s="19"/>
    </row>
    <row r="251" spans="1:19" x14ac:dyDescent="0.25">
      <c r="A251" t="s">
        <v>55</v>
      </c>
      <c r="B251" s="22"/>
      <c r="C251" s="22"/>
      <c r="D251" s="23"/>
      <c r="E251" s="23"/>
      <c r="F251" s="23"/>
      <c r="G251" s="23"/>
      <c r="H251" s="23"/>
      <c r="I251" s="23"/>
      <c r="J251" s="22"/>
      <c r="K251" s="19"/>
      <c r="L251" s="19"/>
      <c r="M251" s="19"/>
      <c r="N251" s="19"/>
      <c r="O251" s="19"/>
    </row>
    <row r="252" spans="1:19" x14ac:dyDescent="0.25">
      <c r="A252" t="s">
        <v>56</v>
      </c>
      <c r="B252" s="22"/>
      <c r="C252" s="22"/>
      <c r="D252" s="23"/>
      <c r="E252" s="23"/>
      <c r="F252" s="23"/>
      <c r="G252" s="23"/>
      <c r="H252" s="23"/>
      <c r="I252" s="23"/>
      <c r="J252" s="19"/>
      <c r="K252" s="19"/>
      <c r="L252" s="19"/>
      <c r="M252" s="19"/>
      <c r="N252" s="19"/>
      <c r="O252" s="19"/>
    </row>
    <row r="253" spans="1:19" x14ac:dyDescent="0.25">
      <c r="A253" t="s">
        <v>57</v>
      </c>
      <c r="B253" s="22"/>
      <c r="C253" s="22"/>
      <c r="D253" s="23"/>
      <c r="E253" s="23"/>
      <c r="F253" s="23"/>
      <c r="G253" s="23"/>
      <c r="H253" s="23"/>
      <c r="I253" s="23"/>
      <c r="J253" s="19"/>
      <c r="K253" s="19"/>
      <c r="L253" s="19"/>
      <c r="M253" s="19"/>
      <c r="N253" s="19"/>
      <c r="O253" s="19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t="s">
        <v>58</v>
      </c>
    </row>
    <row r="256" spans="1:19" x14ac:dyDescent="0.25">
      <c r="A256" s="21" t="s">
        <v>4</v>
      </c>
      <c r="B256" s="20"/>
      <c r="C256" s="20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3325.3776668602427</v>
      </c>
    </row>
    <row r="258" spans="1:9" x14ac:dyDescent="0.25">
      <c r="A258" s="1">
        <v>25</v>
      </c>
      <c r="B258" s="2" cm="1">
        <f t="array" ref="B258">TrajectoryToComeUp(B$247:B$250,$A258)</f>
        <v>0.64899361107137588</v>
      </c>
      <c r="C258" s="2" cm="1">
        <f t="array" ref="C258">TrajectoryToComeUp(C$247:C$250,$A258)</f>
        <v>0.90781699540429683</v>
      </c>
      <c r="D258" s="25" cm="1">
        <f t="array" ref="D258">TrajectoryToComeUp(D$247:D$250,$A258)</f>
        <v>0.78532359133478569</v>
      </c>
      <c r="E258" s="25" cm="1">
        <f t="array" ref="E258">TrajectoryToComeUp(E$247:E$250,$A258)</f>
        <v>0.50891527963648153</v>
      </c>
      <c r="F258" s="25" cm="1">
        <f t="array" ref="F258">TrajectoryToComeUp(F$247:F$250,$A258)</f>
        <v>-0.35706224361219813</v>
      </c>
      <c r="G258" s="25" cm="1">
        <f t="array" ref="G258">TrajectoryToComeUp(G$247:G$250,$A258)</f>
        <v>-1.3927930171137846</v>
      </c>
      <c r="H258" s="25" cm="1">
        <f t="array" ref="H258">TrajectoryToComeUp(H$247:H$250,$A258)</f>
        <v>-2.4015205752833726</v>
      </c>
      <c r="I258" s="2" cm="1">
        <f t="array" ref="I258">EvaluatePolynomial(I$247:I$250,$A258)</f>
        <v>3191.8082135639065</v>
      </c>
    </row>
    <row r="259" spans="1:9" x14ac:dyDescent="0.25">
      <c r="A259" s="1">
        <v>50</v>
      </c>
      <c r="B259" s="2" cm="1">
        <f t="array" ref="B259">TrajectoryToComeUp(B$247:B$250,$A259)</f>
        <v>-0.18402115911768893</v>
      </c>
      <c r="C259" s="24" cm="1">
        <f t="array" ref="C259">TrajectoryToComeUp(C$247:C$250,$A259)</f>
        <v>0.1492777506305592</v>
      </c>
      <c r="D259" s="25" cm="1">
        <f t="array" ref="D259">TrajectoryToComeUp(D$247:D$250,$A259)</f>
        <v>-3.6110531041894559E-2</v>
      </c>
      <c r="E259" s="25" cm="1">
        <f t="array" ref="E259">TrajectoryToComeUp(E$247:E$250,$A259)</f>
        <v>-0.43215526242853419</v>
      </c>
      <c r="F259" s="25" cm="1">
        <f t="array" ref="F259">TrajectoryToComeUp(F$247:F$250,$A259)</f>
        <v>-1.2471514034398163</v>
      </c>
      <c r="G259" s="25" cm="1">
        <f t="array" ref="G259">TrajectoryToComeUp(G$247:G$250,$A259)</f>
        <v>-2.2485193880226206</v>
      </c>
      <c r="H259" s="25" cm="1">
        <f t="array" ref="H259">TrajectoryToComeUp(H$247:H$250,$A259)</f>
        <v>-3.252123341844241</v>
      </c>
      <c r="I259" s="2" cm="1">
        <f t="array" ref="I259">EvaluatePolynomial(I$247:I$250,$A259)</f>
        <v>3061.7496122456751</v>
      </c>
    </row>
    <row r="260" spans="1:9" x14ac:dyDescent="0.25">
      <c r="A260" s="1">
        <v>75</v>
      </c>
      <c r="B260" s="2" cm="1">
        <f t="array" ref="B260">TrajectoryToComeUp(B$247:B$250,$A260)</f>
        <v>-0.3617077235145808</v>
      </c>
      <c r="C260" s="2" cm="1">
        <f t="array" ref="C260">TrajectoryToComeUp(C$247:C$250,$A260)</f>
        <v>6.3451522708932542E-4</v>
      </c>
      <c r="D260" s="25" cm="1">
        <f t="array" ref="D260">TrajectoryToComeUp(D$247:D$250,$A260)</f>
        <v>-0.21831520188517481</v>
      </c>
      <c r="E260" s="25" cm="1">
        <f t="array" ref="E260">TrajectoryToComeUp(E$247:E$250,$A260)</f>
        <v>-0.61453239259005266</v>
      </c>
      <c r="F260" s="25" cm="1">
        <f t="array" ref="F260">TrajectoryToComeUp(F$247:F$250,$A260)</f>
        <v>-1.4302518227782572</v>
      </c>
      <c r="G260" s="25" cm="1">
        <f t="array" ref="G260">TrajectoryToComeUp(G$247:G$250,$A260)</f>
        <v>-2.4208774576171863</v>
      </c>
      <c r="H260" s="25" cm="1">
        <f t="array" ref="H260">TrajectoryToComeUp(H$247:H$250,$A260)</f>
        <v>-3.4513507162743564</v>
      </c>
      <c r="I260" s="2" cm="1">
        <f t="array" ref="I260">EvaluatePolynomial(I$247:I$250,$A260)</f>
        <v>2935.2122456799852</v>
      </c>
    </row>
    <row r="261" spans="1:9" x14ac:dyDescent="0.25">
      <c r="A261" s="1">
        <v>100</v>
      </c>
      <c r="B261" s="2" cm="1">
        <f t="array" ref="B261">TrajectoryToComeUp(B$247:B$250,$A261)</f>
        <v>-0.36465189864872227</v>
      </c>
      <c r="C261" s="2" cm="1">
        <f t="array" ref="C261">TrajectoryToComeUp(C$247:C$250,$A261)</f>
        <v>1.2251729927705669E-2</v>
      </c>
      <c r="D261" s="25" cm="1">
        <f t="array" ref="D261">TrajectoryToComeUp(D$247:D$250,$A261)</f>
        <v>-0.23094863174182556</v>
      </c>
      <c r="E261" s="25" cm="1">
        <f t="array" ref="E261">TrajectoryToComeUp(E$247:E$250,$A261)</f>
        <v>-0.60228582259182306</v>
      </c>
      <c r="F261" s="25" cm="1">
        <f t="array" ref="F261">TrajectoryToComeUp(F$247:F$250,$A261)</f>
        <v>-1.4293726946591372</v>
      </c>
      <c r="G261" s="25" cm="1">
        <f t="array" ref="G261">TrajectoryToComeUp(G$247:G$250,$A261)</f>
        <v>-2.4156873038097508</v>
      </c>
      <c r="H261" s="25" cm="1">
        <f t="array" ref="H261">TrajectoryToComeUp(H$247:H$250,$A261)</f>
        <v>-3.477907282026143</v>
      </c>
      <c r="I261" s="2" cm="1">
        <f t="array" ref="I261">EvaluatePolynomial(I$247:I$250,$A261)</f>
        <v>2812.206496641274</v>
      </c>
    </row>
    <row r="262" spans="1:9" x14ac:dyDescent="0.25">
      <c r="A262" s="1">
        <v>125</v>
      </c>
      <c r="B262" s="2" cm="1">
        <f t="array" ref="B262">TrajectoryToComeUp(B$247:B$250,$A262)</f>
        <v>-0.28897084782599797</v>
      </c>
      <c r="C262" s="2" cm="1">
        <f t="array" ref="C262">TrajectoryToComeUp(C$247:C$250,$A262)</f>
        <v>9.4202282879171956E-2</v>
      </c>
      <c r="D262" s="25" cm="1">
        <f t="array" ref="D262">TrajectoryToComeUp(D$247:D$250,$A262)</f>
        <v>-0.16794246272120128</v>
      </c>
      <c r="E262" s="25" cm="1">
        <f t="array" ref="E262">TrajectoryToComeUp(E$247:E$250,$A262)</f>
        <v>-0.50822949478259571</v>
      </c>
      <c r="F262" s="25" cm="1">
        <f t="array" ref="F262">TrajectoryToComeUp(F$247:F$250,$A262)</f>
        <v>-1.3491158576887805</v>
      </c>
      <c r="G262" s="25" cm="1">
        <f t="array" ref="G262">TrajectoryToComeUp(G$247:G$250,$A262)</f>
        <v>-2.3341129421827684</v>
      </c>
      <c r="H262" s="25" cm="1">
        <f t="array" ref="H262">TrajectoryToComeUp(H$247:H$250,$A262)</f>
        <v>-3.4275339557900875</v>
      </c>
      <c r="I262" s="2" cm="1">
        <f t="array" ref="I262">EvaluatePolynomial(I$247:I$250,$A262)</f>
        <v>2692.7427479039784</v>
      </c>
    </row>
    <row r="263" spans="1:9" x14ac:dyDescent="0.25">
      <c r="A263" s="1">
        <v>150</v>
      </c>
      <c r="B263" s="2" cm="1">
        <f t="array" ref="B263">TrajectoryToComeUp(B$247:B$250,$A263)</f>
        <v>-0.1667036254817027</v>
      </c>
      <c r="C263" s="2" cm="1">
        <f t="array" ref="C263">TrajectoryToComeUp(C$247:C$250,$A263)</f>
        <v>0.2165104701304095</v>
      </c>
      <c r="D263" s="25" cm="1">
        <f t="array" ref="D263">TrajectoryToComeUp(D$247:D$250,$A263)</f>
        <v>-6.0607242193086268E-2</v>
      </c>
      <c r="E263" s="25" cm="1">
        <f t="array" ref="E263">TrajectoryToComeUp(E$247:E$250,$A263)</f>
        <v>-0.3699680566119537</v>
      </c>
      <c r="F263" s="25" cm="1">
        <f t="array" ref="F263">TrajectoryToComeUp(F$247:F$250,$A263)</f>
        <v>-1.2243485914026273</v>
      </c>
      <c r="G263" s="25" cm="1">
        <f t="array" ref="G263">TrajectoryToComeUp(G$247:G$250,$A263)</f>
        <v>-2.2098757112637237</v>
      </c>
      <c r="H263" s="25" cm="1">
        <f t="array" ref="H263">TrajectoryToComeUp(H$247:H$250,$A263)</f>
        <v>-3.332144376463015</v>
      </c>
      <c r="I263" s="2" cm="1">
        <f t="array" ref="I263">EvaluatePolynomial(I$247:I$250,$A263)</f>
        <v>2576.8313822425348</v>
      </c>
    </row>
    <row r="264" spans="1:9" x14ac:dyDescent="0.25">
      <c r="A264" s="1">
        <v>175</v>
      </c>
      <c r="B264" s="2" cm="1">
        <f t="array" ref="B264">TrajectoryToComeUp(B$247:B$250,$A264)</f>
        <v>-1.1581254945248632E-2</v>
      </c>
      <c r="C264" s="2" cm="1">
        <f t="array" ref="C264">TrajectoryToComeUp(C$247:C$250,$A264)</f>
        <v>0.36632956141667022</v>
      </c>
      <c r="D264" s="25" cm="1">
        <f t="array" ref="D264">TrajectoryToComeUp(D$247:D$250,$A264)</f>
        <v>7.763822382689721E-2</v>
      </c>
      <c r="E264" s="25" cm="1">
        <f t="array" ref="E264">TrajectoryToComeUp(E$247:E$250,$A264)</f>
        <v>-0.20361778555828966</v>
      </c>
      <c r="F264" s="25" cm="1">
        <f t="array" ref="F264">TrajectoryToComeUp(F$247:F$250,$A264)</f>
        <v>-1.0700140156015814</v>
      </c>
      <c r="G264" s="25" cm="1">
        <f t="array" ref="G264">TrajectoryToComeUp(G$247:G$250,$A264)</f>
        <v>-2.0574276132786817</v>
      </c>
      <c r="H264" s="25" cm="1">
        <f t="array" ref="H264">TrajectoryToComeUp(H$247:H$250,$A264)</f>
        <v>-3.2054158178578547</v>
      </c>
      <c r="I264" s="2" cm="1">
        <f t="array" ref="I264">EvaluatePolynomial(I$247:I$250,$A264)</f>
        <v>2464.4827824313802</v>
      </c>
    </row>
    <row r="265" spans="1:9" x14ac:dyDescent="0.25">
      <c r="A265" s="1">
        <v>200</v>
      </c>
      <c r="B265" s="2" cm="1">
        <f t="array" ref="B265">TrajectoryToComeUp(B$247:B$250,$A265)</f>
        <v>0.16953075211865826</v>
      </c>
      <c r="C265" s="2" cm="1">
        <f t="array" ref="C265">TrajectoryToComeUp(C$247:C$250,$A265)</f>
        <v>0.53723619160558034</v>
      </c>
      <c r="D265" s="25" cm="1">
        <f t="array" ref="D265">TrajectoryToComeUp(D$247:D$250,$A265)</f>
        <v>0.24008453233093829</v>
      </c>
      <c r="E265" s="25" cm="1">
        <f t="array" ref="E265">TrajectoryToComeUp(E$247:E$250,$A265)</f>
        <v>-1.7236820360800393E-2</v>
      </c>
      <c r="F265" s="25" cm="1">
        <f t="array" ref="F265">TrajectoryToComeUp(F$247:F$250,$A265)</f>
        <v>-0.89358369018609407</v>
      </c>
      <c r="G265" s="25" cm="1">
        <f t="array" ref="G265">TrajectoryToComeUp(G$247:G$250,$A265)</f>
        <v>-1.8839946493406745</v>
      </c>
      <c r="H265" s="25" cm="1">
        <f t="array" ref="H265">TrajectoryToComeUp(H$247:H$250,$A265)</f>
        <v>-3.0541869168810685</v>
      </c>
      <c r="I265" s="2" cm="1">
        <f t="array" ref="I265">EvaluatePolynomial(I$247:I$250,$A265)</f>
        <v>2355.7073312449511</v>
      </c>
    </row>
    <row r="266" spans="1:9" x14ac:dyDescent="0.25">
      <c r="A266" s="1">
        <v>225</v>
      </c>
      <c r="B266" s="2" cm="1">
        <f t="array" ref="B266">TrajectoryToComeUp(B$247:B$250,$A266)</f>
        <v>0.37281822256295899</v>
      </c>
      <c r="C266" s="2" cm="1">
        <f t="array" ref="C266">TrajectoryToComeUp(C$247:C$250,$A266)</f>
        <v>0.72566182451248717</v>
      </c>
      <c r="D266" s="25" cm="1">
        <f t="array" ref="D266">TrajectoryToComeUp(D$247:D$250,$A266)</f>
        <v>0.42300423720358632</v>
      </c>
      <c r="E266" s="25" cm="1">
        <f t="array" ref="E266">TrajectoryToComeUp(E$247:E$250,$A266)</f>
        <v>0.18469809523651629</v>
      </c>
      <c r="F266" s="25" cm="1">
        <f t="array" ref="F266">TrajectoryToComeUp(F$247:F$250,$A266)</f>
        <v>-0.69920848176752814</v>
      </c>
      <c r="G266" s="25" cm="1">
        <f t="array" ref="G266">TrajectoryToComeUp(G$247:G$250,$A266)</f>
        <v>-1.693591264512498</v>
      </c>
      <c r="H266" s="25" cm="1">
        <f t="array" ref="H266">TrajectoryToComeUp(H$247:H$250,$A266)</f>
        <v>-2.8822569162584695</v>
      </c>
      <c r="I266" s="2" cm="1">
        <f t="array" ref="I266">EvaluatePolynomial(I$247:I$250,$A266)</f>
        <v>2250.5154114576849</v>
      </c>
    </row>
    <row r="267" spans="1:9" x14ac:dyDescent="0.25">
      <c r="A267" s="1">
        <v>250</v>
      </c>
      <c r="B267" s="2" cm="1">
        <f t="array" ref="B267">TrajectoryToComeUp(B$247:B$250,$A267)</f>
        <v>0.59599265249941835</v>
      </c>
      <c r="C267" s="2" cm="1">
        <f t="array" ref="C267">TrajectoryToComeUp(C$247:C$250,$A267)</f>
        <v>0.92946533842659962</v>
      </c>
      <c r="D267" s="25" cm="1">
        <f t="array" ref="D267">TrajectoryToComeUp(D$247:D$250,$A267)</f>
        <v>0.62416087077557103</v>
      </c>
      <c r="E267" s="25" cm="1">
        <f t="array" ref="E267">TrajectoryToComeUp(E$247:E$250,$A267)</f>
        <v>0.39950091498726154</v>
      </c>
      <c r="F267" s="25" cm="1">
        <f t="array" ref="F267">TrajectoryToComeUp(F$247:F$250,$A267)</f>
        <v>-0.48937891031269987</v>
      </c>
      <c r="G267" s="25" cm="1">
        <f t="array" ref="G267">TrajectoryToComeUp(G$247:G$250,$A267)</f>
        <v>-1.4886261258318298</v>
      </c>
      <c r="H267" s="25" cm="1">
        <f t="array" ref="H267">TrajectoryToComeUp(H$247:H$250,$A267)</f>
        <v>-2.6919053616255462</v>
      </c>
      <c r="I267" s="2" cm="1">
        <f t="array" ref="I267">EvaluatePolynomial(I$247:I$250,$A267)</f>
        <v>2148.9174058440176</v>
      </c>
    </row>
    <row r="268" spans="1:9" x14ac:dyDescent="0.25">
      <c r="A268" s="1">
        <v>275</v>
      </c>
      <c r="B268" s="2" cm="1">
        <f t="array" ref="B268">TrajectoryToComeUp(B$247:B$250,$A268)</f>
        <v>0.83759772127188636</v>
      </c>
      <c r="C268" s="2" cm="1">
        <f t="array" ref="C268">TrajectoryToComeUp(C$247:C$250,$A268)</f>
        <v>1.1472842013501414</v>
      </c>
      <c r="D268" s="25" cm="1">
        <f t="array" ref="D268">TrajectoryToComeUp(D$247:D$250,$A268)</f>
        <v>0.84213122634826576</v>
      </c>
      <c r="E268" s="25" cm="1">
        <f t="array" ref="E268">TrajectoryToComeUp(E$247:E$250,$A268)</f>
        <v>0.62546233673463636</v>
      </c>
      <c r="F268" s="25" cm="1">
        <f t="array" ref="F268">TrajectoryToComeUp(F$247:F$250,$A268)</f>
        <v>-0.26567985216413015</v>
      </c>
      <c r="G268" s="25" cm="1">
        <f t="array" ref="G268">TrajectoryToComeUp(G$247:G$250,$A268)</f>
        <v>-1.2706320214135558</v>
      </c>
      <c r="H268" s="25" cm="1">
        <f t="array" ref="H268">TrajectoryToComeUp(H$247:H$250,$A268)</f>
        <v>-2.4845828729321533</v>
      </c>
      <c r="I268" s="2" cm="1">
        <f t="array" ref="I268">EvaluatePolynomial(I$247:I$250,$A268)</f>
        <v>2050.9236971783866</v>
      </c>
    </row>
    <row r="269" spans="1:9" x14ac:dyDescent="0.25">
      <c r="A269" s="1">
        <v>300</v>
      </c>
      <c r="B269" s="2" cm="1">
        <f t="array" ref="B269">TrajectoryToComeUp(B$247:B$250,$A269)</f>
        <v>1.09666254844293</v>
      </c>
      <c r="C269" s="2" cm="1">
        <f t="array" ref="C269">TrajectoryToComeUp(C$247:C$250,$A269)</f>
        <v>1.378210058617928</v>
      </c>
      <c r="D269" s="25" cm="1">
        <f t="array" ref="D269">TrajectoryToComeUp(D$247:D$250,$A269)</f>
        <v>1.0759664994559195</v>
      </c>
      <c r="E269" s="25" cm="1">
        <f t="array" ref="E269">TrajectoryToComeUp(E$247:E$250,$A269)</f>
        <v>0.8614428257074408</v>
      </c>
      <c r="F269" s="25" cm="1">
        <f t="array" ref="F269">TrajectoryToComeUp(F$247:F$250,$A269)</f>
        <v>-2.9167891550164967E-2</v>
      </c>
      <c r="G269" s="25" cm="1">
        <f t="array" ref="G269">TrajectoryToComeUp(G$247:G$250,$A269)</f>
        <v>-1.0406308100009325</v>
      </c>
      <c r="H269" s="25" cm="1">
        <f t="array" ref="H269">TrajectoryToComeUp(H$247:H$250,$A269)</f>
        <v>-2.2612565301448626</v>
      </c>
      <c r="I269" s="2" cm="1">
        <f t="array" ref="I269">EvaluatePolynomial(I$247:I$250,$A269)</f>
        <v>1956.5446682352283</v>
      </c>
    </row>
    <row r="270" spans="1:9" x14ac:dyDescent="0.25">
      <c r="A270" s="1">
        <v>325</v>
      </c>
      <c r="B270" s="2" cm="1">
        <f t="array" ref="B270">TrajectoryToComeUp(B$247:B$250,$A270)</f>
        <v>1.3725149860174033</v>
      </c>
      <c r="C270" s="2" cm="1">
        <f t="array" ref="C270">TrajectoryToComeUp(C$247:C$250,$A270)</f>
        <v>1.6216140493079096</v>
      </c>
      <c r="D270" s="25" cm="1">
        <f t="array" ref="D270">TrajectoryToComeUp(D$247:D$250,$A270)</f>
        <v>1.3250098254683969</v>
      </c>
      <c r="E270" s="25" cm="1">
        <f t="array" ref="E270">TrajectoryToComeUp(E$247:E$250,$A270)</f>
        <v>1.1066534732179216</v>
      </c>
      <c r="F270" s="25" cm="1">
        <f t="array" ref="F270">TrajectoryToComeUp(F$247:F$250,$A270)</f>
        <v>0.21942549014033957</v>
      </c>
      <c r="G270" s="25" cm="1">
        <f t="array" ref="G270">TrajectoryToComeUp(G$247:G$250,$A270)</f>
        <v>-0.79932993226236893</v>
      </c>
      <c r="H270" s="25" cm="1">
        <f t="array" ref="H270">TrajectoryToComeUp(H$247:H$250,$A270)</f>
        <v>-2.0225958501636057</v>
      </c>
      <c r="I270" s="2" cm="1">
        <f t="array" ref="I270">EvaluatePolynomial(I$247:I$250,$A270)</f>
        <v>1865.7907017889797</v>
      </c>
    </row>
    <row r="271" spans="1:9" x14ac:dyDescent="0.25">
      <c r="A271" s="1">
        <v>350</v>
      </c>
      <c r="B271" s="2" cm="1">
        <f t="array" ref="B271">TrajectoryToComeUp(B$247:B$250,$A271)</f>
        <v>1.6646749282844877</v>
      </c>
      <c r="C271" s="2" cm="1">
        <f t="array" ref="C271">TrajectoryToComeUp(C$247:C$250,$A271)</f>
        <v>1.8770469870471922</v>
      </c>
      <c r="D271" s="25" cm="1">
        <f t="array" ref="D271">TrajectoryToComeUp(D$247:D$250,$A271)</f>
        <v>1.588792015364173</v>
      </c>
      <c r="E271" s="25" cm="1">
        <f t="array" ref="E271">TrajectoryToComeUp(E$247:E$250,$A271)</f>
        <v>1.3605307730605407</v>
      </c>
      <c r="F271" s="25" cm="1">
        <f t="array" ref="F271">TrajectoryToComeUp(F$247:F$250,$A271)</f>
        <v>0.47957780620105878</v>
      </c>
      <c r="G271" s="25" cm="1">
        <f t="array" ref="G271">TrajectoryToComeUp(G$247:G$250,$A271)</f>
        <v>-0.54723470296101451</v>
      </c>
      <c r="H271" s="25" cm="1">
        <f t="array" ref="H271">TrajectoryToComeUp(H$247:H$250,$A271)</f>
        <v>-1.7690790593454799</v>
      </c>
      <c r="I271" s="2" cm="1">
        <f t="array" ref="I271">EvaluatePolynomial(I$247:I$250,$A271)</f>
        <v>1778.6721806140774</v>
      </c>
    </row>
    <row r="272" spans="1:9" x14ac:dyDescent="0.25">
      <c r="A272" s="1">
        <v>375</v>
      </c>
      <c r="B272" s="2" cm="1">
        <f t="array" ref="B272">TrajectoryToComeUp(B$247:B$250,$A272)</f>
        <v>1.9727902977229164</v>
      </c>
      <c r="C272" s="2" cm="1">
        <f t="array" ref="C272">TrajectoryToComeUp(C$247:C$250,$A272)</f>
        <v>2.1441794684956546</v>
      </c>
      <c r="D272" s="25" cm="1">
        <f t="array" ref="D272">TrajectoryToComeUp(D$247:D$250,$A272)</f>
        <v>1.8669689971941288</v>
      </c>
      <c r="E272" s="25" cm="1">
        <f t="array" ref="E272">TrajectoryToComeUp(E$247:E$250,$A272)</f>
        <v>1.6226614873512366</v>
      </c>
      <c r="F272" s="25" cm="1">
        <f t="array" ref="F272">TrajectoryToComeUp(F$247:F$250,$A272)</f>
        <v>0.75090589971402022</v>
      </c>
      <c r="G272" s="25" cm="1">
        <f t="array" ref="G272">TrajectoryToComeUp(G$247:G$250,$A272)</f>
        <v>-0.28471568625651139</v>
      </c>
      <c r="H272" s="25" cm="1">
        <f t="array" ref="H272">TrajectoryToComeUp(H$247:H$250,$A272)</f>
        <v>-1.501056857019021</v>
      </c>
      <c r="I272" s="2" cm="1">
        <f t="array" ref="I272">EvaluatePolynomial(I$247:I$250,$A272)</f>
        <v>1695.1994874849586</v>
      </c>
    </row>
    <row r="273" spans="1:9" x14ac:dyDescent="0.25">
      <c r="A273" s="1">
        <v>400</v>
      </c>
      <c r="B273" s="2" cm="1">
        <f t="array" ref="B273">TrajectoryToComeUp(B$247:B$250,$A273)</f>
        <v>2.2965970361917383</v>
      </c>
      <c r="C273" s="2" cm="1">
        <f t="array" ref="C273">TrajectoryToComeUp(C$247:C$250,$A273)</f>
        <v>2.4227644411482037</v>
      </c>
      <c r="D273" s="25" cm="1">
        <f t="array" ref="D273">TrajectoryToComeUp(D$247:D$250,$A273)</f>
        <v>2.1592827169964259</v>
      </c>
      <c r="E273" s="25" cm="1">
        <f t="array" ref="E273">TrajectoryToComeUp(E$247:E$250,$A273)</f>
        <v>1.8927356876769632</v>
      </c>
      <c r="F273" s="25" cm="1">
        <f t="array" ref="F273">TrajectoryToComeUp(F$247:F$250,$A273)</f>
        <v>1.0331224029907458</v>
      </c>
      <c r="G273" s="25" cm="1">
        <f t="array" ref="G273">TrajectoryToComeUp(G$247:G$250,$A273)</f>
        <v>-1.2050805268591872E-2</v>
      </c>
      <c r="H273" s="25" cm="1">
        <f t="array" ref="H273">TrajectoryToComeUp(H$247:H$250,$A273)</f>
        <v>-1.2187922676806309</v>
      </c>
      <c r="I273" s="2" cm="1">
        <f t="array" ref="I273">EvaluatePolynomial(I$247:I$250,$A273)</f>
        <v>1615.3830051760597</v>
      </c>
    </row>
    <row r="274" spans="1:9" x14ac:dyDescent="0.25">
      <c r="A274" s="1">
        <v>425</v>
      </c>
      <c r="B274" s="2" cm="1">
        <f t="array" ref="B274">TrajectoryToComeUp(B$247:B$250,$A274)</f>
        <v>2.6358932168772857</v>
      </c>
      <c r="C274" s="2" cm="1">
        <f t="array" ref="C274">TrajectoryToComeUp(C$247:C$250,$A274)</f>
        <v>2.7126129825009491</v>
      </c>
      <c r="D274" s="25" cm="1">
        <f t="array" ref="D274">TrajectoryToComeUp(D$247:D$250,$A274)</f>
        <v>2.4655358393884805</v>
      </c>
      <c r="E274" s="25" cm="1">
        <f t="array" ref="E274">TrajectoryToComeUp(E$247:E$250,$A274)</f>
        <v>2.1705163699571561</v>
      </c>
      <c r="F274" s="25" cm="1">
        <f t="array" ref="F274">TrajectoryToComeUp(F$247:F$250,$A274)</f>
        <v>1.3260075642694567</v>
      </c>
      <c r="G274" s="25" cm="1">
        <f t="array" ref="G274">TrajectoryToComeUp(G$247:G$250,$A274)</f>
        <v>0.27054741055824311</v>
      </c>
      <c r="H274" s="25" cm="1">
        <f t="array" ref="H274">TrajectoryToComeUp(H$247:H$250,$A274)</f>
        <v>-0.92248642770991207</v>
      </c>
      <c r="I274" s="2" cm="1">
        <f t="array" ref="I274">EvaluatePolynomial(I$247:I$250,$A274)</f>
        <v>1539.2331164618174</v>
      </c>
    </row>
    <row r="275" spans="1:9" x14ac:dyDescent="0.25">
      <c r="A275" s="1">
        <v>450</v>
      </c>
      <c r="B275" s="2" cm="1">
        <f t="array" ref="B275">TrajectoryToComeUp(B$247:B$250,$A275)</f>
        <v>2.990521785591151</v>
      </c>
      <c r="C275" s="2" cm="1">
        <f t="array" ref="C275">TrajectoryToComeUp(C$247:C$250,$A275)</f>
        <v>3.0135781528286385</v>
      </c>
      <c r="D275" s="25" cm="1">
        <f t="array" ref="D275">TrajectoryToComeUp(D$247:D$250,$A275)</f>
        <v>2.7855748812949521</v>
      </c>
      <c r="E275" s="25" cm="1">
        <f t="array" ref="E275">TrajectoryToComeUp(E$247:E$250,$A275)</f>
        <v>2.455819197684709</v>
      </c>
      <c r="F275" s="25" cm="1">
        <f t="array" ref="F275">TrajectoryToComeUp(F$247:F$250,$A275)</f>
        <v>1.6293904655132143</v>
      </c>
      <c r="G275" s="25" cm="1">
        <f t="array" ref="G275">TrajectoryToComeUp(G$247:G$250,$A275)</f>
        <v>0.5629136605449373</v>
      </c>
      <c r="H275" s="25" cm="1">
        <f t="array" ref="H275">TrajectoryToComeUp(H$247:H$250,$A275)</f>
        <v>-0.61229577651322176</v>
      </c>
      <c r="I275" s="2" cm="1">
        <f t="array" ref="I275">EvaluatePolynomial(I$247:I$250,$A275)</f>
        <v>1466.760204116669</v>
      </c>
    </row>
    <row r="276" spans="1:9" x14ac:dyDescent="0.25">
      <c r="A276" s="1">
        <v>475</v>
      </c>
      <c r="B276" s="2" cm="1">
        <f t="array" ref="B276">TrajectoryToComeUp(B$247:B$250,$A276)</f>
        <v>3.3603587521845912</v>
      </c>
      <c r="C276" s="2" cm="1">
        <f t="array" ref="C276">TrajectoryToComeUp(C$247:C$250,$A276)</f>
        <v>3.3255439470850217</v>
      </c>
      <c r="D276" s="25" cm="1">
        <f t="array" ref="D276">TrajectoryToComeUp(D$247:D$250,$A276)</f>
        <v>3.1192786718668857</v>
      </c>
      <c r="E276" s="25" cm="1">
        <f t="array" ref="E276">TrajectoryToComeUp(E$247:E$250,$A276)</f>
        <v>2.7484986420382231</v>
      </c>
      <c r="F276" s="25" cm="1">
        <f t="array" ref="F276">TrajectoryToComeUp(F$247:F$250,$A276)</f>
        <v>1.9431361714297004</v>
      </c>
      <c r="G276" s="25" cm="1">
        <f t="array" ref="G276">TrajectoryToComeUp(G$247:G$250,$A276)</f>
        <v>0.86491744415539362</v>
      </c>
      <c r="H276" s="25" cm="1">
        <f t="array" ref="H276">TrajectoryToComeUp(H$247:H$250,$A276)</f>
        <v>-0.28834381888505201</v>
      </c>
      <c r="I276" s="2" cm="1">
        <f t="array" ref="I276">EvaluatePolynomial(I$247:I$250,$A276)</f>
        <v>1397.9746509150509</v>
      </c>
    </row>
    <row r="277" spans="1:9" x14ac:dyDescent="0.25">
      <c r="A277" s="10">
        <v>500</v>
      </c>
      <c r="B277" s="2" cm="1">
        <f t="array" ref="B277">TrajectoryToComeUp(B$247:B$250,$A277)</f>
        <v>3.7453049245386101</v>
      </c>
      <c r="C277" s="2" cm="1">
        <f t="array" ref="C277">TrajectoryToComeUp(C$247:C$250,$A277)</f>
        <v>3.6484175612330993</v>
      </c>
      <c r="D277" s="25" cm="1">
        <f t="array" ref="D277">TrajectoryToComeUp(D$247:D$250,$A277)</f>
        <v>3.4665502744251175</v>
      </c>
      <c r="E277" s="25" cm="1">
        <f t="array" ref="E277">TrajectoryToComeUp(E$247:E$250,$A277)</f>
        <v>3.0484382799605796</v>
      </c>
      <c r="F277" s="25" cm="1">
        <f t="array" ref="F277">TrajectoryToComeUp(F$247:F$250,$A277)</f>
        <v>2.267136733785057</v>
      </c>
      <c r="G277" s="25" cm="1">
        <f t="array" ref="G277">TrajectoryToComeUp(G$247:G$250,$A277)</f>
        <v>1.1764543609607343</v>
      </c>
      <c r="H277" s="25" cm="1">
        <f t="array" ref="H277">TrajectoryToComeUp(H$247:H$250,$A277)</f>
        <v>4.9270641339003628E-2</v>
      </c>
      <c r="I277" s="2" cm="1">
        <f t="array" ref="I277">EvaluatePolynomial(I$247:I$250,$A277)</f>
        <v>1332.8868396313999</v>
      </c>
    </row>
    <row r="278" spans="1:9" x14ac:dyDescent="0.25">
      <c r="A278" s="1">
        <v>525</v>
      </c>
      <c r="B278" s="40" cm="1">
        <f t="array" ref="B278">TrajectoryToComeUp(B$247:B$250,$A278)</f>
        <v>4.1452800042711653</v>
      </c>
      <c r="C278" s="40" cm="1">
        <f t="array" ref="C278">TrajectoryToComeUp(C$247:C$250,$A278)</f>
        <v>3.9821238681952984</v>
      </c>
      <c r="D278" s="40" cm="1">
        <f t="array" ref="D278">TrajectoryToComeUp(D$247:D$250,$A278)</f>
        <v>3.8273112164198499</v>
      </c>
      <c r="E278" s="40" cm="1">
        <f t="array" ref="E278">TrajectoryToComeUp(E$247:E$250,$A278)</f>
        <v>3.3555438642150603</v>
      </c>
      <c r="F278" s="40" cm="1">
        <f t="array" ref="F278">TrajectoryToComeUp(F$247:F$250,$A278)</f>
        <v>2.6013047659137838</v>
      </c>
      <c r="G278" s="40" cm="1">
        <f t="array" ref="G278">TrajectoryToComeUp(G$247:G$250,$A278)</f>
        <v>1.4974398963280584</v>
      </c>
      <c r="H278" s="40" cm="1">
        <f t="array" ref="H278">TrajectoryToComeUp(H$247:H$250,$A278)</f>
        <v>0.40046762010155934</v>
      </c>
      <c r="I278" s="2" cm="1">
        <f t="array" ref="I278">EvaluatePolynomial(I$247:I$250,$A278)</f>
        <v>1271.5071530401528</v>
      </c>
    </row>
    <row r="279" spans="1:9" x14ac:dyDescent="0.25">
      <c r="A279" s="1">
        <v>550</v>
      </c>
      <c r="B279" s="40" cm="1">
        <f t="array" ref="B279">TrajectoryToComeUp(B$247:B$250,$A279)</f>
        <v>4.5602182927060397</v>
      </c>
      <c r="C279" s="40" cm="1">
        <f t="array" ref="C279">TrajectoryToComeUp(C$247:C$250,$A279)</f>
        <v>4.3266014003626978</v>
      </c>
      <c r="D279" s="40" cm="1">
        <f t="array" ref="D279">TrajectoryToComeUp(D$247:D$250,$A279)</f>
        <v>4.2014972930376091</v>
      </c>
      <c r="E279" s="40" cm="1">
        <f t="array" ref="E279">TrajectoryToComeUp(E$247:E$250,$A279)</f>
        <v>3.6697382834261738</v>
      </c>
      <c r="F279" s="40" cm="1">
        <f t="array" ref="F279">TrajectoryToComeUp(F$247:F$250,$A279)</f>
        <v>2.9455687696350132</v>
      </c>
      <c r="G279" s="40" cm="1">
        <f t="array" ref="G279">TrajectoryToComeUp(G$247:G$250,$A279)</f>
        <v>1.827804901921356</v>
      </c>
      <c r="H279" s="40" cm="1">
        <f t="array" ref="H279">TrajectoryToComeUp(H$247:H$250,$A279)</f>
        <v>0.76518167590111796</v>
      </c>
      <c r="I279" s="2" cm="1">
        <f t="array" ref="I279">EvaluatePolynomial(I$247:I$250,$A279)</f>
        <v>1213.8459739157465</v>
      </c>
    </row>
    <row r="280" spans="1:9" x14ac:dyDescent="0.25">
      <c r="A280" s="1">
        <v>575</v>
      </c>
      <c r="B280" s="40" cm="1">
        <f t="array" ref="B280">TrajectoryToComeUp(B$247:B$250,$A280)</f>
        <v>4.9900655170237487</v>
      </c>
      <c r="C280" s="40" cm="1">
        <f t="array" ref="C280">TrajectoryToComeUp(C$247:C$250,$A280)</f>
        <v>4.6817993801453186</v>
      </c>
      <c r="D280" s="40" cm="1">
        <f t="array" ref="D280">TrajectoryToComeUp(D$247:D$250,$A280)</f>
        <v>4.58905546551944</v>
      </c>
      <c r="E280" s="40" cm="1">
        <f t="array" ref="E280">TrajectoryToComeUp(E$247:E$250,$A280)</f>
        <v>3.9909578368924228</v>
      </c>
      <c r="F280" s="40" cm="1">
        <f t="array" ref="F280">TrajectoryToComeUp(F$247:F$250,$A280)</f>
        <v>3.2998696812341177</v>
      </c>
      <c r="G280" s="40" cm="1">
        <f t="array" ref="G280">TrajectoryToComeUp(G$247:G$250,$A280)</f>
        <v>2.167492255202184</v>
      </c>
      <c r="H280" s="40" cm="1">
        <f t="array" ref="H280">TrajectoryToComeUp(H$247:H$250,$A280)</f>
        <v>1.143358748366877</v>
      </c>
      <c r="I280" s="2" cm="1">
        <f t="array" ref="I280">EvaluatePolynomial(I$247:I$250,$A280)</f>
        <v>1159.9136850326176</v>
      </c>
    </row>
    <row r="281" spans="1:9" x14ac:dyDescent="0.25">
      <c r="A281" s="1">
        <v>600</v>
      </c>
      <c r="B281" s="40" cm="1">
        <f t="array" ref="B281">TrajectoryToComeUp(B$247:B$250,$A281)</f>
        <v>5.4347764498747235</v>
      </c>
      <c r="C281" s="40" cm="1">
        <f t="array" ref="C281">TrajectoryToComeUp(C$247:C$250,$A281)</f>
        <v>5.0476754928848431</v>
      </c>
      <c r="D281" s="40" cm="1">
        <f t="array" ref="D281">TrajectoryToComeUp(D$247:D$250,$A281)</f>
        <v>4.9899415348995495</v>
      </c>
      <c r="E281" s="40" cm="1">
        <f t="array" ref="E281">TrajectoryToComeUp(E$247:E$250,$A281)</f>
        <v>4.3191494406958935</v>
      </c>
      <c r="F281" s="40" cm="1">
        <f t="array" ref="F281">TrajectoryToComeUp(F$247:F$250,$A281)</f>
        <v>3.6641582809489091</v>
      </c>
      <c r="G281" s="40" cm="1">
        <f t="array" ref="G281">TrajectoryToComeUp(G$247:G$250,$A281)</f>
        <v>2.516454354055174</v>
      </c>
      <c r="H281" s="40" cm="1">
        <f t="array" ref="H281">TrajectoryToComeUp(H$247:H$250,$A281)</f>
        <v>1.5349537871898362</v>
      </c>
      <c r="I281" s="2" cm="1">
        <f t="array" ref="I281">EvaluatePolynomial(I$247:I$250,$A281)</f>
        <v>1109.7206691652034</v>
      </c>
    </row>
    <row r="282" spans="1:9" x14ac:dyDescent="0.25">
      <c r="A282" s="1">
        <v>625</v>
      </c>
      <c r="B282" s="40" cm="1">
        <f t="array" ref="B282">TrajectoryToComeUp(B$247:B$250,$A282)</f>
        <v>5.8943131002853244</v>
      </c>
      <c r="C282" s="40" cm="1">
        <f t="array" ref="C282">TrajectoryToComeUp(C$247:C$250,$A282)</f>
        <v>5.4241941942682885</v>
      </c>
      <c r="D282" s="40" cm="1">
        <f t="array" ref="D282">TrajectoryToComeUp(D$247:D$250,$A282)</f>
        <v>5.4041183740466661</v>
      </c>
      <c r="E282" s="40" cm="1">
        <f t="array" ref="E282">TrajectoryToComeUp(E$247:E$250,$A282)</f>
        <v>4.6542685043455405</v>
      </c>
      <c r="F282" s="40" cm="1">
        <f t="array" ref="F282">TrajectoryToComeUp(F$247:F$250,$A282)</f>
        <v>4.0383932241791456</v>
      </c>
      <c r="G282" s="40" cm="1">
        <f t="array" ref="G282">TrajectoryToComeUp(G$247:G$250,$A282)</f>
        <v>2.8746512127034149</v>
      </c>
      <c r="H282" s="40" cm="1">
        <f t="array" ref="H282">TrajectoryToComeUp(H$247:H$250,$A282)</f>
        <v>1.9399289501104313</v>
      </c>
      <c r="I282" s="2" cm="1">
        <f t="array" ref="I282">EvaluatePolynomial(I$247:I$250,$A282)</f>
        <v>1063.2773090879402</v>
      </c>
    </row>
    <row r="283" spans="1:9" x14ac:dyDescent="0.25">
      <c r="A283" s="1">
        <v>650</v>
      </c>
      <c r="B283" s="40" cm="1">
        <f t="array" ref="B283">TrajectoryToComeUp(B$247:B$250,$A283)</f>
        <v>6.3686433220470873</v>
      </c>
      <c r="C283" s="40" cm="1">
        <f t="array" ref="C283">TrajectoryToComeUp(C$247:C$250,$A283)</f>
        <v>5.8113254083385106</v>
      </c>
      <c r="D283" s="40" cm="1">
        <f t="array" ref="D283">TrajectoryToComeUp(D$247:D$250,$A283)</f>
        <v>5.831554567695874</v>
      </c>
      <c r="E283" s="40" cm="1">
        <f t="array" ref="E283">TrajectoryToComeUp(E$247:E$250,$A283)</f>
        <v>4.9962772974258618</v>
      </c>
      <c r="F283" s="40" cm="1">
        <f t="array" ref="F283">TrajectoryToComeUp(F$247:F$250,$A283)</f>
        <v>4.4225395270323187</v>
      </c>
      <c r="G283" s="40" cm="1">
        <f t="array" ref="G283">TrajectoryToComeUp(G$247:G$250,$A283)</f>
        <v>3.2420489970279851</v>
      </c>
      <c r="H283" s="40" cm="1">
        <f t="array" ref="H283">TrajectoryToComeUp(H$247:H$250,$A283)</f>
        <v>2.3582522167551905</v>
      </c>
      <c r="I283" s="2" cm="1">
        <f t="array" ref="I283">EvaluatePolynomial(I$247:I$250,$A283)</f>
        <v>1020.5939875752649</v>
      </c>
    </row>
    <row r="284" spans="1:9" x14ac:dyDescent="0.25">
      <c r="A284" s="1">
        <v>675</v>
      </c>
      <c r="B284" s="40" cm="1">
        <f t="array" ref="B284">TrajectoryToComeUp(B$247:B$250,$A284)</f>
        <v>6.8577397313528046</v>
      </c>
      <c r="C284" s="40" cm="1">
        <f t="array" ref="C284">TrajectoryToComeUp(C$247:C$250,$A284)</f>
        <v>6.2090435148357228</v>
      </c>
      <c r="D284" s="40" cm="1">
        <f t="array" ref="D284">TrajectoryToComeUp(D$247:D$250,$A284)</f>
        <v>6.2722233546955701</v>
      </c>
      <c r="E284" s="40" cm="1">
        <f t="array" ref="E284">TrajectoryToComeUp(E$247:E$250,$A284)</f>
        <v>5.3451436792125397</v>
      </c>
      <c r="F284" s="40" cm="1">
        <f t="array" ref="F284">TrajectoryToComeUp(F$247:F$250,$A284)</f>
        <v>4.8165673884148053</v>
      </c>
      <c r="G284" s="40" cm="1">
        <f t="array" ref="G284">TrajectoryToComeUp(G$247:G$250,$A284)</f>
        <v>3.6186188853720194</v>
      </c>
      <c r="H284" s="40" cm="1">
        <f t="array" ref="H284">TrajectoryToComeUp(H$247:H$250,$A284)</f>
        <v>2.7898963105096688</v>
      </c>
      <c r="I284" s="40" cm="1">
        <f t="array" ref="I284">EvaluatePolynomial(I$247:I$250,$A284)</f>
        <v>981.68108740161438</v>
      </c>
    </row>
    <row r="285" spans="1:9" x14ac:dyDescent="0.25">
      <c r="A285" s="1">
        <v>700</v>
      </c>
      <c r="B285" s="40" cm="1">
        <f t="array" ref="B285">TrajectoryToComeUp(B$247:B$250,$A285)</f>
        <v>7.361578856367724</v>
      </c>
      <c r="C285" s="40" cm="1">
        <f t="array" ref="C285">TrajectoryToComeUp(C$247:C$250,$A285)</f>
        <v>6.617326553537251</v>
      </c>
      <c r="D285" s="40" cm="1">
        <f t="array" ref="D285">TrajectoryToComeUp(D$247:D$250,$A285)</f>
        <v>6.7261017969158168</v>
      </c>
      <c r="E285" s="40" cm="1">
        <f t="array" ref="E285">TrajectoryToComeUp(E$247:E$250,$A285)</f>
        <v>5.7008401005133074</v>
      </c>
      <c r="F285" s="40" cm="1">
        <f t="array" ref="F285">TrajectoryToComeUp(F$247:F$250,$A285)</f>
        <v>5.220451264532076</v>
      </c>
      <c r="G285" s="40" cm="1">
        <f t="array" ref="G285">TrajectoryToComeUp(G$247:G$250,$A285)</f>
        <v>4.0043361734582108</v>
      </c>
      <c r="H285" s="40" cm="1">
        <f t="array" ref="H285">TrajectoryToComeUp(H$247:H$250,$A285)</f>
        <v>3.2348378514186318</v>
      </c>
      <c r="I285" s="40" cm="1">
        <f t="array" ref="I285">EvaluatePolynomial(I$247:I$250,$A285)</f>
        <v>946.54899134142499</v>
      </c>
    </row>
    <row r="286" spans="1:9" x14ac:dyDescent="0.25">
      <c r="A286" s="1">
        <v>725</v>
      </c>
      <c r="B286" s="40" cm="1">
        <f t="array" ref="B286">TrajectoryToComeUp(B$247:B$250,$A286)</f>
        <v>7.880140462751541</v>
      </c>
      <c r="C286" s="40" cm="1">
        <f t="array" ref="C286">TrajectoryToComeUp(C$247:C$250,$A286)</f>
        <v>7.03615559321665</v>
      </c>
      <c r="D286" s="40" cm="1">
        <f t="array" ref="D286">TrajectoryToComeUp(D$247:D$250,$A286)</f>
        <v>7.1931701201066636</v>
      </c>
      <c r="E286" s="40" cm="1">
        <f t="array" ref="E286">TrajectoryToComeUp(E$247:E$250,$A286)</f>
        <v>6.0633428120244792</v>
      </c>
      <c r="F286" s="40" cm="1">
        <f t="array" ref="F286">TrajectoryToComeUp(F$247:F$250,$A286)</f>
        <v>5.6341691348716045</v>
      </c>
      <c r="G286" s="40" cm="1">
        <f t="array" ref="G286">TrajectoryToComeUp(G$247:G$250,$A286)</f>
        <v>4.3991795644957765</v>
      </c>
      <c r="H286" s="40" cm="1">
        <f t="array" ref="H286">TrajectoryToComeUp(H$247:H$250,$A286)</f>
        <v>3.6930566843482571</v>
      </c>
      <c r="I286" s="40" cm="1">
        <f t="array" ref="I286">EvaluatePolynomial(I$247:I$250,$A286)</f>
        <v>915.20808216913429</v>
      </c>
    </row>
    <row r="287" spans="1:9" x14ac:dyDescent="0.25">
      <c r="A287" s="1">
        <v>750</v>
      </c>
      <c r="B287" s="40" cm="1">
        <f t="array" ref="B287">TrajectoryToComeUp(B$247:B$250,$A287)</f>
        <v>8.4134070140759984</v>
      </c>
      <c r="C287" s="40" cm="1">
        <f t="array" ref="C287">TrajectoryToComeUp(C$247:C$250,$A287)</f>
        <v>7.4655142268110035</v>
      </c>
      <c r="D287" s="40" cm="1">
        <f t="array" ref="D287">TrajectoryToComeUp(D$247:D$250,$A287)</f>
        <v>7.673411186584822</v>
      </c>
      <c r="E287" s="40" cm="1">
        <f t="array" ref="E287">TrajectoryToComeUp(E$247:E$250,$A287)</f>
        <v>6.4326312310162024</v>
      </c>
      <c r="F287" s="40" cm="1">
        <f t="array" ref="F287">TrajectoryToComeUp(F$247:F$250,$A287)</f>
        <v>6.0577019149891989</v>
      </c>
      <c r="G287" s="40" cm="1">
        <f t="array" ref="G287">TrajectoryToComeUp(G$247:G$250,$A287)</f>
        <v>4.8031306012660346</v>
      </c>
      <c r="H287" s="40" cm="1">
        <f t="array" ref="H287">TrajectoryToComeUp(H$247:H$250,$A287)</f>
        <v>4.1645353415158946</v>
      </c>
      <c r="I287" s="40" cm="1">
        <f t="array" ref="I287">EvaluatePolynomial(I$247:I$250,$A287)</f>
        <v>887.66874265917829</v>
      </c>
    </row>
    <row r="288" spans="1:9" x14ac:dyDescent="0.25">
      <c r="A288" s="1">
        <v>775</v>
      </c>
      <c r="B288" s="40" cm="1">
        <f t="array" ref="B288">TrajectoryToComeUp(B$247:B$250,$A288)</f>
        <v>8.9613632366777658</v>
      </c>
      <c r="C288" s="40" cm="1">
        <f t="array" ref="C288">TrajectoryToComeUp(C$247:C$250,$A288)</f>
        <v>7.9053881642977686</v>
      </c>
      <c r="D288" s="40" cm="1">
        <f t="array" ref="D288">TrajectoryToComeUp(D$247:D$250,$A288)</f>
        <v>8.166810069980972</v>
      </c>
      <c r="E288" s="40" cm="1">
        <f t="array" ref="E288">TrajectoryToComeUp(E$247:E$250,$A288)</f>
        <v>6.808687430594726</v>
      </c>
      <c r="F288" s="40" cm="1">
        <f t="array" ref="F288">TrajectoryToComeUp(F$247:F$250,$A288)</f>
        <v>6.4910329829495961</v>
      </c>
      <c r="G288" s="40" cm="1">
        <f t="array" ref="G288">TrajectoryToComeUp(G$247:G$250,$A288)</f>
        <v>5.2161732081269117</v>
      </c>
      <c r="H288" s="40" cm="1">
        <f t="array" ref="H288">TrajectoryToComeUp(H$247:H$250,$A288)</f>
        <v>4.6492586090463393</v>
      </c>
      <c r="I288" s="40" cm="1">
        <f t="array" ref="I288">EvaluatePolynomial(I$247:I$250,$A288)</f>
        <v>863.9413555859943</v>
      </c>
    </row>
    <row r="289" spans="1:9" x14ac:dyDescent="0.25">
      <c r="A289" s="1">
        <v>800</v>
      </c>
      <c r="B289" s="40" cm="1">
        <f t="array" ref="B289">TrajectoryToComeUp(B$247:B$250,$A289)</f>
        <v>9.5239957661014358</v>
      </c>
      <c r="C289" s="40" cm="1">
        <f t="array" ref="C289">TrajectoryToComeUp(C$247:C$250,$A289)</f>
        <v>8.3557649019072251</v>
      </c>
      <c r="D289" s="40" cm="1">
        <f t="array" ref="D289">TrajectoryToComeUp(D$247:D$250,$A289)</f>
        <v>8.6733537097219671</v>
      </c>
      <c r="E289" s="40" cm="1">
        <f t="array" ref="E289">TrajectoryToComeUp(E$247:E$250,$A289)</f>
        <v>7.1914957247280213</v>
      </c>
      <c r="F289" s="40" cm="1">
        <f t="array" ref="F289">TrajectoryToComeUp(F$247:F$250,$A289)</f>
        <v>6.9341477945594443</v>
      </c>
      <c r="G289" s="40" cm="1">
        <f t="array" ref="G289">TrajectoryToComeUp(G$247:G$250,$A289)</f>
        <v>5.6382933188915887</v>
      </c>
      <c r="H289" s="40" cm="1">
        <f t="array" ref="H289">TrajectoryToComeUp(H$247:H$250,$A289)</f>
        <v>5.147213174798777</v>
      </c>
      <c r="I289" s="40" cm="1">
        <f t="array" ref="I289">EvaluatePolynomial(I$247:I$250,$A289)</f>
        <v>844.03630372401892</v>
      </c>
    </row>
    <row r="290" spans="1:9" x14ac:dyDescent="0.25">
      <c r="A290" s="1">
        <v>825</v>
      </c>
      <c r="B290" s="40" cm="1">
        <f t="array" ref="B290">TrajectoryToComeUp(B$247:B$250,$A290)</f>
        <v>10.101292857825589</v>
      </c>
      <c r="C290" s="40" cm="1">
        <f t="array" ref="C290">TrajectoryToComeUp(C$247:C$250,$A290)</f>
        <v>8.8166334514780953</v>
      </c>
      <c r="D290" s="40" cm="1">
        <f t="array" ref="D290">TrajectoryToComeUp(D$247:D$250,$A290)</f>
        <v>9.193030628334423</v>
      </c>
      <c r="E290" s="40" cm="1">
        <f t="array" ref="E290">TrajectoryToComeUp(E$247:E$250,$A290)</f>
        <v>7.5810423287212796</v>
      </c>
      <c r="F290" s="40" cm="1">
        <f t="array" ref="F290">TrajectoryToComeUp(F$247:F$250,$A290)</f>
        <v>7.3870335685579152</v>
      </c>
      <c r="G290" s="40" cm="1">
        <f t="array" ref="G290">TrajectoryToComeUp(G$247:G$250,$A290)</f>
        <v>6.0694785723655933</v>
      </c>
      <c r="H290" s="40" cm="1">
        <f t="array" ref="H290">TrajectoryToComeUp(H$247:H$250,$A290)</f>
        <v>5.6583873402252323</v>
      </c>
      <c r="I290" s="40" cm="1">
        <f t="array" ref="I290">EvaluatePolynomial(I$247:I$250,$A290)</f>
        <v>827.96396984768887</v>
      </c>
    </row>
    <row r="291" spans="1:9" x14ac:dyDescent="0.25">
      <c r="A291" s="1">
        <v>850</v>
      </c>
      <c r="B291" s="40" cm="1">
        <f t="array" ref="B291">TrajectoryToComeUp(B$247:B$250,$A291)</f>
        <v>10.6932441490372</v>
      </c>
      <c r="C291" s="40" cm="1">
        <f t="array" ref="C291">TrajectoryToComeUp(C$247:C$250,$A291)</f>
        <v>9.2879841175739664</v>
      </c>
      <c r="D291" s="40" cm="1">
        <f t="array" ref="D291">TrajectoryToComeUp(D$247:D$250,$A291)</f>
        <v>9.7258306986359599</v>
      </c>
      <c r="E291" s="40" cm="1">
        <f t="array" ref="E291">TrajectoryToComeUp(E$247:E$250,$A291)</f>
        <v>7.9773150796084833</v>
      </c>
      <c r="F291" s="40" cm="1">
        <f t="array" ref="F291">TrajectoryToComeUp(F$247:F$250,$A291)</f>
        <v>7.849679027361927</v>
      </c>
      <c r="G291" s="40" cm="1">
        <f t="array" ref="G291">TrajectoryToComeUp(G$247:G$250,$A291)</f>
        <v>6.509718061612622</v>
      </c>
      <c r="H291" s="40" cm="1">
        <f t="array" ref="H291">TrajectoryToComeUp(H$247:H$250,$A291)</f>
        <v>6.182770783077479</v>
      </c>
      <c r="I291" s="40" cm="1">
        <f t="array" ref="I291">EvaluatePolynomial(I$247:I$250,$A291)</f>
        <v>815.73473673144122</v>
      </c>
    </row>
    <row r="292" spans="1:9" x14ac:dyDescent="0.25">
      <c r="A292" s="1">
        <v>875</v>
      </c>
      <c r="B292" s="40" cm="1">
        <f t="array" ref="B292">TrajectoryToComeUp(B$247:B$250,$A292)</f>
        <v>11.299840461244752</v>
      </c>
      <c r="C292" s="40" cm="1">
        <f t="array" ref="C292">TrajectoryToComeUp(C$247:C$250,$A292)</f>
        <v>9.7698083128082978</v>
      </c>
      <c r="D292" s="40" cm="1">
        <f t="array" ref="D292">TrajectoryToComeUp(D$247:D$250,$A292)</f>
        <v>10.271744950836453</v>
      </c>
      <c r="E292" s="40" cm="1">
        <f t="array" ref="E292">TrajectoryToComeUp(E$247:E$250,$A292)</f>
        <v>8.3803032044768866</v>
      </c>
      <c r="F292" s="40" cm="1">
        <f t="array" ref="F292">TrajectoryToComeUp(F$247:F$250,$A292)</f>
        <v>8.322074182255033</v>
      </c>
      <c r="G292" s="40" cm="1">
        <f t="array" ref="G292">TrajectoryToComeUp(G$247:G$250,$A292)</f>
        <v>6.959002126203381</v>
      </c>
      <c r="H292" s="40" cm="1">
        <f t="array" ref="H292">TrajectoryToComeUp(H$247:H$250,$A292)</f>
        <v>6.7203543607928129</v>
      </c>
      <c r="I292" s="40" cm="1">
        <f t="array" ref="I292">EvaluatePolynomial(I$247:I$250,$A292)</f>
        <v>807.35898714971256</v>
      </c>
    </row>
    <row r="293" spans="1:9" x14ac:dyDescent="0.25">
      <c r="A293" s="1">
        <v>900</v>
      </c>
      <c r="B293" s="40" cm="1">
        <f t="array" ref="B293">TrajectoryToComeUp(B$247:B$250,$A293)</f>
        <v>11.921073635789096</v>
      </c>
      <c r="C293" s="40" cm="1">
        <f t="array" ref="C293">TrajectoryToComeUp(C$247:C$250,$A293)</f>
        <v>10.262098403948606</v>
      </c>
      <c r="D293" s="40" cm="1">
        <f t="array" ref="D293">TrajectoryToComeUp(D$247:D$250,$A293)</f>
        <v>10.830765411789136</v>
      </c>
      <c r="E293" s="40" cm="1">
        <f t="array" ref="E293">TrajectoryToComeUp(E$247:E$250,$A293)</f>
        <v>8.7899971274040372</v>
      </c>
      <c r="F293" s="40" cm="1">
        <f t="array" ref="F293">TrajectoryToComeUp(F$247:F$250,$A293)</f>
        <v>8.8042101543781754</v>
      </c>
      <c r="G293" s="40" cm="1">
        <f t="array" ref="G293">TrajectoryToComeUp(G$247:G$250,$A293)</f>
        <v>7.4173221790896076</v>
      </c>
      <c r="H293" s="40" cm="1">
        <f t="array" ref="H293">TrajectoryToComeUp(H$247:H$250,$A293)</f>
        <v>7.27112994664882</v>
      </c>
      <c r="I293" s="40" cm="1">
        <f t="array" ref="I293">EvaluatePolynomial(I$247:I$250,$A293)</f>
        <v>802.84710387693985</v>
      </c>
    </row>
    <row r="294" spans="1:9" x14ac:dyDescent="0.25">
      <c r="A294" s="1">
        <v>925</v>
      </c>
      <c r="B294" s="40" cm="1">
        <f t="array" ref="B294">TrajectoryToComeUp(B$247:B$250,$A294)</f>
        <v>12.5569363960283</v>
      </c>
      <c r="C294" s="40" cm="1">
        <f t="array" ref="C294">TrajectoryToComeUp(C$247:C$250,$A294)</f>
        <v>10.764847582976737</v>
      </c>
      <c r="D294" s="40" cm="1">
        <f t="array" ref="D294">TrajectoryToComeUp(D$247:D$250,$A294)</f>
        <v>11.402884970309042</v>
      </c>
      <c r="E294" s="40" cm="1">
        <f t="array" ref="E294">TrajectoryToComeUp(E$247:E$250,$A294)</f>
        <v>9.2063883077023476</v>
      </c>
      <c r="F294" s="40" cm="1">
        <f t="array" ref="F294">TrajectoryToComeUp(F$247:F$250,$A294)</f>
        <v>9.2960790247489431</v>
      </c>
      <c r="G294" s="40" cm="1">
        <f t="array" ref="G294">TrajectoryToComeUp(G$247:G$250,$A294)</f>
        <v>7.8846705615525812</v>
      </c>
      <c r="H294" s="40" cm="1">
        <f t="array" ref="H294">TrajectoryToComeUp(H$247:H$250,$A294)</f>
        <v>7.8350902924876822</v>
      </c>
      <c r="I294" s="40" cm="1">
        <f t="array" ref="I294">EvaluatePolynomial(I$247:I$250,$A294)</f>
        <v>802.20946968755936</v>
      </c>
    </row>
    <row r="295" spans="1:9" x14ac:dyDescent="0.25">
      <c r="A295" s="1">
        <v>950</v>
      </c>
      <c r="B295" s="40" cm="1">
        <f t="array" ref="B295">TrajectoryToComeUp(B$247:B$250,$A295)</f>
        <v>13.20742223128274</v>
      </c>
      <c r="C295" s="40" cm="1">
        <f t="array" ref="C295">TrajectoryToComeUp(C$247:C$250,$A295)</f>
        <v>11.278049758508015</v>
      </c>
      <c r="D295" s="40" cm="1">
        <f t="array" ref="D295">TrajectoryToComeUp(D$247:D$250,$A295)</f>
        <v>11.988097263757007</v>
      </c>
      <c r="E295" s="40" cm="1">
        <f t="array" ref="E295">TrajectoryToComeUp(E$247:E$250,$A295)</f>
        <v>9.6294691037039808</v>
      </c>
      <c r="F295" s="40" cm="1">
        <f t="array" ref="F295">TrajectoryToComeUp(F$247:F$250,$A295)</f>
        <v>9.7976737079620282</v>
      </c>
      <c r="G295" s="40" cm="1">
        <f t="array" ref="G295">TrajectoryToComeUp(G$247:G$250,$A295)</f>
        <v>8.3610404210544935</v>
      </c>
      <c r="H295" s="40" cm="1">
        <f t="array" ref="H295">TrajectoryToComeUp(H$247:H$250,$A295)</f>
        <v>8.4122289131155554</v>
      </c>
      <c r="I295" s="40" cm="1">
        <f t="array" ref="I295">EvaluatePolynomial(I$247:I$250,$A295)</f>
        <v>805.45646735600837</v>
      </c>
    </row>
    <row r="296" spans="1:9" x14ac:dyDescent="0.25">
      <c r="A296" s="1">
        <v>975</v>
      </c>
      <c r="B296" s="40" cm="1">
        <f t="array" ref="B296">TrajectoryToComeUp(B$247:B$250,$A296)</f>
        <v>13.872525298634805</v>
      </c>
      <c r="C296" s="40" cm="1">
        <f t="array" ref="C296">TrajectoryToComeUp(C$247:C$250,$A296)</f>
        <v>11.801699463915181</v>
      </c>
      <c r="D296" s="40" cm="1">
        <f t="array" ref="D296">TrajectoryToComeUp(D$247:D$250,$A296)</f>
        <v>12.586396582072235</v>
      </c>
      <c r="E296" s="40" cm="1">
        <f t="array" ref="E296">TrajectoryToComeUp(E$247:E$250,$A296)</f>
        <v>10.059232657501894</v>
      </c>
      <c r="F296" s="40" cm="1">
        <f t="array" ref="F296">TrajectoryToComeUp(F$247:F$250,$A296)</f>
        <v>10.308987845320356</v>
      </c>
      <c r="G296" s="40" cm="1">
        <f t="array" ref="G296">TrajectoryToComeUp(G$247:G$250,$A296)</f>
        <v>8.8464256078819403</v>
      </c>
      <c r="H296" s="40" cm="1">
        <f t="array" ref="H296">TrajectoryToComeUp(H$247:H$250,$A296)</f>
        <v>9.002539988486685</v>
      </c>
      <c r="I296" s="40" cm="1">
        <f t="array" ref="I296">EvaluatePolynomial(I$247:I$250,$A296)</f>
        <v>812.5984796567235</v>
      </c>
    </row>
    <row r="297" spans="1:9" x14ac:dyDescent="0.25">
      <c r="A297" s="1">
        <v>1000</v>
      </c>
      <c r="B297" s="40" cm="1">
        <f t="array" ref="B297">TrajectoryToComeUp(B$247:B$250,$A297)</f>
        <v>14.552240339458642</v>
      </c>
      <c r="C297" s="40" cm="1">
        <f t="array" ref="C297">TrajectoryToComeUp(C$247:C$250,$A297)</f>
        <v>12.335791779233693</v>
      </c>
      <c r="D297" s="40" cm="1">
        <f t="array" ref="D297">TrajectoryToComeUp(D$247:D$250,$A297)</f>
        <v>13.197777786200003</v>
      </c>
      <c r="E297" s="40" cm="1">
        <f t="array" ref="E297">TrajectoryToComeUp(E$247:E$250,$A297)</f>
        <v>10.495672796979754</v>
      </c>
      <c r="F297" s="40" cm="1">
        <f t="array" ref="F297">TrajectoryToComeUp(F$247:F$250,$A297)</f>
        <v>10.830015713996563</v>
      </c>
      <c r="G297" s="40" cm="1">
        <f t="array" ref="G297">TrajectoryToComeUp(G$247:G$250,$A297)</f>
        <v>9.3408205872928463</v>
      </c>
      <c r="H297" s="40" cm="1">
        <f t="array" ref="H297">TrajectoryToComeUp(H$247:H$250,$A297)</f>
        <v>9.606018280559887</v>
      </c>
      <c r="I297" s="40" cm="1">
        <f t="array" ref="I297">EvaluatePolynomial(I$247:I$250,$A297)</f>
        <v>823.64588936414145</v>
      </c>
    </row>
  </sheetData>
  <mergeCells count="4">
    <mergeCell ref="C20:G20"/>
    <mergeCell ref="J20:N20"/>
    <mergeCell ref="N248:O248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2"/>
  <dimension ref="A1:AE277"/>
  <sheetViews>
    <sheetView workbookViewId="0">
      <selection activeCell="E19" sqref="E19"/>
    </sheetView>
  </sheetViews>
  <sheetFormatPr defaultRowHeight="15" x14ac:dyDescent="0.25"/>
  <cols>
    <col min="1" max="1" width="34.5703125" customWidth="1"/>
    <col min="2" max="2" width="31.28515625" customWidth="1"/>
    <col min="3" max="3" width="22.85546875" customWidth="1"/>
    <col min="4" max="4" width="16.42578125" customWidth="1"/>
    <col min="5" max="5" width="15.140625" customWidth="1"/>
    <col min="6" max="6" width="15.8554687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2.28515625" customWidth="1"/>
    <col min="19" max="19" width="9.5703125" customWidth="1"/>
    <col min="20" max="20" width="10.5703125" customWidth="1"/>
    <col min="21" max="21" width="10.28515625" customWidth="1"/>
    <col min="22" max="22" width="7.28515625" customWidth="1"/>
    <col min="23" max="23" width="9.85546875" customWidth="1"/>
  </cols>
  <sheetData>
    <row r="1" spans="1:31" x14ac:dyDescent="0.25">
      <c r="A1" t="s">
        <v>18</v>
      </c>
      <c r="B1" t="s">
        <v>47</v>
      </c>
      <c r="C1" t="s">
        <v>48</v>
      </c>
      <c r="D1" t="s">
        <v>28</v>
      </c>
      <c r="F1" s="42" t="s">
        <v>74</v>
      </c>
      <c r="G1" s="42"/>
      <c r="H1" s="42"/>
      <c r="I1" s="42"/>
    </row>
    <row r="2" spans="1:31" x14ac:dyDescent="0.25">
      <c r="A2" t="s">
        <v>20</v>
      </c>
      <c r="B2" s="2">
        <v>150</v>
      </c>
      <c r="C2" s="2">
        <f>CONVERT($B$2,"grain","g")</f>
        <v>9.7198364999999995</v>
      </c>
      <c r="F2" t="s">
        <v>75</v>
      </c>
      <c r="G2" s="2">
        <v>140</v>
      </c>
      <c r="H2" s="2">
        <f>CONVERT($G$2,"grain","g")</f>
        <v>9.0718473999999993</v>
      </c>
    </row>
    <row r="3" spans="1:31" x14ac:dyDescent="0.25">
      <c r="A3" t="s">
        <v>0</v>
      </c>
      <c r="B3" s="2">
        <v>0.28399999999999997</v>
      </c>
      <c r="C3" s="2">
        <f>CONVERT($B$3,"in","mm")</f>
        <v>7.2135999999999996</v>
      </c>
      <c r="F3" t="s">
        <v>76</v>
      </c>
      <c r="G3" s="2">
        <v>0.28399999999999997</v>
      </c>
      <c r="H3" s="2">
        <f>CONVERT($G$3,"in","mm")</f>
        <v>7.2135999999999996</v>
      </c>
    </row>
    <row r="4" spans="1:31" x14ac:dyDescent="0.25">
      <c r="A4" t="s">
        <v>11</v>
      </c>
      <c r="B4" s="2"/>
      <c r="C4" s="2"/>
      <c r="F4" t="s">
        <v>11</v>
      </c>
      <c r="G4" s="2" t="s">
        <v>77</v>
      </c>
      <c r="H4" s="2"/>
    </row>
    <row r="5" spans="1:31" x14ac:dyDescent="0.25">
      <c r="A5" t="s">
        <v>21</v>
      </c>
      <c r="B5" s="2">
        <v>0.40799999999999997</v>
      </c>
      <c r="C5" s="2"/>
      <c r="F5" t="s">
        <v>21</v>
      </c>
      <c r="G5" s="2">
        <v>0.40799999999999997</v>
      </c>
      <c r="H5" s="2"/>
    </row>
    <row r="6" spans="1:31" x14ac:dyDescent="0.25">
      <c r="A6" t="s">
        <v>22</v>
      </c>
      <c r="B6" s="2">
        <v>3171</v>
      </c>
      <c r="C6" s="2">
        <f>CONVERT($B$6,"J","flb")</f>
        <v>2338.8095753582083</v>
      </c>
      <c r="F6" t="s">
        <v>78</v>
      </c>
      <c r="G6" s="2">
        <f>CONVERT($H$6,"J","flb")</f>
        <v>2338.563991926761</v>
      </c>
      <c r="H6" s="2">
        <f>($C$2/1000)*$H$7*$H$7/2</f>
        <v>3170.6670335758308</v>
      </c>
    </row>
    <row r="7" spans="1:31" x14ac:dyDescent="0.25">
      <c r="A7" t="s">
        <v>19</v>
      </c>
      <c r="B7" s="2">
        <f xml:space="preserve"> SQRT(2*$B$6/(CONVERT($B$2,"grain","g")/1000))</f>
        <v>807.76241009492628</v>
      </c>
      <c r="C7" s="2">
        <f>CONVERT($B$7,"m","ft")</f>
        <v>2650.1391407313854</v>
      </c>
      <c r="F7" t="s">
        <v>79</v>
      </c>
      <c r="G7" s="2">
        <v>2650</v>
      </c>
      <c r="H7" s="2">
        <f>CONVERT($G$7,"ft","m")</f>
        <v>807.72</v>
      </c>
    </row>
    <row r="8" spans="1:31" x14ac:dyDescent="0.25">
      <c r="A8" t="s">
        <v>1</v>
      </c>
      <c r="B8" s="2">
        <v>0</v>
      </c>
      <c r="C8" s="2"/>
    </row>
    <row r="9" spans="1:31" x14ac:dyDescent="0.25">
      <c r="A9" t="s">
        <v>2</v>
      </c>
      <c r="B9" s="2">
        <v>14</v>
      </c>
      <c r="C9" s="2">
        <f>CONVERT($B$9,"m/sec","km/hr")</f>
        <v>50.4</v>
      </c>
    </row>
    <row r="10" spans="1:31" x14ac:dyDescent="0.25">
      <c r="A10" t="s">
        <v>3</v>
      </c>
      <c r="B10" s="2"/>
      <c r="C10" s="2">
        <v>280</v>
      </c>
    </row>
    <row r="11" spans="1:31" x14ac:dyDescent="0.25">
      <c r="A11" s="21" t="s">
        <v>62</v>
      </c>
      <c r="B11" s="2">
        <v>0.5</v>
      </c>
      <c r="C11" s="28"/>
    </row>
    <row r="12" spans="1:31" x14ac:dyDescent="0.25">
      <c r="A12" s="21" t="s">
        <v>63</v>
      </c>
      <c r="B12" s="2" cm="1">
        <f t="array" ref="B12">MOAToMRAD($B$11)</f>
        <v>0.14544410433286079</v>
      </c>
      <c r="C12" s="28">
        <f>$B$12/2</f>
        <v>7.2722052166430393E-2</v>
      </c>
    </row>
    <row r="13" spans="1:31" x14ac:dyDescent="0.25">
      <c r="A13" s="21" t="s">
        <v>26</v>
      </c>
      <c r="B13" s="2">
        <f>CONVERT(1.5,"in","cm")</f>
        <v>3.81</v>
      </c>
      <c r="D13" s="2">
        <f>CONVERT($B$13,"cm","in")</f>
        <v>1.5</v>
      </c>
    </row>
    <row r="14" spans="1:31" x14ac:dyDescent="0.25">
      <c r="A14" s="21" t="s">
        <v>5</v>
      </c>
      <c r="B14" t="s">
        <v>61</v>
      </c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</row>
    <row r="15" spans="1:31" x14ac:dyDescent="0.25">
      <c r="A15" t="s">
        <v>64</v>
      </c>
      <c r="B15" s="20" t="s">
        <v>72</v>
      </c>
      <c r="C15" s="20" t="s">
        <v>69</v>
      </c>
      <c r="D15" s="20" t="s">
        <v>70</v>
      </c>
      <c r="E15" s="20" t="s">
        <v>71</v>
      </c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1:31" x14ac:dyDescent="0.25">
      <c r="A16" s="21" t="s">
        <v>67</v>
      </c>
      <c r="B16" s="2">
        <v>0.625</v>
      </c>
      <c r="C16">
        <f>$B16/2</f>
        <v>0.3125</v>
      </c>
      <c r="D16" s="2">
        <f>$B$16 * $B$18</f>
        <v>0.36361026083215198</v>
      </c>
      <c r="E16" s="25">
        <f>$D16/2</f>
        <v>0.18180513041607599</v>
      </c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1:31" x14ac:dyDescent="0.25">
      <c r="A17" s="21" t="s">
        <v>68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5">
        <f>$D17/2</f>
        <v>7.2722052166430393E-2</v>
      </c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x14ac:dyDescent="0.25">
      <c r="A18" s="11" t="s">
        <v>66</v>
      </c>
      <c r="B18" s="12">
        <f>$B$12/$B$17</f>
        <v>0.58177641733144314</v>
      </c>
      <c r="C18" s="2"/>
      <c r="J18" s="2">
        <v>4.5</v>
      </c>
      <c r="K18" s="2">
        <v>4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x14ac:dyDescent="0.25">
      <c r="A19" s="38" t="s">
        <v>73</v>
      </c>
      <c r="B19" s="39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x14ac:dyDescent="0.25">
      <c r="C20" s="41" t="s">
        <v>24</v>
      </c>
      <c r="D20" s="41"/>
      <c r="E20" s="41"/>
      <c r="F20" s="41"/>
      <c r="G20" s="41"/>
      <c r="H20" s="13"/>
      <c r="I20" s="13"/>
      <c r="J20" s="41" t="s">
        <v>25</v>
      </c>
      <c r="K20" s="41"/>
      <c r="L20" s="41"/>
      <c r="M20" s="41"/>
      <c r="N20" s="41"/>
      <c r="O20" s="13"/>
      <c r="P20" s="13"/>
      <c r="Q20" s="29" t="s">
        <v>29</v>
      </c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16" t="s">
        <v>32</v>
      </c>
      <c r="Q21" s="35" t="s">
        <v>30</v>
      </c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x14ac:dyDescent="0.25">
      <c r="A22" s="1">
        <v>0</v>
      </c>
      <c r="B22" s="1">
        <v>3170.7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8">
        <f t="shared" si="1"/>
        <v>-3.81</v>
      </c>
      <c r="Q22" s="35">
        <v>0</v>
      </c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x14ac:dyDescent="0.25">
      <c r="A23" s="1">
        <v>25</v>
      </c>
      <c r="B23" s="1">
        <v>3048.8</v>
      </c>
      <c r="C23" s="6">
        <v>-0.25</v>
      </c>
      <c r="D23" s="6">
        <v>-0.33300000000000002</v>
      </c>
      <c r="E23" s="6">
        <v>-0.25</v>
      </c>
      <c r="F23" s="6">
        <v>-0.16700000000000001</v>
      </c>
      <c r="G23" s="6">
        <v>8.3000000000000004E-2</v>
      </c>
      <c r="H23" s="6">
        <v>0.375</v>
      </c>
      <c r="I23" s="14">
        <v>0.75</v>
      </c>
      <c r="J23" s="9" cm="1">
        <f t="array" ref="J23">TrajectoryDropInCM(C23,$A23,J$18)</f>
        <v>-2.8125011865240381</v>
      </c>
      <c r="K23" s="9" cm="1">
        <f t="array" ref="K23">TrajectoryDropInCM(D23,$A23,K$18)</f>
        <v>-3.3300019693900382</v>
      </c>
      <c r="L23" s="9" cm="1">
        <f t="array" ref="L23">TrajectoryDropInCM(E23,$A23,L$18)</f>
        <v>-2.500000833333667</v>
      </c>
      <c r="M23" s="9" cm="1">
        <f t="array" ref="M23">TrajectoryDropInCM(F23,$A23,M$18)</f>
        <v>-1.6700002483980712</v>
      </c>
      <c r="N23" s="9" cm="1">
        <f t="array" ref="N23">TrajectoryDropInCM(G23,$A23,N$18)</f>
        <v>0.83000003049530802</v>
      </c>
      <c r="O23" s="9" cm="1">
        <f t="array" ref="O23">TrajectoryDropInCM(H23,$A23,O$18)</f>
        <v>3.7500028125025313</v>
      </c>
      <c r="P23" s="9" cm="1">
        <f t="array" ref="P23">TrajectoryDropInCM(I23,$A23,P$18)</f>
        <v>7.500022500081001</v>
      </c>
      <c r="Q23" s="35" cm="1">
        <f t="array" ref="Q23">TrajectoryErrorCM($E$19,1,$A23)</f>
        <v>0.37561137059069255</v>
      </c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x14ac:dyDescent="0.25">
      <c r="A24" s="1">
        <v>50</v>
      </c>
      <c r="B24" s="1">
        <v>2922</v>
      </c>
      <c r="C24" s="7">
        <v>0</v>
      </c>
      <c r="D24" s="6">
        <v>-8.3000000000000004E-2</v>
      </c>
      <c r="E24" s="6">
        <v>0</v>
      </c>
      <c r="F24" s="6">
        <v>0.125</v>
      </c>
      <c r="G24" s="6">
        <v>0.33300000000000002</v>
      </c>
      <c r="H24" s="6">
        <v>0.66700000000000004</v>
      </c>
      <c r="I24" s="14">
        <v>1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0</v>
      </c>
      <c r="M24" s="9" cm="1">
        <f t="array" ref="M24">TrajectoryDropInCM(F24,$A24,M$18)</f>
        <v>2.5000002083333537</v>
      </c>
      <c r="N24" s="9" cm="1">
        <f t="array" ref="N24">TrajectoryDropInCM(G24,$A24,N$18)</f>
        <v>6.6600039387800765</v>
      </c>
      <c r="O24" s="9" cm="1">
        <f t="array" ref="O24">TrajectoryDropInCM(H24,$A24,O$18)</f>
        <v>13.34003165245951</v>
      </c>
      <c r="P24" s="9" cm="1">
        <f t="array" ref="P24">TrajectoryDropInCM(I24,$A24,P$18)</f>
        <v>20.000106667349339</v>
      </c>
      <c r="Q24" s="35" cm="1">
        <f t="array" ref="Q24">TrajectoryErrorCM($E$19,1,$A24)</f>
        <v>0.7512227411813851</v>
      </c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x14ac:dyDescent="0.25">
      <c r="A25" s="1">
        <v>75</v>
      </c>
      <c r="B25" s="1">
        <v>2821.5</v>
      </c>
      <c r="C25" s="6">
        <v>8.3000000000000004E-2</v>
      </c>
      <c r="D25" s="6">
        <v>0</v>
      </c>
      <c r="E25" s="6">
        <v>8.3000000000000004E-2</v>
      </c>
      <c r="F25" s="6">
        <v>0.16700000000000001</v>
      </c>
      <c r="G25" s="6">
        <v>0.41699999999999998</v>
      </c>
      <c r="H25" s="6">
        <v>0.6875</v>
      </c>
      <c r="I25" s="14">
        <v>1.125</v>
      </c>
      <c r="J25" s="9" cm="1">
        <f t="array" ref="J25">TrajectoryDropInCM(C25,$A25,J$18)</f>
        <v>2.8012501302602333</v>
      </c>
      <c r="K25" s="9" cm="1">
        <f t="array" ref="K25">TrajectoryDropInCM(D25,$A25,K$18)</f>
        <v>0</v>
      </c>
      <c r="L25" s="9" cm="1">
        <f t="array" ref="L25">TrajectoryDropInCM(E25,$A25,L$18)</f>
        <v>2.4900000914859239</v>
      </c>
      <c r="M25" s="9" cm="1">
        <f t="array" ref="M25">TrajectoryDropInCM(F25,$A25,M$18)</f>
        <v>5.0100007451942137</v>
      </c>
      <c r="N25" s="9" cm="1">
        <f t="array" ref="N25">TrajectoryDropInCM(G25,$A25,N$18)</f>
        <v>12.510011601886992</v>
      </c>
      <c r="O25" s="9" cm="1">
        <f t="array" ref="O25">TrajectoryDropInCM(H25,$A25,O$18)</f>
        <v>20.625051992344773</v>
      </c>
      <c r="P25" s="9" cm="1">
        <f t="array" ref="P25">TrajectoryDropInCM(I25,$A25,P$18)</f>
        <v>33.750227814345294</v>
      </c>
      <c r="Q25" s="35" cm="1">
        <f t="array" ref="Q25">TrajectoryErrorCM($E$19,1,$A25)</f>
        <v>1.1268341117720777</v>
      </c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x14ac:dyDescent="0.25">
      <c r="A26" s="1">
        <v>100</v>
      </c>
      <c r="B26" s="1">
        <v>2669.3</v>
      </c>
      <c r="C26" s="6">
        <v>8.3000000000000004E-2</v>
      </c>
      <c r="D26" s="7">
        <v>0</v>
      </c>
      <c r="E26" s="6">
        <v>8.3000000000000004E-2</v>
      </c>
      <c r="F26" s="6">
        <v>0.16700000000000001</v>
      </c>
      <c r="G26" s="6">
        <v>0.41699999999999998</v>
      </c>
      <c r="H26" s="6">
        <v>0.6875</v>
      </c>
      <c r="I26" s="14">
        <v>1.125</v>
      </c>
      <c r="J26" s="9" cm="1">
        <f t="array" ref="J26">TrajectoryDropInCM(C26,$A26,J$18)</f>
        <v>3.7350001736803113</v>
      </c>
      <c r="K26" s="9" cm="1">
        <f t="array" ref="K26">TrajectoryDropInCM(D26,$A26,K$18)</f>
        <v>0</v>
      </c>
      <c r="L26" s="9" cm="1">
        <f t="array" ref="L26">TrajectoryDropInCM(E26,$A26,L$18)</f>
        <v>3.3200001219812321</v>
      </c>
      <c r="M26" s="9" cm="1">
        <f t="array" ref="M26">TrajectoryDropInCM(F26,$A26,M$18)</f>
        <v>6.6800009935922846</v>
      </c>
      <c r="N26" s="9" cm="1">
        <f t="array" ref="N26">TrajectoryDropInCM(G26,$A26,N$18)</f>
        <v>16.680015469182656</v>
      </c>
      <c r="O26" s="9" cm="1">
        <f t="array" ref="O26">TrajectoryDropInCM(H26,$A26,O$18)</f>
        <v>27.500069323126365</v>
      </c>
      <c r="P26" s="9" cm="1">
        <f t="array" ref="P26">TrajectoryDropInCM(I26,$A26,P$18)</f>
        <v>45.000303752460397</v>
      </c>
      <c r="Q26" s="35" cm="1">
        <f t="array" ref="Q26">TrajectoryErrorCM($E$19,1,$A26)</f>
        <v>1.5024454823627702</v>
      </c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x14ac:dyDescent="0.25">
      <c r="A27" s="1">
        <v>125</v>
      </c>
      <c r="B27" s="1">
        <v>2543.4</v>
      </c>
      <c r="C27" s="6">
        <v>8.3000000000000004E-2</v>
      </c>
      <c r="D27" s="6">
        <v>0</v>
      </c>
      <c r="E27" s="6">
        <v>6.25E-2</v>
      </c>
      <c r="F27" s="6">
        <v>0.1875</v>
      </c>
      <c r="G27" s="6">
        <v>0.375</v>
      </c>
      <c r="H27" s="6">
        <v>0.6875</v>
      </c>
      <c r="I27" s="14">
        <v>1.125</v>
      </c>
      <c r="J27" s="9" cm="1">
        <f t="array" ref="J27">TrajectoryDropInCM(C27,$A27,J$18)</f>
        <v>4.6687502171003894</v>
      </c>
      <c r="K27" s="9" cm="1">
        <f t="array" ref="K27">TrajectoryDropInCM(D27,$A27,K$18)</f>
        <v>0</v>
      </c>
      <c r="L27" s="9" cm="1">
        <f t="array" ref="L27">TrajectoryDropInCM(E27,$A27,L$18)</f>
        <v>3.1250000651041678</v>
      </c>
      <c r="M27" s="9" cm="1">
        <f t="array" ref="M27">TrajectoryDropInCM(F27,$A27,M$18)</f>
        <v>9.3750017578128961</v>
      </c>
      <c r="N27" s="9" cm="1">
        <f t="array" ref="N27">TrajectoryDropInCM(G27,$A27,N$18)</f>
        <v>18.750014062512658</v>
      </c>
      <c r="O27" s="9" cm="1">
        <f t="array" ref="O27">TrajectoryDropInCM(H27,$A27,O$18)</f>
        <v>34.375086653907957</v>
      </c>
      <c r="P27" s="9" cm="1">
        <f t="array" ref="P27">TrajectoryDropInCM(I27,$A27,P$18)</f>
        <v>56.250379690575492</v>
      </c>
      <c r="Q27" s="34" cm="1">
        <f t="array" ref="Q27">TrajectoryErrorCM($E$19,1,$A27)</f>
        <v>1.8780568529534629</v>
      </c>
    </row>
    <row r="28" spans="1:31" x14ac:dyDescent="0.25">
      <c r="A28" s="1">
        <v>150</v>
      </c>
      <c r="B28" s="1">
        <v>2426.1</v>
      </c>
      <c r="C28" s="6">
        <v>5.0000000000000001E-3</v>
      </c>
      <c r="D28" s="6">
        <v>-6.25E-2</v>
      </c>
      <c r="E28" s="7">
        <v>0</v>
      </c>
      <c r="F28" s="6">
        <v>0.125</v>
      </c>
      <c r="G28" s="6">
        <v>0.33300000000000002</v>
      </c>
      <c r="H28" s="6">
        <v>0.66700000000000004</v>
      </c>
      <c r="I28" s="14">
        <v>1</v>
      </c>
      <c r="J28" s="9" cm="1">
        <f t="array" ref="J28">TrajectoryDropInCM(C28,$A28,J$18)</f>
        <v>0.33750000005695308</v>
      </c>
      <c r="K28" s="9" cm="1">
        <f t="array" ref="K28">TrajectoryDropInCM(D28,$A28,K$18)</f>
        <v>-3.7500000781250016</v>
      </c>
      <c r="L28" s="9" cm="1">
        <f t="array" ref="L28">TrajectoryDropInCM(E28,$A28,L$18)</f>
        <v>0</v>
      </c>
      <c r="M28" s="9" cm="1">
        <f t="array" ref="M28">TrajectoryDropInCM(F28,$A28,M$18)</f>
        <v>7.5000006250000615</v>
      </c>
      <c r="N28" s="9" cm="1">
        <f t="array" ref="N28">TrajectoryDropInCM(G28,$A28,N$18)</f>
        <v>19.98001181634023</v>
      </c>
      <c r="O28" s="9" cm="1">
        <f t="array" ref="O28">TrajectoryDropInCM(H28,$A28,O$18)</f>
        <v>40.020094957378532</v>
      </c>
      <c r="P28" s="9" cm="1">
        <f t="array" ref="P28">TrajectoryDropInCM(I28,$A28,P$18)</f>
        <v>60.000320002048014</v>
      </c>
      <c r="Q28" s="34" cm="1">
        <f t="array" ref="Q28">TrajectoryErrorCM($E$19,1,$A28)</f>
        <v>2.2536682235441554</v>
      </c>
    </row>
    <row r="29" spans="1:31" x14ac:dyDescent="0.25">
      <c r="A29" s="1">
        <v>200</v>
      </c>
      <c r="B29" s="1">
        <v>2193</v>
      </c>
      <c r="C29" s="6">
        <v>-6.25E-2</v>
      </c>
      <c r="D29" s="6">
        <v>-0.16700000000000001</v>
      </c>
      <c r="E29" s="6">
        <v>-8.3000000000000004E-2</v>
      </c>
      <c r="F29" s="7">
        <v>0</v>
      </c>
      <c r="G29" s="6">
        <v>0.25</v>
      </c>
      <c r="H29" s="6">
        <v>0.5625</v>
      </c>
      <c r="I29" s="14">
        <v>0.91700000000000004</v>
      </c>
      <c r="J29" s="9" cm="1">
        <f t="array" ref="J29">TrajectoryDropInCM(C29,$A29,J$18)</f>
        <v>-5.6250001483154337</v>
      </c>
      <c r="K29" s="9" cm="1">
        <f t="array" ref="K29">TrajectoryDropInCM(D29,$A29,K$18)</f>
        <v>-13.360001987184569</v>
      </c>
      <c r="L29" s="9" cm="1">
        <f t="array" ref="L29">TrajectoryDropInCM(E29,$A29,L$18)</f>
        <v>-6.6400002439624641</v>
      </c>
      <c r="M29" s="9" cm="1">
        <f t="array" ref="M29">TrajectoryDropInCM(F29,$A29,M$18)</f>
        <v>0</v>
      </c>
      <c r="N29" s="9" cm="1">
        <f t="array" ref="N29">TrajectoryDropInCM(G29,$A29,N$18)</f>
        <v>20.000006666669336</v>
      </c>
      <c r="O29" s="9" cm="1">
        <f t="array" ref="O29">TrajectoryDropInCM(H29,$A29,O$18)</f>
        <v>45.000075937653769</v>
      </c>
      <c r="P29" s="9" cm="1">
        <f t="array" ref="P29">TrajectoryDropInCM(I29,$A29,P$18)</f>
        <v>73.360329002394806</v>
      </c>
      <c r="Q29" s="34" cm="1">
        <f t="array" ref="Q29">TrajectoryErrorCM($E$19,1,$A29)</f>
        <v>3.0048909647255404</v>
      </c>
    </row>
    <row r="30" spans="1:31" x14ac:dyDescent="0.25">
      <c r="A30" s="1">
        <v>250</v>
      </c>
      <c r="B30" s="1">
        <v>1990.6</v>
      </c>
      <c r="C30" s="6">
        <v>-0.1875</v>
      </c>
      <c r="D30" s="6">
        <v>-0.25</v>
      </c>
      <c r="E30" s="6">
        <v>-0.1875</v>
      </c>
      <c r="F30" s="6">
        <v>-0.125</v>
      </c>
      <c r="G30" s="6">
        <v>0.125</v>
      </c>
      <c r="H30" s="6">
        <v>0.4375</v>
      </c>
      <c r="I30" s="14">
        <v>0.83299999999999996</v>
      </c>
      <c r="J30" s="9" cm="1">
        <f t="array" ref="J30">TrajectoryDropInCM(C30,$A30,J$18)</f>
        <v>-21.093755005647179</v>
      </c>
      <c r="K30" s="9" cm="1">
        <f t="array" ref="K30">TrajectoryDropInCM(D30,$A30,K$18)</f>
        <v>-25.00000833333667</v>
      </c>
      <c r="L30" s="9" cm="1">
        <f t="array" ref="L30">TrajectoryDropInCM(E30,$A30,L$18)</f>
        <v>-18.750003515625792</v>
      </c>
      <c r="M30" s="9" cm="1">
        <f t="array" ref="M30">TrajectoryDropInCM(F30,$A30,M$18)</f>
        <v>-12.500001041666769</v>
      </c>
      <c r="N30" s="9" cm="1">
        <f t="array" ref="N30">TrajectoryDropInCM(G30,$A30,N$18)</f>
        <v>12.500001041666769</v>
      </c>
      <c r="O30" s="9" cm="1">
        <f t="array" ref="O30">TrajectoryDropInCM(H30,$A30,O$18)</f>
        <v>43.750044661513051</v>
      </c>
      <c r="P30" s="9" cm="1">
        <f t="array" ref="P30">TrajectoryDropInCM(I30,$A30,P$18)</f>
        <v>83.300308273122084</v>
      </c>
      <c r="Q30" s="34" cm="1">
        <f t="array" ref="Q30">TrajectoryErrorCM($E$19,1,$A30)</f>
        <v>3.7561137059069258</v>
      </c>
    </row>
    <row r="31" spans="1:31" x14ac:dyDescent="0.25">
      <c r="A31" s="1">
        <v>300</v>
      </c>
      <c r="B31" s="1">
        <v>1804.8</v>
      </c>
      <c r="C31" s="6">
        <v>-0.33300000000000002</v>
      </c>
      <c r="D31" s="6">
        <v>-0.41699999999999998</v>
      </c>
      <c r="E31" s="6">
        <v>-0.33300000000000002</v>
      </c>
      <c r="F31" s="6">
        <v>-0.25</v>
      </c>
      <c r="G31" s="7">
        <v>0</v>
      </c>
      <c r="H31" s="17">
        <v>0.3125</v>
      </c>
      <c r="I31" s="18">
        <v>0.67700000000000005</v>
      </c>
      <c r="J31" s="9" cm="1">
        <f t="array" ref="J31">TrajectoryDropInCM(C31,$A31,J$18)</f>
        <v>-44.955033648881447</v>
      </c>
      <c r="K31" s="9" cm="1">
        <f t="array" ref="K31">TrajectoryDropInCM(D31,$A31,K$18)</f>
        <v>-50.040046407547969</v>
      </c>
      <c r="L31" s="9" cm="1">
        <f t="array" ref="L31">TrajectoryDropInCM(E31,$A31,L$18)</f>
        <v>-39.960023632680461</v>
      </c>
      <c r="M31" s="9" cm="1">
        <f t="array" ref="M31">TrajectoryDropInCM(F31,$A31,M$18)</f>
        <v>-30.000010000004</v>
      </c>
      <c r="N31" s="9" cm="1">
        <f t="array" ref="N31">TrajectoryDropInCM(G31,$A31,N$18)</f>
        <v>0</v>
      </c>
      <c r="O31" s="9" cm="1">
        <f t="array" ref="O31">TrajectoryDropInCM(H31,$A31,O$18)</f>
        <v>37.500019531262211</v>
      </c>
      <c r="P31" s="9" cm="1">
        <f t="array" ref="P31">TrajectoryDropInCM(I31,$A31,P$18)</f>
        <v>81.240198585371644</v>
      </c>
      <c r="Q31" s="34" cm="1">
        <f t="array" ref="Q31">TrajectoryErrorCM($E$19,1,$A31)</f>
        <v>4.5073364470883108</v>
      </c>
    </row>
    <row r="32" spans="1:31" x14ac:dyDescent="0.25">
      <c r="A32" s="1">
        <v>350</v>
      </c>
      <c r="B32" s="1">
        <v>1626.3</v>
      </c>
      <c r="C32" s="6">
        <v>-0.5</v>
      </c>
      <c r="D32" s="6">
        <v>-0.55000000000000004</v>
      </c>
      <c r="E32" s="6">
        <v>-0.5</v>
      </c>
      <c r="F32" s="6">
        <v>-0.375</v>
      </c>
      <c r="G32" s="6">
        <v>-0.125</v>
      </c>
      <c r="H32" s="6">
        <v>0.125</v>
      </c>
      <c r="I32" s="14">
        <v>0.55000000000000004</v>
      </c>
      <c r="J32" s="9" cm="1">
        <f t="array" ref="J32">TrajectoryDropInCM(C32,$A32,J$18)</f>
        <v>-78.750132890894093</v>
      </c>
      <c r="K32" s="9" cm="1">
        <f t="array" ref="K32">TrajectoryDropInCM(D32,$A32,K$18)</f>
        <v>-77.000124226907175</v>
      </c>
      <c r="L32" s="9" cm="1">
        <f t="array" ref="L32">TrajectoryDropInCM(E32,$A32,L$18)</f>
        <v>-70.000093333482667</v>
      </c>
      <c r="M32" s="9" cm="1">
        <f t="array" ref="M32">TrajectoryDropInCM(F32,$A32,M$18)</f>
        <v>-52.500039375035435</v>
      </c>
      <c r="N32" s="9" cm="1">
        <f t="array" ref="N32">TrajectoryDropInCM(G32,$A32,N$18)</f>
        <v>-17.500001458333479</v>
      </c>
      <c r="O32" s="9" cm="1">
        <f t="array" ref="O32">TrajectoryDropInCM(H32,$A32,O$18)</f>
        <v>17.500001458333479</v>
      </c>
      <c r="P32" s="9" cm="1">
        <f t="array" ref="P32">TrajectoryDropInCM(I32,$A32,P$18)</f>
        <v>77.000124226907175</v>
      </c>
      <c r="Q32" s="34" cm="1">
        <f t="array" ref="Q32">TrajectoryErrorCM($E$19,1,$A32)</f>
        <v>5.2585591882696958</v>
      </c>
    </row>
    <row r="33" spans="1:17" x14ac:dyDescent="0.25">
      <c r="A33" s="1">
        <v>400</v>
      </c>
      <c r="B33" s="1">
        <v>1469.5</v>
      </c>
      <c r="C33" s="6">
        <v>-0.625</v>
      </c>
      <c r="D33" s="6">
        <v>-0.67700000000000005</v>
      </c>
      <c r="E33" s="6">
        <v>-0.625</v>
      </c>
      <c r="F33" s="6">
        <v>-0.5</v>
      </c>
      <c r="G33" s="6">
        <v>-0.25</v>
      </c>
      <c r="H33" s="7">
        <v>0</v>
      </c>
      <c r="I33" s="14">
        <v>0.375</v>
      </c>
      <c r="J33" s="9" cm="1">
        <f t="array" ref="J33">TrajectoryDropInCM(C33,$A33,J$18)</f>
        <v>-112.50029663179792</v>
      </c>
      <c r="K33" s="9" cm="1">
        <f t="array" ref="K33">TrajectoryDropInCM(D33,$A33,K$18)</f>
        <v>-108.32026478049552</v>
      </c>
      <c r="L33" s="9" cm="1">
        <f t="array" ref="L33">TrajectoryDropInCM(E33,$A33,L$18)</f>
        <v>-100.00020833385418</v>
      </c>
      <c r="M33" s="9" cm="1">
        <f t="array" ref="M33">TrajectoryDropInCM(F33,$A33,M$18)</f>
        <v>-80.000106666837326</v>
      </c>
      <c r="N33" s="9" cm="1">
        <f t="array" ref="N33">TrajectoryDropInCM(G33,$A33,N$18)</f>
        <v>-40.000013333338671</v>
      </c>
      <c r="O33" s="9" cm="1">
        <f t="array" ref="O33">TrajectoryDropInCM(H33,$A33,O$18)</f>
        <v>0</v>
      </c>
      <c r="P33" s="9" cm="1">
        <f t="array" ref="P33">TrajectoryDropInCM(I33,$A33,P$18)</f>
        <v>60.000045000040501</v>
      </c>
      <c r="Q33" s="34" cm="1">
        <f t="array" ref="Q33">TrajectoryErrorCM($E$19,1,$A33)</f>
        <v>6.0097819294510808</v>
      </c>
    </row>
    <row r="34" spans="1:17" x14ac:dyDescent="0.25">
      <c r="A34" s="1">
        <v>450</v>
      </c>
      <c r="B34" s="1">
        <v>1334.2</v>
      </c>
      <c r="C34" s="6">
        <v>-0.8125</v>
      </c>
      <c r="D34" s="6">
        <v>-0.875</v>
      </c>
      <c r="E34" s="6">
        <v>-0.83299999999999996</v>
      </c>
      <c r="F34" s="6">
        <v>-0.6875</v>
      </c>
      <c r="G34" s="6">
        <v>-0.41</v>
      </c>
      <c r="H34" s="6">
        <v>-0.16700000000000001</v>
      </c>
      <c r="I34" s="14">
        <v>0.1875</v>
      </c>
      <c r="J34" s="9" cm="1">
        <f t="array" ref="J34">TrajectoryDropInCM(C34,$A34,J$18)</f>
        <v>-164.53198316416825</v>
      </c>
      <c r="K34" s="9" cm="1">
        <f t="array" ref="K34">TrajectoryDropInCM(D34,$A34,K$18)</f>
        <v>-157.50064312815135</v>
      </c>
      <c r="L34" s="9" cm="1">
        <f t="array" ref="L34">TrajectoryDropInCM(E34,$A34,L$18)</f>
        <v>-149.94055489161974</v>
      </c>
      <c r="M34" s="9" cm="1">
        <f t="array" ref="M34">TrajectoryDropInCM(F34,$A34,M$18)</f>
        <v>-123.75031195406865</v>
      </c>
      <c r="N34" s="9" cm="1">
        <f t="array" ref="N34">TrajectoryDropInCM(G34,$A34,N$18)</f>
        <v>-73.800066164231168</v>
      </c>
      <c r="O34" s="9" cm="1">
        <f t="array" ref="O34">TrajectoryDropInCM(H34,$A34,O$18)</f>
        <v>-30.060004471165279</v>
      </c>
      <c r="P34" s="9" cm="1">
        <f t="array" ref="P34">TrajectoryDropInCM(I34,$A34,P$18)</f>
        <v>33.750006328126425</v>
      </c>
      <c r="Q34" s="34" cm="1">
        <f t="array" ref="Q34">TrajectoryErrorCM($E$19,1,$A34)</f>
        <v>6.7610046706324667</v>
      </c>
    </row>
    <row r="35" spans="1:17" x14ac:dyDescent="0.25">
      <c r="A35" s="1">
        <v>500</v>
      </c>
      <c r="B35" s="1">
        <v>1201.8</v>
      </c>
      <c r="C35" s="6">
        <v>-1</v>
      </c>
      <c r="D35" s="6">
        <v>-1.1000000000000001</v>
      </c>
      <c r="E35" s="6">
        <v>-1</v>
      </c>
      <c r="F35" s="6">
        <v>-0.9</v>
      </c>
      <c r="G35" s="6">
        <v>-0.65</v>
      </c>
      <c r="H35" s="6">
        <v>-0.33300000000000002</v>
      </c>
      <c r="I35" s="15">
        <v>0</v>
      </c>
      <c r="J35" s="9" cm="1">
        <f t="array" ref="J35">TrajectoryDropInCM(C35,$A35,J$18)</f>
        <v>-225.00151876230197</v>
      </c>
      <c r="K35" s="9" cm="1">
        <f t="array" ref="K35">TrajectoryDropInCM(D35,$A35,K$18)</f>
        <v>-220.0014197443279</v>
      </c>
      <c r="L35" s="9" cm="1">
        <f t="array" ref="L35">TrajectoryDropInCM(E35,$A35,L$18)</f>
        <v>-200.00106667349337</v>
      </c>
      <c r="M35" s="9" cm="1">
        <f t="array" ref="M35">TrajectoryDropInCM(F35,$A35,M$18)</f>
        <v>-180.0007776040311</v>
      </c>
      <c r="N35" s="9" cm="1">
        <f t="array" ref="N35">TrajectoryDropInCM(G35,$A35,N$18)</f>
        <v>-130.00029293412544</v>
      </c>
      <c r="O35" s="9" cm="1">
        <f t="array" ref="O35">TrajectoryDropInCM(H35,$A35,O$18)</f>
        <v>-66.600039387800763</v>
      </c>
      <c r="P35" s="9" cm="1">
        <f t="array" ref="P35">TrajectoryDropInCM(I35,$A35,P$18)</f>
        <v>0</v>
      </c>
      <c r="Q35" s="34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33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</row>
    <row r="80" spans="1:19" x14ac:dyDescent="0.25">
      <c r="A80" s="1">
        <v>0</v>
      </c>
      <c r="B80" s="1">
        <v>808</v>
      </c>
      <c r="C80" s="1">
        <v>3171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789</v>
      </c>
      <c r="C81" s="1">
        <v>3028</v>
      </c>
      <c r="D81" s="1">
        <v>-1.4</v>
      </c>
      <c r="E81" s="1">
        <v>2</v>
      </c>
      <c r="F81" s="1">
        <v>0.6</v>
      </c>
      <c r="G81" s="1">
        <v>-1</v>
      </c>
      <c r="H81" s="1">
        <v>-1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771</v>
      </c>
      <c r="C82" s="10">
        <v>2891</v>
      </c>
      <c r="D82" s="10">
        <v>0</v>
      </c>
      <c r="E82" s="10">
        <v>0</v>
      </c>
      <c r="F82" s="10">
        <v>0</v>
      </c>
      <c r="G82" s="1">
        <v>-2</v>
      </c>
      <c r="H82" s="10">
        <v>-2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753</v>
      </c>
      <c r="C83" s="1">
        <v>2759</v>
      </c>
      <c r="D83" s="1">
        <v>0.4</v>
      </c>
      <c r="E83" s="1">
        <v>-0.2</v>
      </c>
      <c r="F83" s="1">
        <v>0</v>
      </c>
      <c r="G83" s="1">
        <v>-4</v>
      </c>
      <c r="H83" s="1">
        <v>-2</v>
      </c>
      <c r="I83" s="1">
        <v>-1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736</v>
      </c>
      <c r="C84" s="1">
        <v>2632</v>
      </c>
      <c r="D84" s="1">
        <v>-0.4</v>
      </c>
      <c r="E84" s="1">
        <v>0.1</v>
      </c>
      <c r="F84" s="1">
        <v>0</v>
      </c>
      <c r="G84" s="1">
        <v>-8</v>
      </c>
      <c r="H84" s="1">
        <v>-3</v>
      </c>
      <c r="I84" s="1">
        <v>-1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719</v>
      </c>
      <c r="C85" s="1">
        <v>2509</v>
      </c>
      <c r="D85" s="1">
        <v>-2.2999999999999998</v>
      </c>
      <c r="E85" s="1">
        <v>0.6</v>
      </c>
      <c r="F85" s="1">
        <v>0.2</v>
      </c>
      <c r="G85" s="1">
        <v>-12</v>
      </c>
      <c r="H85" s="1">
        <v>-4</v>
      </c>
      <c r="I85" s="1">
        <v>-1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701</v>
      </c>
      <c r="C86" s="1">
        <v>2391</v>
      </c>
      <c r="D86" s="1">
        <v>-5.3</v>
      </c>
      <c r="E86" s="1">
        <v>1.2</v>
      </c>
      <c r="F86" s="1">
        <v>0.4</v>
      </c>
      <c r="G86" s="1">
        <v>-18</v>
      </c>
      <c r="H86" s="1">
        <v>-4</v>
      </c>
      <c r="I86" s="1">
        <v>-1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684</v>
      </c>
      <c r="C87" s="1">
        <v>2277</v>
      </c>
      <c r="D87" s="1">
        <v>-9.6999999999999993</v>
      </c>
      <c r="E87" s="1">
        <v>1.9</v>
      </c>
      <c r="F87" s="1">
        <v>0.6</v>
      </c>
      <c r="G87" s="1">
        <v>-24</v>
      </c>
      <c r="H87" s="1">
        <v>-5</v>
      </c>
      <c r="I87" s="1">
        <v>-2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668</v>
      </c>
      <c r="C88" s="1">
        <v>2167</v>
      </c>
      <c r="D88" s="1">
        <v>-15.5</v>
      </c>
      <c r="E88" s="1">
        <v>2.7</v>
      </c>
      <c r="F88" s="1">
        <v>0.8</v>
      </c>
      <c r="G88" s="1">
        <v>-32</v>
      </c>
      <c r="H88" s="1">
        <v>-6</v>
      </c>
      <c r="I88" s="1">
        <v>-2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651</v>
      </c>
      <c r="C89" s="1">
        <v>2062</v>
      </c>
      <c r="D89" s="1">
        <v>-22.6</v>
      </c>
      <c r="E89" s="1">
        <v>3.5</v>
      </c>
      <c r="F89" s="1">
        <v>1</v>
      </c>
      <c r="G89" s="1">
        <v>-40</v>
      </c>
      <c r="H89" s="1">
        <v>-7</v>
      </c>
      <c r="I89" s="1">
        <v>-2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635</v>
      </c>
      <c r="C90" s="1">
        <v>1960</v>
      </c>
      <c r="D90" s="1">
        <v>-31.2</v>
      </c>
      <c r="E90" s="1">
        <v>4.3</v>
      </c>
      <c r="F90" s="1">
        <v>1.2</v>
      </c>
      <c r="G90" s="1">
        <v>-50</v>
      </c>
      <c r="H90" s="1">
        <v>-8</v>
      </c>
      <c r="I90" s="1">
        <v>-2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619</v>
      </c>
      <c r="C91" s="1">
        <v>1863</v>
      </c>
      <c r="D91" s="1">
        <v>-41.7</v>
      </c>
      <c r="E91" s="1">
        <v>5.2</v>
      </c>
      <c r="F91" s="1">
        <v>1.5</v>
      </c>
      <c r="G91" s="1">
        <v>-62</v>
      </c>
      <c r="H91" s="1">
        <v>-8</v>
      </c>
      <c r="I91" s="1">
        <v>-2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603</v>
      </c>
      <c r="C92" s="1">
        <v>1769</v>
      </c>
      <c r="D92" s="1">
        <v>-53.5</v>
      </c>
      <c r="E92" s="1">
        <v>6.1</v>
      </c>
      <c r="F92" s="1">
        <v>1.8</v>
      </c>
      <c r="G92" s="1">
        <v>-74</v>
      </c>
      <c r="H92" s="1">
        <v>-9</v>
      </c>
      <c r="I92" s="1">
        <v>-3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588</v>
      </c>
      <c r="C93" s="1">
        <v>1679</v>
      </c>
      <c r="D93" s="1">
        <v>-67</v>
      </c>
      <c r="E93" s="1">
        <v>7.1</v>
      </c>
      <c r="F93" s="1">
        <v>2.1</v>
      </c>
      <c r="G93" s="1">
        <v>-88</v>
      </c>
      <c r="H93" s="1">
        <v>-10</v>
      </c>
      <c r="I93" s="1">
        <v>-3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572</v>
      </c>
      <c r="C94" s="1">
        <v>1593</v>
      </c>
      <c r="D94" s="1">
        <v>-83.1</v>
      </c>
      <c r="E94" s="1">
        <v>8.1</v>
      </c>
      <c r="F94" s="1">
        <v>2.4</v>
      </c>
      <c r="G94" s="1">
        <v>-103</v>
      </c>
      <c r="H94" s="1">
        <v>-11</v>
      </c>
      <c r="I94" s="1">
        <v>-3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557</v>
      </c>
      <c r="C95" s="1">
        <v>1511</v>
      </c>
      <c r="D95" s="1">
        <v>-100.5</v>
      </c>
      <c r="E95" s="1">
        <v>9.1999999999999993</v>
      </c>
      <c r="F95" s="1">
        <v>2.7</v>
      </c>
      <c r="G95" s="1">
        <v>-120</v>
      </c>
      <c r="H95" s="1">
        <v>-12</v>
      </c>
      <c r="I95" s="1">
        <v>-4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543</v>
      </c>
      <c r="C96" s="1">
        <v>1432</v>
      </c>
      <c r="D96" s="1">
        <v>-120</v>
      </c>
      <c r="E96" s="1">
        <v>10.3</v>
      </c>
      <c r="F96" s="1">
        <v>3</v>
      </c>
      <c r="G96" s="1">
        <v>-138</v>
      </c>
      <c r="H96" s="1">
        <v>-13</v>
      </c>
      <c r="I96" s="1">
        <v>-4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528</v>
      </c>
      <c r="C97" s="1">
        <v>1357</v>
      </c>
      <c r="D97" s="1">
        <v>-142.5</v>
      </c>
      <c r="E97" s="1">
        <v>11.5</v>
      </c>
      <c r="F97" s="1">
        <v>3.4</v>
      </c>
      <c r="G97" s="1">
        <v>-158</v>
      </c>
      <c r="H97" s="1">
        <v>-14</v>
      </c>
      <c r="I97" s="1">
        <v>-4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514</v>
      </c>
      <c r="C98" s="1">
        <v>1285</v>
      </c>
      <c r="D98" s="1">
        <v>-166.7</v>
      </c>
      <c r="E98" s="1">
        <v>12.7</v>
      </c>
      <c r="F98" s="1">
        <v>3.7</v>
      </c>
      <c r="G98" s="1">
        <v>-180</v>
      </c>
      <c r="H98" s="1">
        <v>-15</v>
      </c>
      <c r="I98" s="1">
        <v>-4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500</v>
      </c>
      <c r="C99" s="1">
        <v>1217</v>
      </c>
      <c r="D99" s="1">
        <v>-193.3</v>
      </c>
      <c r="E99" s="1">
        <v>14</v>
      </c>
      <c r="F99" s="1">
        <v>4.0999999999999996</v>
      </c>
      <c r="G99" s="1">
        <v>-203</v>
      </c>
      <c r="H99" s="1">
        <v>-16</v>
      </c>
      <c r="I99" s="1">
        <v>-5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487</v>
      </c>
      <c r="C100" s="1">
        <v>1154</v>
      </c>
      <c r="D100" s="1">
        <v>-222.5</v>
      </c>
      <c r="E100" s="1">
        <v>15.3</v>
      </c>
      <c r="F100" s="1">
        <v>4.5</v>
      </c>
      <c r="G100" s="1">
        <v>-227</v>
      </c>
      <c r="H100" s="1">
        <v>-17</v>
      </c>
      <c r="I100" s="1">
        <v>-5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7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</row>
    <row r="104" spans="1:19" x14ac:dyDescent="0.25">
      <c r="A104" s="1">
        <v>0</v>
      </c>
      <c r="B104" s="1">
        <v>808</v>
      </c>
      <c r="C104" s="1">
        <v>3171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789</v>
      </c>
      <c r="C105" s="1">
        <v>3028</v>
      </c>
      <c r="D105" s="1">
        <v>-1.3</v>
      </c>
      <c r="E105" s="1">
        <v>1.8</v>
      </c>
      <c r="F105" s="1">
        <v>0.5</v>
      </c>
      <c r="G105">
        <v>-1</v>
      </c>
      <c r="H105">
        <v>-1</v>
      </c>
      <c r="I105">
        <v>0</v>
      </c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771</v>
      </c>
      <c r="C106" s="1">
        <v>2891</v>
      </c>
      <c r="D106" s="1">
        <v>0.2</v>
      </c>
      <c r="E106" s="1">
        <v>-0.1</v>
      </c>
      <c r="F106" s="1">
        <v>0</v>
      </c>
      <c r="G106">
        <v>-2</v>
      </c>
      <c r="H106">
        <v>-2</v>
      </c>
      <c r="I106">
        <v>0</v>
      </c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753</v>
      </c>
      <c r="C107" s="1">
        <v>2759</v>
      </c>
      <c r="D107" s="1">
        <v>0.6</v>
      </c>
      <c r="E107" s="1">
        <v>-0.3</v>
      </c>
      <c r="F107" s="1">
        <v>-0.1</v>
      </c>
      <c r="G107">
        <v>-4</v>
      </c>
      <c r="H107">
        <v>-2</v>
      </c>
      <c r="I107">
        <v>-1</v>
      </c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736</v>
      </c>
      <c r="C108" s="10">
        <v>2632</v>
      </c>
      <c r="D108" s="10">
        <v>0</v>
      </c>
      <c r="E108" s="10">
        <v>0</v>
      </c>
      <c r="F108" s="10">
        <v>0</v>
      </c>
      <c r="G108">
        <v>-8</v>
      </c>
      <c r="H108">
        <v>-3</v>
      </c>
      <c r="I108">
        <v>-1</v>
      </c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719</v>
      </c>
      <c r="C109" s="1">
        <v>2509</v>
      </c>
      <c r="D109" s="1">
        <v>-1.8</v>
      </c>
      <c r="E109" s="1">
        <v>0.5</v>
      </c>
      <c r="F109" s="1">
        <v>0.1</v>
      </c>
      <c r="G109">
        <v>-12</v>
      </c>
      <c r="H109">
        <v>-4</v>
      </c>
      <c r="I109">
        <v>-1</v>
      </c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701</v>
      </c>
      <c r="C110" s="1">
        <v>2391</v>
      </c>
      <c r="D110" s="1">
        <v>-4.8</v>
      </c>
      <c r="E110" s="1">
        <v>1.1000000000000001</v>
      </c>
      <c r="F110" s="1">
        <v>0.3</v>
      </c>
      <c r="G110">
        <v>-18</v>
      </c>
      <c r="H110">
        <v>-4</v>
      </c>
      <c r="I110">
        <v>-1</v>
      </c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684</v>
      </c>
      <c r="C111" s="1">
        <v>2277</v>
      </c>
      <c r="D111" s="1">
        <v>-9</v>
      </c>
      <c r="E111" s="1">
        <v>1.8</v>
      </c>
      <c r="F111" s="1">
        <v>0.5</v>
      </c>
      <c r="G111">
        <v>-24</v>
      </c>
      <c r="H111">
        <v>-5</v>
      </c>
      <c r="I111">
        <v>-2</v>
      </c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668</v>
      </c>
      <c r="C112" s="1">
        <v>2167</v>
      </c>
      <c r="D112" s="1">
        <v>-14.8</v>
      </c>
      <c r="E112" s="1">
        <v>2.5</v>
      </c>
      <c r="F112" s="1">
        <v>0.7</v>
      </c>
      <c r="G112">
        <v>-32</v>
      </c>
      <c r="H112">
        <v>-6</v>
      </c>
      <c r="I112">
        <v>-2</v>
      </c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651</v>
      </c>
      <c r="C113" s="1">
        <v>2062</v>
      </c>
      <c r="D113" s="1">
        <v>-21.8</v>
      </c>
      <c r="E113" s="1">
        <v>3.3</v>
      </c>
      <c r="F113" s="1">
        <v>1</v>
      </c>
      <c r="G113">
        <v>-40</v>
      </c>
      <c r="H113">
        <v>-7</v>
      </c>
      <c r="I113">
        <v>-2</v>
      </c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635</v>
      </c>
      <c r="C114" s="1">
        <v>1960</v>
      </c>
      <c r="D114" s="1">
        <v>-30.2</v>
      </c>
      <c r="E114" s="1">
        <v>4.2</v>
      </c>
      <c r="F114" s="1">
        <v>1.2</v>
      </c>
      <c r="G114">
        <v>-50</v>
      </c>
      <c r="H114">
        <v>-8</v>
      </c>
      <c r="I114">
        <v>-2</v>
      </c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619</v>
      </c>
      <c r="C115" s="1">
        <v>1863</v>
      </c>
      <c r="D115" s="1">
        <v>-40.700000000000003</v>
      </c>
      <c r="E115" s="1">
        <v>5.0999999999999996</v>
      </c>
      <c r="F115" s="1">
        <v>1.5</v>
      </c>
      <c r="G115">
        <v>-62</v>
      </c>
      <c r="H115">
        <v>-8</v>
      </c>
      <c r="I115">
        <v>-2</v>
      </c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603</v>
      </c>
      <c r="C116" s="1">
        <v>1769</v>
      </c>
      <c r="D116" s="1">
        <v>-52.4</v>
      </c>
      <c r="E116" s="1">
        <v>6</v>
      </c>
      <c r="F116" s="1">
        <v>1.7</v>
      </c>
      <c r="G116">
        <v>-74</v>
      </c>
      <c r="H116">
        <v>-9</v>
      </c>
      <c r="I116">
        <v>-3</v>
      </c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588</v>
      </c>
      <c r="C117" s="1">
        <v>1679</v>
      </c>
      <c r="D117" s="1">
        <v>-65.8</v>
      </c>
      <c r="E117" s="1">
        <v>7</v>
      </c>
      <c r="F117" s="1">
        <v>2</v>
      </c>
      <c r="G117">
        <v>-88</v>
      </c>
      <c r="H117">
        <v>-10</v>
      </c>
      <c r="I117">
        <v>-3</v>
      </c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572</v>
      </c>
      <c r="C118" s="1">
        <v>1593</v>
      </c>
      <c r="D118" s="1">
        <v>-81.7</v>
      </c>
      <c r="E118" s="1">
        <v>8</v>
      </c>
      <c r="F118" s="1">
        <v>2.2999999999999998</v>
      </c>
      <c r="G118">
        <v>-103</v>
      </c>
      <c r="H118">
        <v>-11</v>
      </c>
      <c r="I118">
        <v>-3</v>
      </c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557</v>
      </c>
      <c r="C119" s="1">
        <v>1511</v>
      </c>
      <c r="D119" s="1">
        <v>-99.1</v>
      </c>
      <c r="E119" s="1">
        <v>9.1</v>
      </c>
      <c r="F119" s="1">
        <v>2.6</v>
      </c>
      <c r="G119">
        <v>-120</v>
      </c>
      <c r="H119">
        <v>-12</v>
      </c>
      <c r="I119">
        <v>-4</v>
      </c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543</v>
      </c>
      <c r="C120" s="1">
        <v>1432</v>
      </c>
      <c r="D120" s="1">
        <v>-118.5</v>
      </c>
      <c r="E120" s="1">
        <v>10.199999999999999</v>
      </c>
      <c r="F120" s="1">
        <v>3</v>
      </c>
      <c r="G120">
        <v>-138</v>
      </c>
      <c r="H120">
        <v>-13</v>
      </c>
      <c r="I120">
        <v>-4</v>
      </c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528</v>
      </c>
      <c r="C121" s="1">
        <v>1357</v>
      </c>
      <c r="D121" s="1">
        <v>-140.9</v>
      </c>
      <c r="E121" s="1">
        <v>11.4</v>
      </c>
      <c r="F121" s="1">
        <v>3.3</v>
      </c>
      <c r="G121">
        <v>-158</v>
      </c>
      <c r="H121">
        <v>-14</v>
      </c>
      <c r="I121">
        <v>-4</v>
      </c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514</v>
      </c>
      <c r="C122" s="1">
        <v>1285</v>
      </c>
      <c r="D122" s="1">
        <v>-165</v>
      </c>
      <c r="E122" s="1">
        <v>12.6</v>
      </c>
      <c r="F122" s="1">
        <v>3.7</v>
      </c>
      <c r="G122">
        <v>-180</v>
      </c>
      <c r="H122">
        <v>-15</v>
      </c>
      <c r="I122">
        <v>-4</v>
      </c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500</v>
      </c>
      <c r="C123" s="1">
        <v>1217</v>
      </c>
      <c r="D123" s="1">
        <v>-191.5</v>
      </c>
      <c r="E123" s="1">
        <v>13.9</v>
      </c>
      <c r="F123" s="1">
        <v>4</v>
      </c>
      <c r="G123">
        <v>-203</v>
      </c>
      <c r="H123">
        <v>-16</v>
      </c>
      <c r="I123">
        <v>-5</v>
      </c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487</v>
      </c>
      <c r="C124" s="1">
        <v>1154</v>
      </c>
      <c r="D124" s="1">
        <v>-220.6</v>
      </c>
      <c r="E124" s="1">
        <v>15.2</v>
      </c>
      <c r="F124" s="1">
        <v>4.4000000000000004</v>
      </c>
      <c r="G124">
        <v>-227</v>
      </c>
      <c r="H124">
        <v>-17</v>
      </c>
      <c r="I124">
        <v>-5</v>
      </c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8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</row>
    <row r="128" spans="1:19" x14ac:dyDescent="0.25">
      <c r="A128" s="1">
        <v>0</v>
      </c>
      <c r="B128" s="1">
        <v>808</v>
      </c>
      <c r="C128" s="1">
        <v>3171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789</v>
      </c>
      <c r="C129" s="1">
        <v>3028</v>
      </c>
      <c r="D129" s="1">
        <v>-0.5</v>
      </c>
      <c r="E129" s="1">
        <v>0.7</v>
      </c>
      <c r="F129" s="1">
        <v>0.2</v>
      </c>
      <c r="G129">
        <v>-1</v>
      </c>
      <c r="H129">
        <v>-1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771</v>
      </c>
      <c r="C130" s="1">
        <v>2891</v>
      </c>
      <c r="D130" s="1">
        <v>1.8</v>
      </c>
      <c r="E130" s="1">
        <v>-1.2</v>
      </c>
      <c r="F130" s="1">
        <v>-0.4</v>
      </c>
      <c r="G130">
        <v>-2</v>
      </c>
      <c r="H130">
        <v>-2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753</v>
      </c>
      <c r="C131" s="1">
        <v>2759</v>
      </c>
      <c r="D131" s="1">
        <v>3.1</v>
      </c>
      <c r="E131" s="1">
        <v>-1.4</v>
      </c>
      <c r="F131" s="1">
        <v>-0.4</v>
      </c>
      <c r="G131">
        <v>-4</v>
      </c>
      <c r="H131">
        <v>-2</v>
      </c>
      <c r="I131">
        <v>-1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736</v>
      </c>
      <c r="C132" s="1">
        <v>2632</v>
      </c>
      <c r="D132" s="1">
        <v>3.2</v>
      </c>
      <c r="E132" s="1">
        <v>-1.1000000000000001</v>
      </c>
      <c r="F132" s="1">
        <v>-0.3</v>
      </c>
      <c r="G132">
        <v>-8</v>
      </c>
      <c r="H132">
        <v>-3</v>
      </c>
      <c r="I132">
        <v>-1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718</v>
      </c>
      <c r="C133" s="1">
        <v>2509</v>
      </c>
      <c r="D133" s="1">
        <v>2.2000000000000002</v>
      </c>
      <c r="E133" s="1">
        <v>-0.6</v>
      </c>
      <c r="F133" s="1">
        <v>-0.2</v>
      </c>
      <c r="G133">
        <v>-12</v>
      </c>
      <c r="H133">
        <v>-4</v>
      </c>
      <c r="I133">
        <v>-1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701</v>
      </c>
      <c r="C134" s="10">
        <v>2391</v>
      </c>
      <c r="D134" s="10">
        <v>0</v>
      </c>
      <c r="E134" s="10">
        <v>0</v>
      </c>
      <c r="F134" s="10">
        <v>0</v>
      </c>
      <c r="G134">
        <v>-18</v>
      </c>
      <c r="H134">
        <v>-4</v>
      </c>
      <c r="I134">
        <v>-1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684</v>
      </c>
      <c r="C135" s="1">
        <v>2277</v>
      </c>
      <c r="D135" s="1">
        <v>-3.4</v>
      </c>
      <c r="E135" s="1">
        <v>0.7</v>
      </c>
      <c r="F135" s="1">
        <v>0.2</v>
      </c>
      <c r="G135">
        <v>-24</v>
      </c>
      <c r="H135">
        <v>-5</v>
      </c>
      <c r="I135">
        <v>-2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668</v>
      </c>
      <c r="C136" s="1">
        <v>2167</v>
      </c>
      <c r="D136" s="1">
        <v>-8.4</v>
      </c>
      <c r="E136" s="1">
        <v>1.4</v>
      </c>
      <c r="F136" s="1">
        <v>0.4</v>
      </c>
      <c r="G136">
        <v>-32</v>
      </c>
      <c r="H136">
        <v>-6</v>
      </c>
      <c r="I136">
        <v>-2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651</v>
      </c>
      <c r="C137" s="1">
        <v>2062</v>
      </c>
      <c r="D137" s="1">
        <v>-14.6</v>
      </c>
      <c r="E137" s="1">
        <v>2.2000000000000002</v>
      </c>
      <c r="F137" s="1">
        <v>0.6</v>
      </c>
      <c r="G137">
        <v>-40</v>
      </c>
      <c r="H137">
        <v>-7</v>
      </c>
      <c r="I137">
        <v>-2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635</v>
      </c>
      <c r="C138" s="1">
        <v>1960</v>
      </c>
      <c r="D138" s="1">
        <v>-22.2</v>
      </c>
      <c r="E138" s="1">
        <v>3.1</v>
      </c>
      <c r="F138" s="1">
        <v>0.9</v>
      </c>
      <c r="G138">
        <v>-50</v>
      </c>
      <c r="H138">
        <v>-8</v>
      </c>
      <c r="I138">
        <v>-2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619</v>
      </c>
      <c r="C139" s="1">
        <v>1863</v>
      </c>
      <c r="D139" s="1">
        <v>-31.8</v>
      </c>
      <c r="E139" s="1">
        <v>4</v>
      </c>
      <c r="F139" s="1">
        <v>1.2</v>
      </c>
      <c r="G139">
        <v>-62</v>
      </c>
      <c r="H139">
        <v>-8</v>
      </c>
      <c r="I139">
        <v>-2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603</v>
      </c>
      <c r="C140" s="1">
        <v>1769</v>
      </c>
      <c r="D140" s="1">
        <v>-42.8</v>
      </c>
      <c r="E140" s="1">
        <v>4.9000000000000004</v>
      </c>
      <c r="F140" s="1">
        <v>1.4</v>
      </c>
      <c r="G140">
        <v>-74</v>
      </c>
      <c r="H140">
        <v>-9</v>
      </c>
      <c r="I140">
        <v>-3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588</v>
      </c>
      <c r="C141" s="1">
        <v>1679</v>
      </c>
      <c r="D141" s="1">
        <v>-55.4</v>
      </c>
      <c r="E141" s="1">
        <v>5.9</v>
      </c>
      <c r="F141" s="1">
        <v>1.7</v>
      </c>
      <c r="G141">
        <v>-88</v>
      </c>
      <c r="H141">
        <v>-10</v>
      </c>
      <c r="I141">
        <v>-3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572</v>
      </c>
      <c r="C142" s="1">
        <v>1593</v>
      </c>
      <c r="D142" s="1">
        <v>-70.5</v>
      </c>
      <c r="E142" s="1">
        <v>6.9</v>
      </c>
      <c r="F142" s="1">
        <v>2</v>
      </c>
      <c r="G142">
        <v>-103</v>
      </c>
      <c r="H142">
        <v>-11</v>
      </c>
      <c r="I142">
        <v>-3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557</v>
      </c>
      <c r="C143" s="1">
        <v>1511</v>
      </c>
      <c r="D143" s="1">
        <v>-87.1</v>
      </c>
      <c r="E143" s="1">
        <v>8</v>
      </c>
      <c r="F143" s="1">
        <v>2.2999999999999998</v>
      </c>
      <c r="G143">
        <v>-120</v>
      </c>
      <c r="H143">
        <v>-12</v>
      </c>
      <c r="I143">
        <v>-4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543</v>
      </c>
      <c r="C144" s="1">
        <v>1432</v>
      </c>
      <c r="D144" s="1">
        <v>-105.7</v>
      </c>
      <c r="E144" s="1">
        <v>9.1</v>
      </c>
      <c r="F144" s="1">
        <v>2.6</v>
      </c>
      <c r="G144">
        <v>-138</v>
      </c>
      <c r="H144">
        <v>-13</v>
      </c>
      <c r="I144">
        <v>-4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528</v>
      </c>
      <c r="C145" s="1">
        <v>1357</v>
      </c>
      <c r="D145" s="1">
        <v>-127.3</v>
      </c>
      <c r="E145" s="1">
        <v>10.3</v>
      </c>
      <c r="F145" s="1">
        <v>3</v>
      </c>
      <c r="G145">
        <v>-158</v>
      </c>
      <c r="H145">
        <v>-14</v>
      </c>
      <c r="I145">
        <v>-4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514</v>
      </c>
      <c r="C146" s="1">
        <v>1285</v>
      </c>
      <c r="D146" s="1">
        <v>-150.6</v>
      </c>
      <c r="E146" s="1">
        <v>11.5</v>
      </c>
      <c r="F146" s="1">
        <v>3.3</v>
      </c>
      <c r="G146">
        <v>-180</v>
      </c>
      <c r="H146">
        <v>-15</v>
      </c>
      <c r="I146">
        <v>-4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500</v>
      </c>
      <c r="C147" s="1">
        <v>1217</v>
      </c>
      <c r="D147" s="1">
        <v>-176.3</v>
      </c>
      <c r="E147" s="1">
        <v>12.8</v>
      </c>
      <c r="F147" s="1">
        <v>3.7</v>
      </c>
      <c r="G147">
        <v>-203</v>
      </c>
      <c r="H147">
        <v>-16</v>
      </c>
      <c r="I147">
        <v>-5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487</v>
      </c>
      <c r="C148" s="1">
        <v>1154</v>
      </c>
      <c r="D148" s="1">
        <v>-204.6</v>
      </c>
      <c r="E148" s="1">
        <v>14.1</v>
      </c>
      <c r="F148" s="1">
        <v>4.0999999999999996</v>
      </c>
      <c r="G148">
        <v>-227</v>
      </c>
      <c r="H148">
        <v>-17</v>
      </c>
      <c r="I148">
        <v>-5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9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</row>
    <row r="152" spans="1:19" x14ac:dyDescent="0.25">
      <c r="A152" s="1">
        <v>0</v>
      </c>
      <c r="B152" s="1">
        <v>808</v>
      </c>
      <c r="C152" s="1">
        <v>3171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789</v>
      </c>
      <c r="C153" s="1">
        <v>3028</v>
      </c>
      <c r="D153" s="1">
        <v>0.5</v>
      </c>
      <c r="E153" s="1">
        <v>-0.7</v>
      </c>
      <c r="F153" s="1">
        <v>-0.2</v>
      </c>
      <c r="G153">
        <v>-1</v>
      </c>
      <c r="H153">
        <v>-1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771</v>
      </c>
      <c r="C154" s="1">
        <v>2891</v>
      </c>
      <c r="D154" s="1">
        <v>3.9</v>
      </c>
      <c r="E154" s="1">
        <v>-2.7</v>
      </c>
      <c r="F154" s="1">
        <v>-0.8</v>
      </c>
      <c r="G154">
        <v>-2</v>
      </c>
      <c r="H154">
        <v>-2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753</v>
      </c>
      <c r="C155" s="1">
        <v>2759</v>
      </c>
      <c r="D155" s="1">
        <v>6.2</v>
      </c>
      <c r="E155" s="1">
        <v>-2.8</v>
      </c>
      <c r="F155" s="1">
        <v>-0.8</v>
      </c>
      <c r="G155">
        <v>-4</v>
      </c>
      <c r="H155">
        <v>-2</v>
      </c>
      <c r="I155">
        <v>-1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736</v>
      </c>
      <c r="C156" s="1">
        <v>2632</v>
      </c>
      <c r="D156" s="1">
        <v>7.4</v>
      </c>
      <c r="E156" s="1">
        <v>-2.5</v>
      </c>
      <c r="F156" s="1">
        <v>-0.7</v>
      </c>
      <c r="G156">
        <v>-8</v>
      </c>
      <c r="H156">
        <v>-3</v>
      </c>
      <c r="I156">
        <v>-1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718</v>
      </c>
      <c r="C157" s="1">
        <v>2509</v>
      </c>
      <c r="D157" s="1">
        <v>7.4</v>
      </c>
      <c r="E157" s="1">
        <v>-2</v>
      </c>
      <c r="F157" s="1">
        <v>-0.6</v>
      </c>
      <c r="G157">
        <v>-12</v>
      </c>
      <c r="H157">
        <v>-4</v>
      </c>
      <c r="I157">
        <v>-1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701</v>
      </c>
      <c r="C158" s="1">
        <v>2391</v>
      </c>
      <c r="D158" s="1">
        <v>6.2</v>
      </c>
      <c r="E158" s="1">
        <v>-1.4</v>
      </c>
      <c r="F158" s="1">
        <v>-0.4</v>
      </c>
      <c r="G158">
        <v>-18</v>
      </c>
      <c r="H158">
        <v>-4</v>
      </c>
      <c r="I158">
        <v>-1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684</v>
      </c>
      <c r="C159" s="1">
        <v>2277</v>
      </c>
      <c r="D159" s="1">
        <v>3.8</v>
      </c>
      <c r="E159" s="1">
        <v>-0.8</v>
      </c>
      <c r="F159" s="1">
        <v>-0.2</v>
      </c>
      <c r="G159">
        <v>-24</v>
      </c>
      <c r="H159">
        <v>-5</v>
      </c>
      <c r="I159">
        <v>-2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668</v>
      </c>
      <c r="C160" s="10">
        <v>2167</v>
      </c>
      <c r="D160" s="10">
        <v>-0.1</v>
      </c>
      <c r="E160" s="10">
        <v>0</v>
      </c>
      <c r="F160" s="10">
        <v>0</v>
      </c>
      <c r="G160">
        <v>-32</v>
      </c>
      <c r="H160">
        <v>-6</v>
      </c>
      <c r="I160">
        <v>-2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651</v>
      </c>
      <c r="C161" s="1">
        <v>2062</v>
      </c>
      <c r="D161" s="1">
        <v>-5.2</v>
      </c>
      <c r="E161" s="1">
        <v>0.8</v>
      </c>
      <c r="F161" s="1">
        <v>0.2</v>
      </c>
      <c r="G161">
        <v>-40</v>
      </c>
      <c r="H161">
        <v>-7</v>
      </c>
      <c r="I161">
        <v>-2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635</v>
      </c>
      <c r="C162" s="1">
        <v>1960</v>
      </c>
      <c r="D162" s="1">
        <v>-11.9</v>
      </c>
      <c r="E162" s="1">
        <v>1.6</v>
      </c>
      <c r="F162" s="1">
        <v>0.5</v>
      </c>
      <c r="G162">
        <v>-50</v>
      </c>
      <c r="H162">
        <v>-8</v>
      </c>
      <c r="I162">
        <v>-2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619</v>
      </c>
      <c r="C163" s="1">
        <v>1863</v>
      </c>
      <c r="D163" s="1">
        <v>-20.399999999999999</v>
      </c>
      <c r="E163" s="1">
        <v>2.6</v>
      </c>
      <c r="F163" s="1">
        <v>0.7</v>
      </c>
      <c r="G163">
        <v>-62</v>
      </c>
      <c r="H163">
        <v>-8</v>
      </c>
      <c r="I163">
        <v>-2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603</v>
      </c>
      <c r="C164" s="1">
        <v>1769</v>
      </c>
      <c r="D164" s="1">
        <v>-30.3</v>
      </c>
      <c r="E164" s="1">
        <v>3.5</v>
      </c>
      <c r="F164" s="1">
        <v>1</v>
      </c>
      <c r="G164">
        <v>-74</v>
      </c>
      <c r="H164">
        <v>-9</v>
      </c>
      <c r="I164">
        <v>-3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588</v>
      </c>
      <c r="C165" s="1">
        <v>1679</v>
      </c>
      <c r="D165" s="1">
        <v>-42</v>
      </c>
      <c r="E165" s="1">
        <v>4.4000000000000004</v>
      </c>
      <c r="F165" s="1">
        <v>1.3</v>
      </c>
      <c r="G165">
        <v>-88</v>
      </c>
      <c r="H165">
        <v>-10</v>
      </c>
      <c r="I165">
        <v>-3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572</v>
      </c>
      <c r="C166" s="1">
        <v>1593</v>
      </c>
      <c r="D166" s="1">
        <v>-56</v>
      </c>
      <c r="E166" s="1">
        <v>5.5</v>
      </c>
      <c r="F166" s="1">
        <v>1.6</v>
      </c>
      <c r="G166">
        <v>-103</v>
      </c>
      <c r="H166">
        <v>-11</v>
      </c>
      <c r="I166">
        <v>-3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557</v>
      </c>
      <c r="C167" s="1">
        <v>1511</v>
      </c>
      <c r="D167" s="1">
        <v>-71.5</v>
      </c>
      <c r="E167" s="1">
        <v>6.6</v>
      </c>
      <c r="F167" s="1">
        <v>1.9</v>
      </c>
      <c r="G167">
        <v>-120</v>
      </c>
      <c r="H167">
        <v>-12</v>
      </c>
      <c r="I167">
        <v>-4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543</v>
      </c>
      <c r="C168" s="1">
        <v>1432</v>
      </c>
      <c r="D168" s="1">
        <v>-89.1</v>
      </c>
      <c r="E168" s="1">
        <v>7.7</v>
      </c>
      <c r="F168" s="1">
        <v>2.2000000000000002</v>
      </c>
      <c r="G168">
        <v>-138</v>
      </c>
      <c r="H168">
        <v>-13</v>
      </c>
      <c r="I168">
        <v>-4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528</v>
      </c>
      <c r="C169" s="1">
        <v>1356</v>
      </c>
      <c r="D169" s="1">
        <v>-109.7</v>
      </c>
      <c r="E169" s="1">
        <v>8.9</v>
      </c>
      <c r="F169" s="1">
        <v>2.6</v>
      </c>
      <c r="G169">
        <v>-158</v>
      </c>
      <c r="H169">
        <v>-14</v>
      </c>
      <c r="I169">
        <v>-4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514</v>
      </c>
      <c r="C170" s="1">
        <v>1285</v>
      </c>
      <c r="D170" s="1">
        <v>-131.9</v>
      </c>
      <c r="E170" s="1">
        <v>10.1</v>
      </c>
      <c r="F170" s="1">
        <v>2.9</v>
      </c>
      <c r="G170">
        <v>-180</v>
      </c>
      <c r="H170">
        <v>-15</v>
      </c>
      <c r="I170">
        <v>-4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500</v>
      </c>
      <c r="C171" s="1">
        <v>1217</v>
      </c>
      <c r="D171" s="1">
        <v>-156.6</v>
      </c>
      <c r="E171" s="1">
        <v>11.3</v>
      </c>
      <c r="F171" s="1">
        <v>3.3</v>
      </c>
      <c r="G171">
        <v>-203</v>
      </c>
      <c r="H171">
        <v>-16</v>
      </c>
      <c r="I171">
        <v>-5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487</v>
      </c>
      <c r="C172" s="1">
        <v>1154</v>
      </c>
      <c r="D172" s="1">
        <v>-184</v>
      </c>
      <c r="E172" s="1">
        <v>12.7</v>
      </c>
      <c r="F172" s="1">
        <v>3.7</v>
      </c>
      <c r="G172">
        <v>-227</v>
      </c>
      <c r="H172">
        <v>-17</v>
      </c>
      <c r="I172">
        <v>-5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10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</row>
    <row r="176" spans="1:19" x14ac:dyDescent="0.25">
      <c r="A176" s="1">
        <v>0</v>
      </c>
      <c r="B176" s="1">
        <v>808</v>
      </c>
      <c r="C176" s="1">
        <v>3171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789</v>
      </c>
      <c r="C177" s="1">
        <v>3028</v>
      </c>
      <c r="D177" s="1">
        <v>3</v>
      </c>
      <c r="E177" s="1">
        <v>-4.2</v>
      </c>
      <c r="F177" s="1">
        <v>-1.2</v>
      </c>
      <c r="G177">
        <v>-1</v>
      </c>
      <c r="H177">
        <v>-1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771</v>
      </c>
      <c r="C178" s="1">
        <v>2891</v>
      </c>
      <c r="D178" s="1">
        <v>9</v>
      </c>
      <c r="E178" s="1">
        <v>-6.1</v>
      </c>
      <c r="F178" s="1">
        <v>-1.8</v>
      </c>
      <c r="G178">
        <v>-2</v>
      </c>
      <c r="H178">
        <v>-2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753</v>
      </c>
      <c r="C179" s="1">
        <v>2759</v>
      </c>
      <c r="D179" s="1">
        <v>13.8</v>
      </c>
      <c r="E179" s="1">
        <v>-6.3</v>
      </c>
      <c r="F179" s="1">
        <v>-1.8</v>
      </c>
      <c r="G179">
        <v>-4</v>
      </c>
      <c r="H179">
        <v>-2</v>
      </c>
      <c r="I179">
        <v>-1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736</v>
      </c>
      <c r="C180" s="1">
        <v>2632</v>
      </c>
      <c r="D180" s="1">
        <v>17.399999999999999</v>
      </c>
      <c r="E180" s="1">
        <v>-6</v>
      </c>
      <c r="F180" s="1">
        <v>-1.7</v>
      </c>
      <c r="G180">
        <v>-8</v>
      </c>
      <c r="H180">
        <v>-3</v>
      </c>
      <c r="I180">
        <v>-1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718</v>
      </c>
      <c r="C181" s="1">
        <v>2509</v>
      </c>
      <c r="D181" s="1">
        <v>20.100000000000001</v>
      </c>
      <c r="E181" s="1">
        <v>-5.5</v>
      </c>
      <c r="F181" s="1">
        <v>-1.6</v>
      </c>
      <c r="G181">
        <v>-12</v>
      </c>
      <c r="H181">
        <v>-4</v>
      </c>
      <c r="I181">
        <v>-1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701</v>
      </c>
      <c r="C182" s="1">
        <v>2391</v>
      </c>
      <c r="D182" s="1">
        <v>21.4</v>
      </c>
      <c r="E182" s="1">
        <v>-4.9000000000000004</v>
      </c>
      <c r="F182" s="1">
        <v>-1.4</v>
      </c>
      <c r="G182">
        <v>-18</v>
      </c>
      <c r="H182">
        <v>-4</v>
      </c>
      <c r="I182">
        <v>-1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684</v>
      </c>
      <c r="C183" s="1">
        <v>2277</v>
      </c>
      <c r="D183" s="1">
        <v>21.5</v>
      </c>
      <c r="E183" s="1">
        <v>-4.2</v>
      </c>
      <c r="F183" s="1">
        <v>-1.2</v>
      </c>
      <c r="G183">
        <v>-24</v>
      </c>
      <c r="H183">
        <v>-5</v>
      </c>
      <c r="I183">
        <v>-2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668</v>
      </c>
      <c r="C184" s="1">
        <v>2167</v>
      </c>
      <c r="D184" s="1">
        <v>20.2</v>
      </c>
      <c r="E184" s="1">
        <v>-3.5</v>
      </c>
      <c r="F184" s="1">
        <v>-1</v>
      </c>
      <c r="G184">
        <v>-32</v>
      </c>
      <c r="H184">
        <v>-6</v>
      </c>
      <c r="I184">
        <v>-2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651</v>
      </c>
      <c r="C185" s="1">
        <v>2062</v>
      </c>
      <c r="D185" s="1">
        <v>17.5</v>
      </c>
      <c r="E185" s="1">
        <v>-2.7</v>
      </c>
      <c r="F185" s="1">
        <v>-0.8</v>
      </c>
      <c r="G185">
        <v>-40</v>
      </c>
      <c r="H185">
        <v>-7</v>
      </c>
      <c r="I185">
        <v>-2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635</v>
      </c>
      <c r="C186" s="1">
        <v>1960</v>
      </c>
      <c r="D186" s="1">
        <v>13.3</v>
      </c>
      <c r="E186" s="1">
        <v>-1.8</v>
      </c>
      <c r="F186" s="1">
        <v>-0.5</v>
      </c>
      <c r="G186">
        <v>-50</v>
      </c>
      <c r="H186">
        <v>-8</v>
      </c>
      <c r="I186">
        <v>-2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619</v>
      </c>
      <c r="C187" s="1">
        <v>1862</v>
      </c>
      <c r="D187" s="1">
        <v>7.4</v>
      </c>
      <c r="E187" s="1">
        <v>-0.9</v>
      </c>
      <c r="F187" s="1">
        <v>-0.3</v>
      </c>
      <c r="G187">
        <v>-62</v>
      </c>
      <c r="H187">
        <v>-8</v>
      </c>
      <c r="I187">
        <v>-2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603</v>
      </c>
      <c r="C188" s="10">
        <v>1769</v>
      </c>
      <c r="D188" s="10">
        <v>0</v>
      </c>
      <c r="E188" s="10">
        <v>0</v>
      </c>
      <c r="F188" s="10">
        <v>0</v>
      </c>
      <c r="G188">
        <v>-74</v>
      </c>
      <c r="H188">
        <v>-9</v>
      </c>
      <c r="I188">
        <v>-3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588</v>
      </c>
      <c r="C189" s="1">
        <v>1679</v>
      </c>
      <c r="D189" s="1">
        <v>-9.1999999999999993</v>
      </c>
      <c r="E189" s="1">
        <v>1</v>
      </c>
      <c r="F189" s="1">
        <v>0.3</v>
      </c>
      <c r="G189">
        <v>-88</v>
      </c>
      <c r="H189">
        <v>-10</v>
      </c>
      <c r="I189">
        <v>-3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572</v>
      </c>
      <c r="C190" s="1">
        <v>1593</v>
      </c>
      <c r="D190" s="1">
        <v>-20.6</v>
      </c>
      <c r="E190" s="1">
        <v>2</v>
      </c>
      <c r="F190" s="1">
        <v>0.6</v>
      </c>
      <c r="G190">
        <v>-103</v>
      </c>
      <c r="H190">
        <v>-11</v>
      </c>
      <c r="I190">
        <v>-3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557</v>
      </c>
      <c r="C191" s="1">
        <v>1510</v>
      </c>
      <c r="D191" s="1">
        <v>-33.6</v>
      </c>
      <c r="E191" s="1">
        <v>3.1</v>
      </c>
      <c r="F191" s="1">
        <v>0.9</v>
      </c>
      <c r="G191">
        <v>-120</v>
      </c>
      <c r="H191">
        <v>-12</v>
      </c>
      <c r="I191">
        <v>-4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543</v>
      </c>
      <c r="C192" s="1">
        <v>1432</v>
      </c>
      <c r="D192" s="1">
        <v>-48.8</v>
      </c>
      <c r="E192" s="1">
        <v>4.2</v>
      </c>
      <c r="F192" s="1">
        <v>1.2</v>
      </c>
      <c r="G192">
        <v>-138</v>
      </c>
      <c r="H192">
        <v>-13</v>
      </c>
      <c r="I192">
        <v>-4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528</v>
      </c>
      <c r="C193" s="1">
        <v>1356</v>
      </c>
      <c r="D193" s="1">
        <v>-66.7</v>
      </c>
      <c r="E193" s="1">
        <v>5.4</v>
      </c>
      <c r="F193" s="1">
        <v>1.6</v>
      </c>
      <c r="G193">
        <v>-158</v>
      </c>
      <c r="H193">
        <v>-14</v>
      </c>
      <c r="I193">
        <v>-4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514</v>
      </c>
      <c r="C194" s="1">
        <v>1285</v>
      </c>
      <c r="D194" s="1">
        <v>-86.5</v>
      </c>
      <c r="E194" s="1">
        <v>6.6</v>
      </c>
      <c r="F194" s="1">
        <v>1.9</v>
      </c>
      <c r="G194">
        <v>-180</v>
      </c>
      <c r="H194">
        <v>-15</v>
      </c>
      <c r="I194">
        <v>-4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500</v>
      </c>
      <c r="C195" s="1">
        <v>1217</v>
      </c>
      <c r="D195" s="1">
        <v>-108.7</v>
      </c>
      <c r="E195" s="1">
        <v>7.9</v>
      </c>
      <c r="F195" s="1">
        <v>2.2999999999999998</v>
      </c>
      <c r="G195">
        <v>-203</v>
      </c>
      <c r="H195">
        <v>-16</v>
      </c>
      <c r="I195">
        <v>-5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487</v>
      </c>
      <c r="C196" s="1">
        <v>1154</v>
      </c>
      <c r="D196" s="1">
        <v>-133.5</v>
      </c>
      <c r="E196" s="1">
        <v>9.1999999999999993</v>
      </c>
      <c r="F196" s="1">
        <v>2.7</v>
      </c>
      <c r="G196">
        <v>-227</v>
      </c>
      <c r="H196">
        <v>-17</v>
      </c>
      <c r="I196">
        <v>-5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31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</row>
    <row r="200" spans="1:19" x14ac:dyDescent="0.25">
      <c r="A200" s="1">
        <v>0</v>
      </c>
      <c r="B200" s="1">
        <v>808</v>
      </c>
      <c r="C200" s="1">
        <v>3171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789</v>
      </c>
      <c r="C201" s="1">
        <v>3028</v>
      </c>
      <c r="D201" s="1">
        <v>6</v>
      </c>
      <c r="E201" s="1">
        <v>-8.3000000000000007</v>
      </c>
      <c r="F201" s="1">
        <v>-2.4</v>
      </c>
      <c r="G201">
        <v>-1</v>
      </c>
      <c r="H201">
        <v>-1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771</v>
      </c>
      <c r="C202" s="1">
        <v>2891</v>
      </c>
      <c r="D202" s="1">
        <v>15.2</v>
      </c>
      <c r="E202" s="1">
        <v>-10.3</v>
      </c>
      <c r="F202" s="1">
        <v>-3</v>
      </c>
      <c r="G202">
        <v>-2</v>
      </c>
      <c r="H202">
        <v>-2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753</v>
      </c>
      <c r="C203" s="1">
        <v>2759</v>
      </c>
      <c r="D203" s="1">
        <v>22.9</v>
      </c>
      <c r="E203" s="1">
        <v>-10.5</v>
      </c>
      <c r="F203" s="1">
        <v>-3</v>
      </c>
      <c r="G203">
        <v>-4</v>
      </c>
      <c r="H203">
        <v>-2</v>
      </c>
      <c r="I203">
        <v>-1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736</v>
      </c>
      <c r="C204" s="1">
        <v>2632</v>
      </c>
      <c r="D204" s="1">
        <v>29.6</v>
      </c>
      <c r="E204" s="1">
        <v>-10.199999999999999</v>
      </c>
      <c r="F204" s="1">
        <v>-3</v>
      </c>
      <c r="G204">
        <v>-8</v>
      </c>
      <c r="H204">
        <v>-3</v>
      </c>
      <c r="I204">
        <v>-1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718</v>
      </c>
      <c r="C205" s="1">
        <v>2509</v>
      </c>
      <c r="D205" s="1">
        <v>35.4</v>
      </c>
      <c r="E205" s="1">
        <v>-9.6999999999999993</v>
      </c>
      <c r="F205" s="1">
        <v>-2.8</v>
      </c>
      <c r="G205">
        <v>-12</v>
      </c>
      <c r="H205">
        <v>-4</v>
      </c>
      <c r="I205">
        <v>-1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701</v>
      </c>
      <c r="C206" s="1">
        <v>2391</v>
      </c>
      <c r="D206" s="1">
        <v>39.700000000000003</v>
      </c>
      <c r="E206" s="1">
        <v>-9.1</v>
      </c>
      <c r="F206" s="1">
        <v>-2.6</v>
      </c>
      <c r="G206">
        <v>-18</v>
      </c>
      <c r="H206">
        <v>-4</v>
      </c>
      <c r="I206">
        <v>-1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684</v>
      </c>
      <c r="C207" s="1">
        <v>2277</v>
      </c>
      <c r="D207" s="1">
        <v>42.8</v>
      </c>
      <c r="E207" s="1">
        <v>-8.4</v>
      </c>
      <c r="F207" s="1">
        <v>-2.4</v>
      </c>
      <c r="G207">
        <v>-24</v>
      </c>
      <c r="H207">
        <v>-5</v>
      </c>
      <c r="I207">
        <v>-2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668</v>
      </c>
      <c r="C208" s="1">
        <v>2167</v>
      </c>
      <c r="D208" s="1">
        <v>44.6</v>
      </c>
      <c r="E208" s="1">
        <v>-7.7</v>
      </c>
      <c r="F208" s="1">
        <v>-2.2000000000000002</v>
      </c>
      <c r="G208">
        <v>-32</v>
      </c>
      <c r="H208">
        <v>-6</v>
      </c>
      <c r="I208">
        <v>-2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651</v>
      </c>
      <c r="C209" s="1">
        <v>2062</v>
      </c>
      <c r="D209" s="1">
        <v>44.9</v>
      </c>
      <c r="E209" s="1">
        <v>-6.9</v>
      </c>
      <c r="F209" s="1">
        <v>-2</v>
      </c>
      <c r="G209">
        <v>-40</v>
      </c>
      <c r="H209">
        <v>-7</v>
      </c>
      <c r="I209">
        <v>-2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635</v>
      </c>
      <c r="C210" s="1">
        <v>1960</v>
      </c>
      <c r="D210" s="1">
        <v>43.8</v>
      </c>
      <c r="E210" s="1">
        <v>-6</v>
      </c>
      <c r="F210" s="1">
        <v>-1.8</v>
      </c>
      <c r="G210">
        <v>-50</v>
      </c>
      <c r="H210">
        <v>-8</v>
      </c>
      <c r="I210">
        <v>-2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619</v>
      </c>
      <c r="C211" s="1">
        <v>1862</v>
      </c>
      <c r="D211" s="1">
        <v>41</v>
      </c>
      <c r="E211" s="1">
        <v>-5.0999999999999996</v>
      </c>
      <c r="F211" s="1">
        <v>-1.5</v>
      </c>
      <c r="G211">
        <v>-62</v>
      </c>
      <c r="H211">
        <v>-8</v>
      </c>
      <c r="I211">
        <v>-2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603</v>
      </c>
      <c r="C212" s="1">
        <v>1769</v>
      </c>
      <c r="D212" s="1">
        <v>36.6</v>
      </c>
      <c r="E212" s="1">
        <v>-4.2</v>
      </c>
      <c r="F212" s="1">
        <v>-1.2</v>
      </c>
      <c r="G212">
        <v>-74</v>
      </c>
      <c r="H212">
        <v>-9</v>
      </c>
      <c r="I212">
        <v>-3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588</v>
      </c>
      <c r="C213" s="1">
        <v>1679</v>
      </c>
      <c r="D213" s="1">
        <v>30.4</v>
      </c>
      <c r="E213" s="1">
        <v>-3.2</v>
      </c>
      <c r="F213" s="1">
        <v>-0.9</v>
      </c>
      <c r="G213">
        <v>-88</v>
      </c>
      <c r="H213">
        <v>-10</v>
      </c>
      <c r="I213">
        <v>-3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572</v>
      </c>
      <c r="C214" s="1">
        <v>1593</v>
      </c>
      <c r="D214" s="1">
        <v>22.1</v>
      </c>
      <c r="E214" s="1">
        <v>-2.2000000000000002</v>
      </c>
      <c r="F214" s="1">
        <v>-0.6</v>
      </c>
      <c r="G214">
        <v>-103</v>
      </c>
      <c r="H214">
        <v>-11</v>
      </c>
      <c r="I214">
        <v>-3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557</v>
      </c>
      <c r="C215" s="1">
        <v>1510</v>
      </c>
      <c r="D215" s="1">
        <v>12.1</v>
      </c>
      <c r="E215" s="1">
        <v>-1.1000000000000001</v>
      </c>
      <c r="F215" s="1">
        <v>-0.3</v>
      </c>
      <c r="G215">
        <v>-120</v>
      </c>
      <c r="H215">
        <v>-12</v>
      </c>
      <c r="I215">
        <v>-4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543</v>
      </c>
      <c r="C216" s="10">
        <v>1432</v>
      </c>
      <c r="D216" s="10">
        <v>0</v>
      </c>
      <c r="E216" s="10">
        <v>0</v>
      </c>
      <c r="F216" s="10">
        <v>0</v>
      </c>
      <c r="G216">
        <v>-138</v>
      </c>
      <c r="H216">
        <v>-13</v>
      </c>
      <c r="I216">
        <v>-4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528</v>
      </c>
      <c r="C217" s="1">
        <v>1356</v>
      </c>
      <c r="D217" s="1">
        <v>-14.9</v>
      </c>
      <c r="E217" s="1">
        <v>1.2</v>
      </c>
      <c r="F217" s="1">
        <v>0.4</v>
      </c>
      <c r="G217">
        <v>-158</v>
      </c>
      <c r="H217">
        <v>-14</v>
      </c>
      <c r="I217">
        <v>-4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514</v>
      </c>
      <c r="C218" s="1">
        <v>1285</v>
      </c>
      <c r="D218" s="1">
        <v>-31.6</v>
      </c>
      <c r="E218" s="1">
        <v>2.4</v>
      </c>
      <c r="F218" s="1">
        <v>0.7</v>
      </c>
      <c r="G218">
        <v>-180</v>
      </c>
      <c r="H218">
        <v>-15</v>
      </c>
      <c r="I218">
        <v>-4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500</v>
      </c>
      <c r="C219" s="1">
        <v>1216</v>
      </c>
      <c r="D219" s="1">
        <v>-50.8</v>
      </c>
      <c r="E219" s="1">
        <v>3.7</v>
      </c>
      <c r="F219" s="1">
        <v>1.1000000000000001</v>
      </c>
      <c r="G219">
        <v>-203</v>
      </c>
      <c r="H219">
        <v>-16</v>
      </c>
      <c r="I219">
        <v>-5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487</v>
      </c>
      <c r="C220" s="1">
        <v>1154</v>
      </c>
      <c r="D220" s="1">
        <v>-72.599999999999994</v>
      </c>
      <c r="E220" s="1">
        <v>5</v>
      </c>
      <c r="F220" s="1">
        <v>1.5</v>
      </c>
      <c r="G220">
        <v>-227</v>
      </c>
      <c r="H220">
        <v>-17</v>
      </c>
      <c r="I220">
        <v>-5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32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</row>
    <row r="224" spans="1:19" x14ac:dyDescent="0.25">
      <c r="A224" s="1">
        <v>0</v>
      </c>
      <c r="B224" s="1">
        <v>808</v>
      </c>
      <c r="C224" s="1">
        <v>3171</v>
      </c>
      <c r="D224" s="1">
        <v>-3.8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789</v>
      </c>
      <c r="C225" s="1">
        <v>3028</v>
      </c>
      <c r="D225" s="1">
        <v>9.6999999999999993</v>
      </c>
      <c r="E225" s="1">
        <v>-13.4</v>
      </c>
      <c r="F225" s="1">
        <v>-3.9</v>
      </c>
      <c r="G225">
        <v>-1</v>
      </c>
      <c r="H225">
        <v>-1</v>
      </c>
      <c r="I225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771</v>
      </c>
      <c r="C226" s="1">
        <v>2891</v>
      </c>
      <c r="D226" s="1">
        <v>22.5</v>
      </c>
      <c r="E226" s="1">
        <v>-15.3</v>
      </c>
      <c r="F226" s="1">
        <v>-4.5</v>
      </c>
      <c r="G226">
        <v>-2</v>
      </c>
      <c r="H226">
        <v>-2</v>
      </c>
      <c r="I226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753</v>
      </c>
      <c r="C227" s="1">
        <v>2759</v>
      </c>
      <c r="D227" s="1">
        <v>33.9</v>
      </c>
      <c r="E227" s="1">
        <v>-15.5</v>
      </c>
      <c r="F227" s="1">
        <v>-4.5</v>
      </c>
      <c r="G227">
        <v>-4</v>
      </c>
      <c r="H227">
        <v>-2</v>
      </c>
      <c r="I227">
        <v>-1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736</v>
      </c>
      <c r="C228" s="1">
        <v>2632</v>
      </c>
      <c r="D228" s="1">
        <v>44.2</v>
      </c>
      <c r="E228" s="1">
        <v>-15.2</v>
      </c>
      <c r="F228" s="1">
        <v>-4.4000000000000004</v>
      </c>
      <c r="G228">
        <v>-8</v>
      </c>
      <c r="H228">
        <v>-3</v>
      </c>
      <c r="I228">
        <v>-1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718</v>
      </c>
      <c r="C229" s="1">
        <v>2509</v>
      </c>
      <c r="D229" s="1">
        <v>53.6</v>
      </c>
      <c r="E229" s="1">
        <v>-14.7</v>
      </c>
      <c r="F229" s="1">
        <v>-4.3</v>
      </c>
      <c r="G229">
        <v>-12</v>
      </c>
      <c r="H229">
        <v>-4</v>
      </c>
      <c r="I229">
        <v>-1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701</v>
      </c>
      <c r="C230" s="1">
        <v>2391</v>
      </c>
      <c r="D230" s="1">
        <v>61.6</v>
      </c>
      <c r="E230" s="1">
        <v>-14.1</v>
      </c>
      <c r="F230" s="1">
        <v>-4.0999999999999996</v>
      </c>
      <c r="G230">
        <v>-18</v>
      </c>
      <c r="H230">
        <v>-4</v>
      </c>
      <c r="I230">
        <v>-1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684</v>
      </c>
      <c r="C231" s="1">
        <v>2277</v>
      </c>
      <c r="D231" s="1">
        <v>68.3</v>
      </c>
      <c r="E231" s="1">
        <v>-13.4</v>
      </c>
      <c r="F231" s="1">
        <v>-3.9</v>
      </c>
      <c r="G231">
        <v>-24</v>
      </c>
      <c r="H231">
        <v>-5</v>
      </c>
      <c r="I231">
        <v>-2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668</v>
      </c>
      <c r="C232" s="1">
        <v>2167</v>
      </c>
      <c r="D232" s="1">
        <v>73.8</v>
      </c>
      <c r="E232" s="1">
        <v>-12.7</v>
      </c>
      <c r="F232" s="1">
        <v>-3.7</v>
      </c>
      <c r="G232">
        <v>-32</v>
      </c>
      <c r="H232">
        <v>-6</v>
      </c>
      <c r="I232">
        <v>-2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651</v>
      </c>
      <c r="C233" s="1">
        <v>2061</v>
      </c>
      <c r="D233" s="1">
        <v>77.8</v>
      </c>
      <c r="E233" s="1">
        <v>-11.9</v>
      </c>
      <c r="F233" s="1">
        <v>-3.5</v>
      </c>
      <c r="G233">
        <v>-40</v>
      </c>
      <c r="H233">
        <v>-7</v>
      </c>
      <c r="I233">
        <v>-2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635</v>
      </c>
      <c r="C234" s="1">
        <v>1960</v>
      </c>
      <c r="D234" s="1">
        <v>80.2</v>
      </c>
      <c r="E234" s="1">
        <v>-11</v>
      </c>
      <c r="F234" s="1">
        <v>-3.2</v>
      </c>
      <c r="G234">
        <v>-50</v>
      </c>
      <c r="H234">
        <v>-8</v>
      </c>
      <c r="I234">
        <v>-2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619</v>
      </c>
      <c r="C235" s="1">
        <v>1862</v>
      </c>
      <c r="D235" s="1">
        <v>81.099999999999994</v>
      </c>
      <c r="E235" s="1">
        <v>-10.1</v>
      </c>
      <c r="F235" s="1">
        <v>-2.9</v>
      </c>
      <c r="G235">
        <v>-62</v>
      </c>
      <c r="H235">
        <v>-8</v>
      </c>
      <c r="I235">
        <v>-2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603</v>
      </c>
      <c r="C236" s="1">
        <v>1769</v>
      </c>
      <c r="D236" s="1">
        <v>80.3</v>
      </c>
      <c r="E236" s="1">
        <v>-9.1999999999999993</v>
      </c>
      <c r="F236" s="1">
        <v>-2.7</v>
      </c>
      <c r="G236">
        <v>-74</v>
      </c>
      <c r="H236">
        <v>-9</v>
      </c>
      <c r="I236">
        <v>-3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588</v>
      </c>
      <c r="C237" s="1">
        <v>1679</v>
      </c>
      <c r="D237" s="1">
        <v>77.8</v>
      </c>
      <c r="E237" s="1">
        <v>-8.1999999999999993</v>
      </c>
      <c r="F237" s="1">
        <v>-2.4</v>
      </c>
      <c r="G237">
        <v>-88</v>
      </c>
      <c r="H237">
        <v>-10</v>
      </c>
      <c r="I237">
        <v>-3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572</v>
      </c>
      <c r="C238" s="1">
        <v>1593</v>
      </c>
      <c r="D238" s="1">
        <v>73.2</v>
      </c>
      <c r="E238" s="1">
        <v>-7.2</v>
      </c>
      <c r="F238" s="1">
        <v>-2.1</v>
      </c>
      <c r="G238">
        <v>-103</v>
      </c>
      <c r="H238">
        <v>-11</v>
      </c>
      <c r="I238">
        <v>-3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557</v>
      </c>
      <c r="C239" s="1">
        <v>1510</v>
      </c>
      <c r="D239" s="1">
        <v>66.7</v>
      </c>
      <c r="E239" s="1">
        <v>-6.1</v>
      </c>
      <c r="F239" s="1">
        <v>-1.8</v>
      </c>
      <c r="G239">
        <v>-120</v>
      </c>
      <c r="H239">
        <v>-12</v>
      </c>
      <c r="I239">
        <v>-4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543</v>
      </c>
      <c r="C240" s="1">
        <v>1432</v>
      </c>
      <c r="D240" s="1">
        <v>58.3</v>
      </c>
      <c r="E240" s="1">
        <v>-5</v>
      </c>
      <c r="F240" s="1">
        <v>-1.5</v>
      </c>
      <c r="G240">
        <v>-138</v>
      </c>
      <c r="H240">
        <v>-13</v>
      </c>
      <c r="I240">
        <v>-4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528</v>
      </c>
      <c r="C241" s="1">
        <v>1356</v>
      </c>
      <c r="D241" s="1">
        <v>47.1</v>
      </c>
      <c r="E241" s="1">
        <v>-3.8</v>
      </c>
      <c r="F241" s="1">
        <v>-1.1000000000000001</v>
      </c>
      <c r="G241">
        <v>-158</v>
      </c>
      <c r="H241">
        <v>-14</v>
      </c>
      <c r="I241">
        <v>-4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514</v>
      </c>
      <c r="C242" s="1">
        <v>1285</v>
      </c>
      <c r="D242" s="1">
        <v>34</v>
      </c>
      <c r="E242" s="1">
        <v>-2.6</v>
      </c>
      <c r="F242" s="1">
        <v>-0.8</v>
      </c>
      <c r="G242">
        <v>-180</v>
      </c>
      <c r="H242">
        <v>-15</v>
      </c>
      <c r="I242">
        <v>-4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500</v>
      </c>
      <c r="C243" s="1">
        <v>1216</v>
      </c>
      <c r="D243" s="1">
        <v>18.399999999999999</v>
      </c>
      <c r="E243" s="1">
        <v>-1.3</v>
      </c>
      <c r="F243" s="1">
        <v>-0.4</v>
      </c>
      <c r="G243">
        <v>-203</v>
      </c>
      <c r="H243">
        <v>-16</v>
      </c>
      <c r="I243">
        <v>-5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0">
        <v>500</v>
      </c>
      <c r="B244" s="10">
        <v>487</v>
      </c>
      <c r="C244" s="10">
        <v>1154</v>
      </c>
      <c r="D244" s="10">
        <v>0.2</v>
      </c>
      <c r="E244" s="10">
        <v>0</v>
      </c>
      <c r="F244" s="10">
        <v>0</v>
      </c>
      <c r="G244">
        <v>-227</v>
      </c>
      <c r="H244">
        <v>-17</v>
      </c>
      <c r="I244">
        <v>-5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x14ac:dyDescent="0.25">
      <c r="A246" t="s">
        <v>59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13" t="s">
        <v>14</v>
      </c>
    </row>
    <row r="247" spans="1:19" x14ac:dyDescent="0.25">
      <c r="A247" t="s">
        <v>51</v>
      </c>
      <c r="B247" s="22" cm="1">
        <f t="array" ref="B247">INDEX(LINEST(J$22:J$35,$A$22:$A$35^{1,2,3}), 1,4)</f>
        <v>-5.4764111796368802</v>
      </c>
      <c r="C247" s="22" cm="1">
        <f t="array" ref="C247">INDEX(LINEST(K$22:K$35,$A$22:$A$35^{1,2,3}), 1,4)</f>
        <v>-3.9255680844084893</v>
      </c>
      <c r="D247" s="23" cm="1">
        <f t="array" ref="D247">INDEX(LINEST(L$22:L$35,$A$22:$A$35^{1,2,3}), 1,4)</f>
        <v>-5.0128459994147647</v>
      </c>
      <c r="E247" s="23" cm="1">
        <f t="array" ref="E247">INDEX(LINEST(M$22:M$35,$A$22:$A$35^{1,2,3}), 1,4)</f>
        <v>-3.8225006431410726</v>
      </c>
      <c r="F247" s="23" cm="1">
        <f t="array" ref="F247">INDEX(LINEST(N$22:N$35,$A$22:$A$35^{1,2,3}), 1,4)</f>
        <v>-3.2766601591193307</v>
      </c>
      <c r="G247" s="23" cm="1">
        <f t="array" ref="G247">INDEX(LINEST(O$22:O$35,$A$22:$A$35^{1,2,3}), 1,4)</f>
        <v>-5.6795267204737065</v>
      </c>
      <c r="H247" s="23" cm="1">
        <f t="array" ref="H247">INDEX(LINEST(P$22:P$35,$A$22:$A$35^{1,2,3}), 1,4)</f>
        <v>-4.6320690078678801</v>
      </c>
      <c r="I247" s="23" cm="1">
        <f t="array" ref="I247">INDEX(LINEST(B$22:B$35,$A$22:$A$35^{1,2,3}), 1,4)</f>
        <v>3182.0744946257696</v>
      </c>
    </row>
    <row r="248" spans="1:19" x14ac:dyDescent="0.25">
      <c r="A248" t="s">
        <v>52</v>
      </c>
      <c r="B248" s="23" cm="1">
        <f t="array" ref="B248">INDEX(LINEST(J$22:J$35,$A$22:$A$35^{1,2,3}), 1,3)</f>
        <v>0.17305803722680141</v>
      </c>
      <c r="C248" s="22" cm="1">
        <f t="array" ref="C248">INDEX(LINEST(K$22:K$35,$A$22:$A$35^{1,2,3}), 1,3)</f>
        <v>7.6128893294879998E-2</v>
      </c>
      <c r="D248" s="23" cm="1">
        <f t="array" ref="D248">INDEX(LINEST(L$22:L$35,$A$22:$A$35^{1,2,3}), 1,3)</f>
        <v>0.15156432282883031</v>
      </c>
      <c r="E248" s="23" cm="1">
        <f t="array" ref="E248">INDEX(LINEST(M$22:M$35,$A$22:$A$35^{1,2,3}), 1,3)</f>
        <v>0.15502451037075926</v>
      </c>
      <c r="F248" s="23" cm="1">
        <f t="array" ref="F248">INDEX(LINEST(N$22:N$35,$A$22:$A$35^{1,2,3}), 1,3)</f>
        <v>0.22211878037976693</v>
      </c>
      <c r="G248" s="23" cm="1">
        <f t="array" ref="G248">INDEX(LINEST(O$22:O$35,$A$22:$A$35^{1,2,3}), 1,3)</f>
        <v>0.43042136724712837</v>
      </c>
      <c r="H248" s="23" cm="1">
        <f t="array" ref="H248">INDEX(LINEST(P$22:P$35,$A$22:$A$35^{1,2,3}), 1,3)</f>
        <v>0.54824785398412246</v>
      </c>
      <c r="I248" s="23" cm="1">
        <f t="array" ref="I248">INDEX(LINEST(B$22:B$35,$A$22:$A$35^{1,2,3}), 1,3)</f>
        <v>-5.3440986652265066</v>
      </c>
    </row>
    <row r="249" spans="1:19" x14ac:dyDescent="0.25">
      <c r="A249" t="s">
        <v>53</v>
      </c>
      <c r="B249" s="23" cm="1">
        <f t="array" ref="B249">INDEX(LINEST(J$22:J$35,$A$22:$A$35^{1,2,3}), 1,2)</f>
        <v>-6.9304831793719755E-4</v>
      </c>
      <c r="C249" s="23" cm="1">
        <f t="array" ref="C249">INDEX(LINEST(K$22:K$35,$A$22:$A$35^{1,2,3}), 1,2)</f>
        <v>-3.052022858507468E-4</v>
      </c>
      <c r="D249" s="23" cm="1">
        <f t="array" ref="D249">INDEX(LINEST(L$22:L$35,$A$22:$A$35^{1,2,3}), 1,2)</f>
        <v>-6.0916701035158643E-4</v>
      </c>
      <c r="E249" s="23" cm="1">
        <f t="array" ref="E249">INDEX(LINEST(M$22:M$35,$A$22:$A$35^{1,2,3}), 1,2)</f>
        <v>-4.3051282620606106E-4</v>
      </c>
      <c r="F249" s="23" cm="1">
        <f t="array" ref="F249">INDEX(LINEST(N$22:N$35,$A$22:$A$35^{1,2,3}), 1,2)</f>
        <v>-2.6957538727160056E-4</v>
      </c>
      <c r="G249" s="23" cm="1">
        <f t="array" ref="G249">INDEX(LINEST(O$22:O$35,$A$22:$A$35^{1,2,3}), 1,2)</f>
        <v>-7.8574349599569708E-4</v>
      </c>
      <c r="H249" s="23" cm="1">
        <f t="array" ref="H249">INDEX(LINEST(P$22:P$35,$A$22:$A$35^{1,2,3}), 1,2)</f>
        <v>-5.2654621480756249E-4</v>
      </c>
      <c r="I249" s="23" cm="1">
        <f t="array" ref="I249">INDEX(LINEST(B$22:B$35,$A$22:$A$35^{1,2,3}), 1,2)</f>
        <v>1.9906256717457729E-3</v>
      </c>
    </row>
    <row r="250" spans="1:19" x14ac:dyDescent="0.25">
      <c r="A250" t="s">
        <v>54</v>
      </c>
      <c r="B250" s="22" cm="1">
        <f t="array" ref="B250">INDEX(LINEST(J$22:J$35,$A$22:$A$35^{1,2,3}), 1)</f>
        <v>-1.0603932156079569E-6</v>
      </c>
      <c r="C250" s="22" cm="1">
        <f t="array" ref="C250">INDEX(LINEST(K$22:K$35,$A$22:$A$35^{1,2,3}), 1)</f>
        <v>-1.4056308855981328E-6</v>
      </c>
      <c r="D250" s="23" cm="1">
        <f t="array" ref="D250">INDEX(LINEST(L$22:L$35,$A$22:$A$35^{1,2,3}), 1)</f>
        <v>-9.5591919987149431E-7</v>
      </c>
      <c r="E250" s="23" cm="1">
        <f t="array" ref="E250">INDEX(LINEST(M$22:M$35,$A$22:$A$35^{1,2,3}), 1)</f>
        <v>-1.1486074681231576E-6</v>
      </c>
      <c r="F250" s="23" cm="1">
        <f t="array" ref="F250">INDEX(LINEST(N$22:N$35,$A$22:$A$35^{1,2,3}), 1)</f>
        <v>-1.3317906901172558E-6</v>
      </c>
      <c r="G250" s="23" cm="1">
        <f t="array" ref="G250">INDEX(LINEST(O$22:O$35,$A$22:$A$35^{1,2,3}), 1)</f>
        <v>-6.4290002409571112E-7</v>
      </c>
      <c r="H250" s="23" cm="1">
        <f t="array" ref="H250">INDEX(LINEST(P$22:P$35,$A$22:$A$35^{1,2,3}), 1)</f>
        <v>-1.1051506687763417E-6</v>
      </c>
      <c r="I250" s="23" cm="1">
        <f t="array" ref="I250">INDEX(LINEST(B$22:B$35,$A$22:$A$35^{1,2,3}), 1)</f>
        <v>1.6086815322322853E-6</v>
      </c>
    </row>
    <row r="251" spans="1:19" x14ac:dyDescent="0.25">
      <c r="A251" t="s">
        <v>55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56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57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t="s">
        <v>58</v>
      </c>
    </row>
    <row r="256" spans="1:19" x14ac:dyDescent="0.25">
      <c r="A256" s="21" t="s">
        <v>4</v>
      </c>
      <c r="B256" s="20"/>
      <c r="C256" s="20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3182.0744946257696</v>
      </c>
    </row>
    <row r="258" spans="1:9" x14ac:dyDescent="0.25">
      <c r="A258" s="1">
        <v>25</v>
      </c>
      <c r="B258" s="2" cm="1">
        <f t="array" ref="B258">TrajectoryToComeUp(B$247:B$250,$A258)</f>
        <v>0.63987363666858699</v>
      </c>
      <c r="C258" s="2" cm="1">
        <f t="array" ref="C258">TrajectoryToComeUp(C$247:C$250,$A258)</f>
        <v>0.89402406531227063</v>
      </c>
      <c r="D258" s="25" cm="1">
        <f t="array" ref="D258">TrajectoryToComeUp(D$247:D$250,$A258)</f>
        <v>0.64776141906469631</v>
      </c>
      <c r="E258" s="25" cm="1">
        <f t="array" ref="E258">TrajectoryToComeUp(E$247:E$250,$A258)</f>
        <v>9.3562156776121369E-2</v>
      </c>
      <c r="F258" s="25" cm="1">
        <f t="array" ref="F258">TrajectoryToComeUp(F$247:F$250,$A258)</f>
        <v>-0.83480620151880414</v>
      </c>
      <c r="G258" s="25" cm="1">
        <f t="array" ref="G258">TrajectoryToComeUp(G$247:G$250,$A258)</f>
        <v>-1.8319489851322786</v>
      </c>
      <c r="H258" s="25" cm="1">
        <f t="array" ref="H258">TrajectoryToComeUp(H$247:H$250,$A258)</f>
        <v>-3.491107191312329</v>
      </c>
      <c r="I258" s="2" cm="1">
        <f t="array" ref="I258">EvaluatePolynomial(I$247:I$250,$A258)</f>
        <v>3049.7413046888892</v>
      </c>
    </row>
    <row r="259" spans="1:9" x14ac:dyDescent="0.25">
      <c r="A259" s="1">
        <v>50</v>
      </c>
      <c r="B259" s="2" cm="1">
        <f t="array" ref="B259">TrajectoryToComeUp(B$247:B$250,$A259)</f>
        <v>-0.26226414698184031</v>
      </c>
      <c r="C259" s="24" cm="1">
        <f t="array" ref="C259">TrajectoryToComeUp(C$247:C$250,$A259)</f>
        <v>0.21156659899822458</v>
      </c>
      <c r="D259" s="25" cm="1">
        <f t="array" ref="D259">TrajectoryToComeUp(D$247:D$250,$A259)</f>
        <v>-0.18459254323276952</v>
      </c>
      <c r="E259" s="25" cm="1">
        <f t="array" ref="E259">TrajectoryToComeUp(E$247:E$250,$A259)</f>
        <v>-0.54177337527326852</v>
      </c>
      <c r="F259" s="25" cm="1">
        <f t="array" ref="F259">TrajectoryToComeUp(F$247:F$250,$A259)</f>
        <v>-1.3977733110850714</v>
      </c>
      <c r="G259" s="25" cm="1">
        <f t="array" ref="G259">TrajectoryToComeUp(G$247:G$250,$A259)</f>
        <v>-2.7593640797763008</v>
      </c>
      <c r="H259" s="25" cm="1">
        <f t="array" ref="H259">TrajectoryToComeUp(H$247:H$250,$A259)</f>
        <v>-4.2651628641444592</v>
      </c>
      <c r="I259" s="2" cm="1">
        <f t="array" ref="I259">EvaluatePolynomial(I$247:I$250,$A259)</f>
        <v>2920.0472107353376</v>
      </c>
    </row>
    <row r="260" spans="1:9" x14ac:dyDescent="0.25">
      <c r="A260" s="1">
        <v>75</v>
      </c>
      <c r="B260" s="2" cm="1">
        <f t="array" ref="B260">TrajectoryToComeUp(B$247:B$250,$A260)</f>
        <v>-0.42095885815225098</v>
      </c>
      <c r="C260" s="2" cm="1">
        <f t="array" ref="C260">TrajectoryToComeUp(C$247:C$250,$A260)</f>
        <v>7.0088596675287024E-2</v>
      </c>
      <c r="D260" s="25" cm="1">
        <f t="array" ref="D260">TrajectoryToComeUp(D$247:D$250,$A260)</f>
        <v>-0.33661804894320646</v>
      </c>
      <c r="E260" s="25" cm="1">
        <f t="array" ref="E260">TrajectoryToComeUp(E$247:E$250,$A260)</f>
        <v>-0.65308456155230954</v>
      </c>
      <c r="F260" s="25" cm="1">
        <f t="array" ref="F260">TrajectoryToComeUp(F$247:F$250,$A260)</f>
        <v>-1.5072050158089625</v>
      </c>
      <c r="G260" s="25" cm="1">
        <f t="array" ref="G260">TrajectoryToComeUp(G$247:G$250,$A260)</f>
        <v>-2.9214726947226328</v>
      </c>
      <c r="H260" s="25" cm="1">
        <f t="array" ref="H260">TrajectoryToComeUp(H$247:H$250,$A260)</f>
        <v>-4.4077949525678335</v>
      </c>
      <c r="I260" s="2" cm="1">
        <f t="array" ref="I260">EvaluatePolynomial(I$247:I$250,$A260)</f>
        <v>2793.1430266587622</v>
      </c>
    </row>
    <row r="261" spans="1:9" x14ac:dyDescent="0.25">
      <c r="A261" s="1">
        <v>100</v>
      </c>
      <c r="B261" s="2" cm="1">
        <f t="array" ref="B261">TrajectoryToComeUp(B$247:B$250,$A261)</f>
        <v>-0.38385161480633279</v>
      </c>
      <c r="C261" s="2" cm="1">
        <f t="array" ref="C261">TrajectoryToComeUp(C$247:C$250,$A261)</f>
        <v>7.7033249902608972E-2</v>
      </c>
      <c r="D261" s="25" cm="1">
        <f t="array" ref="D261">TrajectoryToComeUp(D$247:D$250,$A261)</f>
        <v>-0.30959969800809084</v>
      </c>
      <c r="E261" s="25" cm="1">
        <f t="array" ref="E261">TrajectoryToComeUp(E$247:E$250,$A261)</f>
        <v>-0.62262146637510851</v>
      </c>
      <c r="F261" s="25" cm="1">
        <f t="array" ref="F261">TrajectoryToComeUp(F$247:F$250,$A261)</f>
        <v>-1.4907673316024104</v>
      </c>
      <c r="G261" s="25" cm="1">
        <f t="array" ref="G261">TrajectoryToComeUp(G$247:G$250,$A261)</f>
        <v>-2.8862275020186452</v>
      </c>
      <c r="H261" s="25" cm="1">
        <f t="array" ref="H261">TrajectoryToComeUp(H$247:H$250,$A261)</f>
        <v>-4.3822103573692397</v>
      </c>
      <c r="I261" s="2" cm="1">
        <f t="array" ref="I261">EvaluatePolynomial(I$247:I$250,$A261)</f>
        <v>2669.1795663528092</v>
      </c>
    </row>
    <row r="262" spans="1:9" x14ac:dyDescent="0.25">
      <c r="A262" s="1">
        <v>125</v>
      </c>
      <c r="B262" s="2" cm="1">
        <f t="array" ref="B262">TrajectoryToComeUp(B$247:B$250,$A262)</f>
        <v>-0.26047064053682351</v>
      </c>
      <c r="C262" s="2" cm="1">
        <f t="array" ref="C262">TrajectoryToComeUp(C$247:C$250,$A262)</f>
        <v>0.15388919699202089</v>
      </c>
      <c r="D262" s="25" cm="1">
        <f t="array" ref="D262">TrajectoryToComeUp(D$247:D$250,$A262)</f>
        <v>-0.20379441041571783</v>
      </c>
      <c r="E262" s="25" cm="1">
        <f t="array" ref="E262">TrajectoryToComeUp(E$247:E$250,$A262)</f>
        <v>-0.52683410260448715</v>
      </c>
      <c r="F262" s="25" cm="1">
        <f t="array" ref="F262">TrajectoryToComeUp(F$247:F$250,$A262)</f>
        <v>-1.4139934616478009</v>
      </c>
      <c r="G262" s="25" cm="1">
        <f t="array" ref="G262">TrajectoryToComeUp(G$247:G$250,$A262)</f>
        <v>-2.7672190360738114</v>
      </c>
      <c r="H262" s="25" cm="1">
        <f t="array" ref="H262">TrajectoryToComeUp(H$247:H$250,$A262)</f>
        <v>-4.2810504587060381</v>
      </c>
      <c r="I262" s="2" cm="1">
        <f t="array" ref="I262">EvaluatePolynomial(I$247:I$250,$A262)</f>
        <v>2548.3076437111254</v>
      </c>
    </row>
    <row r="263" spans="1:9" x14ac:dyDescent="0.25">
      <c r="A263" s="1">
        <v>150</v>
      </c>
      <c r="B263" s="2" cm="1">
        <f t="array" ref="B263">TrajectoryToComeUp(B$247:B$250,$A263)</f>
        <v>-8.7325343207968781E-2</v>
      </c>
      <c r="C263" s="2" cm="1">
        <f t="array" ref="C263">TrajectoryToComeUp(C$247:C$250,$A263)</f>
        <v>0.27448598404746605</v>
      </c>
      <c r="D263" s="25" cm="1">
        <f t="array" ref="D263">TrajectoryToComeUp(D$247:D$250,$A263)</f>
        <v>-5.2621159495519557E-2</v>
      </c>
      <c r="E263" s="25" cm="1">
        <f t="array" ref="E263">TrajectoryToComeUp(E$247:E$250,$A263)</f>
        <v>-0.39120580786138565</v>
      </c>
      <c r="F263" s="25" cm="1">
        <f t="array" ref="F263">TrajectoryToComeUp(F$247:F$250,$A263)</f>
        <v>-1.2987278070059307</v>
      </c>
      <c r="G263" s="25" cm="1">
        <f t="array" ref="G263">TrajectoryToComeUp(G$247:G$250,$A263)</f>
        <v>-2.6023108083579558</v>
      </c>
      <c r="H263" s="25" cm="1">
        <f t="array" ref="H263">TrajectoryToComeUp(H$247:H$250,$A263)</f>
        <v>-4.1351957166306779</v>
      </c>
      <c r="I263" s="2" cm="1">
        <f t="array" ref="I263">EvaluatePolynomial(I$247:I$250,$A263)</f>
        <v>2430.6780726273573</v>
      </c>
    </row>
    <row r="264" spans="1:9" x14ac:dyDescent="0.25">
      <c r="A264" s="1">
        <v>175</v>
      </c>
      <c r="B264" s="2" cm="1">
        <f t="array" ref="B264">TrajectoryToComeUp(B$247:B$250,$A264)</f>
        <v>0.1199373880955545</v>
      </c>
      <c r="C264" s="2" cm="1">
        <f t="array" ref="C264">TrajectoryToComeUp(C$247:C$250,$A264)</f>
        <v>0.42760770225634886</v>
      </c>
      <c r="D264" s="25" cm="1">
        <f t="array" ref="D264">TrajectoryToComeUp(D$247:D$250,$A264)</f>
        <v>0.12959763761131907</v>
      </c>
      <c r="E264" s="25" cm="1">
        <f t="array" ref="E264">TrajectoryToComeUp(E$247:E$250,$A264)</f>
        <v>-0.22665801255477894</v>
      </c>
      <c r="F264" s="25" cm="1">
        <f t="array" ref="F264">TrajectoryToComeUp(F$247:F$250,$A264)</f>
        <v>-1.1543322538457113</v>
      </c>
      <c r="G264" s="25" cm="1">
        <f t="array" ref="G264">TrajectoryToComeUp(G$247:G$250,$A264)</f>
        <v>-2.4077300380724331</v>
      </c>
      <c r="H264" s="25" cm="1">
        <f t="array" ref="H264">TrajectoryToComeUp(H$247:H$250,$A264)</f>
        <v>-3.9578806140227853</v>
      </c>
      <c r="I264" s="2" cm="1">
        <f t="array" ref="I264">EvaluatePolynomial(I$247:I$250,$A264)</f>
        <v>2316.4416669951524</v>
      </c>
    </row>
    <row r="265" spans="1:9" x14ac:dyDescent="0.25">
      <c r="A265" s="1">
        <v>200</v>
      </c>
      <c r="B265" s="2" cm="1">
        <f t="array" ref="B265">TrajectoryToComeUp(B$247:B$250,$A265)</f>
        <v>0.35349410883140764</v>
      </c>
      <c r="C265" s="2" cm="1">
        <f t="array" ref="C265">TrajectoryToComeUp(C$247:C$250,$A265)</f>
        <v>0.60764639721237113</v>
      </c>
      <c r="D265" s="25" cm="1">
        <f t="array" ref="D265">TrajectoryToComeUp(D$247:D$250,$A265)</f>
        <v>0.33570077233420564</v>
      </c>
      <c r="E265" s="25" cm="1">
        <f t="array" ref="E265">TrajectoryToComeUp(E$247:E$250,$A265)</f>
        <v>-3.8651431889153702E-2</v>
      </c>
      <c r="F265" s="25" cm="1">
        <f t="array" ref="F265">TrajectoryToComeUp(F$247:F$250,$A265)</f>
        <v>-0.98548774525159921</v>
      </c>
      <c r="G265" s="25" cm="1">
        <f t="array" ref="G265">TrajectoryToComeUp(G$247:G$250,$A265)</f>
        <v>-2.1915903348179198</v>
      </c>
      <c r="H265" s="25" cm="1">
        <f t="array" ref="H265">TrajectoryToComeUp(H$247:H$250,$A265)</f>
        <v>-3.7557223923221681</v>
      </c>
      <c r="I265" s="2" cm="1">
        <f t="array" ref="I265">EvaluatePolynomial(I$247:I$250,$A265)</f>
        <v>2205.7492407081577</v>
      </c>
    </row>
    <row r="266" spans="1:9" x14ac:dyDescent="0.25">
      <c r="A266" s="1">
        <v>225</v>
      </c>
      <c r="B266" s="2" cm="1">
        <f t="array" ref="B266">TrajectoryToComeUp(B$247:B$250,$A266)</f>
        <v>0.60899846092051435</v>
      </c>
      <c r="C266" s="2" cm="1">
        <f t="array" ref="C266">TrajectoryToComeUp(C$247:C$250,$A266)</f>
        <v>0.81148653868981213</v>
      </c>
      <c r="D266" s="25" cm="1">
        <f t="array" ref="D266">TrajectoryToComeUp(D$247:D$250,$A266)</f>
        <v>0.56170979546725552</v>
      </c>
      <c r="E266" s="25" cm="1">
        <f t="array" ref="E266">TrajectoryToComeUp(E$247:E$250,$A266)</f>
        <v>0.16978020346632988</v>
      </c>
      <c r="F266" s="25" cm="1">
        <f t="array" ref="F266">TrajectoryToComeUp(F$247:F$250,$A266)</f>
        <v>-0.79479480515940371</v>
      </c>
      <c r="G266" s="25" cm="1">
        <f t="array" ref="G266">TrajectoryToComeUp(G$247:G$250,$A266)</f>
        <v>-1.9583992594836799</v>
      </c>
      <c r="H266" s="25" cm="1">
        <f t="array" ref="H266">TrajectoryToComeUp(H$247:H$250,$A266)</f>
        <v>-3.5323972967731692</v>
      </c>
      <c r="I266" s="2" cm="1">
        <f t="array" ref="I266">EvaluatePolynomial(I$247:I$250,$A266)</f>
        <v>2098.7516076600186</v>
      </c>
    </row>
    <row r="267" spans="1:9" x14ac:dyDescent="0.25">
      <c r="A267" s="1">
        <v>250</v>
      </c>
      <c r="B267" s="2" cm="1">
        <f t="array" ref="B267">TrajectoryToComeUp(B$247:B$250,$A267)</f>
        <v>0.88384262951542814</v>
      </c>
      <c r="C267" s="2" cm="1">
        <f t="array" ref="C267">TrajectoryToComeUp(C$247:C$250,$A267)</f>
        <v>1.0372588085532395</v>
      </c>
      <c r="D267" s="25" cm="1">
        <f t="array" ref="D267">TrajectoryToComeUp(D$247:D$250,$A267)</f>
        <v>0.80523763748693755</v>
      </c>
      <c r="E267" s="25" cm="1">
        <f t="array" ref="E267">TrajectoryToComeUp(E$247:E$250,$A267)</f>
        <v>0.39681665511017639</v>
      </c>
      <c r="F267" s="25" cm="1">
        <f t="array" ref="F267">TrajectoryToComeUp(F$247:F$250,$A267)</f>
        <v>-0.58381374793060969</v>
      </c>
      <c r="G267" s="25" cm="1">
        <f t="array" ref="G267">TrajectoryToComeUp(G$247:G$250,$A267)</f>
        <v>-1.7108613486032735</v>
      </c>
      <c r="H267" s="25" cm="1">
        <f t="array" ref="H267">TrajectoryToComeUp(H$247:H$250,$A267)</f>
        <v>-3.29011107452239</v>
      </c>
      <c r="I267" s="2" cm="1">
        <f t="array" ref="I267">EvaluatePolynomial(I$247:I$250,$A267)</f>
        <v>1995.5995817443834</v>
      </c>
    </row>
    <row r="268" spans="1:9" x14ac:dyDescent="0.25">
      <c r="A268" s="1">
        <v>275</v>
      </c>
      <c r="B268" s="2" cm="1">
        <f t="array" ref="B268">TrajectoryToComeUp(B$247:B$250,$A268)</f>
        <v>1.1763670960768651</v>
      </c>
      <c r="C268" s="2" cm="1">
        <f t="array" ref="C268">TrajectoryToComeUp(C$247:C$250,$A268)</f>
        <v>1.2837736407164686</v>
      </c>
      <c r="D268" s="25" cm="1">
        <f t="array" ref="D268">TrajectoryToComeUp(D$247:D$250,$A268)</f>
        <v>1.0647652541510049</v>
      </c>
      <c r="E268" s="25" cm="1">
        <f t="array" ref="E268">TrajectoryToComeUp(E$247:E$250,$A268)</f>
        <v>0.64129958951416133</v>
      </c>
      <c r="F268" s="25" cm="1">
        <f t="array" ref="F268">TrajectoryToComeUp(F$247:F$250,$A268)</f>
        <v>-0.35353750088616293</v>
      </c>
      <c r="G268" s="25" cm="1">
        <f t="array" ref="G268">TrajectoryToComeUp(G$247:G$250,$A268)</f>
        <v>-1.4506976708798733</v>
      </c>
      <c r="H268" s="25" cm="1">
        <f t="array" ref="H268">TrajectoryToComeUp(H$247:H$250,$A268)</f>
        <v>-3.0302673828449418</v>
      </c>
      <c r="I268" s="2" cm="1">
        <f t="array" ref="I268">EvaluatePolynomial(I$247:I$250,$A268)</f>
        <v>1896.4439768548975</v>
      </c>
    </row>
    <row r="269" spans="1:9" x14ac:dyDescent="0.25">
      <c r="A269" s="1">
        <v>300</v>
      </c>
      <c r="B269" s="2" cm="1">
        <f t="array" ref="B269">TrajectoryToComeUp(B$247:B$250,$A269)</f>
        <v>1.4854655149119691</v>
      </c>
      <c r="C269" s="2" cm="1">
        <f t="array" ref="C269">TrajectoryToComeUp(C$247:C$250,$A269)</f>
        <v>1.5502379911220427</v>
      </c>
      <c r="D269" s="25" cm="1">
        <f t="array" ref="D269">TrajectoryToComeUp(D$247:D$250,$A269)</f>
        <v>1.3392799492979601</v>
      </c>
      <c r="E269" s="25" cm="1">
        <f t="array" ref="E269">TrajectoryToComeUp(E$247:E$250,$A269)</f>
        <v>0.90245678432613474</v>
      </c>
      <c r="F269" s="25" cm="1">
        <f t="array" ref="F269">TrajectoryToComeUp(F$247:F$250,$A269)</f>
        <v>-0.1046280155733596</v>
      </c>
      <c r="G269" s="25" cm="1">
        <f t="array" ref="G269">TrajectoryToComeUp(G$247:G$250,$A269)</f>
        <v>-1.179055605448929</v>
      </c>
      <c r="H269" s="25" cm="1">
        <f t="array" ref="H269">TrajectoryToComeUp(H$247:H$250,$A269)</f>
        <v>-2.7538019932575675</v>
      </c>
      <c r="I269" s="2" cm="1">
        <f t="array" ref="I269">EvaluatePolynomial(I$247:I$250,$A269)</f>
        <v>1801.4356068852089</v>
      </c>
    </row>
    <row r="270" spans="1:9" x14ac:dyDescent="0.25">
      <c r="A270" s="1">
        <v>325</v>
      </c>
      <c r="B270" s="2" cm="1">
        <f t="array" ref="B270">TrajectoryToComeUp(B$247:B$250,$A270)</f>
        <v>1.810371954387225</v>
      </c>
      <c r="C270" s="2" cm="1">
        <f t="array" ref="C270">TrajectoryToComeUp(C$247:C$250,$A270)</f>
        <v>1.8361028292686468</v>
      </c>
      <c r="D270" s="25" cm="1">
        <f t="array" ref="D270">TrajectoryToComeUp(D$247:D$250,$A270)</f>
        <v>1.6280806255852269</v>
      </c>
      <c r="E270" s="25" cm="1">
        <f t="array" ref="E270">TrajectoryToComeUp(E$247:E$250,$A270)</f>
        <v>1.1797536240715316</v>
      </c>
      <c r="F270" s="25" cm="1">
        <f t="array" ref="F270">TrajectoryToComeUp(F$247:F$250,$A270)</f>
        <v>0.16245643385967096</v>
      </c>
      <c r="G270" s="25" cm="1">
        <f t="array" ref="G270">TrajectoryToComeUp(G$247:G$250,$A270)</f>
        <v>-0.89672949171190508</v>
      </c>
      <c r="H270" s="25" cm="1">
        <f t="array" ref="H270">TrajectoryToComeUp(H$247:H$250,$A270)</f>
        <v>-2.4613627475795465</v>
      </c>
      <c r="I270" s="2" cm="1">
        <f t="array" ref="I270">EvaluatePolynomial(I$247:I$250,$A270)</f>
        <v>1710.7252857289636</v>
      </c>
    </row>
    <row r="271" spans="1:9" x14ac:dyDescent="0.25">
      <c r="A271" s="1">
        <v>350</v>
      </c>
      <c r="B271" s="2" cm="1">
        <f t="array" ref="B271">TrajectoryToComeUp(B$247:B$250,$A271)</f>
        <v>2.1505393204786931</v>
      </c>
      <c r="C271" s="2" cm="1">
        <f t="array" ref="C271">TrajectoryToComeUp(C$247:C$250,$A271)</f>
        <v>2.1409759905124832</v>
      </c>
      <c r="D271" s="25" cm="1">
        <f t="array" ref="D271">TrajectoryToComeUp(D$247:D$250,$A271)</f>
        <v>1.9306664991966802</v>
      </c>
      <c r="E271" s="25" cm="1">
        <f t="array" ref="E271">TrajectoryToComeUp(E$247:E$250,$A271)</f>
        <v>1.472808240554234</v>
      </c>
      <c r="F271" s="25" cm="1">
        <f t="array" ref="F271">TrajectoryToComeUp(F$247:F$250,$A271)</f>
        <v>0.44738850873569486</v>
      </c>
      <c r="G271" s="25" cm="1">
        <f t="array" ref="G271">TrajectoryToComeUp(G$247:G$250,$A271)</f>
        <v>-0.60428671495556341</v>
      </c>
      <c r="H271" s="25" cm="1">
        <f t="array" ref="H271">TrajectoryToComeUp(H$247:H$250,$A271)</f>
        <v>-2.1534123899675124</v>
      </c>
      <c r="I271" s="2" cm="1">
        <f t="array" ref="I271">EvaluatePolynomial(I$247:I$250,$A271)</f>
        <v>1624.4638272798088</v>
      </c>
    </row>
    <row r="272" spans="1:9" x14ac:dyDescent="0.25">
      <c r="A272" s="1">
        <v>375</v>
      </c>
      <c r="B272" s="2" cm="1">
        <f t="array" ref="B272">TrajectoryToComeUp(B$247:B$250,$A272)</f>
        <v>2.50556641090215</v>
      </c>
      <c r="C272" s="2" cm="1">
        <f t="array" ref="C272">TrajectoryToComeUp(C$247:C$250,$A272)</f>
        <v>2.4645698874481012</v>
      </c>
      <c r="D272" s="25" cm="1">
        <f t="array" ref="D272">TrajectoryToComeUp(D$247:D$250,$A272)</f>
        <v>2.2466703286671623</v>
      </c>
      <c r="E272" s="25" cm="1">
        <f t="array" ref="E272">TrajectoryToComeUp(E$247:E$250,$A272)</f>
        <v>1.7813405970970886</v>
      </c>
      <c r="F272" s="25" cm="1">
        <f t="array" ref="F272">TrajectoryToComeUp(F$247:F$250,$A272)</f>
        <v>0.74992816069140611</v>
      </c>
      <c r="G272" s="25" cm="1">
        <f t="array" ref="G272">TrajectoryToComeUp(G$247:G$250,$A272)</f>
        <v>-0.3021433577235268</v>
      </c>
      <c r="H272" s="25" cm="1">
        <f t="array" ref="H272">TrajectoryToComeUp(H$247:H$250,$A272)</f>
        <v>-1.8302902661363245</v>
      </c>
      <c r="I272" s="2" cm="1">
        <f t="array" ref="I272">EvaluatePolynomial(I$247:I$250,$A272)</f>
        <v>1542.8020454313908</v>
      </c>
    </row>
    <row r="273" spans="1:9" x14ac:dyDescent="0.25">
      <c r="A273" s="1">
        <v>400</v>
      </c>
      <c r="B273" s="2" cm="1">
        <f t="array" ref="B273">TrajectoryToComeUp(B$247:B$250,$A273)</f>
        <v>2.8751523239444285</v>
      </c>
      <c r="C273" s="2" cm="1">
        <f t="array" ref="C273">TrajectoryToComeUp(C$247:C$250,$A273)</f>
        <v>2.8066688295214122</v>
      </c>
      <c r="D273" s="25" cm="1">
        <f t="array" ref="D273">TrajectoryToComeUp(D$247:D$250,$A273)</f>
        <v>2.5758166828978024</v>
      </c>
      <c r="E273" s="25" cm="1">
        <f t="array" ref="E273">TrajectoryToComeUp(E$247:E$250,$A273)</f>
        <v>2.1051406661922307</v>
      </c>
      <c r="F273" s="25" cm="1">
        <f t="array" ref="F273">TrajectoryToComeUp(F$247:F$250,$A273)</f>
        <v>1.0698953534543256</v>
      </c>
      <c r="G273" s="25" cm="1">
        <f t="array" ref="G273">TrajectoryToComeUp(G$247:G$250,$A273)</f>
        <v>9.3885180764848933E-3</v>
      </c>
      <c r="H273" s="25" cm="1">
        <f t="array" ref="H273">TrajectoryToComeUp(H$247:H$250,$A273)</f>
        <v>-1.4922508853721308</v>
      </c>
      <c r="I273" s="2" cm="1">
        <f t="array" ref="I273">EvaluatePolynomial(I$247:I$250,$A273)</f>
        <v>1465.8907540773569</v>
      </c>
    </row>
    <row r="274" spans="1:9" x14ac:dyDescent="0.25">
      <c r="A274" s="1">
        <v>425</v>
      </c>
      <c r="B274" s="2" cm="1">
        <f t="array" ref="B274">TrajectoryToComeUp(B$247:B$250,$A274)</f>
        <v>3.2590669582954619</v>
      </c>
      <c r="C274" s="2" cm="1">
        <f t="array" ref="C274">TrajectoryToComeUp(C$247:C$250,$A274)</f>
        <v>3.1671078768969361</v>
      </c>
      <c r="D274" s="25" cm="1">
        <f t="array" ref="D274">TrajectoryToComeUp(D$247:D$250,$A274)</f>
        <v>2.9178949381071146</v>
      </c>
      <c r="E274" s="25" cm="1">
        <f t="array" ref="E274">TrajectoryToComeUp(E$247:E$250,$A274)</f>
        <v>2.4440478385689399</v>
      </c>
      <c r="F274" s="25" cm="1">
        <f t="array" ref="F274">TrajectoryToComeUp(F$247:F$250,$A274)</f>
        <v>1.407152412227852</v>
      </c>
      <c r="G274" s="25" cm="1">
        <f t="array" ref="G274">TrajectoryToComeUp(G$247:G$250,$A274)</f>
        <v>0.33007027686798279</v>
      </c>
      <c r="H274" s="25" cm="1">
        <f t="array" ref="H274">TrajectoryToComeUp(H$247:H$250,$A274)</f>
        <v>-1.1394888724231609</v>
      </c>
      <c r="I274" s="2" cm="1">
        <f t="array" ref="I274">EvaluatePolynomial(I$247:I$250,$A274)</f>
        <v>1393.8807671113534</v>
      </c>
    </row>
    <row r="275" spans="1:9" x14ac:dyDescent="0.25">
      <c r="A275" s="1">
        <v>450</v>
      </c>
      <c r="B275" s="2" cm="1">
        <f t="array" ref="B275">TrajectoryToComeUp(B$247:B$250,$A275)</f>
        <v>3.6571313462696406</v>
      </c>
      <c r="C275" s="2" cm="1">
        <f t="array" ref="C275">TrajectoryToComeUp(C$247:C$250,$A275)</f>
        <v>3.5457587430359685</v>
      </c>
      <c r="D275" s="25" cm="1">
        <f t="array" ref="D275">TrajectoryToComeUp(D$247:D$250,$A275)</f>
        <v>3.2727412757983845</v>
      </c>
      <c r="E275" s="25" cm="1">
        <f t="array" ref="E275">TrajectoryToComeUp(E$247:E$250,$A275)</f>
        <v>2.7979371959055443</v>
      </c>
      <c r="F275" s="25" cm="1">
        <f t="array" ref="F275">TrajectoryToComeUp(F$247:F$250,$A275)</f>
        <v>1.7615922566146278</v>
      </c>
      <c r="G275" s="25" cm="1">
        <f t="array" ref="G275">TrajectoryToComeUp(G$247:G$250,$A275)</f>
        <v>0.65971631320258373</v>
      </c>
      <c r="H275" s="25" cm="1">
        <f t="array" ref="H275">TrajectoryToComeUp(H$247:H$250,$A275)</f>
        <v>-0.77215560209359246</v>
      </c>
      <c r="I275" s="2" cm="1">
        <f t="array" ref="I275">EvaluatePolynomial(I$247:I$250,$A275)</f>
        <v>1326.9228984270276</v>
      </c>
    </row>
    <row r="276" spans="1:9" x14ac:dyDescent="0.25">
      <c r="A276" s="1">
        <v>475</v>
      </c>
      <c r="B276" s="2" cm="1">
        <f t="array" ref="B276">TrajectoryToComeUp(B$247:B$250,$A276)</f>
        <v>4.0692041975888511</v>
      </c>
      <c r="C276" s="2" cm="1">
        <f t="array" ref="C276">TrajectoryToComeUp(C$247:C$250,$A276)</f>
        <v>3.9425201490921604</v>
      </c>
      <c r="D276" s="25" cm="1">
        <f t="array" ref="D276">TrajectoryToComeUp(D$247:D$250,$A276)</f>
        <v>3.64022636557947</v>
      </c>
      <c r="E276" s="25" cm="1">
        <f t="array" ref="E276">TrajectoryToComeUp(E$247:E$250,$A276)</f>
        <v>3.16671011847441</v>
      </c>
      <c r="F276" s="25" cm="1">
        <f t="array" ref="F276">TrajectoryToComeUp(F$247:F$250,$A276)</f>
        <v>2.1331303494588463</v>
      </c>
      <c r="G276" s="25" cm="1">
        <f t="array" ref="G276">TrajectoryToComeUp(G$247:G$250,$A276)</f>
        <v>0.99818009646314587</v>
      </c>
      <c r="H276" s="25" cm="1">
        <f t="array" ref="H276">TrajectoryToComeUp(H$247:H$250,$A276)</f>
        <v>-0.39037058080777881</v>
      </c>
      <c r="I276" s="2" cm="1">
        <f t="array" ref="I276">EvaluatePolynomial(I$247:I$250,$A276)</f>
        <v>1265.1679619180261</v>
      </c>
    </row>
    <row r="277" spans="1:9" x14ac:dyDescent="0.25">
      <c r="A277" s="10">
        <v>500</v>
      </c>
      <c r="B277" s="2" cm="1">
        <f t="array" ref="B277">TrajectoryToComeUp(B$247:B$250,$A277)</f>
        <v>4.4951724800306039</v>
      </c>
      <c r="C277" s="2" cm="1">
        <f t="array" ref="C277">TrajectoryToComeUp(C$247:C$250,$A277)</f>
        <v>4.3573110719884349</v>
      </c>
      <c r="D277" s="25" cm="1">
        <f t="array" ref="D277">TrajectoryToComeUp(D$247:D$250,$A277)</f>
        <v>4.02024674313666</v>
      </c>
      <c r="E277" s="25" cm="1">
        <f t="array" ref="E277">TrajectoryToComeUp(E$247:E$250,$A277)</f>
        <v>3.5502877104934289</v>
      </c>
      <c r="F277" s="25" cm="1">
        <f t="array" ref="F277">TrajectoryToComeUp(F$247:F$250,$A277)</f>
        <v>2.5216990610358594</v>
      </c>
      <c r="G277" s="25" cm="1">
        <f t="array" ref="G277">TrajectoryToComeUp(G$247:G$250,$A277)</f>
        <v>1.3453444021559533</v>
      </c>
      <c r="H277" s="25" cm="1">
        <f t="array" ref="H277">TrajectoryToComeUp(H$247:H$250,$A277)</f>
        <v>5.7705862947996346E-3</v>
      </c>
      <c r="I277" s="2" cm="1">
        <f t="array" ref="I277">EvaluatePolynomial(I$247:I$250,$A277)</f>
        <v>1208.7667714779952</v>
      </c>
    </row>
  </sheetData>
  <mergeCells count="11">
    <mergeCell ref="F1:I1"/>
    <mergeCell ref="C20:G20"/>
    <mergeCell ref="J20:N20"/>
    <mergeCell ref="R16:S16"/>
    <mergeCell ref="T16:U16"/>
    <mergeCell ref="V16:W16"/>
    <mergeCell ref="X16:Y16"/>
    <mergeCell ref="Z16:AA16"/>
    <mergeCell ref="AB16:AC16"/>
    <mergeCell ref="AD16:AE16"/>
    <mergeCell ref="R15:AE15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5AE-F2EB-4E88-B0CE-907CE7A04FDE}">
  <sheetPr codeName="Sheet3"/>
  <dimension ref="A1:S289"/>
  <sheetViews>
    <sheetView tabSelected="1" workbookViewId="0">
      <selection activeCell="O19" sqref="O19"/>
    </sheetView>
  </sheetViews>
  <sheetFormatPr defaultRowHeight="15" x14ac:dyDescent="0.25"/>
  <cols>
    <col min="1" max="1" width="34.5703125" customWidth="1"/>
    <col min="2" max="2" width="38.85546875" customWidth="1"/>
    <col min="3" max="3" width="21.5703125" customWidth="1"/>
    <col min="4" max="4" width="16.42578125" customWidth="1"/>
    <col min="5" max="5" width="15.140625" customWidth="1"/>
    <col min="6" max="6" width="22.140625" customWidth="1"/>
    <col min="7" max="7" width="17" customWidth="1"/>
    <col min="8" max="8" width="18.85546875" customWidth="1"/>
    <col min="9" max="9" width="20.855468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t="s">
        <v>18</v>
      </c>
      <c r="B1" t="s">
        <v>47</v>
      </c>
      <c r="C1" t="s">
        <v>38</v>
      </c>
      <c r="D1" t="s">
        <v>37</v>
      </c>
      <c r="F1" s="42" t="s">
        <v>74</v>
      </c>
      <c r="G1" s="42"/>
      <c r="H1" s="42"/>
      <c r="I1" s="42"/>
    </row>
    <row r="2" spans="1:9" x14ac:dyDescent="0.25">
      <c r="A2" t="s">
        <v>20</v>
      </c>
      <c r="B2" s="2">
        <v>140</v>
      </c>
      <c r="C2" s="2">
        <f>CONVERT($B$2,"grain","g")</f>
        <v>9.0718473999999993</v>
      </c>
      <c r="F2" t="s">
        <v>75</v>
      </c>
      <c r="G2" s="2">
        <v>140</v>
      </c>
      <c r="H2" s="2">
        <f>CONVERT($G$2,"grain","g")</f>
        <v>9.0718473999999993</v>
      </c>
    </row>
    <row r="3" spans="1:9" x14ac:dyDescent="0.25">
      <c r="A3" t="s">
        <v>0</v>
      </c>
      <c r="B3" s="2">
        <v>0.28399999999999997</v>
      </c>
      <c r="C3" s="2">
        <f>CONVERT($B$3,"in","mm")</f>
        <v>7.2135999999999996</v>
      </c>
      <c r="F3" t="s">
        <v>76</v>
      </c>
      <c r="G3" s="2">
        <v>0.28399999999999997</v>
      </c>
      <c r="H3" s="2">
        <f>CONVERT($G$3,"in","mm")</f>
        <v>7.2135999999999996</v>
      </c>
    </row>
    <row r="4" spans="1:9" x14ac:dyDescent="0.25">
      <c r="A4" t="s">
        <v>11</v>
      </c>
      <c r="B4" s="2"/>
      <c r="C4" s="2"/>
      <c r="F4" t="s">
        <v>11</v>
      </c>
      <c r="G4" s="2" t="s">
        <v>77</v>
      </c>
      <c r="H4" s="2"/>
    </row>
    <row r="5" spans="1:9" x14ac:dyDescent="0.25">
      <c r="A5" t="s">
        <v>21</v>
      </c>
      <c r="B5" s="2">
        <v>0.39400000000000002</v>
      </c>
      <c r="C5" s="2"/>
      <c r="F5" t="s">
        <v>21</v>
      </c>
      <c r="G5" s="2">
        <v>0.39400000000000002</v>
      </c>
      <c r="H5" s="2"/>
    </row>
    <row r="6" spans="1:9" x14ac:dyDescent="0.25">
      <c r="A6" t="s">
        <v>22</v>
      </c>
      <c r="B6" s="2">
        <v>3352</v>
      </c>
      <c r="C6" s="2">
        <f>CONVERT($B$6,"J","flb")</f>
        <v>2472.3083243773935</v>
      </c>
      <c r="F6" t="s">
        <v>78</v>
      </c>
      <c r="G6" s="2">
        <f>CONVERT($H$6,"J","flb")</f>
        <v>2471.6814814437139</v>
      </c>
      <c r="H6" s="2">
        <f>($C$2/1000)*$H$7*$H$7/2</f>
        <v>3351.1501150997324</v>
      </c>
    </row>
    <row r="7" spans="1:9" x14ac:dyDescent="0.25">
      <c r="A7" t="s">
        <v>19</v>
      </c>
      <c r="B7" s="2">
        <f xml:space="preserve"> SQRT(2*$B$6/(CONVERT($B$2,"grain","g")/1000))</f>
        <v>859.64498651693987</v>
      </c>
      <c r="C7" s="2">
        <f>CONVERT($B$7,"m","ft")</f>
        <v>2820.3575673127948</v>
      </c>
      <c r="F7" t="s">
        <v>79</v>
      </c>
      <c r="G7" s="2">
        <v>2820</v>
      </c>
      <c r="H7" s="2">
        <f>CONVERT($G$7,"ft","m")</f>
        <v>859.53599999999994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8.9</v>
      </c>
      <c r="C9" s="2">
        <f>CONVERT($B$9,"m/sec","km/hr")</f>
        <v>32.04</v>
      </c>
    </row>
    <row r="10" spans="1:9" x14ac:dyDescent="0.25">
      <c r="A10" t="s">
        <v>3</v>
      </c>
      <c r="B10" s="2">
        <v>270</v>
      </c>
      <c r="C10" s="2"/>
    </row>
    <row r="11" spans="1:9" x14ac:dyDescent="0.25">
      <c r="A11" s="21" t="s">
        <v>62</v>
      </c>
      <c r="B11" s="2">
        <v>0.5</v>
      </c>
      <c r="C11" s="28"/>
    </row>
    <row r="12" spans="1:9" x14ac:dyDescent="0.25">
      <c r="A12" s="21" t="s">
        <v>63</v>
      </c>
      <c r="B12" s="2" cm="1">
        <f t="array" ref="B12">MOAToMRAD($B$11)</f>
        <v>0.14544410433286079</v>
      </c>
      <c r="C12" s="28">
        <f>$B$12/2</f>
        <v>7.2722052166430393E-2</v>
      </c>
    </row>
    <row r="13" spans="1:9" x14ac:dyDescent="0.25">
      <c r="A13" s="21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1" t="s">
        <v>5</v>
      </c>
      <c r="B14" t="s">
        <v>61</v>
      </c>
    </row>
    <row r="15" spans="1:9" x14ac:dyDescent="0.25">
      <c r="A15" t="s">
        <v>64</v>
      </c>
      <c r="B15" s="20" t="s">
        <v>72</v>
      </c>
      <c r="C15" s="20" t="s">
        <v>69</v>
      </c>
      <c r="D15" s="20" t="s">
        <v>70</v>
      </c>
      <c r="E15" s="20" t="s">
        <v>71</v>
      </c>
    </row>
    <row r="16" spans="1:9" x14ac:dyDescent="0.25">
      <c r="A16" s="21" t="s">
        <v>67</v>
      </c>
      <c r="B16" s="2">
        <v>0.625</v>
      </c>
      <c r="C16">
        <f>$B16/2</f>
        <v>0.3125</v>
      </c>
      <c r="D16" s="2">
        <f>$B$16 * $B$18</f>
        <v>0.36361026083215198</v>
      </c>
      <c r="E16" s="25">
        <f>$D16/2</f>
        <v>0.18180513041607599</v>
      </c>
    </row>
    <row r="17" spans="1:17" x14ac:dyDescent="0.25">
      <c r="A17" s="21" t="s">
        <v>68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5">
        <f>$D17/2</f>
        <v>7.2722052166430393E-2</v>
      </c>
    </row>
    <row r="18" spans="1:17" x14ac:dyDescent="0.25">
      <c r="A18" s="11" t="s">
        <v>66</v>
      </c>
      <c r="B18" s="12">
        <f>$B$12/$B$17</f>
        <v>0.58177641733144314</v>
      </c>
      <c r="C18" s="2"/>
      <c r="J18" s="2">
        <v>4.75</v>
      </c>
      <c r="K18" s="2">
        <v>4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</row>
    <row r="19" spans="1:17" x14ac:dyDescent="0.25">
      <c r="A19" s="11"/>
      <c r="B19" s="38" t="s">
        <v>73</v>
      </c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F19" s="2">
        <f>$E$19/2</f>
        <v>7.5122274118138516E-2</v>
      </c>
      <c r="J19" s="2"/>
      <c r="K19" s="2"/>
      <c r="L19" s="2"/>
      <c r="M19" s="2"/>
      <c r="N19" s="2"/>
      <c r="O19" s="2"/>
      <c r="P19" s="2"/>
    </row>
    <row r="20" spans="1:17" x14ac:dyDescent="0.25">
      <c r="C20" s="41" t="s">
        <v>24</v>
      </c>
      <c r="D20" s="41"/>
      <c r="E20" s="41"/>
      <c r="F20" s="41"/>
      <c r="G20" s="41"/>
      <c r="H20" s="13"/>
      <c r="I20" s="13"/>
      <c r="J20" s="44" t="s">
        <v>25</v>
      </c>
      <c r="K20" s="44"/>
      <c r="L20" s="44"/>
      <c r="M20" s="44"/>
      <c r="N20" s="44"/>
      <c r="O20" s="13"/>
      <c r="P20" s="13"/>
      <c r="Q20" s="29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16" t="s">
        <v>32</v>
      </c>
      <c r="Q21" s="29" t="s">
        <v>30</v>
      </c>
    </row>
    <row r="22" spans="1:17" x14ac:dyDescent="0.25">
      <c r="A22" s="1">
        <v>0</v>
      </c>
      <c r="B22" s="1">
        <v>3351.2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1">
        <f t="shared" si="1"/>
        <v>-3.81</v>
      </c>
      <c r="Q22" s="34">
        <v>0</v>
      </c>
    </row>
    <row r="23" spans="1:17" x14ac:dyDescent="0.25">
      <c r="A23" s="1">
        <v>25</v>
      </c>
      <c r="B23" s="1">
        <v>3236.7</v>
      </c>
      <c r="C23" s="6">
        <v>-0.25</v>
      </c>
      <c r="D23" s="6">
        <v>-0.35</v>
      </c>
      <c r="E23" s="6">
        <v>-0.3125</v>
      </c>
      <c r="F23" s="6">
        <v>-0.2</v>
      </c>
      <c r="G23" s="6">
        <v>0</v>
      </c>
      <c r="H23" s="6">
        <v>0.25</v>
      </c>
      <c r="I23" s="14">
        <v>0.58299999999999996</v>
      </c>
      <c r="J23" s="9" cm="1">
        <f t="array" ref="J23">TrajectoryDropInCM(C23,$A23,J$18)</f>
        <v>-2.9687513954679097</v>
      </c>
      <c r="K23" s="9" cm="1">
        <f t="array" ref="K23">TrajectoryDropInCM(D23,$A23,K$18)</f>
        <v>-3.5000022866684599</v>
      </c>
      <c r="L23" s="9" cm="1">
        <f t="array" ref="L23">TrajectoryDropInCM(E23,$A23,L$18)</f>
        <v>-3.125001627605184</v>
      </c>
      <c r="M23" s="9" cm="1">
        <f t="array" ref="M23">TrajectoryDropInCM(F23,$A23,M$18)</f>
        <v>-2.0000004266667757</v>
      </c>
      <c r="N23" s="9" cm="1">
        <f t="array" ref="N23">TrajectoryDropInCM(G23,$A23,N$18)</f>
        <v>0</v>
      </c>
      <c r="O23" s="9" cm="1">
        <f t="array" ref="O23">TrajectoryDropInCM(H23,$A23,O$18)</f>
        <v>2.500000833333667</v>
      </c>
      <c r="P23" s="32" cm="1">
        <f t="array" ref="P23">TrajectoryDropInCM(I23,$A23,P$18)</f>
        <v>5.8300105683049619</v>
      </c>
      <c r="Q23" s="34" cm="1">
        <f t="array" ref="Q23">TrajectoryErrorCM($E$19,1,$A23)</f>
        <v>0.37561137059069255</v>
      </c>
    </row>
    <row r="24" spans="1:17" x14ac:dyDescent="0.25">
      <c r="A24" s="1">
        <v>50</v>
      </c>
      <c r="B24" s="1">
        <v>3091.7</v>
      </c>
      <c r="C24" s="7">
        <v>1E-3</v>
      </c>
      <c r="D24" s="6">
        <v>-8.3000000000000004E-2</v>
      </c>
      <c r="E24" s="6">
        <v>0</v>
      </c>
      <c r="F24" s="6">
        <v>8.3000000000000004E-2</v>
      </c>
      <c r="G24" s="6">
        <v>0.3</v>
      </c>
      <c r="H24" s="6">
        <v>0.5625</v>
      </c>
      <c r="I24" s="14">
        <v>0.85</v>
      </c>
      <c r="J24" s="9" cm="1">
        <f t="array" ref="J24">TrajectoryDropInCM(C24,$A24,J$18)</f>
        <v>2.3750000000178621E-2</v>
      </c>
      <c r="K24" s="9" cm="1">
        <f t="array" ref="K24">TrajectoryDropInCM(D24,$A24,K$18)</f>
        <v>-1.660000060990616</v>
      </c>
      <c r="L24" s="9" cm="1">
        <f t="array" ref="L24">TrajectoryDropInCM(E24,$A24,L$18)</f>
        <v>0</v>
      </c>
      <c r="M24" s="9" cm="1">
        <f t="array" ref="M24">TrajectoryDropInCM(F24,$A24,M$18)</f>
        <v>1.660000060990616</v>
      </c>
      <c r="N24" s="9" cm="1">
        <f t="array" ref="N24">TrajectoryDropInCM(G24,$A24,N$18)</f>
        <v>6.0000028800016576</v>
      </c>
      <c r="O24" s="9" cm="1">
        <f t="array" ref="O24">TrajectoryDropInCM(H24,$A24,O$18)</f>
        <v>11.250018984413442</v>
      </c>
      <c r="P24" s="32" cm="1">
        <f t="array" ref="P24">TrajectoryDropInCM(I24,$A24,P$18)</f>
        <v>17.000065506969573</v>
      </c>
      <c r="Q24" s="34" cm="1">
        <f t="array" ref="Q24">TrajectoryErrorCM($E$19,1,$A24)</f>
        <v>0.7512227411813851</v>
      </c>
    </row>
    <row r="25" spans="1:17" x14ac:dyDescent="0.25">
      <c r="A25" s="1">
        <v>75</v>
      </c>
      <c r="B25" s="1">
        <v>2932.6</v>
      </c>
      <c r="C25" s="6">
        <v>8.3000000000000004E-2</v>
      </c>
      <c r="D25" s="6">
        <v>0</v>
      </c>
      <c r="E25" s="6">
        <v>6.25E-2</v>
      </c>
      <c r="F25" s="6">
        <v>0.125</v>
      </c>
      <c r="G25" s="6">
        <v>0.35</v>
      </c>
      <c r="H25" s="6">
        <v>0.6</v>
      </c>
      <c r="I25" s="14">
        <v>0.91700000000000004</v>
      </c>
      <c r="J25" s="9" cm="1">
        <f t="array" ref="J25">TrajectoryDropInCM(C25,$A25,J$18)</f>
        <v>2.9568751531987223</v>
      </c>
      <c r="K25" s="9" cm="1">
        <f t="array" ref="K25">TrajectoryDropInCM(D25,$A25,K$18)</f>
        <v>0</v>
      </c>
      <c r="L25" s="9" cm="1">
        <f t="array" ref="L25">TrajectoryDropInCM(E25,$A25,L$18)</f>
        <v>1.8750000390625008</v>
      </c>
      <c r="M25" s="9" cm="1">
        <f t="array" ref="M25">TrajectoryDropInCM(F25,$A25,M$18)</f>
        <v>3.7500003125000307</v>
      </c>
      <c r="N25" s="9" cm="1">
        <f t="array" ref="N25">TrajectoryDropInCM(G25,$A25,N$18)</f>
        <v>10.50000686000538</v>
      </c>
      <c r="O25" s="9" cm="1">
        <f t="array" ref="O25">TrajectoryDropInCM(H25,$A25,O$18)</f>
        <v>18.000034560079627</v>
      </c>
      <c r="P25" s="32" cm="1">
        <f t="array" ref="P25">TrajectoryDropInCM(I25,$A25,P$18)</f>
        <v>27.510123375898054</v>
      </c>
      <c r="Q25" s="34" cm="1">
        <f t="array" ref="Q25">TrajectoryErrorCM($E$19,1,$A25)</f>
        <v>1.1268341117720777</v>
      </c>
    </row>
    <row r="26" spans="1:17" x14ac:dyDescent="0.25">
      <c r="A26" s="1">
        <v>100</v>
      </c>
      <c r="B26" s="1">
        <v>2801.8</v>
      </c>
      <c r="C26" s="6">
        <v>8.3000000000000004E-2</v>
      </c>
      <c r="D26" s="7">
        <v>0</v>
      </c>
      <c r="E26" s="6">
        <v>6.25E-2</v>
      </c>
      <c r="F26" s="6">
        <v>0.125</v>
      </c>
      <c r="G26" s="6">
        <v>0.35</v>
      </c>
      <c r="H26" s="6">
        <v>0.625</v>
      </c>
      <c r="I26" s="14">
        <v>0.91700000000000004</v>
      </c>
      <c r="J26" s="9" cm="1">
        <f t="array" ref="J26">TrajectoryDropInCM(C26,$A26,J$18)</f>
        <v>3.9425002042649626</v>
      </c>
      <c r="K26" s="9" cm="1">
        <f t="array" ref="K26">TrajectoryDropInCM(D26,$A26,K$18)</f>
        <v>0</v>
      </c>
      <c r="L26" s="9" cm="1">
        <f t="array" ref="L26">TrajectoryDropInCM(E26,$A26,L$18)</f>
        <v>2.5000000520833341</v>
      </c>
      <c r="M26" s="9" cm="1">
        <f t="array" ref="M26">TrajectoryDropInCM(F26,$A26,M$18)</f>
        <v>5.0000004166667074</v>
      </c>
      <c r="N26" s="9" cm="1">
        <f t="array" ref="N26">TrajectoryDropInCM(G26,$A26,N$18)</f>
        <v>14.00000914667384</v>
      </c>
      <c r="O26" s="9" cm="1">
        <f t="array" ref="O26">TrajectoryDropInCM(H26,$A26,O$18)</f>
        <v>25.000052083463544</v>
      </c>
      <c r="P26" s="32" cm="1">
        <f t="array" ref="P26">TrajectoryDropInCM(I26,$A26,P$18)</f>
        <v>36.680164501197403</v>
      </c>
      <c r="Q26" s="34" cm="1">
        <f t="array" ref="Q26">TrajectoryErrorCM($E$19,1,$A26)</f>
        <v>1.5024454823627702</v>
      </c>
    </row>
    <row r="27" spans="1:17" x14ac:dyDescent="0.25">
      <c r="A27" s="1">
        <v>125</v>
      </c>
      <c r="B27" s="1">
        <v>2680.8</v>
      </c>
      <c r="C27" s="6">
        <v>8.3000000000000004E-2</v>
      </c>
      <c r="D27" s="6">
        <v>0</v>
      </c>
      <c r="E27" s="6">
        <v>6.25E-2</v>
      </c>
      <c r="F27" s="6">
        <v>0.125</v>
      </c>
      <c r="G27" s="6">
        <v>0.33</v>
      </c>
      <c r="H27" s="6">
        <v>0.58299999999999996</v>
      </c>
      <c r="I27" s="14">
        <v>0.9</v>
      </c>
      <c r="J27" s="9" cm="1">
        <f t="array" ref="J27">TrajectoryDropInCM(C27,$A27,J$18)</f>
        <v>4.9281252553312029</v>
      </c>
      <c r="K27" s="9" cm="1">
        <f t="array" ref="K27">TrajectoryDropInCM(D27,$A27,K$18)</f>
        <v>0</v>
      </c>
      <c r="L27" s="9" cm="1">
        <f t="array" ref="L27">TrajectoryDropInCM(E27,$A27,L$18)</f>
        <v>3.1250000651041678</v>
      </c>
      <c r="M27" s="9" cm="1">
        <f t="array" ref="M27">TrajectoryDropInCM(F27,$A27,M$18)</f>
        <v>6.2500005208333844</v>
      </c>
      <c r="N27" s="9" cm="1">
        <f t="array" ref="N27">TrajectoryDropInCM(G27,$A27,N$18)</f>
        <v>16.50000958320668</v>
      </c>
      <c r="O27" s="9" cm="1">
        <f t="array" ref="O27">TrajectoryDropInCM(H27,$A27,O$18)</f>
        <v>29.150052841524811</v>
      </c>
      <c r="P27" s="32" cm="1">
        <f t="array" ref="P27">TrajectoryDropInCM(I27,$A27,P$18)</f>
        <v>45.000194401007775</v>
      </c>
      <c r="Q27" s="34" cm="1">
        <f t="array" ref="Q27">TrajectoryErrorCM($E$19,1,$A27)</f>
        <v>1.8780568529534629</v>
      </c>
    </row>
    <row r="28" spans="1:17" x14ac:dyDescent="0.25">
      <c r="A28" s="1">
        <v>150</v>
      </c>
      <c r="B28" s="1">
        <v>2547.8000000000002</v>
      </c>
      <c r="C28" s="6">
        <v>6.25E-2</v>
      </c>
      <c r="D28" s="6">
        <v>-6.25E-2</v>
      </c>
      <c r="E28" s="7">
        <v>0</v>
      </c>
      <c r="F28" s="6">
        <v>8.3000000000000004E-2</v>
      </c>
      <c r="G28" s="6">
        <v>0.3125</v>
      </c>
      <c r="H28" s="6">
        <v>0.58299999999999996</v>
      </c>
      <c r="I28" s="14">
        <v>0.875</v>
      </c>
      <c r="J28" s="9" cm="1">
        <f t="array" ref="J28">TrajectoryDropInCM(C28,$A28,J$18)</f>
        <v>4.4531251308250486</v>
      </c>
      <c r="K28" s="9" cm="1">
        <f t="array" ref="K28">TrajectoryDropInCM(D28,$A28,K$18)</f>
        <v>-3.7500000781250016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18.750009765631106</v>
      </c>
      <c r="O28" s="9" cm="1">
        <f t="array" ref="O28">TrajectoryDropInCM(H28,$A28,O$18)</f>
        <v>34.980063409829775</v>
      </c>
      <c r="P28" s="32" cm="1">
        <f t="array" ref="P28">TrajectoryDropInCM(I28,$A28,P$18)</f>
        <v>52.500214376050444</v>
      </c>
      <c r="Q28" s="34" cm="1">
        <f t="array" ref="Q28">TrajectoryErrorCM($E$19,1,$A28)</f>
        <v>2.2536682235441554</v>
      </c>
    </row>
    <row r="29" spans="1:17" x14ac:dyDescent="0.25">
      <c r="A29" s="1">
        <v>200</v>
      </c>
      <c r="B29" s="1">
        <v>2309</v>
      </c>
      <c r="C29" s="6">
        <v>-6.25E-2</v>
      </c>
      <c r="D29" s="6">
        <v>-0.125</v>
      </c>
      <c r="E29" s="6">
        <v>-8.3000000000000004E-2</v>
      </c>
      <c r="F29" s="7">
        <v>0</v>
      </c>
      <c r="G29" s="6">
        <v>0.245</v>
      </c>
      <c r="H29" s="6">
        <v>0.5</v>
      </c>
      <c r="I29" s="14">
        <v>0.8125</v>
      </c>
      <c r="J29" s="9" cm="1">
        <f t="array" ref="J29">TrajectoryDropInCM(C29,$A29,J$18)</f>
        <v>-5.9375001744333975</v>
      </c>
      <c r="K29" s="9" cm="1">
        <f t="array" ref="K29">TrajectoryDropInCM(D29,$A29,K$18)</f>
        <v>-10.000000833333415</v>
      </c>
      <c r="L29" s="9" cm="1">
        <f t="array" ref="L29">TrajectoryDropInCM(E29,$A29,L$18)</f>
        <v>-6.6400002439624641</v>
      </c>
      <c r="M29" s="9" cm="1">
        <f t="array" ref="M29">TrajectoryDropInCM(F29,$A29,M$18)</f>
        <v>0</v>
      </c>
      <c r="N29" s="9" cm="1">
        <f t="array" ref="N29">TrajectoryDropInCM(G29,$A29,N$18)</f>
        <v>19.600006274615744</v>
      </c>
      <c r="O29" s="9" cm="1">
        <f t="array" ref="O29">TrajectoryDropInCM(H29,$A29,O$18)</f>
        <v>40.000053333418663</v>
      </c>
      <c r="P29" s="32" cm="1">
        <f t="array" ref="P29">TrajectoryDropInCM(I29,$A29,P$18)</f>
        <v>65.000228855133571</v>
      </c>
      <c r="Q29" s="34" cm="1">
        <f t="array" ref="Q29">TrajectoryErrorCM($E$19,1,$A29)</f>
        <v>3.0048909647255404</v>
      </c>
    </row>
    <row r="30" spans="1:17" x14ac:dyDescent="0.25">
      <c r="A30" s="1">
        <v>250</v>
      </c>
      <c r="B30" s="1">
        <v>2093.6999999999998</v>
      </c>
      <c r="C30" s="6">
        <v>-0.125</v>
      </c>
      <c r="D30" s="6">
        <v>-0.25</v>
      </c>
      <c r="E30" s="6">
        <v>-0.125</v>
      </c>
      <c r="F30" s="6">
        <v>-0.1</v>
      </c>
      <c r="G30" s="6">
        <v>0.125</v>
      </c>
      <c r="H30" s="6">
        <v>0.375</v>
      </c>
      <c r="I30" s="14">
        <v>0.6875</v>
      </c>
      <c r="J30" s="9" cm="1">
        <f t="array" ref="J30">TrajectoryDropInCM(C30,$A30,J$18)</f>
        <v>-14.843751744334149</v>
      </c>
      <c r="K30" s="9" cm="1">
        <f t="array" ref="K30">TrajectoryDropInCM(D30,$A30,K$18)</f>
        <v>-25.00000833333667</v>
      </c>
      <c r="L30" s="9" cm="1">
        <f t="array" ref="L30">TrajectoryDropInCM(E30,$A30,L$18)</f>
        <v>-12.500001041666769</v>
      </c>
      <c r="M30" s="9" cm="1">
        <f t="array" ref="M30">TrajectoryDropInCM(F30,$A30,M$18)</f>
        <v>-10.000000533333367</v>
      </c>
      <c r="N30" s="9" cm="1">
        <f t="array" ref="N30">TrajectoryDropInCM(G30,$A30,N$18)</f>
        <v>12.500001041666769</v>
      </c>
      <c r="O30" s="9" cm="1">
        <f t="array" ref="O30">TrajectoryDropInCM(H30,$A30,O$18)</f>
        <v>37.500028125025317</v>
      </c>
      <c r="P30" s="32" cm="1">
        <f t="array" ref="P30">TrajectoryDropInCM(I30,$A30,P$18)</f>
        <v>68.750173307815913</v>
      </c>
      <c r="Q30" s="34" cm="1">
        <f t="array" ref="Q30">TrajectoryErrorCM($E$19,1,$A30)</f>
        <v>3.7561137059069258</v>
      </c>
    </row>
    <row r="31" spans="1:17" x14ac:dyDescent="0.25">
      <c r="A31" s="1">
        <v>300</v>
      </c>
      <c r="B31" s="1">
        <v>1894.7</v>
      </c>
      <c r="C31" s="6">
        <v>-0.25</v>
      </c>
      <c r="D31" s="6">
        <v>-0.33300000000000002</v>
      </c>
      <c r="E31" s="6">
        <v>-0.3</v>
      </c>
      <c r="F31" s="6">
        <v>-0.1875</v>
      </c>
      <c r="G31" s="7">
        <v>0</v>
      </c>
      <c r="H31" s="17">
        <v>0.25</v>
      </c>
      <c r="I31" s="18">
        <v>0.6</v>
      </c>
      <c r="J31" s="9" cm="1">
        <f t="array" ref="J31">TrajectoryDropInCM(C31,$A31,J$18)</f>
        <v>-35.625016745614914</v>
      </c>
      <c r="K31" s="9" cm="1">
        <f t="array" ref="K31">TrajectoryDropInCM(D31,$A31,K$18)</f>
        <v>-39.960023632680461</v>
      </c>
      <c r="L31" s="9" cm="1">
        <f t="array" ref="L31">TrajectoryDropInCM(E31,$A31,L$18)</f>
        <v>-36.000017280009942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30.000010000004</v>
      </c>
      <c r="P31" s="32" cm="1">
        <f t="array" ref="P31">TrajectoryDropInCM(I31,$A31,P$18)</f>
        <v>72.000138240318506</v>
      </c>
      <c r="Q31" s="34" cm="1">
        <f t="array" ref="Q31">TrajectoryErrorCM($E$19,1,$A31)</f>
        <v>4.5073364470883108</v>
      </c>
    </row>
    <row r="32" spans="1:17" x14ac:dyDescent="0.25">
      <c r="A32" s="1">
        <v>350</v>
      </c>
      <c r="B32" s="1">
        <v>1706.6</v>
      </c>
      <c r="C32" s="6">
        <v>-0.375</v>
      </c>
      <c r="D32" s="6">
        <v>-0.5</v>
      </c>
      <c r="E32" s="6">
        <v>-0.41699999999999998</v>
      </c>
      <c r="F32" s="6">
        <v>-0.35</v>
      </c>
      <c r="G32" s="6">
        <v>-0.125</v>
      </c>
      <c r="H32" s="6">
        <v>0.125</v>
      </c>
      <c r="I32" s="14">
        <v>0.5</v>
      </c>
      <c r="J32" s="9" cm="1">
        <f t="array" ref="J32">TrajectoryDropInCM(C32,$A32,J$18)</f>
        <v>-62.343815935905212</v>
      </c>
      <c r="K32" s="9" cm="1">
        <f t="array" ref="K32">TrajectoryDropInCM(D32,$A32,K$18)</f>
        <v>-70.000093333482667</v>
      </c>
      <c r="L32" s="9" cm="1">
        <f t="array" ref="L32">TrajectoryDropInCM(E32,$A32,L$18)</f>
        <v>-58.380054142139294</v>
      </c>
      <c r="M32" s="9" cm="1">
        <f t="array" ref="M32">TrajectoryDropInCM(F32,$A32,M$18)</f>
        <v>-49.000032013358435</v>
      </c>
      <c r="N32" s="9" cm="1">
        <f t="array" ref="N32">TrajectoryDropInCM(G32,$A32,N$18)</f>
        <v>-17.500001458333479</v>
      </c>
      <c r="O32" s="9" cm="1">
        <f t="array" ref="O32">TrajectoryDropInCM(H32,$A32,O$18)</f>
        <v>17.500001458333479</v>
      </c>
      <c r="P32" s="32" cm="1">
        <f t="array" ref="P32">TrajectoryDropInCM(I32,$A32,P$18)</f>
        <v>70.000093333482667</v>
      </c>
      <c r="Q32" s="34" cm="1">
        <f t="array" ref="Q32">TrajectoryErrorCM($E$19,1,$A32)</f>
        <v>5.2585591882696958</v>
      </c>
    </row>
    <row r="33" spans="1:17" x14ac:dyDescent="0.25">
      <c r="A33" s="1">
        <v>400</v>
      </c>
      <c r="B33" s="1">
        <v>1532.8</v>
      </c>
      <c r="C33" s="6">
        <v>-0.5</v>
      </c>
      <c r="D33" s="6">
        <v>-0.625</v>
      </c>
      <c r="E33" s="6">
        <v>-0.5625</v>
      </c>
      <c r="F33" s="6">
        <v>-0.5</v>
      </c>
      <c r="G33" s="6">
        <v>-0.25</v>
      </c>
      <c r="H33" s="7">
        <v>0</v>
      </c>
      <c r="I33" s="14">
        <v>0.33300000000000002</v>
      </c>
      <c r="J33" s="9" cm="1">
        <f t="array" ref="J33">TrajectoryDropInCM(C33,$A33,J$18)</f>
        <v>-95.000178620194674</v>
      </c>
      <c r="K33" s="9" cm="1">
        <f t="array" ref="K33">TrajectoryDropInCM(D33,$A33,K$18)</f>
        <v>-100.00020833385418</v>
      </c>
      <c r="L33" s="9" cm="1">
        <f t="array" ref="L33">TrajectoryDropInCM(E33,$A33,L$18)</f>
        <v>-90.000151875307537</v>
      </c>
      <c r="M33" s="9" cm="1">
        <f t="array" ref="M33">TrajectoryDropInCM(F33,$A33,M$18)</f>
        <v>-80.000106666837326</v>
      </c>
      <c r="N33" s="9" cm="1">
        <f t="array" ref="N33">TrajectoryDropInCM(G33,$A33,N$18)</f>
        <v>-40.000013333338671</v>
      </c>
      <c r="O33" s="9" cm="1">
        <f t="array" ref="O33">TrajectoryDropInCM(H33,$A33,O$18)</f>
        <v>0</v>
      </c>
      <c r="P33" s="32" cm="1">
        <f t="array" ref="P33">TrajectoryDropInCM(I33,$A33,P$18)</f>
        <v>53.280031510240612</v>
      </c>
      <c r="Q33" s="34" cm="1">
        <f t="array" ref="Q33">TrajectoryErrorCM($E$19,1,$A33)</f>
        <v>6.0097819294510808</v>
      </c>
    </row>
    <row r="34" spans="1:17" x14ac:dyDescent="0.25">
      <c r="A34" s="1">
        <v>450</v>
      </c>
      <c r="B34" s="1">
        <v>1382.3</v>
      </c>
      <c r="C34" s="6">
        <v>-0.6875</v>
      </c>
      <c r="D34" s="6">
        <v>-0.75</v>
      </c>
      <c r="E34" s="6">
        <v>-0.6875</v>
      </c>
      <c r="F34" s="6">
        <v>-0.625</v>
      </c>
      <c r="G34" s="6">
        <v>-0.41699999999999998</v>
      </c>
      <c r="H34" s="6">
        <v>-0.125</v>
      </c>
      <c r="I34" s="14">
        <v>0.16700000000000001</v>
      </c>
      <c r="J34" s="9" cm="1">
        <f t="array" ref="J34">TrajectoryDropInCM(C34,$A34,J$18)</f>
        <v>-146.95364738662394</v>
      </c>
      <c r="K34" s="9" cm="1">
        <f t="array" ref="K34">TrajectoryDropInCM(D34,$A34,K$18)</f>
        <v>-135.00040500145803</v>
      </c>
      <c r="L34" s="9" cm="1">
        <f t="array" ref="L34">TrajectoryDropInCM(E34,$A34,L$18)</f>
        <v>-123.75031195406865</v>
      </c>
      <c r="M34" s="9" cm="1">
        <f t="array" ref="M34">TrajectoryDropInCM(F34,$A34,M$18)</f>
        <v>-112.50023437558593</v>
      </c>
      <c r="N34" s="9" cm="1">
        <f t="array" ref="N34">TrajectoryDropInCM(G34,$A34,N$18)</f>
        <v>-75.06006961132195</v>
      </c>
      <c r="O34" s="9" cm="1">
        <f t="array" ref="O34">TrajectoryDropInCM(H34,$A34,O$18)</f>
        <v>-22.500001875000187</v>
      </c>
      <c r="P34" s="32" cm="1">
        <f t="array" ref="P34">TrajectoryDropInCM(I34,$A34,P$18)</f>
        <v>30.060004471165279</v>
      </c>
      <c r="Q34" s="34" cm="1">
        <f t="array" ref="Q34">TrajectoryErrorCM($E$19,1,$A34)</f>
        <v>6.7610046706324667</v>
      </c>
    </row>
    <row r="35" spans="1:17" x14ac:dyDescent="0.25">
      <c r="A35" s="1">
        <v>500</v>
      </c>
      <c r="B35" s="1">
        <v>1235.4000000000001</v>
      </c>
      <c r="C35" s="6">
        <v>-0.83299999999999996</v>
      </c>
      <c r="D35" s="6">
        <v>-0.9375</v>
      </c>
      <c r="E35" s="6">
        <v>-0.875</v>
      </c>
      <c r="F35" s="6">
        <v>-0.8125</v>
      </c>
      <c r="G35" s="6">
        <v>-0.58299999999999996</v>
      </c>
      <c r="H35" s="6">
        <v>-0.3125</v>
      </c>
      <c r="I35" s="15">
        <v>0</v>
      </c>
      <c r="J35" s="9" cm="1">
        <f t="array" ref="J35">TrajectoryDropInCM(C35,$A35,J$18)</f>
        <v>-197.83853244589636</v>
      </c>
      <c r="K35" s="9" cm="1">
        <f t="array" ref="K35">TrajectoryDropInCM(D35,$A35,K$18)</f>
        <v>-187.50087891119387</v>
      </c>
      <c r="L35" s="9" cm="1">
        <f t="array" ref="L35">TrajectoryDropInCM(E35,$A35,L$18)</f>
        <v>-175.00071458683482</v>
      </c>
      <c r="M35" s="9" cm="1">
        <f t="array" ref="M35">TrajectoryDropInCM(F35,$A35,M$18)</f>
        <v>-162.50057213783393</v>
      </c>
      <c r="N35" s="9" cm="1">
        <f t="array" ref="N35">TrajectoryDropInCM(G35,$A35,N$18)</f>
        <v>-116.60021136609924</v>
      </c>
      <c r="O35" s="9" cm="1">
        <f t="array" ref="O35">TrajectoryDropInCM(H35,$A35,O$18)</f>
        <v>-62.500032552103676</v>
      </c>
      <c r="P35" s="32" cm="1">
        <f t="array" ref="P35">TrajectoryDropInCM(I35,$A35,P$18)</f>
        <v>0</v>
      </c>
      <c r="Q35" s="34" cm="1">
        <f t="array" ref="Q35">TrajectoryErrorCM($E$19,1,$A35)</f>
        <v>7.5122274118138517</v>
      </c>
    </row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77" spans="1:19" x14ac:dyDescent="0.25">
      <c r="A77" t="s">
        <v>27</v>
      </c>
    </row>
    <row r="78" spans="1:19" x14ac:dyDescent="0.25">
      <c r="A78" t="s">
        <v>39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</row>
    <row r="80" spans="1:19" x14ac:dyDescent="0.25">
      <c r="A80" s="1">
        <v>0</v>
      </c>
      <c r="B80" s="1">
        <v>860</v>
      </c>
      <c r="C80" s="1">
        <v>3352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840</v>
      </c>
      <c r="C81" s="1">
        <v>3200</v>
      </c>
      <c r="D81" s="1">
        <v>-1.5</v>
      </c>
      <c r="E81" s="1">
        <v>2.1</v>
      </c>
      <c r="F81" s="1">
        <v>0.6</v>
      </c>
      <c r="G81" s="1">
        <v>0</v>
      </c>
      <c r="H81" s="1">
        <v>-1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821</v>
      </c>
      <c r="C82" s="10">
        <v>3055</v>
      </c>
      <c r="D82" s="10">
        <v>0</v>
      </c>
      <c r="E82" s="10">
        <v>0</v>
      </c>
      <c r="F82" s="10">
        <v>0</v>
      </c>
      <c r="G82" s="1">
        <v>-1</v>
      </c>
      <c r="H82" s="10">
        <v>-1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802</v>
      </c>
      <c r="C83" s="1">
        <v>2914</v>
      </c>
      <c r="D83" s="1">
        <v>0.5</v>
      </c>
      <c r="E83" s="1">
        <v>-0.2</v>
      </c>
      <c r="F83" s="1">
        <v>-0.1</v>
      </c>
      <c r="G83" s="1">
        <v>-3</v>
      </c>
      <c r="H83" s="1">
        <v>-1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783</v>
      </c>
      <c r="C84" s="1">
        <v>2779</v>
      </c>
      <c r="D84" s="1">
        <v>0.1</v>
      </c>
      <c r="E84" s="1">
        <v>0</v>
      </c>
      <c r="F84" s="1">
        <v>0</v>
      </c>
      <c r="G84" s="1">
        <v>-5</v>
      </c>
      <c r="H84" s="1">
        <v>-2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764</v>
      </c>
      <c r="C85" s="1">
        <v>2649</v>
      </c>
      <c r="D85" s="1">
        <v>-1.4</v>
      </c>
      <c r="E85" s="1">
        <v>0.4</v>
      </c>
      <c r="F85" s="1">
        <v>0.1</v>
      </c>
      <c r="G85" s="1">
        <v>-7</v>
      </c>
      <c r="H85" s="1">
        <v>-2</v>
      </c>
      <c r="I85" s="1">
        <v>-1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746</v>
      </c>
      <c r="C86" s="1">
        <v>2524</v>
      </c>
      <c r="D86" s="1">
        <v>-3.9</v>
      </c>
      <c r="E86" s="1">
        <v>0.9</v>
      </c>
      <c r="F86" s="1">
        <v>0.3</v>
      </c>
      <c r="G86" s="1">
        <v>-11</v>
      </c>
      <c r="H86" s="1">
        <v>-3</v>
      </c>
      <c r="I86" s="1">
        <v>-1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728</v>
      </c>
      <c r="C87" s="1">
        <v>2403</v>
      </c>
      <c r="D87" s="1">
        <v>-7.5</v>
      </c>
      <c r="E87" s="1">
        <v>1.5</v>
      </c>
      <c r="F87" s="1">
        <v>0.4</v>
      </c>
      <c r="G87" s="1">
        <v>-15</v>
      </c>
      <c r="H87" s="1">
        <v>-3</v>
      </c>
      <c r="I87" s="1">
        <v>-1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710</v>
      </c>
      <c r="C88" s="1">
        <v>2287</v>
      </c>
      <c r="D88" s="1">
        <v>-12.5</v>
      </c>
      <c r="E88" s="1">
        <v>2.1</v>
      </c>
      <c r="F88" s="1">
        <v>0.6</v>
      </c>
      <c r="G88" s="1">
        <v>-19</v>
      </c>
      <c r="H88" s="1">
        <v>-4</v>
      </c>
      <c r="I88" s="1">
        <v>-1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692</v>
      </c>
      <c r="C89" s="1">
        <v>2175</v>
      </c>
      <c r="D89" s="1">
        <v>-18.5</v>
      </c>
      <c r="E89" s="1">
        <v>2.8</v>
      </c>
      <c r="F89" s="1">
        <v>0.8</v>
      </c>
      <c r="G89" s="1">
        <v>-25</v>
      </c>
      <c r="H89" s="1">
        <v>-4</v>
      </c>
      <c r="I89" s="1">
        <v>-1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675</v>
      </c>
      <c r="C90" s="1">
        <v>2068</v>
      </c>
      <c r="D90" s="1">
        <v>-25.9</v>
      </c>
      <c r="E90" s="1">
        <v>3.6</v>
      </c>
      <c r="F90" s="1">
        <v>1</v>
      </c>
      <c r="G90" s="1">
        <v>-31</v>
      </c>
      <c r="H90" s="1">
        <v>-5</v>
      </c>
      <c r="I90" s="1">
        <v>-1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658</v>
      </c>
      <c r="C91" s="1">
        <v>1964</v>
      </c>
      <c r="D91" s="1">
        <v>-34.9</v>
      </c>
      <c r="E91" s="1">
        <v>4.4000000000000004</v>
      </c>
      <c r="F91" s="1">
        <v>1.3</v>
      </c>
      <c r="G91" s="1">
        <v>-38</v>
      </c>
      <c r="H91" s="1">
        <v>-5</v>
      </c>
      <c r="I91" s="1">
        <v>-2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641</v>
      </c>
      <c r="C92" s="1">
        <v>1865</v>
      </c>
      <c r="D92" s="1">
        <v>-45.2</v>
      </c>
      <c r="E92" s="1">
        <v>5.2</v>
      </c>
      <c r="F92" s="1">
        <v>1.5</v>
      </c>
      <c r="G92" s="1">
        <v>-45</v>
      </c>
      <c r="H92" s="1">
        <v>-6</v>
      </c>
      <c r="I92" s="1">
        <v>-2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625</v>
      </c>
      <c r="C93" s="1">
        <v>1770</v>
      </c>
      <c r="D93" s="1">
        <v>-57</v>
      </c>
      <c r="E93" s="1">
        <v>6</v>
      </c>
      <c r="F93" s="1">
        <v>1.8</v>
      </c>
      <c r="G93" s="1">
        <v>-54</v>
      </c>
      <c r="H93" s="1">
        <v>-6</v>
      </c>
      <c r="I93" s="1">
        <v>-2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608</v>
      </c>
      <c r="C94" s="1">
        <v>1678</v>
      </c>
      <c r="D94" s="1">
        <v>-70.900000000000006</v>
      </c>
      <c r="E94" s="1">
        <v>7</v>
      </c>
      <c r="F94" s="1">
        <v>2</v>
      </c>
      <c r="G94" s="1">
        <v>-63</v>
      </c>
      <c r="H94" s="1">
        <v>-7</v>
      </c>
      <c r="I94" s="1">
        <v>-2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592</v>
      </c>
      <c r="C95" s="1">
        <v>1591</v>
      </c>
      <c r="D95" s="1">
        <v>-86.1</v>
      </c>
      <c r="E95" s="1">
        <v>7.9</v>
      </c>
      <c r="F95" s="1">
        <v>2.2999999999999998</v>
      </c>
      <c r="G95" s="1">
        <v>-73</v>
      </c>
      <c r="H95" s="1">
        <v>-7</v>
      </c>
      <c r="I95" s="1">
        <v>-2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576</v>
      </c>
      <c r="C96" s="1">
        <v>1507</v>
      </c>
      <c r="D96" s="1">
        <v>-103.2</v>
      </c>
      <c r="E96" s="1">
        <v>8.9</v>
      </c>
      <c r="F96" s="1">
        <v>2.6</v>
      </c>
      <c r="G96" s="1">
        <v>-84</v>
      </c>
      <c r="H96" s="1">
        <v>-8</v>
      </c>
      <c r="I96" s="1">
        <v>-2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561</v>
      </c>
      <c r="C97" s="1">
        <v>1427</v>
      </c>
      <c r="D97" s="1">
        <v>-122.9</v>
      </c>
      <c r="E97" s="1">
        <v>9.9</v>
      </c>
      <c r="F97" s="1">
        <v>2.9</v>
      </c>
      <c r="G97" s="1">
        <v>-96</v>
      </c>
      <c r="H97" s="1">
        <v>-8</v>
      </c>
      <c r="I97" s="1">
        <v>-2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546</v>
      </c>
      <c r="C98" s="1">
        <v>1350</v>
      </c>
      <c r="D98" s="1">
        <v>-144.1</v>
      </c>
      <c r="E98" s="1">
        <v>11</v>
      </c>
      <c r="F98" s="1">
        <v>3.2</v>
      </c>
      <c r="G98" s="1">
        <v>-110</v>
      </c>
      <c r="H98" s="1">
        <v>-9</v>
      </c>
      <c r="I98" s="1">
        <v>-3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531</v>
      </c>
      <c r="C99" s="1">
        <v>1278</v>
      </c>
      <c r="D99" s="1">
        <v>-167.4</v>
      </c>
      <c r="E99" s="1">
        <v>12.1</v>
      </c>
      <c r="F99" s="1">
        <v>3.5</v>
      </c>
      <c r="G99" s="1">
        <v>-124</v>
      </c>
      <c r="H99" s="1">
        <v>-10</v>
      </c>
      <c r="I99" s="1">
        <v>-3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517</v>
      </c>
      <c r="C100" s="1">
        <v>1211</v>
      </c>
      <c r="D100" s="1">
        <v>-193.1</v>
      </c>
      <c r="E100" s="1">
        <v>13.3</v>
      </c>
      <c r="F100" s="1">
        <v>3.9</v>
      </c>
      <c r="G100" s="1">
        <v>-138</v>
      </c>
      <c r="H100" s="1">
        <v>-10</v>
      </c>
      <c r="I100" s="1">
        <v>-3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40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</row>
    <row r="104" spans="1:19" x14ac:dyDescent="0.25">
      <c r="A104" s="1">
        <v>0</v>
      </c>
      <c r="B104" s="1">
        <v>860</v>
      </c>
      <c r="C104" s="1">
        <v>3352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840</v>
      </c>
      <c r="C105" s="1">
        <v>3200</v>
      </c>
      <c r="D105" s="1">
        <v>-1.5</v>
      </c>
      <c r="E105" s="1">
        <v>2.1</v>
      </c>
      <c r="F105" s="1">
        <v>0.6</v>
      </c>
      <c r="G105">
        <v>0</v>
      </c>
      <c r="H105">
        <v>-1</v>
      </c>
      <c r="I105">
        <v>0</v>
      </c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821</v>
      </c>
      <c r="C106" s="1">
        <v>3055</v>
      </c>
      <c r="D106" s="1">
        <v>0</v>
      </c>
      <c r="E106" s="1">
        <v>0</v>
      </c>
      <c r="F106" s="1">
        <v>0</v>
      </c>
      <c r="G106">
        <v>-1</v>
      </c>
      <c r="H106">
        <v>-1</v>
      </c>
      <c r="I106">
        <v>0</v>
      </c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802</v>
      </c>
      <c r="C107" s="1">
        <v>2914</v>
      </c>
      <c r="D107" s="1">
        <v>0.5</v>
      </c>
      <c r="E107" s="1">
        <v>-0.2</v>
      </c>
      <c r="F107" s="1">
        <v>-0.1</v>
      </c>
      <c r="G107">
        <v>-3</v>
      </c>
      <c r="H107">
        <v>-1</v>
      </c>
      <c r="I107">
        <v>0</v>
      </c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783</v>
      </c>
      <c r="C108" s="10">
        <v>2779</v>
      </c>
      <c r="D108" s="10">
        <v>0</v>
      </c>
      <c r="E108" s="10">
        <v>0</v>
      </c>
      <c r="F108" s="10">
        <v>0</v>
      </c>
      <c r="G108">
        <v>-5</v>
      </c>
      <c r="H108">
        <v>-2</v>
      </c>
      <c r="I108">
        <v>0</v>
      </c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764</v>
      </c>
      <c r="C109" s="1">
        <v>2649</v>
      </c>
      <c r="D109" s="1">
        <v>-1.5</v>
      </c>
      <c r="E109" s="1">
        <v>0.4</v>
      </c>
      <c r="F109" s="1">
        <v>0.1</v>
      </c>
      <c r="G109">
        <v>-7</v>
      </c>
      <c r="H109">
        <v>-2</v>
      </c>
      <c r="I109">
        <v>-1</v>
      </c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746</v>
      </c>
      <c r="C110" s="1">
        <v>2524</v>
      </c>
      <c r="D110" s="1">
        <v>-4</v>
      </c>
      <c r="E110" s="1">
        <v>0.9</v>
      </c>
      <c r="F110" s="1">
        <v>0.3</v>
      </c>
      <c r="G110">
        <v>-11</v>
      </c>
      <c r="H110">
        <v>-3</v>
      </c>
      <c r="I110">
        <v>-1</v>
      </c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728</v>
      </c>
      <c r="C111" s="1">
        <v>2403</v>
      </c>
      <c r="D111" s="1">
        <v>-7.6</v>
      </c>
      <c r="E111" s="1">
        <v>1.5</v>
      </c>
      <c r="F111" s="1">
        <v>0.4</v>
      </c>
      <c r="G111">
        <v>-15</v>
      </c>
      <c r="H111">
        <v>-3</v>
      </c>
      <c r="I111">
        <v>-1</v>
      </c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710</v>
      </c>
      <c r="C112" s="1">
        <v>2287</v>
      </c>
      <c r="D112" s="1">
        <v>-12.6</v>
      </c>
      <c r="E112" s="1">
        <v>2.2000000000000002</v>
      </c>
      <c r="F112" s="1">
        <v>0.6</v>
      </c>
      <c r="G112">
        <v>-19</v>
      </c>
      <c r="H112">
        <v>-4</v>
      </c>
      <c r="I112">
        <v>-1</v>
      </c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692</v>
      </c>
      <c r="C113" s="1">
        <v>2175</v>
      </c>
      <c r="D113" s="1">
        <v>-18.7</v>
      </c>
      <c r="E113" s="1">
        <v>2.9</v>
      </c>
      <c r="F113" s="1">
        <v>0.8</v>
      </c>
      <c r="G113">
        <v>-25</v>
      </c>
      <c r="H113">
        <v>-4</v>
      </c>
      <c r="I113">
        <v>-1</v>
      </c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675</v>
      </c>
      <c r="C114" s="1">
        <v>2068</v>
      </c>
      <c r="D114" s="1">
        <v>-26</v>
      </c>
      <c r="E114" s="1">
        <v>3.6</v>
      </c>
      <c r="F114" s="1">
        <v>1</v>
      </c>
      <c r="G114">
        <v>-31</v>
      </c>
      <c r="H114">
        <v>-5</v>
      </c>
      <c r="I114">
        <v>-1</v>
      </c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658</v>
      </c>
      <c r="C115" s="1">
        <v>1964</v>
      </c>
      <c r="D115" s="1">
        <v>-35.1</v>
      </c>
      <c r="E115" s="1">
        <v>4.4000000000000004</v>
      </c>
      <c r="F115" s="1">
        <v>1.3</v>
      </c>
      <c r="G115">
        <v>-38</v>
      </c>
      <c r="H115">
        <v>-5</v>
      </c>
      <c r="I115">
        <v>-2</v>
      </c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641</v>
      </c>
      <c r="C116" s="1">
        <v>1865</v>
      </c>
      <c r="D116" s="1">
        <v>-45.4</v>
      </c>
      <c r="E116" s="1">
        <v>5.2</v>
      </c>
      <c r="F116" s="1">
        <v>1.5</v>
      </c>
      <c r="G116">
        <v>-45</v>
      </c>
      <c r="H116">
        <v>-6</v>
      </c>
      <c r="I116">
        <v>-2</v>
      </c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625</v>
      </c>
      <c r="C117" s="1">
        <v>1770</v>
      </c>
      <c r="D117" s="1">
        <v>-57.2</v>
      </c>
      <c r="E117" s="1">
        <v>6.1</v>
      </c>
      <c r="F117" s="1">
        <v>1.8</v>
      </c>
      <c r="G117">
        <v>-54</v>
      </c>
      <c r="H117">
        <v>-6</v>
      </c>
      <c r="I117">
        <v>-2</v>
      </c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608</v>
      </c>
      <c r="C118" s="1">
        <v>1678</v>
      </c>
      <c r="D118" s="1">
        <v>-71.2</v>
      </c>
      <c r="E118" s="1">
        <v>7</v>
      </c>
      <c r="F118" s="1">
        <v>2</v>
      </c>
      <c r="G118">
        <v>-63</v>
      </c>
      <c r="H118">
        <v>-7</v>
      </c>
      <c r="I118">
        <v>-2</v>
      </c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592</v>
      </c>
      <c r="C119" s="1">
        <v>1591</v>
      </c>
      <c r="D119" s="1">
        <v>-86.4</v>
      </c>
      <c r="E119" s="1">
        <v>7.9</v>
      </c>
      <c r="F119" s="1">
        <v>2.2999999999999998</v>
      </c>
      <c r="G119">
        <v>-73</v>
      </c>
      <c r="H119">
        <v>-7</v>
      </c>
      <c r="I119">
        <v>-2</v>
      </c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576</v>
      </c>
      <c r="C120" s="1">
        <v>1507</v>
      </c>
      <c r="D120" s="1">
        <v>-103.5</v>
      </c>
      <c r="E120" s="1">
        <v>8.9</v>
      </c>
      <c r="F120" s="1">
        <v>2.6</v>
      </c>
      <c r="G120">
        <v>-84</v>
      </c>
      <c r="H120">
        <v>-8</v>
      </c>
      <c r="I120">
        <v>-2</v>
      </c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561</v>
      </c>
      <c r="C121" s="1">
        <v>1427</v>
      </c>
      <c r="D121" s="1">
        <v>-123.2</v>
      </c>
      <c r="E121" s="1">
        <v>10</v>
      </c>
      <c r="F121" s="1">
        <v>2.9</v>
      </c>
      <c r="G121">
        <v>-96</v>
      </c>
      <c r="H121">
        <v>-8</v>
      </c>
      <c r="I121">
        <v>-2</v>
      </c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546</v>
      </c>
      <c r="C122" s="1">
        <v>1350</v>
      </c>
      <c r="D122" s="1">
        <v>-144.4</v>
      </c>
      <c r="E122" s="1">
        <v>11</v>
      </c>
      <c r="F122" s="1">
        <v>3.2</v>
      </c>
      <c r="G122">
        <v>-110</v>
      </c>
      <c r="H122">
        <v>-9</v>
      </c>
      <c r="I122">
        <v>-3</v>
      </c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531</v>
      </c>
      <c r="C123" s="1">
        <v>1278</v>
      </c>
      <c r="D123" s="1">
        <v>-167.8</v>
      </c>
      <c r="E123" s="1">
        <v>12.2</v>
      </c>
      <c r="F123" s="1">
        <v>3.5</v>
      </c>
      <c r="G123">
        <v>-124</v>
      </c>
      <c r="H123">
        <v>-10</v>
      </c>
      <c r="I123">
        <v>-3</v>
      </c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517</v>
      </c>
      <c r="C124" s="1">
        <v>1211</v>
      </c>
      <c r="D124" s="1">
        <v>-193.5</v>
      </c>
      <c r="E124" s="1">
        <v>13.3</v>
      </c>
      <c r="F124" s="1">
        <v>3.9</v>
      </c>
      <c r="G124">
        <v>-138</v>
      </c>
      <c r="H124">
        <v>-10</v>
      </c>
      <c r="I124">
        <v>-3</v>
      </c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41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</row>
    <row r="128" spans="1:19" x14ac:dyDescent="0.25">
      <c r="A128" s="1">
        <v>0</v>
      </c>
      <c r="B128" s="1">
        <v>860</v>
      </c>
      <c r="C128" s="1">
        <v>3352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840</v>
      </c>
      <c r="C129" s="1">
        <v>3200</v>
      </c>
      <c r="D129" s="1">
        <v>-0.8</v>
      </c>
      <c r="E129" s="1">
        <v>1.2</v>
      </c>
      <c r="F129" s="1">
        <v>0.3</v>
      </c>
      <c r="G129">
        <v>0</v>
      </c>
      <c r="H129">
        <v>-1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821</v>
      </c>
      <c r="C130" s="1">
        <v>3055</v>
      </c>
      <c r="D130" s="1">
        <v>1.3</v>
      </c>
      <c r="E130" s="1">
        <v>-0.9</v>
      </c>
      <c r="F130" s="1">
        <v>-0.3</v>
      </c>
      <c r="G130">
        <v>-1</v>
      </c>
      <c r="H130">
        <v>-1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802</v>
      </c>
      <c r="C131" s="1">
        <v>2914</v>
      </c>
      <c r="D131" s="1">
        <v>2.5</v>
      </c>
      <c r="E131" s="1">
        <v>-1.1000000000000001</v>
      </c>
      <c r="F131" s="1">
        <v>-0.3</v>
      </c>
      <c r="G131">
        <v>-3</v>
      </c>
      <c r="H131">
        <v>-1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783</v>
      </c>
      <c r="C132" s="1">
        <v>2779</v>
      </c>
      <c r="D132" s="1">
        <v>2.7</v>
      </c>
      <c r="E132" s="1">
        <v>-0.9</v>
      </c>
      <c r="F132" s="1">
        <v>-0.3</v>
      </c>
      <c r="G132">
        <v>-5</v>
      </c>
      <c r="H132">
        <v>-2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764</v>
      </c>
      <c r="C133" s="1">
        <v>2649</v>
      </c>
      <c r="D133" s="1">
        <v>1.9</v>
      </c>
      <c r="E133" s="1">
        <v>-0.5</v>
      </c>
      <c r="F133" s="1">
        <v>-0.2</v>
      </c>
      <c r="G133">
        <v>-7</v>
      </c>
      <c r="H133">
        <v>-2</v>
      </c>
      <c r="I133">
        <v>-1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746</v>
      </c>
      <c r="C134" s="10">
        <v>2524</v>
      </c>
      <c r="D134" s="10">
        <v>0</v>
      </c>
      <c r="E134" s="10">
        <v>0</v>
      </c>
      <c r="F134" s="10">
        <v>0</v>
      </c>
      <c r="G134">
        <v>-11</v>
      </c>
      <c r="H134">
        <v>-3</v>
      </c>
      <c r="I134">
        <v>-1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728</v>
      </c>
      <c r="C135" s="1">
        <v>2403</v>
      </c>
      <c r="D135" s="1">
        <v>-2.9</v>
      </c>
      <c r="E135" s="1">
        <v>0.6</v>
      </c>
      <c r="F135" s="1">
        <v>0.2</v>
      </c>
      <c r="G135">
        <v>-15</v>
      </c>
      <c r="H135">
        <v>-3</v>
      </c>
      <c r="I135">
        <v>-1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710</v>
      </c>
      <c r="C136" s="1">
        <v>2287</v>
      </c>
      <c r="D136" s="1">
        <v>-7.2</v>
      </c>
      <c r="E136" s="1">
        <v>1.2</v>
      </c>
      <c r="F136" s="1">
        <v>0.4</v>
      </c>
      <c r="G136">
        <v>-19</v>
      </c>
      <c r="H136">
        <v>-4</v>
      </c>
      <c r="I136">
        <v>-1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692</v>
      </c>
      <c r="C137" s="1">
        <v>2175</v>
      </c>
      <c r="D137" s="1">
        <v>-12.6</v>
      </c>
      <c r="E137" s="1">
        <v>1.9</v>
      </c>
      <c r="F137" s="1">
        <v>0.6</v>
      </c>
      <c r="G137">
        <v>-25</v>
      </c>
      <c r="H137">
        <v>-4</v>
      </c>
      <c r="I137">
        <v>-1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675</v>
      </c>
      <c r="C138" s="1">
        <v>2068</v>
      </c>
      <c r="D138" s="1">
        <v>-19.3</v>
      </c>
      <c r="E138" s="1">
        <v>2.7</v>
      </c>
      <c r="F138" s="1">
        <v>0.8</v>
      </c>
      <c r="G138">
        <v>-31</v>
      </c>
      <c r="H138">
        <v>-5</v>
      </c>
      <c r="I138">
        <v>-1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658</v>
      </c>
      <c r="C139" s="1">
        <v>1964</v>
      </c>
      <c r="D139" s="1">
        <v>-27.7</v>
      </c>
      <c r="E139" s="1">
        <v>3.5</v>
      </c>
      <c r="F139" s="1">
        <v>1</v>
      </c>
      <c r="G139">
        <v>-38</v>
      </c>
      <c r="H139">
        <v>-5</v>
      </c>
      <c r="I139">
        <v>-2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641</v>
      </c>
      <c r="C140" s="1">
        <v>1865</v>
      </c>
      <c r="D140" s="1">
        <v>-37.299999999999997</v>
      </c>
      <c r="E140" s="1">
        <v>4.3</v>
      </c>
      <c r="F140" s="1">
        <v>1.2</v>
      </c>
      <c r="G140">
        <v>-45</v>
      </c>
      <c r="H140">
        <v>-6</v>
      </c>
      <c r="I140">
        <v>-2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625</v>
      </c>
      <c r="C141" s="1">
        <v>1770</v>
      </c>
      <c r="D141" s="1">
        <v>-48.5</v>
      </c>
      <c r="E141" s="1">
        <v>5.0999999999999996</v>
      </c>
      <c r="F141" s="1">
        <v>1.5</v>
      </c>
      <c r="G141">
        <v>-54</v>
      </c>
      <c r="H141">
        <v>-6</v>
      </c>
      <c r="I141">
        <v>-2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608</v>
      </c>
      <c r="C142" s="1">
        <v>1678</v>
      </c>
      <c r="D142" s="1">
        <v>-61.8</v>
      </c>
      <c r="E142" s="1">
        <v>6.1</v>
      </c>
      <c r="F142" s="1">
        <v>1.8</v>
      </c>
      <c r="G142">
        <v>-63</v>
      </c>
      <c r="H142">
        <v>-7</v>
      </c>
      <c r="I142">
        <v>-2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592</v>
      </c>
      <c r="C143" s="1">
        <v>1591</v>
      </c>
      <c r="D143" s="1">
        <v>-76.3</v>
      </c>
      <c r="E143" s="1">
        <v>7</v>
      </c>
      <c r="F143" s="1">
        <v>2</v>
      </c>
      <c r="G143">
        <v>-73</v>
      </c>
      <c r="H143">
        <v>-7</v>
      </c>
      <c r="I143">
        <v>-2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576</v>
      </c>
      <c r="C144" s="1">
        <v>1507</v>
      </c>
      <c r="D144" s="1">
        <v>-92.7</v>
      </c>
      <c r="E144" s="1">
        <v>8</v>
      </c>
      <c r="F144" s="1">
        <v>2.2999999999999998</v>
      </c>
      <c r="G144">
        <v>-84</v>
      </c>
      <c r="H144">
        <v>-8</v>
      </c>
      <c r="I144">
        <v>-2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561</v>
      </c>
      <c r="C145" s="1">
        <v>1427</v>
      </c>
      <c r="D145" s="1">
        <v>-111.8</v>
      </c>
      <c r="E145" s="1">
        <v>9</v>
      </c>
      <c r="F145" s="1">
        <v>2.6</v>
      </c>
      <c r="G145">
        <v>-96</v>
      </c>
      <c r="H145">
        <v>-8</v>
      </c>
      <c r="I145">
        <v>-2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546</v>
      </c>
      <c r="C146" s="1">
        <v>1350</v>
      </c>
      <c r="D146" s="1">
        <v>-132.30000000000001</v>
      </c>
      <c r="E146" s="1">
        <v>10.1</v>
      </c>
      <c r="F146" s="1">
        <v>2.9</v>
      </c>
      <c r="G146">
        <v>-110</v>
      </c>
      <c r="H146">
        <v>-9</v>
      </c>
      <c r="I146">
        <v>-3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531</v>
      </c>
      <c r="C147" s="1">
        <v>1278</v>
      </c>
      <c r="D147" s="1">
        <v>-155</v>
      </c>
      <c r="E147" s="1">
        <v>11.2</v>
      </c>
      <c r="F147" s="1">
        <v>3.3</v>
      </c>
      <c r="G147">
        <v>-124</v>
      </c>
      <c r="H147">
        <v>-10</v>
      </c>
      <c r="I147">
        <v>-3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517</v>
      </c>
      <c r="C148" s="1">
        <v>1211</v>
      </c>
      <c r="D148" s="1">
        <v>-180.1</v>
      </c>
      <c r="E148" s="1">
        <v>12.4</v>
      </c>
      <c r="F148" s="1">
        <v>3.6</v>
      </c>
      <c r="G148">
        <v>-138</v>
      </c>
      <c r="H148">
        <v>-10</v>
      </c>
      <c r="I148">
        <v>-3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42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</row>
    <row r="152" spans="1:19" x14ac:dyDescent="0.25">
      <c r="A152" s="1">
        <v>0</v>
      </c>
      <c r="B152" s="1">
        <v>860</v>
      </c>
      <c r="C152" s="1">
        <v>3352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840</v>
      </c>
      <c r="C153" s="1">
        <v>3200</v>
      </c>
      <c r="D153" s="1">
        <v>0</v>
      </c>
      <c r="E153" s="1">
        <v>-0.1</v>
      </c>
      <c r="F153" s="1">
        <v>0</v>
      </c>
      <c r="G153">
        <v>0</v>
      </c>
      <c r="H153">
        <v>-1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821</v>
      </c>
      <c r="C154" s="1">
        <v>3055</v>
      </c>
      <c r="D154" s="1">
        <v>3.1</v>
      </c>
      <c r="E154" s="1">
        <v>-2.1</v>
      </c>
      <c r="F154" s="1">
        <v>-0.6</v>
      </c>
      <c r="G154">
        <v>-1</v>
      </c>
      <c r="H154">
        <v>-1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802</v>
      </c>
      <c r="C155" s="1">
        <v>2914</v>
      </c>
      <c r="D155" s="1">
        <v>5.2</v>
      </c>
      <c r="E155" s="1">
        <v>-2.4</v>
      </c>
      <c r="F155" s="1">
        <v>-0.7</v>
      </c>
      <c r="G155">
        <v>-3</v>
      </c>
      <c r="H155">
        <v>-1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783</v>
      </c>
      <c r="C156" s="1">
        <v>2779</v>
      </c>
      <c r="D156" s="1">
        <v>6.3</v>
      </c>
      <c r="E156" s="1">
        <v>-2.2000000000000002</v>
      </c>
      <c r="F156" s="1">
        <v>-0.6</v>
      </c>
      <c r="G156">
        <v>-5</v>
      </c>
      <c r="H156">
        <v>-2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764</v>
      </c>
      <c r="C157" s="1">
        <v>2649</v>
      </c>
      <c r="D157" s="1">
        <v>6.4</v>
      </c>
      <c r="E157" s="1">
        <v>-1.7</v>
      </c>
      <c r="F157" s="1">
        <v>-0.5</v>
      </c>
      <c r="G157">
        <v>-7</v>
      </c>
      <c r="H157">
        <v>-2</v>
      </c>
      <c r="I157">
        <v>-1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746</v>
      </c>
      <c r="C158" s="1">
        <v>2524</v>
      </c>
      <c r="D158" s="1">
        <v>5.4</v>
      </c>
      <c r="E158" s="1">
        <v>-1.2</v>
      </c>
      <c r="F158" s="1">
        <v>-0.4</v>
      </c>
      <c r="G158">
        <v>-11</v>
      </c>
      <c r="H158">
        <v>-3</v>
      </c>
      <c r="I158">
        <v>-1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728</v>
      </c>
      <c r="C159" s="1">
        <v>2403</v>
      </c>
      <c r="D159" s="1">
        <v>3.3</v>
      </c>
      <c r="E159" s="1">
        <v>-0.7</v>
      </c>
      <c r="F159" s="1">
        <v>-0.2</v>
      </c>
      <c r="G159">
        <v>-15</v>
      </c>
      <c r="H159">
        <v>-3</v>
      </c>
      <c r="I159">
        <v>-1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710</v>
      </c>
      <c r="C160" s="10">
        <v>2287</v>
      </c>
      <c r="D160" s="10">
        <v>-0.1</v>
      </c>
      <c r="E160" s="10">
        <v>0</v>
      </c>
      <c r="F160" s="10">
        <v>0</v>
      </c>
      <c r="G160">
        <v>-19</v>
      </c>
      <c r="H160">
        <v>-4</v>
      </c>
      <c r="I160">
        <v>-1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692</v>
      </c>
      <c r="C161" s="1">
        <v>2175</v>
      </c>
      <c r="D161" s="1">
        <v>-4.5999999999999996</v>
      </c>
      <c r="E161" s="1">
        <v>0.7</v>
      </c>
      <c r="F161" s="1">
        <v>0.2</v>
      </c>
      <c r="G161">
        <v>-25</v>
      </c>
      <c r="H161">
        <v>-4</v>
      </c>
      <c r="I161">
        <v>-1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675</v>
      </c>
      <c r="C162" s="1">
        <v>2068</v>
      </c>
      <c r="D162" s="1">
        <v>-10.4</v>
      </c>
      <c r="E162" s="1">
        <v>1.4</v>
      </c>
      <c r="F162" s="1">
        <v>0.4</v>
      </c>
      <c r="G162">
        <v>-31</v>
      </c>
      <c r="H162">
        <v>-5</v>
      </c>
      <c r="I162">
        <v>-1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658</v>
      </c>
      <c r="C163" s="1">
        <v>1964</v>
      </c>
      <c r="D163" s="1">
        <v>-17.899999999999999</v>
      </c>
      <c r="E163" s="1">
        <v>2.2000000000000002</v>
      </c>
      <c r="F163" s="1">
        <v>0.6</v>
      </c>
      <c r="G163">
        <v>-38</v>
      </c>
      <c r="H163">
        <v>-5</v>
      </c>
      <c r="I163">
        <v>-2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641</v>
      </c>
      <c r="C164" s="1">
        <v>1865</v>
      </c>
      <c r="D164" s="1">
        <v>-26.6</v>
      </c>
      <c r="E164" s="1">
        <v>3</v>
      </c>
      <c r="F164" s="1">
        <v>0.9</v>
      </c>
      <c r="G164">
        <v>-45</v>
      </c>
      <c r="H164">
        <v>-6</v>
      </c>
      <c r="I164">
        <v>-2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625</v>
      </c>
      <c r="C165" s="1">
        <v>1770</v>
      </c>
      <c r="D165" s="1">
        <v>-36.9</v>
      </c>
      <c r="E165" s="1">
        <v>3.9</v>
      </c>
      <c r="F165" s="1">
        <v>1.1000000000000001</v>
      </c>
      <c r="G165">
        <v>-54</v>
      </c>
      <c r="H165">
        <v>-6</v>
      </c>
      <c r="I165">
        <v>-2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608</v>
      </c>
      <c r="C166" s="1">
        <v>1678</v>
      </c>
      <c r="D166" s="1">
        <v>-49.2</v>
      </c>
      <c r="E166" s="1">
        <v>4.8</v>
      </c>
      <c r="F166" s="1">
        <v>1.4</v>
      </c>
      <c r="G166">
        <v>-63</v>
      </c>
      <c r="H166">
        <v>-7</v>
      </c>
      <c r="I166">
        <v>-2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592</v>
      </c>
      <c r="C167" s="1">
        <v>1591</v>
      </c>
      <c r="D167" s="1">
        <v>-62.9</v>
      </c>
      <c r="E167" s="1">
        <v>5.8</v>
      </c>
      <c r="F167" s="1">
        <v>1.7</v>
      </c>
      <c r="G167">
        <v>-73</v>
      </c>
      <c r="H167">
        <v>-7</v>
      </c>
      <c r="I167">
        <v>-2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576</v>
      </c>
      <c r="C168" s="1">
        <v>1507</v>
      </c>
      <c r="D168" s="1">
        <v>-78.400000000000006</v>
      </c>
      <c r="E168" s="1">
        <v>6.7</v>
      </c>
      <c r="F168" s="1">
        <v>2</v>
      </c>
      <c r="G168">
        <v>-84</v>
      </c>
      <c r="H168">
        <v>-8</v>
      </c>
      <c r="I168">
        <v>-2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561</v>
      </c>
      <c r="C169" s="1">
        <v>1427</v>
      </c>
      <c r="D169" s="1">
        <v>-96.6</v>
      </c>
      <c r="E169" s="1">
        <v>7.8</v>
      </c>
      <c r="F169" s="1">
        <v>2.2999999999999998</v>
      </c>
      <c r="G169">
        <v>-96</v>
      </c>
      <c r="H169">
        <v>-8</v>
      </c>
      <c r="I169">
        <v>-2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546</v>
      </c>
      <c r="C170" s="1">
        <v>1350</v>
      </c>
      <c r="D170" s="1">
        <v>-116.2</v>
      </c>
      <c r="E170" s="1">
        <v>8.9</v>
      </c>
      <c r="F170" s="1">
        <v>2.6</v>
      </c>
      <c r="G170">
        <v>-110</v>
      </c>
      <c r="H170">
        <v>-9</v>
      </c>
      <c r="I170">
        <v>-3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531</v>
      </c>
      <c r="C171" s="1">
        <v>1278</v>
      </c>
      <c r="D171" s="1">
        <v>-138.1</v>
      </c>
      <c r="E171" s="1">
        <v>10</v>
      </c>
      <c r="F171" s="1">
        <v>2.9</v>
      </c>
      <c r="G171">
        <v>-124</v>
      </c>
      <c r="H171">
        <v>-10</v>
      </c>
      <c r="I171">
        <v>-3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517</v>
      </c>
      <c r="C172" s="1">
        <v>1211</v>
      </c>
      <c r="D172" s="1">
        <v>-162.19999999999999</v>
      </c>
      <c r="E172" s="1">
        <v>11.2</v>
      </c>
      <c r="F172" s="1">
        <v>3.2</v>
      </c>
      <c r="G172">
        <v>-138</v>
      </c>
      <c r="H172">
        <v>-10</v>
      </c>
      <c r="I172">
        <v>-3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43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</row>
    <row r="176" spans="1:19" x14ac:dyDescent="0.25">
      <c r="A176" s="1">
        <v>0</v>
      </c>
      <c r="B176" s="1">
        <v>860</v>
      </c>
      <c r="C176" s="1">
        <v>3352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840</v>
      </c>
      <c r="C177" s="1">
        <v>3200</v>
      </c>
      <c r="D177" s="1">
        <v>2.2999999999999998</v>
      </c>
      <c r="E177" s="1">
        <v>-3.1</v>
      </c>
      <c r="F177" s="1">
        <v>-0.9</v>
      </c>
      <c r="G177">
        <v>0</v>
      </c>
      <c r="H177">
        <v>-1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821</v>
      </c>
      <c r="C178" s="1">
        <v>3055</v>
      </c>
      <c r="D178" s="1">
        <v>7.6</v>
      </c>
      <c r="E178" s="1">
        <v>-5.2</v>
      </c>
      <c r="F178" s="1">
        <v>-1.5</v>
      </c>
      <c r="G178">
        <v>-1</v>
      </c>
      <c r="H178">
        <v>-1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802</v>
      </c>
      <c r="C179" s="1">
        <v>2914</v>
      </c>
      <c r="D179" s="1">
        <v>11.8</v>
      </c>
      <c r="E179" s="1">
        <v>-5.4</v>
      </c>
      <c r="F179" s="1">
        <v>-1.6</v>
      </c>
      <c r="G179">
        <v>-3</v>
      </c>
      <c r="H179">
        <v>-1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783</v>
      </c>
      <c r="C180" s="1">
        <v>2779</v>
      </c>
      <c r="D180" s="1">
        <v>15.1</v>
      </c>
      <c r="E180" s="1">
        <v>-5.2</v>
      </c>
      <c r="F180" s="1">
        <v>-1.5</v>
      </c>
      <c r="G180">
        <v>-5</v>
      </c>
      <c r="H180">
        <v>-2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764</v>
      </c>
      <c r="C181" s="1">
        <v>2649</v>
      </c>
      <c r="D181" s="1">
        <v>17.5</v>
      </c>
      <c r="E181" s="1">
        <v>-4.8</v>
      </c>
      <c r="F181" s="1">
        <v>-1.4</v>
      </c>
      <c r="G181">
        <v>-7</v>
      </c>
      <c r="H181">
        <v>-2</v>
      </c>
      <c r="I181">
        <v>-1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746</v>
      </c>
      <c r="C182" s="1">
        <v>2524</v>
      </c>
      <c r="D182" s="1">
        <v>18.7</v>
      </c>
      <c r="E182" s="1">
        <v>-4.3</v>
      </c>
      <c r="F182" s="1">
        <v>-1.2</v>
      </c>
      <c r="G182">
        <v>-11</v>
      </c>
      <c r="H182">
        <v>-3</v>
      </c>
      <c r="I182">
        <v>-1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728</v>
      </c>
      <c r="C183" s="1">
        <v>2403</v>
      </c>
      <c r="D183" s="1">
        <v>18.8</v>
      </c>
      <c r="E183" s="1">
        <v>-3.7</v>
      </c>
      <c r="F183" s="1">
        <v>-1.1000000000000001</v>
      </c>
      <c r="G183">
        <v>-15</v>
      </c>
      <c r="H183">
        <v>-3</v>
      </c>
      <c r="I183">
        <v>-1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710</v>
      </c>
      <c r="C184" s="1">
        <v>2287</v>
      </c>
      <c r="D184" s="1">
        <v>17.7</v>
      </c>
      <c r="E184" s="1">
        <v>-3</v>
      </c>
      <c r="F184" s="1">
        <v>-0.9</v>
      </c>
      <c r="G184">
        <v>-19</v>
      </c>
      <c r="H184">
        <v>-4</v>
      </c>
      <c r="I184">
        <v>-1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692</v>
      </c>
      <c r="C185" s="1">
        <v>2175</v>
      </c>
      <c r="D185" s="1">
        <v>15.4</v>
      </c>
      <c r="E185" s="1">
        <v>-2.4</v>
      </c>
      <c r="F185" s="1">
        <v>-0.7</v>
      </c>
      <c r="G185">
        <v>-25</v>
      </c>
      <c r="H185">
        <v>-4</v>
      </c>
      <c r="I185">
        <v>-1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675</v>
      </c>
      <c r="C186" s="1">
        <v>2068</v>
      </c>
      <c r="D186" s="1">
        <v>11.8</v>
      </c>
      <c r="E186" s="1">
        <v>-1.6</v>
      </c>
      <c r="F186" s="1">
        <v>-0.5</v>
      </c>
      <c r="G186">
        <v>-31</v>
      </c>
      <c r="H186">
        <v>-5</v>
      </c>
      <c r="I186">
        <v>-1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658</v>
      </c>
      <c r="C187" s="1">
        <v>1964</v>
      </c>
      <c r="D187" s="1">
        <v>6.5</v>
      </c>
      <c r="E187" s="1">
        <v>-0.8</v>
      </c>
      <c r="F187" s="1">
        <v>-0.2</v>
      </c>
      <c r="G187">
        <v>-38</v>
      </c>
      <c r="H187">
        <v>-5</v>
      </c>
      <c r="I187">
        <v>-2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641</v>
      </c>
      <c r="C188" s="10">
        <v>1865</v>
      </c>
      <c r="D188" s="10">
        <v>0</v>
      </c>
      <c r="E188" s="10">
        <v>0</v>
      </c>
      <c r="F188" s="10">
        <v>0</v>
      </c>
      <c r="G188">
        <v>-45</v>
      </c>
      <c r="H188">
        <v>-6</v>
      </c>
      <c r="I188">
        <v>-2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625</v>
      </c>
      <c r="C189" s="1">
        <v>1770</v>
      </c>
      <c r="D189" s="1">
        <v>-8</v>
      </c>
      <c r="E189" s="1">
        <v>0.9</v>
      </c>
      <c r="F189" s="1">
        <v>0.2</v>
      </c>
      <c r="G189">
        <v>-54</v>
      </c>
      <c r="H189">
        <v>-6</v>
      </c>
      <c r="I189">
        <v>-2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608</v>
      </c>
      <c r="C190" s="1">
        <v>1678</v>
      </c>
      <c r="D190" s="1">
        <v>-18.100000000000001</v>
      </c>
      <c r="E190" s="1">
        <v>1.8</v>
      </c>
      <c r="F190" s="1">
        <v>0.5</v>
      </c>
      <c r="G190">
        <v>-63</v>
      </c>
      <c r="H190">
        <v>-7</v>
      </c>
      <c r="I190">
        <v>-2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592</v>
      </c>
      <c r="C191" s="1">
        <v>1591</v>
      </c>
      <c r="D191" s="1">
        <v>-29.6</v>
      </c>
      <c r="E191" s="1">
        <v>2.7</v>
      </c>
      <c r="F191" s="1">
        <v>0.8</v>
      </c>
      <c r="G191">
        <v>-73</v>
      </c>
      <c r="H191">
        <v>-7</v>
      </c>
      <c r="I191">
        <v>-2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576</v>
      </c>
      <c r="C192" s="1">
        <v>1507</v>
      </c>
      <c r="D192" s="1">
        <v>-43</v>
      </c>
      <c r="E192" s="1">
        <v>3.7</v>
      </c>
      <c r="F192" s="1">
        <v>1.1000000000000001</v>
      </c>
      <c r="G192">
        <v>-84</v>
      </c>
      <c r="H192">
        <v>-8</v>
      </c>
      <c r="I192">
        <v>-2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561</v>
      </c>
      <c r="C193" s="1">
        <v>1427</v>
      </c>
      <c r="D193" s="1">
        <v>-58.8</v>
      </c>
      <c r="E193" s="1">
        <v>4.8</v>
      </c>
      <c r="F193" s="1">
        <v>1.4</v>
      </c>
      <c r="G193">
        <v>-96</v>
      </c>
      <c r="H193">
        <v>-8</v>
      </c>
      <c r="I193">
        <v>-2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546</v>
      </c>
      <c r="C194" s="1">
        <v>1350</v>
      </c>
      <c r="D194" s="1">
        <v>-76.3</v>
      </c>
      <c r="E194" s="1">
        <v>5.8</v>
      </c>
      <c r="F194" s="1">
        <v>1.7</v>
      </c>
      <c r="G194">
        <v>-110</v>
      </c>
      <c r="H194">
        <v>-9</v>
      </c>
      <c r="I194">
        <v>-3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531</v>
      </c>
      <c r="C195" s="1">
        <v>1277</v>
      </c>
      <c r="D195" s="1">
        <v>-95.9</v>
      </c>
      <c r="E195" s="1">
        <v>6.9</v>
      </c>
      <c r="F195" s="1">
        <v>2</v>
      </c>
      <c r="G195">
        <v>-124</v>
      </c>
      <c r="H195">
        <v>-10</v>
      </c>
      <c r="I195">
        <v>-3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517</v>
      </c>
      <c r="C196" s="1">
        <v>1211</v>
      </c>
      <c r="D196" s="1">
        <v>-117.9</v>
      </c>
      <c r="E196" s="1">
        <v>8.1</v>
      </c>
      <c r="F196" s="1">
        <v>2.4</v>
      </c>
      <c r="G196">
        <v>-138</v>
      </c>
      <c r="H196">
        <v>-10</v>
      </c>
      <c r="I196">
        <v>-3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44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</row>
    <row r="200" spans="1:19" x14ac:dyDescent="0.25">
      <c r="A200" s="1">
        <v>0</v>
      </c>
      <c r="B200" s="1">
        <v>860</v>
      </c>
      <c r="C200" s="1">
        <v>3352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840</v>
      </c>
      <c r="C201" s="1">
        <v>3200</v>
      </c>
      <c r="D201" s="1">
        <v>4.9000000000000004</v>
      </c>
      <c r="E201" s="1">
        <v>-6.8</v>
      </c>
      <c r="F201" s="1">
        <v>-2</v>
      </c>
      <c r="G201">
        <v>0</v>
      </c>
      <c r="H201">
        <v>-1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821</v>
      </c>
      <c r="C202" s="1">
        <v>3055</v>
      </c>
      <c r="D202" s="1">
        <v>13.1</v>
      </c>
      <c r="E202" s="1">
        <v>-8.9</v>
      </c>
      <c r="F202" s="1">
        <v>-2.6</v>
      </c>
      <c r="G202">
        <v>-1</v>
      </c>
      <c r="H202">
        <v>-1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802</v>
      </c>
      <c r="C203" s="1">
        <v>2914</v>
      </c>
      <c r="D203" s="1">
        <v>20</v>
      </c>
      <c r="E203" s="1">
        <v>-9.1</v>
      </c>
      <c r="F203" s="1">
        <v>-2.7</v>
      </c>
      <c r="G203">
        <v>-3</v>
      </c>
      <c r="H203">
        <v>-1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783</v>
      </c>
      <c r="C204" s="1">
        <v>2779</v>
      </c>
      <c r="D204" s="1">
        <v>25.9</v>
      </c>
      <c r="E204" s="1">
        <v>-8.9</v>
      </c>
      <c r="F204" s="1">
        <v>-2.6</v>
      </c>
      <c r="G204">
        <v>-5</v>
      </c>
      <c r="H204">
        <v>-2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764</v>
      </c>
      <c r="C205" s="1">
        <v>2649</v>
      </c>
      <c r="D205" s="1">
        <v>31.1</v>
      </c>
      <c r="E205" s="1">
        <v>-8.5</v>
      </c>
      <c r="F205" s="1">
        <v>-2.5</v>
      </c>
      <c r="G205">
        <v>-7</v>
      </c>
      <c r="H205">
        <v>-2</v>
      </c>
      <c r="I205">
        <v>-1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746</v>
      </c>
      <c r="C206" s="1">
        <v>2524</v>
      </c>
      <c r="D206" s="1">
        <v>35</v>
      </c>
      <c r="E206" s="1">
        <v>-8</v>
      </c>
      <c r="F206" s="1">
        <v>-2.2999999999999998</v>
      </c>
      <c r="G206">
        <v>-11</v>
      </c>
      <c r="H206">
        <v>-3</v>
      </c>
      <c r="I206">
        <v>-1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728</v>
      </c>
      <c r="C207" s="1">
        <v>2403</v>
      </c>
      <c r="D207" s="1">
        <v>37.700000000000003</v>
      </c>
      <c r="E207" s="1">
        <v>-7.4</v>
      </c>
      <c r="F207" s="1">
        <v>-2.2000000000000002</v>
      </c>
      <c r="G207">
        <v>-15</v>
      </c>
      <c r="H207">
        <v>-3</v>
      </c>
      <c r="I207">
        <v>-1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710</v>
      </c>
      <c r="C208" s="1">
        <v>2287</v>
      </c>
      <c r="D208" s="1">
        <v>39.4</v>
      </c>
      <c r="E208" s="1">
        <v>-6.8</v>
      </c>
      <c r="F208" s="1">
        <v>-2</v>
      </c>
      <c r="G208">
        <v>-19</v>
      </c>
      <c r="H208">
        <v>-4</v>
      </c>
      <c r="I208">
        <v>-1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692</v>
      </c>
      <c r="C209" s="1">
        <v>2175</v>
      </c>
      <c r="D209" s="1">
        <v>39.700000000000003</v>
      </c>
      <c r="E209" s="1">
        <v>-6.1</v>
      </c>
      <c r="F209" s="1">
        <v>-1.8</v>
      </c>
      <c r="G209">
        <v>-25</v>
      </c>
      <c r="H209">
        <v>-4</v>
      </c>
      <c r="I209">
        <v>-1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675</v>
      </c>
      <c r="C210" s="1">
        <v>2068</v>
      </c>
      <c r="D210" s="1">
        <v>38.799999999999997</v>
      </c>
      <c r="E210" s="1">
        <v>-5.3</v>
      </c>
      <c r="F210" s="1">
        <v>-1.6</v>
      </c>
      <c r="G210">
        <v>-31</v>
      </c>
      <c r="H210">
        <v>-5</v>
      </c>
      <c r="I210">
        <v>-1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658</v>
      </c>
      <c r="C211" s="1">
        <v>1964</v>
      </c>
      <c r="D211" s="1">
        <v>36.299999999999997</v>
      </c>
      <c r="E211" s="1">
        <v>-4.5</v>
      </c>
      <c r="F211" s="1">
        <v>-1.3</v>
      </c>
      <c r="G211">
        <v>-38</v>
      </c>
      <c r="H211">
        <v>-5</v>
      </c>
      <c r="I211">
        <v>-2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641</v>
      </c>
      <c r="C212" s="1">
        <v>1865</v>
      </c>
      <c r="D212" s="1">
        <v>32.5</v>
      </c>
      <c r="E212" s="1">
        <v>-3.7</v>
      </c>
      <c r="F212" s="1">
        <v>-1.1000000000000001</v>
      </c>
      <c r="G212">
        <v>-45</v>
      </c>
      <c r="H212">
        <v>-6</v>
      </c>
      <c r="I212">
        <v>-2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625</v>
      </c>
      <c r="C213" s="1">
        <v>1770</v>
      </c>
      <c r="D213" s="1">
        <v>27.1</v>
      </c>
      <c r="E213" s="1">
        <v>-2.9</v>
      </c>
      <c r="F213" s="1">
        <v>-0.8</v>
      </c>
      <c r="G213">
        <v>-54</v>
      </c>
      <c r="H213">
        <v>-6</v>
      </c>
      <c r="I213">
        <v>-2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608</v>
      </c>
      <c r="C214" s="1">
        <v>1678</v>
      </c>
      <c r="D214" s="1">
        <v>19.8</v>
      </c>
      <c r="E214" s="1">
        <v>-1.9</v>
      </c>
      <c r="F214" s="1">
        <v>-0.6</v>
      </c>
      <c r="G214">
        <v>-63</v>
      </c>
      <c r="H214">
        <v>-7</v>
      </c>
      <c r="I214">
        <v>-2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592</v>
      </c>
      <c r="C215" s="1">
        <v>1591</v>
      </c>
      <c r="D215" s="1">
        <v>10.9</v>
      </c>
      <c r="E215" s="1">
        <v>-1</v>
      </c>
      <c r="F215" s="1">
        <v>-0.3</v>
      </c>
      <c r="G215">
        <v>-73</v>
      </c>
      <c r="H215">
        <v>-7</v>
      </c>
      <c r="I215">
        <v>-2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576</v>
      </c>
      <c r="C216" s="10">
        <v>1507</v>
      </c>
      <c r="D216" s="10">
        <v>0.3</v>
      </c>
      <c r="E216" s="10">
        <v>0</v>
      </c>
      <c r="F216" s="10">
        <v>0</v>
      </c>
      <c r="G216">
        <v>-84</v>
      </c>
      <c r="H216">
        <v>-8</v>
      </c>
      <c r="I216">
        <v>-2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561</v>
      </c>
      <c r="C217" s="1">
        <v>1427</v>
      </c>
      <c r="D217" s="1">
        <v>-12.9</v>
      </c>
      <c r="E217" s="1">
        <v>1</v>
      </c>
      <c r="F217" s="1">
        <v>0.3</v>
      </c>
      <c r="G217">
        <v>-96</v>
      </c>
      <c r="H217">
        <v>-8</v>
      </c>
      <c r="I217">
        <v>-2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546</v>
      </c>
      <c r="C218" s="1">
        <v>1350</v>
      </c>
      <c r="D218" s="1">
        <v>-27.6</v>
      </c>
      <c r="E218" s="1">
        <v>2.1</v>
      </c>
      <c r="F218" s="1">
        <v>0.6</v>
      </c>
      <c r="G218">
        <v>-110</v>
      </c>
      <c r="H218">
        <v>-9</v>
      </c>
      <c r="I218">
        <v>-3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531</v>
      </c>
      <c r="C219" s="1">
        <v>1277</v>
      </c>
      <c r="D219" s="1">
        <v>-44.6</v>
      </c>
      <c r="E219" s="1">
        <v>3.2</v>
      </c>
      <c r="F219" s="1">
        <v>0.9</v>
      </c>
      <c r="G219">
        <v>-124</v>
      </c>
      <c r="H219">
        <v>-10</v>
      </c>
      <c r="I219">
        <v>-3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517</v>
      </c>
      <c r="C220" s="1">
        <v>1211</v>
      </c>
      <c r="D220" s="1">
        <v>-63.9</v>
      </c>
      <c r="E220" s="1">
        <v>4.4000000000000004</v>
      </c>
      <c r="F220" s="1">
        <v>1.3</v>
      </c>
      <c r="G220">
        <v>-138</v>
      </c>
      <c r="H220">
        <v>-10</v>
      </c>
      <c r="I220">
        <v>-3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45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</row>
    <row r="224" spans="1:19" x14ac:dyDescent="0.25">
      <c r="A224" s="1">
        <v>0</v>
      </c>
      <c r="B224" s="1">
        <v>860</v>
      </c>
      <c r="C224" s="1">
        <v>3352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840</v>
      </c>
      <c r="C225" s="1">
        <v>3200</v>
      </c>
      <c r="D225" s="1">
        <v>8.1</v>
      </c>
      <c r="E225" s="1">
        <v>-11.3</v>
      </c>
      <c r="F225" s="1">
        <v>-3.3</v>
      </c>
      <c r="G225" s="2">
        <v>0</v>
      </c>
      <c r="H225" s="2">
        <v>-1</v>
      </c>
      <c r="I225" s="2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821</v>
      </c>
      <c r="C226" s="1">
        <v>3055</v>
      </c>
      <c r="D226" s="1">
        <v>19.600000000000001</v>
      </c>
      <c r="E226" s="1">
        <v>-13.3</v>
      </c>
      <c r="F226" s="1">
        <v>-3.9</v>
      </c>
      <c r="G226" s="2">
        <v>-1</v>
      </c>
      <c r="H226" s="2">
        <v>-1</v>
      </c>
      <c r="I226" s="2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802</v>
      </c>
      <c r="C227" s="1">
        <v>2914</v>
      </c>
      <c r="D227" s="1">
        <v>29.7</v>
      </c>
      <c r="E227" s="1">
        <v>-13.6</v>
      </c>
      <c r="F227" s="1">
        <v>-3.9</v>
      </c>
      <c r="G227" s="2">
        <v>-3</v>
      </c>
      <c r="H227" s="2">
        <v>-1</v>
      </c>
      <c r="I227" s="2">
        <v>0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783</v>
      </c>
      <c r="C228" s="1">
        <v>2779</v>
      </c>
      <c r="D228" s="1">
        <v>38.799999999999997</v>
      </c>
      <c r="E228" s="1">
        <v>-13.4</v>
      </c>
      <c r="F228" s="1">
        <v>-3.9</v>
      </c>
      <c r="G228" s="2">
        <v>-5</v>
      </c>
      <c r="H228" s="2">
        <v>-2</v>
      </c>
      <c r="I228" s="2">
        <v>0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764</v>
      </c>
      <c r="C229" s="1">
        <v>2649</v>
      </c>
      <c r="D229" s="1">
        <v>47.2</v>
      </c>
      <c r="E229" s="1">
        <v>-13</v>
      </c>
      <c r="F229" s="1">
        <v>-3.8</v>
      </c>
      <c r="G229" s="2">
        <v>-7</v>
      </c>
      <c r="H229" s="2">
        <v>-2</v>
      </c>
      <c r="I229" s="2">
        <v>-1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746</v>
      </c>
      <c r="C230" s="1">
        <v>2524</v>
      </c>
      <c r="D230" s="1">
        <v>54.3</v>
      </c>
      <c r="E230" s="1">
        <v>-12.4</v>
      </c>
      <c r="F230" s="1">
        <v>-3.6</v>
      </c>
      <c r="G230" s="2">
        <v>-11</v>
      </c>
      <c r="H230" s="2">
        <v>-3</v>
      </c>
      <c r="I230" s="2">
        <v>-1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728</v>
      </c>
      <c r="C231" s="1">
        <v>2403</v>
      </c>
      <c r="D231" s="1">
        <v>60.3</v>
      </c>
      <c r="E231" s="1">
        <v>-11.9</v>
      </c>
      <c r="F231" s="1">
        <v>-3.4</v>
      </c>
      <c r="G231" s="2">
        <v>-15</v>
      </c>
      <c r="H231" s="2">
        <v>-3</v>
      </c>
      <c r="I231" s="2">
        <v>-1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710</v>
      </c>
      <c r="C232" s="1">
        <v>2287</v>
      </c>
      <c r="D232" s="1">
        <v>65.2</v>
      </c>
      <c r="E232" s="1">
        <v>-11.2</v>
      </c>
      <c r="F232" s="1">
        <v>-3.3</v>
      </c>
      <c r="G232" s="2">
        <v>-19</v>
      </c>
      <c r="H232" s="2">
        <v>-4</v>
      </c>
      <c r="I232" s="2">
        <v>-1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692</v>
      </c>
      <c r="C233" s="1">
        <v>2175</v>
      </c>
      <c r="D233" s="1">
        <v>68.8</v>
      </c>
      <c r="E233" s="1">
        <v>-10.5</v>
      </c>
      <c r="F233" s="1">
        <v>-3.1</v>
      </c>
      <c r="G233" s="2">
        <v>-25</v>
      </c>
      <c r="H233" s="2">
        <v>-4</v>
      </c>
      <c r="I233" s="2">
        <v>-1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675</v>
      </c>
      <c r="C234" s="1">
        <v>2068</v>
      </c>
      <c r="D234" s="1">
        <v>71</v>
      </c>
      <c r="E234" s="1">
        <v>-9.8000000000000007</v>
      </c>
      <c r="F234" s="1">
        <v>-2.8</v>
      </c>
      <c r="G234" s="2">
        <v>-31</v>
      </c>
      <c r="H234" s="2">
        <v>-5</v>
      </c>
      <c r="I234" s="2">
        <v>-1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658</v>
      </c>
      <c r="C235" s="1">
        <v>1964</v>
      </c>
      <c r="D235" s="1">
        <v>71.8</v>
      </c>
      <c r="E235" s="1">
        <v>-9</v>
      </c>
      <c r="F235" s="1">
        <v>-2.6</v>
      </c>
      <c r="G235" s="2">
        <v>-38</v>
      </c>
      <c r="H235" s="2">
        <v>-5</v>
      </c>
      <c r="I235" s="2">
        <v>-2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641</v>
      </c>
      <c r="C236" s="1">
        <v>1865</v>
      </c>
      <c r="D236" s="1">
        <v>71.2</v>
      </c>
      <c r="E236" s="1">
        <v>-8.1999999999999993</v>
      </c>
      <c r="F236" s="1">
        <v>-2.4</v>
      </c>
      <c r="G236" s="2">
        <v>-45</v>
      </c>
      <c r="H236" s="2">
        <v>-6</v>
      </c>
      <c r="I236" s="2">
        <v>-2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625</v>
      </c>
      <c r="C237" s="1">
        <v>1770</v>
      </c>
      <c r="D237" s="1">
        <v>69</v>
      </c>
      <c r="E237" s="1">
        <v>-7.3</v>
      </c>
      <c r="F237" s="1">
        <v>-2.1</v>
      </c>
      <c r="G237" s="2">
        <v>-54</v>
      </c>
      <c r="H237" s="2">
        <v>-6</v>
      </c>
      <c r="I237" s="2">
        <v>-2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608</v>
      </c>
      <c r="C238" s="1">
        <v>1678</v>
      </c>
      <c r="D238" s="1">
        <v>64.900000000000006</v>
      </c>
      <c r="E238" s="1">
        <v>-6.4</v>
      </c>
      <c r="F238" s="1">
        <v>-1.9</v>
      </c>
      <c r="G238" s="2">
        <v>-63</v>
      </c>
      <c r="H238" s="2">
        <v>-7</v>
      </c>
      <c r="I238" s="2">
        <v>-2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592</v>
      </c>
      <c r="C239" s="1">
        <v>1591</v>
      </c>
      <c r="D239" s="1">
        <v>59.3</v>
      </c>
      <c r="E239" s="1">
        <v>-5.4</v>
      </c>
      <c r="F239" s="1">
        <v>-1.6</v>
      </c>
      <c r="G239" s="2">
        <v>-73</v>
      </c>
      <c r="H239" s="2">
        <v>-7</v>
      </c>
      <c r="I239" s="2">
        <v>-2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576</v>
      </c>
      <c r="C240" s="1">
        <v>1507</v>
      </c>
      <c r="D240" s="1">
        <v>51.8</v>
      </c>
      <c r="E240" s="1">
        <v>-4.5</v>
      </c>
      <c r="F240" s="1">
        <v>-1.3</v>
      </c>
      <c r="G240" s="2">
        <v>-84</v>
      </c>
      <c r="H240" s="2">
        <v>-8</v>
      </c>
      <c r="I240" s="2">
        <v>-2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561</v>
      </c>
      <c r="C241" s="1">
        <v>1427</v>
      </c>
      <c r="D241" s="1">
        <v>42</v>
      </c>
      <c r="E241" s="1">
        <v>-3.4</v>
      </c>
      <c r="F241" s="1">
        <v>-1</v>
      </c>
      <c r="G241" s="2">
        <v>-96</v>
      </c>
      <c r="H241" s="2">
        <v>-8</v>
      </c>
      <c r="I241" s="2">
        <v>-2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546</v>
      </c>
      <c r="C242" s="1">
        <v>1350</v>
      </c>
      <c r="D242" s="1">
        <v>30.4</v>
      </c>
      <c r="E242" s="1">
        <v>-2.2999999999999998</v>
      </c>
      <c r="F242" s="1">
        <v>-0.7</v>
      </c>
      <c r="G242" s="2">
        <v>-110</v>
      </c>
      <c r="H242" s="2">
        <v>-9</v>
      </c>
      <c r="I242" s="2">
        <v>-3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531</v>
      </c>
      <c r="C243" s="1">
        <v>1277</v>
      </c>
      <c r="D243" s="1">
        <v>16.600000000000001</v>
      </c>
      <c r="E243" s="1">
        <v>-1.2</v>
      </c>
      <c r="F243" s="1">
        <v>-0.4</v>
      </c>
      <c r="G243" s="2">
        <v>-124</v>
      </c>
      <c r="H243" s="2">
        <v>-10</v>
      </c>
      <c r="I243" s="2">
        <v>-3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0">
        <v>500</v>
      </c>
      <c r="B244" s="10">
        <v>517</v>
      </c>
      <c r="C244" s="10">
        <v>1211</v>
      </c>
      <c r="D244" s="10">
        <v>0.5</v>
      </c>
      <c r="E244" s="10">
        <v>0</v>
      </c>
      <c r="F244" s="10">
        <v>0</v>
      </c>
      <c r="G244" s="2">
        <v>-138</v>
      </c>
      <c r="H244" s="2">
        <v>-10</v>
      </c>
      <c r="I244" s="2">
        <v>-3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x14ac:dyDescent="0.25">
      <c r="A246" t="s">
        <v>59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13" t="s">
        <v>14</v>
      </c>
    </row>
    <row r="247" spans="1:19" x14ac:dyDescent="0.25">
      <c r="A247" t="s">
        <v>51</v>
      </c>
      <c r="B247" s="22" cm="1">
        <f t="array" ref="B247">INDEX(LINEST(J$22:J$35,$A$22:$A$35^{1,2,3}), 1,4)</f>
        <v>-5.1712390742076764</v>
      </c>
      <c r="C247" s="22" cm="1">
        <f t="array" ref="C247">INDEX(LINEST(K$22:K$35,$A$22:$A$35^{1,2,3}), 1,4)</f>
        <v>-4.8257806037468924</v>
      </c>
      <c r="D247" s="23" cm="1">
        <f t="array" ref="D247">INDEX(LINEST(L$22:L$35,$A$22:$A$35^{1,2,3}), 1,4)</f>
        <v>-4.8981566215213412</v>
      </c>
      <c r="E247" s="23" cm="1">
        <f t="array" ref="E247">INDEX(LINEST(M$22:M$35,$A$22:$A$35^{1,2,3}), 1,4)</f>
        <v>-4.6407348113229787</v>
      </c>
      <c r="F247" s="23" cm="1">
        <f t="array" ref="F247">INDEX(LINEST(N$22:N$35,$A$22:$A$35^{1,2,3}), 1,4)</f>
        <v>-4.7802311142722331</v>
      </c>
      <c r="G247" s="23" cm="1">
        <f t="array" ref="G247">INDEX(LINEST(O$22:O$35,$A$22:$A$35^{1,2,3}), 1,4)</f>
        <v>-4.8815488208601536</v>
      </c>
      <c r="H247" s="23" cm="1">
        <f t="array" ref="H247">INDEX(LINEST(P$22:P$35,$A$22:$A$35^{1,2,3}), 1,4)</f>
        <v>-4.1195655496052481</v>
      </c>
      <c r="I247" s="23" cm="1">
        <f t="array" ref="I247">INDEX(LINEST(B$22:B$35,$A$22:$A$35^{1,2,3}), 1,4)</f>
        <v>3367.9570933461032</v>
      </c>
    </row>
    <row r="248" spans="1:19" x14ac:dyDescent="0.25">
      <c r="A248" t="s">
        <v>52</v>
      </c>
      <c r="B248" s="23" cm="1">
        <f t="array" ref="B248">INDEX(LINEST(J$22:J$35,$A$22:$A$35^{1,2,3}), 1,3)</f>
        <v>0.1515512671116061</v>
      </c>
      <c r="C248" s="22" cm="1">
        <f t="array" ref="C248">INDEX(LINEST(K$22:K$35,$A$22:$A$35^{1,2,3}), 1,3)</f>
        <v>0.10853575958295823</v>
      </c>
      <c r="D248" s="23" cm="1">
        <f t="array" ref="D248">INDEX(LINEST(L$22:L$35,$A$22:$A$35^{1,2,3}), 1,3)</f>
        <v>0.13262914482668928</v>
      </c>
      <c r="E248" s="23" cm="1">
        <f t="array" ref="E248">INDEX(LINEST(M$22:M$35,$A$22:$A$35^{1,2,3}), 1,3)</f>
        <v>0.15321129921503557</v>
      </c>
      <c r="F248" s="23" cm="1">
        <f t="array" ref="F248">INDEX(LINEST(N$22:N$35,$A$22:$A$35^{1,2,3}), 1,3)</f>
        <v>0.24601769352290187</v>
      </c>
      <c r="G248" s="23" cm="1">
        <f t="array" ref="G248">INDEX(LINEST(O$22:O$35,$A$22:$A$35^{1,2,3}), 1,3)</f>
        <v>0.35971015151756891</v>
      </c>
      <c r="H248" s="23" cm="1">
        <f t="array" ref="H248">INDEX(LINEST(P$22:P$35,$A$22:$A$35^{1,2,3}), 1,3)</f>
        <v>0.44016282596867307</v>
      </c>
      <c r="I248" s="23" cm="1">
        <f t="array" ref="I248">INDEX(LINEST(B$22:B$35,$A$22:$A$35^{1,2,3}), 1,3)</f>
        <v>-5.9853064933102349</v>
      </c>
    </row>
    <row r="249" spans="1:19" x14ac:dyDescent="0.25">
      <c r="A249" t="s">
        <v>53</v>
      </c>
      <c r="B249" s="23" cm="1">
        <f t="array" ref="B249">INDEX(LINEST(J$22:J$35,$A$22:$A$35^{1,2,3}), 1,2)</f>
        <v>-4.7558901485019985E-4</v>
      </c>
      <c r="C249" s="23" cm="1">
        <f t="array" ref="C249">INDEX(LINEST(K$22:K$35,$A$22:$A$35^{1,2,3}), 1,2)</f>
        <v>-5.3051893749129087E-4</v>
      </c>
      <c r="D249" s="23" cm="1">
        <f t="array" ref="D249">INDEX(LINEST(L$22:L$35,$A$22:$A$35^{1,2,3}), 1,2)</f>
        <v>-4.9841372674288469E-4</v>
      </c>
      <c r="E249" s="23" cm="1">
        <f t="array" ref="E249">INDEX(LINEST(M$22:M$35,$A$22:$A$35^{1,2,3}), 1,2)</f>
        <v>-4.467022424511684E-4</v>
      </c>
      <c r="F249" s="23" cm="1">
        <f t="array" ref="F249">INDEX(LINEST(N$22:N$35,$A$22:$A$35^{1,2,3}), 1,2)</f>
        <v>-4.7287410879599063E-4</v>
      </c>
      <c r="G249" s="23" cm="1">
        <f t="array" ref="G249">INDEX(LINEST(O$22:O$35,$A$22:$A$35^{1,2,3}), 1,2)</f>
        <v>-5.71401869801829E-4</v>
      </c>
      <c r="H249" s="23" cm="1">
        <f t="array" ref="H249">INDEX(LINEST(P$22:P$35,$A$22:$A$35^{1,2,3}), 1,2)</f>
        <v>-2.3848792366556174E-4</v>
      </c>
      <c r="I249" s="23" cm="1">
        <f t="array" ref="I249">INDEX(LINEST(B$22:B$35,$A$22:$A$35^{1,2,3}), 1,2)</f>
        <v>3.6938570267046915E-3</v>
      </c>
    </row>
    <row r="250" spans="1:19" x14ac:dyDescent="0.25">
      <c r="A250" t="s">
        <v>54</v>
      </c>
      <c r="B250" s="22" cm="1">
        <f t="array" ref="B250">INDEX(LINEST(J$22:J$35,$A$22:$A$35^{1,2,3}), 1)</f>
        <v>-1.2071161462287014E-6</v>
      </c>
      <c r="C250" s="22" cm="1">
        <f t="array" ref="C250">INDEX(LINEST(K$22:K$35,$A$22:$A$35^{1,2,3}), 1)</f>
        <v>-8.2331703992175946E-7</v>
      </c>
      <c r="D250" s="23" cm="1">
        <f t="array" ref="D250">INDEX(LINEST(L$22:L$35,$A$22:$A$35^{1,2,3}), 1)</f>
        <v>-8.8584471003239206E-7</v>
      </c>
      <c r="E250" s="23" cm="1">
        <f t="array" ref="E250">INDEX(LINEST(M$22:M$35,$A$22:$A$35^{1,2,3}), 1)</f>
        <v>-9.7704728096709427E-7</v>
      </c>
      <c r="F250" s="23" cm="1">
        <f t="array" ref="F250">INDEX(LINEST(N$22:N$35,$A$22:$A$35^{1,2,3}), 1)</f>
        <v>-9.3193072426936684E-7</v>
      </c>
      <c r="G250" s="23" cm="1">
        <f t="array" ref="G250">INDEX(LINEST(O$22:O$35,$A$22:$A$35^{1,2,3}), 1)</f>
        <v>-7.4176197228228797E-7</v>
      </c>
      <c r="H250" s="23" cm="1">
        <f t="array" ref="H250">INDEX(LINEST(P$22:P$35,$A$22:$A$35^{1,2,3}), 1)</f>
        <v>-1.2542126154647574E-6</v>
      </c>
      <c r="I250" s="23" cm="1">
        <f t="array" ref="I250">INDEX(LINEST(B$22:B$35,$A$22:$A$35^{1,2,3}), 1)</f>
        <v>-4.8395647329836674E-7</v>
      </c>
    </row>
    <row r="251" spans="1:19" x14ac:dyDescent="0.25">
      <c r="A251" t="s">
        <v>55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56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57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t="s">
        <v>58</v>
      </c>
    </row>
    <row r="256" spans="1:19" x14ac:dyDescent="0.25">
      <c r="A256" s="21" t="s">
        <v>4</v>
      </c>
      <c r="B256" s="20"/>
      <c r="C256" s="20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3367.9570933461032</v>
      </c>
    </row>
    <row r="258" spans="1:9" x14ac:dyDescent="0.25">
      <c r="A258" s="1">
        <v>25</v>
      </c>
      <c r="B258" s="2" cm="1">
        <f t="array" ref="B258">TrajectoryToComeUp(B$247:B$250,$A258)</f>
        <v>0.679424688193489</v>
      </c>
      <c r="C258" s="2" cm="1">
        <f t="array" ref="C258">TrajectoryToComeUp(C$247:C$250,$A258)</f>
        <v>0.98273011154150836</v>
      </c>
      <c r="D258" s="25" cm="1">
        <f t="array" ref="D258">TrajectoryToComeUp(D$247:D$250,$A258)</f>
        <v>0.76311116146506741</v>
      </c>
      <c r="E258" s="25" cm="1">
        <f t="array" ref="E258">TrajectoryToComeUp(E$247:E$250,$A258)</f>
        <v>0.44196303849767221</v>
      </c>
      <c r="F258" s="25" cm="1">
        <f t="array" ref="F258">TrajectoryToComeUp(F$247:F$250,$A258)</f>
        <v>-0.42404139529444429</v>
      </c>
      <c r="G258" s="25" cm="1">
        <f t="array" ref="G258">TrajectoryToComeUp(G$247:G$250,$A258)</f>
        <v>-1.4969955070544063</v>
      </c>
      <c r="H258" s="25" cm="1">
        <f t="array" ref="H258">TrajectoryToComeUp(H$247:H$250,$A258)</f>
        <v>-2.6863412300815863</v>
      </c>
      <c r="I258" s="2" cm="1">
        <f t="array" ref="I258">EvaluatePolynomial(I$247:I$250,$A258)</f>
        <v>3220.6255298351425</v>
      </c>
    </row>
    <row r="259" spans="1:9" x14ac:dyDescent="0.25">
      <c r="A259" s="1">
        <v>50</v>
      </c>
      <c r="B259" s="2" cm="1">
        <f t="array" ref="B259">TrajectoryToComeUp(B$247:B$250,$A259)</f>
        <v>-0.21329244519370824</v>
      </c>
      <c r="C259" s="24" cm="1">
        <f t="array" ref="C259">TrajectoryToComeUp(C$247:C$250,$A259)</f>
        <v>0.1656409196634856</v>
      </c>
      <c r="D259" s="25" cm="1">
        <f t="array" ref="D259">TrajectoryToComeUp(D$247:D$250,$A259)</f>
        <v>-7.5307142840372349E-2</v>
      </c>
      <c r="E259" s="25" cm="1">
        <f t="array" ref="E259">TrajectoryToComeUp(E$247:E$250,$A259)</f>
        <v>-0.35618872663599838</v>
      </c>
      <c r="F259" s="25" cm="1">
        <f t="array" ref="F259">TrajectoryToComeUp(F$247:F$250,$A259)</f>
        <v>-1.2443953898698425</v>
      </c>
      <c r="G259" s="25" cm="1">
        <f t="array" ref="G259">TrajectoryToComeUp(G$247:G$250,$A259)</f>
        <v>-2.3165467667956867</v>
      </c>
      <c r="H259" s="25" cm="1">
        <f t="array" ref="H259">TrajectoryToComeUp(H$247:H$250,$A259)</f>
        <v>-3.4271158725462811</v>
      </c>
      <c r="I259" s="2" cm="1">
        <f t="array" ref="I259">EvaluatePolynomial(I$247:I$250,$A259)</f>
        <v>3077.8659166881907</v>
      </c>
    </row>
    <row r="260" spans="1:9" x14ac:dyDescent="0.25">
      <c r="A260" s="1">
        <v>75</v>
      </c>
      <c r="B260" s="2" cm="1">
        <f t="array" ref="B260">TrajectoryToComeUp(B$247:B$250,$A260)</f>
        <v>-0.40142208352535647</v>
      </c>
      <c r="C260" s="2" cm="1">
        <f t="array" ref="C260">TrajectoryToComeUp(C$247:C$250,$A260)</f>
        <v>2.280604617403753E-3</v>
      </c>
      <c r="D260" s="25" cm="1">
        <f t="array" ref="D260">TrajectoryToComeUp(D$247:D$250,$A260)</f>
        <v>-0.24956483873422844</v>
      </c>
      <c r="E260" s="25" cm="1">
        <f t="array" ref="E260">TrajectoryToComeUp(E$247:E$250,$A260)</f>
        <v>-0.52336275924784981</v>
      </c>
      <c r="F260" s="25" cm="1">
        <f t="array" ref="F260">TrajectoryToComeUp(F$247:F$250,$A260)</f>
        <v>-1.4157361018222427</v>
      </c>
      <c r="G260" s="25" cm="1">
        <f t="array" ref="G260">TrajectoryToComeUp(G$247:G$250,$A260)</f>
        <v>-2.4759528257687515</v>
      </c>
      <c r="H260" s="25" cm="1">
        <f t="array" ref="H260">TrajectoryToComeUp(H$247:H$250,$A260)</f>
        <v>-3.6029374507036338</v>
      </c>
      <c r="I260" s="2" cm="1">
        <f t="array" ref="I260">EvaluatePolynomial(I$247:I$250,$A260)</f>
        <v>2939.6328829858767</v>
      </c>
    </row>
    <row r="261" spans="1:9" x14ac:dyDescent="0.25">
      <c r="A261" s="1">
        <v>100</v>
      </c>
      <c r="B261" s="2" cm="1">
        <f t="array" ref="B261">TrajectoryToComeUp(B$247:B$250,$A261)</f>
        <v>-0.40208813422222328</v>
      </c>
      <c r="C261" s="2" cm="1">
        <f t="array" ref="C261">TrajectoryToComeUp(C$247:C$250,$A261)</f>
        <v>1.0071106028573669E-2</v>
      </c>
      <c r="D261" s="25" cm="1">
        <f t="array" ref="D261">TrajectoryToComeUp(D$247:D$250,$A261)</f>
        <v>-0.24947758836863479</v>
      </c>
      <c r="E261" s="25" cm="1">
        <f t="array" ref="E261">TrajectoryToComeUp(E$247:E$250,$A261)</f>
        <v>-0.52363254047018004</v>
      </c>
      <c r="F261" s="25" cm="1">
        <f t="array" ref="F261">TrajectoryToComeUp(F$247:F$250,$A261)</f>
        <v>-1.4160866425788683</v>
      </c>
      <c r="G261" s="25" cm="1">
        <f t="array" ref="G261">TrajectoryToComeUp(G$247:G$250,$A261)</f>
        <v>-2.4633685660596161</v>
      </c>
      <c r="H261" s="25" cm="1">
        <f t="array" ref="H261">TrajectoryToComeUp(H$247:H$250,$A261)</f>
        <v>-3.6257625195141685</v>
      </c>
      <c r="I261" s="2" cm="1">
        <f t="array" ref="I261">EvaluatePolynomial(I$247:I$250,$A261)</f>
        <v>2805.8810578088282</v>
      </c>
    </row>
    <row r="262" spans="1:9" x14ac:dyDescent="0.25">
      <c r="A262" s="1">
        <v>125</v>
      </c>
      <c r="B262" s="2" cm="1">
        <f t="array" ref="B262">TrajectoryToComeUp(B$247:B$250,$A262)</f>
        <v>-0.31871537876846251</v>
      </c>
      <c r="C262" s="2" cm="1">
        <f t="array" ref="C262">TrajectoryToComeUp(C$247:C$250,$A262)</f>
        <v>9.2496811822057504E-2</v>
      </c>
      <c r="D262" s="25" cm="1">
        <f t="array" ref="D262">TrajectoryToComeUp(D$247:D$250,$A262)</f>
        <v>-0.17300852417401827</v>
      </c>
      <c r="E262" s="25" cm="1">
        <f t="array" ref="E262">TrajectoryToComeUp(E$247:E$250,$A262)</f>
        <v>-0.44981276652944852</v>
      </c>
      <c r="F262" s="25" cm="1">
        <f t="array" ref="F262">TrajectoryToComeUp(F$247:F$250,$A262)</f>
        <v>-1.3410516344251633</v>
      </c>
      <c r="G262" s="25" cm="1">
        <f t="array" ref="G262">TrajectoryToComeUp(G$247:G$250,$A262)</f>
        <v>-2.3764249640854831</v>
      </c>
      <c r="H262" s="25" cm="1">
        <f t="array" ref="H262">TrajectoryToComeUp(H$247:H$250,$A262)</f>
        <v>-3.5779823899699905</v>
      </c>
      <c r="I262" s="2" cm="1">
        <f t="array" ref="I262">EvaluatePolynomial(I$247:I$250,$A262)</f>
        <v>2676.5650702376738</v>
      </c>
    </row>
    <row r="263" spans="1:9" x14ac:dyDescent="0.25">
      <c r="A263" s="1">
        <v>150</v>
      </c>
      <c r="B263" s="2" cm="1">
        <f t="array" ref="B263">TrajectoryToComeUp(B$247:B$250,$A263)</f>
        <v>-0.18577874432545832</v>
      </c>
      <c r="C263" s="2" cm="1">
        <f t="array" ref="C263">TrajectoryToComeUp(C$247:C$250,$A263)</f>
        <v>0.21738585130620927</v>
      </c>
      <c r="D263" s="25" cm="1">
        <f t="array" ref="D263">TrajectoryToComeUp(D$247:D$250,$A263)</f>
        <v>-5.2812023627188072E-2</v>
      </c>
      <c r="E263" s="25" cm="1">
        <f t="array" ref="E263">TrajectoryToComeUp(E$247:E$250,$A263)</f>
        <v>-0.33284166950114163</v>
      </c>
      <c r="F263" s="25" cm="1">
        <f t="array" ref="F263">TrajectoryToComeUp(F$247:F$250,$A263)</f>
        <v>-1.2224992847896097</v>
      </c>
      <c r="G263" s="25" cm="1">
        <f t="array" ref="G263">TrajectoryToComeUp(G$247:G$250,$A263)</f>
        <v>-2.2476656786520879</v>
      </c>
      <c r="H263" s="25" cm="1">
        <f t="array" ref="H263">TrajectoryToComeUp(H$247:H$250,$A263)</f>
        <v>-3.4870608324018013</v>
      </c>
      <c r="I263" s="2" cm="1">
        <f t="array" ref="I263">EvaluatePolynomial(I$247:I$250,$A263)</f>
        <v>2551.6395493530417</v>
      </c>
    </row>
    <row r="264" spans="1:9" x14ac:dyDescent="0.25">
      <c r="A264" s="1">
        <v>175</v>
      </c>
      <c r="B264" s="2" cm="1">
        <f t="array" ref="B264">TrajectoryToComeUp(B$247:B$250,$A264)</f>
        <v>-1.8053199676661514E-2</v>
      </c>
      <c r="C264" s="2" cm="1">
        <f t="array" ref="C264">TrajectoryToComeUp(C$247:C$250,$A264)</f>
        <v>0.37095027989889512</v>
      </c>
      <c r="D264" s="25" cm="1">
        <f t="array" ref="D264">TrajectoryToComeUp(D$247:D$250,$A264)</f>
        <v>9.7117180067509273E-2</v>
      </c>
      <c r="E264" s="25" cm="1">
        <f t="array" ref="E264">TrajectoryToComeUp(E$247:E$250,$A264)</f>
        <v>-0.18597849170332523</v>
      </c>
      <c r="F264" s="25" cm="1">
        <f t="array" ref="F264">TrajectoryToComeUp(F$247:F$250,$A264)</f>
        <v>-1.0740873968558426</v>
      </c>
      <c r="G264" s="25" cm="1">
        <f t="array" ref="G264">TrajectoryToComeUp(G$247:G$250,$A264)</f>
        <v>-2.0910379921047433</v>
      </c>
      <c r="H264" s="25" cm="1">
        <f t="array" ref="H264">TrajectoryToComeUp(H$247:H$250,$A264)</f>
        <v>-3.3647680340941872</v>
      </c>
      <c r="I264" s="2" cm="1">
        <f t="array" ref="I264">EvaluatePolynomial(I$247:I$250,$A264)</f>
        <v>2431.0591242355599</v>
      </c>
    </row>
    <row r="265" spans="1:9" x14ac:dyDescent="0.25">
      <c r="A265" s="1">
        <v>200</v>
      </c>
      <c r="B265" s="2" cm="1">
        <f t="array" ref="B265">TrajectoryToComeUp(B$247:B$250,$A265)</f>
        <v>0.17707377078620304</v>
      </c>
      <c r="C265" s="2" cm="1">
        <f t="array" ref="C265">TrajectoryToComeUp(C$247:C$250,$A265)</f>
        <v>0.54629612530904792</v>
      </c>
      <c r="D265" s="25" cm="1">
        <f t="array" ref="D265">TrajectoryToComeUp(D$247:D$250,$A265)</f>
        <v>0.26978172030790037</v>
      </c>
      <c r="E265" s="25" cm="1">
        <f t="array" ref="E265">TrajectoryToComeUp(E$247:E$250,$A265)</f>
        <v>-1.5852854295032168E-2</v>
      </c>
      <c r="F265" s="25" cm="1">
        <f t="array" ref="F265">TrajectoryToComeUp(F$247:F$250,$A265)</f>
        <v>-0.90264487221567924</v>
      </c>
      <c r="G265" s="25" cm="1">
        <f t="array" ref="G265">TrajectoryToComeUp(G$247:G$250,$A265)</f>
        <v>-1.9135155456161081</v>
      </c>
      <c r="H265" s="25" cm="1">
        <f t="array" ref="H265">TrajectoryToComeUp(H$247:H$250,$A265)</f>
        <v>-3.2169890886894414</v>
      </c>
      <c r="I265" s="2" cm="1">
        <f t="array" ref="I265">EvaluatePolynomial(I$247:I$250,$A265)</f>
        <v>2314.7784239658567</v>
      </c>
    </row>
    <row r="266" spans="1:9" x14ac:dyDescent="0.25">
      <c r="A266" s="1">
        <v>225</v>
      </c>
      <c r="B266" s="2" cm="1">
        <f t="array" ref="B266">TrajectoryToComeUp(B$247:B$250,$A266)</f>
        <v>0.39549800906773219</v>
      </c>
      <c r="C266" s="2" cm="1">
        <f t="array" ref="C266">TrajectoryToComeUp(C$247:C$250,$A266)</f>
        <v>0.73959340293051923</v>
      </c>
      <c r="D266" s="25" cm="1">
        <f t="array" ref="D266">TrajectoryToComeUp(D$247:D$250,$A266)</f>
        <v>0.46129417120388927</v>
      </c>
      <c r="E266" s="25" cm="1">
        <f t="array" ref="E266">TrajectoryToComeUp(E$247:E$250,$A266)</f>
        <v>0.17385211985760821</v>
      </c>
      <c r="F266" s="25" cm="1">
        <f t="array" ref="F266">TrajectoryToComeUp(F$247:F$250,$A266)</f>
        <v>-0.71196554508679577</v>
      </c>
      <c r="G266" s="25" cm="1">
        <f t="array" ref="G266">TrajectoryToComeUp(G$247:G$250,$A266)</f>
        <v>-1.7189725842821033</v>
      </c>
      <c r="H266" s="25" cm="1">
        <f t="array" ref="H266">TrajectoryToComeUp(H$247:H$250,$A266)</f>
        <v>-3.0469934926555058</v>
      </c>
      <c r="I266" s="2" cm="1">
        <f t="array" ref="I266">EvaluatePolynomial(I$247:I$250,$A266)</f>
        <v>2202.752077624561</v>
      </c>
    </row>
    <row r="267" spans="1:9" x14ac:dyDescent="0.25">
      <c r="A267" s="1">
        <v>250</v>
      </c>
      <c r="B267" s="2" cm="1">
        <f t="array" ref="B267">TrajectoryToComeUp(B$247:B$250,$A267)</f>
        <v>0.63475702037068393</v>
      </c>
      <c r="C267" s="2" cm="1">
        <f t="array" ref="C267">TrajectoryToComeUp(C$247:C$250,$A267)</f>
        <v>0.94854412199962024</v>
      </c>
      <c r="D267" s="25" cm="1">
        <f t="array" ref="D267">TrajectoryToComeUp(D$247:D$250,$A267)</f>
        <v>0.66932207722141757</v>
      </c>
      <c r="E267" s="25" cm="1">
        <f t="array" ref="E267">TrajectoryToComeUp(E$247:E$250,$A267)</f>
        <v>0.38092655703491834</v>
      </c>
      <c r="F267" s="25" cm="1">
        <f t="array" ref="F267">TrajectoryToComeUp(F$247:F$250,$A267)</f>
        <v>-0.50432571599979847</v>
      </c>
      <c r="G267" s="25" cm="1">
        <f t="array" ref="G267">TrajectoryToComeUp(G$247:G$250,$A267)</f>
        <v>-1.5097336551602802</v>
      </c>
      <c r="H267" s="25" cm="1">
        <f t="array" ref="H267">TrajectoryToComeUp(H$247:H$250,$A267)</f>
        <v>-2.8567429438731433</v>
      </c>
      <c r="I267" s="2" cm="1">
        <f t="array" ref="I267">EvaluatePolynomial(I$247:I$250,$A267)</f>
        <v>2094.9347142923007</v>
      </c>
    </row>
    <row r="268" spans="1:9" x14ac:dyDescent="0.25">
      <c r="A268" s="1">
        <v>275</v>
      </c>
      <c r="B268" s="2" cm="1">
        <f t="array" ref="B268">TrajectoryToComeUp(B$247:B$250,$A268)</f>
        <v>0.89328376255135955</v>
      </c>
      <c r="C268" s="2" cm="1">
        <f t="array" ref="C268">TrajectoryToComeUp(C$247:C$250,$A268)</f>
        <v>1.1716859247576397</v>
      </c>
      <c r="D268" s="25" cm="1">
        <f t="array" ref="D268">TrajectoryToComeUp(D$247:D$250,$A268)</f>
        <v>0.89238114847517624</v>
      </c>
      <c r="E268" s="25" cm="1">
        <f t="array" ref="E268">TrajectoryToComeUp(E$247:E$250,$A268)</f>
        <v>0.60396417396073987</v>
      </c>
      <c r="F268" s="25" cm="1">
        <f t="array" ref="F268">TrajectoryToComeUp(F$247:F$250,$A268)</f>
        <v>-0.28117393983779992</v>
      </c>
      <c r="G268" s="25" cm="1">
        <f t="array" ref="G268">TrajectoryToComeUp(G$247:G$250,$A268)</f>
        <v>-1.2872780154690826</v>
      </c>
      <c r="H268" s="25" cm="1">
        <f t="array" ref="H268">TrajectoryToComeUp(H$247:H$250,$A268)</f>
        <v>-2.6474857955392039</v>
      </c>
      <c r="I268" s="2" cm="1">
        <f t="array" ref="I268">EvaluatePolynomial(I$247:I$250,$A268)</f>
        <v>1991.2809630497038</v>
      </c>
    </row>
    <row r="269" spans="1:9" x14ac:dyDescent="0.25">
      <c r="A269" s="1">
        <v>300</v>
      </c>
      <c r="B269" s="2" cm="1">
        <f t="array" ref="B269">TrajectoryToComeUp(B$247:B$250,$A269)</f>
        <v>1.1700335408472924</v>
      </c>
      <c r="C269" s="2" cm="1">
        <f t="array" ref="C269">TrajectoryToComeUp(C$247:C$250,$A269)</f>
        <v>1.4080439060321035</v>
      </c>
      <c r="D269" s="25" cm="1">
        <f t="array" ref="D269">TrajectoryToComeUp(D$247:D$250,$A269)</f>
        <v>1.1294818583749591</v>
      </c>
      <c r="E269" s="25" cm="1">
        <f t="array" ref="E269">TrajectoryToComeUp(E$247:E$250,$A269)</f>
        <v>0.84202744845096711</v>
      </c>
      <c r="F269" s="25" cm="1">
        <f t="array" ref="F269">TrajectoryToComeUp(F$247:F$250,$A269)</f>
        <v>-4.3475919856208869E-2</v>
      </c>
      <c r="G269" s="25" cm="1">
        <f t="array" ref="G269">TrajectoryToComeUp(G$247:G$250,$A269)</f>
        <v>-1.0525918366874711</v>
      </c>
      <c r="H269" s="25" cm="1">
        <f t="array" ref="H269">TrajectoryToComeUp(H$247:H$250,$A269)</f>
        <v>-2.4200542831182554</v>
      </c>
      <c r="I269" s="2" cm="1">
        <f t="array" ref="I269">EvaluatePolynomial(I$247:I$250,$A269)</f>
        <v>1891.7454529773991</v>
      </c>
    </row>
    <row r="270" spans="1:9" x14ac:dyDescent="0.25">
      <c r="A270" s="1">
        <v>325</v>
      </c>
      <c r="B270" s="2" cm="1">
        <f t="array" ref="B270">TrajectoryToComeUp(B$247:B$250,$A270)</f>
        <v>1.4642831050383136</v>
      </c>
      <c r="C270" s="2" cm="1">
        <f t="array" ref="C270">TrajectoryToComeUp(C$247:C$250,$A270)</f>
        <v>1.6569431314728371</v>
      </c>
      <c r="D270" s="25" cm="1">
        <f t="array" ref="D270">TrajectoryToComeUp(D$247:D$250,$A270)</f>
        <v>1.3799391500506224</v>
      </c>
      <c r="E270" s="25" cm="1">
        <f t="array" ref="E270">TrajectoryToComeUp(E$247:E$250,$A270)</f>
        <v>1.0944673266858345</v>
      </c>
      <c r="F270" s="25" cm="1">
        <f t="array" ref="F270">TrajectoryToComeUp(F$247:F$250,$A270)</f>
        <v>0.20809978015276892</v>
      </c>
      <c r="G270" s="25" cm="1">
        <f t="array" ref="G270">TrajectoryToComeUp(G$247:G$250,$A270)</f>
        <v>-0.80635785291626572</v>
      </c>
      <c r="H270" s="25" cm="1">
        <f t="array" ref="H270">TrajectoryToComeUp(H$247:H$250,$A270)</f>
        <v>-2.1750245696242283</v>
      </c>
      <c r="I270" s="2" cm="1">
        <f t="array" ref="I270">EvaluatePolynomial(I$247:I$250,$A270)</f>
        <v>1796.2828131560143</v>
      </c>
    </row>
    <row r="271" spans="1:9" x14ac:dyDescent="0.25">
      <c r="A271" s="1">
        <v>350</v>
      </c>
      <c r="B271" s="2" cm="1">
        <f t="array" ref="B271">TrajectoryToComeUp(B$247:B$250,$A271)</f>
        <v>1.7755158478243027</v>
      </c>
      <c r="C271" s="2" cm="1">
        <f t="array" ref="C271">TrajectoryToComeUp(C$247:C$250,$A271)</f>
        <v>1.9179015051154307</v>
      </c>
      <c r="D271" s="25" cm="1">
        <f t="array" ref="D271">TrajectoryToComeUp(D$247:D$250,$A271)</f>
        <v>1.6432636971663506</v>
      </c>
      <c r="E271" s="25" cm="1">
        <f t="array" ref="E271">TrajectoryToComeUp(E$247:E$250,$A271)</f>
        <v>1.3608201987940807</v>
      </c>
      <c r="F271" s="25" cm="1">
        <f t="array" ref="F271">TrajectoryToComeUp(F$247:F$250,$A271)</f>
        <v>0.47307561462327252</v>
      </c>
      <c r="G271" s="25" cm="1">
        <f t="array" ref="G271">TrajectoryToComeUp(G$247:G$250,$A271)</f>
        <v>-0.54906373137033737</v>
      </c>
      <c r="H271" s="25" cm="1">
        <f t="array" ref="H271">TrajectoryToComeUp(H$247:H$250,$A271)</f>
        <v>-1.9128082000670723</v>
      </c>
      <c r="I271" s="2" cm="1">
        <f t="array" ref="I271">EvaluatePolynomial(I$247:I$250,$A271)</f>
        <v>1704.8476726661781</v>
      </c>
    </row>
    <row r="272" spans="1:9" x14ac:dyDescent="0.25">
      <c r="A272" s="1">
        <v>375</v>
      </c>
      <c r="B272" s="2" cm="1">
        <f t="array" ref="B272">TrajectoryToComeUp(B$247:B$250,$A272)</f>
        <v>2.1033529238518374</v>
      </c>
      <c r="C272" s="2" cm="1">
        <f t="array" ref="C272">TrajectoryToComeUp(C$247:C$250,$A272)</f>
        <v>2.1905654899193165</v>
      </c>
      <c r="D272" s="25" cm="1">
        <f t="array" ref="D272">TrajectoryToComeUp(D$247:D$250,$A272)</f>
        <v>1.9190966604092121</v>
      </c>
      <c r="E272" s="25" cm="1">
        <f t="array" ref="E272">TrajectoryToComeUp(E$247:E$250,$A272)</f>
        <v>1.640746084203448</v>
      </c>
      <c r="F272" s="25" cm="1">
        <f t="array" ref="F272">TrajectoryToComeUp(F$247:F$250,$A272)</f>
        <v>0.7511013834736695</v>
      </c>
      <c r="G272" s="25" cm="1">
        <f t="array" ref="G272">TrajectoryToComeUp(G$247:G$250,$A272)</f>
        <v>-0.2810670946739256</v>
      </c>
      <c r="H272" s="25" cm="1">
        <f t="array" ref="H272">TrajectoryToComeUp(H$247:H$250,$A272)</f>
        <v>-1.6337069741207524</v>
      </c>
      <c r="I272" s="2" cm="1">
        <f t="array" ref="I272">EvaluatePolynomial(I$247:I$250,$A272)</f>
        <v>1617.3946605885187</v>
      </c>
    </row>
    <row r="273" spans="1:9" x14ac:dyDescent="0.25">
      <c r="A273" s="1">
        <v>400</v>
      </c>
      <c r="B273" s="2" cm="1">
        <f t="array" ref="B273">TrajectoryToComeUp(B$247:B$250,$A273)</f>
        <v>2.4475101991058525</v>
      </c>
      <c r="C273" s="2" cm="1">
        <f t="array" ref="C273">TrajectoryToComeUp(C$247:C$250,$A273)</f>
        <v>2.4746699331040682</v>
      </c>
      <c r="D273" s="25" cm="1">
        <f t="array" ref="D273">TrajectoryToComeUp(D$247:D$250,$A273)</f>
        <v>2.2071689102945067</v>
      </c>
      <c r="E273" s="25" cm="1">
        <f t="array" ref="E273">TrajectoryToComeUp(E$247:E$250,$A273)</f>
        <v>1.933989997484743</v>
      </c>
      <c r="F273" s="25" cm="1">
        <f t="array" ref="F273">TrajectoryToComeUp(F$247:F$250,$A273)</f>
        <v>1.0419144366427366</v>
      </c>
      <c r="G273" s="25" cm="1">
        <f t="array" ref="G273">TrajectoryToComeUp(G$247:G$250,$A273)</f>
        <v>-2.636159795208429E-3</v>
      </c>
      <c r="H273" s="25" cm="1">
        <f t="array" ref="H273">TrajectoryToComeUp(H$247:H$250,$A273)</f>
        <v>-1.337947241540741</v>
      </c>
      <c r="I273" s="2" cm="1">
        <f t="array" ref="I273">EvaluatePolynomial(I$247:I$250,$A273)</f>
        <v>1533.8784060036644</v>
      </c>
    </row>
    <row r="274" spans="1:9" x14ac:dyDescent="0.25">
      <c r="A274" s="1">
        <v>425</v>
      </c>
      <c r="B274" s="2" cm="1">
        <f t="array" ref="B274">TrajectoryToComeUp(B$247:B$250,$A274)</f>
        <v>2.807770394633649</v>
      </c>
      <c r="C274" s="2" cm="1">
        <f t="array" ref="C274">TrajectoryToComeUp(C$247:C$250,$A274)</f>
        <v>2.770012070778773</v>
      </c>
      <c r="D274" s="25" cm="1">
        <f t="array" ref="D274">TrajectoryToComeUp(D$247:D$250,$A274)</f>
        <v>2.5072746419221716</v>
      </c>
      <c r="E274" s="25" cm="1">
        <f t="array" ref="E274">TrajectoryToComeUp(E$247:E$250,$A274)</f>
        <v>2.2403569497803471</v>
      </c>
      <c r="F274" s="25" cm="1">
        <f t="array" ref="F274">TrajectoryToComeUp(F$247:F$250,$A274)</f>
        <v>1.3453139240836556</v>
      </c>
      <c r="G274" s="25" cm="1">
        <f t="array" ref="G274">TrajectoryToComeUp(G$247:G$250,$A274)</f>
        <v>0.28602396617249964</v>
      </c>
      <c r="H274" s="25" cm="1">
        <f t="array" ref="H274">TrajectoryToComeUp(H$247:H$250,$A274)</f>
        <v>-1.0257020933165166</v>
      </c>
      <c r="I274" s="2" cm="1">
        <f t="array" ref="I274">EvaluatePolynomial(I$247:I$250,$A274)</f>
        <v>1454.2535379922433</v>
      </c>
    </row>
    <row r="275" spans="1:9" x14ac:dyDescent="0.25">
      <c r="A275" s="1">
        <v>450</v>
      </c>
      <c r="B275" s="2" cm="1">
        <f t="array" ref="B275">TrajectoryToComeUp(B$247:B$250,$A275)</f>
        <v>3.1839645156942407</v>
      </c>
      <c r="C275" s="2" cm="1">
        <f t="array" ref="C275">TrajectoryToComeUp(C$247:C$250,$A275)</f>
        <v>3.0764341976949425</v>
      </c>
      <c r="D275" s="25" cm="1">
        <f t="array" ref="D275">TrajectoryToComeUp(D$247:D$250,$A275)</f>
        <v>2.8192537848143786</v>
      </c>
      <c r="E275" s="25" cm="1">
        <f t="array" ref="E275">TrajectoryToComeUp(E$247:E$250,$A275)</f>
        <v>2.5596952830898898</v>
      </c>
      <c r="F275" s="25" cm="1">
        <f t="array" ref="F275">TrajectoryToComeUp(F$247:F$250,$A275)</f>
        <v>1.6611436290933455</v>
      </c>
      <c r="G275" s="25" cm="1">
        <f t="array" ref="G275">TrajectoryToComeUp(G$247:G$250,$A275)</f>
        <v>0.58475375548995578</v>
      </c>
      <c r="H275" s="25" cm="1">
        <f t="array" ref="H275">TrajectoryToComeUp(H$247:H$250,$A275)</f>
        <v>-0.69710615577323043</v>
      </c>
      <c r="I275" s="2" cm="1">
        <f t="array" ref="I275">EvaluatePolynomial(I$247:I$250,$A275)</f>
        <v>1378.4746856348836</v>
      </c>
    </row>
    <row r="276" spans="1:9" x14ac:dyDescent="0.25">
      <c r="A276" s="1">
        <v>475</v>
      </c>
      <c r="B276" s="2" cm="1">
        <f t="array" ref="B276">TrajectoryToComeUp(B$247:B$250,$A276)</f>
        <v>3.5759591453868467</v>
      </c>
      <c r="C276" s="2" cm="1">
        <f t="array" ref="C276">TrajectoryToComeUp(C$247:C$250,$A276)</f>
        <v>3.3938118097090326</v>
      </c>
      <c r="D276" s="25" cm="1">
        <f t="array" ref="D276">TrajectoryToComeUp(D$247:D$250,$A276)</f>
        <v>3.1429799675412644</v>
      </c>
      <c r="E276" s="25" cm="1">
        <f t="array" ref="E276">TrajectoryToComeUp(E$247:E$250,$A276)</f>
        <v>2.8918852674130791</v>
      </c>
      <c r="F276" s="25" cm="1">
        <f t="array" ref="F276">TrajectoryToComeUp(F$247:F$250,$A276)</f>
        <v>1.98928022269569</v>
      </c>
      <c r="G276" s="25" cm="1">
        <f t="array" ref="G276">TrajectoryToComeUp(G$247:G$250,$A276)</f>
        <v>0.89342726520512483</v>
      </c>
      <c r="H276" s="25" cm="1">
        <f t="array" ref="H276">TrajectoryToComeUp(H$247:H$250,$A276)</f>
        <v>-0.3522657128517902</v>
      </c>
      <c r="I276" s="2" cm="1">
        <f t="array" ref="I276">EvaluatePolynomial(I$247:I$250,$A276)</f>
        <v>1306.4964780122143</v>
      </c>
    </row>
    <row r="277" spans="1:9" x14ac:dyDescent="0.25">
      <c r="A277" s="10">
        <v>500</v>
      </c>
      <c r="B277" s="2" cm="1">
        <f t="array" ref="B277">TrajectoryToComeUp(B$247:B$250,$A277)</f>
        <v>3.9836475501908448</v>
      </c>
      <c r="C277" s="2" cm="1">
        <f t="array" ref="C277">TrajectoryToComeUp(C$247:C$250,$A277)</f>
        <v>3.7220453035062087</v>
      </c>
      <c r="D277" s="25" cm="1">
        <f t="array" ref="D277">TrajectoryToComeUp(D$247:D$250,$A277)</f>
        <v>3.4783520929589375</v>
      </c>
      <c r="E277" s="25" cm="1">
        <f t="array" ref="E277">TrajectoryToComeUp(E$247:E$250,$A277)</f>
        <v>3.2368311187496817</v>
      </c>
      <c r="F277" s="25" cm="1">
        <f t="array" ref="F277">TrajectoryToComeUp(F$247:F$250,$A277)</f>
        <v>2.3296250417097961</v>
      </c>
      <c r="G277" s="25" cm="1">
        <f t="array" ref="G277">TrajectoryToComeUp(G$247:G$250,$A277)</f>
        <v>1.2119437409563789</v>
      </c>
      <c r="H277" s="25" cm="1">
        <f t="array" ref="H277">TrajectoryToComeUp(H$247:H$250,$A277)</f>
        <v>8.7342082950764757E-3</v>
      </c>
      <c r="I277" s="2" cm="1">
        <f t="array" ref="I277">EvaluatePolynomial(I$247:I$250,$A277)</f>
        <v>1238.2735442048627</v>
      </c>
    </row>
    <row r="289" customFormat="1" x14ac:dyDescent="0.25"/>
  </sheetData>
  <mergeCells count="3">
    <mergeCell ref="C20:G20"/>
    <mergeCell ref="J20:N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2ABF1-5FE9-4A60-9AE7-516137690FFE}">
  <sheetPr codeName="Sheet4"/>
  <dimension ref="A1"/>
  <sheetViews>
    <sheetView topLeftCell="A88" workbookViewId="0">
      <selection activeCell="AQ57" sqref="AQ57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Federal TrophyBonded PHP</vt:lpstr>
      <vt:lpstr>Federal Power-Shok SP</vt:lpstr>
      <vt:lpstr>Federal Barnes TSX HP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2024-08-19T16:45:43Z</dcterms:modified>
</cp:coreProperties>
</file>