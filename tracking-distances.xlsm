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"/>
    </mc:Choice>
  </mc:AlternateContent>
  <xr:revisionPtr revIDLastSave="0" documentId="13_ncr:1_{4889821B-87DB-41E3-99E9-ADAD2DD920D5}" xr6:coauthVersionLast="47" xr6:coauthVersionMax="47" xr10:uidLastSave="{00000000-0000-0000-0000-000000000000}"/>
  <bookViews>
    <workbookView xWindow="4530" yWindow="885" windowWidth="29010" windowHeight="15885" activeTab="1" xr2:uid="{F9ECBD4B-0A0A-4A85-90D0-BEB7E0C4B469}"/>
  </bookViews>
  <sheets>
    <sheet name="Tracking 1" sheetId="1" r:id="rId1"/>
    <sheet name="Tracking 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2" l="1"/>
  <c r="G39" i="2"/>
  <c r="B39" i="2"/>
  <c r="I36" i="2"/>
  <c r="J36" i="2" s="1"/>
  <c r="I35" i="2"/>
  <c r="J35" i="2" s="1"/>
  <c r="I34" i="2"/>
  <c r="J34" i="2" s="1"/>
  <c r="G34" i="2"/>
  <c r="C34" i="2"/>
  <c r="D34" i="2" s="1"/>
  <c r="A34" i="2"/>
  <c r="A39" i="2" s="1"/>
  <c r="I33" i="2"/>
  <c r="J33" i="2" s="1"/>
  <c r="G33" i="2"/>
  <c r="C33" i="2"/>
  <c r="D33" i="2" s="1"/>
  <c r="A33" i="2"/>
  <c r="I32" i="2"/>
  <c r="J32" i="2" s="1"/>
  <c r="G32" i="2"/>
  <c r="C32" i="2"/>
  <c r="D32" i="2" s="1"/>
  <c r="A32" i="2"/>
  <c r="I31" i="2"/>
  <c r="J31" i="2" s="1"/>
  <c r="G31" i="2"/>
  <c r="D31" i="2"/>
  <c r="C31" i="2"/>
  <c r="A31" i="2"/>
  <c r="J30" i="2"/>
  <c r="I30" i="2"/>
  <c r="G30" i="2"/>
  <c r="C30" i="2"/>
  <c r="D30" i="2" s="1"/>
  <c r="A30" i="2"/>
  <c r="I29" i="2"/>
  <c r="J29" i="2" s="1"/>
  <c r="G29" i="2"/>
  <c r="C29" i="2"/>
  <c r="D29" i="2" s="1"/>
  <c r="A29" i="2"/>
  <c r="I28" i="2"/>
  <c r="J28" i="2" s="1"/>
  <c r="G28" i="2"/>
  <c r="C28" i="2"/>
  <c r="D28" i="2" s="1"/>
  <c r="A28" i="2"/>
  <c r="I27" i="2"/>
  <c r="J27" i="2" s="1"/>
  <c r="G27" i="2"/>
  <c r="C27" i="2"/>
  <c r="D27" i="2" s="1"/>
  <c r="A27" i="2"/>
  <c r="I26" i="2"/>
  <c r="J26" i="2" s="1"/>
  <c r="G26" i="2"/>
  <c r="C26" i="2"/>
  <c r="D26" i="2" s="1"/>
  <c r="A26" i="2"/>
  <c r="J25" i="2"/>
  <c r="I25" i="2"/>
  <c r="G25" i="2"/>
  <c r="C25" i="2"/>
  <c r="D25" i="2" s="1"/>
  <c r="A25" i="2"/>
  <c r="I24" i="2"/>
  <c r="J24" i="2" s="1"/>
  <c r="G24" i="2"/>
  <c r="C24" i="2"/>
  <c r="D24" i="2" s="1"/>
  <c r="A24" i="2"/>
  <c r="I23" i="2"/>
  <c r="J23" i="2" s="1"/>
  <c r="G23" i="2"/>
  <c r="C23" i="2"/>
  <c r="D23" i="2" s="1"/>
  <c r="A23" i="2"/>
  <c r="I22" i="2"/>
  <c r="J22" i="2" s="1"/>
  <c r="G22" i="2"/>
  <c r="C22" i="2"/>
  <c r="D22" i="2" s="1"/>
  <c r="A22" i="2"/>
  <c r="I21" i="2"/>
  <c r="J21" i="2" s="1"/>
  <c r="G21" i="2"/>
  <c r="C21" i="2"/>
  <c r="D21" i="2" s="1"/>
  <c r="A21" i="2"/>
  <c r="I20" i="2"/>
  <c r="J20" i="2" s="1"/>
  <c r="G20" i="2"/>
  <c r="D20" i="2"/>
  <c r="C20" i="2"/>
  <c r="A20" i="2"/>
  <c r="I19" i="2"/>
  <c r="J19" i="2" s="1"/>
  <c r="G19" i="2"/>
  <c r="C19" i="2"/>
  <c r="D19" i="2" s="1"/>
  <c r="A19" i="2"/>
  <c r="I18" i="2"/>
  <c r="J18" i="2" s="1"/>
  <c r="G18" i="2"/>
  <c r="C18" i="2"/>
  <c r="D18" i="2" s="1"/>
  <c r="A18" i="2"/>
  <c r="I17" i="2"/>
  <c r="J17" i="2" s="1"/>
  <c r="G17" i="2"/>
  <c r="C17" i="2"/>
  <c r="D17" i="2" s="1"/>
  <c r="A17" i="2"/>
  <c r="I16" i="2"/>
  <c r="J16" i="2" s="1"/>
  <c r="G16" i="2"/>
  <c r="C16" i="2"/>
  <c r="D16" i="2" s="1"/>
  <c r="A16" i="2"/>
  <c r="I15" i="2"/>
  <c r="J15" i="2" s="1"/>
  <c r="G15" i="2"/>
  <c r="D15" i="2"/>
  <c r="C15" i="2"/>
  <c r="A15" i="2"/>
  <c r="J14" i="2"/>
  <c r="I14" i="2"/>
  <c r="G14" i="2"/>
  <c r="C14" i="2"/>
  <c r="D14" i="2" s="1"/>
  <c r="A14" i="2"/>
  <c r="I13" i="2"/>
  <c r="J13" i="2" s="1"/>
  <c r="G13" i="2"/>
  <c r="C13" i="2"/>
  <c r="D13" i="2" s="1"/>
  <c r="A13" i="2"/>
  <c r="I12" i="2"/>
  <c r="J12" i="2" s="1"/>
  <c r="G12" i="2"/>
  <c r="C12" i="2"/>
  <c r="D12" i="2" s="1"/>
  <c r="A12" i="2"/>
  <c r="I11" i="2"/>
  <c r="J11" i="2" s="1"/>
  <c r="G11" i="2"/>
  <c r="C11" i="2"/>
  <c r="D11" i="2" s="1"/>
  <c r="A11" i="2"/>
  <c r="I10" i="2"/>
  <c r="J10" i="2" s="1"/>
  <c r="G10" i="2"/>
  <c r="C10" i="2"/>
  <c r="D10" i="2" s="1"/>
  <c r="A10" i="2"/>
  <c r="I9" i="2"/>
  <c r="J9" i="2" s="1"/>
  <c r="G9" i="2"/>
  <c r="C9" i="2"/>
  <c r="D9" i="2" s="1"/>
  <c r="A9" i="2"/>
  <c r="I8" i="2"/>
  <c r="J8" i="2" s="1"/>
  <c r="G8" i="2"/>
  <c r="C8" i="2"/>
  <c r="D8" i="2" s="1"/>
  <c r="A8" i="2"/>
  <c r="I7" i="2"/>
  <c r="J7" i="2" s="1"/>
  <c r="G7" i="2"/>
  <c r="C7" i="2"/>
  <c r="D7" i="2" s="1"/>
  <c r="A7" i="2"/>
  <c r="I6" i="2"/>
  <c r="J6" i="2" s="1"/>
  <c r="G6" i="2"/>
  <c r="C6" i="2"/>
  <c r="D6" i="2" s="1"/>
  <c r="A6" i="2"/>
  <c r="I5" i="2"/>
  <c r="J5" i="2" s="1"/>
  <c r="J39" i="2" s="1"/>
  <c r="C5" i="2"/>
  <c r="D5" i="2" s="1"/>
  <c r="I36" i="1"/>
  <c r="J36" i="1" s="1"/>
  <c r="I35" i="1"/>
  <c r="J35" i="1" s="1"/>
  <c r="I34" i="1"/>
  <c r="J34" i="1" s="1"/>
  <c r="I33" i="1"/>
  <c r="J33" i="1" s="1"/>
  <c r="I32" i="1"/>
  <c r="J32" i="1" s="1"/>
  <c r="I31" i="1"/>
  <c r="J31" i="1" s="1"/>
  <c r="I30" i="1"/>
  <c r="J3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21" i="1"/>
  <c r="J21" i="1" s="1"/>
  <c r="I20" i="1"/>
  <c r="J20" i="1" s="1"/>
  <c r="I19" i="1"/>
  <c r="J19" i="1" s="1"/>
  <c r="I18" i="1"/>
  <c r="J18" i="1" s="1"/>
  <c r="I17" i="1"/>
  <c r="J17" i="1" s="1"/>
  <c r="I16" i="1"/>
  <c r="J16" i="1" s="1"/>
  <c r="I15" i="1"/>
  <c r="J15" i="1" s="1"/>
  <c r="I14" i="1"/>
  <c r="J14" i="1" s="1"/>
  <c r="I13" i="1"/>
  <c r="J13" i="1" s="1"/>
  <c r="I12" i="1"/>
  <c r="J12" i="1" s="1"/>
  <c r="I11" i="1"/>
  <c r="J11" i="1" s="1"/>
  <c r="I10" i="1"/>
  <c r="J10" i="1" s="1"/>
  <c r="I9" i="1"/>
  <c r="J9" i="1" s="1"/>
  <c r="I8" i="1"/>
  <c r="J8" i="1" s="1"/>
  <c r="I7" i="1"/>
  <c r="J7" i="1" s="1"/>
  <c r="I6" i="1"/>
  <c r="J6" i="1" s="1"/>
  <c r="I5" i="1"/>
  <c r="J5" i="1" s="1"/>
  <c r="G39" i="1"/>
  <c r="H39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B39" i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A34" i="1"/>
  <c r="A39" i="1" s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D39" i="2" l="1"/>
  <c r="J39" i="1"/>
  <c r="D39" i="1"/>
</calcChain>
</file>

<file path=xl/sharedStrings.xml><?xml version="1.0" encoding="utf-8"?>
<sst xmlns="http://schemas.openxmlformats.org/spreadsheetml/2006/main" count="28" uniqueCount="7">
  <si>
    <t>player observation height</t>
  </si>
  <si>
    <t>measurement error</t>
  </si>
  <si>
    <t>tracking marker distances</t>
  </si>
  <si>
    <t>observation angle(rad)</t>
  </si>
  <si>
    <t>horizontal distance(m)</t>
  </si>
  <si>
    <t>RMS Error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</si>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</sst>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BEBB3-1724-458C-9E2E-488BADA9C690}">
  <dimension ref="A1:J45"/>
  <sheetViews>
    <sheetView workbookViewId="0">
      <selection activeCell="C36" sqref="C36"/>
    </sheetView>
  </sheetViews>
  <sheetFormatPr defaultRowHeight="15" x14ac:dyDescent="0.25"/>
  <cols>
    <col min="1" max="1" width="25.7109375" customWidth="1"/>
    <col min="2" max="2" width="16.42578125" customWidth="1"/>
    <col min="3" max="3" width="23" customWidth="1"/>
    <col min="4" max="4" width="21.140625" customWidth="1"/>
    <col min="6" max="6" width="19.7109375" customWidth="1"/>
    <col min="7" max="7" width="27.85546875" customWidth="1"/>
    <col min="8" max="8" width="20.7109375" customWidth="1"/>
    <col min="9" max="9" width="26.140625" customWidth="1"/>
    <col min="10" max="10" width="26.85546875" customWidth="1"/>
    <col min="11" max="11" width="17" customWidth="1"/>
    <col min="12" max="12" width="21.140625" customWidth="1"/>
  </cols>
  <sheetData>
    <row r="1" spans="1:10" x14ac:dyDescent="0.25">
      <c r="A1" t="s">
        <v>0</v>
      </c>
      <c r="B1" s="1">
        <v>1.2</v>
      </c>
    </row>
    <row r="2" spans="1:10" x14ac:dyDescent="0.25">
      <c r="A2" t="s">
        <v>1</v>
      </c>
      <c r="B2" s="1">
        <v>1</v>
      </c>
    </row>
    <row r="4" spans="1:10" x14ac:dyDescent="0.25">
      <c r="A4" s="4" t="s">
        <v>2</v>
      </c>
      <c r="B4" s="4"/>
      <c r="C4" t="s">
        <v>3</v>
      </c>
      <c r="D4" t="s">
        <v>4</v>
      </c>
      <c r="G4" s="4" t="s">
        <v>2</v>
      </c>
      <c r="H4" s="4"/>
      <c r="I4" t="s">
        <v>3</v>
      </c>
      <c r="J4" t="s">
        <v>4</v>
      </c>
    </row>
    <row r="5" spans="1:10" x14ac:dyDescent="0.25">
      <c r="A5" s="2">
        <v>1</v>
      </c>
      <c r="B5" s="1">
        <v>14.9</v>
      </c>
      <c r="C5" s="3">
        <f>ASIN($B$1/$B5)</f>
        <v>8.0624230866507773E-2</v>
      </c>
      <c r="D5" s="3">
        <f>$B5*COS($C5)</f>
        <v>14.851599240485855</v>
      </c>
      <c r="G5" s="2">
        <v>1</v>
      </c>
      <c r="H5" s="1">
        <v>7.8</v>
      </c>
      <c r="I5" s="3">
        <f>ASIN($B$1/H5)</f>
        <v>0.15445959848418411</v>
      </c>
      <c r="J5" s="3">
        <f>H5*COS(I5)</f>
        <v>7.7071395471990769</v>
      </c>
    </row>
    <row r="6" spans="1:10" x14ac:dyDescent="0.25">
      <c r="A6" s="2">
        <f>$A$5 + ROW($A6) - ROW($A$5)</f>
        <v>2</v>
      </c>
      <c r="B6" s="1">
        <v>8.1</v>
      </c>
      <c r="C6" s="3">
        <f t="shared" ref="C6:C34" si="0">ASIN($B$1/$B6)</f>
        <v>0.14869549426756229</v>
      </c>
      <c r="D6" s="3">
        <f t="shared" ref="D6:D34" si="1">$B6*COS($C6)</f>
        <v>8.010617953691213</v>
      </c>
      <c r="G6" s="2">
        <f>$A$5 + ROW($A6) - ROW($A$5)</f>
        <v>2</v>
      </c>
      <c r="H6" s="1">
        <v>6.4</v>
      </c>
      <c r="I6" s="3">
        <f t="shared" ref="I6:I36" si="2">ASIN($B$1/H6)</f>
        <v>0.18861638617540408</v>
      </c>
      <c r="J6" s="3">
        <f t="shared" ref="J6:J36" si="3">H6*COS(I6)</f>
        <v>6.2864934582006846</v>
      </c>
    </row>
    <row r="7" spans="1:10" x14ac:dyDescent="0.25">
      <c r="A7" s="2">
        <f t="shared" ref="A7:A34" si="4">$A$5 + ROW($A7) - ROW($A$5)</f>
        <v>3</v>
      </c>
      <c r="B7" s="1">
        <v>7.4</v>
      </c>
      <c r="C7" s="3">
        <f t="shared" si="0"/>
        <v>0.1628814244803454</v>
      </c>
      <c r="D7" s="3">
        <f t="shared" si="1"/>
        <v>7.3020545054114736</v>
      </c>
      <c r="G7" s="2">
        <f t="shared" ref="G7:G34" si="5">$A$5 + ROW($A7) - ROW($A$5)</f>
        <v>3</v>
      </c>
      <c r="H7" s="1">
        <v>6.7</v>
      </c>
      <c r="I7" s="3">
        <f t="shared" si="2"/>
        <v>0.18007613476165998</v>
      </c>
      <c r="J7" s="3">
        <f t="shared" si="3"/>
        <v>6.5916613990707988</v>
      </c>
    </row>
    <row r="8" spans="1:10" x14ac:dyDescent="0.25">
      <c r="A8" s="2">
        <f t="shared" si="4"/>
        <v>4</v>
      </c>
      <c r="B8" s="1">
        <v>4.5</v>
      </c>
      <c r="C8" s="3">
        <f t="shared" si="0"/>
        <v>0.26993279583340346</v>
      </c>
      <c r="D8" s="3">
        <f t="shared" si="1"/>
        <v>4.3370496884402883</v>
      </c>
      <c r="G8" s="2">
        <f t="shared" si="5"/>
        <v>4</v>
      </c>
      <c r="H8" s="1">
        <v>6.5</v>
      </c>
      <c r="I8" s="3">
        <f t="shared" si="2"/>
        <v>0.18568050570955855</v>
      </c>
      <c r="J8" s="3">
        <f t="shared" si="3"/>
        <v>6.3882705014737748</v>
      </c>
    </row>
    <row r="9" spans="1:10" x14ac:dyDescent="0.25">
      <c r="A9" s="2">
        <f t="shared" si="4"/>
        <v>5</v>
      </c>
      <c r="B9" s="1">
        <v>6.3</v>
      </c>
      <c r="C9" s="3">
        <f t="shared" si="0"/>
        <v>0.19164719497541644</v>
      </c>
      <c r="D9" s="3">
        <f t="shared" si="1"/>
        <v>6.1846584384264904</v>
      </c>
      <c r="G9" s="2">
        <f t="shared" si="5"/>
        <v>5</v>
      </c>
      <c r="H9" s="1">
        <v>6.5</v>
      </c>
      <c r="I9" s="3">
        <f t="shared" si="2"/>
        <v>0.18568050570955855</v>
      </c>
      <c r="J9" s="3">
        <f t="shared" si="3"/>
        <v>6.3882705014737748</v>
      </c>
    </row>
    <row r="10" spans="1:10" x14ac:dyDescent="0.25">
      <c r="A10" s="2">
        <f t="shared" si="4"/>
        <v>6</v>
      </c>
      <c r="B10" s="1">
        <v>6.8</v>
      </c>
      <c r="C10" s="3">
        <f t="shared" si="0"/>
        <v>0.1773996044403704</v>
      </c>
      <c r="D10" s="3">
        <f t="shared" si="1"/>
        <v>6.6932802122726036</v>
      </c>
      <c r="G10" s="2">
        <f t="shared" si="5"/>
        <v>6</v>
      </c>
      <c r="H10" s="1">
        <v>6.2</v>
      </c>
      <c r="I10" s="3">
        <f t="shared" si="2"/>
        <v>0.19477764273435358</v>
      </c>
      <c r="J10" s="3">
        <f t="shared" si="3"/>
        <v>6.0827625302982202</v>
      </c>
    </row>
    <row r="11" spans="1:10" x14ac:dyDescent="0.25">
      <c r="A11" s="2">
        <f t="shared" si="4"/>
        <v>7</v>
      </c>
      <c r="B11" s="1">
        <v>7</v>
      </c>
      <c r="C11" s="3">
        <f t="shared" si="0"/>
        <v>0.17227952372802138</v>
      </c>
      <c r="D11" s="3">
        <f t="shared" si="1"/>
        <v>6.8963758598266667</v>
      </c>
      <c r="G11" s="2">
        <f t="shared" si="5"/>
        <v>7</v>
      </c>
      <c r="H11" s="1">
        <v>7</v>
      </c>
      <c r="I11" s="3">
        <f t="shared" si="2"/>
        <v>0.17227952372802138</v>
      </c>
      <c r="J11" s="3">
        <f t="shared" si="3"/>
        <v>6.8963758598266667</v>
      </c>
    </row>
    <row r="12" spans="1:10" x14ac:dyDescent="0.25">
      <c r="A12" s="2">
        <f t="shared" si="4"/>
        <v>8</v>
      </c>
      <c r="B12" s="1">
        <v>11.8</v>
      </c>
      <c r="C12" s="3">
        <f t="shared" si="0"/>
        <v>0.10187102175353983</v>
      </c>
      <c r="D12" s="3">
        <f t="shared" si="1"/>
        <v>11.738824472663351</v>
      </c>
      <c r="G12" s="2">
        <f t="shared" si="5"/>
        <v>8</v>
      </c>
      <c r="H12" s="1">
        <v>6.9</v>
      </c>
      <c r="I12" s="3">
        <f t="shared" si="2"/>
        <v>0.17480188337369393</v>
      </c>
      <c r="J12" s="3">
        <f t="shared" si="3"/>
        <v>6.794850991743675</v>
      </c>
    </row>
    <row r="13" spans="1:10" x14ac:dyDescent="0.25">
      <c r="A13" s="2">
        <f t="shared" si="4"/>
        <v>9</v>
      </c>
      <c r="B13" s="1">
        <v>6.1</v>
      </c>
      <c r="C13" s="3">
        <f t="shared" si="0"/>
        <v>0.19801275917310129</v>
      </c>
      <c r="D13" s="3">
        <f t="shared" si="1"/>
        <v>5.9808026217222716</v>
      </c>
      <c r="G13" s="2">
        <f t="shared" si="5"/>
        <v>9</v>
      </c>
      <c r="H13" s="1">
        <v>11.3</v>
      </c>
      <c r="I13" s="3">
        <f t="shared" si="2"/>
        <v>0.10639530848456304</v>
      </c>
      <c r="J13" s="3">
        <f t="shared" si="3"/>
        <v>11.236102527122116</v>
      </c>
    </row>
    <row r="14" spans="1:10" x14ac:dyDescent="0.25">
      <c r="A14" s="2">
        <f t="shared" si="4"/>
        <v>10</v>
      </c>
      <c r="B14" s="1">
        <v>4.9000000000000004</v>
      </c>
      <c r="C14" s="3">
        <f t="shared" si="0"/>
        <v>0.24741444546766753</v>
      </c>
      <c r="D14" s="3">
        <f t="shared" si="1"/>
        <v>4.750789408087881</v>
      </c>
      <c r="G14" s="2">
        <f t="shared" si="5"/>
        <v>10</v>
      </c>
      <c r="H14" s="1">
        <v>11.7</v>
      </c>
      <c r="I14" s="3">
        <f t="shared" si="2"/>
        <v>0.10274477786559462</v>
      </c>
      <c r="J14" s="3">
        <f t="shared" si="3"/>
        <v>11.638298844762494</v>
      </c>
    </row>
    <row r="15" spans="1:10" x14ac:dyDescent="0.25">
      <c r="A15" s="2">
        <f t="shared" si="4"/>
        <v>11</v>
      </c>
      <c r="B15" s="1">
        <v>6.5</v>
      </c>
      <c r="C15" s="3">
        <f t="shared" si="0"/>
        <v>0.18568050570955855</v>
      </c>
      <c r="D15" s="3">
        <f t="shared" si="1"/>
        <v>6.3882705014737748</v>
      </c>
      <c r="G15" s="2">
        <f t="shared" si="5"/>
        <v>11</v>
      </c>
      <c r="H15" s="1">
        <v>6.6</v>
      </c>
      <c r="I15" s="3">
        <f t="shared" si="2"/>
        <v>0.18283513699290876</v>
      </c>
      <c r="J15" s="3">
        <f t="shared" si="3"/>
        <v>6.4899922958351803</v>
      </c>
    </row>
    <row r="16" spans="1:10" x14ac:dyDescent="0.25">
      <c r="A16" s="2">
        <f t="shared" si="4"/>
        <v>12</v>
      </c>
      <c r="B16" s="1">
        <v>8.1</v>
      </c>
      <c r="C16" s="3">
        <f t="shared" si="0"/>
        <v>0.14869549426756229</v>
      </c>
      <c r="D16" s="3">
        <f t="shared" si="1"/>
        <v>8.010617953691213</v>
      </c>
      <c r="G16" s="2">
        <f t="shared" si="5"/>
        <v>12</v>
      </c>
      <c r="H16" s="1">
        <v>6</v>
      </c>
      <c r="I16" s="3">
        <f t="shared" si="2"/>
        <v>0.2013579207903308</v>
      </c>
      <c r="J16" s="3">
        <f t="shared" si="3"/>
        <v>5.8787753826796276</v>
      </c>
    </row>
    <row r="17" spans="1:10" x14ac:dyDescent="0.25">
      <c r="A17" s="2">
        <f t="shared" si="4"/>
        <v>13</v>
      </c>
      <c r="B17" s="1">
        <v>10.7</v>
      </c>
      <c r="C17" s="3">
        <f t="shared" si="0"/>
        <v>0.11238596714993776</v>
      </c>
      <c r="D17" s="3">
        <f t="shared" si="1"/>
        <v>10.632497354808041</v>
      </c>
      <c r="G17" s="2">
        <f t="shared" si="5"/>
        <v>13</v>
      </c>
      <c r="H17" s="1">
        <v>10.6</v>
      </c>
      <c r="I17" s="3">
        <f t="shared" si="2"/>
        <v>0.11345076281857168</v>
      </c>
      <c r="J17" s="3">
        <f t="shared" si="3"/>
        <v>10.531856436545269</v>
      </c>
    </row>
    <row r="18" spans="1:10" x14ac:dyDescent="0.25">
      <c r="A18" s="2">
        <f t="shared" si="4"/>
        <v>14</v>
      </c>
      <c r="B18" s="1">
        <v>6.1</v>
      </c>
      <c r="C18" s="3">
        <f t="shared" si="0"/>
        <v>0.19801275917310129</v>
      </c>
      <c r="D18" s="3">
        <f t="shared" si="1"/>
        <v>5.9808026217222716</v>
      </c>
      <c r="G18" s="2">
        <f t="shared" si="5"/>
        <v>14</v>
      </c>
      <c r="H18" s="1">
        <v>6.2</v>
      </c>
      <c r="I18" s="3">
        <f t="shared" si="2"/>
        <v>0.19477764273435358</v>
      </c>
      <c r="J18" s="3">
        <f t="shared" si="3"/>
        <v>6.0827625302982202</v>
      </c>
    </row>
    <row r="19" spans="1:10" x14ac:dyDescent="0.25">
      <c r="A19" s="2">
        <f t="shared" si="4"/>
        <v>15</v>
      </c>
      <c r="B19" s="1">
        <v>7.5</v>
      </c>
      <c r="C19" s="3">
        <f t="shared" si="0"/>
        <v>0.1606906529519106</v>
      </c>
      <c r="D19" s="3">
        <f t="shared" si="1"/>
        <v>7.4033776075518389</v>
      </c>
      <c r="G19" s="2">
        <f t="shared" si="5"/>
        <v>15</v>
      </c>
      <c r="H19" s="1">
        <v>5.5</v>
      </c>
      <c r="I19" s="3">
        <f t="shared" si="2"/>
        <v>0.21995101469188644</v>
      </c>
      <c r="J19" s="3">
        <f t="shared" si="3"/>
        <v>5.3674947601278573</v>
      </c>
    </row>
    <row r="20" spans="1:10" x14ac:dyDescent="0.25">
      <c r="A20" s="2">
        <f t="shared" si="4"/>
        <v>16</v>
      </c>
      <c r="B20" s="1">
        <v>7.3</v>
      </c>
      <c r="C20" s="3">
        <f t="shared" si="0"/>
        <v>0.16513303899568801</v>
      </c>
      <c r="D20" s="3">
        <f t="shared" si="1"/>
        <v>7.2006944109578761</v>
      </c>
      <c r="G20" s="2">
        <f t="shared" si="5"/>
        <v>16</v>
      </c>
      <c r="H20" s="1">
        <v>6.5</v>
      </c>
      <c r="I20" s="3">
        <f t="shared" si="2"/>
        <v>0.18568050570955855</v>
      </c>
      <c r="J20" s="3">
        <f t="shared" si="3"/>
        <v>6.3882705014737748</v>
      </c>
    </row>
    <row r="21" spans="1:10" x14ac:dyDescent="0.25">
      <c r="A21" s="2">
        <f t="shared" si="4"/>
        <v>17</v>
      </c>
      <c r="B21" s="1">
        <v>10.7</v>
      </c>
      <c r="C21" s="3">
        <f t="shared" si="0"/>
        <v>0.11238596714993776</v>
      </c>
      <c r="D21" s="3">
        <f t="shared" si="1"/>
        <v>10.632497354808041</v>
      </c>
      <c r="G21" s="2">
        <f t="shared" si="5"/>
        <v>17</v>
      </c>
      <c r="H21" s="1">
        <v>6.4</v>
      </c>
      <c r="I21" s="3">
        <f t="shared" si="2"/>
        <v>0.18861638617540408</v>
      </c>
      <c r="J21" s="3">
        <f t="shared" si="3"/>
        <v>6.2864934582006846</v>
      </c>
    </row>
    <row r="22" spans="1:10" x14ac:dyDescent="0.25">
      <c r="A22" s="2">
        <f t="shared" si="4"/>
        <v>18</v>
      </c>
      <c r="B22" s="1">
        <v>7</v>
      </c>
      <c r="C22" s="3">
        <f t="shared" si="0"/>
        <v>0.17227952372802138</v>
      </c>
      <c r="D22" s="3">
        <f t="shared" si="1"/>
        <v>6.8963758598266667</v>
      </c>
      <c r="G22" s="2">
        <f t="shared" si="5"/>
        <v>18</v>
      </c>
      <c r="H22" s="1">
        <v>6.5</v>
      </c>
      <c r="I22" s="3">
        <f t="shared" si="2"/>
        <v>0.18568050570955855</v>
      </c>
      <c r="J22" s="3">
        <f t="shared" si="3"/>
        <v>6.3882705014737748</v>
      </c>
    </row>
    <row r="23" spans="1:10" x14ac:dyDescent="0.25">
      <c r="A23" s="2">
        <f t="shared" si="4"/>
        <v>19</v>
      </c>
      <c r="B23" s="1">
        <v>11.2</v>
      </c>
      <c r="C23" s="3">
        <f t="shared" si="0"/>
        <v>0.10734891610186867</v>
      </c>
      <c r="D23" s="3">
        <f t="shared" si="1"/>
        <v>11.135528725660043</v>
      </c>
      <c r="G23" s="2">
        <f t="shared" si="5"/>
        <v>19</v>
      </c>
      <c r="H23" s="1">
        <v>6.3</v>
      </c>
      <c r="I23" s="3">
        <f t="shared" si="2"/>
        <v>0.19164719497541644</v>
      </c>
      <c r="J23" s="3">
        <f t="shared" si="3"/>
        <v>6.1846584384264904</v>
      </c>
    </row>
    <row r="24" spans="1:10" x14ac:dyDescent="0.25">
      <c r="A24" s="2">
        <f t="shared" si="4"/>
        <v>20</v>
      </c>
      <c r="B24" s="1">
        <v>9.6</v>
      </c>
      <c r="C24" s="3">
        <f t="shared" si="0"/>
        <v>0.12532783116806537</v>
      </c>
      <c r="D24" s="3">
        <f t="shared" si="1"/>
        <v>9.5247047198325259</v>
      </c>
      <c r="G24" s="2">
        <f t="shared" si="5"/>
        <v>20</v>
      </c>
      <c r="H24" s="1">
        <v>4.8</v>
      </c>
      <c r="I24" s="3">
        <f t="shared" si="2"/>
        <v>0.25268025514207865</v>
      </c>
      <c r="J24" s="3">
        <f t="shared" si="3"/>
        <v>4.6475800154489004</v>
      </c>
    </row>
    <row r="25" spans="1:10" x14ac:dyDescent="0.25">
      <c r="A25" s="2">
        <f t="shared" si="4"/>
        <v>21</v>
      </c>
      <c r="B25" s="1">
        <v>6</v>
      </c>
      <c r="C25" s="3">
        <f t="shared" si="0"/>
        <v>0.2013579207903308</v>
      </c>
      <c r="D25" s="3">
        <f t="shared" si="1"/>
        <v>5.8787753826796276</v>
      </c>
      <c r="G25" s="2">
        <f t="shared" si="5"/>
        <v>21</v>
      </c>
      <c r="H25" s="1">
        <v>5.6</v>
      </c>
      <c r="I25" s="3">
        <f t="shared" si="2"/>
        <v>0.21596049868495626</v>
      </c>
      <c r="J25" s="3">
        <f t="shared" si="3"/>
        <v>5.4699177324709369</v>
      </c>
    </row>
    <row r="26" spans="1:10" x14ac:dyDescent="0.25">
      <c r="A26" s="2">
        <f t="shared" si="4"/>
        <v>22</v>
      </c>
      <c r="B26" s="1">
        <v>8.6</v>
      </c>
      <c r="C26" s="3">
        <f t="shared" si="0"/>
        <v>0.13999168775447268</v>
      </c>
      <c r="D26" s="3">
        <f t="shared" si="1"/>
        <v>8.5158675424175065</v>
      </c>
      <c r="G26" s="2">
        <f t="shared" si="5"/>
        <v>22</v>
      </c>
      <c r="H26" s="1">
        <v>5.4</v>
      </c>
      <c r="I26" s="3">
        <f t="shared" si="2"/>
        <v>0.22409309230137084</v>
      </c>
      <c r="J26" s="3">
        <f t="shared" si="3"/>
        <v>5.2649786324352732</v>
      </c>
    </row>
    <row r="27" spans="1:10" x14ac:dyDescent="0.25">
      <c r="A27" s="2">
        <f t="shared" si="4"/>
        <v>23</v>
      </c>
      <c r="B27" s="1">
        <v>7.5</v>
      </c>
      <c r="C27" s="3">
        <f t="shared" si="0"/>
        <v>0.1606906529519106</v>
      </c>
      <c r="D27" s="3">
        <f t="shared" si="1"/>
        <v>7.4033776075518389</v>
      </c>
      <c r="G27" s="2">
        <f t="shared" si="5"/>
        <v>23</v>
      </c>
      <c r="H27" s="1">
        <v>11.1</v>
      </c>
      <c r="I27" s="3">
        <f t="shared" si="2"/>
        <v>0.10831980651511756</v>
      </c>
      <c r="J27" s="3">
        <f t="shared" si="3"/>
        <v>11.034944494649713</v>
      </c>
    </row>
    <row r="28" spans="1:10" x14ac:dyDescent="0.25">
      <c r="A28" s="2">
        <f t="shared" si="4"/>
        <v>24</v>
      </c>
      <c r="B28" s="1">
        <v>7.2</v>
      </c>
      <c r="C28" s="3">
        <f t="shared" si="0"/>
        <v>0.16744807921968935</v>
      </c>
      <c r="D28" s="3">
        <f t="shared" si="1"/>
        <v>7.0992957397195395</v>
      </c>
      <c r="G28" s="2">
        <f t="shared" si="5"/>
        <v>24</v>
      </c>
      <c r="H28" s="1">
        <v>4.5999999999999996</v>
      </c>
      <c r="I28" s="3">
        <f t="shared" si="2"/>
        <v>0.2639228481297875</v>
      </c>
      <c r="J28" s="3">
        <f t="shared" si="3"/>
        <v>4.4407206622349031</v>
      </c>
    </row>
    <row r="29" spans="1:10" x14ac:dyDescent="0.25">
      <c r="A29" s="2">
        <f t="shared" si="4"/>
        <v>25</v>
      </c>
      <c r="B29" s="1">
        <v>6.4</v>
      </c>
      <c r="C29" s="3">
        <f t="shared" si="0"/>
        <v>0.18861638617540408</v>
      </c>
      <c r="D29" s="3">
        <f t="shared" si="1"/>
        <v>6.2864934582006846</v>
      </c>
      <c r="G29" s="2">
        <f t="shared" si="5"/>
        <v>25</v>
      </c>
      <c r="H29" s="1">
        <v>6.3</v>
      </c>
      <c r="I29" s="3">
        <f t="shared" si="2"/>
        <v>0.19164719497541644</v>
      </c>
      <c r="J29" s="3">
        <f t="shared" si="3"/>
        <v>6.1846584384264904</v>
      </c>
    </row>
    <row r="30" spans="1:10" x14ac:dyDescent="0.25">
      <c r="A30" s="2">
        <f t="shared" si="4"/>
        <v>26</v>
      </c>
      <c r="B30" s="1">
        <v>7.9</v>
      </c>
      <c r="C30" s="3">
        <f t="shared" si="0"/>
        <v>0.15248901611209853</v>
      </c>
      <c r="D30" s="3">
        <f t="shared" si="1"/>
        <v>7.8083288865159872</v>
      </c>
      <c r="G30" s="2">
        <f t="shared" si="5"/>
        <v>26</v>
      </c>
      <c r="H30" s="1">
        <v>5.0999999999999996</v>
      </c>
      <c r="I30" s="3">
        <f t="shared" si="2"/>
        <v>0.23752117078144624</v>
      </c>
      <c r="J30" s="3">
        <f t="shared" si="3"/>
        <v>4.9568134925574912</v>
      </c>
    </row>
    <row r="31" spans="1:10" x14ac:dyDescent="0.25">
      <c r="A31" s="2">
        <f t="shared" si="4"/>
        <v>27</v>
      </c>
      <c r="B31" s="1">
        <v>5.7</v>
      </c>
      <c r="C31" s="3">
        <f t="shared" si="0"/>
        <v>0.21211331047922882</v>
      </c>
      <c r="D31" s="3">
        <f t="shared" si="1"/>
        <v>5.5722526863020132</v>
      </c>
      <c r="G31" s="2">
        <f t="shared" si="5"/>
        <v>27</v>
      </c>
      <c r="H31" s="1">
        <v>11.3</v>
      </c>
      <c r="I31" s="3">
        <f t="shared" si="2"/>
        <v>0.10639530848456304</v>
      </c>
      <c r="J31" s="3">
        <f t="shared" si="3"/>
        <v>11.236102527122116</v>
      </c>
    </row>
    <row r="32" spans="1:10" x14ac:dyDescent="0.25">
      <c r="A32" s="2">
        <f t="shared" si="4"/>
        <v>28</v>
      </c>
      <c r="B32" s="1">
        <v>5.9</v>
      </c>
      <c r="C32" s="3">
        <f t="shared" si="0"/>
        <v>0.20481888149852037</v>
      </c>
      <c r="D32" s="3">
        <f t="shared" si="1"/>
        <v>5.7766772456144722</v>
      </c>
      <c r="G32" s="2">
        <f t="shared" si="5"/>
        <v>28</v>
      </c>
      <c r="H32" s="1">
        <v>9.5</v>
      </c>
      <c r="I32" s="3">
        <f t="shared" si="2"/>
        <v>0.12665413350175034</v>
      </c>
      <c r="J32" s="3">
        <f t="shared" si="3"/>
        <v>9.4239057720246766</v>
      </c>
    </row>
    <row r="33" spans="1:10" x14ac:dyDescent="0.25">
      <c r="A33" s="2">
        <f t="shared" si="4"/>
        <v>29</v>
      </c>
      <c r="B33" s="1">
        <v>4.8</v>
      </c>
      <c r="C33" s="3">
        <f t="shared" si="0"/>
        <v>0.25268025514207865</v>
      </c>
      <c r="D33" s="3">
        <f t="shared" si="1"/>
        <v>4.6475800154489004</v>
      </c>
      <c r="G33" s="2">
        <f t="shared" si="5"/>
        <v>29</v>
      </c>
      <c r="H33" s="1">
        <v>4.9000000000000004</v>
      </c>
      <c r="I33" s="3">
        <f t="shared" si="2"/>
        <v>0.24741444546766753</v>
      </c>
      <c r="J33" s="3">
        <f t="shared" si="3"/>
        <v>4.750789408087881</v>
      </c>
    </row>
    <row r="34" spans="1:10" x14ac:dyDescent="0.25">
      <c r="A34" s="2">
        <f t="shared" si="4"/>
        <v>30</v>
      </c>
      <c r="B34" s="1">
        <v>7.8</v>
      </c>
      <c r="C34" s="3">
        <f t="shared" si="0"/>
        <v>0.15445959848418411</v>
      </c>
      <c r="D34" s="3">
        <f t="shared" si="1"/>
        <v>7.7071395471990769</v>
      </c>
      <c r="G34" s="2">
        <f t="shared" si="5"/>
        <v>30</v>
      </c>
      <c r="H34" s="1">
        <v>14.3</v>
      </c>
      <c r="I34" s="3">
        <f t="shared" si="2"/>
        <v>8.401488556564235E-2</v>
      </c>
      <c r="J34" s="3">
        <f t="shared" si="3"/>
        <v>14.24956139675885</v>
      </c>
    </row>
    <row r="35" spans="1:10" x14ac:dyDescent="0.25">
      <c r="A35" s="2"/>
      <c r="B35" s="1"/>
      <c r="G35" s="2">
        <v>31</v>
      </c>
      <c r="H35" s="1">
        <v>6.2</v>
      </c>
      <c r="I35" s="3">
        <f t="shared" si="2"/>
        <v>0.19477764273435358</v>
      </c>
      <c r="J35" s="3">
        <f t="shared" si="3"/>
        <v>6.0827625302982202</v>
      </c>
    </row>
    <row r="36" spans="1:10" x14ac:dyDescent="0.25">
      <c r="A36" s="2"/>
      <c r="G36" s="2">
        <v>32</v>
      </c>
      <c r="H36" s="1">
        <v>4.7</v>
      </c>
      <c r="I36" s="3">
        <f t="shared" si="2"/>
        <v>0.25817777796397612</v>
      </c>
      <c r="J36" s="3">
        <f t="shared" si="3"/>
        <v>4.5442271070007054</v>
      </c>
    </row>
    <row r="38" spans="1:10" x14ac:dyDescent="0.25">
      <c r="A38" s="2" t="s">
        <v>5</v>
      </c>
      <c r="B38" s="1" t="s">
        <v>6</v>
      </c>
      <c r="D38" t="s">
        <v>6</v>
      </c>
      <c r="G38" t="s">
        <v>5</v>
      </c>
      <c r="H38" t="s">
        <v>6</v>
      </c>
      <c r="J38" t="s">
        <v>6</v>
      </c>
    </row>
    <row r="39" spans="1:10" x14ac:dyDescent="0.25">
      <c r="A39" s="1">
        <f>SQRT($A34 * $B$2^2)</f>
        <v>5.4772255750516612</v>
      </c>
      <c r="B39" s="1">
        <f>SUM(B5:B34)</f>
        <v>230.29999999999998</v>
      </c>
      <c r="D39" s="3">
        <f>SUM(D5:D34)</f>
        <v>227.24720762301007</v>
      </c>
      <c r="G39" s="1">
        <f>SQRT($G36 * $B$2^2)</f>
        <v>5.6568542494923806</v>
      </c>
      <c r="H39" s="1">
        <f>SUM(H5:H36)</f>
        <v>231.40000000000003</v>
      </c>
      <c r="J39" s="3">
        <f>SUM(J5:J36)</f>
        <v>227.8957626757483</v>
      </c>
    </row>
    <row r="40" spans="1:10" x14ac:dyDescent="0.25">
      <c r="A40" s="2"/>
      <c r="B40" s="1"/>
    </row>
    <row r="41" spans="1:10" x14ac:dyDescent="0.25">
      <c r="A41" s="2"/>
      <c r="B41" s="1"/>
    </row>
    <row r="42" spans="1:10" x14ac:dyDescent="0.25">
      <c r="A42" s="2"/>
      <c r="B42" s="1"/>
    </row>
    <row r="43" spans="1:10" x14ac:dyDescent="0.25">
      <c r="A43" s="2"/>
      <c r="B43" s="1"/>
    </row>
    <row r="44" spans="1:10" x14ac:dyDescent="0.25">
      <c r="A44" s="2"/>
      <c r="B44" s="1"/>
    </row>
    <row r="45" spans="1:10" x14ac:dyDescent="0.25">
      <c r="A45" s="2"/>
      <c r="B45" s="1"/>
    </row>
  </sheetData>
  <mergeCells count="2">
    <mergeCell ref="A4:B4"/>
    <mergeCell ref="G4: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55E7-3621-4687-B709-B5557B534B1D}">
  <dimension ref="A1:J45"/>
  <sheetViews>
    <sheetView tabSelected="1" workbookViewId="0">
      <selection activeCell="B2" sqref="B2"/>
    </sheetView>
  </sheetViews>
  <sheetFormatPr defaultRowHeight="15" x14ac:dyDescent="0.25"/>
  <cols>
    <col min="1" max="1" width="25.7109375" customWidth="1"/>
    <col min="2" max="2" width="16.42578125" customWidth="1"/>
    <col min="3" max="3" width="23" customWidth="1"/>
    <col min="4" max="4" width="21.140625" customWidth="1"/>
    <col min="6" max="6" width="19.7109375" customWidth="1"/>
    <col min="7" max="7" width="27.85546875" customWidth="1"/>
    <col min="8" max="8" width="20.7109375" customWidth="1"/>
    <col min="9" max="9" width="26.140625" customWidth="1"/>
    <col min="10" max="10" width="26.85546875" customWidth="1"/>
    <col min="11" max="11" width="17" customWidth="1"/>
    <col min="12" max="12" width="21.140625" customWidth="1"/>
  </cols>
  <sheetData>
    <row r="1" spans="1:10" x14ac:dyDescent="0.25">
      <c r="A1" t="s">
        <v>0</v>
      </c>
      <c r="B1" s="1">
        <v>1.2</v>
      </c>
    </row>
    <row r="2" spans="1:10" x14ac:dyDescent="0.25">
      <c r="A2" t="s">
        <v>1</v>
      </c>
      <c r="B2" s="1">
        <v>1</v>
      </c>
    </row>
    <row r="4" spans="1:10" x14ac:dyDescent="0.25">
      <c r="A4" s="4" t="s">
        <v>2</v>
      </c>
      <c r="B4" s="4"/>
      <c r="C4" t="s">
        <v>3</v>
      </c>
      <c r="D4" t="s">
        <v>4</v>
      </c>
      <c r="G4" s="4" t="s">
        <v>2</v>
      </c>
      <c r="H4" s="4"/>
      <c r="I4" t="s">
        <v>3</v>
      </c>
      <c r="J4" t="s">
        <v>4</v>
      </c>
    </row>
    <row r="5" spans="1:10" x14ac:dyDescent="0.25">
      <c r="A5" s="2">
        <v>1</v>
      </c>
      <c r="B5" s="1">
        <v>14.9</v>
      </c>
      <c r="C5" s="3">
        <f>ASIN($B$1/$B5)</f>
        <v>8.0624230866507773E-2</v>
      </c>
      <c r="D5" s="3">
        <f>$B5*COS($C5)</f>
        <v>14.851599240485855</v>
      </c>
      <c r="G5" s="2">
        <v>1</v>
      </c>
      <c r="H5" s="1">
        <v>7.8</v>
      </c>
      <c r="I5" s="3">
        <f>ASIN($B$1/H5)</f>
        <v>0.15445959848418411</v>
      </c>
      <c r="J5" s="3">
        <f>H5*COS(I5)</f>
        <v>7.7071395471990769</v>
      </c>
    </row>
    <row r="6" spans="1:10" x14ac:dyDescent="0.25">
      <c r="A6" s="2">
        <f>$A$5 + ROW($A6) - ROW($A$5)</f>
        <v>2</v>
      </c>
      <c r="B6" s="1">
        <v>8.1</v>
      </c>
      <c r="C6" s="3">
        <f t="shared" ref="C6:C34" si="0">ASIN($B$1/$B6)</f>
        <v>0.14869549426756229</v>
      </c>
      <c r="D6" s="3">
        <f t="shared" ref="D6:D34" si="1">$B6*COS($C6)</f>
        <v>8.010617953691213</v>
      </c>
      <c r="G6" s="2">
        <f>$A$5 + ROW($A6) - ROW($A$5)</f>
        <v>2</v>
      </c>
      <c r="H6" s="1">
        <v>6.4</v>
      </c>
      <c r="I6" s="3">
        <f t="shared" ref="I6:I36" si="2">ASIN($B$1/H6)</f>
        <v>0.18861638617540408</v>
      </c>
      <c r="J6" s="3">
        <f t="shared" ref="J6:J36" si="3">H6*COS(I6)</f>
        <v>6.2864934582006846</v>
      </c>
    </row>
    <row r="7" spans="1:10" x14ac:dyDescent="0.25">
      <c r="A7" s="2">
        <f t="shared" ref="A7:A34" si="4">$A$5 + ROW($A7) - ROW($A$5)</f>
        <v>3</v>
      </c>
      <c r="B7" s="1">
        <v>7.4</v>
      </c>
      <c r="C7" s="3">
        <f t="shared" si="0"/>
        <v>0.1628814244803454</v>
      </c>
      <c r="D7" s="3">
        <f t="shared" si="1"/>
        <v>7.3020545054114736</v>
      </c>
      <c r="G7" s="2">
        <f t="shared" ref="G7:G34" si="5">$A$5 + ROW($A7) - ROW($A$5)</f>
        <v>3</v>
      </c>
      <c r="H7" s="1">
        <v>6.7</v>
      </c>
      <c r="I7" s="3">
        <f t="shared" si="2"/>
        <v>0.18007613476165998</v>
      </c>
      <c r="J7" s="3">
        <f t="shared" si="3"/>
        <v>6.5916613990707988</v>
      </c>
    </row>
    <row r="8" spans="1:10" x14ac:dyDescent="0.25">
      <c r="A8" s="2">
        <f t="shared" si="4"/>
        <v>4</v>
      </c>
      <c r="B8" s="1">
        <v>4.5</v>
      </c>
      <c r="C8" s="3">
        <f t="shared" si="0"/>
        <v>0.26993279583340346</v>
      </c>
      <c r="D8" s="3">
        <f t="shared" si="1"/>
        <v>4.3370496884402883</v>
      </c>
      <c r="G8" s="2">
        <f t="shared" si="5"/>
        <v>4</v>
      </c>
      <c r="H8" s="1">
        <v>6.5</v>
      </c>
      <c r="I8" s="3">
        <f t="shared" si="2"/>
        <v>0.18568050570955855</v>
      </c>
      <c r="J8" s="3">
        <f t="shared" si="3"/>
        <v>6.3882705014737748</v>
      </c>
    </row>
    <row r="9" spans="1:10" x14ac:dyDescent="0.25">
      <c r="A9" s="2">
        <f t="shared" si="4"/>
        <v>5</v>
      </c>
      <c r="B9" s="1">
        <v>6.3</v>
      </c>
      <c r="C9" s="3">
        <f t="shared" si="0"/>
        <v>0.19164719497541644</v>
      </c>
      <c r="D9" s="3">
        <f t="shared" si="1"/>
        <v>6.1846584384264904</v>
      </c>
      <c r="G9" s="2">
        <f t="shared" si="5"/>
        <v>5</v>
      </c>
      <c r="H9" s="1">
        <v>6.5</v>
      </c>
      <c r="I9" s="3">
        <f t="shared" si="2"/>
        <v>0.18568050570955855</v>
      </c>
      <c r="J9" s="3">
        <f t="shared" si="3"/>
        <v>6.3882705014737748</v>
      </c>
    </row>
    <row r="10" spans="1:10" x14ac:dyDescent="0.25">
      <c r="A10" s="2">
        <f t="shared" si="4"/>
        <v>6</v>
      </c>
      <c r="B10" s="1">
        <v>6.8</v>
      </c>
      <c r="C10" s="3">
        <f t="shared" si="0"/>
        <v>0.1773996044403704</v>
      </c>
      <c r="D10" s="3">
        <f t="shared" si="1"/>
        <v>6.6932802122726036</v>
      </c>
      <c r="G10" s="2">
        <f t="shared" si="5"/>
        <v>6</v>
      </c>
      <c r="H10" s="1">
        <v>6.2</v>
      </c>
      <c r="I10" s="3">
        <f t="shared" si="2"/>
        <v>0.19477764273435358</v>
      </c>
      <c r="J10" s="3">
        <f t="shared" si="3"/>
        <v>6.0827625302982202</v>
      </c>
    </row>
    <row r="11" spans="1:10" x14ac:dyDescent="0.25">
      <c r="A11" s="2">
        <f t="shared" si="4"/>
        <v>7</v>
      </c>
      <c r="B11" s="1">
        <v>7</v>
      </c>
      <c r="C11" s="3">
        <f t="shared" si="0"/>
        <v>0.17227952372802138</v>
      </c>
      <c r="D11" s="3">
        <f t="shared" si="1"/>
        <v>6.8963758598266667</v>
      </c>
      <c r="G11" s="2">
        <f t="shared" si="5"/>
        <v>7</v>
      </c>
      <c r="H11" s="1">
        <v>7</v>
      </c>
      <c r="I11" s="3">
        <f t="shared" si="2"/>
        <v>0.17227952372802138</v>
      </c>
      <c r="J11" s="3">
        <f t="shared" si="3"/>
        <v>6.8963758598266667</v>
      </c>
    </row>
    <row r="12" spans="1:10" x14ac:dyDescent="0.25">
      <c r="A12" s="2">
        <f t="shared" si="4"/>
        <v>8</v>
      </c>
      <c r="B12" s="1">
        <v>11.8</v>
      </c>
      <c r="C12" s="3">
        <f t="shared" si="0"/>
        <v>0.10187102175353983</v>
      </c>
      <c r="D12" s="3">
        <f t="shared" si="1"/>
        <v>11.738824472663351</v>
      </c>
      <c r="G12" s="2">
        <f t="shared" si="5"/>
        <v>8</v>
      </c>
      <c r="H12" s="1">
        <v>6.9</v>
      </c>
      <c r="I12" s="3">
        <f t="shared" si="2"/>
        <v>0.17480188337369393</v>
      </c>
      <c r="J12" s="3">
        <f t="shared" si="3"/>
        <v>6.794850991743675</v>
      </c>
    </row>
    <row r="13" spans="1:10" x14ac:dyDescent="0.25">
      <c r="A13" s="2">
        <f t="shared" si="4"/>
        <v>9</v>
      </c>
      <c r="B13" s="1">
        <v>6.1</v>
      </c>
      <c r="C13" s="3">
        <f t="shared" si="0"/>
        <v>0.19801275917310129</v>
      </c>
      <c r="D13" s="3">
        <f t="shared" si="1"/>
        <v>5.9808026217222716</v>
      </c>
      <c r="G13" s="2">
        <f t="shared" si="5"/>
        <v>9</v>
      </c>
      <c r="H13" s="1">
        <v>11.3</v>
      </c>
      <c r="I13" s="3">
        <f t="shared" si="2"/>
        <v>0.10639530848456304</v>
      </c>
      <c r="J13" s="3">
        <f t="shared" si="3"/>
        <v>11.236102527122116</v>
      </c>
    </row>
    <row r="14" spans="1:10" x14ac:dyDescent="0.25">
      <c r="A14" s="2">
        <f t="shared" si="4"/>
        <v>10</v>
      </c>
      <c r="B14" s="1">
        <v>4.9000000000000004</v>
      </c>
      <c r="C14" s="3">
        <f t="shared" si="0"/>
        <v>0.24741444546766753</v>
      </c>
      <c r="D14" s="3">
        <f t="shared" si="1"/>
        <v>4.750789408087881</v>
      </c>
      <c r="G14" s="2">
        <f t="shared" si="5"/>
        <v>10</v>
      </c>
      <c r="H14" s="1">
        <v>11.7</v>
      </c>
      <c r="I14" s="3">
        <f t="shared" si="2"/>
        <v>0.10274477786559462</v>
      </c>
      <c r="J14" s="3">
        <f t="shared" si="3"/>
        <v>11.638298844762494</v>
      </c>
    </row>
    <row r="15" spans="1:10" x14ac:dyDescent="0.25">
      <c r="A15" s="2">
        <f t="shared" si="4"/>
        <v>11</v>
      </c>
      <c r="B15" s="1">
        <v>6.5</v>
      </c>
      <c r="C15" s="3">
        <f t="shared" si="0"/>
        <v>0.18568050570955855</v>
      </c>
      <c r="D15" s="3">
        <f t="shared" si="1"/>
        <v>6.3882705014737748</v>
      </c>
      <c r="G15" s="2">
        <f t="shared" si="5"/>
        <v>11</v>
      </c>
      <c r="H15" s="1">
        <v>6.6</v>
      </c>
      <c r="I15" s="3">
        <f t="shared" si="2"/>
        <v>0.18283513699290876</v>
      </c>
      <c r="J15" s="3">
        <f t="shared" si="3"/>
        <v>6.4899922958351803</v>
      </c>
    </row>
    <row r="16" spans="1:10" x14ac:dyDescent="0.25">
      <c r="A16" s="2">
        <f t="shared" si="4"/>
        <v>12</v>
      </c>
      <c r="B16" s="1">
        <v>8.1</v>
      </c>
      <c r="C16" s="3">
        <f t="shared" si="0"/>
        <v>0.14869549426756229</v>
      </c>
      <c r="D16" s="3">
        <f t="shared" si="1"/>
        <v>8.010617953691213</v>
      </c>
      <c r="G16" s="2">
        <f t="shared" si="5"/>
        <v>12</v>
      </c>
      <c r="H16" s="1">
        <v>6</v>
      </c>
      <c r="I16" s="3">
        <f t="shared" si="2"/>
        <v>0.2013579207903308</v>
      </c>
      <c r="J16" s="3">
        <f t="shared" si="3"/>
        <v>5.8787753826796276</v>
      </c>
    </row>
    <row r="17" spans="1:10" x14ac:dyDescent="0.25">
      <c r="A17" s="2">
        <f t="shared" si="4"/>
        <v>13</v>
      </c>
      <c r="B17" s="1">
        <v>10.7</v>
      </c>
      <c r="C17" s="3">
        <f t="shared" si="0"/>
        <v>0.11238596714993776</v>
      </c>
      <c r="D17" s="3">
        <f t="shared" si="1"/>
        <v>10.632497354808041</v>
      </c>
      <c r="G17" s="2">
        <f t="shared" si="5"/>
        <v>13</v>
      </c>
      <c r="H17" s="1">
        <v>10.6</v>
      </c>
      <c r="I17" s="3">
        <f t="shared" si="2"/>
        <v>0.11345076281857168</v>
      </c>
      <c r="J17" s="3">
        <f t="shared" si="3"/>
        <v>10.531856436545269</v>
      </c>
    </row>
    <row r="18" spans="1:10" x14ac:dyDescent="0.25">
      <c r="A18" s="2">
        <f t="shared" si="4"/>
        <v>14</v>
      </c>
      <c r="B18" s="1">
        <v>6.1</v>
      </c>
      <c r="C18" s="3">
        <f t="shared" si="0"/>
        <v>0.19801275917310129</v>
      </c>
      <c r="D18" s="3">
        <f t="shared" si="1"/>
        <v>5.9808026217222716</v>
      </c>
      <c r="G18" s="2">
        <f t="shared" si="5"/>
        <v>14</v>
      </c>
      <c r="H18" s="1">
        <v>6.2</v>
      </c>
      <c r="I18" s="3">
        <f t="shared" si="2"/>
        <v>0.19477764273435358</v>
      </c>
      <c r="J18" s="3">
        <f t="shared" si="3"/>
        <v>6.0827625302982202</v>
      </c>
    </row>
    <row r="19" spans="1:10" x14ac:dyDescent="0.25">
      <c r="A19" s="2">
        <f t="shared" si="4"/>
        <v>15</v>
      </c>
      <c r="B19" s="1">
        <v>7.5</v>
      </c>
      <c r="C19" s="3">
        <f t="shared" si="0"/>
        <v>0.1606906529519106</v>
      </c>
      <c r="D19" s="3">
        <f t="shared" si="1"/>
        <v>7.4033776075518389</v>
      </c>
      <c r="G19" s="2">
        <f t="shared" si="5"/>
        <v>15</v>
      </c>
      <c r="H19" s="1">
        <v>5.5</v>
      </c>
      <c r="I19" s="3">
        <f t="shared" si="2"/>
        <v>0.21995101469188644</v>
      </c>
      <c r="J19" s="3">
        <f t="shared" si="3"/>
        <v>5.3674947601278573</v>
      </c>
    </row>
    <row r="20" spans="1:10" x14ac:dyDescent="0.25">
      <c r="A20" s="2">
        <f t="shared" si="4"/>
        <v>16</v>
      </c>
      <c r="B20" s="1">
        <v>7.3</v>
      </c>
      <c r="C20" s="3">
        <f t="shared" si="0"/>
        <v>0.16513303899568801</v>
      </c>
      <c r="D20" s="3">
        <f t="shared" si="1"/>
        <v>7.2006944109578761</v>
      </c>
      <c r="G20" s="2">
        <f t="shared" si="5"/>
        <v>16</v>
      </c>
      <c r="H20" s="1">
        <v>6.5</v>
      </c>
      <c r="I20" s="3">
        <f t="shared" si="2"/>
        <v>0.18568050570955855</v>
      </c>
      <c r="J20" s="3">
        <f t="shared" si="3"/>
        <v>6.3882705014737748</v>
      </c>
    </row>
    <row r="21" spans="1:10" x14ac:dyDescent="0.25">
      <c r="A21" s="2">
        <f t="shared" si="4"/>
        <v>17</v>
      </c>
      <c r="B21" s="1">
        <v>10.7</v>
      </c>
      <c r="C21" s="3">
        <f t="shared" si="0"/>
        <v>0.11238596714993776</v>
      </c>
      <c r="D21" s="3">
        <f t="shared" si="1"/>
        <v>10.632497354808041</v>
      </c>
      <c r="G21" s="2">
        <f t="shared" si="5"/>
        <v>17</v>
      </c>
      <c r="H21" s="1">
        <v>6.4</v>
      </c>
      <c r="I21" s="3">
        <f t="shared" si="2"/>
        <v>0.18861638617540408</v>
      </c>
      <c r="J21" s="3">
        <f t="shared" si="3"/>
        <v>6.2864934582006846</v>
      </c>
    </row>
    <row r="22" spans="1:10" x14ac:dyDescent="0.25">
      <c r="A22" s="2">
        <f t="shared" si="4"/>
        <v>18</v>
      </c>
      <c r="B22" s="1">
        <v>7</v>
      </c>
      <c r="C22" s="3">
        <f t="shared" si="0"/>
        <v>0.17227952372802138</v>
      </c>
      <c r="D22" s="3">
        <f t="shared" si="1"/>
        <v>6.8963758598266667</v>
      </c>
      <c r="G22" s="2">
        <f t="shared" si="5"/>
        <v>18</v>
      </c>
      <c r="H22" s="1">
        <v>6.5</v>
      </c>
      <c r="I22" s="3">
        <f t="shared" si="2"/>
        <v>0.18568050570955855</v>
      </c>
      <c r="J22" s="3">
        <f t="shared" si="3"/>
        <v>6.3882705014737748</v>
      </c>
    </row>
    <row r="23" spans="1:10" x14ac:dyDescent="0.25">
      <c r="A23" s="2">
        <f t="shared" si="4"/>
        <v>19</v>
      </c>
      <c r="B23" s="1">
        <v>11.2</v>
      </c>
      <c r="C23" s="3">
        <f t="shared" si="0"/>
        <v>0.10734891610186867</v>
      </c>
      <c r="D23" s="3">
        <f t="shared" si="1"/>
        <v>11.135528725660043</v>
      </c>
      <c r="G23" s="2">
        <f t="shared" si="5"/>
        <v>19</v>
      </c>
      <c r="H23" s="1">
        <v>6.3</v>
      </c>
      <c r="I23" s="3">
        <f t="shared" si="2"/>
        <v>0.19164719497541644</v>
      </c>
      <c r="J23" s="3">
        <f t="shared" si="3"/>
        <v>6.1846584384264904</v>
      </c>
    </row>
    <row r="24" spans="1:10" x14ac:dyDescent="0.25">
      <c r="A24" s="2">
        <f t="shared" si="4"/>
        <v>20</v>
      </c>
      <c r="B24" s="1">
        <v>9.6</v>
      </c>
      <c r="C24" s="3">
        <f t="shared" si="0"/>
        <v>0.12532783116806537</v>
      </c>
      <c r="D24" s="3">
        <f t="shared" si="1"/>
        <v>9.5247047198325259</v>
      </c>
      <c r="G24" s="2">
        <f t="shared" si="5"/>
        <v>20</v>
      </c>
      <c r="H24" s="1">
        <v>4.8</v>
      </c>
      <c r="I24" s="3">
        <f t="shared" si="2"/>
        <v>0.25268025514207865</v>
      </c>
      <c r="J24" s="3">
        <f t="shared" si="3"/>
        <v>4.6475800154489004</v>
      </c>
    </row>
    <row r="25" spans="1:10" x14ac:dyDescent="0.25">
      <c r="A25" s="2">
        <f t="shared" si="4"/>
        <v>21</v>
      </c>
      <c r="B25" s="1">
        <v>6</v>
      </c>
      <c r="C25" s="3">
        <f t="shared" si="0"/>
        <v>0.2013579207903308</v>
      </c>
      <c r="D25" s="3">
        <f t="shared" si="1"/>
        <v>5.8787753826796276</v>
      </c>
      <c r="G25" s="2">
        <f t="shared" si="5"/>
        <v>21</v>
      </c>
      <c r="H25" s="1">
        <v>5.6</v>
      </c>
      <c r="I25" s="3">
        <f t="shared" si="2"/>
        <v>0.21596049868495626</v>
      </c>
      <c r="J25" s="3">
        <f t="shared" si="3"/>
        <v>5.4699177324709369</v>
      </c>
    </row>
    <row r="26" spans="1:10" x14ac:dyDescent="0.25">
      <c r="A26" s="2">
        <f t="shared" si="4"/>
        <v>22</v>
      </c>
      <c r="B26" s="1">
        <v>8.6</v>
      </c>
      <c r="C26" s="3">
        <f t="shared" si="0"/>
        <v>0.13999168775447268</v>
      </c>
      <c r="D26" s="3">
        <f t="shared" si="1"/>
        <v>8.5158675424175065</v>
      </c>
      <c r="G26" s="2">
        <f t="shared" si="5"/>
        <v>22</v>
      </c>
      <c r="H26" s="1">
        <v>5.4</v>
      </c>
      <c r="I26" s="3">
        <f t="shared" si="2"/>
        <v>0.22409309230137084</v>
      </c>
      <c r="J26" s="3">
        <f t="shared" si="3"/>
        <v>5.2649786324352732</v>
      </c>
    </row>
    <row r="27" spans="1:10" x14ac:dyDescent="0.25">
      <c r="A27" s="2">
        <f t="shared" si="4"/>
        <v>23</v>
      </c>
      <c r="B27" s="1">
        <v>7.5</v>
      </c>
      <c r="C27" s="3">
        <f t="shared" si="0"/>
        <v>0.1606906529519106</v>
      </c>
      <c r="D27" s="3">
        <f t="shared" si="1"/>
        <v>7.4033776075518389</v>
      </c>
      <c r="G27" s="2">
        <f t="shared" si="5"/>
        <v>23</v>
      </c>
      <c r="H27" s="1">
        <v>11.1</v>
      </c>
      <c r="I27" s="3">
        <f t="shared" si="2"/>
        <v>0.10831980651511756</v>
      </c>
      <c r="J27" s="3">
        <f t="shared" si="3"/>
        <v>11.034944494649713</v>
      </c>
    </row>
    <row r="28" spans="1:10" x14ac:dyDescent="0.25">
      <c r="A28" s="2">
        <f t="shared" si="4"/>
        <v>24</v>
      </c>
      <c r="B28" s="1">
        <v>7.2</v>
      </c>
      <c r="C28" s="3">
        <f t="shared" si="0"/>
        <v>0.16744807921968935</v>
      </c>
      <c r="D28" s="3">
        <f t="shared" si="1"/>
        <v>7.0992957397195395</v>
      </c>
      <c r="G28" s="2">
        <f t="shared" si="5"/>
        <v>24</v>
      </c>
      <c r="H28" s="1">
        <v>4.5999999999999996</v>
      </c>
      <c r="I28" s="3">
        <f t="shared" si="2"/>
        <v>0.2639228481297875</v>
      </c>
      <c r="J28" s="3">
        <f t="shared" si="3"/>
        <v>4.4407206622349031</v>
      </c>
    </row>
    <row r="29" spans="1:10" x14ac:dyDescent="0.25">
      <c r="A29" s="2">
        <f t="shared" si="4"/>
        <v>25</v>
      </c>
      <c r="B29" s="1">
        <v>6.4</v>
      </c>
      <c r="C29" s="3">
        <f t="shared" si="0"/>
        <v>0.18861638617540408</v>
      </c>
      <c r="D29" s="3">
        <f t="shared" si="1"/>
        <v>6.2864934582006846</v>
      </c>
      <c r="G29" s="2">
        <f t="shared" si="5"/>
        <v>25</v>
      </c>
      <c r="H29" s="1">
        <v>6.3</v>
      </c>
      <c r="I29" s="3">
        <f t="shared" si="2"/>
        <v>0.19164719497541644</v>
      </c>
      <c r="J29" s="3">
        <f t="shared" si="3"/>
        <v>6.1846584384264904</v>
      </c>
    </row>
    <row r="30" spans="1:10" x14ac:dyDescent="0.25">
      <c r="A30" s="2">
        <f t="shared" si="4"/>
        <v>26</v>
      </c>
      <c r="B30" s="1">
        <v>7.9</v>
      </c>
      <c r="C30" s="3">
        <f t="shared" si="0"/>
        <v>0.15248901611209853</v>
      </c>
      <c r="D30" s="3">
        <f t="shared" si="1"/>
        <v>7.8083288865159872</v>
      </c>
      <c r="G30" s="2">
        <f t="shared" si="5"/>
        <v>26</v>
      </c>
      <c r="H30" s="1">
        <v>5.0999999999999996</v>
      </c>
      <c r="I30" s="3">
        <f t="shared" si="2"/>
        <v>0.23752117078144624</v>
      </c>
      <c r="J30" s="3">
        <f t="shared" si="3"/>
        <v>4.9568134925574912</v>
      </c>
    </row>
    <row r="31" spans="1:10" x14ac:dyDescent="0.25">
      <c r="A31" s="2">
        <f t="shared" si="4"/>
        <v>27</v>
      </c>
      <c r="B31" s="1">
        <v>5.7</v>
      </c>
      <c r="C31" s="3">
        <f t="shared" si="0"/>
        <v>0.21211331047922882</v>
      </c>
      <c r="D31" s="3">
        <f t="shared" si="1"/>
        <v>5.5722526863020132</v>
      </c>
      <c r="G31" s="2">
        <f t="shared" si="5"/>
        <v>27</v>
      </c>
      <c r="H31" s="1">
        <v>11.3</v>
      </c>
      <c r="I31" s="3">
        <f t="shared" si="2"/>
        <v>0.10639530848456304</v>
      </c>
      <c r="J31" s="3">
        <f t="shared" si="3"/>
        <v>11.236102527122116</v>
      </c>
    </row>
    <row r="32" spans="1:10" x14ac:dyDescent="0.25">
      <c r="A32" s="2">
        <f t="shared" si="4"/>
        <v>28</v>
      </c>
      <c r="B32" s="1">
        <v>5.9</v>
      </c>
      <c r="C32" s="3">
        <f t="shared" si="0"/>
        <v>0.20481888149852037</v>
      </c>
      <c r="D32" s="3">
        <f t="shared" si="1"/>
        <v>5.7766772456144722</v>
      </c>
      <c r="G32" s="2">
        <f t="shared" si="5"/>
        <v>28</v>
      </c>
      <c r="H32" s="1">
        <v>9.5</v>
      </c>
      <c r="I32" s="3">
        <f t="shared" si="2"/>
        <v>0.12665413350175034</v>
      </c>
      <c r="J32" s="3">
        <f t="shared" si="3"/>
        <v>9.4239057720246766</v>
      </c>
    </row>
    <row r="33" spans="1:10" x14ac:dyDescent="0.25">
      <c r="A33" s="2">
        <f t="shared" si="4"/>
        <v>29</v>
      </c>
      <c r="B33" s="1">
        <v>4.8</v>
      </c>
      <c r="C33" s="3">
        <f t="shared" si="0"/>
        <v>0.25268025514207865</v>
      </c>
      <c r="D33" s="3">
        <f t="shared" si="1"/>
        <v>4.6475800154489004</v>
      </c>
      <c r="G33" s="2">
        <f t="shared" si="5"/>
        <v>29</v>
      </c>
      <c r="H33" s="1">
        <v>4.9000000000000004</v>
      </c>
      <c r="I33" s="3">
        <f t="shared" si="2"/>
        <v>0.24741444546766753</v>
      </c>
      <c r="J33" s="3">
        <f t="shared" si="3"/>
        <v>4.750789408087881</v>
      </c>
    </row>
    <row r="34" spans="1:10" x14ac:dyDescent="0.25">
      <c r="A34" s="2">
        <f t="shared" si="4"/>
        <v>30</v>
      </c>
      <c r="B34" s="1">
        <v>7.8</v>
      </c>
      <c r="C34" s="3">
        <f t="shared" si="0"/>
        <v>0.15445959848418411</v>
      </c>
      <c r="D34" s="3">
        <f t="shared" si="1"/>
        <v>7.7071395471990769</v>
      </c>
      <c r="G34" s="2">
        <f t="shared" si="5"/>
        <v>30</v>
      </c>
      <c r="H34" s="1">
        <v>14.3</v>
      </c>
      <c r="I34" s="3">
        <f t="shared" si="2"/>
        <v>8.401488556564235E-2</v>
      </c>
      <c r="J34" s="3">
        <f t="shared" si="3"/>
        <v>14.24956139675885</v>
      </c>
    </row>
    <row r="35" spans="1:10" x14ac:dyDescent="0.25">
      <c r="A35" s="2"/>
      <c r="B35" s="1"/>
      <c r="G35" s="2">
        <v>31</v>
      </c>
      <c r="H35" s="1">
        <v>6.2</v>
      </c>
      <c r="I35" s="3">
        <f t="shared" si="2"/>
        <v>0.19477764273435358</v>
      </c>
      <c r="J35" s="3">
        <f t="shared" si="3"/>
        <v>6.0827625302982202</v>
      </c>
    </row>
    <row r="36" spans="1:10" x14ac:dyDescent="0.25">
      <c r="A36" s="2"/>
      <c r="G36" s="2">
        <v>32</v>
      </c>
      <c r="H36" s="1">
        <v>4.7</v>
      </c>
      <c r="I36" s="3">
        <f t="shared" si="2"/>
        <v>0.25817777796397612</v>
      </c>
      <c r="J36" s="3">
        <f t="shared" si="3"/>
        <v>4.5442271070007054</v>
      </c>
    </row>
    <row r="38" spans="1:10" x14ac:dyDescent="0.25">
      <c r="A38" s="2" t="s">
        <v>5</v>
      </c>
      <c r="B38" s="1" t="s">
        <v>6</v>
      </c>
      <c r="D38" t="s">
        <v>6</v>
      </c>
      <c r="G38" t="s">
        <v>5</v>
      </c>
      <c r="H38" t="s">
        <v>6</v>
      </c>
      <c r="J38" t="s">
        <v>6</v>
      </c>
    </row>
    <row r="39" spans="1:10" x14ac:dyDescent="0.25">
      <c r="A39" s="1">
        <f>SQRT($A34 * $B$2^2)</f>
        <v>5.4772255750516612</v>
      </c>
      <c r="B39" s="1">
        <f>SUM(B5:B34)</f>
        <v>230.29999999999998</v>
      </c>
      <c r="D39" s="3">
        <f>SUM(D5:D34)</f>
        <v>227.24720762301007</v>
      </c>
      <c r="G39" s="1">
        <f>SQRT($G36 * $B$2^2)</f>
        <v>5.6568542494923806</v>
      </c>
      <c r="H39" s="1">
        <f>SUM(H5:H36)</f>
        <v>231.40000000000003</v>
      </c>
      <c r="J39" s="3">
        <f>SUM(J5:J36)</f>
        <v>227.8957626757483</v>
      </c>
    </row>
    <row r="40" spans="1:10" x14ac:dyDescent="0.25">
      <c r="A40" s="2"/>
      <c r="B40" s="1"/>
    </row>
    <row r="41" spans="1:10" x14ac:dyDescent="0.25">
      <c r="A41" s="2"/>
      <c r="B41" s="1"/>
    </row>
    <row r="42" spans="1:10" x14ac:dyDescent="0.25">
      <c r="A42" s="2"/>
      <c r="B42" s="1"/>
    </row>
    <row r="43" spans="1:10" x14ac:dyDescent="0.25">
      <c r="A43" s="2"/>
      <c r="B43" s="1"/>
    </row>
    <row r="44" spans="1:10" x14ac:dyDescent="0.25">
      <c r="A44" s="2"/>
      <c r="B44" s="1"/>
    </row>
    <row r="45" spans="1:10" x14ac:dyDescent="0.25">
      <c r="A45" s="2"/>
      <c r="B45" s="1"/>
    </row>
  </sheetData>
  <mergeCells count="2">
    <mergeCell ref="A4:B4"/>
    <mergeCell ref="G4:H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Tracking 1</vt:lpstr>
      <vt:lpstr>Tracking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2024-10-02T14:51:04Z</dcterms:created>
  <dcterms:modified xsi:type="dcterms:W3CDTF">2024-10-10T14:37:08Z</dcterms:modified>
</cp:coreProperties>
</file>