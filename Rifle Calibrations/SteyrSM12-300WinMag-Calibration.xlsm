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3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4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5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6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7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8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9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0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1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12.xml" ContentType="application/vnd.openxmlformats-officedocument.themeOverrid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13.xml" ContentType="application/vnd.openxmlformats-officedocument.themeOverrid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14.xml" ContentType="application/vnd.openxmlformats-officedocument.themeOverrid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15.xml" ContentType="application/vnd.openxmlformats-officedocument.themeOverride+xml"/>
  <Override PartName="/xl/drawings/drawing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16.xml" ContentType="application/vnd.openxmlformats-officedocument.themeOverrid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17.xml" ContentType="application/vnd.openxmlformats-officedocument.themeOverrid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18.xml" ContentType="application/vnd.openxmlformats-officedocument.themeOverrid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19.xml" ContentType="application/vnd.openxmlformats-officedocument.themeOverrid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20.xml" ContentType="application/vnd.openxmlformats-officedocument.themeOverride+xml"/>
  <Override PartName="/xl/drawings/drawing5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21.xml" ContentType="application/vnd.openxmlformats-officedocument.themeOverrid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theme/themeOverride22.xml" ContentType="application/vnd.openxmlformats-officedocument.themeOverrid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theme/themeOverride23.xml" ContentType="application/vnd.openxmlformats-officedocument.themeOverrid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theme/themeOverride24.xml" ContentType="application/vnd.openxmlformats-officedocument.themeOverrid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theme/themeOverride25.xml" ContentType="application/vnd.openxmlformats-officedocument.themeOverride+xml"/>
  <Override PartName="/xl/drawings/drawing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theme/themeOverride26.xml" ContentType="application/vnd.openxmlformats-officedocument.themeOverrid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theme/themeOverride27.xml" ContentType="application/vnd.openxmlformats-officedocument.themeOverrid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theme/themeOverride28.xml" ContentType="application/vnd.openxmlformats-officedocument.themeOverrid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theme/themeOverride29.xml" ContentType="application/vnd.openxmlformats-officedocument.themeOverrid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theme/themeOverride30.xml" ContentType="application/vnd.openxmlformats-officedocument.themeOverride+xml"/>
  <Override PartName="/xl/drawings/drawing7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theme/themeOverride3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WOTH-Ballistics-Data\SteyrSM12-300WinMag\"/>
    </mc:Choice>
  </mc:AlternateContent>
  <xr:revisionPtr revIDLastSave="0" documentId="13_ncr:1_{4EE9805D-D534-44D1-8B59-BC0D11F2D75C}" xr6:coauthVersionLast="47" xr6:coauthVersionMax="47" xr10:uidLastSave="{00000000-0000-0000-0000-000000000000}"/>
  <bookViews>
    <workbookView xWindow="7590" yWindow="3210" windowWidth="39945" windowHeight="15885" activeTab="1" xr2:uid="{2F0FA23F-61CC-43E6-AF0F-86720E5DCFA1}"/>
  </bookViews>
  <sheets>
    <sheet name="Terminal Ascent PHP" sheetId="4" r:id="rId1"/>
    <sheet name="Terminal Ascent PHP (2)" sheetId="11" r:id="rId2"/>
    <sheet name="Power-Shok SP" sheetId="7" r:id="rId3"/>
    <sheet name="Power-Shok SP (2)" sheetId="12" r:id="rId4"/>
    <sheet name="Remington Core-Lokt Copper HP" sheetId="9" r:id="rId5"/>
    <sheet name="Remington Core-Lokt Copper  (2)" sheetId="13" r:id="rId6"/>
    <sheet name="Bullet Comparisons" sheetId="1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58" i="4" l="1"/>
  <c r="O257" i="4"/>
  <c r="O256" i="4"/>
  <c r="O259" i="4"/>
  <c r="O259" i="11"/>
  <c r="O258" i="11"/>
  <c r="O257" i="11"/>
  <c r="O256" i="11"/>
  <c r="L300" i="11"/>
  <c r="L299" i="11"/>
  <c r="L298" i="11"/>
  <c r="L297" i="11"/>
  <c r="L296" i="11"/>
  <c r="L295" i="11"/>
  <c r="L294" i="11"/>
  <c r="L293" i="11"/>
  <c r="L292" i="11"/>
  <c r="L291" i="11"/>
  <c r="L290" i="11"/>
  <c r="L289" i="11"/>
  <c r="L288" i="11"/>
  <c r="L287" i="11"/>
  <c r="L286" i="11"/>
  <c r="L285" i="11"/>
  <c r="L284" i="11"/>
  <c r="L283" i="11"/>
  <c r="L282" i="11"/>
  <c r="L281" i="11"/>
  <c r="L280" i="11"/>
  <c r="L279" i="11"/>
  <c r="L278" i="11"/>
  <c r="L277" i="11"/>
  <c r="L276" i="11"/>
  <c r="L275" i="11"/>
  <c r="L274" i="11"/>
  <c r="L273" i="11"/>
  <c r="L272" i="11"/>
  <c r="L271" i="11"/>
  <c r="L270" i="11"/>
  <c r="L269" i="11"/>
  <c r="L268" i="11"/>
  <c r="L267" i="11"/>
  <c r="L266" i="11"/>
  <c r="L265" i="11"/>
  <c r="L264" i="11"/>
  <c r="L263" i="11"/>
  <c r="L262" i="11"/>
  <c r="L261" i="11"/>
  <c r="L260" i="11"/>
  <c r="L259" i="11"/>
  <c r="L258" i="11"/>
  <c r="L257" i="11"/>
  <c r="R18" i="13"/>
  <c r="Q18" i="13"/>
  <c r="R18" i="9"/>
  <c r="Q18" i="9"/>
  <c r="R18" i="12"/>
  <c r="Q18" i="12"/>
  <c r="R18" i="7"/>
  <c r="Q18" i="7"/>
  <c r="R18" i="11"/>
  <c r="Q18" i="11"/>
  <c r="R18" i="4"/>
  <c r="Q18" i="4"/>
  <c r="I284" i="11" a="1"/>
  <c r="J285" i="11" a="1"/>
  <c r="J291" i="11" a="1"/>
  <c r="I295" i="11" a="1"/>
  <c r="I291" i="11" a="1"/>
  <c r="I286" i="11" a="1"/>
  <c r="I285" i="11" a="1"/>
  <c r="J290" i="11" a="1"/>
  <c r="I300" i="11" a="1"/>
  <c r="J298" i="11" a="1"/>
  <c r="J281" i="11" a="1"/>
  <c r="J300" i="11" a="1"/>
  <c r="I287" i="11" a="1"/>
  <c r="J287" i="11" a="1"/>
  <c r="J292" i="11" a="1"/>
  <c r="I293" i="11" a="1"/>
  <c r="I288" i="11" a="1"/>
  <c r="I298" i="11" a="1"/>
  <c r="J295" i="11" a="1"/>
  <c r="J299" i="11" a="1"/>
  <c r="J293" i="11" a="1"/>
  <c r="J288" i="11" a="1"/>
  <c r="I289" i="11" a="1"/>
  <c r="I292" i="11" a="1"/>
  <c r="J286" i="11" a="1"/>
  <c r="I290" i="11" a="1"/>
  <c r="I283" i="11" a="1"/>
  <c r="I294" i="11" a="1"/>
  <c r="I299" i="11" a="1"/>
  <c r="J283" i="11" a="1"/>
  <c r="J289" i="11" a="1"/>
  <c r="J294" i="11" a="1"/>
  <c r="J297" i="11" a="1"/>
  <c r="J296" i="11" a="1"/>
  <c r="I281" i="11" a="1"/>
  <c r="I297" i="11" a="1"/>
  <c r="J282" i="11" a="1"/>
  <c r="J284" i="11" a="1"/>
  <c r="I296" i="11" a="1"/>
  <c r="I282" i="11" a="1"/>
  <c r="J286" i="11" l="1"/>
  <c r="I289" i="11"/>
  <c r="J293" i="11"/>
  <c r="J299" i="11"/>
  <c r="I296" i="11"/>
  <c r="J296" i="11"/>
  <c r="J283" i="11"/>
  <c r="I299" i="11"/>
  <c r="M299" i="11" s="1"/>
  <c r="I283" i="11"/>
  <c r="I286" i="11"/>
  <c r="M286" i="11" s="1"/>
  <c r="I295" i="11"/>
  <c r="M295" i="11" s="1"/>
  <c r="J285" i="11"/>
  <c r="J288" i="11"/>
  <c r="J294" i="11"/>
  <c r="I297" i="11"/>
  <c r="J295" i="11"/>
  <c r="I300" i="11"/>
  <c r="J292" i="11"/>
  <c r="I285" i="11"/>
  <c r="I291" i="11"/>
  <c r="J291" i="11"/>
  <c r="I284" i="11"/>
  <c r="J284" i="11"/>
  <c r="I287" i="11"/>
  <c r="J300" i="11"/>
  <c r="J289" i="11"/>
  <c r="I298" i="11"/>
  <c r="J298" i="11"/>
  <c r="I288" i="11"/>
  <c r="I294" i="11"/>
  <c r="M294" i="11" s="1"/>
  <c r="J287" i="11"/>
  <c r="I290" i="11"/>
  <c r="M290" i="11" s="1"/>
  <c r="I292" i="11"/>
  <c r="I282" i="11"/>
  <c r="J282" i="11"/>
  <c r="I281" i="11"/>
  <c r="J281" i="11"/>
  <c r="J297" i="11"/>
  <c r="J290" i="11"/>
  <c r="I293" i="11"/>
  <c r="M300" i="11" l="1"/>
  <c r="M291" i="11"/>
  <c r="M296" i="11"/>
  <c r="M288" i="11"/>
  <c r="M287" i="11"/>
  <c r="M289" i="11"/>
  <c r="M284" i="11"/>
  <c r="M282" i="11"/>
  <c r="M293" i="11"/>
  <c r="M298" i="11"/>
  <c r="M283" i="11"/>
  <c r="M281" i="11"/>
  <c r="M297" i="11"/>
  <c r="M292" i="11"/>
  <c r="M285" i="11"/>
  <c r="K250" i="13" a="1"/>
  <c r="K250" i="13" s="1"/>
  <c r="J250" i="13" a="1"/>
  <c r="J250" i="13" s="1"/>
  <c r="I250" i="13" a="1"/>
  <c r="I250" i="13" s="1"/>
  <c r="K249" i="13" a="1"/>
  <c r="K249" i="13" s="1"/>
  <c r="J249" i="13" a="1"/>
  <c r="J249" i="13" s="1"/>
  <c r="I249" i="13" a="1"/>
  <c r="I249" i="13" s="1"/>
  <c r="K248" i="13" a="1"/>
  <c r="K248" i="13" s="1"/>
  <c r="J248" i="13" a="1"/>
  <c r="J248" i="13" s="1"/>
  <c r="I248" i="13" a="1"/>
  <c r="I248" i="13" s="1"/>
  <c r="K247" i="13" a="1"/>
  <c r="K247" i="13" s="1"/>
  <c r="J247" i="13" a="1"/>
  <c r="J247" i="13" s="1"/>
  <c r="I247" i="13" a="1"/>
  <c r="I247" i="13" s="1"/>
  <c r="C17" i="13"/>
  <c r="C16" i="13"/>
  <c r="B13" i="13"/>
  <c r="C9" i="13"/>
  <c r="H7" i="13"/>
  <c r="B7" i="13"/>
  <c r="C7" i="13" s="1"/>
  <c r="H6" i="13"/>
  <c r="G6" i="13"/>
  <c r="C6" i="13"/>
  <c r="H3" i="13"/>
  <c r="C3" i="13"/>
  <c r="H2" i="13"/>
  <c r="C2" i="13"/>
  <c r="J250" i="12" a="1"/>
  <c r="J250" i="12" s="1"/>
  <c r="I250" i="12" a="1"/>
  <c r="I250" i="12" s="1"/>
  <c r="J249" i="12" a="1"/>
  <c r="J249" i="12" s="1"/>
  <c r="I249" i="12" a="1"/>
  <c r="I249" i="12" s="1"/>
  <c r="J248" i="12" a="1"/>
  <c r="J248" i="12" s="1"/>
  <c r="I248" i="12" a="1"/>
  <c r="I248" i="12" s="1"/>
  <c r="J247" i="12" a="1"/>
  <c r="J247" i="12" s="1"/>
  <c r="I247" i="12" a="1"/>
  <c r="I247" i="12" s="1"/>
  <c r="O22" i="12"/>
  <c r="N22" i="12"/>
  <c r="M22" i="12"/>
  <c r="L22" i="12"/>
  <c r="K22" i="12"/>
  <c r="J22" i="12"/>
  <c r="C17" i="12"/>
  <c r="C19" i="12" s="1"/>
  <c r="C16" i="12"/>
  <c r="B13" i="12"/>
  <c r="P22" i="12" s="1"/>
  <c r="C9" i="12"/>
  <c r="H7" i="12"/>
  <c r="B7" i="12"/>
  <c r="C7" i="12" s="1"/>
  <c r="C6" i="12"/>
  <c r="H3" i="12"/>
  <c r="C3" i="12"/>
  <c r="H2" i="12"/>
  <c r="C2" i="12"/>
  <c r="H6" i="12" s="1"/>
  <c r="G6" i="12" s="1"/>
  <c r="J250" i="11" a="1"/>
  <c r="J250" i="11" s="1"/>
  <c r="I250" i="11" a="1"/>
  <c r="I250" i="11" s="1"/>
  <c r="J249" i="11" a="1"/>
  <c r="J249" i="11" s="1"/>
  <c r="I249" i="11" a="1"/>
  <c r="I249" i="11" s="1"/>
  <c r="J248" i="11" a="1"/>
  <c r="J248" i="11" s="1"/>
  <c r="I248" i="11" a="1"/>
  <c r="I248" i="11" s="1"/>
  <c r="J247" i="11" a="1"/>
  <c r="J247" i="11" s="1"/>
  <c r="I247" i="11" a="1"/>
  <c r="I247" i="11" s="1"/>
  <c r="P22" i="11"/>
  <c r="O22" i="11"/>
  <c r="N22" i="11"/>
  <c r="M22" i="11"/>
  <c r="L22" i="11"/>
  <c r="K22" i="11"/>
  <c r="J22" i="11"/>
  <c r="C19" i="11"/>
  <c r="C17" i="11"/>
  <c r="C16" i="11"/>
  <c r="B13" i="11"/>
  <c r="D13" i="11" s="1"/>
  <c r="C9" i="11"/>
  <c r="H7" i="11"/>
  <c r="B7" i="11"/>
  <c r="C7" i="11" s="1"/>
  <c r="C6" i="11"/>
  <c r="H3" i="11"/>
  <c r="C3" i="11"/>
  <c r="H2" i="11"/>
  <c r="C2" i="11"/>
  <c r="K250" i="4" a="1"/>
  <c r="K250" i="4" s="1"/>
  <c r="K249" i="4" a="1"/>
  <c r="K249" i="4" s="1"/>
  <c r="K248" i="4" a="1"/>
  <c r="K248" i="4" s="1"/>
  <c r="K247" i="4" a="1"/>
  <c r="K247" i="4" s="1"/>
  <c r="K250" i="9" a="1"/>
  <c r="K250" i="9"/>
  <c r="K249" i="9" a="1"/>
  <c r="K249" i="9" s="1"/>
  <c r="K248" i="9" a="1"/>
  <c r="K248" i="9" s="1"/>
  <c r="K247" i="9" a="1"/>
  <c r="K247" i="9" s="1"/>
  <c r="H7" i="9"/>
  <c r="H6" i="9" s="1"/>
  <c r="G6" i="9" s="1"/>
  <c r="H3" i="9"/>
  <c r="H2" i="9"/>
  <c r="H7" i="7"/>
  <c r="H6" i="7" s="1"/>
  <c r="G6" i="7" s="1"/>
  <c r="H3" i="7"/>
  <c r="H2" i="7"/>
  <c r="H7" i="4"/>
  <c r="H6" i="4" s="1"/>
  <c r="G6" i="4" s="1"/>
  <c r="H3" i="4"/>
  <c r="H2" i="4"/>
  <c r="N34" i="13" a="1"/>
  <c r="K29" i="13" a="1"/>
  <c r="K262" i="13" a="1"/>
  <c r="L32" i="13" a="1"/>
  <c r="K260" i="13" a="1"/>
  <c r="L35" i="12" a="1"/>
  <c r="J257" i="12" a="1"/>
  <c r="N35" i="12" a="1"/>
  <c r="I270" i="12" a="1"/>
  <c r="K34" i="11" a="1"/>
  <c r="I264" i="11" a="1"/>
  <c r="I275" i="11" a="1"/>
  <c r="K35" i="11" a="1"/>
  <c r="I283" i="4" a="1"/>
  <c r="M31" i="11" a="1"/>
  <c r="K295" i="4" a="1"/>
  <c r="K257" i="4" a="1"/>
  <c r="N28" i="13" a="1"/>
  <c r="O23" i="13" a="1"/>
  <c r="I265" i="13" a="1"/>
  <c r="P25" i="13" a="1"/>
  <c r="O24" i="12" a="1"/>
  <c r="P33" i="12" a="1"/>
  <c r="K277" i="9" a="1"/>
  <c r="K30" i="13" a="1"/>
  <c r="J30" i="11" a="1"/>
  <c r="I282" i="4" a="1"/>
  <c r="K271" i="13" a="1"/>
  <c r="I268" i="11" a="1"/>
  <c r="J28" i="12" a="1"/>
  <c r="K276" i="4" a="1"/>
  <c r="P27" i="11" a="1"/>
  <c r="M35" i="12" a="1"/>
  <c r="M33" i="11" a="1"/>
  <c r="N32" i="13" a="1"/>
  <c r="K26" i="13" a="1"/>
  <c r="K269" i="13" a="1"/>
  <c r="J28" i="13" a="1"/>
  <c r="J260" i="13" a="1"/>
  <c r="L33" i="12" a="1"/>
  <c r="P27" i="12" a="1"/>
  <c r="K24" i="12" a="1"/>
  <c r="K28" i="12" a="1"/>
  <c r="K32" i="11" a="1"/>
  <c r="J261" i="11" a="1"/>
  <c r="N35" i="11" a="1"/>
  <c r="I265" i="11" a="1"/>
  <c r="I297" i="4" a="1"/>
  <c r="O28" i="11" a="1"/>
  <c r="M24" i="13" a="1"/>
  <c r="L31" i="12" a="1"/>
  <c r="J279" i="12" a="1"/>
  <c r="K30" i="11" a="1"/>
  <c r="K273" i="9" a="1"/>
  <c r="J35" i="11" a="1"/>
  <c r="I296" i="4" a="1"/>
  <c r="O32" i="11" a="1"/>
  <c r="K267" i="4" a="1"/>
  <c r="J23" i="13" a="1"/>
  <c r="L33" i="11" a="1"/>
  <c r="O29" i="13" a="1"/>
  <c r="I261" i="11" a="1"/>
  <c r="O27" i="11" a="1"/>
  <c r="L31" i="13" a="1"/>
  <c r="P23" i="12" a="1"/>
  <c r="N25" i="11" a="1"/>
  <c r="I259" i="12" a="1"/>
  <c r="L25" i="11" a="1"/>
  <c r="J270" i="13" a="1"/>
  <c r="I278" i="12" a="1"/>
  <c r="K264" i="9" a="1"/>
  <c r="P26" i="11" a="1"/>
  <c r="L34" i="11" a="1"/>
  <c r="K272" i="4" a="1"/>
  <c r="J26" i="13" a="1"/>
  <c r="N34" i="12" a="1"/>
  <c r="L24" i="11" a="1"/>
  <c r="I257" i="13" a="1"/>
  <c r="J263" i="12" a="1"/>
  <c r="I277" i="12" a="1"/>
  <c r="K277" i="13" a="1"/>
  <c r="J26" i="11" a="1"/>
  <c r="L30" i="11" a="1"/>
  <c r="K296" i="4" a="1"/>
  <c r="K289" i="4" a="1"/>
  <c r="J268" i="11" a="1"/>
  <c r="I284" i="4" a="1"/>
  <c r="I274" i="12" a="1"/>
  <c r="K275" i="4" a="1"/>
  <c r="L24" i="13" a="1"/>
  <c r="N30" i="11" a="1"/>
  <c r="M31" i="12" a="1"/>
  <c r="K26" i="12" a="1"/>
  <c r="J29" i="11" a="1"/>
  <c r="P28" i="11" a="1"/>
  <c r="K274" i="9" a="1"/>
  <c r="J24" i="12" a="1"/>
  <c r="O33" i="12" a="1"/>
  <c r="J27" i="11" a="1"/>
  <c r="K266" i="4" a="1"/>
  <c r="N26" i="13" a="1"/>
  <c r="K268" i="13" a="1"/>
  <c r="P35" i="13" a="1"/>
  <c r="J265" i="13" a="1"/>
  <c r="M35" i="13" a="1"/>
  <c r="L29" i="12" a="1"/>
  <c r="P32" i="12" a="1"/>
  <c r="N26" i="12" a="1"/>
  <c r="I263" i="12" a="1"/>
  <c r="K28" i="11" a="1"/>
  <c r="I274" i="11" a="1"/>
  <c r="K272" i="9" a="1"/>
  <c r="J25" i="11" a="1"/>
  <c r="I288" i="4" a="1"/>
  <c r="O24" i="11" a="1"/>
  <c r="K274" i="4" a="1"/>
  <c r="I260" i="13" a="1"/>
  <c r="N23" i="13" a="1"/>
  <c r="P35" i="12" a="1"/>
  <c r="N29" i="11" a="1"/>
  <c r="O23" i="11" a="1"/>
  <c r="J258" i="13" a="1"/>
  <c r="O32" i="12" a="1"/>
  <c r="I267" i="12" a="1"/>
  <c r="J257" i="11" a="1"/>
  <c r="O34" i="11" a="1"/>
  <c r="J278" i="13" a="1"/>
  <c r="N27" i="12" a="1"/>
  <c r="K260" i="9" a="1"/>
  <c r="O31" i="11" a="1"/>
  <c r="N27" i="13" a="1"/>
  <c r="J267" i="11" a="1"/>
  <c r="J34" i="11" a="1"/>
  <c r="I290" i="4" a="1"/>
  <c r="L27" i="11" a="1"/>
  <c r="L32" i="12" a="1"/>
  <c r="I271" i="11" a="1"/>
  <c r="K264" i="4" a="1"/>
  <c r="K287" i="4" a="1"/>
  <c r="O33" i="11" a="1"/>
  <c r="I259" i="13" a="1"/>
  <c r="P26" i="12" a="1"/>
  <c r="I287" i="4" a="1"/>
  <c r="K262" i="9" a="1"/>
  <c r="N31" i="13" a="1"/>
  <c r="K280" i="13" a="1"/>
  <c r="L26" i="12" a="1"/>
  <c r="I279" i="11" a="1"/>
  <c r="K270" i="4" a="1"/>
  <c r="J276" i="13" a="1"/>
  <c r="J33" i="12" a="1"/>
  <c r="J280" i="13" a="1"/>
  <c r="K273" i="13" a="1"/>
  <c r="K278" i="13" a="1"/>
  <c r="J268" i="13" a="1"/>
  <c r="L35" i="13" a="1"/>
  <c r="L27" i="12" a="1"/>
  <c r="O27" i="12" a="1"/>
  <c r="O34" i="12" a="1"/>
  <c r="O31" i="12" a="1"/>
  <c r="K26" i="11" a="1"/>
  <c r="J271" i="11" a="1"/>
  <c r="N26" i="11" a="1"/>
  <c r="I263" i="11" a="1"/>
  <c r="I291" i="4" a="1"/>
  <c r="O35" i="11" a="1"/>
  <c r="K271" i="4" a="1"/>
  <c r="M31" i="13" a="1"/>
  <c r="L23" i="12" a="1"/>
  <c r="P30" i="12" a="1"/>
  <c r="I267" i="11" a="1"/>
  <c r="J31" i="11" a="1"/>
  <c r="I289" i="4" a="1"/>
  <c r="O34" i="13" a="1"/>
  <c r="J266" i="12" a="1"/>
  <c r="J264" i="11" a="1"/>
  <c r="K270" i="9" a="1"/>
  <c r="L31" i="11" a="1"/>
  <c r="K288" i="4" a="1"/>
  <c r="O32" i="13" a="1"/>
  <c r="K32" i="13" a="1"/>
  <c r="K31" i="13" a="1"/>
  <c r="K33" i="12" a="1"/>
  <c r="O30" i="12" a="1"/>
  <c r="I270" i="11" a="1"/>
  <c r="J276" i="11" a="1"/>
  <c r="I298" i="4" a="1"/>
  <c r="O30" i="13" a="1"/>
  <c r="K258" i="13" a="1"/>
  <c r="M33" i="13" a="1"/>
  <c r="K31" i="12" a="1"/>
  <c r="M24" i="12" a="1"/>
  <c r="N25" i="12" a="1"/>
  <c r="J275" i="11" a="1"/>
  <c r="K24" i="13" a="1"/>
  <c r="L23" i="13" a="1"/>
  <c r="K29" i="12" a="1"/>
  <c r="I266" i="12" a="1"/>
  <c r="J273" i="11" a="1"/>
  <c r="O26" i="13" a="1"/>
  <c r="J271" i="13" a="1"/>
  <c r="J261" i="13" a="1"/>
  <c r="M30" i="13" a="1"/>
  <c r="K27" i="12" a="1"/>
  <c r="N33" i="11" a="1"/>
  <c r="M23" i="13" a="1"/>
  <c r="J272" i="13" a="1"/>
  <c r="J269" i="13" a="1"/>
  <c r="I268" i="13" a="1"/>
  <c r="P27" i="13" a="1"/>
  <c r="J34" i="13" a="1"/>
  <c r="L25" i="12" a="1"/>
  <c r="N24" i="12" a="1"/>
  <c r="N29" i="12" a="1"/>
  <c r="J273" i="12" a="1"/>
  <c r="K24" i="11" a="1"/>
  <c r="J280" i="11" a="1"/>
  <c r="K269" i="9" a="1"/>
  <c r="K31" i="11" a="1"/>
  <c r="I285" i="4" a="1"/>
  <c r="O25" i="11" a="1"/>
  <c r="K279" i="4" a="1"/>
  <c r="J264" i="13" a="1"/>
  <c r="P33" i="13" a="1"/>
  <c r="M26" i="12" a="1"/>
  <c r="K261" i="4" a="1"/>
  <c r="O35" i="13" a="1"/>
  <c r="O33" i="13" a="1"/>
  <c r="K35" i="12" a="1"/>
  <c r="P32" i="11" a="1"/>
  <c r="J258" i="12" a="1"/>
  <c r="I277" i="11" a="1"/>
  <c r="K273" i="4" a="1"/>
  <c r="J32" i="12" a="1"/>
  <c r="J258" i="11" a="1"/>
  <c r="L32" i="11" a="1"/>
  <c r="K260" i="4" a="1"/>
  <c r="O28" i="13" a="1"/>
  <c r="J31" i="13" a="1"/>
  <c r="O35" i="12" a="1"/>
  <c r="B12" i="11" a="1"/>
  <c r="K292" i="4" a="1"/>
  <c r="O27" i="13" a="1"/>
  <c r="P24" i="12" a="1"/>
  <c r="J33" i="11" a="1"/>
  <c r="L23" i="11" a="1"/>
  <c r="I262" i="13" a="1"/>
  <c r="K25" i="12" a="1"/>
  <c r="P34" i="12" a="1"/>
  <c r="O23" i="12" a="1"/>
  <c r="P24" i="11" a="1"/>
  <c r="J262" i="11" a="1"/>
  <c r="L28" i="11" a="1"/>
  <c r="O30" i="11" a="1"/>
  <c r="J275" i="13" a="1"/>
  <c r="J273" i="13" a="1"/>
  <c r="K274" i="13" a="1"/>
  <c r="I274" i="13" a="1"/>
  <c r="K23" i="12" a="1"/>
  <c r="O29" i="12" a="1"/>
  <c r="J265" i="12" a="1"/>
  <c r="K268" i="9" a="1"/>
  <c r="I262" i="11" a="1"/>
  <c r="K272" i="13" a="1"/>
  <c r="O28" i="12" a="1"/>
  <c r="K279" i="9" a="1"/>
  <c r="K276" i="9" a="1"/>
  <c r="N24" i="11" a="1"/>
  <c r="N24" i="13" a="1"/>
  <c r="I286" i="4" a="1"/>
  <c r="P31" i="11" a="1"/>
  <c r="J269" i="11" a="1"/>
  <c r="I276" i="11" a="1"/>
  <c r="P29" i="13" a="1"/>
  <c r="M33" i="12" a="1"/>
  <c r="K271" i="9" a="1"/>
  <c r="O29" i="11" a="1"/>
  <c r="N32" i="12" a="1"/>
  <c r="K261" i="13" a="1"/>
  <c r="N25" i="13" a="1"/>
  <c r="K29" i="11" a="1"/>
  <c r="N27" i="11" a="1"/>
  <c r="J26" i="12" a="1"/>
  <c r="K35" i="13" a="1"/>
  <c r="N35" i="13" a="1"/>
  <c r="J277" i="11" a="1"/>
  <c r="J35" i="13" a="1"/>
  <c r="L29" i="11" a="1"/>
  <c r="J275" i="12" a="1"/>
  <c r="M28" i="11" a="1"/>
  <c r="I260" i="12" a="1"/>
  <c r="K281" i="4" a="1"/>
  <c r="J267" i="13" a="1"/>
  <c r="J31" i="12" a="1"/>
  <c r="I272" i="13" a="1"/>
  <c r="K275" i="9" a="1"/>
  <c r="I292" i="4" a="1"/>
  <c r="K280" i="4" a="1"/>
  <c r="K291" i="4" a="1"/>
  <c r="P33" i="11" a="1"/>
  <c r="I266" i="11" a="1"/>
  <c r="M35" i="11" a="1"/>
  <c r="K290" i="4" a="1"/>
  <c r="J24" i="13" a="1"/>
  <c r="J271" i="12" a="1"/>
  <c r="K294" i="4" a="1"/>
  <c r="K264" i="13" a="1"/>
  <c r="J259" i="13" a="1"/>
  <c r="N29" i="13" a="1"/>
  <c r="I278" i="13" a="1"/>
  <c r="L30" i="13" a="1"/>
  <c r="O25" i="13" a="1"/>
  <c r="J269" i="12" a="1"/>
  <c r="B12" i="12" a="1"/>
  <c r="I261" i="12" a="1"/>
  <c r="K34" i="12" a="1"/>
  <c r="J24" i="11" a="1"/>
  <c r="K297" i="4" a="1"/>
  <c r="I261" i="13" a="1"/>
  <c r="J277" i="13" a="1"/>
  <c r="M32" i="12" a="1"/>
  <c r="J274" i="13" a="1"/>
  <c r="P29" i="12" a="1"/>
  <c r="I258" i="12" a="1"/>
  <c r="K267" i="9" a="1"/>
  <c r="L35" i="11" a="1"/>
  <c r="O26" i="12" a="1"/>
  <c r="P32" i="13" a="1"/>
  <c r="L29" i="13" a="1"/>
  <c r="K23" i="13" a="1"/>
  <c r="J23" i="12" a="1"/>
  <c r="N32" i="11" a="1"/>
  <c r="K262" i="4" a="1"/>
  <c r="K30" i="12" a="1"/>
  <c r="L33" i="13" a="1"/>
  <c r="I263" i="13" a="1"/>
  <c r="J25" i="12" a="1"/>
  <c r="M25" i="11" a="1"/>
  <c r="K293" i="4" a="1"/>
  <c r="I277" i="13" a="1"/>
  <c r="P35" i="11" a="1"/>
  <c r="J27" i="12" a="1"/>
  <c r="L25" i="13" a="1"/>
  <c r="I275" i="13" a="1"/>
  <c r="I269" i="13" a="1"/>
  <c r="J262" i="13" a="1"/>
  <c r="L34" i="13" a="1"/>
  <c r="K33" i="13" a="1"/>
  <c r="I267" i="13" a="1"/>
  <c r="M23" i="12" a="1"/>
  <c r="J29" i="12" a="1"/>
  <c r="I268" i="12" a="1"/>
  <c r="K33" i="11" a="1"/>
  <c r="L26" i="11" a="1"/>
  <c r="K265" i="4" a="1"/>
  <c r="P31" i="12" a="1"/>
  <c r="K27" i="13" a="1"/>
  <c r="I279" i="12" a="1"/>
  <c r="I278" i="11" a="1"/>
  <c r="M32" i="13" a="1"/>
  <c r="P34" i="13" a="1"/>
  <c r="I258" i="13" a="1"/>
  <c r="P31" i="13" a="1"/>
  <c r="M28" i="13" a="1"/>
  <c r="I270" i="13" a="1"/>
  <c r="I280" i="12" a="1"/>
  <c r="P34" i="11" a="1"/>
  <c r="I281" i="4" a="1"/>
  <c r="P30" i="13" a="1"/>
  <c r="B12" i="13" a="1"/>
  <c r="L26" i="13" a="1"/>
  <c r="J279" i="13" a="1"/>
  <c r="N33" i="13" a="1"/>
  <c r="I264" i="12" a="1"/>
  <c r="J276" i="12" a="1"/>
  <c r="J261" i="12" a="1"/>
  <c r="N31" i="12" a="1"/>
  <c r="M30" i="12" a="1"/>
  <c r="P25" i="11" a="1"/>
  <c r="K265" i="9" a="1"/>
  <c r="I269" i="11" a="1"/>
  <c r="J23" i="11" a="1"/>
  <c r="M34" i="11" a="1"/>
  <c r="K269" i="4" a="1"/>
  <c r="K258" i="4" a="1"/>
  <c r="P26" i="13" a="1"/>
  <c r="J27" i="13" a="1"/>
  <c r="J33" i="13" a="1"/>
  <c r="J30" i="13" a="1"/>
  <c r="I273" i="12" a="1"/>
  <c r="J278" i="12" a="1"/>
  <c r="L30" i="12" a="1"/>
  <c r="J267" i="12" a="1"/>
  <c r="N23" i="12" a="1"/>
  <c r="K258" i="9" a="1"/>
  <c r="J260" i="11" a="1"/>
  <c r="J265" i="11" a="1"/>
  <c r="K283" i="4" a="1"/>
  <c r="K298" i="4" a="1"/>
  <c r="I271" i="13" a="1"/>
  <c r="I271" i="12" a="1"/>
  <c r="I272" i="12" a="1"/>
  <c r="O25" i="12" a="1"/>
  <c r="L34" i="12" a="1"/>
  <c r="J279" i="11" a="1"/>
  <c r="K25" i="11" a="1"/>
  <c r="K300" i="4" a="1"/>
  <c r="I280" i="13" a="1"/>
  <c r="K276" i="13" a="1"/>
  <c r="I257" i="12" a="1"/>
  <c r="N33" i="12" a="1"/>
  <c r="I260" i="11" a="1"/>
  <c r="K280" i="9" a="1"/>
  <c r="P28" i="13" a="1"/>
  <c r="J32" i="13" a="1"/>
  <c r="P23" i="13" a="1"/>
  <c r="I276" i="13" a="1"/>
  <c r="J266" i="13" a="1"/>
  <c r="J280" i="12" a="1"/>
  <c r="I269" i="12" a="1"/>
  <c r="I276" i="12" a="1"/>
  <c r="P25" i="12" a="1"/>
  <c r="M34" i="12" a="1"/>
  <c r="K278" i="9" a="1"/>
  <c r="I259" i="11" a="1"/>
  <c r="J278" i="11" a="1"/>
  <c r="I258" i="11" a="1"/>
  <c r="M23" i="11" a="1"/>
  <c r="K277" i="4" a="1"/>
  <c r="K259" i="4" a="1"/>
  <c r="K266" i="13" a="1"/>
  <c r="J272" i="11" a="1"/>
  <c r="M26" i="11" a="1"/>
  <c r="P24" i="13" a="1"/>
  <c r="J257" i="13" a="1"/>
  <c r="L28" i="13" a="1"/>
  <c r="K263" i="13" a="1"/>
  <c r="J264" i="12" a="1"/>
  <c r="I280" i="11" a="1"/>
  <c r="N28" i="11" a="1"/>
  <c r="M32" i="11" a="1"/>
  <c r="K282" i="4" a="1"/>
  <c r="M34" i="13" a="1"/>
  <c r="K25" i="13" a="1"/>
  <c r="J263" i="13" a="1"/>
  <c r="J262" i="12" a="1"/>
  <c r="J277" i="12" a="1"/>
  <c r="N30" i="12" a="1"/>
  <c r="J34" i="12" a="1"/>
  <c r="P29" i="11" a="1"/>
  <c r="K23" i="11" a="1"/>
  <c r="N34" i="11" a="1"/>
  <c r="N31" i="11" a="1"/>
  <c r="I300" i="4" a="1"/>
  <c r="M27" i="11" a="1"/>
  <c r="K299" i="4" a="1"/>
  <c r="M29" i="13" a="1"/>
  <c r="I279" i="13" a="1"/>
  <c r="I266" i="13" a="1"/>
  <c r="K275" i="13" a="1"/>
  <c r="P30" i="11" a="1"/>
  <c r="K261" i="9" a="1"/>
  <c r="K267" i="13" a="1"/>
  <c r="K257" i="13" a="1"/>
  <c r="J29" i="13" a="1"/>
  <c r="K28" i="13" a="1"/>
  <c r="M27" i="13" a="1"/>
  <c r="M29" i="12" a="1"/>
  <c r="J260" i="12" a="1"/>
  <c r="J259" i="12" a="1"/>
  <c r="I265" i="12" a="1"/>
  <c r="J268" i="12" a="1"/>
  <c r="J274" i="11" a="1"/>
  <c r="I264" i="13" a="1"/>
  <c r="K34" i="13" a="1"/>
  <c r="M25" i="13" a="1"/>
  <c r="J25" i="13" a="1"/>
  <c r="L27" i="13" a="1"/>
  <c r="M27" i="12" a="1"/>
  <c r="I275" i="12" a="1"/>
  <c r="J30" i="12" a="1"/>
  <c r="N28" i="12" a="1"/>
  <c r="I273" i="11" a="1"/>
  <c r="I257" i="11" a="1"/>
  <c r="J266" i="11" a="1"/>
  <c r="J263" i="11" a="1"/>
  <c r="I294" i="4" a="1"/>
  <c r="M24" i="11" a="1"/>
  <c r="K263" i="4" a="1"/>
  <c r="K259" i="13" a="1"/>
  <c r="O31" i="13" a="1"/>
  <c r="K279" i="13" a="1"/>
  <c r="K265" i="13" a="1"/>
  <c r="K270" i="13" a="1"/>
  <c r="M25" i="12" a="1"/>
  <c r="J272" i="12" a="1"/>
  <c r="J274" i="12" a="1"/>
  <c r="J270" i="12" a="1"/>
  <c r="J270" i="11" a="1"/>
  <c r="K266" i="9" a="1"/>
  <c r="K27" i="11" a="1"/>
  <c r="K257" i="9" a="1"/>
  <c r="M30" i="11" a="1"/>
  <c r="K286" i="4" a="1"/>
  <c r="J32" i="11" a="1"/>
  <c r="O26" i="11" a="1"/>
  <c r="O24" i="13" a="1"/>
  <c r="L24" i="12" a="1"/>
  <c r="J259" i="11" a="1"/>
  <c r="J28" i="11" a="1"/>
  <c r="N23" i="11" a="1"/>
  <c r="K285" i="4" a="1"/>
  <c r="K32" i="12" a="1"/>
  <c r="N30" i="13" a="1"/>
  <c r="I262" i="12" a="1"/>
  <c r="K278" i="4" a="1"/>
  <c r="I273" i="13" a="1"/>
  <c r="I295" i="4" a="1"/>
  <c r="M29" i="11" a="1"/>
  <c r="L28" i="12" a="1"/>
  <c r="M26" i="13" a="1"/>
  <c r="I293" i="4" a="1"/>
  <c r="K259" i="9" a="1"/>
  <c r="M28" i="12" a="1"/>
  <c r="I272" i="11" a="1"/>
  <c r="J35" i="12" a="1"/>
  <c r="P28" i="12" a="1"/>
  <c r="P23" i="11" a="1"/>
  <c r="K268" i="4" a="1"/>
  <c r="I299" i="4" a="1"/>
  <c r="K284" i="4" a="1"/>
  <c r="K263" i="9" a="1"/>
  <c r="I281" i="4" l="1"/>
  <c r="H6" i="11"/>
  <c r="G6" i="11" s="1"/>
  <c r="K281" i="4"/>
  <c r="K290" i="4"/>
  <c r="I296" i="4"/>
  <c r="I283" i="4"/>
  <c r="K293" i="4"/>
  <c r="I299" i="4"/>
  <c r="K299" i="4"/>
  <c r="K289" i="4"/>
  <c r="I295" i="4"/>
  <c r="I286" i="4"/>
  <c r="I292" i="4"/>
  <c r="K286" i="4"/>
  <c r="I282" i="4"/>
  <c r="K292" i="4"/>
  <c r="I298" i="4"/>
  <c r="K283" i="4"/>
  <c r="K285" i="4"/>
  <c r="I291" i="4"/>
  <c r="K288" i="4"/>
  <c r="I294" i="4"/>
  <c r="I300" i="4"/>
  <c r="K296" i="4"/>
  <c r="K282" i="4"/>
  <c r="K291" i="4"/>
  <c r="K294" i="4"/>
  <c r="K295" i="4"/>
  <c r="I284" i="4"/>
  <c r="I287" i="4"/>
  <c r="K297" i="4"/>
  <c r="K284" i="4"/>
  <c r="I290" i="4"/>
  <c r="K300" i="4"/>
  <c r="I289" i="4"/>
  <c r="I285" i="4"/>
  <c r="I288" i="4"/>
  <c r="K298" i="4"/>
  <c r="I297" i="4"/>
  <c r="K287" i="4"/>
  <c r="I293" i="4"/>
  <c r="I257" i="13"/>
  <c r="N25" i="13"/>
  <c r="O25" i="13"/>
  <c r="I259" i="13"/>
  <c r="I274" i="13"/>
  <c r="K30" i="13"/>
  <c r="M30" i="13"/>
  <c r="J31" i="13"/>
  <c r="M33" i="13"/>
  <c r="J23" i="13"/>
  <c r="O33" i="13"/>
  <c r="P33" i="13"/>
  <c r="J34" i="13"/>
  <c r="L35" i="13"/>
  <c r="M35" i="13"/>
  <c r="P25" i="13"/>
  <c r="J260" i="13"/>
  <c r="K260" i="13"/>
  <c r="K270" i="13"/>
  <c r="L27" i="13"/>
  <c r="M27" i="13"/>
  <c r="I263" i="13"/>
  <c r="P29" i="13"/>
  <c r="J263" i="13"/>
  <c r="K263" i="13"/>
  <c r="J30" i="13"/>
  <c r="J266" i="13"/>
  <c r="N33" i="13"/>
  <c r="K23" i="13"/>
  <c r="I270" i="13"/>
  <c r="I267" i="13"/>
  <c r="J274" i="13"/>
  <c r="J277" i="13"/>
  <c r="J26" i="13"/>
  <c r="L30" i="13"/>
  <c r="J270" i="13"/>
  <c r="K274" i="13"/>
  <c r="K277" i="13"/>
  <c r="J261" i="13"/>
  <c r="L23" i="13"/>
  <c r="N27" i="13"/>
  <c r="K31" i="13"/>
  <c r="J258" i="13"/>
  <c r="N23" i="13"/>
  <c r="P27" i="13"/>
  <c r="J268" i="13"/>
  <c r="J265" i="13"/>
  <c r="M24" i="13"/>
  <c r="J28" i="13"/>
  <c r="L32" i="13"/>
  <c r="K265" i="13"/>
  <c r="J25" i="13"/>
  <c r="K28" i="13"/>
  <c r="M32" i="13"/>
  <c r="I279" i="13"/>
  <c r="K25" i="13"/>
  <c r="L28" i="13"/>
  <c r="J33" i="13"/>
  <c r="I276" i="13"/>
  <c r="J279" i="13"/>
  <c r="L25" i="13"/>
  <c r="M28" i="13"/>
  <c r="K33" i="13"/>
  <c r="J276" i="13"/>
  <c r="L24" i="13"/>
  <c r="N31" i="13"/>
  <c r="I278" i="13"/>
  <c r="N35" i="13"/>
  <c r="K261" i="13"/>
  <c r="M23" i="13"/>
  <c r="O27" i="13"/>
  <c r="L31" i="13"/>
  <c r="K258" i="13"/>
  <c r="J278" i="13"/>
  <c r="O35" i="13"/>
  <c r="M31" i="13"/>
  <c r="I268" i="13"/>
  <c r="K278" i="13"/>
  <c r="P35" i="13"/>
  <c r="I265" i="13"/>
  <c r="K269" i="13"/>
  <c r="K262" i="13"/>
  <c r="K279" i="13"/>
  <c r="M25" i="13"/>
  <c r="J29" i="13"/>
  <c r="L33" i="13"/>
  <c r="I266" i="13"/>
  <c r="K276" i="13"/>
  <c r="J257" i="13"/>
  <c r="K266" i="13"/>
  <c r="P23" i="13"/>
  <c r="L26" i="13"/>
  <c r="L29" i="13"/>
  <c r="P31" i="13"/>
  <c r="L34" i="13"/>
  <c r="I275" i="13"/>
  <c r="I273" i="13"/>
  <c r="J24" i="13"/>
  <c r="N29" i="13"/>
  <c r="J35" i="13"/>
  <c r="J273" i="13"/>
  <c r="I262" i="13"/>
  <c r="J271" i="13"/>
  <c r="K24" i="13"/>
  <c r="O29" i="13"/>
  <c r="K32" i="13"/>
  <c r="K35" i="13"/>
  <c r="I260" i="13"/>
  <c r="J269" i="13"/>
  <c r="K273" i="13"/>
  <c r="K268" i="13"/>
  <c r="O23" i="13"/>
  <c r="K26" i="13"/>
  <c r="K29" i="13"/>
  <c r="O31" i="13"/>
  <c r="K34" i="13"/>
  <c r="K257" i="13"/>
  <c r="M26" i="13"/>
  <c r="M29" i="13"/>
  <c r="M34" i="13"/>
  <c r="I271" i="13"/>
  <c r="J27" i="13"/>
  <c r="J32" i="13"/>
  <c r="B12" i="13"/>
  <c r="K27" i="13"/>
  <c r="I258" i="13"/>
  <c r="J262" i="13"/>
  <c r="K271" i="13"/>
  <c r="N24" i="13"/>
  <c r="N30" i="13"/>
  <c r="J259" i="13"/>
  <c r="J267" i="13"/>
  <c r="J275" i="13"/>
  <c r="O24" i="13"/>
  <c r="O26" i="13"/>
  <c r="O28" i="13"/>
  <c r="O30" i="13"/>
  <c r="O32" i="13"/>
  <c r="O34" i="13"/>
  <c r="J264" i="13"/>
  <c r="J272" i="13"/>
  <c r="J280" i="13"/>
  <c r="N26" i="13"/>
  <c r="N28" i="13"/>
  <c r="N32" i="13"/>
  <c r="N34" i="13"/>
  <c r="K259" i="13"/>
  <c r="I264" i="13"/>
  <c r="K267" i="13"/>
  <c r="I272" i="13"/>
  <c r="K275" i="13"/>
  <c r="I280" i="13"/>
  <c r="P24" i="13"/>
  <c r="P26" i="13"/>
  <c r="P28" i="13"/>
  <c r="P30" i="13"/>
  <c r="P32" i="13"/>
  <c r="P34" i="13"/>
  <c r="I269" i="13"/>
  <c r="I277" i="13"/>
  <c r="K280" i="13"/>
  <c r="I261" i="13"/>
  <c r="K264" i="13"/>
  <c r="K272" i="13"/>
  <c r="P22" i="13"/>
  <c r="O22" i="13"/>
  <c r="N22" i="13"/>
  <c r="M22" i="13"/>
  <c r="L22" i="13"/>
  <c r="K22" i="13"/>
  <c r="J22" i="13"/>
  <c r="D13" i="13"/>
  <c r="C19" i="13"/>
  <c r="J268" i="12"/>
  <c r="N33" i="12"/>
  <c r="L28" i="12"/>
  <c r="J34" i="12"/>
  <c r="L34" i="12"/>
  <c r="N23" i="12"/>
  <c r="M34" i="12"/>
  <c r="M30" i="12"/>
  <c r="O33" i="12"/>
  <c r="J275" i="12"/>
  <c r="J28" i="12"/>
  <c r="I258" i="12"/>
  <c r="J263" i="12"/>
  <c r="M28" i="12"/>
  <c r="K34" i="12"/>
  <c r="O28" i="12"/>
  <c r="J265" i="12"/>
  <c r="O23" i="12"/>
  <c r="P24" i="12"/>
  <c r="I266" i="12"/>
  <c r="N25" i="12"/>
  <c r="O30" i="12"/>
  <c r="I267" i="12"/>
  <c r="P30" i="12"/>
  <c r="J273" i="12"/>
  <c r="O31" i="12"/>
  <c r="I263" i="12"/>
  <c r="P33" i="12"/>
  <c r="K28" i="12"/>
  <c r="I270" i="12"/>
  <c r="J270" i="12"/>
  <c r="N28" i="12"/>
  <c r="I265" i="12"/>
  <c r="I260" i="12"/>
  <c r="P28" i="12"/>
  <c r="N30" i="12"/>
  <c r="O25" i="12"/>
  <c r="J267" i="12"/>
  <c r="P25" i="12"/>
  <c r="N31" i="12"/>
  <c r="J26" i="12"/>
  <c r="P31" i="12"/>
  <c r="I268" i="12"/>
  <c r="K26" i="12"/>
  <c r="L26" i="12"/>
  <c r="N34" i="12"/>
  <c r="I261" i="12"/>
  <c r="K32" i="12"/>
  <c r="O29" i="12"/>
  <c r="P34" i="12"/>
  <c r="L32" i="12"/>
  <c r="P23" i="12"/>
  <c r="J32" i="12"/>
  <c r="J258" i="12"/>
  <c r="J266" i="12"/>
  <c r="M26" i="12"/>
  <c r="N29" i="12"/>
  <c r="O34" i="12"/>
  <c r="N26" i="12"/>
  <c r="J279" i="12"/>
  <c r="K24" i="12"/>
  <c r="N35" i="12"/>
  <c r="J274" i="12"/>
  <c r="J30" i="12"/>
  <c r="J259" i="12"/>
  <c r="I277" i="12"/>
  <c r="K30" i="12"/>
  <c r="J277" i="12"/>
  <c r="I272" i="12"/>
  <c r="L30" i="12"/>
  <c r="I276" i="12"/>
  <c r="J261" i="12"/>
  <c r="I279" i="12"/>
  <c r="J24" i="12"/>
  <c r="O26" i="12"/>
  <c r="P29" i="12"/>
  <c r="M32" i="12"/>
  <c r="I274" i="12"/>
  <c r="B12" i="12"/>
  <c r="P26" i="12"/>
  <c r="I259" i="12"/>
  <c r="L24" i="12"/>
  <c r="N32" i="12"/>
  <c r="O35" i="12"/>
  <c r="M24" i="12"/>
  <c r="N27" i="12"/>
  <c r="O32" i="12"/>
  <c r="P35" i="12"/>
  <c r="N24" i="12"/>
  <c r="O27" i="12"/>
  <c r="P32" i="12"/>
  <c r="O24" i="12"/>
  <c r="P27" i="12"/>
  <c r="J257" i="12"/>
  <c r="J272" i="12"/>
  <c r="I275" i="12"/>
  <c r="J260" i="12"/>
  <c r="J25" i="12"/>
  <c r="J31" i="12"/>
  <c r="J262" i="12"/>
  <c r="I271" i="12"/>
  <c r="J278" i="12"/>
  <c r="I269" i="12"/>
  <c r="J276" i="12"/>
  <c r="J23" i="12"/>
  <c r="J27" i="12"/>
  <c r="J29" i="12"/>
  <c r="J33" i="12"/>
  <c r="J35" i="12"/>
  <c r="I262" i="12"/>
  <c r="J269" i="12"/>
  <c r="I278" i="12"/>
  <c r="K23" i="12"/>
  <c r="K25" i="12"/>
  <c r="K27" i="12"/>
  <c r="K29" i="12"/>
  <c r="K31" i="12"/>
  <c r="K33" i="12"/>
  <c r="K35" i="12"/>
  <c r="L23" i="12"/>
  <c r="L25" i="12"/>
  <c r="L27" i="12"/>
  <c r="L29" i="12"/>
  <c r="L31" i="12"/>
  <c r="L33" i="12"/>
  <c r="L35" i="12"/>
  <c r="M25" i="12"/>
  <c r="M27" i="12"/>
  <c r="M29" i="12"/>
  <c r="M33" i="12"/>
  <c r="M35" i="12"/>
  <c r="I257" i="12"/>
  <c r="J264" i="12"/>
  <c r="I273" i="12"/>
  <c r="J280" i="12"/>
  <c r="I264" i="12"/>
  <c r="J271" i="12"/>
  <c r="I280" i="12"/>
  <c r="M23" i="12"/>
  <c r="M31" i="12"/>
  <c r="D13" i="12"/>
  <c r="N31" i="11"/>
  <c r="K25" i="11"/>
  <c r="J265" i="11"/>
  <c r="M25" i="11"/>
  <c r="I258" i="11"/>
  <c r="J23" i="11"/>
  <c r="M32" i="11"/>
  <c r="N32" i="11"/>
  <c r="I276" i="11"/>
  <c r="M26" i="11"/>
  <c r="N27" i="11"/>
  <c r="K29" i="11"/>
  <c r="I262" i="11"/>
  <c r="J262" i="11"/>
  <c r="I271" i="11"/>
  <c r="L32" i="11"/>
  <c r="N25" i="11"/>
  <c r="J258" i="11"/>
  <c r="L26" i="11"/>
  <c r="J276" i="11"/>
  <c r="J31" i="11"/>
  <c r="K31" i="11"/>
  <c r="M31" i="11"/>
  <c r="I263" i="11"/>
  <c r="J25" i="11"/>
  <c r="J35" i="11"/>
  <c r="I265" i="11"/>
  <c r="K35" i="11"/>
  <c r="L25" i="11"/>
  <c r="L31" i="11"/>
  <c r="L34" i="11"/>
  <c r="L28" i="11"/>
  <c r="J263" i="11"/>
  <c r="M34" i="11"/>
  <c r="M28" i="11"/>
  <c r="I260" i="11"/>
  <c r="I278" i="11"/>
  <c r="N34" i="11"/>
  <c r="N28" i="11"/>
  <c r="J260" i="11"/>
  <c r="J278" i="11"/>
  <c r="O34" i="11"/>
  <c r="I269" i="11"/>
  <c r="O28" i="11"/>
  <c r="P34" i="11"/>
  <c r="J269" i="11"/>
  <c r="P28" i="11"/>
  <c r="J29" i="11"/>
  <c r="I279" i="11"/>
  <c r="I272" i="11"/>
  <c r="L35" i="11"/>
  <c r="L23" i="11"/>
  <c r="P26" i="11"/>
  <c r="N23" i="11"/>
  <c r="J259" i="11"/>
  <c r="L24" i="11"/>
  <c r="J33" i="11"/>
  <c r="J273" i="11"/>
  <c r="J275" i="11"/>
  <c r="L27" i="11"/>
  <c r="O30" i="11"/>
  <c r="M35" i="11"/>
  <c r="P32" i="11"/>
  <c r="N29" i="11"/>
  <c r="N26" i="11"/>
  <c r="L29" i="11"/>
  <c r="O26" i="11"/>
  <c r="N35" i="11"/>
  <c r="I275" i="11"/>
  <c r="K27" i="11"/>
  <c r="J266" i="11"/>
  <c r="M27" i="11"/>
  <c r="P30" i="11"/>
  <c r="K23" i="11"/>
  <c r="J279" i="11"/>
  <c r="O32" i="11"/>
  <c r="J272" i="11"/>
  <c r="M29" i="11"/>
  <c r="M23" i="11"/>
  <c r="I259" i="11"/>
  <c r="L30" i="11"/>
  <c r="J27" i="11"/>
  <c r="M30" i="11"/>
  <c r="I266" i="11"/>
  <c r="M24" i="11"/>
  <c r="K33" i="11"/>
  <c r="I268" i="11"/>
  <c r="N30" i="11"/>
  <c r="N24" i="11"/>
  <c r="L33" i="11"/>
  <c r="J268" i="11"/>
  <c r="O24" i="11"/>
  <c r="M33" i="11"/>
  <c r="P24" i="11"/>
  <c r="N33" i="11"/>
  <c r="B12" i="11"/>
  <c r="I261" i="11"/>
  <c r="I277" i="11"/>
  <c r="J264" i="11"/>
  <c r="I267" i="11"/>
  <c r="J280" i="11"/>
  <c r="J271" i="11"/>
  <c r="I274" i="11"/>
  <c r="O23" i="11"/>
  <c r="O25" i="11"/>
  <c r="O27" i="11"/>
  <c r="O29" i="11"/>
  <c r="O31" i="11"/>
  <c r="O35" i="11"/>
  <c r="J261" i="11"/>
  <c r="I264" i="11"/>
  <c r="I257" i="11"/>
  <c r="J274" i="11"/>
  <c r="P23" i="11"/>
  <c r="P29" i="11"/>
  <c r="I280" i="11"/>
  <c r="O33" i="11"/>
  <c r="P25" i="11"/>
  <c r="P27" i="11"/>
  <c r="P31" i="11"/>
  <c r="P33" i="11"/>
  <c r="P35" i="11"/>
  <c r="J277" i="11"/>
  <c r="J24" i="11"/>
  <c r="J26" i="11"/>
  <c r="J28" i="11"/>
  <c r="J30" i="11"/>
  <c r="J32" i="11"/>
  <c r="J34" i="11"/>
  <c r="J267" i="11"/>
  <c r="I270" i="11"/>
  <c r="J257" i="11"/>
  <c r="K24" i="11"/>
  <c r="K26" i="11"/>
  <c r="K28" i="11"/>
  <c r="K30" i="11"/>
  <c r="K32" i="11"/>
  <c r="K34" i="11"/>
  <c r="J270" i="11"/>
  <c r="I273" i="11"/>
  <c r="K265" i="4"/>
  <c r="K259" i="4"/>
  <c r="K278" i="4"/>
  <c r="K266" i="4"/>
  <c r="K271" i="4"/>
  <c r="K273" i="4"/>
  <c r="K258" i="4"/>
  <c r="K260" i="4"/>
  <c r="K277" i="4"/>
  <c r="K262" i="4"/>
  <c r="K263" i="4"/>
  <c r="K267" i="4"/>
  <c r="K268" i="4"/>
  <c r="K269" i="4"/>
  <c r="K270" i="4"/>
  <c r="K279" i="4"/>
  <c r="K280" i="4"/>
  <c r="K272" i="4"/>
  <c r="K257" i="4"/>
  <c r="K274" i="4"/>
  <c r="K275" i="4"/>
  <c r="K276" i="4"/>
  <c r="K261" i="4"/>
  <c r="K264" i="4"/>
  <c r="K270" i="9"/>
  <c r="K262" i="9"/>
  <c r="K265" i="9"/>
  <c r="K267" i="9"/>
  <c r="K269" i="9"/>
  <c r="K273" i="9"/>
  <c r="K275" i="9"/>
  <c r="K260" i="9"/>
  <c r="K261" i="9"/>
  <c r="K278" i="9"/>
  <c r="K263" i="9"/>
  <c r="K266" i="9"/>
  <c r="K268" i="9"/>
  <c r="K274" i="9"/>
  <c r="K276" i="9"/>
  <c r="K279" i="9"/>
  <c r="K280" i="9"/>
  <c r="K271" i="9"/>
  <c r="K272" i="9"/>
  <c r="K257" i="9"/>
  <c r="K258" i="9"/>
  <c r="K259" i="9"/>
  <c r="K277" i="9"/>
  <c r="K264" i="9"/>
  <c r="M263" i="11" l="1"/>
  <c r="C12" i="13"/>
  <c r="B18" i="13"/>
  <c r="M265" i="11"/>
  <c r="G247" i="12" a="1"/>
  <c r="G247" i="12" s="1"/>
  <c r="E249" i="13" a="1"/>
  <c r="E249" i="13" s="1"/>
  <c r="E248" i="13" a="1"/>
  <c r="E248" i="13" s="1"/>
  <c r="E250" i="13" a="1"/>
  <c r="E250" i="13" s="1"/>
  <c r="E247" i="13" a="1"/>
  <c r="E247" i="13" s="1"/>
  <c r="H247" i="13" a="1"/>
  <c r="H247" i="13" s="1"/>
  <c r="H250" i="13" a="1"/>
  <c r="H250" i="13" s="1"/>
  <c r="H249" i="13" a="1"/>
  <c r="H249" i="13" s="1"/>
  <c r="H248" i="13" a="1"/>
  <c r="H248" i="13" s="1"/>
  <c r="B249" i="13" a="1"/>
  <c r="B249" i="13" s="1"/>
  <c r="B250" i="13" a="1"/>
  <c r="B250" i="13" s="1"/>
  <c r="B248" i="13" a="1"/>
  <c r="B248" i="13" s="1"/>
  <c r="B247" i="13" a="1"/>
  <c r="B247" i="13" s="1"/>
  <c r="G247" i="13" a="1"/>
  <c r="G247" i="13" s="1"/>
  <c r="G250" i="13" a="1"/>
  <c r="G250" i="13" s="1"/>
  <c r="G249" i="13" a="1"/>
  <c r="G249" i="13" s="1"/>
  <c r="G248" i="13" a="1"/>
  <c r="G248" i="13" s="1"/>
  <c r="C248" i="12" a="1"/>
  <c r="C248" i="12" s="1"/>
  <c r="B250" i="12" a="1"/>
  <c r="B250" i="12" s="1"/>
  <c r="D249" i="12" a="1"/>
  <c r="D249" i="12" s="1"/>
  <c r="C249" i="13" a="1"/>
  <c r="C249" i="13" s="1"/>
  <c r="C248" i="13" a="1"/>
  <c r="C248" i="13" s="1"/>
  <c r="C250" i="13" a="1"/>
  <c r="C250" i="13" s="1"/>
  <c r="C247" i="13" a="1"/>
  <c r="C247" i="13" s="1"/>
  <c r="D249" i="13" a="1"/>
  <c r="D249" i="13" s="1"/>
  <c r="D248" i="13" a="1"/>
  <c r="D248" i="13" s="1"/>
  <c r="D250" i="13" a="1"/>
  <c r="D250" i="13" s="1"/>
  <c r="D247" i="13" a="1"/>
  <c r="D247" i="13" s="1"/>
  <c r="F247" i="13" a="1"/>
  <c r="F247" i="13" s="1"/>
  <c r="F250" i="13" a="1"/>
  <c r="F250" i="13" s="1"/>
  <c r="F249" i="13" a="1"/>
  <c r="F249" i="13" s="1"/>
  <c r="F248" i="13" a="1"/>
  <c r="F248" i="13" s="1"/>
  <c r="H249" i="12" a="1"/>
  <c r="H249" i="12" s="1"/>
  <c r="C250" i="12" a="1"/>
  <c r="C250" i="12" s="1"/>
  <c r="E250" i="12" a="1"/>
  <c r="E250" i="12" s="1"/>
  <c r="D248" i="12" a="1"/>
  <c r="D248" i="12" s="1"/>
  <c r="D250" i="12" a="1"/>
  <c r="D250" i="12" s="1"/>
  <c r="C247" i="12" a="1"/>
  <c r="C247" i="12" s="1"/>
  <c r="F248" i="12" a="1"/>
  <c r="F248" i="12" s="1"/>
  <c r="E247" i="12" a="1"/>
  <c r="E247" i="12" s="1"/>
  <c r="F247" i="12" a="1"/>
  <c r="F247" i="12" s="1"/>
  <c r="B249" i="12" a="1"/>
  <c r="B249" i="12" s="1"/>
  <c r="B247" i="12" a="1"/>
  <c r="B247" i="12" s="1"/>
  <c r="B248" i="12" a="1"/>
  <c r="B248" i="12" s="1"/>
  <c r="C249" i="12" a="1"/>
  <c r="C249" i="12" s="1"/>
  <c r="F250" i="12" a="1"/>
  <c r="F250" i="12" s="1"/>
  <c r="G249" i="12" a="1"/>
  <c r="G249" i="12" s="1"/>
  <c r="G248" i="12" a="1"/>
  <c r="G248" i="12" s="1"/>
  <c r="C12" i="12"/>
  <c r="B18" i="12"/>
  <c r="D247" i="12" a="1"/>
  <c r="D247" i="12" s="1"/>
  <c r="F249" i="12" a="1"/>
  <c r="F249" i="12" s="1"/>
  <c r="H248" i="12" a="1"/>
  <c r="H248" i="12" s="1"/>
  <c r="H250" i="12" a="1"/>
  <c r="H250" i="12" s="1"/>
  <c r="H247" i="12" a="1"/>
  <c r="H247" i="12" s="1"/>
  <c r="G250" i="12" a="1"/>
  <c r="G250" i="12" s="1"/>
  <c r="E248" i="12" a="1"/>
  <c r="E248" i="12" s="1"/>
  <c r="E249" i="12" a="1"/>
  <c r="E249" i="12" s="1"/>
  <c r="H250" i="11" a="1"/>
  <c r="H250" i="11" s="1"/>
  <c r="F250" i="11" a="1"/>
  <c r="F250" i="11" s="1"/>
  <c r="E248" i="11" a="1"/>
  <c r="E248" i="11" s="1"/>
  <c r="M259" i="11"/>
  <c r="M274" i="11"/>
  <c r="M275" i="11"/>
  <c r="M270" i="11"/>
  <c r="M273" i="11"/>
  <c r="M277" i="11"/>
  <c r="D250" i="11" a="1"/>
  <c r="D250" i="11" s="1"/>
  <c r="G248" i="11" a="1"/>
  <c r="G248" i="11" s="1"/>
  <c r="B250" i="11" a="1"/>
  <c r="B250" i="11" s="1"/>
  <c r="H248" i="11" a="1"/>
  <c r="H248" i="11" s="1"/>
  <c r="F247" i="11" a="1"/>
  <c r="F247" i="11" s="1"/>
  <c r="C248" i="11" a="1"/>
  <c r="C248" i="11" s="1"/>
  <c r="M272" i="11"/>
  <c r="D247" i="11" a="1"/>
  <c r="D247" i="11" s="1"/>
  <c r="C247" i="11" a="1"/>
  <c r="C247" i="11" s="1"/>
  <c r="M262" i="11"/>
  <c r="H249" i="11" a="1"/>
  <c r="H249" i="11" s="1"/>
  <c r="G249" i="11" a="1"/>
  <c r="G249" i="11" s="1"/>
  <c r="M278" i="11"/>
  <c r="M260" i="11"/>
  <c r="F249" i="11" a="1"/>
  <c r="F249" i="11" s="1"/>
  <c r="E247" i="11" a="1"/>
  <c r="E247" i="11" s="1"/>
  <c r="E250" i="11" a="1"/>
  <c r="E250" i="11" s="1"/>
  <c r="C249" i="11" a="1"/>
  <c r="C249" i="11" s="1"/>
  <c r="M271" i="11"/>
  <c r="B247" i="11" a="1"/>
  <c r="B247" i="11" s="1"/>
  <c r="H247" i="11" a="1"/>
  <c r="H247" i="11" s="1"/>
  <c r="G247" i="11" a="1"/>
  <c r="G247" i="11" s="1"/>
  <c r="B249" i="11" a="1"/>
  <c r="B249" i="11" s="1"/>
  <c r="B248" i="11" a="1"/>
  <c r="B248" i="11" s="1"/>
  <c r="M266" i="11"/>
  <c r="F248" i="11" a="1"/>
  <c r="F248" i="11" s="1"/>
  <c r="M279" i="11"/>
  <c r="C250" i="11" a="1"/>
  <c r="C250" i="11" s="1"/>
  <c r="M261" i="11"/>
  <c r="C12" i="11"/>
  <c r="B18" i="11"/>
  <c r="G250" i="11" a="1"/>
  <c r="G250" i="11" s="1"/>
  <c r="M280" i="11"/>
  <c r="M268" i="11"/>
  <c r="D248" i="11" a="1"/>
  <c r="D248" i="11" s="1"/>
  <c r="E249" i="11" a="1"/>
  <c r="E249" i="11" s="1"/>
  <c r="D249" i="11" a="1"/>
  <c r="D249" i="11" s="1"/>
  <c r="M267" i="11"/>
  <c r="M269" i="11"/>
  <c r="M276" i="11"/>
  <c r="M258" i="11"/>
  <c r="M264" i="11"/>
  <c r="C17" i="9"/>
  <c r="C16" i="9"/>
  <c r="B13" i="9"/>
  <c r="D13" i="9" s="1"/>
  <c r="P22" i="7"/>
  <c r="O22" i="7"/>
  <c r="N22" i="7"/>
  <c r="M22" i="7"/>
  <c r="L22" i="7"/>
  <c r="K22" i="7"/>
  <c r="J22" i="7"/>
  <c r="C17" i="7"/>
  <c r="C16" i="7"/>
  <c r="B13" i="7"/>
  <c r="D13" i="7" s="1"/>
  <c r="P22" i="4"/>
  <c r="O22" i="4"/>
  <c r="N22" i="4"/>
  <c r="M22" i="4"/>
  <c r="L22" i="4"/>
  <c r="K22" i="4"/>
  <c r="J22" i="4"/>
  <c r="C17" i="4"/>
  <c r="C16" i="4"/>
  <c r="B13" i="4"/>
  <c r="D13" i="4" s="1"/>
  <c r="C9" i="4"/>
  <c r="J250" i="4" a="1"/>
  <c r="J250" i="4" s="1"/>
  <c r="I250" i="4" a="1"/>
  <c r="I250" i="4" s="1"/>
  <c r="J249" i="4" a="1"/>
  <c r="J249" i="4" s="1"/>
  <c r="I249" i="4" a="1"/>
  <c r="I249" i="4" s="1"/>
  <c r="J248" i="4" a="1"/>
  <c r="J248" i="4" s="1"/>
  <c r="I248" i="4" a="1"/>
  <c r="I248" i="4" s="1"/>
  <c r="J247" i="4" a="1"/>
  <c r="J247" i="4" s="1"/>
  <c r="I247" i="4" a="1"/>
  <c r="I247" i="4" s="1"/>
  <c r="J250" i="7" a="1"/>
  <c r="J250" i="7" s="1"/>
  <c r="I250" i="7" a="1"/>
  <c r="I250" i="7" s="1"/>
  <c r="J249" i="7" a="1"/>
  <c r="J249" i="7" s="1"/>
  <c r="I249" i="7" a="1"/>
  <c r="I249" i="7" s="1"/>
  <c r="J248" i="7" a="1"/>
  <c r="J248" i="7" s="1"/>
  <c r="I248" i="7" a="1"/>
  <c r="I248" i="7" s="1"/>
  <c r="J247" i="7" a="1"/>
  <c r="J247" i="7" s="1"/>
  <c r="I247" i="7" a="1"/>
  <c r="I247" i="7" s="1"/>
  <c r="J250" i="9" a="1"/>
  <c r="J250" i="9" s="1"/>
  <c r="J249" i="9" a="1"/>
  <c r="J249" i="9" s="1"/>
  <c r="J248" i="9" a="1"/>
  <c r="J248" i="9" s="1"/>
  <c r="J247" i="9" a="1"/>
  <c r="J247" i="9" s="1"/>
  <c r="I250" i="9" a="1"/>
  <c r="I250" i="9" s="1"/>
  <c r="I249" i="9" a="1"/>
  <c r="I249" i="9" s="1"/>
  <c r="I248" i="9" a="1"/>
  <c r="I248" i="9" s="1"/>
  <c r="I247" i="9" a="1"/>
  <c r="I247" i="9" s="1"/>
  <c r="C9" i="9"/>
  <c r="B7" i="9"/>
  <c r="C7" i="9" s="1"/>
  <c r="C6" i="9"/>
  <c r="C3" i="9"/>
  <c r="C2" i="9"/>
  <c r="C9" i="7"/>
  <c r="B7" i="7"/>
  <c r="C7" i="7" s="1"/>
  <c r="C6" i="7"/>
  <c r="C3" i="7"/>
  <c r="C2" i="7"/>
  <c r="C6" i="4"/>
  <c r="C3" i="4"/>
  <c r="C2" i="4"/>
  <c r="B7" i="4"/>
  <c r="C7" i="4" s="1"/>
  <c r="F273" i="13" a="1"/>
  <c r="F257" i="13" a="1"/>
  <c r="H271" i="13" a="1"/>
  <c r="G277" i="13" a="1"/>
  <c r="E277" i="13" a="1"/>
  <c r="B278" i="13" a="1"/>
  <c r="C271" i="13" a="1"/>
  <c r="C268" i="12" a="1"/>
  <c r="D277" i="12" a="1"/>
  <c r="G280" i="12" a="1"/>
  <c r="F278" i="12" a="1"/>
  <c r="H276" i="12" a="1"/>
  <c r="O29" i="7" a="1"/>
  <c r="F278" i="11" a="1"/>
  <c r="J33" i="9" a="1"/>
  <c r="J24" i="7" a="1"/>
  <c r="P31" i="9" a="1"/>
  <c r="J278" i="9" a="1"/>
  <c r="J264" i="7" a="1"/>
  <c r="L25" i="7" a="1"/>
  <c r="O30" i="7" a="1"/>
  <c r="P27" i="9" a="1"/>
  <c r="L35" i="7" a="1"/>
  <c r="I261" i="4" a="1"/>
  <c r="J263" i="9" a="1"/>
  <c r="I274" i="9" a="1"/>
  <c r="D293" i="11" a="1"/>
  <c r="E264" i="11" a="1"/>
  <c r="G280" i="11" a="1"/>
  <c r="G275" i="11" a="1"/>
  <c r="L32" i="4" a="1"/>
  <c r="J264" i="4" a="1"/>
  <c r="J285" i="4" a="1"/>
  <c r="G260" i="12" a="1"/>
  <c r="H262" i="11" a="1"/>
  <c r="B12" i="4" a="1"/>
  <c r="G259" i="13" a="1"/>
  <c r="H277" i="11" a="1"/>
  <c r="O25" i="4" a="1"/>
  <c r="D280" i="11" a="1"/>
  <c r="J34" i="4" a="1"/>
  <c r="E271" i="13" a="1"/>
  <c r="H263" i="12" a="1"/>
  <c r="N23" i="7" a="1"/>
  <c r="J31" i="7" a="1"/>
  <c r="K25" i="7" a="1"/>
  <c r="G281" i="11" a="1"/>
  <c r="F276" i="11" a="1"/>
  <c r="H265" i="11" a="1"/>
  <c r="I270" i="9" a="1"/>
  <c r="H271" i="11" a="1"/>
  <c r="O35" i="4" a="1"/>
  <c r="G276" i="11" a="1"/>
  <c r="D264" i="12" a="1"/>
  <c r="E261" i="13" a="1"/>
  <c r="I263" i="7" a="1"/>
  <c r="F265" i="13" a="1"/>
  <c r="H260" i="13" a="1"/>
  <c r="G266" i="13" a="1"/>
  <c r="E275" i="13" a="1"/>
  <c r="B265" i="13" a="1"/>
  <c r="C268" i="13" a="1"/>
  <c r="C275" i="12" a="1"/>
  <c r="D269" i="12" a="1"/>
  <c r="G259" i="12" a="1"/>
  <c r="F263" i="12" a="1"/>
  <c r="H261" i="12" a="1"/>
  <c r="I269" i="9" a="1"/>
  <c r="F269" i="11" a="1"/>
  <c r="O33" i="9" a="1"/>
  <c r="J265" i="7" a="1"/>
  <c r="M28" i="9" a="1"/>
  <c r="I257" i="9" a="1"/>
  <c r="I260" i="9" a="1"/>
  <c r="J257" i="9" a="1"/>
  <c r="I261" i="7" a="1"/>
  <c r="I271" i="7" a="1"/>
  <c r="J25" i="7" a="1"/>
  <c r="M32" i="7" a="1"/>
  <c r="J264" i="9" a="1"/>
  <c r="K25" i="9" a="1"/>
  <c r="D290" i="11" a="1"/>
  <c r="E279" i="11" a="1"/>
  <c r="G270" i="11" a="1"/>
  <c r="G262" i="11" a="1"/>
  <c r="L27" i="4" a="1"/>
  <c r="J261" i="4" a="1"/>
  <c r="J290" i="4" a="1"/>
  <c r="F272" i="13" a="1"/>
  <c r="H258" i="13" a="1"/>
  <c r="G274" i="13" a="1"/>
  <c r="E272" i="13" a="1"/>
  <c r="B280" i="13" a="1"/>
  <c r="C276" i="13" a="1"/>
  <c r="C261" i="12" a="1"/>
  <c r="D272" i="12" a="1"/>
  <c r="G275" i="12" a="1"/>
  <c r="F258" i="12" a="1"/>
  <c r="H274" i="12" a="1"/>
  <c r="O28" i="9" a="1"/>
  <c r="F275" i="11" a="1"/>
  <c r="J279" i="7" a="1"/>
  <c r="N26" i="7" a="1"/>
  <c r="J266" i="9" a="1"/>
  <c r="J267" i="9" a="1"/>
  <c r="N27" i="4" a="1"/>
  <c r="N32" i="4" a="1"/>
  <c r="J32" i="9" a="1"/>
  <c r="L27" i="9" a="1"/>
  <c r="J25" i="9" a="1"/>
  <c r="O24" i="4" a="1"/>
  <c r="P33" i="9" a="1"/>
  <c r="M34" i="9" a="1"/>
  <c r="D282" i="11" a="1"/>
  <c r="E273" i="11" a="1"/>
  <c r="G279" i="11" a="1"/>
  <c r="G261" i="11" a="1"/>
  <c r="M30" i="4" a="1"/>
  <c r="J266" i="4" a="1"/>
  <c r="J287" i="4" a="1"/>
  <c r="M33" i="4" a="1"/>
  <c r="J269" i="4" a="1"/>
  <c r="H262" i="13" a="1"/>
  <c r="D261" i="13" a="1"/>
  <c r="E270" i="13" a="1"/>
  <c r="B258" i="13" a="1"/>
  <c r="B263" i="12" a="1"/>
  <c r="C259" i="12" a="1"/>
  <c r="D263" i="12" a="1"/>
  <c r="E266" i="12" a="1"/>
  <c r="F274" i="12" a="1"/>
  <c r="H278" i="12" a="1"/>
  <c r="I278" i="9" a="1"/>
  <c r="F262" i="11" a="1"/>
  <c r="P35" i="4" a="1"/>
  <c r="J258" i="7" a="1"/>
  <c r="L33" i="9" a="1"/>
  <c r="O25" i="9" a="1"/>
  <c r="C277" i="11" a="1"/>
  <c r="J269" i="7" a="1"/>
  <c r="I275" i="4" a="1"/>
  <c r="D292" i="11" a="1"/>
  <c r="E270" i="11" a="1"/>
  <c r="G266" i="11" a="1"/>
  <c r="M29" i="4" a="1"/>
  <c r="J299" i="4" a="1"/>
  <c r="N29" i="7" a="1"/>
  <c r="I261" i="9" a="1"/>
  <c r="E299" i="11" a="1"/>
  <c r="M26" i="4" a="1"/>
  <c r="H280" i="12" a="1"/>
  <c r="L24" i="7" a="1"/>
  <c r="N30" i="9" a="1"/>
  <c r="J270" i="4" a="1"/>
  <c r="M25" i="7" a="1"/>
  <c r="D260" i="11" a="1"/>
  <c r="D273" i="11" a="1"/>
  <c r="E284" i="11" a="1"/>
  <c r="G292" i="11" a="1"/>
  <c r="K35" i="4" a="1"/>
  <c r="C264" i="13" a="1"/>
  <c r="F273" i="12" a="1"/>
  <c r="E300" i="11" a="1"/>
  <c r="D269" i="13" a="1"/>
  <c r="B262" i="12" a="1"/>
  <c r="E262" i="12" a="1"/>
  <c r="L25" i="9" a="1"/>
  <c r="J27" i="9" a="1"/>
  <c r="C257" i="11" a="1"/>
  <c r="E281" i="11" a="1"/>
  <c r="G282" i="11" a="1"/>
  <c r="C272" i="13" a="1"/>
  <c r="J272" i="7" a="1"/>
  <c r="B264" i="12" a="1"/>
  <c r="N23" i="4" a="1"/>
  <c r="D266" i="12" a="1"/>
  <c r="L30" i="7" a="1"/>
  <c r="I275" i="7" a="1"/>
  <c r="G259" i="11" a="1"/>
  <c r="F263" i="13" a="1"/>
  <c r="H275" i="13" a="1"/>
  <c r="G258" i="13" a="1"/>
  <c r="E259" i="13" a="1"/>
  <c r="B269" i="13" a="1"/>
  <c r="C260" i="13" a="1"/>
  <c r="C262" i="12" a="1"/>
  <c r="D258" i="12" a="1"/>
  <c r="G266" i="12" a="1"/>
  <c r="F279" i="12" a="1"/>
  <c r="H277" i="12" a="1"/>
  <c r="P25" i="9" a="1"/>
  <c r="F261" i="11" a="1"/>
  <c r="I257" i="4" a="1"/>
  <c r="N29" i="9" a="1"/>
  <c r="I273" i="7" a="1"/>
  <c r="M26" i="7" a="1"/>
  <c r="L28" i="9" a="1"/>
  <c r="M26" i="9" a="1"/>
  <c r="I277" i="9" a="1"/>
  <c r="I271" i="4" a="1"/>
  <c r="K26" i="7" a="1"/>
  <c r="P26" i="4" a="1"/>
  <c r="L27" i="7" a="1"/>
  <c r="K34" i="9" a="1"/>
  <c r="D287" i="11" a="1"/>
  <c r="E263" i="11" a="1"/>
  <c r="G265" i="11" a="1"/>
  <c r="G277" i="11" a="1"/>
  <c r="J289" i="4" a="1"/>
  <c r="J278" i="7" a="1"/>
  <c r="C269" i="12" a="1"/>
  <c r="E277" i="12" a="1"/>
  <c r="K27" i="9" a="1"/>
  <c r="D260" i="12" a="1"/>
  <c r="F268" i="11" a="1"/>
  <c r="I275" i="9" a="1"/>
  <c r="J23" i="7" a="1"/>
  <c r="D267" i="11" a="1"/>
  <c r="E291" i="11" a="1"/>
  <c r="G268" i="11" a="1"/>
  <c r="G260" i="11" a="1"/>
  <c r="M24" i="4" a="1"/>
  <c r="I266" i="9" a="1"/>
  <c r="B269" i="11" a="1"/>
  <c r="D269" i="11" a="1"/>
  <c r="C264" i="11" a="1"/>
  <c r="I264" i="9" a="1"/>
  <c r="B272" i="11" a="1"/>
  <c r="J275" i="4" a="1"/>
  <c r="G263" i="13" a="1"/>
  <c r="N30" i="4" a="1"/>
  <c r="C278" i="11" a="1"/>
  <c r="E259" i="11" a="1"/>
  <c r="K29" i="4" a="1"/>
  <c r="N27" i="7" a="1"/>
  <c r="C279" i="12" a="1"/>
  <c r="B263" i="11" a="1"/>
  <c r="F259" i="13" a="1"/>
  <c r="H273" i="13" a="1"/>
  <c r="D260" i="13" a="1"/>
  <c r="E273" i="13" a="1"/>
  <c r="B267" i="13" a="1"/>
  <c r="B279" i="12" a="1"/>
  <c r="C267" i="12" a="1"/>
  <c r="D273" i="12" a="1"/>
  <c r="E268" i="12" a="1"/>
  <c r="F269" i="12" a="1"/>
  <c r="H267" i="12" a="1"/>
  <c r="O30" i="4" a="1"/>
  <c r="F264" i="11" a="1"/>
  <c r="J24" i="9" a="1"/>
  <c r="J27" i="7" a="1"/>
  <c r="I263" i="9" a="1"/>
  <c r="K32" i="9" a="1"/>
  <c r="P34" i="9" a="1"/>
  <c r="P35" i="9" a="1"/>
  <c r="C270" i="11" a="1"/>
  <c r="M35" i="7" a="1"/>
  <c r="J29" i="9" a="1"/>
  <c r="J270" i="9" a="1"/>
  <c r="I270" i="7" a="1"/>
  <c r="D262" i="11" a="1"/>
  <c r="D283" i="11" a="1"/>
  <c r="E275" i="11" a="1"/>
  <c r="G258" i="11" a="1"/>
  <c r="G264" i="11" a="1"/>
  <c r="M28" i="4" a="1"/>
  <c r="J259" i="4" a="1"/>
  <c r="J294" i="4" a="1"/>
  <c r="N24" i="4" a="1"/>
  <c r="D264" i="11" a="1"/>
  <c r="J258" i="4" a="1"/>
  <c r="D257" i="13" a="1"/>
  <c r="H264" i="12" a="1"/>
  <c r="N25" i="4" a="1"/>
  <c r="C267" i="11" a="1"/>
  <c r="K33" i="9" a="1"/>
  <c r="D266" i="11" a="1"/>
  <c r="G257" i="11" a="1"/>
  <c r="J262" i="4" a="1"/>
  <c r="H272" i="13" a="1"/>
  <c r="P31" i="4" a="1"/>
  <c r="P29" i="9" a="1"/>
  <c r="M25" i="9" a="1"/>
  <c r="I274" i="7" a="1"/>
  <c r="D277" i="11" a="1"/>
  <c r="J278" i="4" a="1"/>
  <c r="G258" i="12" a="1"/>
  <c r="B270" i="11" a="1"/>
  <c r="J281" i="4" a="1"/>
  <c r="E268" i="13" a="1"/>
  <c r="E257" i="13" a="1"/>
  <c r="N34" i="4" a="1"/>
  <c r="J272" i="4" a="1"/>
  <c r="F275" i="13" a="1"/>
  <c r="J271" i="9" a="1"/>
  <c r="L35" i="9" a="1"/>
  <c r="G278" i="11" a="1"/>
  <c r="B271" i="13" a="1"/>
  <c r="D278" i="12" a="1"/>
  <c r="F270" i="12" a="1"/>
  <c r="F277" i="11" a="1"/>
  <c r="I272" i="7" a="1"/>
  <c r="K28" i="9" a="1"/>
  <c r="I259" i="9" a="1"/>
  <c r="J35" i="9" a="1"/>
  <c r="P30" i="9" a="1"/>
  <c r="D257" i="11" a="1"/>
  <c r="J292" i="4" a="1"/>
  <c r="B277" i="12" a="1"/>
  <c r="P34" i="7" a="1"/>
  <c r="L32" i="9" a="1"/>
  <c r="E257" i="12" a="1"/>
  <c r="L30" i="9" a="1"/>
  <c r="I265" i="9" a="1"/>
  <c r="L23" i="9" a="1"/>
  <c r="O27" i="9" a="1"/>
  <c r="B265" i="11" a="1"/>
  <c r="J26" i="7" a="1"/>
  <c r="J268" i="4" a="1"/>
  <c r="P32" i="4" a="1"/>
  <c r="E270" i="12" a="1"/>
  <c r="J267" i="7" a="1"/>
  <c r="E278" i="12" a="1"/>
  <c r="B257" i="11" a="1"/>
  <c r="L35" i="4" a="1"/>
  <c r="B276" i="11" a="1"/>
  <c r="G290" i="11" a="1"/>
  <c r="F265" i="12" a="1"/>
  <c r="O27" i="4" a="1"/>
  <c r="G293" i="11" a="1"/>
  <c r="F279" i="13" a="1"/>
  <c r="H264" i="13" a="1"/>
  <c r="E260" i="13" a="1"/>
  <c r="B272" i="12" a="1"/>
  <c r="J266" i="7" a="1"/>
  <c r="G273" i="11" a="1"/>
  <c r="E261" i="12" a="1"/>
  <c r="N35" i="7" a="1"/>
  <c r="C261" i="13" a="1"/>
  <c r="B258" i="11" a="1"/>
  <c r="D276" i="13" a="1"/>
  <c r="O31" i="9" a="1"/>
  <c r="L33" i="7" a="1"/>
  <c r="C280" i="11" a="1"/>
  <c r="L28" i="7" a="1"/>
  <c r="D295" i="11" a="1"/>
  <c r="B273" i="12" a="1"/>
  <c r="F270" i="11" a="1"/>
  <c r="D289" i="11" a="1"/>
  <c r="G287" i="11" a="1"/>
  <c r="J29" i="4" a="1"/>
  <c r="C280" i="13" a="1"/>
  <c r="P27" i="4" a="1"/>
  <c r="C275" i="11" a="1"/>
  <c r="G280" i="13" a="1"/>
  <c r="N35" i="9" a="1"/>
  <c r="G273" i="12" a="1"/>
  <c r="F271" i="13" a="1"/>
  <c r="D277" i="13" a="1"/>
  <c r="E280" i="13" a="1"/>
  <c r="B260" i="13" a="1"/>
  <c r="C260" i="12" a="1"/>
  <c r="F262" i="12" a="1"/>
  <c r="J276" i="7" a="1"/>
  <c r="C268" i="11" a="1"/>
  <c r="O26" i="4" a="1"/>
  <c r="J291" i="4" a="1"/>
  <c r="F280" i="12" a="1"/>
  <c r="N24" i="9" a="1"/>
  <c r="D280" i="13" a="1"/>
  <c r="P26" i="9" a="1"/>
  <c r="P32" i="7" a="1"/>
  <c r="P34" i="4" a="1"/>
  <c r="D263" i="13" a="1"/>
  <c r="I276" i="7" a="1"/>
  <c r="D296" i="11" a="1"/>
  <c r="B12" i="7" a="1"/>
  <c r="L31" i="4" a="1"/>
  <c r="F264" i="13" a="1"/>
  <c r="H280" i="13" a="1"/>
  <c r="D268" i="13" a="1"/>
  <c r="E278" i="13" a="1"/>
  <c r="B268" i="13" a="1"/>
  <c r="B261" i="12" a="1"/>
  <c r="C265" i="12" a="1"/>
  <c r="D279" i="12" a="1"/>
  <c r="E273" i="12" a="1"/>
  <c r="F271" i="12" a="1"/>
  <c r="H271" i="12" a="1"/>
  <c r="N33" i="4" a="1"/>
  <c r="F274" i="11" a="1"/>
  <c r="I268" i="4" a="1"/>
  <c r="H276" i="11" a="1"/>
  <c r="I271" i="9" a="1"/>
  <c r="O26" i="9" a="1"/>
  <c r="N33" i="9" a="1"/>
  <c r="I266" i="4" a="1"/>
  <c r="C265" i="11" a="1"/>
  <c r="M30" i="7" a="1"/>
  <c r="B278" i="11" a="1"/>
  <c r="I267" i="7" a="1"/>
  <c r="P33" i="4" a="1"/>
  <c r="D268" i="11" a="1"/>
  <c r="D261" i="11" a="1"/>
  <c r="E292" i="11" a="1"/>
  <c r="G272" i="11" a="1"/>
  <c r="K33" i="4" a="1"/>
  <c r="M31" i="4" a="1"/>
  <c r="J280" i="4" a="1"/>
  <c r="J277" i="9" a="1"/>
  <c r="J270" i="7" a="1"/>
  <c r="D270" i="11" a="1"/>
  <c r="D276" i="11" a="1"/>
  <c r="E294" i="11" a="1"/>
  <c r="G274" i="11" a="1"/>
  <c r="K25" i="4" a="1"/>
  <c r="M27" i="4" a="1"/>
  <c r="J274" i="4" a="1"/>
  <c r="C257" i="12" a="1"/>
  <c r="H257" i="12" a="1"/>
  <c r="F259" i="11" a="1"/>
  <c r="J32" i="7" a="1"/>
  <c r="O30" i="9" a="1"/>
  <c r="C261" i="11" a="1"/>
  <c r="B275" i="11" a="1"/>
  <c r="M23" i="7" a="1"/>
  <c r="D278" i="11" a="1"/>
  <c r="G269" i="11" a="1"/>
  <c r="M23" i="4" a="1"/>
  <c r="H294" i="11" a="1"/>
  <c r="H299" i="11" a="1"/>
  <c r="H293" i="11" a="1"/>
  <c r="H300" i="11" a="1"/>
  <c r="H285" i="11" a="1"/>
  <c r="H283" i="11" a="1"/>
  <c r="H286" i="11" a="1"/>
  <c r="H291" i="11" a="1"/>
  <c r="H288" i="11" a="1"/>
  <c r="H295" i="11" a="1"/>
  <c r="H297" i="11" a="1"/>
  <c r="H281" i="11" a="1"/>
  <c r="H296" i="11" a="1"/>
  <c r="H292" i="11" a="1"/>
  <c r="H284" i="11" a="1"/>
  <c r="H282" i="11" a="1"/>
  <c r="H290" i="11" a="1"/>
  <c r="H287" i="11" a="1"/>
  <c r="H289" i="11" a="1"/>
  <c r="H298" i="11" a="1"/>
  <c r="F260" i="13" a="1"/>
  <c r="H277" i="13" a="1"/>
  <c r="D273" i="13" a="1"/>
  <c r="E267" i="13" a="1"/>
  <c r="B279" i="13" a="1"/>
  <c r="B280" i="12" a="1"/>
  <c r="C264" i="12" a="1"/>
  <c r="D274" i="12" a="1"/>
  <c r="E265" i="12" a="1"/>
  <c r="F267" i="12" a="1"/>
  <c r="H273" i="12" a="1"/>
  <c r="F267" i="11" a="1"/>
  <c r="J262" i="7" a="1"/>
  <c r="H264" i="11" a="1"/>
  <c r="O32" i="9" a="1"/>
  <c r="M27" i="9" a="1"/>
  <c r="O33" i="4" a="1"/>
  <c r="D258" i="11" a="1"/>
  <c r="D259" i="11" a="1"/>
  <c r="E283" i="11" a="1"/>
  <c r="G267" i="11" a="1"/>
  <c r="K24" i="4" a="1"/>
  <c r="H257" i="11" a="1"/>
  <c r="N34" i="7" a="1"/>
  <c r="C273" i="11" a="1"/>
  <c r="B259" i="11" a="1"/>
  <c r="O23" i="7" a="1"/>
  <c r="D272" i="11" a="1"/>
  <c r="G296" i="11" a="1"/>
  <c r="M32" i="4" a="1"/>
  <c r="J271" i="4" a="1"/>
  <c r="G270" i="13" a="1"/>
  <c r="C277" i="13" a="1"/>
  <c r="B278" i="12" a="1"/>
  <c r="L26" i="7" a="1"/>
  <c r="C258" i="11" a="1"/>
  <c r="D271" i="11" a="1"/>
  <c r="E285" i="11" a="1"/>
  <c r="G300" i="11" a="1"/>
  <c r="K28" i="4" a="1"/>
  <c r="C273" i="12" a="1"/>
  <c r="I272" i="4" a="1"/>
  <c r="E263" i="13" a="1"/>
  <c r="C278" i="12" a="1"/>
  <c r="F268" i="12" a="1"/>
  <c r="J34" i="9" a="1"/>
  <c r="O34" i="9" a="1"/>
  <c r="J274" i="7" a="1"/>
  <c r="P26" i="7" a="1"/>
  <c r="H268" i="11" a="1"/>
  <c r="J271" i="7" a="1"/>
  <c r="G288" i="11" a="1"/>
  <c r="J26" i="4" a="1"/>
  <c r="J260" i="4" a="1"/>
  <c r="E287" i="11" a="1"/>
  <c r="G260" i="13" a="1"/>
  <c r="H278" i="11" a="1"/>
  <c r="E286" i="11" a="1"/>
  <c r="M33" i="7" a="1"/>
  <c r="E267" i="11" a="1"/>
  <c r="D257" i="12" a="1"/>
  <c r="P32" i="9" a="1"/>
  <c r="K26" i="9" a="1"/>
  <c r="K35" i="7" a="1"/>
  <c r="I263" i="4" a="1"/>
  <c r="F278" i="13" a="1"/>
  <c r="H261" i="13" a="1"/>
  <c r="D264" i="13" a="1"/>
  <c r="E269" i="13" a="1"/>
  <c r="B276" i="13" a="1"/>
  <c r="B268" i="12" a="1"/>
  <c r="C280" i="12" a="1"/>
  <c r="D271" i="12" a="1"/>
  <c r="E275" i="12" a="1"/>
  <c r="F277" i="12" a="1"/>
  <c r="H266" i="12" a="1"/>
  <c r="K31" i="7" a="1"/>
  <c r="F265" i="11" a="1"/>
  <c r="I280" i="9" a="1"/>
  <c r="H260" i="11" a="1"/>
  <c r="M29" i="7" a="1"/>
  <c r="J268" i="9" a="1"/>
  <c r="I280" i="7" a="1"/>
  <c r="I267" i="9" a="1"/>
  <c r="C274" i="11" a="1"/>
  <c r="N33" i="7" a="1"/>
  <c r="B262" i="11" a="1"/>
  <c r="F262" i="13" a="1"/>
  <c r="H269" i="13" a="1"/>
  <c r="D272" i="13" a="1"/>
  <c r="E276" i="13" a="1"/>
  <c r="B263" i="13" a="1"/>
  <c r="B270" i="12" a="1"/>
  <c r="D276" i="12" a="1"/>
  <c r="E259" i="12" a="1"/>
  <c r="F272" i="12" a="1"/>
  <c r="I265" i="7" a="1"/>
  <c r="K30" i="9" a="1"/>
  <c r="H273" i="11" a="1"/>
  <c r="I270" i="4" a="1"/>
  <c r="J28" i="7" a="1"/>
  <c r="J269" i="9" a="1"/>
  <c r="N31" i="4" a="1"/>
  <c r="D274" i="11" a="1"/>
  <c r="E293" i="11" a="1"/>
  <c r="K34" i="4" a="1"/>
  <c r="J265" i="4" a="1"/>
  <c r="N32" i="9" a="1"/>
  <c r="C271" i="11" a="1"/>
  <c r="L34" i="7" a="1"/>
  <c r="L34" i="9" a="1"/>
  <c r="P24" i="4" a="1"/>
  <c r="F272" i="11" a="1"/>
  <c r="N28" i="7" a="1"/>
  <c r="I273" i="9" a="1"/>
  <c r="D275" i="11" a="1"/>
  <c r="E298" i="11" a="1"/>
  <c r="K32" i="4" a="1"/>
  <c r="E265" i="13" a="1"/>
  <c r="N26" i="4" a="1"/>
  <c r="I264" i="7" a="1"/>
  <c r="K30" i="7" a="1"/>
  <c r="P35" i="7" a="1"/>
  <c r="I264" i="4" a="1"/>
  <c r="M35" i="4" a="1"/>
  <c r="J31" i="9" a="1"/>
  <c r="E274" i="13" a="1"/>
  <c r="B265" i="12" a="1"/>
  <c r="F266" i="13" a="1"/>
  <c r="K28" i="7" a="1"/>
  <c r="J257" i="4" a="1"/>
  <c r="O34" i="7" a="1"/>
  <c r="E274" i="11" a="1"/>
  <c r="G289" i="11" a="1"/>
  <c r="J279" i="4" a="1"/>
  <c r="H268" i="13" a="1"/>
  <c r="F276" i="12" a="1"/>
  <c r="B268" i="11" a="1"/>
  <c r="H263" i="13" a="1"/>
  <c r="F260" i="12" a="1"/>
  <c r="G271" i="11" a="1"/>
  <c r="C263" i="13" a="1"/>
  <c r="F280" i="11" a="1"/>
  <c r="K35" i="9" a="1"/>
  <c r="B266" i="11" a="1"/>
  <c r="M25" i="4" a="1"/>
  <c r="J277" i="4" a="1"/>
  <c r="F280" i="13" a="1"/>
  <c r="G267" i="13" a="1"/>
  <c r="D270" i="13" a="1"/>
  <c r="E262" i="13" a="1"/>
  <c r="C275" i="13" a="1"/>
  <c r="B257" i="12" a="1"/>
  <c r="C272" i="12" a="1"/>
  <c r="G276" i="12" a="1"/>
  <c r="E264" i="12" a="1"/>
  <c r="F266" i="12" a="1"/>
  <c r="K24" i="9" a="1"/>
  <c r="J30" i="9" a="1"/>
  <c r="E268" i="11" a="1"/>
  <c r="F274" i="13" a="1"/>
  <c r="J279" i="9" a="1"/>
  <c r="B280" i="11" a="1"/>
  <c r="E276" i="11" a="1"/>
  <c r="K27" i="4" a="1"/>
  <c r="L28" i="4" a="1"/>
  <c r="J32" i="4" a="1"/>
  <c r="J282" i="4" a="1"/>
  <c r="C265" i="13" a="1"/>
  <c r="L23" i="7" a="1"/>
  <c r="P23" i="9" a="1"/>
  <c r="G257" i="12" a="1"/>
  <c r="J273" i="4" a="1"/>
  <c r="I258" i="4" a="1"/>
  <c r="P23" i="7" a="1"/>
  <c r="I258" i="9" a="1"/>
  <c r="I269" i="7" a="1"/>
  <c r="F276" i="13" a="1"/>
  <c r="F258" i="11" a="1"/>
  <c r="G297" i="11" a="1"/>
  <c r="J28" i="4" a="1"/>
  <c r="G285" i="11" a="1"/>
  <c r="J35" i="7" a="1"/>
  <c r="D279" i="13" a="1"/>
  <c r="I273" i="4" a="1"/>
  <c r="O26" i="7" a="1"/>
  <c r="F271" i="11" a="1"/>
  <c r="I259" i="7" a="1"/>
  <c r="F292" i="11" a="1"/>
  <c r="F296" i="11" a="1"/>
  <c r="F295" i="11" a="1"/>
  <c r="F290" i="11" a="1"/>
  <c r="F283" i="11" a="1"/>
  <c r="F286" i="11" a="1"/>
  <c r="F285" i="11" a="1"/>
  <c r="F287" i="11" a="1"/>
  <c r="F288" i="11" a="1"/>
  <c r="F299" i="11" a="1"/>
  <c r="F291" i="11" a="1"/>
  <c r="F293" i="11" a="1"/>
  <c r="F294" i="11" a="1"/>
  <c r="F284" i="11" a="1"/>
  <c r="F300" i="11" a="1"/>
  <c r="F282" i="11" a="1"/>
  <c r="F298" i="11" a="1"/>
  <c r="F281" i="11" a="1"/>
  <c r="F297" i="11" a="1"/>
  <c r="F289" i="11" a="1"/>
  <c r="I269" i="4" a="1"/>
  <c r="C274" i="12" a="1"/>
  <c r="H267" i="11" a="1"/>
  <c r="M24" i="9" a="1"/>
  <c r="L26" i="4" a="1"/>
  <c r="N25" i="9" a="1"/>
  <c r="D275" i="13" a="1"/>
  <c r="E272" i="12" a="1"/>
  <c r="I277" i="7" a="1"/>
  <c r="J262" i="9" a="1"/>
  <c r="D279" i="11" a="1"/>
  <c r="G261" i="12" a="1"/>
  <c r="O27" i="7" a="1"/>
  <c r="K26" i="4" a="1"/>
  <c r="C271" i="12" a="1"/>
  <c r="G267" i="12" a="1"/>
  <c r="M23" i="9" a="1"/>
  <c r="P27" i="7" a="1"/>
  <c r="H259" i="13" a="1"/>
  <c r="J265" i="9" a="1"/>
  <c r="F261" i="13" a="1"/>
  <c r="G278" i="13" a="1"/>
  <c r="D262" i="13" a="1"/>
  <c r="E258" i="13" a="1"/>
  <c r="C274" i="13" a="1"/>
  <c r="B260" i="12" a="1"/>
  <c r="C258" i="12" a="1"/>
  <c r="G262" i="12" a="1"/>
  <c r="E274" i="12" a="1"/>
  <c r="F264" i="12" a="1"/>
  <c r="N35" i="4" a="1"/>
  <c r="J275" i="9" a="1"/>
  <c r="O29" i="9" a="1"/>
  <c r="I280" i="4" a="1"/>
  <c r="H280" i="11" a="1"/>
  <c r="P24" i="7" a="1"/>
  <c r="I276" i="4" a="1"/>
  <c r="L29" i="9" a="1"/>
  <c r="L29" i="7" a="1"/>
  <c r="C262" i="11" a="1"/>
  <c r="J273" i="9" a="1"/>
  <c r="B279" i="11" a="1"/>
  <c r="P23" i="4" a="1"/>
  <c r="J280" i="7" a="1"/>
  <c r="D265" i="11" a="1"/>
  <c r="D263" i="11" a="1"/>
  <c r="E295" i="11" a="1"/>
  <c r="G295" i="11" a="1"/>
  <c r="K31" i="4" a="1"/>
  <c r="M34" i="4" a="1"/>
  <c r="J263" i="4" a="1"/>
  <c r="C285" i="11" a="1"/>
  <c r="C289" i="11" a="1"/>
  <c r="C296" i="11" a="1"/>
  <c r="C292" i="11" a="1"/>
  <c r="C287" i="11" a="1"/>
  <c r="C290" i="11" a="1"/>
  <c r="C286" i="11" a="1"/>
  <c r="C283" i="11" a="1"/>
  <c r="C291" i="11" a="1"/>
  <c r="C300" i="11" a="1"/>
  <c r="C299" i="11" a="1"/>
  <c r="C288" i="11" a="1"/>
  <c r="C297" i="11" a="1"/>
  <c r="C282" i="11" a="1"/>
  <c r="C284" i="11" a="1"/>
  <c r="C281" i="11" a="1"/>
  <c r="C293" i="11" a="1"/>
  <c r="C294" i="11" a="1"/>
  <c r="C295" i="11" a="1"/>
  <c r="C298" i="11" a="1"/>
  <c r="F269" i="13" a="1"/>
  <c r="G257" i="13" a="1"/>
  <c r="D259" i="13" a="1"/>
  <c r="E266" i="13" a="1"/>
  <c r="C257" i="13" a="1"/>
  <c r="B275" i="12" a="1"/>
  <c r="C266" i="12" a="1"/>
  <c r="G265" i="12" a="1"/>
  <c r="E280" i="12" a="1"/>
  <c r="F257" i="12" a="1"/>
  <c r="L31" i="9" a="1"/>
  <c r="P29" i="7" a="1"/>
  <c r="M30" i="9" a="1"/>
  <c r="O23" i="4" a="1"/>
  <c r="H270" i="11" a="1"/>
  <c r="K24" i="7" a="1"/>
  <c r="I260" i="4" a="1"/>
  <c r="I279" i="4" a="1"/>
  <c r="N34" i="9" a="1"/>
  <c r="C269" i="13" a="1"/>
  <c r="P33" i="7" a="1"/>
  <c r="O35" i="9" a="1"/>
  <c r="O28" i="4" a="1"/>
  <c r="J31" i="4" a="1"/>
  <c r="F258" i="13" a="1"/>
  <c r="F259" i="12" a="1"/>
  <c r="C272" i="11" a="1"/>
  <c r="C259" i="11" a="1"/>
  <c r="L32" i="7" a="1"/>
  <c r="J30" i="4" a="1"/>
  <c r="G270" i="12" a="1"/>
  <c r="P30" i="7" a="1"/>
  <c r="P30" i="4" a="1"/>
  <c r="I278" i="4" a="1"/>
  <c r="E262" i="11" a="1"/>
  <c r="H279" i="12" a="1"/>
  <c r="D286" i="11" a="1"/>
  <c r="N24" i="7" a="1"/>
  <c r="H272" i="11" a="1"/>
  <c r="P25" i="7" a="1"/>
  <c r="D298" i="11" a="1"/>
  <c r="L23" i="4" a="1"/>
  <c r="M29" i="9" a="1"/>
  <c r="G279" i="13" a="1"/>
  <c r="G278" i="12" a="1"/>
  <c r="P28" i="9" a="1"/>
  <c r="E289" i="11" a="1"/>
  <c r="O34" i="4" a="1"/>
  <c r="J33" i="4" a="1"/>
  <c r="G271" i="12" a="1"/>
  <c r="J29" i="7" a="1"/>
  <c r="J288" i="4" a="1"/>
  <c r="G261" i="13" a="1"/>
  <c r="H263" i="11" a="1"/>
  <c r="H274" i="11" a="1"/>
  <c r="B267" i="11" a="1"/>
  <c r="D284" i="11" a="1"/>
  <c r="E280" i="11" a="1"/>
  <c r="G299" i="11" a="1"/>
  <c r="L24" i="4" a="1"/>
  <c r="F277" i="13" a="1"/>
  <c r="G268" i="13" a="1"/>
  <c r="D267" i="13" a="1"/>
  <c r="E279" i="13" a="1"/>
  <c r="C259" i="13" a="1"/>
  <c r="B267" i="12" a="1"/>
  <c r="C276" i="12" a="1"/>
  <c r="G268" i="12" a="1"/>
  <c r="E267" i="12" a="1"/>
  <c r="F275" i="12" a="1"/>
  <c r="J257" i="7" a="1"/>
  <c r="I267" i="4" a="1"/>
  <c r="I278" i="7" a="1"/>
  <c r="N26" i="9" a="1"/>
  <c r="H266" i="11" a="1"/>
  <c r="J261" i="7" a="1"/>
  <c r="N25" i="7" a="1"/>
  <c r="N29" i="4" a="1"/>
  <c r="J268" i="7" a="1"/>
  <c r="C260" i="11" a="1"/>
  <c r="K34" i="7" a="1"/>
  <c r="B264" i="11" a="1"/>
  <c r="N31" i="7" a="1"/>
  <c r="I265" i="4" a="1"/>
  <c r="D294" i="11" a="1"/>
  <c r="E269" i="11" a="1"/>
  <c r="E296" i="11" a="1"/>
  <c r="G284" i="11" a="1"/>
  <c r="K30" i="4" a="1"/>
  <c r="J24" i="4" a="1"/>
  <c r="J267" i="4" a="1"/>
  <c r="N23" i="9" a="1"/>
  <c r="O35" i="7" a="1"/>
  <c r="J33" i="7" a="1"/>
  <c r="D297" i="11" a="1"/>
  <c r="E282" i="11" a="1"/>
  <c r="G286" i="11" a="1"/>
  <c r="K23" i="4" a="1"/>
  <c r="H267" i="13" a="1"/>
  <c r="G272" i="13" a="1"/>
  <c r="D278" i="13" a="1"/>
  <c r="B275" i="13" a="1"/>
  <c r="C266" i="13" a="1"/>
  <c r="B274" i="12" a="1"/>
  <c r="D270" i="12" a="1"/>
  <c r="G274" i="12" a="1"/>
  <c r="E258" i="12" a="1"/>
  <c r="H258" i="12" a="1"/>
  <c r="J30" i="7" a="1"/>
  <c r="I276" i="9" a="1"/>
  <c r="O23" i="9" a="1"/>
  <c r="I277" i="4" a="1"/>
  <c r="H261" i="11" a="1"/>
  <c r="I268" i="9" a="1"/>
  <c r="O25" i="7" a="1"/>
  <c r="J273" i="7" a="1"/>
  <c r="C276" i="11" a="1"/>
  <c r="J259" i="9" a="1"/>
  <c r="B273" i="11" a="1"/>
  <c r="I259" i="4" a="1"/>
  <c r="D300" i="11" a="1"/>
  <c r="E297" i="11" a="1"/>
  <c r="G294" i="11" a="1"/>
  <c r="J23" i="4" a="1"/>
  <c r="J295" i="4" a="1"/>
  <c r="H270" i="13" a="1"/>
  <c r="G276" i="13" a="1"/>
  <c r="D258" i="13" a="1"/>
  <c r="B277" i="13" a="1"/>
  <c r="C262" i="13" a="1"/>
  <c r="B266" i="12" a="1"/>
  <c r="F266" i="11" a="1"/>
  <c r="J260" i="7" a="1"/>
  <c r="H259" i="11" a="1"/>
  <c r="L26" i="9" a="1"/>
  <c r="N27" i="9" a="1"/>
  <c r="C266" i="11" a="1"/>
  <c r="E278" i="11" a="1"/>
  <c r="E288" i="11" a="1"/>
  <c r="G291" i="11" a="1"/>
  <c r="L33" i="4" a="1"/>
  <c r="J298" i="4" a="1"/>
  <c r="H257" i="13" a="1"/>
  <c r="G273" i="13" a="1"/>
  <c r="D266" i="13" a="1"/>
  <c r="B272" i="13" a="1"/>
  <c r="C270" i="13" a="1"/>
  <c r="B276" i="12" a="1"/>
  <c r="H279" i="11" a="1"/>
  <c r="M31" i="7" a="1"/>
  <c r="I257" i="7" a="1"/>
  <c r="C263" i="11" a="1"/>
  <c r="D291" i="11" a="1"/>
  <c r="E290" i="11" a="1"/>
  <c r="G283" i="11" a="1"/>
  <c r="L25" i="4" a="1"/>
  <c r="J284" i="4" a="1"/>
  <c r="N30" i="7" a="1"/>
  <c r="H269" i="11" a="1"/>
  <c r="M34" i="7" a="1"/>
  <c r="M35" i="9" a="1"/>
  <c r="M33" i="9" a="1"/>
  <c r="I262" i="4" a="1"/>
  <c r="I258" i="7" a="1"/>
  <c r="B261" i="13" a="1"/>
  <c r="J280" i="9" a="1"/>
  <c r="E272" i="11" a="1"/>
  <c r="J300" i="4" a="1"/>
  <c r="E260" i="12" a="1"/>
  <c r="P28" i="7" a="1"/>
  <c r="M32" i="9" a="1"/>
  <c r="E277" i="11" a="1"/>
  <c r="B270" i="13" a="1"/>
  <c r="D265" i="12" a="1"/>
  <c r="P25" i="4" a="1"/>
  <c r="O28" i="7" a="1"/>
  <c r="H274" i="13" a="1"/>
  <c r="G265" i="13" a="1"/>
  <c r="D265" i="13" a="1"/>
  <c r="B264" i="13" a="1"/>
  <c r="C273" i="13" a="1"/>
  <c r="B259" i="12" a="1"/>
  <c r="D261" i="12" a="1"/>
  <c r="G263" i="12" a="1"/>
  <c r="E269" i="12" a="1"/>
  <c r="H260" i="12" a="1"/>
  <c r="I279" i="7" a="1"/>
  <c r="O32" i="4" a="1"/>
  <c r="J260" i="9" a="1"/>
  <c r="I274" i="4" a="1"/>
  <c r="H275" i="11" a="1"/>
  <c r="N28" i="4" a="1"/>
  <c r="P24" i="9" a="1"/>
  <c r="P28" i="4" a="1"/>
  <c r="I268" i="7" a="1"/>
  <c r="C269" i="11" a="1"/>
  <c r="B260" i="11" a="1"/>
  <c r="E261" i="11" a="1"/>
  <c r="J25" i="4" a="1"/>
  <c r="J296" i="4" a="1"/>
  <c r="I260" i="7" a="1"/>
  <c r="K23" i="9" a="1"/>
  <c r="E258" i="11" a="1"/>
  <c r="L30" i="4" a="1"/>
  <c r="D275" i="12" a="1"/>
  <c r="G279" i="12" a="1"/>
  <c r="E276" i="12" a="1"/>
  <c r="H270" i="12" a="1"/>
  <c r="O33" i="7" a="1"/>
  <c r="K23" i="7" a="1"/>
  <c r="O31" i="4" a="1"/>
  <c r="I279" i="9" a="1"/>
  <c r="B271" i="11" a="1"/>
  <c r="J272" i="9" a="1"/>
  <c r="K31" i="9" a="1"/>
  <c r="D281" i="11" a="1"/>
  <c r="J27" i="4" a="1"/>
  <c r="B261" i="11" a="1"/>
  <c r="O29" i="4" a="1"/>
  <c r="O24" i="7" a="1"/>
  <c r="E271" i="11" a="1"/>
  <c r="G272" i="12" a="1"/>
  <c r="J258" i="9" a="1"/>
  <c r="K29" i="7" a="1"/>
  <c r="D285" i="11" a="1"/>
  <c r="H265" i="13" a="1"/>
  <c r="I262" i="9" a="1"/>
  <c r="F260" i="11" a="1"/>
  <c r="L31" i="7" a="1"/>
  <c r="F267" i="13" a="1"/>
  <c r="H272" i="12" a="1"/>
  <c r="C279" i="11" a="1"/>
  <c r="B274" i="11" a="1"/>
  <c r="M24" i="7" a="1"/>
  <c r="E266" i="11" a="1"/>
  <c r="N32" i="7" a="1"/>
  <c r="J293" i="4" a="1"/>
  <c r="B277" i="11" a="1"/>
  <c r="H266" i="13" a="1"/>
  <c r="E260" i="11" a="1"/>
  <c r="N31" i="9" a="1"/>
  <c r="D299" i="11" a="1"/>
  <c r="J276" i="4" a="1"/>
  <c r="C279" i="13" a="1"/>
  <c r="B257" i="13" a="1"/>
  <c r="F261" i="12" a="1"/>
  <c r="O24" i="9" a="1"/>
  <c r="B292" i="11" a="1"/>
  <c r="B289" i="11" a="1"/>
  <c r="B283" i="11" a="1"/>
  <c r="B282" i="11" a="1"/>
  <c r="B297" i="11" a="1"/>
  <c r="B285" i="11" a="1"/>
  <c r="B286" i="11" a="1"/>
  <c r="B299" i="11" a="1"/>
  <c r="B290" i="11" a="1"/>
  <c r="B284" i="11" a="1"/>
  <c r="B293" i="11" a="1"/>
  <c r="B295" i="11" a="1"/>
  <c r="B296" i="11" a="1"/>
  <c r="B287" i="11" a="1"/>
  <c r="B294" i="11" a="1"/>
  <c r="B288" i="11" a="1"/>
  <c r="B291" i="11" a="1"/>
  <c r="B281" i="11" a="1"/>
  <c r="B298" i="11" a="1"/>
  <c r="B300" i="11" a="1"/>
  <c r="J276" i="9" a="1"/>
  <c r="D259" i="12" a="1"/>
  <c r="G277" i="12" a="1"/>
  <c r="E279" i="12" a="1"/>
  <c r="H265" i="12" a="1"/>
  <c r="J28" i="9" a="1"/>
  <c r="F279" i="11" a="1"/>
  <c r="M31" i="9" a="1"/>
  <c r="I266" i="7" a="1"/>
  <c r="J275" i="7" a="1"/>
  <c r="J26" i="9" a="1"/>
  <c r="K32" i="7" a="1"/>
  <c r="L29" i="4" a="1"/>
  <c r="J286" i="4" a="1"/>
  <c r="D288" i="11" a="1"/>
  <c r="L34" i="4" a="1"/>
  <c r="G263" i="11" a="1"/>
  <c r="J34" i="7" a="1"/>
  <c r="E257" i="11" a="1"/>
  <c r="G269" i="13" a="1"/>
  <c r="J35" i="4" a="1"/>
  <c r="D268" i="12" a="1"/>
  <c r="J277" i="7" a="1"/>
  <c r="H278" i="13" a="1"/>
  <c r="G262" i="13" a="1"/>
  <c r="D274" i="13" a="1"/>
  <c r="B274" i="13" a="1"/>
  <c r="C267" i="13" a="1"/>
  <c r="B258" i="12" a="1"/>
  <c r="E263" i="12" a="1"/>
  <c r="H262" i="12" a="1"/>
  <c r="F263" i="11" a="1"/>
  <c r="K27" i="7" a="1"/>
  <c r="G271" i="13" a="1"/>
  <c r="M27" i="7" a="1"/>
  <c r="J274" i="9" a="1"/>
  <c r="G298" i="11" a="1"/>
  <c r="C263" i="12" a="1"/>
  <c r="C277" i="12" a="1"/>
  <c r="D262" i="12" a="1"/>
  <c r="G264" i="12" a="1"/>
  <c r="H275" i="12" a="1"/>
  <c r="M28" i="7" a="1"/>
  <c r="L24" i="9" a="1"/>
  <c r="B269" i="12" a="1"/>
  <c r="E265" i="11" a="1"/>
  <c r="J259" i="7" a="1"/>
  <c r="H279" i="13" a="1"/>
  <c r="G275" i="13" a="1"/>
  <c r="D271" i="13" a="1"/>
  <c r="B273" i="13" a="1"/>
  <c r="C258" i="13" a="1"/>
  <c r="B271" i="12" a="1"/>
  <c r="D280" i="12" a="1"/>
  <c r="G269" i="12" a="1"/>
  <c r="E271" i="12" a="1"/>
  <c r="H268" i="12" a="1"/>
  <c r="N28" i="9" a="1"/>
  <c r="F273" i="11" a="1"/>
  <c r="I262" i="7" a="1"/>
  <c r="B12" i="9" a="1"/>
  <c r="H258" i="11" a="1"/>
  <c r="J263" i="7" a="1"/>
  <c r="I272" i="9" a="1"/>
  <c r="B266" i="13" a="1"/>
  <c r="O31" i="7" a="1"/>
  <c r="B259" i="13" a="1"/>
  <c r="P31" i="7" a="1"/>
  <c r="O32" i="7" a="1"/>
  <c r="K29" i="9" a="1"/>
  <c r="K33" i="7" a="1"/>
  <c r="F270" i="13" a="1"/>
  <c r="H276" i="13" a="1"/>
  <c r="G264" i="13" a="1"/>
  <c r="E264" i="13" a="1"/>
  <c r="B262" i="13" a="1"/>
  <c r="C278" i="13" a="1"/>
  <c r="C270" i="12" a="1"/>
  <c r="D267" i="12" a="1"/>
  <c r="H259" i="12" a="1"/>
  <c r="P29" i="4" a="1"/>
  <c r="J261" i="9" a="1"/>
  <c r="F257" i="11" a="1"/>
  <c r="J23" i="9" a="1"/>
  <c r="J283" i="4" a="1"/>
  <c r="F268" i="13" a="1"/>
  <c r="H269" i="12" a="1"/>
  <c r="J297" i="4" a="1"/>
  <c r="B300" i="11" l="1"/>
  <c r="B298" i="11"/>
  <c r="B281" i="11"/>
  <c r="B291" i="11"/>
  <c r="B288" i="11"/>
  <c r="B294" i="11"/>
  <c r="B287" i="11"/>
  <c r="B296" i="11"/>
  <c r="B295" i="11"/>
  <c r="B293" i="11"/>
  <c r="B284" i="11"/>
  <c r="B290" i="11"/>
  <c r="B299" i="11"/>
  <c r="B286" i="11"/>
  <c r="B285" i="11"/>
  <c r="B297" i="11"/>
  <c r="B282" i="11"/>
  <c r="B283" i="11"/>
  <c r="B289" i="11"/>
  <c r="B292" i="11"/>
  <c r="C298" i="11"/>
  <c r="C295" i="11"/>
  <c r="C294" i="11"/>
  <c r="C293" i="11"/>
  <c r="C281" i="11"/>
  <c r="C284" i="11"/>
  <c r="C282" i="11"/>
  <c r="C297" i="11"/>
  <c r="C288" i="11"/>
  <c r="C299" i="11"/>
  <c r="C300" i="11"/>
  <c r="C291" i="11"/>
  <c r="C283" i="11"/>
  <c r="C286" i="11"/>
  <c r="C290" i="11"/>
  <c r="C287" i="11"/>
  <c r="C292" i="11"/>
  <c r="C296" i="11"/>
  <c r="C289" i="11"/>
  <c r="C285" i="11"/>
  <c r="F289" i="11"/>
  <c r="F297" i="11"/>
  <c r="F281" i="11"/>
  <c r="F298" i="11"/>
  <c r="F282" i="11"/>
  <c r="F300" i="11"/>
  <c r="F284" i="11"/>
  <c r="F294" i="11"/>
  <c r="F293" i="11"/>
  <c r="F291" i="11"/>
  <c r="F299" i="11"/>
  <c r="F288" i="11"/>
  <c r="F287" i="11"/>
  <c r="F285" i="11"/>
  <c r="F286" i="11"/>
  <c r="F283" i="11"/>
  <c r="F290" i="11"/>
  <c r="F295" i="11"/>
  <c r="F296" i="11"/>
  <c r="F292" i="11"/>
  <c r="H298" i="11"/>
  <c r="H289" i="11"/>
  <c r="H287" i="11"/>
  <c r="H290" i="11"/>
  <c r="H282" i="11"/>
  <c r="H284" i="11"/>
  <c r="H292" i="11"/>
  <c r="H296" i="11"/>
  <c r="H281" i="11"/>
  <c r="H297" i="11"/>
  <c r="H295" i="11"/>
  <c r="H288" i="11"/>
  <c r="H291" i="11"/>
  <c r="H286" i="11"/>
  <c r="H283" i="11"/>
  <c r="H285" i="11"/>
  <c r="H300" i="11"/>
  <c r="H293" i="11"/>
  <c r="H299" i="11"/>
  <c r="H294" i="11"/>
  <c r="D292" i="11"/>
  <c r="D283" i="11"/>
  <c r="D287" i="11"/>
  <c r="D282" i="11"/>
  <c r="D290" i="11"/>
  <c r="D293" i="11"/>
  <c r="D284" i="11"/>
  <c r="D298" i="11"/>
  <c r="D299" i="11"/>
  <c r="D288" i="11"/>
  <c r="D286" i="11"/>
  <c r="D296" i="11"/>
  <c r="D289" i="11"/>
  <c r="D285" i="11"/>
  <c r="D291" i="11"/>
  <c r="D281" i="11"/>
  <c r="D300" i="11"/>
  <c r="D297" i="11"/>
  <c r="D294" i="11"/>
  <c r="D295" i="11"/>
  <c r="E286" i="11"/>
  <c r="E287" i="11"/>
  <c r="E290" i="11"/>
  <c r="E288" i="11"/>
  <c r="E297" i="11"/>
  <c r="E282" i="11"/>
  <c r="E296" i="11"/>
  <c r="E289" i="11"/>
  <c r="E281" i="11"/>
  <c r="E300" i="11"/>
  <c r="E284" i="11"/>
  <c r="E295" i="11"/>
  <c r="E285" i="11"/>
  <c r="E298" i="11"/>
  <c r="E283" i="11"/>
  <c r="E293" i="11"/>
  <c r="E294" i="11"/>
  <c r="E292" i="11"/>
  <c r="E291" i="11"/>
  <c r="E299" i="11"/>
  <c r="G299" i="11"/>
  <c r="G293" i="11"/>
  <c r="G298" i="11"/>
  <c r="G289" i="11"/>
  <c r="G290" i="11"/>
  <c r="G281" i="11"/>
  <c r="G287" i="11"/>
  <c r="G285" i="11"/>
  <c r="G283" i="11"/>
  <c r="G291" i="11"/>
  <c r="G294" i="11"/>
  <c r="G286" i="11"/>
  <c r="G284" i="11"/>
  <c r="G288" i="11"/>
  <c r="G282" i="11"/>
  <c r="G297" i="11"/>
  <c r="G292" i="11"/>
  <c r="G295" i="11"/>
  <c r="G300" i="11"/>
  <c r="G296" i="11"/>
  <c r="J291" i="4"/>
  <c r="J292" i="4"/>
  <c r="J299" i="4"/>
  <c r="J294" i="4"/>
  <c r="J289" i="4"/>
  <c r="J287" i="4"/>
  <c r="J290" i="4"/>
  <c r="J285" i="4"/>
  <c r="J283" i="4"/>
  <c r="J297" i="4"/>
  <c r="J288" i="4"/>
  <c r="J281" i="4"/>
  <c r="J286" i="4"/>
  <c r="J300" i="4"/>
  <c r="J293" i="4"/>
  <c r="J282" i="4"/>
  <c r="J284" i="4"/>
  <c r="J298" i="4"/>
  <c r="J295" i="4"/>
  <c r="J296" i="4"/>
  <c r="C260" i="13"/>
  <c r="C276" i="13"/>
  <c r="C268" i="13"/>
  <c r="C271" i="13"/>
  <c r="C263" i="13"/>
  <c r="C279" i="13"/>
  <c r="C269" i="13"/>
  <c r="C278" i="13"/>
  <c r="C280" i="13"/>
  <c r="C258" i="13"/>
  <c r="C265" i="13"/>
  <c r="C267" i="13"/>
  <c r="C270" i="13"/>
  <c r="C262" i="13"/>
  <c r="C266" i="13"/>
  <c r="C273" i="13"/>
  <c r="C259" i="13"/>
  <c r="C272" i="13"/>
  <c r="C261" i="13"/>
  <c r="C264" i="13"/>
  <c r="C257" i="13"/>
  <c r="C274" i="13"/>
  <c r="C277" i="13"/>
  <c r="C275" i="13"/>
  <c r="B279" i="13"/>
  <c r="B263" i="13"/>
  <c r="B276" i="13"/>
  <c r="B268" i="13"/>
  <c r="B260" i="13"/>
  <c r="B271" i="13"/>
  <c r="B258" i="13"/>
  <c r="B267" i="13"/>
  <c r="B269" i="13"/>
  <c r="B280" i="13"/>
  <c r="B265" i="13"/>
  <c r="B278" i="13"/>
  <c r="B257" i="13"/>
  <c r="B270" i="13"/>
  <c r="B259" i="13"/>
  <c r="B262" i="13"/>
  <c r="B266" i="13"/>
  <c r="B273" i="13"/>
  <c r="B261" i="13"/>
  <c r="B274" i="13"/>
  <c r="B272" i="13"/>
  <c r="B277" i="13"/>
  <c r="B275" i="13"/>
  <c r="B264" i="13"/>
  <c r="E279" i="13"/>
  <c r="E271" i="13"/>
  <c r="E263" i="13"/>
  <c r="E274" i="13"/>
  <c r="E266" i="13"/>
  <c r="E258" i="13"/>
  <c r="E265" i="13"/>
  <c r="E262" i="13"/>
  <c r="E267" i="13"/>
  <c r="E276" i="13"/>
  <c r="E269" i="13"/>
  <c r="E278" i="13"/>
  <c r="E280" i="13"/>
  <c r="E260" i="13"/>
  <c r="E270" i="13"/>
  <c r="E273" i="13"/>
  <c r="E259" i="13"/>
  <c r="E272" i="13"/>
  <c r="E275" i="13"/>
  <c r="E277" i="13"/>
  <c r="E257" i="13"/>
  <c r="E261" i="13"/>
  <c r="E268" i="13"/>
  <c r="E264" i="13"/>
  <c r="D279" i="13"/>
  <c r="D271" i="13"/>
  <c r="D263" i="13"/>
  <c r="D274" i="13"/>
  <c r="D266" i="13"/>
  <c r="D258" i="13"/>
  <c r="D278" i="13"/>
  <c r="D265" i="13"/>
  <c r="D267" i="13"/>
  <c r="D276" i="13"/>
  <c r="D269" i="13"/>
  <c r="D280" i="13"/>
  <c r="D259" i="13"/>
  <c r="D262" i="13"/>
  <c r="D275" i="13"/>
  <c r="D270" i="13"/>
  <c r="D273" i="13"/>
  <c r="D272" i="13"/>
  <c r="D264" i="13"/>
  <c r="D268" i="13"/>
  <c r="D277" i="13"/>
  <c r="D257" i="13"/>
  <c r="D261" i="13"/>
  <c r="D260" i="13"/>
  <c r="G258" i="13"/>
  <c r="G274" i="13"/>
  <c r="G266" i="13"/>
  <c r="G277" i="13"/>
  <c r="G269" i="13"/>
  <c r="G261" i="13"/>
  <c r="G280" i="13"/>
  <c r="G264" i="13"/>
  <c r="G271" i="13"/>
  <c r="G275" i="13"/>
  <c r="G260" i="13"/>
  <c r="G262" i="13"/>
  <c r="G273" i="13"/>
  <c r="G276" i="13"/>
  <c r="G272" i="13"/>
  <c r="G265" i="13"/>
  <c r="G268" i="13"/>
  <c r="G279" i="13"/>
  <c r="G259" i="13"/>
  <c r="G263" i="13"/>
  <c r="G257" i="13"/>
  <c r="G278" i="13"/>
  <c r="G270" i="13"/>
  <c r="G267" i="13"/>
  <c r="H277" i="13"/>
  <c r="H269" i="13"/>
  <c r="H261" i="13"/>
  <c r="H280" i="13"/>
  <c r="H272" i="13"/>
  <c r="H264" i="13"/>
  <c r="H262" i="13"/>
  <c r="H273" i="13"/>
  <c r="H275" i="13"/>
  <c r="H258" i="13"/>
  <c r="H260" i="13"/>
  <c r="H271" i="13"/>
  <c r="H259" i="13"/>
  <c r="H263" i="13"/>
  <c r="H268" i="13"/>
  <c r="H276" i="13"/>
  <c r="H266" i="13"/>
  <c r="H279" i="13"/>
  <c r="H265" i="13"/>
  <c r="H278" i="13"/>
  <c r="H257" i="13"/>
  <c r="H270" i="13"/>
  <c r="H267" i="13"/>
  <c r="H274" i="13"/>
  <c r="F277" i="13"/>
  <c r="F274" i="13"/>
  <c r="F266" i="13"/>
  <c r="F258" i="13"/>
  <c r="F269" i="13"/>
  <c r="F261" i="13"/>
  <c r="F276" i="13"/>
  <c r="F280" i="13"/>
  <c r="F260" i="13"/>
  <c r="F262" i="13"/>
  <c r="F278" i="13"/>
  <c r="F264" i="13"/>
  <c r="F271" i="13"/>
  <c r="F279" i="13"/>
  <c r="F275" i="13"/>
  <c r="F259" i="13"/>
  <c r="F263" i="13"/>
  <c r="F272" i="13"/>
  <c r="F265" i="13"/>
  <c r="F257" i="13"/>
  <c r="F273" i="13"/>
  <c r="F267" i="13"/>
  <c r="F268" i="13"/>
  <c r="F270" i="13"/>
  <c r="D16" i="13"/>
  <c r="D17" i="13"/>
  <c r="E17" i="13" s="1"/>
  <c r="H273" i="12"/>
  <c r="H257" i="12"/>
  <c r="H266" i="12"/>
  <c r="H271" i="12"/>
  <c r="H280" i="12"/>
  <c r="H264" i="12"/>
  <c r="H278" i="12"/>
  <c r="H267" i="12"/>
  <c r="H277" i="12"/>
  <c r="H274" i="12"/>
  <c r="H261" i="12"/>
  <c r="H276" i="12"/>
  <c r="H275" i="12"/>
  <c r="H272" i="12"/>
  <c r="H269" i="12"/>
  <c r="H259" i="12"/>
  <c r="H279" i="12"/>
  <c r="H268" i="12"/>
  <c r="H263" i="12"/>
  <c r="H262" i="12"/>
  <c r="H265" i="12"/>
  <c r="H270" i="12"/>
  <c r="H258" i="12"/>
  <c r="H260" i="12"/>
  <c r="F275" i="12"/>
  <c r="F259" i="12"/>
  <c r="F268" i="12"/>
  <c r="F273" i="12"/>
  <c r="F257" i="12"/>
  <c r="F264" i="12"/>
  <c r="F280" i="12"/>
  <c r="F266" i="12"/>
  <c r="F267" i="12"/>
  <c r="F272" i="12"/>
  <c r="F277" i="12"/>
  <c r="F271" i="12"/>
  <c r="F262" i="12"/>
  <c r="F270" i="12"/>
  <c r="F274" i="12"/>
  <c r="F269" i="12"/>
  <c r="F279" i="12"/>
  <c r="F258" i="12"/>
  <c r="F263" i="12"/>
  <c r="F278" i="12"/>
  <c r="F261" i="12"/>
  <c r="F260" i="12"/>
  <c r="F276" i="12"/>
  <c r="F265" i="12"/>
  <c r="E260" i="12"/>
  <c r="E271" i="12"/>
  <c r="E278" i="12"/>
  <c r="E263" i="12"/>
  <c r="E279" i="12"/>
  <c r="E276" i="12"/>
  <c r="E258" i="12"/>
  <c r="E269" i="12"/>
  <c r="E267" i="12"/>
  <c r="E270" i="12"/>
  <c r="E262" i="12"/>
  <c r="E257" i="12"/>
  <c r="E280" i="12"/>
  <c r="E274" i="12"/>
  <c r="E272" i="12"/>
  <c r="E264" i="12"/>
  <c r="E265" i="12"/>
  <c r="E259" i="12"/>
  <c r="E275" i="12"/>
  <c r="E273" i="12"/>
  <c r="E261" i="12"/>
  <c r="E277" i="12"/>
  <c r="E266" i="12"/>
  <c r="E268" i="12"/>
  <c r="G266" i="12"/>
  <c r="G275" i="12"/>
  <c r="G259" i="12"/>
  <c r="G280" i="12"/>
  <c r="G264" i="12"/>
  <c r="G273" i="12"/>
  <c r="G257" i="12"/>
  <c r="G271" i="12"/>
  <c r="G270" i="12"/>
  <c r="G269" i="12"/>
  <c r="G267" i="12"/>
  <c r="G272" i="12"/>
  <c r="G277" i="12"/>
  <c r="G279" i="12"/>
  <c r="G274" i="12"/>
  <c r="G263" i="12"/>
  <c r="G268" i="12"/>
  <c r="G278" i="12"/>
  <c r="G261" i="12"/>
  <c r="G260" i="12"/>
  <c r="G265" i="12"/>
  <c r="G262" i="12"/>
  <c r="G258" i="12"/>
  <c r="G276" i="12"/>
  <c r="D274" i="12"/>
  <c r="D276" i="12"/>
  <c r="D271" i="12"/>
  <c r="D279" i="12"/>
  <c r="D260" i="12"/>
  <c r="D278" i="12"/>
  <c r="D263" i="12"/>
  <c r="D273" i="12"/>
  <c r="D258" i="12"/>
  <c r="D272" i="12"/>
  <c r="D269" i="12"/>
  <c r="D277" i="12"/>
  <c r="D262" i="12"/>
  <c r="D265" i="12"/>
  <c r="D264" i="12"/>
  <c r="D267" i="12"/>
  <c r="D257" i="12"/>
  <c r="D280" i="12"/>
  <c r="D266" i="12"/>
  <c r="D268" i="12"/>
  <c r="D259" i="12"/>
  <c r="D275" i="12"/>
  <c r="D270" i="12"/>
  <c r="D261" i="12"/>
  <c r="C276" i="12"/>
  <c r="C271" i="12"/>
  <c r="C278" i="12"/>
  <c r="C273" i="12"/>
  <c r="C266" i="12"/>
  <c r="C258" i="12"/>
  <c r="C274" i="12"/>
  <c r="C272" i="12"/>
  <c r="C264" i="12"/>
  <c r="C257" i="12"/>
  <c r="C280" i="12"/>
  <c r="C265" i="12"/>
  <c r="C260" i="12"/>
  <c r="C269" i="12"/>
  <c r="C259" i="12"/>
  <c r="C267" i="12"/>
  <c r="C262" i="12"/>
  <c r="C261" i="12"/>
  <c r="C275" i="12"/>
  <c r="C268" i="12"/>
  <c r="C277" i="12"/>
  <c r="C263" i="12"/>
  <c r="C279" i="12"/>
  <c r="C270" i="12"/>
  <c r="B269" i="12"/>
  <c r="B271" i="12"/>
  <c r="B273" i="12"/>
  <c r="B258" i="12"/>
  <c r="B276" i="12"/>
  <c r="B266" i="12"/>
  <c r="B274" i="12"/>
  <c r="B259" i="12"/>
  <c r="B267" i="12"/>
  <c r="B264" i="12"/>
  <c r="B262" i="12"/>
  <c r="B265" i="12"/>
  <c r="B275" i="12"/>
  <c r="B260" i="12"/>
  <c r="B278" i="12"/>
  <c r="B257" i="12"/>
  <c r="B280" i="12"/>
  <c r="B270" i="12"/>
  <c r="B268" i="12"/>
  <c r="B261" i="12"/>
  <c r="B277" i="12"/>
  <c r="B272" i="12"/>
  <c r="B263" i="12"/>
  <c r="B279" i="12"/>
  <c r="D16" i="12"/>
  <c r="D17" i="12"/>
  <c r="E17" i="12" s="1"/>
  <c r="G279" i="11"/>
  <c r="G263" i="11"/>
  <c r="G276" i="11"/>
  <c r="G260" i="11"/>
  <c r="G270" i="11"/>
  <c r="G267" i="11"/>
  <c r="G280" i="11"/>
  <c r="G273" i="11"/>
  <c r="G257" i="11"/>
  <c r="G266" i="11"/>
  <c r="G264" i="11"/>
  <c r="G277" i="11"/>
  <c r="G261" i="11"/>
  <c r="G262" i="11"/>
  <c r="G275" i="11"/>
  <c r="G268" i="11"/>
  <c r="G259" i="11"/>
  <c r="G269" i="11"/>
  <c r="G271" i="11"/>
  <c r="G278" i="11"/>
  <c r="G274" i="11"/>
  <c r="G258" i="11"/>
  <c r="G272" i="11"/>
  <c r="G265" i="11"/>
  <c r="B267" i="11"/>
  <c r="B263" i="11"/>
  <c r="B268" i="11"/>
  <c r="B270" i="11"/>
  <c r="B276" i="11"/>
  <c r="B277" i="11"/>
  <c r="B257" i="11"/>
  <c r="B274" i="11"/>
  <c r="B261" i="11"/>
  <c r="B271" i="11"/>
  <c r="B273" i="11"/>
  <c r="B260" i="11"/>
  <c r="B264" i="11"/>
  <c r="B280" i="11"/>
  <c r="B258" i="11"/>
  <c r="B265" i="11"/>
  <c r="B272" i="11"/>
  <c r="B279" i="11"/>
  <c r="B269" i="11"/>
  <c r="B259" i="11"/>
  <c r="B266" i="11"/>
  <c r="B275" i="11"/>
  <c r="B262" i="11"/>
  <c r="B278" i="11"/>
  <c r="C275" i="11"/>
  <c r="C259" i="11"/>
  <c r="C272" i="11"/>
  <c r="C279" i="11"/>
  <c r="C263" i="11"/>
  <c r="C266" i="11"/>
  <c r="C276" i="11"/>
  <c r="C269" i="11"/>
  <c r="C260" i="11"/>
  <c r="C280" i="11"/>
  <c r="C257" i="11"/>
  <c r="C278" i="11"/>
  <c r="C264" i="11"/>
  <c r="C262" i="11"/>
  <c r="C258" i="11"/>
  <c r="C273" i="11"/>
  <c r="C271" i="11"/>
  <c r="C261" i="11"/>
  <c r="C274" i="11"/>
  <c r="C265" i="11"/>
  <c r="C268" i="11"/>
  <c r="C267" i="11"/>
  <c r="C277" i="11"/>
  <c r="C270" i="11"/>
  <c r="H274" i="11"/>
  <c r="H263" i="11"/>
  <c r="H272" i="11"/>
  <c r="H271" i="11"/>
  <c r="H265" i="11"/>
  <c r="H258" i="11"/>
  <c r="H278" i="11"/>
  <c r="H269" i="11"/>
  <c r="H279" i="11"/>
  <c r="H259" i="11"/>
  <c r="H261" i="11"/>
  <c r="H275" i="11"/>
  <c r="H266" i="11"/>
  <c r="H268" i="11"/>
  <c r="H277" i="11"/>
  <c r="H262" i="11"/>
  <c r="H270" i="11"/>
  <c r="H280" i="11"/>
  <c r="H267" i="11"/>
  <c r="H257" i="11"/>
  <c r="H264" i="11"/>
  <c r="H273" i="11"/>
  <c r="H260" i="11"/>
  <c r="H276" i="11"/>
  <c r="D261" i="11"/>
  <c r="D267" i="11"/>
  <c r="D265" i="11"/>
  <c r="D274" i="11"/>
  <c r="D270" i="11"/>
  <c r="D271" i="11"/>
  <c r="D264" i="11"/>
  <c r="D268" i="11"/>
  <c r="D275" i="11"/>
  <c r="D257" i="11"/>
  <c r="D280" i="11"/>
  <c r="D258" i="11"/>
  <c r="D277" i="11"/>
  <c r="D262" i="11"/>
  <c r="D278" i="11"/>
  <c r="D266" i="11"/>
  <c r="D273" i="11"/>
  <c r="D279" i="11"/>
  <c r="D260" i="11"/>
  <c r="D263" i="11"/>
  <c r="D276" i="11"/>
  <c r="D269" i="11"/>
  <c r="D272" i="11"/>
  <c r="D259" i="11"/>
  <c r="E269" i="11"/>
  <c r="E266" i="11"/>
  <c r="E273" i="11"/>
  <c r="E276" i="11"/>
  <c r="E260" i="11"/>
  <c r="E279" i="11"/>
  <c r="E263" i="11"/>
  <c r="E268" i="11"/>
  <c r="E264" i="11"/>
  <c r="E262" i="11"/>
  <c r="E270" i="11"/>
  <c r="E275" i="11"/>
  <c r="E271" i="11"/>
  <c r="E280" i="11"/>
  <c r="E278" i="11"/>
  <c r="E257" i="11"/>
  <c r="E277" i="11"/>
  <c r="E274" i="11"/>
  <c r="E265" i="11"/>
  <c r="E258" i="11"/>
  <c r="E267" i="11"/>
  <c r="E259" i="11"/>
  <c r="E261" i="11"/>
  <c r="E272" i="11"/>
  <c r="F258" i="11"/>
  <c r="F272" i="11"/>
  <c r="F267" i="11"/>
  <c r="F259" i="11"/>
  <c r="F265" i="11"/>
  <c r="F274" i="11"/>
  <c r="F268" i="11"/>
  <c r="F277" i="11"/>
  <c r="F262" i="11"/>
  <c r="F264" i="11"/>
  <c r="F261" i="11"/>
  <c r="F275" i="11"/>
  <c r="F269" i="11"/>
  <c r="F278" i="11"/>
  <c r="F280" i="11"/>
  <c r="F271" i="11"/>
  <c r="F257" i="11"/>
  <c r="F260" i="11"/>
  <c r="F276" i="11"/>
  <c r="F273" i="11"/>
  <c r="F270" i="11"/>
  <c r="F263" i="11"/>
  <c r="F279" i="11"/>
  <c r="F266" i="11"/>
  <c r="M257" i="11"/>
  <c r="D17" i="11"/>
  <c r="E17" i="11" s="1"/>
  <c r="D16" i="11"/>
  <c r="C19" i="9"/>
  <c r="C19" i="7"/>
  <c r="C19" i="4"/>
  <c r="M22" i="9"/>
  <c r="J22" i="9"/>
  <c r="K22" i="9"/>
  <c r="N22" i="9"/>
  <c r="L22" i="9"/>
  <c r="O22" i="9"/>
  <c r="P22" i="9"/>
  <c r="K28" i="9"/>
  <c r="P30" i="9"/>
  <c r="J28" i="9"/>
  <c r="J32" i="9"/>
  <c r="K30" i="9"/>
  <c r="J30" i="9"/>
  <c r="J24" i="9"/>
  <c r="K24" i="9"/>
  <c r="P32" i="9"/>
  <c r="K26" i="9"/>
  <c r="J34" i="9"/>
  <c r="P26" i="9"/>
  <c r="P34" i="9"/>
  <c r="P28" i="9"/>
  <c r="K32" i="9"/>
  <c r="P24" i="9"/>
  <c r="J26" i="9"/>
  <c r="K34" i="9"/>
  <c r="L24" i="9"/>
  <c r="L26" i="9"/>
  <c r="L28" i="9"/>
  <c r="L30" i="9"/>
  <c r="L32" i="9"/>
  <c r="L34" i="9"/>
  <c r="M24" i="9"/>
  <c r="M26" i="9"/>
  <c r="M28" i="9"/>
  <c r="M30" i="9"/>
  <c r="M32" i="9"/>
  <c r="M34" i="9"/>
  <c r="N24" i="9"/>
  <c r="N26" i="9"/>
  <c r="N28" i="9"/>
  <c r="N30" i="9"/>
  <c r="N32" i="9"/>
  <c r="N34" i="9"/>
  <c r="O24" i="9"/>
  <c r="O26" i="9"/>
  <c r="O28" i="9"/>
  <c r="O30" i="9"/>
  <c r="O32" i="9"/>
  <c r="O34" i="9"/>
  <c r="J35" i="9"/>
  <c r="K29" i="9"/>
  <c r="O35" i="9"/>
  <c r="J29" i="9"/>
  <c r="J31" i="9"/>
  <c r="P33" i="9"/>
  <c r="M35" i="9"/>
  <c r="K33" i="9"/>
  <c r="J23" i="9"/>
  <c r="J25" i="9"/>
  <c r="J27" i="9"/>
  <c r="J33" i="9"/>
  <c r="K23" i="9"/>
  <c r="K25" i="9"/>
  <c r="K27" i="9"/>
  <c r="K31" i="9"/>
  <c r="K35" i="9"/>
  <c r="L23" i="9"/>
  <c r="L25" i="9"/>
  <c r="L27" i="9"/>
  <c r="L29" i="9"/>
  <c r="L31" i="9"/>
  <c r="L33" i="9"/>
  <c r="L35" i="9"/>
  <c r="M23" i="9"/>
  <c r="M25" i="9"/>
  <c r="M27" i="9"/>
  <c r="M29" i="9"/>
  <c r="M31" i="9"/>
  <c r="M33" i="9"/>
  <c r="N23" i="9"/>
  <c r="N25" i="9"/>
  <c r="N27" i="9"/>
  <c r="N29" i="9"/>
  <c r="N31" i="9"/>
  <c r="N33" i="9"/>
  <c r="N35" i="9"/>
  <c r="O23" i="9"/>
  <c r="O25" i="9"/>
  <c r="O27" i="9"/>
  <c r="O29" i="9"/>
  <c r="O31" i="9"/>
  <c r="O33" i="9"/>
  <c r="P23" i="9"/>
  <c r="P25" i="9"/>
  <c r="P27" i="9"/>
  <c r="P29" i="9"/>
  <c r="P31" i="9"/>
  <c r="P35" i="9"/>
  <c r="B12" i="9"/>
  <c r="J32" i="7"/>
  <c r="L24" i="7"/>
  <c r="L26" i="7"/>
  <c r="L28" i="7"/>
  <c r="L30" i="7"/>
  <c r="L32" i="7"/>
  <c r="L34" i="7"/>
  <c r="M24" i="7"/>
  <c r="M26" i="7"/>
  <c r="M28" i="7"/>
  <c r="M30" i="7"/>
  <c r="M32" i="7"/>
  <c r="M34" i="7"/>
  <c r="N24" i="7"/>
  <c r="N26" i="7"/>
  <c r="N28" i="7"/>
  <c r="N30" i="7"/>
  <c r="N32" i="7"/>
  <c r="N34" i="7"/>
  <c r="O24" i="7"/>
  <c r="O26" i="7"/>
  <c r="O28" i="7"/>
  <c r="O30" i="7"/>
  <c r="O32" i="7"/>
  <c r="O34" i="7"/>
  <c r="J30" i="7"/>
  <c r="P28" i="7"/>
  <c r="J23" i="7"/>
  <c r="J25" i="7"/>
  <c r="J27" i="7"/>
  <c r="J29" i="7"/>
  <c r="J31" i="7"/>
  <c r="J33" i="7"/>
  <c r="J35" i="7"/>
  <c r="P26" i="7"/>
  <c r="K31" i="7"/>
  <c r="L29" i="7"/>
  <c r="M23" i="7"/>
  <c r="M25" i="7"/>
  <c r="M27" i="7"/>
  <c r="M29" i="7"/>
  <c r="M31" i="7"/>
  <c r="M33" i="7"/>
  <c r="M35" i="7"/>
  <c r="K32" i="7"/>
  <c r="O35" i="7"/>
  <c r="J28" i="7"/>
  <c r="K28" i="7"/>
  <c r="P24" i="7"/>
  <c r="P34" i="7"/>
  <c r="K23" i="7"/>
  <c r="K33" i="7"/>
  <c r="L23" i="7"/>
  <c r="L25" i="7"/>
  <c r="L31" i="7"/>
  <c r="N23" i="7"/>
  <c r="N25" i="7"/>
  <c r="N27" i="7"/>
  <c r="N29" i="7"/>
  <c r="N31" i="7"/>
  <c r="N33" i="7"/>
  <c r="N35" i="7"/>
  <c r="O23" i="7"/>
  <c r="O25" i="7"/>
  <c r="O27" i="7"/>
  <c r="O29" i="7"/>
  <c r="O31" i="7"/>
  <c r="O33" i="7"/>
  <c r="P23" i="7"/>
  <c r="P25" i="7"/>
  <c r="P27" i="7"/>
  <c r="P29" i="7"/>
  <c r="P31" i="7"/>
  <c r="P33" i="7"/>
  <c r="P35" i="7"/>
  <c r="J26" i="7"/>
  <c r="K26" i="7"/>
  <c r="J34" i="7"/>
  <c r="K30" i="7"/>
  <c r="P30" i="7"/>
  <c r="L27" i="7"/>
  <c r="L35" i="7"/>
  <c r="J24" i="7"/>
  <c r="K24" i="7"/>
  <c r="K34" i="7"/>
  <c r="P32" i="7"/>
  <c r="K25" i="7"/>
  <c r="K27" i="7"/>
  <c r="K29" i="7"/>
  <c r="K35" i="7"/>
  <c r="L33" i="7"/>
  <c r="B12" i="7"/>
  <c r="N24" i="4"/>
  <c r="O24" i="4"/>
  <c r="N28" i="4"/>
  <c r="L32" i="4"/>
  <c r="P24" i="4"/>
  <c r="O28" i="4"/>
  <c r="M32" i="4"/>
  <c r="P28" i="4"/>
  <c r="N32" i="4"/>
  <c r="J25" i="4"/>
  <c r="O32" i="4"/>
  <c r="K25" i="4"/>
  <c r="J29" i="4"/>
  <c r="P32" i="4"/>
  <c r="L25" i="4"/>
  <c r="K29" i="4"/>
  <c r="M25" i="4"/>
  <c r="L29" i="4"/>
  <c r="J33" i="4"/>
  <c r="N25" i="4"/>
  <c r="K33" i="4"/>
  <c r="O25" i="4"/>
  <c r="M29" i="4"/>
  <c r="L33" i="4"/>
  <c r="P25" i="4"/>
  <c r="N29" i="4"/>
  <c r="M33" i="4"/>
  <c r="O29" i="4"/>
  <c r="N33" i="4"/>
  <c r="M23" i="4"/>
  <c r="N35" i="4"/>
  <c r="J23" i="4"/>
  <c r="O33" i="4"/>
  <c r="K26" i="4"/>
  <c r="K30" i="4"/>
  <c r="L30" i="4"/>
  <c r="L34" i="4"/>
  <c r="P26" i="4"/>
  <c r="P30" i="4"/>
  <c r="K23" i="4"/>
  <c r="L23" i="4"/>
  <c r="M27" i="4"/>
  <c r="L35" i="4"/>
  <c r="P23" i="4"/>
  <c r="O27" i="4"/>
  <c r="P27" i="4"/>
  <c r="O35" i="4"/>
  <c r="K24" i="4"/>
  <c r="J28" i="4"/>
  <c r="P35" i="4"/>
  <c r="J26" i="4"/>
  <c r="P33" i="4"/>
  <c r="L26" i="4"/>
  <c r="M26" i="4"/>
  <c r="K34" i="4"/>
  <c r="O26" i="4"/>
  <c r="N30" i="4"/>
  <c r="N34" i="4"/>
  <c r="J27" i="4"/>
  <c r="K27" i="4"/>
  <c r="J31" i="4"/>
  <c r="K31" i="4"/>
  <c r="L31" i="4"/>
  <c r="N27" i="4"/>
  <c r="N31" i="4"/>
  <c r="O31" i="4"/>
  <c r="J24" i="4"/>
  <c r="P31" i="4"/>
  <c r="L24" i="4"/>
  <c r="K28" i="4"/>
  <c r="J32" i="4"/>
  <c r="M28" i="4"/>
  <c r="P29" i="4"/>
  <c r="J30" i="4"/>
  <c r="J34" i="4"/>
  <c r="N26" i="4"/>
  <c r="M30" i="4"/>
  <c r="M34" i="4"/>
  <c r="O30" i="4"/>
  <c r="O34" i="4"/>
  <c r="P34" i="4"/>
  <c r="L27" i="4"/>
  <c r="J35" i="4"/>
  <c r="N23" i="4"/>
  <c r="K35" i="4"/>
  <c r="O23" i="4"/>
  <c r="M31" i="4"/>
  <c r="M35" i="4"/>
  <c r="M24" i="4"/>
  <c r="L28" i="4"/>
  <c r="K32" i="4"/>
  <c r="B12" i="4"/>
  <c r="B18" i="4" s="1"/>
  <c r="J257" i="4"/>
  <c r="J261" i="4"/>
  <c r="I270" i="4"/>
  <c r="J277" i="4"/>
  <c r="L277" i="4" s="1"/>
  <c r="I263" i="4"/>
  <c r="J270" i="4"/>
  <c r="L270" i="4" s="1"/>
  <c r="I279" i="4"/>
  <c r="I275" i="4"/>
  <c r="J259" i="4"/>
  <c r="J279" i="4"/>
  <c r="L279" i="4" s="1"/>
  <c r="J262" i="4"/>
  <c r="I271" i="4"/>
  <c r="J278" i="4"/>
  <c r="L278" i="4" s="1"/>
  <c r="J273" i="4"/>
  <c r="L273" i="4" s="1"/>
  <c r="J275" i="4"/>
  <c r="L275" i="4" s="1"/>
  <c r="I258" i="4"/>
  <c r="J265" i="4"/>
  <c r="L265" i="4" s="1"/>
  <c r="I274" i="4"/>
  <c r="J258" i="4"/>
  <c r="L258" i="4" s="1"/>
  <c r="I278" i="4"/>
  <c r="J266" i="4"/>
  <c r="I268" i="4"/>
  <c r="J263" i="4"/>
  <c r="L263" i="4" s="1"/>
  <c r="I276" i="4"/>
  <c r="I264" i="4"/>
  <c r="J271" i="4"/>
  <c r="L271" i="4" s="1"/>
  <c r="I280" i="4"/>
  <c r="I266" i="4"/>
  <c r="I261" i="4"/>
  <c r="J268" i="4"/>
  <c r="L268" i="4" s="1"/>
  <c r="I259" i="4"/>
  <c r="I277" i="4"/>
  <c r="I260" i="4"/>
  <c r="J269" i="4"/>
  <c r="I257" i="4"/>
  <c r="J264" i="4"/>
  <c r="I273" i="4"/>
  <c r="J280" i="4"/>
  <c r="I272" i="4"/>
  <c r="I265" i="4"/>
  <c r="J272" i="4"/>
  <c r="L272" i="4" s="1"/>
  <c r="I267" i="4"/>
  <c r="J274" i="4"/>
  <c r="J267" i="4"/>
  <c r="L267" i="4" s="1"/>
  <c r="J260" i="4"/>
  <c r="L260" i="4" s="1"/>
  <c r="I269" i="4"/>
  <c r="J276" i="4"/>
  <c r="L276" i="4" s="1"/>
  <c r="I262" i="4"/>
  <c r="I262" i="7"/>
  <c r="I269" i="7"/>
  <c r="I260" i="7"/>
  <c r="J269" i="7"/>
  <c r="I276" i="7"/>
  <c r="I258" i="7"/>
  <c r="J260" i="7"/>
  <c r="I267" i="7"/>
  <c r="J276" i="7"/>
  <c r="J258" i="7"/>
  <c r="J267" i="7"/>
  <c r="I274" i="7"/>
  <c r="I278" i="7"/>
  <c r="I265" i="7"/>
  <c r="J274" i="7"/>
  <c r="I263" i="7"/>
  <c r="J263" i="7"/>
  <c r="I270" i="7"/>
  <c r="J270" i="7"/>
  <c r="I277" i="7"/>
  <c r="I259" i="7"/>
  <c r="J277" i="7"/>
  <c r="J259" i="7"/>
  <c r="I266" i="7"/>
  <c r="J275" i="7"/>
  <c r="I272" i="7"/>
  <c r="J265" i="7"/>
  <c r="J272" i="7"/>
  <c r="I279" i="7"/>
  <c r="I261" i="7"/>
  <c r="J279" i="7"/>
  <c r="J261" i="7"/>
  <c r="I268" i="7"/>
  <c r="J268" i="7"/>
  <c r="I275" i="7"/>
  <c r="J257" i="7"/>
  <c r="J266" i="7"/>
  <c r="J273" i="7"/>
  <c r="J262" i="7"/>
  <c r="I271" i="7"/>
  <c r="J278" i="7"/>
  <c r="I264" i="7"/>
  <c r="J271" i="7"/>
  <c r="I280" i="7"/>
  <c r="I257" i="7"/>
  <c r="J264" i="7"/>
  <c r="I273" i="7"/>
  <c r="J280" i="7"/>
  <c r="J276" i="9"/>
  <c r="J272" i="9"/>
  <c r="J258" i="9"/>
  <c r="J261" i="9"/>
  <c r="J262" i="9"/>
  <c r="J263" i="9"/>
  <c r="J279" i="9"/>
  <c r="J257" i="9"/>
  <c r="J274" i="9"/>
  <c r="J259" i="9"/>
  <c r="J260" i="9"/>
  <c r="J277" i="9"/>
  <c r="J264" i="9"/>
  <c r="J280" i="9"/>
  <c r="J265" i="9"/>
  <c r="J266" i="9"/>
  <c r="J267" i="9"/>
  <c r="J268" i="9"/>
  <c r="J269" i="9"/>
  <c r="J270" i="9"/>
  <c r="J271" i="9"/>
  <c r="J273" i="9"/>
  <c r="J275" i="9"/>
  <c r="J278" i="9"/>
  <c r="I259" i="9"/>
  <c r="I265" i="9"/>
  <c r="I271" i="9"/>
  <c r="I261" i="9"/>
  <c r="I267" i="9"/>
  <c r="I263" i="9"/>
  <c r="I275" i="9"/>
  <c r="I277" i="9"/>
  <c r="I273" i="9"/>
  <c r="I279" i="9"/>
  <c r="I269" i="9"/>
  <c r="I257" i="9"/>
  <c r="I258" i="9"/>
  <c r="I260" i="9"/>
  <c r="I262" i="9"/>
  <c r="I264" i="9"/>
  <c r="I266" i="9"/>
  <c r="I268" i="9"/>
  <c r="I270" i="9"/>
  <c r="I272" i="9"/>
  <c r="I274" i="9"/>
  <c r="I276" i="9"/>
  <c r="I278" i="9"/>
  <c r="I280" i="9"/>
  <c r="E19" i="11" a="1"/>
  <c r="E19" i="13" a="1"/>
  <c r="E19" i="12" a="1"/>
  <c r="L266" i="4" l="1"/>
  <c r="L280" i="4"/>
  <c r="L264" i="4"/>
  <c r="L274" i="4"/>
  <c r="L259" i="4"/>
  <c r="L262" i="4"/>
  <c r="L261" i="4"/>
  <c r="M261" i="4" s="1"/>
  <c r="L257" i="4"/>
  <c r="L269" i="4"/>
  <c r="L286" i="4"/>
  <c r="M286" i="4" s="1"/>
  <c r="L288" i="4"/>
  <c r="M288" i="4" s="1"/>
  <c r="L295" i="4"/>
  <c r="M295" i="4" s="1"/>
  <c r="L284" i="4"/>
  <c r="M284" i="4" s="1"/>
  <c r="L297" i="4"/>
  <c r="M297" i="4" s="1"/>
  <c r="L290" i="4"/>
  <c r="M290" i="4" s="1"/>
  <c r="L285" i="4"/>
  <c r="M285" i="4" s="1"/>
  <c r="L287" i="4"/>
  <c r="M287" i="4" s="1"/>
  <c r="L296" i="4"/>
  <c r="M296" i="4" s="1"/>
  <c r="L289" i="4"/>
  <c r="M289" i="4" s="1"/>
  <c r="L293" i="4"/>
  <c r="M293" i="4" s="1"/>
  <c r="L294" i="4"/>
  <c r="M294" i="4" s="1"/>
  <c r="L298" i="4"/>
  <c r="M298" i="4" s="1"/>
  <c r="L282" i="4"/>
  <c r="M282" i="4" s="1"/>
  <c r="L299" i="4"/>
  <c r="M299" i="4" s="1"/>
  <c r="L300" i="4"/>
  <c r="M300" i="4" s="1"/>
  <c r="L281" i="4"/>
  <c r="M281" i="4" s="1"/>
  <c r="L292" i="4"/>
  <c r="M292" i="4" s="1"/>
  <c r="L283" i="4"/>
  <c r="M283" i="4" s="1"/>
  <c r="L291" i="4"/>
  <c r="M291" i="4" s="1"/>
  <c r="E19" i="13"/>
  <c r="E16" i="13"/>
  <c r="E19" i="12"/>
  <c r="E16" i="12"/>
  <c r="F249" i="4" a="1"/>
  <c r="F249" i="4" s="1"/>
  <c r="E19" i="11"/>
  <c r="M277" i="4"/>
  <c r="M280" i="4"/>
  <c r="M264" i="4"/>
  <c r="M259" i="4"/>
  <c r="M268" i="4"/>
  <c r="E16" i="11"/>
  <c r="M278" i="4"/>
  <c r="C12" i="4"/>
  <c r="M266" i="4"/>
  <c r="M276" i="4"/>
  <c r="M274" i="4"/>
  <c r="M267" i="4"/>
  <c r="M265" i="4"/>
  <c r="M279" i="4"/>
  <c r="M262" i="4"/>
  <c r="M258" i="4"/>
  <c r="M269" i="4"/>
  <c r="M271" i="4"/>
  <c r="M275" i="4"/>
  <c r="M272" i="4"/>
  <c r="M273" i="4"/>
  <c r="M263" i="4"/>
  <c r="M257" i="4"/>
  <c r="M270" i="4"/>
  <c r="M260" i="4"/>
  <c r="E249" i="7" a="1"/>
  <c r="E249" i="7" s="1"/>
  <c r="E248" i="7" a="1"/>
  <c r="E248" i="7" s="1"/>
  <c r="D249" i="7" a="1"/>
  <c r="D249" i="7" s="1"/>
  <c r="F247" i="4" a="1"/>
  <c r="F247" i="4" s="1"/>
  <c r="F250" i="7" a="1"/>
  <c r="F250" i="7" s="1"/>
  <c r="F248" i="4" a="1"/>
  <c r="F248" i="4" s="1"/>
  <c r="E249" i="9" a="1"/>
  <c r="E249" i="9" s="1"/>
  <c r="H247" i="7" a="1"/>
  <c r="H247" i="7" s="1"/>
  <c r="G250" i="7" a="1"/>
  <c r="G250" i="7" s="1"/>
  <c r="G247" i="7" a="1"/>
  <c r="G247" i="7" s="1"/>
  <c r="G248" i="7" a="1"/>
  <c r="G248" i="7" s="1"/>
  <c r="F248" i="7" a="1"/>
  <c r="F248" i="7" s="1"/>
  <c r="D247" i="7" a="1"/>
  <c r="D247" i="7" s="1"/>
  <c r="C247" i="7" a="1"/>
  <c r="C247" i="7" s="1"/>
  <c r="E250" i="9" a="1"/>
  <c r="E250" i="9" s="1"/>
  <c r="E247" i="9" a="1"/>
  <c r="E247" i="9" s="1"/>
  <c r="E248" i="9" a="1"/>
  <c r="E248" i="9" s="1"/>
  <c r="B18" i="9"/>
  <c r="C12" i="9"/>
  <c r="C248" i="7" a="1"/>
  <c r="C248" i="7" s="1"/>
  <c r="H250" i="7" a="1"/>
  <c r="H250" i="7" s="1"/>
  <c r="C250" i="7" a="1"/>
  <c r="C250" i="7" s="1"/>
  <c r="E247" i="7" a="1"/>
  <c r="E247" i="7" s="1"/>
  <c r="C249" i="7" a="1"/>
  <c r="C249" i="7" s="1"/>
  <c r="E250" i="7" a="1"/>
  <c r="E250" i="7" s="1"/>
  <c r="H249" i="7" a="1"/>
  <c r="H249" i="7" s="1"/>
  <c r="F249" i="7" a="1"/>
  <c r="F249" i="7" s="1"/>
  <c r="D250" i="7" a="1"/>
  <c r="D250" i="7" s="1"/>
  <c r="D248" i="7" a="1"/>
  <c r="D248" i="7" s="1"/>
  <c r="H248" i="7" a="1"/>
  <c r="H248" i="7" s="1"/>
  <c r="F247" i="7" a="1"/>
  <c r="F247" i="7" s="1"/>
  <c r="G249" i="7" a="1"/>
  <c r="G249" i="7" s="1"/>
  <c r="B18" i="7"/>
  <c r="C12" i="7"/>
  <c r="B249" i="7" a="1"/>
  <c r="B249" i="7" s="1"/>
  <c r="B250" i="7" a="1"/>
  <c r="B250" i="7" s="1"/>
  <c r="B248" i="7" a="1"/>
  <c r="B248" i="7" s="1"/>
  <c r="B247" i="7" a="1"/>
  <c r="B247" i="7" s="1"/>
  <c r="F250" i="4" a="1"/>
  <c r="F250" i="4" s="1"/>
  <c r="D17" i="4"/>
  <c r="E17" i="4" s="1"/>
  <c r="D16" i="4"/>
  <c r="B250" i="4" a="1"/>
  <c r="B250" i="4" s="1"/>
  <c r="B248" i="4" a="1"/>
  <c r="B248" i="4" s="1"/>
  <c r="B247" i="4" a="1"/>
  <c r="B247" i="4" s="1"/>
  <c r="B249" i="4" a="1"/>
  <c r="B249" i="4" s="1"/>
  <c r="E247" i="4" a="1"/>
  <c r="E247" i="4" s="1"/>
  <c r="E250" i="4" a="1"/>
  <c r="E250" i="4" s="1"/>
  <c r="E248" i="4" a="1"/>
  <c r="E248" i="4" s="1"/>
  <c r="E249" i="4" a="1"/>
  <c r="E249" i="4" s="1"/>
  <c r="D250" i="4" a="1"/>
  <c r="D250" i="4" s="1"/>
  <c r="D248" i="4" a="1"/>
  <c r="D248" i="4" s="1"/>
  <c r="D247" i="4" a="1"/>
  <c r="D247" i="4" s="1"/>
  <c r="D249" i="4" a="1"/>
  <c r="D249" i="4" s="1"/>
  <c r="C247" i="4" a="1"/>
  <c r="C247" i="4" s="1"/>
  <c r="C248" i="4" a="1"/>
  <c r="C248" i="4" s="1"/>
  <c r="C250" i="4" a="1"/>
  <c r="C250" i="4" s="1"/>
  <c r="C249" i="4" a="1"/>
  <c r="C249" i="4" s="1"/>
  <c r="H248" i="4" a="1"/>
  <c r="H248" i="4" s="1"/>
  <c r="H250" i="4" a="1"/>
  <c r="H250" i="4" s="1"/>
  <c r="H247" i="4" a="1"/>
  <c r="H247" i="4" s="1"/>
  <c r="H249" i="4" a="1"/>
  <c r="H249" i="4" s="1"/>
  <c r="G247" i="4" a="1"/>
  <c r="G247" i="4" s="1"/>
  <c r="G250" i="4" a="1"/>
  <c r="G250" i="4" s="1"/>
  <c r="G249" i="4" a="1"/>
  <c r="G249" i="4" s="1"/>
  <c r="G248" i="4" a="1"/>
  <c r="G248" i="4" s="1"/>
  <c r="B248" i="9" a="1"/>
  <c r="B248" i="9" s="1"/>
  <c r="B247" i="9" a="1"/>
  <c r="B247" i="9" s="1"/>
  <c r="B250" i="9" a="1"/>
  <c r="B250" i="9" s="1"/>
  <c r="B249" i="9" a="1"/>
  <c r="B249" i="9" s="1"/>
  <c r="C250" i="9" a="1"/>
  <c r="C250" i="9" s="1"/>
  <c r="C249" i="9" a="1"/>
  <c r="C249" i="9" s="1"/>
  <c r="C248" i="9" a="1"/>
  <c r="C248" i="9" s="1"/>
  <c r="C247" i="9" a="1"/>
  <c r="C247" i="9" s="1"/>
  <c r="H250" i="9" a="1"/>
  <c r="H250" i="9" s="1"/>
  <c r="H248" i="9" a="1"/>
  <c r="H248" i="9" s="1"/>
  <c r="H247" i="9" a="1"/>
  <c r="H247" i="9" s="1"/>
  <c r="H249" i="9" a="1"/>
  <c r="H249" i="9" s="1"/>
  <c r="F248" i="9" a="1"/>
  <c r="F248" i="9" s="1"/>
  <c r="F249" i="9" a="1"/>
  <c r="F249" i="9" s="1"/>
  <c r="F247" i="9" a="1"/>
  <c r="F247" i="9" s="1"/>
  <c r="F250" i="9" a="1"/>
  <c r="F250" i="9" s="1"/>
  <c r="G248" i="9" a="1"/>
  <c r="G248" i="9" s="1"/>
  <c r="G250" i="9" a="1"/>
  <c r="G250" i="9" s="1"/>
  <c r="G247" i="9" a="1"/>
  <c r="G247" i="9" s="1"/>
  <c r="G249" i="9" a="1"/>
  <c r="G249" i="9" s="1"/>
  <c r="D249" i="9" a="1"/>
  <c r="D249" i="9" s="1"/>
  <c r="D247" i="9" a="1"/>
  <c r="D247" i="9" s="1"/>
  <c r="D248" i="9" a="1"/>
  <c r="D248" i="9" s="1"/>
  <c r="D250" i="9" a="1"/>
  <c r="D250" i="9" s="1"/>
  <c r="Q30" i="13" a="1"/>
  <c r="E266" i="9" a="1"/>
  <c r="F275" i="9" a="1"/>
  <c r="H260" i="4" a="1"/>
  <c r="H271" i="4" a="1"/>
  <c r="D271" i="7" a="1"/>
  <c r="G273" i="4" a="1"/>
  <c r="F275" i="4" a="1"/>
  <c r="B276" i="7" a="1"/>
  <c r="E259" i="7" a="1"/>
  <c r="G259" i="7" a="1"/>
  <c r="D268" i="7" a="1"/>
  <c r="B278" i="7" a="1"/>
  <c r="G278" i="9" a="1"/>
  <c r="C258" i="4" a="1"/>
  <c r="C276" i="4" a="1"/>
  <c r="D292" i="4" a="1"/>
  <c r="E282" i="4" a="1"/>
  <c r="B269" i="4" a="1"/>
  <c r="B294" i="4" a="1"/>
  <c r="C264" i="9" a="1"/>
  <c r="B266" i="9" a="1"/>
  <c r="C261" i="4" a="1"/>
  <c r="D290" i="4" a="1"/>
  <c r="B258" i="4" a="1"/>
  <c r="B288" i="4" a="1"/>
  <c r="Q33" i="12" a="1"/>
  <c r="F268" i="4" a="1"/>
  <c r="G272" i="7" a="1"/>
  <c r="D257" i="7" a="1"/>
  <c r="B261" i="4" a="1"/>
  <c r="G263" i="4" a="1"/>
  <c r="B274" i="4" a="1"/>
  <c r="F273" i="9" a="1"/>
  <c r="G270" i="9" a="1"/>
  <c r="B262" i="4" a="1"/>
  <c r="Q23" i="12" a="1"/>
  <c r="G259" i="4" a="1"/>
  <c r="E260" i="9" a="1"/>
  <c r="H280" i="4" a="1"/>
  <c r="E273" i="7" a="1"/>
  <c r="H278" i="9" a="1"/>
  <c r="C272" i="7" a="1"/>
  <c r="G277" i="7" a="1"/>
  <c r="C280" i="4" a="1"/>
  <c r="D271" i="4" a="1"/>
  <c r="B257" i="4" a="1"/>
  <c r="Q26" i="12" a="1"/>
  <c r="D274" i="9" a="1"/>
  <c r="B272" i="9" a="1"/>
  <c r="B272" i="7" a="1"/>
  <c r="C300" i="4" a="1"/>
  <c r="H260" i="7" a="1"/>
  <c r="G277" i="9" a="1"/>
  <c r="F261" i="9" a="1"/>
  <c r="H258" i="7" a="1"/>
  <c r="F266" i="7" a="1"/>
  <c r="E277" i="7" a="1"/>
  <c r="G276" i="9" a="1"/>
  <c r="E261" i="4" a="1"/>
  <c r="Q32" i="12" a="1"/>
  <c r="D277" i="9" a="1"/>
  <c r="F268" i="7" a="1"/>
  <c r="C257" i="7" a="1"/>
  <c r="E265" i="7" a="1"/>
  <c r="E279" i="9" a="1"/>
  <c r="B279" i="7" a="1"/>
  <c r="D270" i="4" a="1"/>
  <c r="C287" i="4" a="1"/>
  <c r="E259" i="4" a="1"/>
  <c r="B286" i="4" a="1"/>
  <c r="F264" i="4" a="1"/>
  <c r="D272" i="4" a="1"/>
  <c r="E271" i="4" a="1"/>
  <c r="B293" i="4" a="1"/>
  <c r="E278" i="9" a="1"/>
  <c r="C261" i="7" a="1"/>
  <c r="G271" i="7" a="1"/>
  <c r="G268" i="9" a="1"/>
  <c r="E274" i="9" a="1"/>
  <c r="E279" i="7" a="1"/>
  <c r="Q32" i="13" a="1"/>
  <c r="H264" i="7" a="1"/>
  <c r="C260" i="9" a="1"/>
  <c r="H279" i="4" a="1"/>
  <c r="E266" i="7" a="1"/>
  <c r="F272" i="4" a="1"/>
  <c r="H275" i="4" a="1"/>
  <c r="C258" i="9" a="1"/>
  <c r="H257" i="9" a="1"/>
  <c r="F262" i="7" a="1"/>
  <c r="B279" i="9" a="1"/>
  <c r="E265" i="9" a="1"/>
  <c r="C278" i="4" a="1"/>
  <c r="E281" i="4" a="1"/>
  <c r="B274" i="9" a="1"/>
  <c r="H275" i="9" a="1"/>
  <c r="F267" i="4" a="1"/>
  <c r="C265" i="9" a="1"/>
  <c r="D268" i="9" a="1"/>
  <c r="C269" i="4" a="1"/>
  <c r="D285" i="4" a="1"/>
  <c r="E292" i="4" a="1"/>
  <c r="G270" i="7" a="1"/>
  <c r="Q25" i="12" a="1"/>
  <c r="D275" i="7" a="1"/>
  <c r="E274" i="7" a="1"/>
  <c r="G266" i="7" a="1"/>
  <c r="D273" i="7" a="1"/>
  <c r="H267" i="4" a="1"/>
  <c r="F267" i="9" a="1"/>
  <c r="C259" i="4" a="1"/>
  <c r="D263" i="4" a="1"/>
  <c r="B263" i="4" a="1"/>
  <c r="G258" i="9" a="1"/>
  <c r="E278" i="7" a="1"/>
  <c r="C280" i="7" a="1"/>
  <c r="G275" i="7" a="1"/>
  <c r="E259" i="9" a="1"/>
  <c r="H269" i="9" a="1"/>
  <c r="C277" i="7" a="1"/>
  <c r="D261" i="4" a="1"/>
  <c r="G267" i="9" a="1"/>
  <c r="D280" i="9" a="1"/>
  <c r="B259" i="7" a="1"/>
  <c r="B270" i="9" a="1"/>
  <c r="E283" i="4" a="1"/>
  <c r="H260" i="9" a="1"/>
  <c r="B275" i="7" a="1"/>
  <c r="C292" i="4" a="1"/>
  <c r="E258" i="4" a="1"/>
  <c r="B280" i="4" a="1"/>
  <c r="H266" i="9" a="1"/>
  <c r="G275" i="9" a="1"/>
  <c r="D266" i="7" a="1"/>
  <c r="D263" i="7" a="1"/>
  <c r="C268" i="9" a="1"/>
  <c r="F280" i="9" a="1"/>
  <c r="E269" i="9" a="1"/>
  <c r="E258" i="9" a="1"/>
  <c r="H268" i="4" a="1"/>
  <c r="Q34" i="11" a="1"/>
  <c r="F279" i="4" a="1"/>
  <c r="C273" i="7" a="1"/>
  <c r="Q28" i="11" a="1"/>
  <c r="H261" i="7" a="1"/>
  <c r="H264" i="4" a="1"/>
  <c r="C262" i="9" a="1"/>
  <c r="G269" i="7" a="1"/>
  <c r="F260" i="9" a="1"/>
  <c r="H277" i="7" a="1"/>
  <c r="B275" i="9" a="1"/>
  <c r="G268" i="4" a="1"/>
  <c r="H278" i="7" a="1"/>
  <c r="C290" i="4" a="1"/>
  <c r="E273" i="4" a="1"/>
  <c r="E268" i="9" a="1"/>
  <c r="F266" i="4" a="1"/>
  <c r="Q34" i="13" a="1"/>
  <c r="H259" i="7" a="1"/>
  <c r="C262" i="7" a="1"/>
  <c r="C279" i="9" a="1"/>
  <c r="F260" i="4" a="1"/>
  <c r="D278" i="9" a="1"/>
  <c r="B258" i="9" a="1"/>
  <c r="B280" i="7" a="1"/>
  <c r="F271" i="9" a="1"/>
  <c r="F270" i="4" a="1"/>
  <c r="F272" i="9" a="1"/>
  <c r="B278" i="9" a="1"/>
  <c r="B280" i="9" a="1"/>
  <c r="G265" i="9" a="1"/>
  <c r="C262" i="4" a="1"/>
  <c r="D280" i="4" a="1"/>
  <c r="D295" i="4" a="1"/>
  <c r="E291" i="4" a="1"/>
  <c r="B278" i="4" a="1"/>
  <c r="B290" i="4" a="1"/>
  <c r="G274" i="4" a="1"/>
  <c r="D278" i="4" a="1"/>
  <c r="D299" i="4" a="1"/>
  <c r="E293" i="4" a="1"/>
  <c r="B272" i="4" a="1"/>
  <c r="B289" i="4" a="1"/>
  <c r="B281" i="4" a="1"/>
  <c r="H275" i="7" a="1"/>
  <c r="F257" i="7" a="1"/>
  <c r="E280" i="9" a="1"/>
  <c r="G279" i="9" a="1"/>
  <c r="H262" i="7" a="1"/>
  <c r="D291" i="4" a="1"/>
  <c r="F269" i="9" a="1"/>
  <c r="C269" i="9" a="1"/>
  <c r="G272" i="9" a="1"/>
  <c r="D257" i="4" a="1"/>
  <c r="B265" i="4" a="1"/>
  <c r="E262" i="9" a="1"/>
  <c r="D277" i="7" a="1"/>
  <c r="C271" i="7" a="1"/>
  <c r="E264" i="7" a="1"/>
  <c r="G257" i="4" a="1"/>
  <c r="D275" i="4" a="1"/>
  <c r="B271" i="4" a="1"/>
  <c r="Q29" i="12" a="1"/>
  <c r="B273" i="7" a="1"/>
  <c r="H266" i="4" a="1"/>
  <c r="B264" i="7" a="1"/>
  <c r="C278" i="9" a="1"/>
  <c r="H261" i="9" a="1"/>
  <c r="F276" i="4" a="1"/>
  <c r="C285" i="4" a="1"/>
  <c r="B277" i="4" a="1"/>
  <c r="Q35" i="12" a="1"/>
  <c r="C263" i="7" a="1"/>
  <c r="D279" i="7" a="1"/>
  <c r="G266" i="9" a="1"/>
  <c r="B270" i="4" a="1"/>
  <c r="D262" i="4" a="1"/>
  <c r="E268" i="4" a="1"/>
  <c r="B276" i="4" a="1"/>
  <c r="Q24" i="11" a="1"/>
  <c r="G274" i="7" a="1"/>
  <c r="E257" i="7" a="1"/>
  <c r="F257" i="9" a="1"/>
  <c r="F264" i="9" a="1"/>
  <c r="B276" i="9" a="1"/>
  <c r="C265" i="7" a="1"/>
  <c r="C278" i="7" a="1"/>
  <c r="E277" i="9" a="1"/>
  <c r="G280" i="4" a="1"/>
  <c r="F280" i="4" a="1"/>
  <c r="F280" i="7" a="1"/>
  <c r="D269" i="4" a="1"/>
  <c r="C273" i="9" a="1"/>
  <c r="G271" i="9" a="1"/>
  <c r="E257" i="9" a="1"/>
  <c r="B271" i="7" a="1"/>
  <c r="H271" i="9" a="1"/>
  <c r="G278" i="7" a="1"/>
  <c r="C286" i="4" a="1"/>
  <c r="F287" i="4" a="1"/>
  <c r="F286" i="4" a="1"/>
  <c r="F298" i="4" a="1"/>
  <c r="F292" i="4" a="1"/>
  <c r="F285" i="4" a="1"/>
  <c r="F297" i="4" a="1"/>
  <c r="F288" i="4" a="1"/>
  <c r="F281" i="4" a="1"/>
  <c r="F296" i="4" a="1"/>
  <c r="F295" i="4" a="1"/>
  <c r="F293" i="4" a="1"/>
  <c r="F283" i="4" a="1"/>
  <c r="F282" i="4" a="1"/>
  <c r="F284" i="4" a="1"/>
  <c r="F294" i="4" a="1"/>
  <c r="F291" i="4" a="1"/>
  <c r="F299" i="4" a="1"/>
  <c r="F289" i="4" a="1"/>
  <c r="F290" i="4" a="1"/>
  <c r="F300" i="4" a="1"/>
  <c r="Q31" i="12" a="1"/>
  <c r="D260" i="7" a="1"/>
  <c r="F268" i="9" a="1"/>
  <c r="F274" i="7" a="1"/>
  <c r="H277" i="4" a="1"/>
  <c r="B273" i="9" a="1"/>
  <c r="B263" i="7" a="1"/>
  <c r="F263" i="7" a="1"/>
  <c r="G272" i="4" a="1"/>
  <c r="H257" i="4" a="1"/>
  <c r="D269" i="7" a="1"/>
  <c r="C280" i="9" a="1"/>
  <c r="E263" i="9" a="1"/>
  <c r="C260" i="4" a="1"/>
  <c r="G258" i="7" a="1"/>
  <c r="B262" i="9" a="1"/>
  <c r="F259" i="9" a="1"/>
  <c r="H277" i="9" a="1"/>
  <c r="D266" i="4" a="1"/>
  <c r="B260" i="4" a="1"/>
  <c r="D274" i="4" a="1"/>
  <c r="H259" i="4" a="1"/>
  <c r="C277" i="9" a="1"/>
  <c r="F278" i="7" a="1"/>
  <c r="H257" i="7" a="1"/>
  <c r="E276" i="7" a="1"/>
  <c r="C272" i="9" a="1"/>
  <c r="C279" i="7" a="1"/>
  <c r="D276" i="4" a="1"/>
  <c r="E290" i="4" a="1"/>
  <c r="Q28" i="12" a="1"/>
  <c r="H258" i="9" a="1"/>
  <c r="H263" i="7" a="1"/>
  <c r="F267" i="7" a="1"/>
  <c r="C291" i="4" a="1"/>
  <c r="E284" i="4" a="1"/>
  <c r="D264" i="4" a="1"/>
  <c r="F277" i="9" a="1"/>
  <c r="B274" i="7" a="1"/>
  <c r="D268" i="4" a="1"/>
  <c r="H261" i="4" a="1"/>
  <c r="F276" i="7" a="1"/>
  <c r="C293" i="4" a="1"/>
  <c r="C296" i="4" a="1"/>
  <c r="G277" i="4" a="1"/>
  <c r="D264" i="9" a="1"/>
  <c r="G257" i="9" a="1"/>
  <c r="H279" i="9" a="1"/>
  <c r="C299" i="4" a="1"/>
  <c r="E275" i="4" a="1"/>
  <c r="B298" i="4" a="1"/>
  <c r="B270" i="7" a="1"/>
  <c r="Q27" i="12" a="1"/>
  <c r="E268" i="7" a="1"/>
  <c r="B265" i="9" a="1"/>
  <c r="C274" i="7" a="1"/>
  <c r="C270" i="7" a="1"/>
  <c r="G273" i="9" a="1"/>
  <c r="E264" i="9" a="1"/>
  <c r="C266" i="7" a="1"/>
  <c r="B259" i="9" a="1"/>
  <c r="B271" i="9" a="1"/>
  <c r="G265" i="4" a="1"/>
  <c r="E261" i="7" a="1"/>
  <c r="B269" i="9" a="1"/>
  <c r="F261" i="4" a="1"/>
  <c r="C275" i="4" a="1"/>
  <c r="D258" i="4" a="1"/>
  <c r="D296" i="4" a="1"/>
  <c r="E288" i="4" a="1"/>
  <c r="B264" i="4" a="1"/>
  <c r="G261" i="7" a="1"/>
  <c r="C259" i="7" a="1"/>
  <c r="C271" i="9" a="1"/>
  <c r="F259" i="7" a="1"/>
  <c r="B262" i="7" a="1"/>
  <c r="E299" i="4" a="1"/>
  <c r="D266" i="9" a="1"/>
  <c r="F279" i="7" a="1"/>
  <c r="D276" i="9" a="1"/>
  <c r="B261" i="7" a="1"/>
  <c r="F270" i="7" a="1"/>
  <c r="D286" i="4" a="1"/>
  <c r="D276" i="7" a="1"/>
  <c r="B277" i="9" a="1"/>
  <c r="E270" i="9" a="1"/>
  <c r="F262" i="4" a="1"/>
  <c r="D262" i="9" a="1"/>
  <c r="G276" i="7" a="1"/>
  <c r="D260" i="4" a="1"/>
  <c r="E298" i="4" a="1"/>
  <c r="F269" i="4" a="1"/>
  <c r="B260" i="7" a="1"/>
  <c r="B264" i="9" a="1"/>
  <c r="H278" i="4" a="1"/>
  <c r="E260" i="7" a="1"/>
  <c r="F264" i="7" a="1"/>
  <c r="D259" i="4" a="1"/>
  <c r="B268" i="4" a="1"/>
  <c r="Q34" i="12" a="1"/>
  <c r="F279" i="9" a="1"/>
  <c r="H272" i="7" a="1"/>
  <c r="G264" i="7" a="1"/>
  <c r="G276" i="4" a="1"/>
  <c r="D269" i="9" a="1"/>
  <c r="G261" i="4" a="1"/>
  <c r="C298" i="4" a="1"/>
  <c r="D265" i="4" a="1"/>
  <c r="D279" i="4" a="1"/>
  <c r="Q30" i="11" a="1"/>
  <c r="G268" i="7" a="1"/>
  <c r="F278" i="4" a="1"/>
  <c r="H280" i="9" a="1"/>
  <c r="D272" i="9" a="1"/>
  <c r="E260" i="4" a="1"/>
  <c r="E258" i="7" a="1"/>
  <c r="B258" i="7" a="1"/>
  <c r="G280" i="7" a="1"/>
  <c r="B257" i="7" a="1"/>
  <c r="C269" i="7" a="1"/>
  <c r="F273" i="7" a="1"/>
  <c r="H270" i="7" a="1"/>
  <c r="D267" i="4" a="1"/>
  <c r="E264" i="4" a="1"/>
  <c r="G262" i="7" a="1"/>
  <c r="G264" i="4" a="1"/>
  <c r="Q24" i="12" a="1"/>
  <c r="E271" i="9" a="1"/>
  <c r="C257" i="4" a="1"/>
  <c r="Q30" i="12" a="1"/>
  <c r="B277" i="7" a="1"/>
  <c r="D270" i="9" a="1"/>
  <c r="G280" i="9" a="1"/>
  <c r="H266" i="7" a="1"/>
  <c r="F257" i="4" a="1"/>
  <c r="E269" i="7" a="1"/>
  <c r="C273" i="4" a="1"/>
  <c r="D273" i="4" a="1"/>
  <c r="E289" i="4" a="1"/>
  <c r="C275" i="7" a="1"/>
  <c r="C276" i="7" a="1"/>
  <c r="H273" i="7" a="1"/>
  <c r="E294" i="4" a="1"/>
  <c r="H267" i="9" a="1"/>
  <c r="D264" i="7" a="1"/>
  <c r="D261" i="7" a="1"/>
  <c r="H269" i="7" a="1"/>
  <c r="D258" i="7" a="1"/>
  <c r="D277" i="4" a="1"/>
  <c r="E286" i="4" a="1"/>
  <c r="D279" i="9" a="1"/>
  <c r="G279" i="7" a="1"/>
  <c r="C258" i="7" a="1"/>
  <c r="H276" i="7" a="1"/>
  <c r="D267" i="9" a="1"/>
  <c r="E276" i="4" a="1"/>
  <c r="D261" i="9" a="1"/>
  <c r="B263" i="9" a="1"/>
  <c r="E257" i="4" a="1"/>
  <c r="G261" i="9" a="1"/>
  <c r="F262" i="9" a="1"/>
  <c r="B268" i="7" a="1"/>
  <c r="D274" i="7" a="1"/>
  <c r="G278" i="4" a="1"/>
  <c r="G271" i="4" a="1"/>
  <c r="D294" i="4" a="1"/>
  <c r="E269" i="4" a="1"/>
  <c r="E277" i="4" a="1"/>
  <c r="B297" i="4" a="1"/>
  <c r="F277" i="7" a="1"/>
  <c r="E300" i="4" a="1"/>
  <c r="B260" i="9" a="1"/>
  <c r="E275" i="7" a="1"/>
  <c r="G266" i="4" a="1"/>
  <c r="G275" i="4" a="1"/>
  <c r="C263" i="4" a="1"/>
  <c r="C281" i="4" a="1"/>
  <c r="E296" i="4" a="1"/>
  <c r="B296" i="4" a="1"/>
  <c r="E280" i="7" a="1"/>
  <c r="C295" i="4" a="1"/>
  <c r="B284" i="4" a="1"/>
  <c r="G263" i="7" a="1"/>
  <c r="E273" i="9" a="1"/>
  <c r="C267" i="4" a="1"/>
  <c r="C272" i="4" a="1"/>
  <c r="C288" i="4" a="1"/>
  <c r="D297" i="4" a="1"/>
  <c r="E295" i="4" a="1"/>
  <c r="B299" i="4" a="1"/>
  <c r="H262" i="9" a="1"/>
  <c r="F258" i="7" a="1"/>
  <c r="C259" i="9" a="1"/>
  <c r="E285" i="4" a="1"/>
  <c r="D265" i="9" a="1"/>
  <c r="B259" i="4" a="1"/>
  <c r="Q26" i="13" a="1"/>
  <c r="D259" i="9" a="1"/>
  <c r="C264" i="4" a="1"/>
  <c r="C271" i="4" a="1"/>
  <c r="H269" i="4" a="1"/>
  <c r="C276" i="9" a="1"/>
  <c r="D282" i="4" a="1"/>
  <c r="F275" i="7" a="1"/>
  <c r="G274" i="9" a="1"/>
  <c r="C277" i="4" a="1"/>
  <c r="G279" i="4" a="1"/>
  <c r="H274" i="4" a="1"/>
  <c r="F271" i="4" a="1"/>
  <c r="F278" i="9" a="1"/>
  <c r="E271" i="7" a="1"/>
  <c r="B300" i="4" a="1"/>
  <c r="C266" i="9" a="1"/>
  <c r="D275" i="9" a="1"/>
  <c r="E267" i="4" a="1"/>
  <c r="F274" i="9" a="1"/>
  <c r="F270" i="9" a="1"/>
  <c r="B267" i="4" a="1"/>
  <c r="C261" i="9" a="1"/>
  <c r="F266" i="9" a="1"/>
  <c r="Q26" i="11" a="1"/>
  <c r="E267" i="7" a="1"/>
  <c r="H273" i="4" a="1"/>
  <c r="E266" i="4" a="1"/>
  <c r="E265" i="4" a="1"/>
  <c r="Q31" i="11" a="1"/>
  <c r="H265" i="9" a="1"/>
  <c r="C294" i="4" a="1"/>
  <c r="B275" i="4" a="1"/>
  <c r="G300" i="4" a="1"/>
  <c r="G290" i="4" a="1"/>
  <c r="G282" i="4" a="1"/>
  <c r="G293" i="4" a="1"/>
  <c r="G283" i="4" a="1"/>
  <c r="G289" i="4" a="1"/>
  <c r="G285" i="4" a="1"/>
  <c r="G287" i="4" a="1"/>
  <c r="G281" i="4" a="1"/>
  <c r="G288" i="4" a="1"/>
  <c r="G292" i="4" a="1"/>
  <c r="G296" i="4" a="1"/>
  <c r="G286" i="4" a="1"/>
  <c r="G291" i="4" a="1"/>
  <c r="G298" i="4" a="1"/>
  <c r="G294" i="4" a="1"/>
  <c r="G299" i="4" a="1"/>
  <c r="G297" i="4" a="1"/>
  <c r="G295" i="4" a="1"/>
  <c r="G284" i="4" a="1"/>
  <c r="H280" i="7" a="1"/>
  <c r="Q35" i="11" a="1"/>
  <c r="B266" i="4" a="1"/>
  <c r="H264" i="9" a="1"/>
  <c r="B257" i="9" a="1"/>
  <c r="G269" i="4" a="1"/>
  <c r="Q27" i="13" a="1"/>
  <c r="G260" i="9" a="1"/>
  <c r="D272" i="7" a="1"/>
  <c r="H270" i="4" a="1"/>
  <c r="E272" i="9" a="1"/>
  <c r="E262" i="7" a="1"/>
  <c r="D260" i="9" a="1"/>
  <c r="C263" i="9" a="1"/>
  <c r="F260" i="7" a="1"/>
  <c r="E287" i="4" a="1"/>
  <c r="B268" i="9" a="1"/>
  <c r="H272" i="4" a="1"/>
  <c r="Q28" i="13" a="1"/>
  <c r="C268" i="4" a="1"/>
  <c r="B291" i="4" a="1"/>
  <c r="F276" i="9" a="1"/>
  <c r="Q32" i="11" a="1"/>
  <c r="E263" i="7" a="1"/>
  <c r="G260" i="7" a="1"/>
  <c r="B269" i="7" a="1"/>
  <c r="G269" i="9" a="1"/>
  <c r="B265" i="7" a="1"/>
  <c r="G264" i="9" a="1"/>
  <c r="C275" i="9" a="1"/>
  <c r="H276" i="4" a="1"/>
  <c r="H276" i="9" a="1"/>
  <c r="G262" i="4" a="1"/>
  <c r="G258" i="4" a="1"/>
  <c r="G270" i="4" a="1"/>
  <c r="H270" i="9" a="1"/>
  <c r="C282" i="4" a="1"/>
  <c r="D289" i="4" a="1"/>
  <c r="E270" i="4" a="1"/>
  <c r="E262" i="4" a="1"/>
  <c r="B282" i="4" a="1"/>
  <c r="Q25" i="13" a="1"/>
  <c r="Q23" i="11" a="1"/>
  <c r="H274" i="9" a="1"/>
  <c r="D258" i="9" a="1"/>
  <c r="G262" i="9" a="1"/>
  <c r="E275" i="9" a="1"/>
  <c r="H273" i="9" a="1"/>
  <c r="H279" i="7" a="1"/>
  <c r="F261" i="7" a="1"/>
  <c r="F271" i="7" a="1"/>
  <c r="C260" i="7" a="1"/>
  <c r="C268" i="7" a="1"/>
  <c r="D280" i="7" a="1"/>
  <c r="B266" i="7" a="1"/>
  <c r="C274" i="4" a="1"/>
  <c r="C289" i="4" a="1"/>
  <c r="D287" i="4" a="1"/>
  <c r="E278" i="4" a="1"/>
  <c r="E263" i="4" a="1"/>
  <c r="B285" i="4" a="1"/>
  <c r="H296" i="4" a="1"/>
  <c r="H295" i="4" a="1"/>
  <c r="H286" i="4" a="1"/>
  <c r="H292" i="4" a="1"/>
  <c r="H282" i="4" a="1"/>
  <c r="H287" i="4" a="1"/>
  <c r="H281" i="4" a="1"/>
  <c r="H297" i="4" a="1"/>
  <c r="H300" i="4" a="1"/>
  <c r="H291" i="4" a="1"/>
  <c r="H283" i="4" a="1"/>
  <c r="H293" i="4" a="1"/>
  <c r="H288" i="4" a="1"/>
  <c r="H284" i="4" a="1"/>
  <c r="H285" i="4" a="1"/>
  <c r="H294" i="4" a="1"/>
  <c r="H298" i="4" a="1"/>
  <c r="H289" i="4" a="1"/>
  <c r="H299" i="4" a="1"/>
  <c r="H290" i="4" a="1"/>
  <c r="Q29" i="13" a="1"/>
  <c r="Q25" i="11" a="1"/>
  <c r="F265" i="9" a="1"/>
  <c r="D270" i="7" a="1"/>
  <c r="E272" i="7" a="1"/>
  <c r="D265" i="7" a="1"/>
  <c r="F272" i="7" a="1"/>
  <c r="F263" i="9" a="1"/>
  <c r="D278" i="7" a="1"/>
  <c r="E19" i="4" a="1"/>
  <c r="C264" i="7" a="1"/>
  <c r="B261" i="9" a="1"/>
  <c r="F263" i="4" a="1"/>
  <c r="F258" i="4" a="1"/>
  <c r="C265" i="4" a="1"/>
  <c r="C297" i="4" a="1"/>
  <c r="D281" i="4" a="1"/>
  <c r="E279" i="4" a="1"/>
  <c r="E280" i="4" a="1"/>
  <c r="B287" i="4" a="1"/>
  <c r="Q33" i="13" a="1"/>
  <c r="Q27" i="11" a="1"/>
  <c r="H265" i="4" a="1"/>
  <c r="F274" i="4" a="1"/>
  <c r="G267" i="4" a="1"/>
  <c r="H263" i="4" a="1"/>
  <c r="F265" i="4" a="1"/>
  <c r="H268" i="9" a="1"/>
  <c r="H272" i="9" a="1"/>
  <c r="G260" i="4" a="1"/>
  <c r="G259" i="9" a="1"/>
  <c r="F259" i="4" a="1"/>
  <c r="D273" i="9" a="1"/>
  <c r="D267" i="7" a="1"/>
  <c r="C266" i="4" a="1"/>
  <c r="C283" i="4" a="1"/>
  <c r="D293" i="4" a="1"/>
  <c r="E274" i="4" a="1"/>
  <c r="E272" i="4" a="1"/>
  <c r="B292" i="4" a="1"/>
  <c r="Q35" i="13" a="1"/>
  <c r="Q29" i="11" a="1"/>
  <c r="H262" i="4" a="1"/>
  <c r="G273" i="7" a="1"/>
  <c r="H263" i="9" a="1"/>
  <c r="B267" i="9" a="1"/>
  <c r="C257" i="9" a="1"/>
  <c r="E261" i="9" a="1"/>
  <c r="F277" i="4" a="1"/>
  <c r="C267" i="9" a="1"/>
  <c r="D271" i="9" a="1"/>
  <c r="C274" i="9" a="1"/>
  <c r="H268" i="7" a="1"/>
  <c r="C284" i="4" a="1"/>
  <c r="B267" i="7" a="1"/>
  <c r="C270" i="4" a="1"/>
  <c r="D283" i="4" a="1"/>
  <c r="G257" i="7" a="1"/>
  <c r="Q23" i="13" a="1"/>
  <c r="Q33" i="11" a="1"/>
  <c r="C267" i="7" a="1"/>
  <c r="H271" i="7" a="1"/>
  <c r="H258" i="4" a="1"/>
  <c r="B273" i="4" a="1"/>
  <c r="Q31" i="13" a="1"/>
  <c r="G267" i="7" a="1"/>
  <c r="H267" i="7" a="1"/>
  <c r="D262" i="7" a="1"/>
  <c r="H259" i="9" a="1"/>
  <c r="E276" i="9" a="1"/>
  <c r="C279" i="4" a="1"/>
  <c r="D288" i="4" a="1"/>
  <c r="B295" i="4" a="1"/>
  <c r="G263" i="9" a="1"/>
  <c r="D263" i="9" a="1"/>
  <c r="E267" i="9" a="1"/>
  <c r="H265" i="7" a="1"/>
  <c r="D300" i="4" a="1"/>
  <c r="D284" i="4" a="1"/>
  <c r="B279" i="4" a="1"/>
  <c r="B283" i="4" a="1"/>
  <c r="E297" i="4" a="1"/>
  <c r="Q24" i="13" a="1"/>
  <c r="F269" i="7" a="1"/>
  <c r="G265" i="7" a="1"/>
  <c r="D259" i="7" a="1"/>
  <c r="C270" i="9" a="1"/>
  <c r="F265" i="7" a="1"/>
  <c r="F258" i="9" a="1"/>
  <c r="F273" i="4" a="1"/>
  <c r="E270" i="7" a="1"/>
  <c r="D257" i="9" a="1"/>
  <c r="D298" i="4" a="1"/>
  <c r="H274" i="7" a="1"/>
  <c r="H290" i="4" l="1"/>
  <c r="H299" i="4"/>
  <c r="H289" i="4"/>
  <c r="H298" i="4"/>
  <c r="H294" i="4"/>
  <c r="H285" i="4"/>
  <c r="H284" i="4"/>
  <c r="H288" i="4"/>
  <c r="H293" i="4"/>
  <c r="H283" i="4"/>
  <c r="H291" i="4"/>
  <c r="H300" i="4"/>
  <c r="H297" i="4"/>
  <c r="H281" i="4"/>
  <c r="H287" i="4"/>
  <c r="H282" i="4"/>
  <c r="H292" i="4"/>
  <c r="H286" i="4"/>
  <c r="H295" i="4"/>
  <c r="H296" i="4"/>
  <c r="G284" i="4"/>
  <c r="G295" i="4"/>
  <c r="G297" i="4"/>
  <c r="G299" i="4"/>
  <c r="G294" i="4"/>
  <c r="G298" i="4"/>
  <c r="G291" i="4"/>
  <c r="G286" i="4"/>
  <c r="G296" i="4"/>
  <c r="G292" i="4"/>
  <c r="G288" i="4"/>
  <c r="G281" i="4"/>
  <c r="G287" i="4"/>
  <c r="G285" i="4"/>
  <c r="G289" i="4"/>
  <c r="G283" i="4"/>
  <c r="G293" i="4"/>
  <c r="G282" i="4"/>
  <c r="G290" i="4"/>
  <c r="G300" i="4"/>
  <c r="F300" i="4"/>
  <c r="F290" i="4"/>
  <c r="F289" i="4"/>
  <c r="F299" i="4"/>
  <c r="F291" i="4"/>
  <c r="F294" i="4"/>
  <c r="F284" i="4"/>
  <c r="F282" i="4"/>
  <c r="F283" i="4"/>
  <c r="F293" i="4"/>
  <c r="F295" i="4"/>
  <c r="F296" i="4"/>
  <c r="F281" i="4"/>
  <c r="F288" i="4"/>
  <c r="F297" i="4"/>
  <c r="F285" i="4"/>
  <c r="F292" i="4"/>
  <c r="F298" i="4"/>
  <c r="F286" i="4"/>
  <c r="F287" i="4"/>
  <c r="C281" i="4"/>
  <c r="C284" i="4"/>
  <c r="C288" i="4"/>
  <c r="C294" i="4"/>
  <c r="C295" i="4"/>
  <c r="C283" i="4"/>
  <c r="C297" i="4"/>
  <c r="C289" i="4"/>
  <c r="C282" i="4"/>
  <c r="C286" i="4"/>
  <c r="C290" i="4"/>
  <c r="C299" i="4"/>
  <c r="C287" i="4"/>
  <c r="C296" i="4"/>
  <c r="C292" i="4"/>
  <c r="C293" i="4"/>
  <c r="C285" i="4"/>
  <c r="C298" i="4"/>
  <c r="C300" i="4"/>
  <c r="C291" i="4"/>
  <c r="D286" i="4"/>
  <c r="D291" i="4"/>
  <c r="D285" i="4"/>
  <c r="D296" i="4"/>
  <c r="D299" i="4"/>
  <c r="D295" i="4"/>
  <c r="D290" i="4"/>
  <c r="D292" i="4"/>
  <c r="D284" i="4"/>
  <c r="D300" i="4"/>
  <c r="D298" i="4"/>
  <c r="D288" i="4"/>
  <c r="D297" i="4"/>
  <c r="D282" i="4"/>
  <c r="D283" i="4"/>
  <c r="D293" i="4"/>
  <c r="D281" i="4"/>
  <c r="D287" i="4"/>
  <c r="D289" i="4"/>
  <c r="D294" i="4"/>
  <c r="E286" i="4"/>
  <c r="E283" i="4"/>
  <c r="E300" i="4"/>
  <c r="E294" i="4"/>
  <c r="E284" i="4"/>
  <c r="E298" i="4"/>
  <c r="E290" i="4"/>
  <c r="E289" i="4"/>
  <c r="E299" i="4"/>
  <c r="E292" i="4"/>
  <c r="E288" i="4"/>
  <c r="E293" i="4"/>
  <c r="E291" i="4"/>
  <c r="E281" i="4"/>
  <c r="E282" i="4"/>
  <c r="E297" i="4"/>
  <c r="E287" i="4"/>
  <c r="E296" i="4"/>
  <c r="E285" i="4"/>
  <c r="E295" i="4"/>
  <c r="B281" i="4"/>
  <c r="B289" i="4"/>
  <c r="B290" i="4"/>
  <c r="B288" i="4"/>
  <c r="B294" i="4"/>
  <c r="B283" i="4"/>
  <c r="B291" i="4"/>
  <c r="B296" i="4"/>
  <c r="B295" i="4"/>
  <c r="B299" i="4"/>
  <c r="B300" i="4"/>
  <c r="B284" i="4"/>
  <c r="B292" i="4"/>
  <c r="B287" i="4"/>
  <c r="B285" i="4"/>
  <c r="B282" i="4"/>
  <c r="B297" i="4"/>
  <c r="B293" i="4"/>
  <c r="B298" i="4"/>
  <c r="B286" i="4"/>
  <c r="Q34" i="13"/>
  <c r="Q32" i="13"/>
  <c r="Q30" i="13"/>
  <c r="Q28" i="13"/>
  <c r="Q26" i="13"/>
  <c r="Q24" i="13"/>
  <c r="Q31" i="13"/>
  <c r="Q23" i="13"/>
  <c r="Q27" i="13"/>
  <c r="Q35" i="13"/>
  <c r="Q33" i="13"/>
  <c r="Q29" i="13"/>
  <c r="Q25" i="13"/>
  <c r="Q32" i="12"/>
  <c r="Q35" i="12"/>
  <c r="Q29" i="12"/>
  <c r="Q34" i="12"/>
  <c r="Q26" i="12"/>
  <c r="Q28" i="12"/>
  <c r="Q23" i="12"/>
  <c r="Q25" i="12"/>
  <c r="Q30" i="12"/>
  <c r="Q24" i="12"/>
  <c r="Q33" i="12"/>
  <c r="Q27" i="12"/>
  <c r="Q31" i="12"/>
  <c r="Q35" i="11"/>
  <c r="Q33" i="11"/>
  <c r="Q31" i="11"/>
  <c r="Q29" i="11"/>
  <c r="Q27" i="11"/>
  <c r="Q25" i="11"/>
  <c r="Q23" i="11"/>
  <c r="Q32" i="11"/>
  <c r="Q26" i="11"/>
  <c r="Q28" i="11"/>
  <c r="Q34" i="11"/>
  <c r="Q24" i="11"/>
  <c r="Q30" i="11"/>
  <c r="E19" i="4"/>
  <c r="E16" i="4"/>
  <c r="C279" i="4"/>
  <c r="C273" i="4"/>
  <c r="C262" i="4"/>
  <c r="C267" i="4"/>
  <c r="C272" i="4"/>
  <c r="C269" i="4"/>
  <c r="C261" i="4"/>
  <c r="C271" i="4"/>
  <c r="C266" i="4"/>
  <c r="C259" i="4"/>
  <c r="C277" i="4"/>
  <c r="C278" i="4"/>
  <c r="C260" i="4"/>
  <c r="C264" i="4"/>
  <c r="C270" i="4"/>
  <c r="C263" i="4"/>
  <c r="C275" i="4"/>
  <c r="C265" i="4"/>
  <c r="C257" i="4"/>
  <c r="C280" i="4"/>
  <c r="C276" i="4"/>
  <c r="C274" i="4"/>
  <c r="C258" i="4"/>
  <c r="C268" i="4"/>
  <c r="G280" i="4"/>
  <c r="G273" i="4"/>
  <c r="G258" i="4"/>
  <c r="G266" i="4"/>
  <c r="G276" i="4"/>
  <c r="G275" i="4"/>
  <c r="G268" i="4"/>
  <c r="G269" i="4"/>
  <c r="G270" i="4"/>
  <c r="G259" i="4"/>
  <c r="G278" i="4"/>
  <c r="G262" i="4"/>
  <c r="G271" i="4"/>
  <c r="G274" i="4"/>
  <c r="G279" i="4"/>
  <c r="G277" i="4"/>
  <c r="G267" i="4"/>
  <c r="G272" i="4"/>
  <c r="G265" i="4"/>
  <c r="G264" i="4"/>
  <c r="G257" i="4"/>
  <c r="G260" i="4"/>
  <c r="G263" i="4"/>
  <c r="G261" i="4"/>
  <c r="B267" i="4"/>
  <c r="B279" i="4"/>
  <c r="B273" i="4"/>
  <c r="B266" i="4"/>
  <c r="B261" i="4"/>
  <c r="B259" i="4"/>
  <c r="B268" i="4"/>
  <c r="B270" i="4"/>
  <c r="B275" i="4"/>
  <c r="B263" i="4"/>
  <c r="B265" i="4"/>
  <c r="B257" i="4"/>
  <c r="B260" i="4"/>
  <c r="B276" i="4"/>
  <c r="B280" i="4"/>
  <c r="B264" i="4"/>
  <c r="B277" i="4"/>
  <c r="B274" i="4"/>
  <c r="B271" i="4"/>
  <c r="B258" i="4"/>
  <c r="B278" i="4"/>
  <c r="B262" i="4"/>
  <c r="B269" i="4"/>
  <c r="B272" i="4"/>
  <c r="F268" i="4"/>
  <c r="F278" i="4"/>
  <c r="F258" i="4"/>
  <c r="F262" i="4"/>
  <c r="F265" i="4"/>
  <c r="F279" i="4"/>
  <c r="F263" i="4"/>
  <c r="F274" i="4"/>
  <c r="F260" i="4"/>
  <c r="F270" i="4"/>
  <c r="F275" i="4"/>
  <c r="F273" i="4"/>
  <c r="F280" i="4"/>
  <c r="F264" i="4"/>
  <c r="F257" i="4"/>
  <c r="F261" i="4"/>
  <c r="F267" i="4"/>
  <c r="F272" i="4"/>
  <c r="F259" i="4"/>
  <c r="F277" i="4"/>
  <c r="F271" i="4"/>
  <c r="F266" i="4"/>
  <c r="F269" i="4"/>
  <c r="F276" i="4"/>
  <c r="D276" i="4"/>
  <c r="D266" i="4"/>
  <c r="D274" i="4"/>
  <c r="D263" i="4"/>
  <c r="D273" i="4"/>
  <c r="D270" i="4"/>
  <c r="D269" i="4"/>
  <c r="D278" i="4"/>
  <c r="D257" i="4"/>
  <c r="D259" i="4"/>
  <c r="D279" i="4"/>
  <c r="D277" i="4"/>
  <c r="D258" i="4"/>
  <c r="D265" i="4"/>
  <c r="D272" i="4"/>
  <c r="D271" i="4"/>
  <c r="D280" i="4"/>
  <c r="D260" i="4"/>
  <c r="D275" i="4"/>
  <c r="D262" i="4"/>
  <c r="D267" i="4"/>
  <c r="D261" i="4"/>
  <c r="D268" i="4"/>
  <c r="D264" i="4"/>
  <c r="E266" i="4"/>
  <c r="E272" i="4"/>
  <c r="E277" i="4"/>
  <c r="E261" i="4"/>
  <c r="E265" i="4"/>
  <c r="E269" i="4"/>
  <c r="E264" i="4"/>
  <c r="E274" i="4"/>
  <c r="E270" i="4"/>
  <c r="E278" i="4"/>
  <c r="E276" i="4"/>
  <c r="E262" i="4"/>
  <c r="E263" i="4"/>
  <c r="E275" i="4"/>
  <c r="E268" i="4"/>
  <c r="E259" i="4"/>
  <c r="E267" i="4"/>
  <c r="E260" i="4"/>
  <c r="E279" i="4"/>
  <c r="E257" i="4"/>
  <c r="E280" i="4"/>
  <c r="E258" i="4"/>
  <c r="E273" i="4"/>
  <c r="E271" i="4"/>
  <c r="H276" i="4"/>
  <c r="H272" i="4"/>
  <c r="H270" i="4"/>
  <c r="H274" i="4"/>
  <c r="H265" i="4"/>
  <c r="H275" i="4"/>
  <c r="H268" i="4"/>
  <c r="H262" i="4"/>
  <c r="H266" i="4"/>
  <c r="H258" i="4"/>
  <c r="H280" i="4"/>
  <c r="H257" i="4"/>
  <c r="H267" i="4"/>
  <c r="H278" i="4"/>
  <c r="H259" i="4"/>
  <c r="H261" i="4"/>
  <c r="H260" i="4"/>
  <c r="H263" i="4"/>
  <c r="H273" i="4"/>
  <c r="H277" i="4"/>
  <c r="H264" i="4"/>
  <c r="H271" i="4"/>
  <c r="H269" i="4"/>
  <c r="H279" i="4"/>
  <c r="H272" i="9"/>
  <c r="H280" i="9"/>
  <c r="H264" i="9"/>
  <c r="H279" i="9"/>
  <c r="H257" i="9"/>
  <c r="H277" i="9"/>
  <c r="H276" i="9"/>
  <c r="H273" i="9"/>
  <c r="H265" i="9"/>
  <c r="H278" i="9"/>
  <c r="H262" i="9"/>
  <c r="H275" i="9"/>
  <c r="H269" i="9"/>
  <c r="H261" i="9"/>
  <c r="H266" i="9"/>
  <c r="H258" i="9"/>
  <c r="H263" i="9"/>
  <c r="H268" i="9"/>
  <c r="H267" i="9"/>
  <c r="H274" i="9"/>
  <c r="H271" i="9"/>
  <c r="H260" i="9"/>
  <c r="H270" i="9"/>
  <c r="H259" i="9"/>
  <c r="G267" i="9"/>
  <c r="G280" i="9"/>
  <c r="G272" i="9"/>
  <c r="G264" i="9"/>
  <c r="G269" i="9"/>
  <c r="G279" i="9"/>
  <c r="G276" i="9"/>
  <c r="G273" i="9"/>
  <c r="G270" i="9"/>
  <c r="G277" i="9"/>
  <c r="G266" i="9"/>
  <c r="G268" i="9"/>
  <c r="G257" i="9"/>
  <c r="G261" i="9"/>
  <c r="G274" i="9"/>
  <c r="G258" i="9"/>
  <c r="G263" i="9"/>
  <c r="G265" i="9"/>
  <c r="G278" i="9"/>
  <c r="G271" i="9"/>
  <c r="G260" i="9"/>
  <c r="G262" i="9"/>
  <c r="G275" i="9"/>
  <c r="G259" i="9"/>
  <c r="F275" i="9"/>
  <c r="F267" i="9"/>
  <c r="F259" i="9"/>
  <c r="F277" i="9"/>
  <c r="F261" i="9"/>
  <c r="F266" i="9"/>
  <c r="F279" i="9"/>
  <c r="F263" i="9"/>
  <c r="F268" i="9"/>
  <c r="F265" i="9"/>
  <c r="F278" i="9"/>
  <c r="F262" i="9"/>
  <c r="F269" i="9"/>
  <c r="F280" i="9"/>
  <c r="F272" i="9"/>
  <c r="F264" i="9"/>
  <c r="F274" i="9"/>
  <c r="F273" i="9"/>
  <c r="F257" i="9"/>
  <c r="F258" i="9"/>
  <c r="F271" i="9"/>
  <c r="F276" i="9"/>
  <c r="F260" i="9"/>
  <c r="F270" i="9"/>
  <c r="E275" i="9"/>
  <c r="E267" i="9"/>
  <c r="E280" i="9"/>
  <c r="E261" i="9"/>
  <c r="E258" i="9"/>
  <c r="E265" i="9"/>
  <c r="E278" i="9"/>
  <c r="E262" i="9"/>
  <c r="E259" i="9"/>
  <c r="E272" i="9"/>
  <c r="E264" i="9"/>
  <c r="E277" i="9"/>
  <c r="E266" i="9"/>
  <c r="E276" i="9"/>
  <c r="E268" i="9"/>
  <c r="E257" i="9"/>
  <c r="E269" i="9"/>
  <c r="E274" i="9"/>
  <c r="E279" i="9"/>
  <c r="E263" i="9"/>
  <c r="E270" i="9"/>
  <c r="E271" i="9"/>
  <c r="E260" i="9"/>
  <c r="E273" i="9"/>
  <c r="D278" i="9"/>
  <c r="D270" i="9"/>
  <c r="D262" i="9"/>
  <c r="D271" i="9"/>
  <c r="D276" i="9"/>
  <c r="D264" i="9"/>
  <c r="D277" i="9"/>
  <c r="D269" i="9"/>
  <c r="D261" i="9"/>
  <c r="D266" i="9"/>
  <c r="D265" i="9"/>
  <c r="D275" i="9"/>
  <c r="D267" i="9"/>
  <c r="D259" i="9"/>
  <c r="D272" i="9"/>
  <c r="D274" i="9"/>
  <c r="D258" i="9"/>
  <c r="D279" i="9"/>
  <c r="D263" i="9"/>
  <c r="D268" i="9"/>
  <c r="D273" i="9"/>
  <c r="D257" i="9"/>
  <c r="D280" i="9"/>
  <c r="D260" i="9"/>
  <c r="C278" i="9"/>
  <c r="C270" i="9"/>
  <c r="C262" i="9"/>
  <c r="C259" i="9"/>
  <c r="C280" i="9"/>
  <c r="C272" i="9"/>
  <c r="C269" i="9"/>
  <c r="C266" i="9"/>
  <c r="C263" i="9"/>
  <c r="C277" i="9"/>
  <c r="C274" i="9"/>
  <c r="C258" i="9"/>
  <c r="C276" i="9"/>
  <c r="C268" i="9"/>
  <c r="C273" i="9"/>
  <c r="C265" i="9"/>
  <c r="C275" i="9"/>
  <c r="C267" i="9"/>
  <c r="C264" i="9"/>
  <c r="C279" i="9"/>
  <c r="C260" i="9"/>
  <c r="C257" i="9"/>
  <c r="C261" i="9"/>
  <c r="C271" i="9"/>
  <c r="B280" i="9"/>
  <c r="B264" i="9"/>
  <c r="B272" i="9"/>
  <c r="B269" i="9"/>
  <c r="B267" i="9"/>
  <c r="B279" i="9"/>
  <c r="B263" i="9"/>
  <c r="B278" i="9"/>
  <c r="B262" i="9"/>
  <c r="B277" i="9"/>
  <c r="B261" i="9"/>
  <c r="B276" i="9"/>
  <c r="B260" i="9"/>
  <c r="B275" i="9"/>
  <c r="B259" i="9"/>
  <c r="B274" i="9"/>
  <c r="B258" i="9"/>
  <c r="B273" i="9"/>
  <c r="B271" i="9"/>
  <c r="B270" i="9"/>
  <c r="B268" i="9"/>
  <c r="B266" i="9"/>
  <c r="B265" i="9"/>
  <c r="B257" i="9"/>
  <c r="H268" i="7"/>
  <c r="H280" i="7"/>
  <c r="H272" i="7"/>
  <c r="H264" i="7"/>
  <c r="H277" i="7"/>
  <c r="H269" i="7"/>
  <c r="H261" i="7"/>
  <c r="H274" i="7"/>
  <c r="H266" i="7"/>
  <c r="H258" i="7"/>
  <c r="H260" i="7"/>
  <c r="H279" i="7"/>
  <c r="H271" i="7"/>
  <c r="H263" i="7"/>
  <c r="H276" i="7"/>
  <c r="H273" i="7"/>
  <c r="H265" i="7"/>
  <c r="H257" i="7"/>
  <c r="H278" i="7"/>
  <c r="H270" i="7"/>
  <c r="H267" i="7"/>
  <c r="H275" i="7"/>
  <c r="H259" i="7"/>
  <c r="H262" i="7"/>
  <c r="G260" i="7"/>
  <c r="G272" i="7"/>
  <c r="G264" i="7"/>
  <c r="G274" i="7"/>
  <c r="G266" i="7"/>
  <c r="G258" i="7"/>
  <c r="G279" i="7"/>
  <c r="G263" i="7"/>
  <c r="G276" i="7"/>
  <c r="G268" i="7"/>
  <c r="G271" i="7"/>
  <c r="G280" i="7"/>
  <c r="G277" i="7"/>
  <c r="G269" i="7"/>
  <c r="G261" i="7"/>
  <c r="G273" i="7"/>
  <c r="G265" i="7"/>
  <c r="G257" i="7"/>
  <c r="G275" i="7"/>
  <c r="G278" i="7"/>
  <c r="G270" i="7"/>
  <c r="G262" i="7"/>
  <c r="G267" i="7"/>
  <c r="G259" i="7"/>
  <c r="F273" i="7"/>
  <c r="F262" i="7"/>
  <c r="F270" i="7"/>
  <c r="F278" i="7"/>
  <c r="F257" i="7"/>
  <c r="F265" i="7"/>
  <c r="F260" i="7"/>
  <c r="F268" i="7"/>
  <c r="F276" i="7"/>
  <c r="F258" i="7"/>
  <c r="F274" i="7"/>
  <c r="F279" i="7"/>
  <c r="F269" i="7"/>
  <c r="F271" i="7"/>
  <c r="F266" i="7"/>
  <c r="F261" i="7"/>
  <c r="F272" i="7"/>
  <c r="F259" i="7"/>
  <c r="F267" i="7"/>
  <c r="F275" i="7"/>
  <c r="F263" i="7"/>
  <c r="F277" i="7"/>
  <c r="F264" i="7"/>
  <c r="F280" i="7"/>
  <c r="E275" i="7"/>
  <c r="E266" i="7"/>
  <c r="E259" i="7"/>
  <c r="E261" i="7"/>
  <c r="E258" i="7"/>
  <c r="E263" i="7"/>
  <c r="E277" i="7"/>
  <c r="E279" i="7"/>
  <c r="E267" i="7"/>
  <c r="E269" i="7"/>
  <c r="E271" i="7"/>
  <c r="E280" i="7"/>
  <c r="E272" i="7"/>
  <c r="E264" i="7"/>
  <c r="E274" i="7"/>
  <c r="E276" i="7"/>
  <c r="E268" i="7"/>
  <c r="E260" i="7"/>
  <c r="E278" i="7"/>
  <c r="E273" i="7"/>
  <c r="E265" i="7"/>
  <c r="E257" i="7"/>
  <c r="E270" i="7"/>
  <c r="E262" i="7"/>
  <c r="D264" i="7"/>
  <c r="D261" i="7"/>
  <c r="D266" i="7"/>
  <c r="D258" i="7"/>
  <c r="D278" i="7"/>
  <c r="D270" i="7"/>
  <c r="D262" i="7"/>
  <c r="D267" i="7"/>
  <c r="D259" i="7"/>
  <c r="D275" i="7"/>
  <c r="D272" i="7"/>
  <c r="D274" i="7"/>
  <c r="D280" i="7"/>
  <c r="D277" i="7"/>
  <c r="D269" i="7"/>
  <c r="D279" i="7"/>
  <c r="D271" i="7"/>
  <c r="D263" i="7"/>
  <c r="D273" i="7"/>
  <c r="D257" i="7"/>
  <c r="D276" i="7"/>
  <c r="D268" i="7"/>
  <c r="D260" i="7"/>
  <c r="D265" i="7"/>
  <c r="C280" i="7"/>
  <c r="C278" i="7"/>
  <c r="C270" i="7"/>
  <c r="C262" i="7"/>
  <c r="C261" i="7"/>
  <c r="C266" i="7"/>
  <c r="C258" i="7"/>
  <c r="C277" i="7"/>
  <c r="C275" i="7"/>
  <c r="C267" i="7"/>
  <c r="C259" i="7"/>
  <c r="C272" i="7"/>
  <c r="C264" i="7"/>
  <c r="C269" i="7"/>
  <c r="C274" i="7"/>
  <c r="C279" i="7"/>
  <c r="C271" i="7"/>
  <c r="C276" i="7"/>
  <c r="C260" i="7"/>
  <c r="C263" i="7"/>
  <c r="C268" i="7"/>
  <c r="C273" i="7"/>
  <c r="C265" i="7"/>
  <c r="C257" i="7"/>
  <c r="B261" i="7"/>
  <c r="B258" i="7"/>
  <c r="B280" i="7"/>
  <c r="B264" i="7"/>
  <c r="B263" i="7"/>
  <c r="B262" i="7"/>
  <c r="B277" i="7"/>
  <c r="B276" i="7"/>
  <c r="B269" i="7"/>
  <c r="B279" i="7"/>
  <c r="B272" i="7"/>
  <c r="B267" i="7"/>
  <c r="B266" i="7"/>
  <c r="B260" i="7"/>
  <c r="B275" i="7"/>
  <c r="B278" i="7"/>
  <c r="B259" i="7"/>
  <c r="B274" i="7"/>
  <c r="B271" i="7"/>
  <c r="B273" i="7"/>
  <c r="B268" i="7"/>
  <c r="B270" i="7"/>
  <c r="B265" i="7"/>
  <c r="B257" i="7"/>
  <c r="D17" i="9"/>
  <c r="E17" i="9" s="1"/>
  <c r="D16" i="9"/>
  <c r="D17" i="7"/>
  <c r="E17" i="7" s="1"/>
  <c r="D16" i="7"/>
  <c r="Q30" i="4" a="1"/>
  <c r="Q34" i="4" a="1"/>
  <c r="Q23" i="4" a="1"/>
  <c r="Q32" i="4" a="1"/>
  <c r="E19" i="7" a="1"/>
  <c r="Q24" i="4" a="1"/>
  <c r="Q25" i="4" a="1"/>
  <c r="Q26" i="4" a="1"/>
  <c r="E19" i="9" a="1"/>
  <c r="Q29" i="4" a="1"/>
  <c r="Q33" i="4" a="1"/>
  <c r="Q35" i="4" a="1"/>
  <c r="Q28" i="4" a="1"/>
  <c r="Q27" i="4" a="1"/>
  <c r="Q31" i="4" a="1"/>
  <c r="E19" i="9" l="1"/>
  <c r="E16" i="9"/>
  <c r="E19" i="7"/>
  <c r="E16" i="7"/>
  <c r="Q34" i="4"/>
  <c r="Q27" i="4"/>
  <c r="Q26" i="4"/>
  <c r="Q28" i="4"/>
  <c r="Q35" i="4"/>
  <c r="Q31" i="4"/>
  <c r="Q33" i="4"/>
  <c r="Q25" i="4"/>
  <c r="Q23" i="4"/>
  <c r="Q24" i="4"/>
  <c r="Q32" i="4"/>
  <c r="Q30" i="4"/>
  <c r="Q29" i="4"/>
  <c r="Q30" i="7" a="1"/>
  <c r="Q28" i="7" a="1"/>
  <c r="Q23" i="7" a="1"/>
  <c r="Q27" i="9" a="1"/>
  <c r="Q26" i="9" a="1"/>
  <c r="Q34" i="7" a="1"/>
  <c r="Q25" i="9" a="1"/>
  <c r="Q25" i="7" a="1"/>
  <c r="Q30" i="9" a="1"/>
  <c r="Q27" i="7" a="1"/>
  <c r="Q34" i="9" a="1"/>
  <c r="Q24" i="7" a="1"/>
  <c r="Q32" i="7" a="1"/>
  <c r="Q32" i="9" a="1"/>
  <c r="Q33" i="7" a="1"/>
  <c r="Q29" i="7" a="1"/>
  <c r="Q35" i="9" a="1"/>
  <c r="Q24" i="9" a="1"/>
  <c r="Q31" i="7" a="1"/>
  <c r="Q29" i="9" a="1"/>
  <c r="Q33" i="9" a="1"/>
  <c r="Q35" i="7" a="1"/>
  <c r="Q28" i="9" a="1"/>
  <c r="Q23" i="9" a="1"/>
  <c r="Q31" i="9" a="1"/>
  <c r="Q26" i="7" a="1"/>
  <c r="Q29" i="7" l="1"/>
  <c r="Q32" i="7"/>
  <c r="Q30" i="7"/>
  <c r="Q35" i="7"/>
  <c r="Q28" i="7"/>
  <c r="Q26" i="7"/>
  <c r="Q31" i="7"/>
  <c r="Q34" i="7"/>
  <c r="Q24" i="7"/>
  <c r="Q25" i="7"/>
  <c r="Q23" i="7"/>
  <c r="Q33" i="7"/>
  <c r="Q27" i="7"/>
  <c r="Q25" i="9"/>
  <c r="Q30" i="9"/>
  <c r="Q35" i="9"/>
  <c r="Q32" i="9"/>
  <c r="Q31" i="9"/>
  <c r="Q34" i="9"/>
  <c r="Q23" i="9"/>
  <c r="Q26" i="9"/>
  <c r="Q28" i="9"/>
  <c r="Q27" i="9"/>
  <c r="Q33" i="9"/>
  <c r="Q29" i="9"/>
  <c r="Q24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<sst xmlns="http://schemas.openxmlformats.org/spreadsheetml/2006/main" count="1211" uniqueCount="121">
  <si>
    <t>Caliber</t>
  </si>
  <si>
    <t>Shooting Angle(deg)</t>
  </si>
  <si>
    <t>Wind (m/s)</t>
  </si>
  <si>
    <t>Relative Wind Direction (deg)</t>
  </si>
  <si>
    <t>Range(m)</t>
  </si>
  <si>
    <t>Scope</t>
  </si>
  <si>
    <t>50m zero</t>
  </si>
  <si>
    <t>100m zero</t>
  </si>
  <si>
    <t>150m zero</t>
  </si>
  <si>
    <t>200m zero</t>
  </si>
  <si>
    <t>300m zero</t>
  </si>
  <si>
    <t>BC: G7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</si>
  <si>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</si>
  <si>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</si>
  <si>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</si>
  <si>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</si>
  <si>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</si>
  <si>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</si>
  <si>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</si>
  <si>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Computed Muzzle Velocity(m/s)</t>
  </si>
  <si>
    <t>Bullet Weight(gr)</t>
  </si>
  <si>
    <t>BC: G1</t>
  </si>
  <si>
    <t>Measured Muzzle Energy(J)</t>
  </si>
  <si>
    <t>Measured Energy(J)</t>
  </si>
  <si>
    <t>Measured Elevation Angle (scope units)</t>
  </si>
  <si>
    <t>Calculated Trajectory(cm)</t>
  </si>
  <si>
    <t>Scope Height(cm)</t>
  </si>
  <si>
    <t>Hornady Standard Ballistics Calculator</t>
  </si>
  <si>
    <t>Polymer Tipped Hollow Point</t>
  </si>
  <si>
    <t>Soft Point</t>
  </si>
  <si>
    <t>Estimated Error</t>
  </si>
  <si>
    <t>(cm)</t>
  </si>
  <si>
    <t>300 Winchester Magnum</t>
  </si>
  <si>
    <t>Federal Terminal Ascent</t>
  </si>
  <si>
    <t>400m zero</t>
  </si>
  <si>
    <t>500m zero</t>
  </si>
  <si>
    <t>50m zero(G1 BC)</t>
  </si>
  <si>
    <t>50m zero(G7 BC)</t>
  </si>
  <si>
    <t>Federal Power-Shok</t>
  </si>
  <si>
    <t>Wind Drift</t>
  </si>
  <si>
    <t>Wind Drift (MOA)</t>
  </si>
  <si>
    <t>Wind Drift (MILS)</t>
  </si>
  <si>
    <t>Remington Core-Lokt Copper</t>
  </si>
  <si>
    <t>Hollow Point</t>
  </si>
  <si>
    <t>Trajectory Drop Polynomial Coefficients</t>
  </si>
  <si>
    <t>Energy Polynomial Coefficients</t>
  </si>
  <si>
    <t>a0</t>
  </si>
  <si>
    <t>a1</t>
  </si>
  <si>
    <t>a2</t>
  </si>
  <si>
    <t>a3</t>
  </si>
  <si>
    <t>a4</t>
  </si>
  <si>
    <t>a5</t>
  </si>
  <si>
    <t>a6</t>
  </si>
  <si>
    <t>Hornady Energy Coefficients</t>
  </si>
  <si>
    <t>Calculated ComeUps(MILS)</t>
  </si>
  <si>
    <t>Energy(J)</t>
  </si>
  <si>
    <t>Rifle Precision(MOA)</t>
  </si>
  <si>
    <t>Rifle Precision(MILS), Error(MILS)</t>
  </si>
  <si>
    <t>Bushnell Elite Tactical FFP @21x</t>
  </si>
  <si>
    <t>HunterSense POI Diameter</t>
  </si>
  <si>
    <t>SU</t>
  </si>
  <si>
    <t>Error(SU)</t>
  </si>
  <si>
    <t>MILS</t>
  </si>
  <si>
    <t>Error(MILS)</t>
  </si>
  <si>
    <t>Outer Circle(scope units),(MILS)</t>
  </si>
  <si>
    <t>Inner Circle(scope units),(MILS)</t>
  </si>
  <si>
    <t>Angular Resolution Scale Factor(su to mils)</t>
  </si>
  <si>
    <t>Probable Error</t>
  </si>
  <si>
    <t>Manufacturer's Data Sheet</t>
  </si>
  <si>
    <t>Bullet Weight(gr),(g)</t>
  </si>
  <si>
    <t>Caliber(in),(mm)</t>
  </si>
  <si>
    <t>n/a</t>
  </si>
  <si>
    <t>Muzzle Energy(flb),(J)</t>
  </si>
  <si>
    <t>Muzzle Velocity(fps),(m/s)</t>
  </si>
  <si>
    <t>50m Zero(G7 BC)</t>
  </si>
  <si>
    <t>100m Zero(G7 BC)</t>
  </si>
  <si>
    <t>150m Zero(G7 BC)</t>
  </si>
  <si>
    <t>200m Zero(G7 BC)</t>
  </si>
  <si>
    <t>300m Zero(G7 BC)</t>
  </si>
  <si>
    <t>500m Zero(G7 BC)</t>
  </si>
  <si>
    <t>500m zero(G1 BC)</t>
  </si>
  <si>
    <t>400m zero(G1 BC)</t>
  </si>
  <si>
    <t>300m zero(G1 BC)</t>
  </si>
  <si>
    <t>200m zero(G1 BC)</t>
  </si>
  <si>
    <t>150m zero(G1 BC)</t>
  </si>
  <si>
    <t>100m zero(G1 BC)</t>
  </si>
  <si>
    <t>400m Zero(G7 BC)</t>
  </si>
  <si>
    <t>50m Zero(G1 BC)</t>
  </si>
  <si>
    <t>100m Zero(G1 BC)</t>
  </si>
  <si>
    <t>150m Zero(G1 BC)</t>
  </si>
  <si>
    <t>200m Zero(G1 BC)</t>
  </si>
  <si>
    <t>300m Zero(G1 BC)</t>
  </si>
  <si>
    <t>400m Zero(G1 BC)</t>
  </si>
  <si>
    <t>500m Zero(G1 BC)</t>
  </si>
  <si>
    <t>50m Zero</t>
  </si>
  <si>
    <t>100m Zero</t>
  </si>
  <si>
    <t>150m Zero</t>
  </si>
  <si>
    <t>200m Zero</t>
  </si>
  <si>
    <t>300m Zero</t>
  </si>
  <si>
    <t>400m Zero</t>
  </si>
  <si>
    <t>500m Zero</t>
  </si>
  <si>
    <t>Hornady Energy Coefficients(G1 BC)</t>
  </si>
  <si>
    <t>Hornady Energy Coefficients(G7 BC)</t>
  </si>
  <si>
    <t>Energy Difference(Measured-HG1)</t>
  </si>
  <si>
    <t>Statistics</t>
  </si>
  <si>
    <t>Average Diff</t>
  </si>
  <si>
    <t>Std Dev</t>
  </si>
  <si>
    <t>Mean Square Error</t>
  </si>
  <si>
    <t>% Diff(Delta/avg)</t>
  </si>
  <si>
    <t>Average % Error</t>
  </si>
  <si>
    <t>Polymer Tipped Hollow Point After Patch</t>
  </si>
  <si>
    <t>Soft Point After Patch</t>
  </si>
  <si>
    <t>Hollow Point After Patch</t>
  </si>
  <si>
    <t>50m Zero(G1 BC: Federal's spec for MV)</t>
  </si>
  <si>
    <t>Measured Muzzle Energy(J),(flb)</t>
  </si>
  <si>
    <t>Computed Muzzle Velocity(m/s),(fps)</t>
  </si>
  <si>
    <t>Scale Factor Statistics</t>
  </si>
  <si>
    <t>Average</t>
  </si>
  <si>
    <t>Spread</t>
  </si>
  <si>
    <t>24" barrel</t>
  </si>
  <si>
    <t>25" barrel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</si>
</sst>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0E+00"/>
    <numFmt numFmtId="166" formatCode="0.0000"/>
    <numFmt numFmtId="167" formatCode="#,##0.000"/>
    <numFmt numFmtId="168" formatCode="0.000%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 tint="0.599963377788628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64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2" fontId="0" fillId="3" borderId="0" xfId="0" applyNumberFormat="1" applyFill="1"/>
    <xf numFmtId="0" fontId="1" fillId="5" borderId="0" xfId="0" applyFont="1" applyFill="1"/>
    <xf numFmtId="164" fontId="1" fillId="5" borderId="0" xfId="0" applyNumberFormat="1" applyFont="1" applyFill="1"/>
    <xf numFmtId="0" fontId="0" fillId="0" borderId="0" xfId="0" applyAlignment="1">
      <alignment horizontal="center"/>
    </xf>
    <xf numFmtId="164" fontId="0" fillId="0" borderId="2" xfId="0" applyNumberFormat="1" applyBorder="1"/>
    <xf numFmtId="164" fontId="0" fillId="3" borderId="2" xfId="0" applyNumberFormat="1" applyFill="1" applyBorder="1"/>
    <xf numFmtId="0" fontId="0" fillId="0" borderId="1" xfId="0" applyBorder="1"/>
    <xf numFmtId="164" fontId="0" fillId="6" borderId="1" xfId="0" applyNumberFormat="1" applyFill="1" applyBorder="1"/>
    <xf numFmtId="164" fontId="0" fillId="6" borderId="2" xfId="0" applyNumberFormat="1" applyFill="1" applyBorder="1"/>
    <xf numFmtId="2" fontId="0" fillId="2" borderId="5" xfId="0" applyNumberFormat="1" applyFill="1" applyBorder="1"/>
    <xf numFmtId="2" fontId="0" fillId="2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center" wrapText="1"/>
    </xf>
    <xf numFmtId="49" fontId="1" fillId="3" borderId="0" xfId="0" applyNumberFormat="1" applyFont="1" applyFill="1"/>
    <xf numFmtId="49" fontId="1" fillId="3" borderId="0" xfId="0" applyNumberFormat="1" applyFont="1" applyFill="1" applyAlignment="1">
      <alignment horizontal="center"/>
    </xf>
    <xf numFmtId="49" fontId="1" fillId="3" borderId="0" xfId="0" applyNumberFormat="1" applyFont="1" applyFill="1" applyAlignment="1">
      <alignment horizontal="center" wrapText="1"/>
    </xf>
    <xf numFmtId="0" fontId="0" fillId="3" borderId="0" xfId="0" applyFill="1"/>
    <xf numFmtId="49" fontId="1" fillId="3" borderId="0" xfId="0" applyNumberFormat="1" applyFont="1" applyFill="1" applyAlignment="1">
      <alignment horizontal="right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166" fontId="0" fillId="0" borderId="0" xfId="0" applyNumberFormat="1"/>
    <xf numFmtId="0" fontId="1" fillId="6" borderId="0" xfId="0" applyFont="1" applyFill="1"/>
    <xf numFmtId="164" fontId="1" fillId="6" borderId="0" xfId="0" applyNumberFormat="1" applyFont="1" applyFill="1"/>
    <xf numFmtId="0" fontId="0" fillId="4" borderId="1" xfId="0" applyFill="1" applyBorder="1"/>
    <xf numFmtId="0" fontId="0" fillId="0" borderId="2" xfId="0" applyBorder="1"/>
    <xf numFmtId="2" fontId="0" fillId="4" borderId="2" xfId="0" applyNumberFormat="1" applyFill="1" applyBorder="1"/>
    <xf numFmtId="2" fontId="1" fillId="4" borderId="1" xfId="0" applyNumberFormat="1" applyFont="1" applyFill="1" applyBorder="1"/>
    <xf numFmtId="2" fontId="0" fillId="0" borderId="2" xfId="0" applyNumberFormat="1" applyBorder="1"/>
    <xf numFmtId="49" fontId="1" fillId="0" borderId="0" xfId="0" applyNumberFormat="1" applyFont="1" applyAlignment="1">
      <alignment horizontal="right"/>
    </xf>
    <xf numFmtId="10" fontId="0" fillId="0" borderId="0" xfId="0" applyNumberFormat="1"/>
    <xf numFmtId="49" fontId="1" fillId="0" borderId="0" xfId="0" applyNumberFormat="1" applyFont="1" applyAlignment="1">
      <alignment horizontal="center"/>
    </xf>
    <xf numFmtId="167" fontId="0" fillId="0" borderId="0" xfId="0" applyNumberFormat="1"/>
    <xf numFmtId="168" fontId="0" fillId="0" borderId="0" xfId="0" applyNumberFormat="1"/>
    <xf numFmtId="2" fontId="0" fillId="8" borderId="0" xfId="0" applyNumberFormat="1" applyFill="1"/>
    <xf numFmtId="2" fontId="0" fillId="9" borderId="0" xfId="0" applyNumberFormat="1" applyFill="1"/>
    <xf numFmtId="2" fontId="0" fillId="10" borderId="0" xfId="0" applyNumberFormat="1" applyFill="1"/>
    <xf numFmtId="164" fontId="0" fillId="10" borderId="0" xfId="0" applyNumberFormat="1" applyFill="1"/>
    <xf numFmtId="10" fontId="0" fillId="10" borderId="0" xfId="0" applyNumberFormat="1" applyFill="1"/>
    <xf numFmtId="2" fontId="0" fillId="11" borderId="0" xfId="0" applyNumberFormat="1" applyFill="1"/>
    <xf numFmtId="164" fontId="0" fillId="11" borderId="0" xfId="0" applyNumberFormat="1" applyFill="1"/>
    <xf numFmtId="10" fontId="0" fillId="11" borderId="0" xfId="0" applyNumberFormat="1" applyFill="1"/>
    <xf numFmtId="164" fontId="0" fillId="7" borderId="0" xfId="0" applyNumberFormat="1" applyFill="1"/>
    <xf numFmtId="10" fontId="0" fillId="7" borderId="0" xfId="0" applyNumberFormat="1" applyFill="1"/>
    <xf numFmtId="2" fontId="0" fillId="12" borderId="0" xfId="0" applyNumberFormat="1" applyFill="1"/>
    <xf numFmtId="164" fontId="0" fillId="12" borderId="0" xfId="0" applyNumberFormat="1" applyFill="1"/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1" fillId="3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49" fontId="0" fillId="3" borderId="0" xfId="0" applyNumberFormat="1" applyFill="1" applyAlignment="1">
      <alignment horizontal="center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45445514529808"/>
          <c:y val="0.13171471150851907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PHP'!$B$22:$B$35</c:f>
              <c:numCache>
                <c:formatCode>0.00</c:formatCode>
                <c:ptCount val="14"/>
                <c:pt idx="0">
                  <c:v>4753</c:v>
                </c:pt>
                <c:pt idx="1">
                  <c:v>4647.3999999999996</c:v>
                </c:pt>
                <c:pt idx="2">
                  <c:v>4510.5</c:v>
                </c:pt>
                <c:pt idx="3">
                  <c:v>4378.8999999999996</c:v>
                </c:pt>
                <c:pt idx="4">
                  <c:v>4231.3</c:v>
                </c:pt>
                <c:pt idx="5">
                  <c:v>4110</c:v>
                </c:pt>
                <c:pt idx="6">
                  <c:v>3993.1</c:v>
                </c:pt>
                <c:pt idx="7">
                  <c:v>3753.8</c:v>
                </c:pt>
                <c:pt idx="8">
                  <c:v>3532.6</c:v>
                </c:pt>
                <c:pt idx="9">
                  <c:v>3313.8</c:v>
                </c:pt>
                <c:pt idx="10">
                  <c:v>3111.4</c:v>
                </c:pt>
                <c:pt idx="11">
                  <c:v>2911.5</c:v>
                </c:pt>
                <c:pt idx="12">
                  <c:v>2729.6</c:v>
                </c:pt>
                <c:pt idx="13">
                  <c:v>2550.4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3291-4E02-8044-6DF73C2964C1}"/>
            </c:ext>
          </c:extLst>
        </c:ser>
        <c:ser>
          <c:idx val="1"/>
          <c:order val="1"/>
          <c:tx>
            <c:strRef>
              <c:f>'Terminal Ascent PHP'!$A$78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PHP'!$C$80:$C$100</c:f>
              <c:numCache>
                <c:formatCode>0.00</c:formatCode>
                <c:ptCount val="21"/>
                <c:pt idx="0">
                  <c:v>4754</c:v>
                </c:pt>
                <c:pt idx="1">
                  <c:v>4616</c:v>
                </c:pt>
                <c:pt idx="2">
                  <c:v>4483</c:v>
                </c:pt>
                <c:pt idx="3">
                  <c:v>4353</c:v>
                </c:pt>
                <c:pt idx="4">
                  <c:v>4226</c:v>
                </c:pt>
                <c:pt idx="5">
                  <c:v>4102</c:v>
                </c:pt>
                <c:pt idx="6">
                  <c:v>3981</c:v>
                </c:pt>
                <c:pt idx="7">
                  <c:v>3863</c:v>
                </c:pt>
                <c:pt idx="8">
                  <c:v>3748</c:v>
                </c:pt>
                <c:pt idx="9">
                  <c:v>3635</c:v>
                </c:pt>
                <c:pt idx="10">
                  <c:v>3525</c:v>
                </c:pt>
                <c:pt idx="11">
                  <c:v>3417</c:v>
                </c:pt>
                <c:pt idx="12">
                  <c:v>3312</c:v>
                </c:pt>
                <c:pt idx="13">
                  <c:v>3210</c:v>
                </c:pt>
                <c:pt idx="14">
                  <c:v>3110</c:v>
                </c:pt>
                <c:pt idx="15">
                  <c:v>3012</c:v>
                </c:pt>
                <c:pt idx="16">
                  <c:v>2917</c:v>
                </c:pt>
                <c:pt idx="17">
                  <c:v>2824</c:v>
                </c:pt>
                <c:pt idx="18">
                  <c:v>2734</c:v>
                </c:pt>
                <c:pt idx="19">
                  <c:v>2645</c:v>
                </c:pt>
                <c:pt idx="20">
                  <c:v>2563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3291-4E02-8044-6DF73C2964C1}"/>
            </c:ext>
          </c:extLst>
        </c:ser>
        <c:ser>
          <c:idx val="3"/>
          <c:order val="3"/>
          <c:tx>
            <c:strRef>
              <c:f>'Terminal Ascent PHP'!$AP$6</c:f>
              <c:strCache>
                <c:ptCount val="1"/>
                <c:pt idx="0">
                  <c:v>50m Zero(G1 BC: Federal's spec for MV)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'Terminal Ascent PHP'!$AP$8:$AP$28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PHP'!$AR$8:$AR$28</c:f>
              <c:numCache>
                <c:formatCode>0.00</c:formatCode>
                <c:ptCount val="21"/>
                <c:pt idx="0">
                  <c:v>4754</c:v>
                </c:pt>
                <c:pt idx="1">
                  <c:v>4613</c:v>
                </c:pt>
                <c:pt idx="2">
                  <c:v>4476</c:v>
                </c:pt>
                <c:pt idx="3">
                  <c:v>4343</c:v>
                </c:pt>
                <c:pt idx="4">
                  <c:v>4212</c:v>
                </c:pt>
                <c:pt idx="5">
                  <c:v>4085</c:v>
                </c:pt>
                <c:pt idx="6">
                  <c:v>3961</c:v>
                </c:pt>
                <c:pt idx="7">
                  <c:v>3840</c:v>
                </c:pt>
                <c:pt idx="8">
                  <c:v>3722</c:v>
                </c:pt>
                <c:pt idx="9">
                  <c:v>3607</c:v>
                </c:pt>
                <c:pt idx="10">
                  <c:v>3494</c:v>
                </c:pt>
                <c:pt idx="11">
                  <c:v>3385</c:v>
                </c:pt>
                <c:pt idx="12">
                  <c:v>3278</c:v>
                </c:pt>
                <c:pt idx="13">
                  <c:v>3173</c:v>
                </c:pt>
                <c:pt idx="14">
                  <c:v>3071</c:v>
                </c:pt>
                <c:pt idx="15">
                  <c:v>2972</c:v>
                </c:pt>
                <c:pt idx="16">
                  <c:v>2875</c:v>
                </c:pt>
                <c:pt idx="17">
                  <c:v>2781</c:v>
                </c:pt>
                <c:pt idx="18">
                  <c:v>2689</c:v>
                </c:pt>
                <c:pt idx="19">
                  <c:v>2599</c:v>
                </c:pt>
                <c:pt idx="20">
                  <c:v>2516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64-4775-81FE-52DFF59A6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'Terminal Ascent PHP'!$K$78</c15:sqref>
                        </c15:formulaRef>
                      </c:ext>
                    </c:extLst>
                    <c:strCache>
                      <c:ptCount val="1"/>
                      <c:pt idx="0">
                        <c:v>50m zero(G7 BC)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'Terminal Ascent PHP'!$K$80:$K$100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175</c:v>
                      </c:pt>
                      <c:pt idx="8">
                        <c:v>200</c:v>
                      </c:pt>
                      <c:pt idx="9">
                        <c:v>225</c:v>
                      </c:pt>
                      <c:pt idx="10">
                        <c:v>250</c:v>
                      </c:pt>
                      <c:pt idx="11">
                        <c:v>275</c:v>
                      </c:pt>
                      <c:pt idx="12">
                        <c:v>300</c:v>
                      </c:pt>
                      <c:pt idx="13">
                        <c:v>325</c:v>
                      </c:pt>
                      <c:pt idx="14">
                        <c:v>350</c:v>
                      </c:pt>
                      <c:pt idx="15">
                        <c:v>375</c:v>
                      </c:pt>
                      <c:pt idx="16">
                        <c:v>400</c:v>
                      </c:pt>
                      <c:pt idx="17">
                        <c:v>425</c:v>
                      </c:pt>
                      <c:pt idx="18">
                        <c:v>450</c:v>
                      </c:pt>
                      <c:pt idx="19">
                        <c:v>475</c:v>
                      </c:pt>
                      <c:pt idx="20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'Terminal Ascent PHP'!$M$80:$M$100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4754</c:v>
                      </c:pt>
                      <c:pt idx="1">
                        <c:v>4614</c:v>
                      </c:pt>
                      <c:pt idx="2">
                        <c:v>4478</c:v>
                      </c:pt>
                      <c:pt idx="3">
                        <c:v>4346</c:v>
                      </c:pt>
                      <c:pt idx="4">
                        <c:v>4216</c:v>
                      </c:pt>
                      <c:pt idx="5">
                        <c:v>4089</c:v>
                      </c:pt>
                      <c:pt idx="6">
                        <c:v>3966</c:v>
                      </c:pt>
                      <c:pt idx="7">
                        <c:v>3845</c:v>
                      </c:pt>
                      <c:pt idx="8">
                        <c:v>3727</c:v>
                      </c:pt>
                      <c:pt idx="9">
                        <c:v>3611</c:v>
                      </c:pt>
                      <c:pt idx="10">
                        <c:v>3499</c:v>
                      </c:pt>
                      <c:pt idx="11">
                        <c:v>3389</c:v>
                      </c:pt>
                      <c:pt idx="12">
                        <c:v>3282</c:v>
                      </c:pt>
                      <c:pt idx="13">
                        <c:v>3178</c:v>
                      </c:pt>
                      <c:pt idx="14">
                        <c:v>3076</c:v>
                      </c:pt>
                      <c:pt idx="15">
                        <c:v>2976</c:v>
                      </c:pt>
                      <c:pt idx="16">
                        <c:v>2879</c:v>
                      </c:pt>
                      <c:pt idx="17">
                        <c:v>2785</c:v>
                      </c:pt>
                      <c:pt idx="18">
                        <c:v>2693</c:v>
                      </c:pt>
                      <c:pt idx="19">
                        <c:v>2603</c:v>
                      </c:pt>
                      <c:pt idx="20">
                        <c:v>2519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4D91-490A-A101-21505B6C0279}"/>
                  </c:ext>
                </c:extLst>
              </c15:ser>
            </c15:filteredScatterSeries>
          </c:ext>
        </c:extLst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0</c:v>
                </c:pt>
                <c:pt idx="3">
                  <c:v>1.4062500164794922</c:v>
                </c:pt>
                <c:pt idx="4">
                  <c:v>2.4000000460800006</c:v>
                </c:pt>
                <c:pt idx="5">
                  <c:v>2.8125000474609378</c:v>
                </c:pt>
                <c:pt idx="6">
                  <c:v>3.3750000569531258</c:v>
                </c:pt>
                <c:pt idx="7">
                  <c:v>0</c:v>
                </c:pt>
                <c:pt idx="8">
                  <c:v>-7.5000002250000088</c:v>
                </c:pt>
                <c:pt idx="9">
                  <c:v>-16.650001709538962</c:v>
                </c:pt>
                <c:pt idx="10">
                  <c:v>-32.812509613040483</c:v>
                </c:pt>
                <c:pt idx="11">
                  <c:v>-54.000032805023913</c:v>
                </c:pt>
                <c:pt idx="12">
                  <c:v>-84.375098877092171</c:v>
                </c:pt>
                <c:pt idx="13">
                  <c:v>-108.75017148548073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95-4627-8C5C-9C6B06E55221}"/>
            </c:ext>
          </c:extLst>
        </c:ser>
        <c:ser>
          <c:idx val="1"/>
          <c:order val="1"/>
          <c:tx>
            <c:strRef>
              <c:f>'Terminal Ascent PHP'!$K$21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-3.5156273174304218</c:v>
                </c:pt>
                <c:pt idx="2">
                  <c:v>-1.1718750214576725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-3.515625064373018</c:v>
                </c:pt>
                <c:pt idx="7">
                  <c:v>-9.3750006866455688</c:v>
                </c:pt>
                <c:pt idx="8">
                  <c:v>-17.578127896786309</c:v>
                </c:pt>
                <c:pt idx="9">
                  <c:v>-35.156266093262929</c:v>
                </c:pt>
                <c:pt idx="10">
                  <c:v>-52.500039375035435</c:v>
                </c:pt>
                <c:pt idx="11">
                  <c:v>-82.500116982620938</c:v>
                </c:pt>
                <c:pt idx="12">
                  <c:v>-113.90649327500701</c:v>
                </c:pt>
                <c:pt idx="13">
                  <c:v>-140.62537078974739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95-4627-8C5C-9C6B06E55221}"/>
            </c:ext>
          </c:extLst>
        </c:ser>
        <c:ser>
          <c:idx val="2"/>
          <c:order val="2"/>
          <c:tx>
            <c:strRef>
              <c:f>'Terminal Ascent PHP'!$L$21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-3.2812518841565721</c:v>
                </c:pt>
                <c:pt idx="2">
                  <c:v>-0.93750001098632829</c:v>
                </c:pt>
                <c:pt idx="3">
                  <c:v>1.757812532186509</c:v>
                </c:pt>
                <c:pt idx="4">
                  <c:v>2.3437500429153451</c:v>
                </c:pt>
                <c:pt idx="5">
                  <c:v>3.5156250926971464</c:v>
                </c:pt>
                <c:pt idx="6">
                  <c:v>0</c:v>
                </c:pt>
                <c:pt idx="7">
                  <c:v>-4.6875000858306901</c:v>
                </c:pt>
                <c:pt idx="8">
                  <c:v>-17.578127896786309</c:v>
                </c:pt>
                <c:pt idx="9">
                  <c:v>-28.12500823974899</c:v>
                </c:pt>
                <c:pt idx="10">
                  <c:v>-49.218782444025905</c:v>
                </c:pt>
                <c:pt idx="11">
                  <c:v>-75.000087890748588</c:v>
                </c:pt>
                <c:pt idx="12">
                  <c:v>-105.46894311947339</c:v>
                </c:pt>
                <c:pt idx="13">
                  <c:v>-139.68786342326601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95-4627-8C5C-9C6B06E55221}"/>
            </c:ext>
          </c:extLst>
        </c:ser>
        <c:ser>
          <c:idx val="3"/>
          <c:order val="3"/>
          <c:tx>
            <c:strRef>
              <c:f>'Terminal Ascent PHP'!$M$21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-2.450000784326968</c:v>
                </c:pt>
                <c:pt idx="2">
                  <c:v>1.250000026041667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6.7500006561000765</c:v>
                </c:pt>
                <c:pt idx="6">
                  <c:v>4.5000001350000041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-36.400013123419015</c:v>
                </c:pt>
                <c:pt idx="11">
                  <c:v>-56.000036586695359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95-4627-8C5C-9C6B06E55221}"/>
            </c:ext>
          </c:extLst>
        </c:ser>
        <c:ser>
          <c:idx val="4"/>
          <c:order val="4"/>
          <c:tx>
            <c:strRef>
              <c:f>'Terminal Ascent PHP'!$N$21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-0.50000000666666677</c:v>
                </c:pt>
                <c:pt idx="2">
                  <c:v>5.0000016666673339</c:v>
                </c:pt>
                <c:pt idx="3">
                  <c:v>9.3750048828155528</c:v>
                </c:pt>
                <c:pt idx="4">
                  <c:v>13.000007323338284</c:v>
                </c:pt>
                <c:pt idx="5">
                  <c:v>16.250009154172854</c:v>
                </c:pt>
                <c:pt idx="6">
                  <c:v>15.300005306042211</c:v>
                </c:pt>
                <c:pt idx="7">
                  <c:v>15.000002812500634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-32.000006826668411</c:v>
                </c:pt>
                <c:pt idx="12">
                  <c:v>-58.500032955022277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995-4627-8C5C-9C6B06E55221}"/>
            </c:ext>
          </c:extLst>
        </c:ser>
        <c:ser>
          <c:idx val="5"/>
          <c:order val="5"/>
          <c:tx>
            <c:strRef>
              <c:f>'Terminal Ascent PHP'!$O$21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1.6406252355194499</c:v>
                </c:pt>
                <c:pt idx="2">
                  <c:v>8.3125076583320343</c:v>
                </c:pt>
                <c:pt idx="3">
                  <c:v>14.43751783334675</c:v>
                </c:pt>
                <c:pt idx="4">
                  <c:v>19.600025098491905</c:v>
                </c:pt>
                <c:pt idx="5">
                  <c:v>22.531274401422401</c:v>
                </c:pt>
                <c:pt idx="6">
                  <c:v>26.250026796907829</c:v>
                </c:pt>
                <c:pt idx="7">
                  <c:v>24.500012255111525</c:v>
                </c:pt>
                <c:pt idx="8">
                  <c:v>27.343760903681574</c:v>
                </c:pt>
                <c:pt idx="9">
                  <c:v>26.775007109266802</c:v>
                </c:pt>
                <c:pt idx="10">
                  <c:v>15.312500976969476</c:v>
                </c:pt>
                <c:pt idx="11">
                  <c:v>0</c:v>
                </c:pt>
                <c:pt idx="12">
                  <c:v>-19.687501256103612</c:v>
                </c:pt>
                <c:pt idx="13">
                  <c:v>-43.750011165368008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8-4D06-8D06-CB901B32B0F2}"/>
            </c:ext>
          </c:extLst>
        </c:ser>
        <c:ser>
          <c:idx val="6"/>
          <c:order val="6"/>
          <c:tx>
            <c:strRef>
              <c:f>'Terminal Ascent PHP'!$P$21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3.7500028125025313</c:v>
                </c:pt>
                <c:pt idx="2">
                  <c:v>14.500040648470073</c:v>
                </c:pt>
                <c:pt idx="3">
                  <c:v>22.800070236419639</c:v>
                </c:pt>
                <c:pt idx="4">
                  <c:v>30.600095509077729</c:v>
                </c:pt>
                <c:pt idx="5">
                  <c:v>37.500112500405002</c:v>
                </c:pt>
                <c:pt idx="6">
                  <c:v>45.000135000486011</c:v>
                </c:pt>
                <c:pt idx="7">
                  <c:v>54.000131220382642</c:v>
                </c:pt>
                <c:pt idx="8">
                  <c:v>61.25012255133592</c:v>
                </c:pt>
                <c:pt idx="9">
                  <c:v>60.000080000127994</c:v>
                </c:pt>
                <c:pt idx="10">
                  <c:v>52.500039375035435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C58-4D06-8D06-CB901B32B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6.25E-2</c:v>
                </c:pt>
                <c:pt idx="3">
                  <c:v>0.08</c:v>
                </c:pt>
                <c:pt idx="4">
                  <c:v>7.4999999999999997E-2</c:v>
                </c:pt>
                <c:pt idx="5">
                  <c:v>7.4999999999999997E-2</c:v>
                </c:pt>
                <c:pt idx="6">
                  <c:v>0</c:v>
                </c:pt>
                <c:pt idx="7">
                  <c:v>-0.1</c:v>
                </c:pt>
                <c:pt idx="8">
                  <c:v>-0.185</c:v>
                </c:pt>
                <c:pt idx="9">
                  <c:v>-0.3125</c:v>
                </c:pt>
                <c:pt idx="10">
                  <c:v>-0.45</c:v>
                </c:pt>
                <c:pt idx="11">
                  <c:v>-0.625</c:v>
                </c:pt>
                <c:pt idx="12">
                  <c:v>-0.72499999999999998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3D-4691-AF01-1B4BD43451D7}"/>
            </c:ext>
          </c:extLst>
        </c:ser>
        <c:ser>
          <c:idx val="1"/>
          <c:order val="1"/>
          <c:tx>
            <c:strRef>
              <c:f>'Terminal Ascent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PHP'!$D$23:$D$35</c:f>
              <c:numCache>
                <c:formatCode>0.000</c:formatCode>
                <c:ptCount val="13"/>
                <c:pt idx="0">
                  <c:v>-0.375</c:v>
                </c:pt>
                <c:pt idx="1">
                  <c:v>-6.25E-2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-6.25E-2</c:v>
                </c:pt>
                <c:pt idx="6">
                  <c:v>-0.125</c:v>
                </c:pt>
                <c:pt idx="7">
                  <c:v>-0.1875</c:v>
                </c:pt>
                <c:pt idx="8">
                  <c:v>-0.3125</c:v>
                </c:pt>
                <c:pt idx="9">
                  <c:v>-0.4</c:v>
                </c:pt>
                <c:pt idx="10">
                  <c:v>-0.55000000000000004</c:v>
                </c:pt>
                <c:pt idx="11">
                  <c:v>-0.67500000000000004</c:v>
                </c:pt>
                <c:pt idx="12">
                  <c:v>-0.75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3D-4691-AF01-1B4BD43451D7}"/>
            </c:ext>
          </c:extLst>
        </c:ser>
        <c:ser>
          <c:idx val="2"/>
          <c:order val="2"/>
          <c:tx>
            <c:strRef>
              <c:f>'Terminal Ascent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PHP'!$E$23:$E$35</c:f>
              <c:numCache>
                <c:formatCode>0.000</c:formatCode>
                <c:ptCount val="13"/>
                <c:pt idx="0">
                  <c:v>-0.35</c:v>
                </c:pt>
                <c:pt idx="1">
                  <c:v>-0.05</c:v>
                </c:pt>
                <c:pt idx="2">
                  <c:v>6.25E-2</c:v>
                </c:pt>
                <c:pt idx="3">
                  <c:v>6.25E-2</c:v>
                </c:pt>
                <c:pt idx="4">
                  <c:v>7.4999999999999997E-2</c:v>
                </c:pt>
                <c:pt idx="5">
                  <c:v>0</c:v>
                </c:pt>
                <c:pt idx="6">
                  <c:v>-6.25E-2</c:v>
                </c:pt>
                <c:pt idx="7">
                  <c:v>-0.1875</c:v>
                </c:pt>
                <c:pt idx="8">
                  <c:v>-0.25</c:v>
                </c:pt>
                <c:pt idx="9">
                  <c:v>-0.375</c:v>
                </c:pt>
                <c:pt idx="10">
                  <c:v>-0.5</c:v>
                </c:pt>
                <c:pt idx="11">
                  <c:v>-0.625</c:v>
                </c:pt>
                <c:pt idx="12">
                  <c:v>-0.745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3D-4691-AF01-1B4BD43451D7}"/>
            </c:ext>
          </c:extLst>
        </c:ser>
        <c:ser>
          <c:idx val="3"/>
          <c:order val="3"/>
          <c:tx>
            <c:strRef>
              <c:f>'Terminal Ascent PHP'!$F$21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PHP'!$F$23:$F$35</c:f>
              <c:numCache>
                <c:formatCode>0.000</c:formatCode>
                <c:ptCount val="13"/>
                <c:pt idx="0">
                  <c:v>-0.245</c:v>
                </c:pt>
                <c:pt idx="1">
                  <c:v>6.25E-2</c:v>
                </c:pt>
                <c:pt idx="2">
                  <c:v>0.125</c:v>
                </c:pt>
                <c:pt idx="3">
                  <c:v>0.125</c:v>
                </c:pt>
                <c:pt idx="4">
                  <c:v>0.13500000000000001</c:v>
                </c:pt>
                <c:pt idx="5">
                  <c:v>7.4999999999999997E-2</c:v>
                </c:pt>
                <c:pt idx="6">
                  <c:v>0</c:v>
                </c:pt>
                <c:pt idx="7">
                  <c:v>-0.125</c:v>
                </c:pt>
                <c:pt idx="8">
                  <c:v>-0.1875</c:v>
                </c:pt>
                <c:pt idx="9">
                  <c:v>-0.26</c:v>
                </c:pt>
                <c:pt idx="10">
                  <c:v>-0.35</c:v>
                </c:pt>
                <c:pt idx="11">
                  <c:v>-0.5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D-4691-AF01-1B4BD43451D7}"/>
            </c:ext>
          </c:extLst>
        </c:ser>
        <c:ser>
          <c:idx val="4"/>
          <c:order val="4"/>
          <c:tx>
            <c:strRef>
              <c:f>'Terminal Ascent PHP'!$G$21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PHP'!$G$23:$G$35</c:f>
              <c:numCache>
                <c:formatCode>0.000</c:formatCode>
                <c:ptCount val="13"/>
                <c:pt idx="0">
                  <c:v>-0.05</c:v>
                </c:pt>
                <c:pt idx="1">
                  <c:v>0.25</c:v>
                </c:pt>
                <c:pt idx="2">
                  <c:v>0.3125</c:v>
                </c:pt>
                <c:pt idx="3">
                  <c:v>0.32500000000000001</c:v>
                </c:pt>
                <c:pt idx="4">
                  <c:v>0.32500000000000001</c:v>
                </c:pt>
                <c:pt idx="5">
                  <c:v>0.255</c:v>
                </c:pt>
                <c:pt idx="6">
                  <c:v>0.1875</c:v>
                </c:pt>
                <c:pt idx="7">
                  <c:v>0.125</c:v>
                </c:pt>
                <c:pt idx="8">
                  <c:v>0</c:v>
                </c:pt>
                <c:pt idx="9">
                  <c:v>-0.125</c:v>
                </c:pt>
                <c:pt idx="10">
                  <c:v>-0.2</c:v>
                </c:pt>
                <c:pt idx="11">
                  <c:v>-0.32500000000000001</c:v>
                </c:pt>
                <c:pt idx="12">
                  <c:v>-0.5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43D-4691-AF01-1B4BD43451D7}"/>
            </c:ext>
          </c:extLst>
        </c:ser>
        <c:ser>
          <c:idx val="5"/>
          <c:order val="5"/>
          <c:tx>
            <c:strRef>
              <c:f>'Terminal Ascent PHP'!$H$21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PHP'!$H$23:$H$35</c:f>
              <c:numCache>
                <c:formatCode>0.000</c:formatCode>
                <c:ptCount val="13"/>
                <c:pt idx="0">
                  <c:v>0.1875</c:v>
                </c:pt>
                <c:pt idx="1">
                  <c:v>0.47499999999999998</c:v>
                </c:pt>
                <c:pt idx="2">
                  <c:v>0.55000000000000004</c:v>
                </c:pt>
                <c:pt idx="3">
                  <c:v>0.56000000000000005</c:v>
                </c:pt>
                <c:pt idx="4">
                  <c:v>0.51500000000000001</c:v>
                </c:pt>
                <c:pt idx="5">
                  <c:v>0.5</c:v>
                </c:pt>
                <c:pt idx="6">
                  <c:v>0.35</c:v>
                </c:pt>
                <c:pt idx="7">
                  <c:v>0.3125</c:v>
                </c:pt>
                <c:pt idx="8">
                  <c:v>0.255</c:v>
                </c:pt>
                <c:pt idx="9">
                  <c:v>0.125</c:v>
                </c:pt>
                <c:pt idx="10">
                  <c:v>0</c:v>
                </c:pt>
                <c:pt idx="11">
                  <c:v>-0.125</c:v>
                </c:pt>
                <c:pt idx="12">
                  <c:v>-0.25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300-4A5E-B679-7EAF33ADFE6E}"/>
            </c:ext>
          </c:extLst>
        </c:ser>
        <c:ser>
          <c:idx val="6"/>
          <c:order val="6"/>
          <c:tx>
            <c:strRef>
              <c:f>'Terminal Ascent PHP'!$I$21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PHP'!$I$23:$I$35</c:f>
              <c:numCache>
                <c:formatCode>0.000</c:formatCode>
                <c:ptCount val="13"/>
                <c:pt idx="0">
                  <c:v>0.375</c:v>
                </c:pt>
                <c:pt idx="1">
                  <c:v>0.72499999999999998</c:v>
                </c:pt>
                <c:pt idx="2">
                  <c:v>0.76</c:v>
                </c:pt>
                <c:pt idx="3">
                  <c:v>0.76500000000000001</c:v>
                </c:pt>
                <c:pt idx="4">
                  <c:v>0.75</c:v>
                </c:pt>
                <c:pt idx="5">
                  <c:v>0.75</c:v>
                </c:pt>
                <c:pt idx="6">
                  <c:v>0.67500000000000004</c:v>
                </c:pt>
                <c:pt idx="7">
                  <c:v>0.61250000000000004</c:v>
                </c:pt>
                <c:pt idx="8">
                  <c:v>0.5</c:v>
                </c:pt>
                <c:pt idx="9">
                  <c:v>0.375</c:v>
                </c:pt>
                <c:pt idx="10">
                  <c:v>0.25</c:v>
                </c:pt>
                <c:pt idx="11">
                  <c:v>0.125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300-4A5E-B679-7EAF33ADF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356377658827906E-2"/>
          <c:y val="0.12032441200324413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'Terminal Ascent PHP'!$J$21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393772105009507"/>
                  <c:y val="-0.20418465939932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0</c:v>
                </c:pt>
                <c:pt idx="3">
                  <c:v>1.4062500164794922</c:v>
                </c:pt>
                <c:pt idx="4">
                  <c:v>2.4000000460800006</c:v>
                </c:pt>
                <c:pt idx="5">
                  <c:v>2.8125000474609378</c:v>
                </c:pt>
                <c:pt idx="6">
                  <c:v>3.3750000569531258</c:v>
                </c:pt>
                <c:pt idx="7">
                  <c:v>0</c:v>
                </c:pt>
                <c:pt idx="8">
                  <c:v>-7.5000002250000088</c:v>
                </c:pt>
                <c:pt idx="9">
                  <c:v>-16.650001709538962</c:v>
                </c:pt>
                <c:pt idx="10">
                  <c:v>-32.812509613040483</c:v>
                </c:pt>
                <c:pt idx="11">
                  <c:v>-54.000032805023913</c:v>
                </c:pt>
                <c:pt idx="12">
                  <c:v>-84.375098877092171</c:v>
                </c:pt>
                <c:pt idx="13">
                  <c:v>-108.75017148548073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F8-4FCC-91C1-AC5F927A710A}"/>
            </c:ext>
          </c:extLst>
        </c:ser>
        <c:ser>
          <c:idx val="1"/>
          <c:order val="1"/>
          <c:tx>
            <c:strRef>
              <c:f>'Terminal Ascent PHP'!$A$78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PHP'!$D$80:$D$100</c:f>
              <c:numCache>
                <c:formatCode>0.00</c:formatCode>
                <c:ptCount val="21"/>
                <c:pt idx="0">
                  <c:v>-8</c:v>
                </c:pt>
                <c:pt idx="1">
                  <c:v>-3.6</c:v>
                </c:pt>
                <c:pt idx="2">
                  <c:v>0</c:v>
                </c:pt>
                <c:pt idx="3">
                  <c:v>2.6</c:v>
                </c:pt>
                <c:pt idx="4">
                  <c:v>4.3</c:v>
                </c:pt>
                <c:pt idx="5">
                  <c:v>5.0999999999999996</c:v>
                </c:pt>
                <c:pt idx="6">
                  <c:v>4.9000000000000004</c:v>
                </c:pt>
                <c:pt idx="7">
                  <c:v>3.7</c:v>
                </c:pt>
                <c:pt idx="8">
                  <c:v>1.4</c:v>
                </c:pt>
                <c:pt idx="9">
                  <c:v>-1.9</c:v>
                </c:pt>
                <c:pt idx="10">
                  <c:v>-6.3</c:v>
                </c:pt>
                <c:pt idx="11">
                  <c:v>-12.1</c:v>
                </c:pt>
                <c:pt idx="12">
                  <c:v>-18.8</c:v>
                </c:pt>
                <c:pt idx="13">
                  <c:v>-26.8</c:v>
                </c:pt>
                <c:pt idx="14">
                  <c:v>-36.4</c:v>
                </c:pt>
                <c:pt idx="15">
                  <c:v>-47</c:v>
                </c:pt>
                <c:pt idx="16">
                  <c:v>-58.9</c:v>
                </c:pt>
                <c:pt idx="17">
                  <c:v>-72.7</c:v>
                </c:pt>
                <c:pt idx="18">
                  <c:v>-87.5</c:v>
                </c:pt>
                <c:pt idx="19">
                  <c:v>-103.8</c:v>
                </c:pt>
                <c:pt idx="20">
                  <c:v>-121.7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F8-4FCC-91C1-AC5F927A710A}"/>
            </c:ext>
          </c:extLst>
        </c:ser>
        <c:ser>
          <c:idx val="2"/>
          <c:order val="2"/>
          <c:tx>
            <c:strRef>
              <c:f>'Terminal Ascent PHP'!$K$78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PHP'!$N$80:$N$100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0.6</c:v>
                </c:pt>
                <c:pt idx="4">
                  <c:v>0.2</c:v>
                </c:pt>
                <c:pt idx="5">
                  <c:v>-1.1000000000000001</c:v>
                </c:pt>
                <c:pt idx="6">
                  <c:v>-3.4</c:v>
                </c:pt>
                <c:pt idx="7">
                  <c:v>-6.6</c:v>
                </c:pt>
                <c:pt idx="8">
                  <c:v>-11.1</c:v>
                </c:pt>
                <c:pt idx="9">
                  <c:v>-16.5</c:v>
                </c:pt>
                <c:pt idx="10">
                  <c:v>-23</c:v>
                </c:pt>
                <c:pt idx="11">
                  <c:v>-31</c:v>
                </c:pt>
                <c:pt idx="12">
                  <c:v>-39.799999999999997</c:v>
                </c:pt>
                <c:pt idx="13">
                  <c:v>-49.9</c:v>
                </c:pt>
                <c:pt idx="14">
                  <c:v>-61.7</c:v>
                </c:pt>
                <c:pt idx="15">
                  <c:v>-74.400000000000006</c:v>
                </c:pt>
                <c:pt idx="16">
                  <c:v>-88.5</c:v>
                </c:pt>
                <c:pt idx="17">
                  <c:v>-104.6</c:v>
                </c:pt>
                <c:pt idx="18">
                  <c:v>-121.6</c:v>
                </c:pt>
                <c:pt idx="19">
                  <c:v>-140.19999999999999</c:v>
                </c:pt>
                <c:pt idx="20">
                  <c:v>-160.30000000000001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72-45F5-86F1-BF42DECB8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415246083343084E-2"/>
                  <c:y val="-0.37212501215125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-3.5156273174304218</c:v>
                </c:pt>
                <c:pt idx="2">
                  <c:v>-1.1718750214576725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-3.515625064373018</c:v>
                </c:pt>
                <c:pt idx="7">
                  <c:v>-9.3750006866455688</c:v>
                </c:pt>
                <c:pt idx="8">
                  <c:v>-17.578127896786309</c:v>
                </c:pt>
                <c:pt idx="9">
                  <c:v>-35.156266093262929</c:v>
                </c:pt>
                <c:pt idx="10">
                  <c:v>-52.500039375035435</c:v>
                </c:pt>
                <c:pt idx="11">
                  <c:v>-82.500116982620938</c:v>
                </c:pt>
                <c:pt idx="12">
                  <c:v>-113.90649327500701</c:v>
                </c:pt>
                <c:pt idx="13">
                  <c:v>-140.62537078974739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E-4026-973D-6592106A5735}"/>
            </c:ext>
          </c:extLst>
        </c:ser>
        <c:ser>
          <c:idx val="1"/>
          <c:order val="1"/>
          <c:tx>
            <c:strRef>
              <c:f>'Terminal Ascent PHP'!$A$102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572305449544006"/>
                  <c:y val="-0.10014508603091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PHP'!$D$104:$D$124</c:f>
              <c:numCache>
                <c:formatCode>0.00</c:formatCode>
                <c:ptCount val="21"/>
                <c:pt idx="0">
                  <c:v>-8</c:v>
                </c:pt>
                <c:pt idx="1">
                  <c:v>-4.7</c:v>
                </c:pt>
                <c:pt idx="2">
                  <c:v>-2.2000000000000002</c:v>
                </c:pt>
                <c:pt idx="3">
                  <c:v>-0.7</c:v>
                </c:pt>
                <c:pt idx="4">
                  <c:v>0</c:v>
                </c:pt>
                <c:pt idx="5">
                  <c:v>-0.3</c:v>
                </c:pt>
                <c:pt idx="6">
                  <c:v>-1.6</c:v>
                </c:pt>
                <c:pt idx="7">
                  <c:v>-3.9</c:v>
                </c:pt>
                <c:pt idx="8">
                  <c:v>-7.3</c:v>
                </c:pt>
                <c:pt idx="9">
                  <c:v>-11.7</c:v>
                </c:pt>
                <c:pt idx="10">
                  <c:v>-17.2</c:v>
                </c:pt>
                <c:pt idx="11">
                  <c:v>-24.1</c:v>
                </c:pt>
                <c:pt idx="12">
                  <c:v>-31.9</c:v>
                </c:pt>
                <c:pt idx="13">
                  <c:v>-41</c:v>
                </c:pt>
                <c:pt idx="14">
                  <c:v>-51.7</c:v>
                </c:pt>
                <c:pt idx="15">
                  <c:v>-63.3</c:v>
                </c:pt>
                <c:pt idx="16">
                  <c:v>-76.3</c:v>
                </c:pt>
                <c:pt idx="17">
                  <c:v>-91.3</c:v>
                </c:pt>
                <c:pt idx="18">
                  <c:v>-107.2</c:v>
                </c:pt>
                <c:pt idx="19">
                  <c:v>-124.5</c:v>
                </c:pt>
                <c:pt idx="20">
                  <c:v>-143.5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9E-4026-973D-6592106A5735}"/>
            </c:ext>
          </c:extLst>
        </c:ser>
        <c:ser>
          <c:idx val="2"/>
          <c:order val="2"/>
          <c:tx>
            <c:strRef>
              <c:f>'Terminal Ascent PHP'!$K$102</c:f>
              <c:strCache>
                <c:ptCount val="1"/>
                <c:pt idx="0">
                  <c:v>100m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PHP'!$N$104:$N$124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-0.1</c:v>
                </c:pt>
                <c:pt idx="3">
                  <c:v>0.4</c:v>
                </c:pt>
                <c:pt idx="4">
                  <c:v>0</c:v>
                </c:pt>
                <c:pt idx="5">
                  <c:v>-1.4</c:v>
                </c:pt>
                <c:pt idx="6">
                  <c:v>-3.7</c:v>
                </c:pt>
                <c:pt idx="7">
                  <c:v>-7</c:v>
                </c:pt>
                <c:pt idx="8">
                  <c:v>-11.6</c:v>
                </c:pt>
                <c:pt idx="9">
                  <c:v>-17</c:v>
                </c:pt>
                <c:pt idx="10">
                  <c:v>-23.6</c:v>
                </c:pt>
                <c:pt idx="11">
                  <c:v>-31.6</c:v>
                </c:pt>
                <c:pt idx="12">
                  <c:v>-40.5</c:v>
                </c:pt>
                <c:pt idx="13">
                  <c:v>-50.6</c:v>
                </c:pt>
                <c:pt idx="14">
                  <c:v>-62.5</c:v>
                </c:pt>
                <c:pt idx="15">
                  <c:v>-75.3</c:v>
                </c:pt>
                <c:pt idx="16">
                  <c:v>-89.4</c:v>
                </c:pt>
                <c:pt idx="17">
                  <c:v>-105.6</c:v>
                </c:pt>
                <c:pt idx="18">
                  <c:v>-122.6</c:v>
                </c:pt>
                <c:pt idx="19">
                  <c:v>-141.30000000000001</c:v>
                </c:pt>
                <c:pt idx="20">
                  <c:v>-161.4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98-405C-9D38-BEBC437DA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578818448808808E-2"/>
                  <c:y val="-0.335983036842616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-3.2812518841565721</c:v>
                </c:pt>
                <c:pt idx="2">
                  <c:v>-0.93750001098632829</c:v>
                </c:pt>
                <c:pt idx="3">
                  <c:v>1.757812532186509</c:v>
                </c:pt>
                <c:pt idx="4">
                  <c:v>2.3437500429153451</c:v>
                </c:pt>
                <c:pt idx="5">
                  <c:v>3.5156250926971464</c:v>
                </c:pt>
                <c:pt idx="6">
                  <c:v>0</c:v>
                </c:pt>
                <c:pt idx="7">
                  <c:v>-4.6875000858306901</c:v>
                </c:pt>
                <c:pt idx="8">
                  <c:v>-17.578127896786309</c:v>
                </c:pt>
                <c:pt idx="9">
                  <c:v>-28.12500823974899</c:v>
                </c:pt>
                <c:pt idx="10">
                  <c:v>-49.218782444025905</c:v>
                </c:pt>
                <c:pt idx="11">
                  <c:v>-75.000087890748588</c:v>
                </c:pt>
                <c:pt idx="12">
                  <c:v>-105.46894311947339</c:v>
                </c:pt>
                <c:pt idx="13">
                  <c:v>-139.68786342326601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ED-41C7-99BF-C03A7C9712B7}"/>
            </c:ext>
          </c:extLst>
        </c:ser>
        <c:ser>
          <c:idx val="1"/>
          <c:order val="1"/>
          <c:tx>
            <c:strRef>
              <c:f>'Terminal Ascent PHP'!$A$126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776937505165413"/>
                  <c:y val="-0.179660979877515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PHP'!$D$128:$D$148</c:f>
              <c:numCache>
                <c:formatCode>0.00</c:formatCode>
                <c:ptCount val="21"/>
                <c:pt idx="0">
                  <c:v>-8</c:v>
                </c:pt>
                <c:pt idx="1">
                  <c:v>-4.4000000000000004</c:v>
                </c:pt>
                <c:pt idx="2">
                  <c:v>-1.6</c:v>
                </c:pt>
                <c:pt idx="3">
                  <c:v>0.2</c:v>
                </c:pt>
                <c:pt idx="4">
                  <c:v>1.1000000000000001</c:v>
                </c:pt>
                <c:pt idx="5">
                  <c:v>1</c:v>
                </c:pt>
                <c:pt idx="6">
                  <c:v>0</c:v>
                </c:pt>
                <c:pt idx="7">
                  <c:v>-2</c:v>
                </c:pt>
                <c:pt idx="8">
                  <c:v>-5.2</c:v>
                </c:pt>
                <c:pt idx="9">
                  <c:v>-9.3000000000000007</c:v>
                </c:pt>
                <c:pt idx="10">
                  <c:v>-14.5</c:v>
                </c:pt>
                <c:pt idx="11">
                  <c:v>-21.1</c:v>
                </c:pt>
                <c:pt idx="12">
                  <c:v>-28.7</c:v>
                </c:pt>
                <c:pt idx="13">
                  <c:v>-37.5</c:v>
                </c:pt>
                <c:pt idx="14">
                  <c:v>-47.9</c:v>
                </c:pt>
                <c:pt idx="15">
                  <c:v>-59.3</c:v>
                </c:pt>
                <c:pt idx="16">
                  <c:v>-72</c:v>
                </c:pt>
                <c:pt idx="17">
                  <c:v>-86.7</c:v>
                </c:pt>
                <c:pt idx="18">
                  <c:v>-102.3</c:v>
                </c:pt>
                <c:pt idx="19">
                  <c:v>-119.4</c:v>
                </c:pt>
                <c:pt idx="20">
                  <c:v>-138.1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ED-41C7-99BF-C03A7C971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'Terminal Ascent PHP'!$K$126</c15:sqref>
                        </c15:formulaRef>
                      </c:ext>
                    </c:extLst>
                    <c:strCache>
                      <c:ptCount val="1"/>
                      <c:pt idx="0">
                        <c:v>150m Zero(G7 BC)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'Terminal Ascent PHP'!$K$128:$K$148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175</c:v>
                      </c:pt>
                      <c:pt idx="8">
                        <c:v>200</c:v>
                      </c:pt>
                      <c:pt idx="9">
                        <c:v>225</c:v>
                      </c:pt>
                      <c:pt idx="10">
                        <c:v>250</c:v>
                      </c:pt>
                      <c:pt idx="11">
                        <c:v>275</c:v>
                      </c:pt>
                      <c:pt idx="12">
                        <c:v>300</c:v>
                      </c:pt>
                      <c:pt idx="13">
                        <c:v>325</c:v>
                      </c:pt>
                      <c:pt idx="14">
                        <c:v>350</c:v>
                      </c:pt>
                      <c:pt idx="15">
                        <c:v>375</c:v>
                      </c:pt>
                      <c:pt idx="16">
                        <c:v>400</c:v>
                      </c:pt>
                      <c:pt idx="17">
                        <c:v>425</c:v>
                      </c:pt>
                      <c:pt idx="18">
                        <c:v>450</c:v>
                      </c:pt>
                      <c:pt idx="19">
                        <c:v>475</c:v>
                      </c:pt>
                      <c:pt idx="20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'Terminal Ascent PHP'!$N$128:$N$148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-3.8</c:v>
                      </c:pt>
                      <c:pt idx="1">
                        <c:v>-0.9</c:v>
                      </c:pt>
                      <c:pt idx="2">
                        <c:v>1.2</c:v>
                      </c:pt>
                      <c:pt idx="3">
                        <c:v>2.2999999999999998</c:v>
                      </c:pt>
                      <c:pt idx="4">
                        <c:v>2.5</c:v>
                      </c:pt>
                      <c:pt idx="5">
                        <c:v>1.7</c:v>
                      </c:pt>
                      <c:pt idx="6">
                        <c:v>0</c:v>
                      </c:pt>
                      <c:pt idx="7">
                        <c:v>-2.7</c:v>
                      </c:pt>
                      <c:pt idx="8">
                        <c:v>-6.6</c:v>
                      </c:pt>
                      <c:pt idx="9">
                        <c:v>-11.4</c:v>
                      </c:pt>
                      <c:pt idx="10">
                        <c:v>-17.3</c:v>
                      </c:pt>
                      <c:pt idx="11">
                        <c:v>-24.7</c:v>
                      </c:pt>
                      <c:pt idx="12">
                        <c:v>-33</c:v>
                      </c:pt>
                      <c:pt idx="13">
                        <c:v>-42.5</c:v>
                      </c:pt>
                      <c:pt idx="14">
                        <c:v>-53.7</c:v>
                      </c:pt>
                      <c:pt idx="15">
                        <c:v>-65.900000000000006</c:v>
                      </c:pt>
                      <c:pt idx="16">
                        <c:v>-79.400000000000006</c:v>
                      </c:pt>
                      <c:pt idx="17">
                        <c:v>-94.9</c:v>
                      </c:pt>
                      <c:pt idx="18">
                        <c:v>-111.4</c:v>
                      </c:pt>
                      <c:pt idx="19">
                        <c:v>-129.4</c:v>
                      </c:pt>
                      <c:pt idx="20">
                        <c:v>-149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B881-4C79-BD4C-D921BF4EF813}"/>
                  </c:ext>
                </c:extLst>
              </c15:ser>
            </c15:filteredScatterSeries>
          </c:ext>
        </c:extLst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1761998790187376E-2"/>
                  <c:y val="-0.368037571692427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-2.450000784326968</c:v>
                </c:pt>
                <c:pt idx="2">
                  <c:v>1.250000026041667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6.7500006561000765</c:v>
                </c:pt>
                <c:pt idx="6">
                  <c:v>4.5000001350000041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-36.400013123419015</c:v>
                </c:pt>
                <c:pt idx="11">
                  <c:v>-56.000036586695359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BE-4AA7-8DD9-A184D6F6F05E}"/>
            </c:ext>
          </c:extLst>
        </c:ser>
        <c:ser>
          <c:idx val="1"/>
          <c:order val="1"/>
          <c:tx>
            <c:strRef>
              <c:f>'Terminal Ascent PHP'!$A$150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91756749101979"/>
                  <c:y val="-0.21242271799358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PHP'!$D$152:$D$172</c:f>
              <c:numCache>
                <c:formatCode>0.00</c:formatCode>
                <c:ptCount val="21"/>
                <c:pt idx="0">
                  <c:v>-8</c:v>
                </c:pt>
                <c:pt idx="1">
                  <c:v>-3.8</c:v>
                </c:pt>
                <c:pt idx="2">
                  <c:v>-0.3</c:v>
                </c:pt>
                <c:pt idx="3">
                  <c:v>2.1</c:v>
                </c:pt>
                <c:pt idx="4">
                  <c:v>3.6</c:v>
                </c:pt>
                <c:pt idx="5">
                  <c:v>4.2</c:v>
                </c:pt>
                <c:pt idx="6">
                  <c:v>3.9</c:v>
                </c:pt>
                <c:pt idx="7">
                  <c:v>2.5</c:v>
                </c:pt>
                <c:pt idx="8">
                  <c:v>0</c:v>
                </c:pt>
                <c:pt idx="9">
                  <c:v>-3.5</c:v>
                </c:pt>
                <c:pt idx="10">
                  <c:v>-8.1</c:v>
                </c:pt>
                <c:pt idx="11">
                  <c:v>-14</c:v>
                </c:pt>
                <c:pt idx="12">
                  <c:v>-21</c:v>
                </c:pt>
                <c:pt idx="13">
                  <c:v>-29.1</c:v>
                </c:pt>
                <c:pt idx="14">
                  <c:v>-38.9</c:v>
                </c:pt>
                <c:pt idx="15">
                  <c:v>-49.6</c:v>
                </c:pt>
                <c:pt idx="16">
                  <c:v>-61.7</c:v>
                </c:pt>
                <c:pt idx="17">
                  <c:v>-75.7</c:v>
                </c:pt>
                <c:pt idx="18">
                  <c:v>-90.7</c:v>
                </c:pt>
                <c:pt idx="19">
                  <c:v>-107.2</c:v>
                </c:pt>
                <c:pt idx="20">
                  <c:v>-125.2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BE-4AA7-8DD9-A184D6F6F05E}"/>
            </c:ext>
          </c:extLst>
        </c:ser>
        <c:ser>
          <c:idx val="2"/>
          <c:order val="2"/>
          <c:tx>
            <c:strRef>
              <c:f>'Terminal Ascent PHP'!$K$150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PHP'!$N$152:$N$172</c:f>
              <c:numCache>
                <c:formatCode>0.00</c:formatCode>
                <c:ptCount val="21"/>
                <c:pt idx="0">
                  <c:v>-3.8</c:v>
                </c:pt>
                <c:pt idx="1">
                  <c:v>-0.1</c:v>
                </c:pt>
                <c:pt idx="2">
                  <c:v>2.8</c:v>
                </c:pt>
                <c:pt idx="3">
                  <c:v>4.7</c:v>
                </c:pt>
                <c:pt idx="4">
                  <c:v>5.7</c:v>
                </c:pt>
                <c:pt idx="5">
                  <c:v>5.8</c:v>
                </c:pt>
                <c:pt idx="6">
                  <c:v>4.9000000000000004</c:v>
                </c:pt>
                <c:pt idx="7">
                  <c:v>3</c:v>
                </c:pt>
                <c:pt idx="8">
                  <c:v>-0.1</c:v>
                </c:pt>
                <c:pt idx="9">
                  <c:v>-4.0999999999999996</c:v>
                </c:pt>
                <c:pt idx="10">
                  <c:v>-9.1999999999999993</c:v>
                </c:pt>
                <c:pt idx="11">
                  <c:v>-15.8</c:v>
                </c:pt>
                <c:pt idx="12">
                  <c:v>-23.3</c:v>
                </c:pt>
                <c:pt idx="13">
                  <c:v>-32</c:v>
                </c:pt>
                <c:pt idx="14">
                  <c:v>-42.4</c:v>
                </c:pt>
                <c:pt idx="15">
                  <c:v>-53.7</c:v>
                </c:pt>
                <c:pt idx="16">
                  <c:v>-66.5</c:v>
                </c:pt>
                <c:pt idx="17">
                  <c:v>-81.099999999999994</c:v>
                </c:pt>
                <c:pt idx="18">
                  <c:v>-96.8</c:v>
                </c:pt>
                <c:pt idx="19">
                  <c:v>-114</c:v>
                </c:pt>
                <c:pt idx="20">
                  <c:v>-132.80000000000001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5F-4272-AA6B-81D5F2170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73712862189166"/>
                  <c:y val="-0.301074171284145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-0.50000000666666677</c:v>
                </c:pt>
                <c:pt idx="2">
                  <c:v>5.0000016666673339</c:v>
                </c:pt>
                <c:pt idx="3">
                  <c:v>9.3750048828155528</c:v>
                </c:pt>
                <c:pt idx="4">
                  <c:v>13.000007323338284</c:v>
                </c:pt>
                <c:pt idx="5">
                  <c:v>16.250009154172854</c:v>
                </c:pt>
                <c:pt idx="6">
                  <c:v>15.300005306042211</c:v>
                </c:pt>
                <c:pt idx="7">
                  <c:v>15.000002812500634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-32.000006826668411</c:v>
                </c:pt>
                <c:pt idx="12">
                  <c:v>-58.500032955022277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B9-4B49-A310-17615B48A297}"/>
            </c:ext>
          </c:extLst>
        </c:ser>
        <c:ser>
          <c:idx val="1"/>
          <c:order val="1"/>
          <c:tx>
            <c:strRef>
              <c:f>'Terminal Ascent PHP'!$A$174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58053089950581"/>
                  <c:y val="-0.148418635170603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PHP'!$D$176:$D$196</c:f>
              <c:numCache>
                <c:formatCode>0.00</c:formatCode>
                <c:ptCount val="21"/>
                <c:pt idx="0">
                  <c:v>-8</c:v>
                </c:pt>
                <c:pt idx="1">
                  <c:v>-2</c:v>
                </c:pt>
                <c:pt idx="2">
                  <c:v>3.2</c:v>
                </c:pt>
                <c:pt idx="3">
                  <c:v>7.4</c:v>
                </c:pt>
                <c:pt idx="4">
                  <c:v>10.6</c:v>
                </c:pt>
                <c:pt idx="5">
                  <c:v>13</c:v>
                </c:pt>
                <c:pt idx="6">
                  <c:v>14.4</c:v>
                </c:pt>
                <c:pt idx="7">
                  <c:v>14.7</c:v>
                </c:pt>
                <c:pt idx="8">
                  <c:v>14</c:v>
                </c:pt>
                <c:pt idx="9">
                  <c:v>12.3</c:v>
                </c:pt>
                <c:pt idx="10">
                  <c:v>9.4</c:v>
                </c:pt>
                <c:pt idx="11">
                  <c:v>5.3</c:v>
                </c:pt>
                <c:pt idx="12">
                  <c:v>0.1</c:v>
                </c:pt>
                <c:pt idx="13">
                  <c:v>-6.3</c:v>
                </c:pt>
                <c:pt idx="14">
                  <c:v>-14.3</c:v>
                </c:pt>
                <c:pt idx="15">
                  <c:v>-23.3</c:v>
                </c:pt>
                <c:pt idx="16">
                  <c:v>-33.700000000000003</c:v>
                </c:pt>
                <c:pt idx="17">
                  <c:v>-45.9</c:v>
                </c:pt>
                <c:pt idx="18">
                  <c:v>-59.2</c:v>
                </c:pt>
                <c:pt idx="19">
                  <c:v>-73.900000000000006</c:v>
                </c:pt>
                <c:pt idx="20">
                  <c:v>-90.2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B9-4B49-A310-17615B48A297}"/>
            </c:ext>
          </c:extLst>
        </c:ser>
        <c:ser>
          <c:idx val="2"/>
          <c:order val="2"/>
          <c:tx>
            <c:strRef>
              <c:f>'Terminal Ascent PHP'!$K$174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PHP'!$N$176:$N$196</c:f>
              <c:numCache>
                <c:formatCode>0.00</c:formatCode>
                <c:ptCount val="21"/>
                <c:pt idx="0">
                  <c:v>-3.8</c:v>
                </c:pt>
                <c:pt idx="1">
                  <c:v>1.8</c:v>
                </c:pt>
                <c:pt idx="2">
                  <c:v>6.7</c:v>
                </c:pt>
                <c:pt idx="3">
                  <c:v>10.5</c:v>
                </c:pt>
                <c:pt idx="4">
                  <c:v>13.5</c:v>
                </c:pt>
                <c:pt idx="5">
                  <c:v>15.5</c:v>
                </c:pt>
                <c:pt idx="6">
                  <c:v>16.5</c:v>
                </c:pt>
                <c:pt idx="7">
                  <c:v>16.600000000000001</c:v>
                </c:pt>
                <c:pt idx="8">
                  <c:v>15.5</c:v>
                </c:pt>
                <c:pt idx="9">
                  <c:v>13.4</c:v>
                </c:pt>
                <c:pt idx="10">
                  <c:v>10.1</c:v>
                </c:pt>
                <c:pt idx="11">
                  <c:v>5.6</c:v>
                </c:pt>
                <c:pt idx="12">
                  <c:v>0</c:v>
                </c:pt>
                <c:pt idx="13">
                  <c:v>-6.8</c:v>
                </c:pt>
                <c:pt idx="14">
                  <c:v>-15.2</c:v>
                </c:pt>
                <c:pt idx="15">
                  <c:v>-24.7</c:v>
                </c:pt>
                <c:pt idx="16">
                  <c:v>-35.5</c:v>
                </c:pt>
                <c:pt idx="17">
                  <c:v>-48.2</c:v>
                </c:pt>
                <c:pt idx="18">
                  <c:v>-61.9</c:v>
                </c:pt>
                <c:pt idx="19">
                  <c:v>-77.2</c:v>
                </c:pt>
                <c:pt idx="20">
                  <c:v>-94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95-4765-985C-0907A2C62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9497036203601747"/>
                  <c:y val="-0.15839093030037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1.6406252355194499</c:v>
                </c:pt>
                <c:pt idx="2">
                  <c:v>8.3125076583320343</c:v>
                </c:pt>
                <c:pt idx="3">
                  <c:v>14.43751783334675</c:v>
                </c:pt>
                <c:pt idx="4">
                  <c:v>19.600025098491905</c:v>
                </c:pt>
                <c:pt idx="5">
                  <c:v>22.531274401422401</c:v>
                </c:pt>
                <c:pt idx="6">
                  <c:v>26.250026796907829</c:v>
                </c:pt>
                <c:pt idx="7">
                  <c:v>24.500012255111525</c:v>
                </c:pt>
                <c:pt idx="8">
                  <c:v>27.343760903681574</c:v>
                </c:pt>
                <c:pt idx="9">
                  <c:v>26.775007109266802</c:v>
                </c:pt>
                <c:pt idx="10">
                  <c:v>15.312500976969476</c:v>
                </c:pt>
                <c:pt idx="11">
                  <c:v>0</c:v>
                </c:pt>
                <c:pt idx="12">
                  <c:v>-19.687501256103612</c:v>
                </c:pt>
                <c:pt idx="13">
                  <c:v>-43.750011165368008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EA1-4001-A4D3-B20E76782219}"/>
            </c:ext>
          </c:extLst>
        </c:ser>
        <c:ser>
          <c:idx val="1"/>
          <c:order val="1"/>
          <c:tx>
            <c:strRef>
              <c:f>'Terminal Ascent PHP'!$A$198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935986962025786"/>
                  <c:y val="-0.62377588218139401"/>
                </c:manualLayout>
              </c:layout>
              <c:numFmt formatCode="General" sourceLinked="0"/>
              <c:spPr>
                <a:noFill/>
                <a:ln>
                  <a:solidFill>
                    <a:srgbClr val="E9713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PHP'!$D$200:$D$220</c:f>
              <c:numCache>
                <c:formatCode>0.00</c:formatCode>
                <c:ptCount val="21"/>
                <c:pt idx="0">
                  <c:v>-8</c:v>
                </c:pt>
                <c:pt idx="1">
                  <c:v>0.1</c:v>
                </c:pt>
                <c:pt idx="2">
                  <c:v>7.5</c:v>
                </c:pt>
                <c:pt idx="3">
                  <c:v>13.7</c:v>
                </c:pt>
                <c:pt idx="4">
                  <c:v>19.100000000000001</c:v>
                </c:pt>
                <c:pt idx="5">
                  <c:v>23.7</c:v>
                </c:pt>
                <c:pt idx="6">
                  <c:v>27.1</c:v>
                </c:pt>
                <c:pt idx="7">
                  <c:v>29.5</c:v>
                </c:pt>
                <c:pt idx="8">
                  <c:v>31</c:v>
                </c:pt>
                <c:pt idx="9">
                  <c:v>31.3</c:v>
                </c:pt>
                <c:pt idx="10">
                  <c:v>30.6</c:v>
                </c:pt>
                <c:pt idx="11">
                  <c:v>28.6</c:v>
                </c:pt>
                <c:pt idx="12">
                  <c:v>25.5</c:v>
                </c:pt>
                <c:pt idx="13">
                  <c:v>21.1</c:v>
                </c:pt>
                <c:pt idx="14">
                  <c:v>15.3</c:v>
                </c:pt>
                <c:pt idx="15">
                  <c:v>8.4</c:v>
                </c:pt>
                <c:pt idx="16">
                  <c:v>0.1</c:v>
                </c:pt>
                <c:pt idx="17">
                  <c:v>-9.9</c:v>
                </c:pt>
                <c:pt idx="18">
                  <c:v>-21.1</c:v>
                </c:pt>
                <c:pt idx="19">
                  <c:v>-33.799999999999997</c:v>
                </c:pt>
                <c:pt idx="20">
                  <c:v>-48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EA1-4001-A4D3-B20E76782219}"/>
            </c:ext>
          </c:extLst>
        </c:ser>
        <c:ser>
          <c:idx val="2"/>
          <c:order val="2"/>
          <c:tx>
            <c:strRef>
              <c:f>'Terminal Ascent PHP'!$K$198</c:f>
              <c:strCache>
                <c:ptCount val="1"/>
                <c:pt idx="0">
                  <c:v>400m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PHP'!$N$200:$N$220</c:f>
              <c:numCache>
                <c:formatCode>0.00</c:formatCode>
                <c:ptCount val="21"/>
                <c:pt idx="0">
                  <c:v>-3.8</c:v>
                </c:pt>
                <c:pt idx="1">
                  <c:v>4</c:v>
                </c:pt>
                <c:pt idx="2">
                  <c:v>11.2</c:v>
                </c:pt>
                <c:pt idx="3">
                  <c:v>17.2</c:v>
                </c:pt>
                <c:pt idx="4">
                  <c:v>22.4</c:v>
                </c:pt>
                <c:pt idx="5">
                  <c:v>26.7</c:v>
                </c:pt>
                <c:pt idx="6">
                  <c:v>29.9</c:v>
                </c:pt>
                <c:pt idx="7">
                  <c:v>32.1</c:v>
                </c:pt>
                <c:pt idx="8">
                  <c:v>33.299999999999997</c:v>
                </c:pt>
                <c:pt idx="9">
                  <c:v>33.4</c:v>
                </c:pt>
                <c:pt idx="10">
                  <c:v>32.4</c:v>
                </c:pt>
                <c:pt idx="11">
                  <c:v>30.1</c:v>
                </c:pt>
                <c:pt idx="12">
                  <c:v>26.7</c:v>
                </c:pt>
                <c:pt idx="13">
                  <c:v>22.1</c:v>
                </c:pt>
                <c:pt idx="14">
                  <c:v>16</c:v>
                </c:pt>
                <c:pt idx="15">
                  <c:v>8.8000000000000007</c:v>
                </c:pt>
                <c:pt idx="16">
                  <c:v>0.2</c:v>
                </c:pt>
                <c:pt idx="17">
                  <c:v>-10.3</c:v>
                </c:pt>
                <c:pt idx="18">
                  <c:v>-21.8</c:v>
                </c:pt>
                <c:pt idx="19">
                  <c:v>-34.9</c:v>
                </c:pt>
                <c:pt idx="20">
                  <c:v>-49.5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9A-41A6-BC88-B54CC3029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679096371814512E-2"/>
                  <c:y val="-0.607578011081948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3.7500028125025313</c:v>
                </c:pt>
                <c:pt idx="2">
                  <c:v>14.500040648470073</c:v>
                </c:pt>
                <c:pt idx="3">
                  <c:v>22.800070236419639</c:v>
                </c:pt>
                <c:pt idx="4">
                  <c:v>30.600095509077729</c:v>
                </c:pt>
                <c:pt idx="5">
                  <c:v>37.500112500405002</c:v>
                </c:pt>
                <c:pt idx="6">
                  <c:v>45.000135000486011</c:v>
                </c:pt>
                <c:pt idx="7">
                  <c:v>54.000131220382642</c:v>
                </c:pt>
                <c:pt idx="8">
                  <c:v>61.25012255133592</c:v>
                </c:pt>
                <c:pt idx="9">
                  <c:v>60.000080000127994</c:v>
                </c:pt>
                <c:pt idx="10">
                  <c:v>52.500039375035435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D8-49E5-9864-9116BB66C688}"/>
            </c:ext>
          </c:extLst>
        </c:ser>
        <c:ser>
          <c:idx val="1"/>
          <c:order val="1"/>
          <c:tx>
            <c:strRef>
              <c:f>'Terminal Ascent PHP'!$A$222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867021878468387E-2"/>
                  <c:y val="-0.208490327597939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PHP'!$D$224:$D$244</c:f>
              <c:numCache>
                <c:formatCode>0.00</c:formatCode>
                <c:ptCount val="21"/>
                <c:pt idx="0">
                  <c:v>-8</c:v>
                </c:pt>
                <c:pt idx="1">
                  <c:v>2.5</c:v>
                </c:pt>
                <c:pt idx="2">
                  <c:v>12.3</c:v>
                </c:pt>
                <c:pt idx="3">
                  <c:v>21</c:v>
                </c:pt>
                <c:pt idx="4">
                  <c:v>28.8</c:v>
                </c:pt>
                <c:pt idx="5">
                  <c:v>35.799999999999997</c:v>
                </c:pt>
                <c:pt idx="6">
                  <c:v>41.6</c:v>
                </c:pt>
                <c:pt idx="7">
                  <c:v>46.5</c:v>
                </c:pt>
                <c:pt idx="8">
                  <c:v>50.4</c:v>
                </c:pt>
                <c:pt idx="9">
                  <c:v>53.2</c:v>
                </c:pt>
                <c:pt idx="10">
                  <c:v>54.8</c:v>
                </c:pt>
                <c:pt idx="11">
                  <c:v>55.3</c:v>
                </c:pt>
                <c:pt idx="12">
                  <c:v>54.6</c:v>
                </c:pt>
                <c:pt idx="13">
                  <c:v>52.6</c:v>
                </c:pt>
                <c:pt idx="14">
                  <c:v>49.3</c:v>
                </c:pt>
                <c:pt idx="15">
                  <c:v>44.8</c:v>
                </c:pt>
                <c:pt idx="16">
                  <c:v>38.9</c:v>
                </c:pt>
                <c:pt idx="17">
                  <c:v>31.3</c:v>
                </c:pt>
                <c:pt idx="18">
                  <c:v>22.5</c:v>
                </c:pt>
                <c:pt idx="19">
                  <c:v>12.3</c:v>
                </c:pt>
                <c:pt idx="20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D8-49E5-9864-9116BB66C688}"/>
            </c:ext>
          </c:extLst>
        </c:ser>
        <c:ser>
          <c:idx val="2"/>
          <c:order val="2"/>
          <c:tx>
            <c:strRef>
              <c:f>'Terminal Ascent PHP'!$K$222</c:f>
              <c:strCache>
                <c:ptCount val="1"/>
                <c:pt idx="0">
                  <c:v>500m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PHP'!$N$224:$N$244</c:f>
              <c:numCache>
                <c:formatCode>0.00</c:formatCode>
                <c:ptCount val="21"/>
                <c:pt idx="0">
                  <c:v>-3.8</c:v>
                </c:pt>
                <c:pt idx="1">
                  <c:v>6.5</c:v>
                </c:pt>
                <c:pt idx="2">
                  <c:v>16.2</c:v>
                </c:pt>
                <c:pt idx="3">
                  <c:v>24.7</c:v>
                </c:pt>
                <c:pt idx="4">
                  <c:v>32.299999999999997</c:v>
                </c:pt>
                <c:pt idx="5">
                  <c:v>39.200000000000003</c:v>
                </c:pt>
                <c:pt idx="6">
                  <c:v>44.9</c:v>
                </c:pt>
                <c:pt idx="7">
                  <c:v>49.6</c:v>
                </c:pt>
                <c:pt idx="8">
                  <c:v>53.4</c:v>
                </c:pt>
                <c:pt idx="9">
                  <c:v>55.9</c:v>
                </c:pt>
                <c:pt idx="10">
                  <c:v>57.4</c:v>
                </c:pt>
                <c:pt idx="11">
                  <c:v>57.7</c:v>
                </c:pt>
                <c:pt idx="12">
                  <c:v>56.7</c:v>
                </c:pt>
                <c:pt idx="13">
                  <c:v>54.6</c:v>
                </c:pt>
                <c:pt idx="14">
                  <c:v>51</c:v>
                </c:pt>
                <c:pt idx="15">
                  <c:v>46.2</c:v>
                </c:pt>
                <c:pt idx="16">
                  <c:v>40.1</c:v>
                </c:pt>
                <c:pt idx="17">
                  <c:v>32.200000000000003</c:v>
                </c:pt>
                <c:pt idx="18">
                  <c:v>23.2</c:v>
                </c:pt>
                <c:pt idx="19">
                  <c:v>12.5</c:v>
                </c:pt>
                <c:pt idx="20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7-409A-9A14-15CAE9AB2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428764178473403E-2"/>
          <c:y val="9.4738228392828971E-2"/>
          <c:w val="0.90596628187799444"/>
          <c:h val="0.754338499207033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'Terminal Ascent PHP'!$L$256</c:f>
              <c:strCache>
                <c:ptCount val="1"/>
                <c:pt idx="0">
                  <c:v>Energy Difference(Measured-HG1)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292770635418081E-4"/>
                  <c:y val="-6.88410213091179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PHP'!$A$258:$A$280</c:f>
              <c:numCache>
                <c:formatCode>0.00</c:formatCode>
                <c:ptCount val="2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145</c:v>
                </c:pt>
                <c:pt idx="6">
                  <c:v>150</c:v>
                </c:pt>
                <c:pt idx="7">
                  <c:v>163.4</c:v>
                </c:pt>
                <c:pt idx="8">
                  <c:v>175</c:v>
                </c:pt>
                <c:pt idx="9">
                  <c:v>200</c:v>
                </c:pt>
                <c:pt idx="10">
                  <c:v>225</c:v>
                </c:pt>
                <c:pt idx="11">
                  <c:v>247.4</c:v>
                </c:pt>
                <c:pt idx="12">
                  <c:v>250</c:v>
                </c:pt>
                <c:pt idx="13">
                  <c:v>275</c:v>
                </c:pt>
                <c:pt idx="14">
                  <c:v>300</c:v>
                </c:pt>
                <c:pt idx="15">
                  <c:v>325</c:v>
                </c:pt>
                <c:pt idx="16">
                  <c:v>350</c:v>
                </c:pt>
                <c:pt idx="17">
                  <c:v>375</c:v>
                </c:pt>
                <c:pt idx="18">
                  <c:v>400</c:v>
                </c:pt>
                <c:pt idx="19">
                  <c:v>425</c:v>
                </c:pt>
                <c:pt idx="20">
                  <c:v>450</c:v>
                </c:pt>
                <c:pt idx="21">
                  <c:v>475</c:v>
                </c:pt>
                <c:pt idx="22">
                  <c:v>500</c:v>
                </c:pt>
              </c:numCache>
            </c:numRef>
          </c:xVal>
          <c:yVal>
            <c:numRef>
              <c:f>'Terminal Ascent PHP'!$L$258:$L$280</c:f>
              <c:numCache>
                <c:formatCode>0.00</c:formatCode>
                <c:ptCount val="23"/>
                <c:pt idx="0">
                  <c:v>16.850180613240809</c:v>
                </c:pt>
                <c:pt idx="1">
                  <c:v>16.653837514822044</c:v>
                </c:pt>
                <c:pt idx="2">
                  <c:v>16.118598139469213</c:v>
                </c:pt>
                <c:pt idx="3">
                  <c:v>15.281877069426628</c:v>
                </c:pt>
                <c:pt idx="4">
                  <c:v>14.181088886941325</c:v>
                </c:pt>
                <c:pt idx="5">
                  <c:v>13.135472619263055</c:v>
                </c:pt>
                <c:pt idx="6">
                  <c:v>12.853648174258069</c:v>
                </c:pt>
                <c:pt idx="7">
                  <c:v>12.061858409458637</c:v>
                </c:pt>
                <c:pt idx="8">
                  <c:v>11.336969513623444</c:v>
                </c:pt>
                <c:pt idx="9">
                  <c:v>9.668467487282669</c:v>
                </c:pt>
                <c:pt idx="10">
                  <c:v>7.8855566774809631</c:v>
                </c:pt>
                <c:pt idx="11">
                  <c:v>6.2215673862569929</c:v>
                </c:pt>
                <c:pt idx="12">
                  <c:v>6.025651666464455</c:v>
                </c:pt>
                <c:pt idx="13">
                  <c:v>4.1261670364788188</c:v>
                </c:pt>
                <c:pt idx="14">
                  <c:v>2.2245173697697282</c:v>
                </c:pt>
                <c:pt idx="15">
                  <c:v>0.35811724858240268</c:v>
                </c:pt>
                <c:pt idx="16">
                  <c:v>-1.435618744837484</c:v>
                </c:pt>
                <c:pt idx="17">
                  <c:v>-3.1192760282433483</c:v>
                </c:pt>
                <c:pt idx="18">
                  <c:v>-4.6554400193908805</c:v>
                </c:pt>
                <c:pt idx="19">
                  <c:v>-6.0066961360334972</c:v>
                </c:pt>
                <c:pt idx="20">
                  <c:v>-7.1356297959255244</c:v>
                </c:pt>
                <c:pt idx="21">
                  <c:v>-8.0048264168226524</c:v>
                </c:pt>
                <c:pt idx="22">
                  <c:v>-8.5768714164764788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C9-42E2-9673-C8EA2BB8F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804031"/>
        <c:axId val="816805951"/>
      </c:scatterChart>
      <c:valAx>
        <c:axId val="816804031"/>
        <c:scaling>
          <c:orientation val="minMax"/>
          <c:min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805951"/>
        <c:crosses val="autoZero"/>
        <c:crossBetween val="midCat"/>
      </c:valAx>
      <c:valAx>
        <c:axId val="8168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Delta</a:t>
                </a:r>
                <a:r>
                  <a:rPr lang="en-CA" baseline="0"/>
                  <a:t> E(J)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804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45445514529808"/>
          <c:y val="0.13171471150851907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(2)'!$B$22:$B$35</c:f>
              <c:numCache>
                <c:formatCode>0.00</c:formatCode>
                <c:ptCount val="14"/>
                <c:pt idx="0">
                  <c:v>4753.7</c:v>
                </c:pt>
                <c:pt idx="1">
                  <c:v>4543.1000000000004</c:v>
                </c:pt>
                <c:pt idx="2">
                  <c:v>4238.8999999999996</c:v>
                </c:pt>
                <c:pt idx="3">
                  <c:v>3998.6</c:v>
                </c:pt>
                <c:pt idx="4">
                  <c:v>3775.6</c:v>
                </c:pt>
                <c:pt idx="5">
                  <c:v>3534.7</c:v>
                </c:pt>
                <c:pt idx="6">
                  <c:v>3313.6</c:v>
                </c:pt>
                <c:pt idx="7">
                  <c:v>2921.2</c:v>
                </c:pt>
                <c:pt idx="8">
                  <c:v>2542.8000000000002</c:v>
                </c:pt>
                <c:pt idx="9">
                  <c:v>2225.4</c:v>
                </c:pt>
                <c:pt idx="10">
                  <c:v>1927.9</c:v>
                </c:pt>
                <c:pt idx="11">
                  <c:v>1668.4</c:v>
                </c:pt>
                <c:pt idx="12">
                  <c:v>1439.1</c:v>
                </c:pt>
                <c:pt idx="13">
                  <c:v>1246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3A-4F38-910C-B07829D952DD}"/>
            </c:ext>
          </c:extLst>
        </c:ser>
        <c:ser>
          <c:idx val="1"/>
          <c:order val="1"/>
          <c:tx>
            <c:strRef>
              <c:f>'Terminal Ascent PHP (2)'!$A$78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(2)'!$C$80:$C$100</c:f>
              <c:numCache>
                <c:formatCode>0.00</c:formatCode>
                <c:ptCount val="21"/>
                <c:pt idx="0">
                  <c:v>4754</c:v>
                </c:pt>
                <c:pt idx="1">
                  <c:v>4481</c:v>
                </c:pt>
                <c:pt idx="2">
                  <c:v>4222</c:v>
                </c:pt>
                <c:pt idx="3">
                  <c:v>3975</c:v>
                </c:pt>
                <c:pt idx="4">
                  <c:v>3740</c:v>
                </c:pt>
                <c:pt idx="5">
                  <c:v>3516</c:v>
                </c:pt>
                <c:pt idx="6">
                  <c:v>3302</c:v>
                </c:pt>
                <c:pt idx="7">
                  <c:v>3098</c:v>
                </c:pt>
                <c:pt idx="8">
                  <c:v>2905</c:v>
                </c:pt>
                <c:pt idx="9">
                  <c:v>2720</c:v>
                </c:pt>
                <c:pt idx="10">
                  <c:v>2546</c:v>
                </c:pt>
                <c:pt idx="11">
                  <c:v>2380</c:v>
                </c:pt>
                <c:pt idx="12">
                  <c:v>2223</c:v>
                </c:pt>
                <c:pt idx="13">
                  <c:v>2074</c:v>
                </c:pt>
                <c:pt idx="14">
                  <c:v>1934</c:v>
                </c:pt>
                <c:pt idx="15">
                  <c:v>1802</c:v>
                </c:pt>
                <c:pt idx="16">
                  <c:v>1678</c:v>
                </c:pt>
                <c:pt idx="17">
                  <c:v>1563</c:v>
                </c:pt>
                <c:pt idx="18">
                  <c:v>1454</c:v>
                </c:pt>
                <c:pt idx="19">
                  <c:v>1353</c:v>
                </c:pt>
                <c:pt idx="20">
                  <c:v>1263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3A-4F38-910C-B07829D952DD}"/>
            </c:ext>
          </c:extLst>
        </c:ser>
        <c:ser>
          <c:idx val="2"/>
          <c:order val="2"/>
          <c:tx>
            <c:strRef>
              <c:f>'Terminal Ascent PHP (2)'!$AR$5</c:f>
              <c:strCache>
                <c:ptCount val="1"/>
                <c:pt idx="0">
                  <c:v>50m Zero(G1 BC: Federal's spec for MV)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 (2)'!$AR$7:$AR$27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(2)'!$AT$7:$AT$27</c:f>
              <c:numCache>
                <c:formatCode>0.00</c:formatCode>
                <c:ptCount val="21"/>
                <c:pt idx="0">
                  <c:v>4754</c:v>
                </c:pt>
                <c:pt idx="1">
                  <c:v>4613</c:v>
                </c:pt>
                <c:pt idx="2">
                  <c:v>4476</c:v>
                </c:pt>
                <c:pt idx="3">
                  <c:v>4343</c:v>
                </c:pt>
                <c:pt idx="4">
                  <c:v>4212</c:v>
                </c:pt>
                <c:pt idx="5">
                  <c:v>4085</c:v>
                </c:pt>
                <c:pt idx="6">
                  <c:v>3961</c:v>
                </c:pt>
                <c:pt idx="7">
                  <c:v>3840</c:v>
                </c:pt>
                <c:pt idx="8">
                  <c:v>3722</c:v>
                </c:pt>
                <c:pt idx="9">
                  <c:v>3607</c:v>
                </c:pt>
                <c:pt idx="10">
                  <c:v>3494</c:v>
                </c:pt>
                <c:pt idx="11">
                  <c:v>3385</c:v>
                </c:pt>
                <c:pt idx="12">
                  <c:v>3278</c:v>
                </c:pt>
                <c:pt idx="13">
                  <c:v>3173</c:v>
                </c:pt>
                <c:pt idx="14">
                  <c:v>3071</c:v>
                </c:pt>
                <c:pt idx="15">
                  <c:v>2972</c:v>
                </c:pt>
                <c:pt idx="16">
                  <c:v>2875</c:v>
                </c:pt>
                <c:pt idx="17">
                  <c:v>2781</c:v>
                </c:pt>
                <c:pt idx="18">
                  <c:v>2689</c:v>
                </c:pt>
                <c:pt idx="19">
                  <c:v>2599</c:v>
                </c:pt>
                <c:pt idx="20">
                  <c:v>2516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1A-4422-814A-98A367AF4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2.8012501302602333</c:v>
                </c:pt>
                <c:pt idx="4">
                  <c:v>3.7350001736803113</c:v>
                </c:pt>
                <c:pt idx="5">
                  <c:v>3.5156250926971464</c:v>
                </c:pt>
                <c:pt idx="6">
                  <c:v>4.2187501112365755</c:v>
                </c:pt>
                <c:pt idx="7">
                  <c:v>-5.6250001483154337</c:v>
                </c:pt>
                <c:pt idx="8">
                  <c:v>-18.787503536761768</c:v>
                </c:pt>
                <c:pt idx="9">
                  <c:v>-42.187527809165061</c:v>
                </c:pt>
                <c:pt idx="10">
                  <c:v>-70.875096877424539</c:v>
                </c:pt>
                <c:pt idx="11">
                  <c:v>-112.50029663179792</c:v>
                </c:pt>
                <c:pt idx="12">
                  <c:v>-164.53198316416825</c:v>
                </c:pt>
                <c:pt idx="13">
                  <c:v>-225.00151876230197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2C-42EE-924B-2CEE27501363}"/>
            </c:ext>
          </c:extLst>
        </c:ser>
        <c:ser>
          <c:idx val="1"/>
          <c:order val="1"/>
          <c:tx>
            <c:strRef>
              <c:f>'Terminal Ascent PHP (2)'!$K$21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-3.7462528040734542</c:v>
                </c:pt>
                <c:pt idx="2">
                  <c:v>-1.8675000868401557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-4.2187501112365755</c:v>
                </c:pt>
                <c:pt idx="7">
                  <c:v>-11.250001186523587</c:v>
                </c:pt>
                <c:pt idx="8">
                  <c:v>-28.125011865240378</c:v>
                </c:pt>
                <c:pt idx="9">
                  <c:v>-54.000058320075574</c:v>
                </c:pt>
                <c:pt idx="10">
                  <c:v>-86.625176877855267</c:v>
                </c:pt>
                <c:pt idx="11">
                  <c:v>-133.20049234934385</c:v>
                </c:pt>
                <c:pt idx="12">
                  <c:v>-177.18841570514167</c:v>
                </c:pt>
                <c:pt idx="13">
                  <c:v>-236.25175815866962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2C-42EE-924B-2CEE27501363}"/>
            </c:ext>
          </c:extLst>
        </c:ser>
        <c:ser>
          <c:idx val="2"/>
          <c:order val="2"/>
          <c:tx>
            <c:strRef>
              <c:f>'Terminal Ascent PHP (2)'!$L$21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-2.7625011243610706</c:v>
                </c:pt>
                <c:pt idx="2">
                  <c:v>0</c:v>
                </c:pt>
                <c:pt idx="3">
                  <c:v>2.6456251097339711</c:v>
                </c:pt>
                <c:pt idx="4">
                  <c:v>3.527500146311962</c:v>
                </c:pt>
                <c:pt idx="5">
                  <c:v>3.3203125780900344</c:v>
                </c:pt>
                <c:pt idx="6">
                  <c:v>0</c:v>
                </c:pt>
                <c:pt idx="7">
                  <c:v>-7.0550002926239239</c:v>
                </c:pt>
                <c:pt idx="8">
                  <c:v>-19.921879216862795</c:v>
                </c:pt>
                <c:pt idx="9">
                  <c:v>-42.457528346525805</c:v>
                </c:pt>
                <c:pt idx="10">
                  <c:v>-74.375111950072011</c:v>
                </c:pt>
                <c:pt idx="11">
                  <c:v>-104.89024041536128</c:v>
                </c:pt>
                <c:pt idx="12">
                  <c:v>-159.31191557228721</c:v>
                </c:pt>
                <c:pt idx="13">
                  <c:v>-217.81387781349002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22C-42EE-924B-2CEE27501363}"/>
            </c:ext>
          </c:extLst>
        </c:ser>
        <c:ser>
          <c:idx val="3"/>
          <c:order val="3"/>
          <c:tx>
            <c:strRef>
              <c:f>'Terminal Ascent PHP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2.0000001066666733</c:v>
                </c:pt>
                <c:pt idx="3">
                  <c:v>5.0100007451942137</c:v>
                </c:pt>
                <c:pt idx="4">
                  <c:v>6.6800009935922846</c:v>
                </c:pt>
                <c:pt idx="5">
                  <c:v>6.2500005208333844</c:v>
                </c:pt>
                <c:pt idx="6">
                  <c:v>7.5000006250000615</c:v>
                </c:pt>
                <c:pt idx="7">
                  <c:v>0</c:v>
                </c:pt>
                <c:pt idx="8">
                  <c:v>-8.3000003049530804</c:v>
                </c:pt>
                <c:pt idx="9">
                  <c:v>-30.000010000004</c:v>
                </c:pt>
                <c:pt idx="10">
                  <c:v>-56.000047786715612</c:v>
                </c:pt>
                <c:pt idx="11">
                  <c:v>-88.000141973608208</c:v>
                </c:pt>
                <c:pt idx="12">
                  <c:v>-135.00040500145803</c:v>
                </c:pt>
                <c:pt idx="13">
                  <c:v>-190.00091453861572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22C-42EE-924B-2CEE27501363}"/>
            </c:ext>
          </c:extLst>
        </c:ser>
        <c:ser>
          <c:idx val="4"/>
          <c:order val="4"/>
          <c:tx>
            <c:strRef>
              <c:f>'Terminal Ascent PHP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0.83000003049530802</c:v>
                </c:pt>
                <c:pt idx="2">
                  <c:v>6.6600039387800765</c:v>
                </c:pt>
                <c:pt idx="3">
                  <c:v>12.000010240010488</c:v>
                </c:pt>
                <c:pt idx="4">
                  <c:v>16.000013653347317</c:v>
                </c:pt>
                <c:pt idx="5">
                  <c:v>18.750014062512658</c:v>
                </c:pt>
                <c:pt idx="6">
                  <c:v>21.000013720010759</c:v>
                </c:pt>
                <c:pt idx="7">
                  <c:v>20.000006666669336</c:v>
                </c:pt>
                <c:pt idx="8">
                  <c:v>16.700002483980715</c:v>
                </c:pt>
                <c:pt idx="9">
                  <c:v>0</c:v>
                </c:pt>
                <c:pt idx="10">
                  <c:v>-21.000002520000361</c:v>
                </c:pt>
                <c:pt idx="11">
                  <c:v>-50.000026041682943</c:v>
                </c:pt>
                <c:pt idx="12">
                  <c:v>-90.000120000191998</c:v>
                </c:pt>
                <c:pt idx="13">
                  <c:v>-140.00036586781403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22C-42EE-924B-2CEE27501363}"/>
            </c:ext>
          </c:extLst>
        </c:ser>
        <c:ser>
          <c:idx val="5"/>
          <c:order val="5"/>
          <c:tx>
            <c:strRef>
              <c:f>'Terminal Ascent PHP (2)'!$O$21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3.5000022866684599</c:v>
                </c:pt>
                <c:pt idx="2">
                  <c:v>13.000029293412544</c:v>
                </c:pt>
                <c:pt idx="3">
                  <c:v>21.000054880172105</c:v>
                </c:pt>
                <c:pt idx="4">
                  <c:v>28.000073173562807</c:v>
                </c:pt>
                <c:pt idx="5">
                  <c:v>35.000091466953506</c:v>
                </c:pt>
                <c:pt idx="6">
                  <c:v>40.020094957378532</c:v>
                </c:pt>
                <c:pt idx="7">
                  <c:v>45.000075937653769</c:v>
                </c:pt>
                <c:pt idx="8">
                  <c:v>45.000048600062982</c:v>
                </c:pt>
                <c:pt idx="9">
                  <c:v>39.960023632680461</c:v>
                </c:pt>
                <c:pt idx="10">
                  <c:v>23.380003477572998</c:v>
                </c:pt>
                <c:pt idx="11">
                  <c:v>0</c:v>
                </c:pt>
                <c:pt idx="12">
                  <c:v>-30.060004471165279</c:v>
                </c:pt>
                <c:pt idx="13">
                  <c:v>-83.400077345913274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22C-42EE-924B-2CEE27501363}"/>
            </c:ext>
          </c:extLst>
        </c:ser>
        <c:ser>
          <c:idx val="6"/>
          <c:order val="6"/>
          <c:tx>
            <c:strRef>
              <c:f>'Terminal Ascent PHP (2)'!$P$21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(2)'!$P$22:$P$35</c:f>
              <c:numCache>
                <c:formatCode>0.00</c:formatCode>
                <c:ptCount val="14"/>
                <c:pt idx="0">
                  <c:v>-3.81</c:v>
                </c:pt>
                <c:pt idx="1">
                  <c:v>7.500022500081001</c:v>
                </c:pt>
                <c:pt idx="2">
                  <c:v>21.000123480871284</c:v>
                </c:pt>
                <c:pt idx="3">
                  <c:v>33.750227814345294</c:v>
                </c:pt>
                <c:pt idx="4">
                  <c:v>45.000303752460397</c:v>
                </c:pt>
                <c:pt idx="5">
                  <c:v>56.000374650474427</c:v>
                </c:pt>
                <c:pt idx="6">
                  <c:v>66.000425923298366</c:v>
                </c:pt>
                <c:pt idx="7">
                  <c:v>76.000365815446287</c:v>
                </c:pt>
                <c:pt idx="8">
                  <c:v>83.300308273122084</c:v>
                </c:pt>
                <c:pt idx="9">
                  <c:v>88.800259344268909</c:v>
                </c:pt>
                <c:pt idx="10">
                  <c:v>86.380175381311687</c:v>
                </c:pt>
                <c:pt idx="11">
                  <c:v>64.000054613389267</c:v>
                </c:pt>
                <c:pt idx="12">
                  <c:v>36.000007680001964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22C-42EE-924B-2CEE27501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(2)'!$C$21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(2)'!$C$23:$C$35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6.25E-2</c:v>
                </c:pt>
                <c:pt idx="5">
                  <c:v>6.25E-2</c:v>
                </c:pt>
                <c:pt idx="6">
                  <c:v>-6.25E-2</c:v>
                </c:pt>
                <c:pt idx="7">
                  <c:v>-0.16700000000000001</c:v>
                </c:pt>
                <c:pt idx="8">
                  <c:v>-0.3125</c:v>
                </c:pt>
                <c:pt idx="9">
                  <c:v>-0.45</c:v>
                </c:pt>
                <c:pt idx="10">
                  <c:v>-0.625</c:v>
                </c:pt>
                <c:pt idx="11">
                  <c:v>-0.8125</c:v>
                </c:pt>
                <c:pt idx="12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E1-4D30-8DF5-9464930B64D8}"/>
            </c:ext>
          </c:extLst>
        </c:ser>
        <c:ser>
          <c:idx val="1"/>
          <c:order val="1"/>
          <c:tx>
            <c:strRef>
              <c:f>'Terminal Ascent PHP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(2)'!$D$23:$D$35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-6.25E-2</c:v>
                </c:pt>
                <c:pt idx="6">
                  <c:v>-0.125</c:v>
                </c:pt>
                <c:pt idx="7">
                  <c:v>-0.25</c:v>
                </c:pt>
                <c:pt idx="8">
                  <c:v>-0.4</c:v>
                </c:pt>
                <c:pt idx="9">
                  <c:v>-0.55000000000000004</c:v>
                </c:pt>
                <c:pt idx="10">
                  <c:v>-0.74</c:v>
                </c:pt>
                <c:pt idx="11">
                  <c:v>-0.875</c:v>
                </c:pt>
                <c:pt idx="12">
                  <c:v>-1.05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E1-4D30-8DF5-9464930B64D8}"/>
            </c:ext>
          </c:extLst>
        </c:ser>
        <c:ser>
          <c:idx val="2"/>
          <c:order val="2"/>
          <c:tx>
            <c:strRef>
              <c:f>'Terminal Ascent PHP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(2)'!$E$23:$E$35</c:f>
              <c:numCache>
                <c:formatCode>0.000</c:formatCode>
                <c:ptCount val="13"/>
                <c:pt idx="0">
                  <c:v>-0.26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6.25E-2</c:v>
                </c:pt>
                <c:pt idx="5">
                  <c:v>0</c:v>
                </c:pt>
                <c:pt idx="6">
                  <c:v>-8.3000000000000004E-2</c:v>
                </c:pt>
                <c:pt idx="7">
                  <c:v>-0.1875</c:v>
                </c:pt>
                <c:pt idx="8">
                  <c:v>-0.33300000000000002</c:v>
                </c:pt>
                <c:pt idx="9">
                  <c:v>-0.5</c:v>
                </c:pt>
                <c:pt idx="10">
                  <c:v>-0.61699999999999999</c:v>
                </c:pt>
                <c:pt idx="11">
                  <c:v>-0.83299999999999996</c:v>
                </c:pt>
                <c:pt idx="12">
                  <c:v>-1.0249999999999999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E1-4D30-8DF5-9464930B64D8}"/>
            </c:ext>
          </c:extLst>
        </c:ser>
        <c:ser>
          <c:idx val="3"/>
          <c:order val="3"/>
          <c:tx>
            <c:strRef>
              <c:f>'Terminal Ascent PHP (2)'!$F$21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(2)'!$F$23:$F$35</c:f>
              <c:numCache>
                <c:formatCode>0.000</c:formatCode>
                <c:ptCount val="13"/>
                <c:pt idx="0">
                  <c:v>-0.1875</c:v>
                </c:pt>
                <c:pt idx="1">
                  <c:v>0.1</c:v>
                </c:pt>
                <c:pt idx="2">
                  <c:v>0.16700000000000001</c:v>
                </c:pt>
                <c:pt idx="3">
                  <c:v>0.16700000000000001</c:v>
                </c:pt>
                <c:pt idx="4">
                  <c:v>0.125</c:v>
                </c:pt>
                <c:pt idx="5">
                  <c:v>0.125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-0.25</c:v>
                </c:pt>
                <c:pt idx="9">
                  <c:v>-0.4</c:v>
                </c:pt>
                <c:pt idx="10">
                  <c:v>-0.55000000000000004</c:v>
                </c:pt>
                <c:pt idx="11">
                  <c:v>-0.75</c:v>
                </c:pt>
                <c:pt idx="12">
                  <c:v>-0.95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4E1-4D30-8DF5-9464930B64D8}"/>
            </c:ext>
          </c:extLst>
        </c:ser>
        <c:ser>
          <c:idx val="4"/>
          <c:order val="4"/>
          <c:tx>
            <c:strRef>
              <c:f>'Terminal Ascent PHP (2)'!$G$21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(2)'!$G$23:$G$35</c:f>
              <c:numCache>
                <c:formatCode>0.000</c:formatCode>
                <c:ptCount val="13"/>
                <c:pt idx="0">
                  <c:v>8.3000000000000004E-2</c:v>
                </c:pt>
                <c:pt idx="1">
                  <c:v>0.33300000000000002</c:v>
                </c:pt>
                <c:pt idx="2">
                  <c:v>0.4</c:v>
                </c:pt>
                <c:pt idx="3">
                  <c:v>0.4</c:v>
                </c:pt>
                <c:pt idx="4">
                  <c:v>0.375</c:v>
                </c:pt>
                <c:pt idx="5">
                  <c:v>0.35</c:v>
                </c:pt>
                <c:pt idx="6">
                  <c:v>0.25</c:v>
                </c:pt>
                <c:pt idx="7">
                  <c:v>0.16700000000000001</c:v>
                </c:pt>
                <c:pt idx="8">
                  <c:v>0</c:v>
                </c:pt>
                <c:pt idx="9">
                  <c:v>-0.15</c:v>
                </c:pt>
                <c:pt idx="10">
                  <c:v>-0.3125</c:v>
                </c:pt>
                <c:pt idx="11">
                  <c:v>-0.5</c:v>
                </c:pt>
                <c:pt idx="12">
                  <c:v>-0.7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4E1-4D30-8DF5-9464930B64D8}"/>
            </c:ext>
          </c:extLst>
        </c:ser>
        <c:ser>
          <c:idx val="5"/>
          <c:order val="5"/>
          <c:tx>
            <c:strRef>
              <c:f>'Terminal Ascent PHP (2)'!$H$21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(2)'!$H$23:$H$35</c:f>
              <c:numCache>
                <c:formatCode>0.000</c:formatCode>
                <c:ptCount val="13"/>
                <c:pt idx="0">
                  <c:v>0.35</c:v>
                </c:pt>
                <c:pt idx="1">
                  <c:v>0.65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0.66700000000000004</c:v>
                </c:pt>
                <c:pt idx="6">
                  <c:v>0.5625</c:v>
                </c:pt>
                <c:pt idx="7">
                  <c:v>0.45</c:v>
                </c:pt>
                <c:pt idx="8">
                  <c:v>0.33300000000000002</c:v>
                </c:pt>
                <c:pt idx="9">
                  <c:v>0.16700000000000001</c:v>
                </c:pt>
                <c:pt idx="10">
                  <c:v>0</c:v>
                </c:pt>
                <c:pt idx="11">
                  <c:v>-0.16700000000000001</c:v>
                </c:pt>
                <c:pt idx="12">
                  <c:v>-0.41699999999999998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4E1-4D30-8DF5-9464930B64D8}"/>
            </c:ext>
          </c:extLst>
        </c:ser>
        <c:ser>
          <c:idx val="6"/>
          <c:order val="6"/>
          <c:tx>
            <c:strRef>
              <c:f>'Terminal Ascent PHP (2)'!$I$21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(2)'!$I$23:$I$35</c:f>
              <c:numCache>
                <c:formatCode>0.000</c:formatCode>
                <c:ptCount val="13"/>
                <c:pt idx="0">
                  <c:v>0.75</c:v>
                </c:pt>
                <c:pt idx="1">
                  <c:v>1.05</c:v>
                </c:pt>
                <c:pt idx="2">
                  <c:v>1.125</c:v>
                </c:pt>
                <c:pt idx="3">
                  <c:v>1.125</c:v>
                </c:pt>
                <c:pt idx="4">
                  <c:v>1.1200000000000001</c:v>
                </c:pt>
                <c:pt idx="5">
                  <c:v>1.1000000000000001</c:v>
                </c:pt>
                <c:pt idx="6">
                  <c:v>0.95</c:v>
                </c:pt>
                <c:pt idx="7">
                  <c:v>0.83299999999999996</c:v>
                </c:pt>
                <c:pt idx="8">
                  <c:v>0.74</c:v>
                </c:pt>
                <c:pt idx="9">
                  <c:v>0.61699999999999999</c:v>
                </c:pt>
                <c:pt idx="10">
                  <c:v>0.4</c:v>
                </c:pt>
                <c:pt idx="11">
                  <c:v>0.2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4E1-4D30-8DF5-9464930B6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356377658827906E-2"/>
          <c:y val="0.12032441200324413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'Terminal Ascent PHP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6664762127355551"/>
                  <c:y val="-8.48738433243289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2.8012501302602333</c:v>
                </c:pt>
                <c:pt idx="4">
                  <c:v>3.7350001736803113</c:v>
                </c:pt>
                <c:pt idx="5">
                  <c:v>3.5156250926971464</c:v>
                </c:pt>
                <c:pt idx="6">
                  <c:v>4.2187501112365755</c:v>
                </c:pt>
                <c:pt idx="7">
                  <c:v>-5.6250001483154337</c:v>
                </c:pt>
                <c:pt idx="8">
                  <c:v>-18.787503536761768</c:v>
                </c:pt>
                <c:pt idx="9">
                  <c:v>-42.187527809165061</c:v>
                </c:pt>
                <c:pt idx="10">
                  <c:v>-70.875096877424539</c:v>
                </c:pt>
                <c:pt idx="11">
                  <c:v>-112.50029663179792</c:v>
                </c:pt>
                <c:pt idx="12">
                  <c:v>-164.53198316416825</c:v>
                </c:pt>
                <c:pt idx="13">
                  <c:v>-225.00151876230197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0C-4D56-97FE-2BB4FF8EAF0F}"/>
            </c:ext>
          </c:extLst>
        </c:ser>
        <c:ser>
          <c:idx val="1"/>
          <c:order val="1"/>
          <c:tx>
            <c:strRef>
              <c:f>'Terminal Ascent PHP (2)'!$A$78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-1.7</c:v>
                </c:pt>
                <c:pt idx="6">
                  <c:v>-4.4000000000000004</c:v>
                </c:pt>
                <c:pt idx="7">
                  <c:v>-8.4</c:v>
                </c:pt>
                <c:pt idx="8">
                  <c:v>-13.9</c:v>
                </c:pt>
                <c:pt idx="9">
                  <c:v>-20.6</c:v>
                </c:pt>
                <c:pt idx="10">
                  <c:v>-28.8</c:v>
                </c:pt>
                <c:pt idx="11">
                  <c:v>-39</c:v>
                </c:pt>
                <c:pt idx="12">
                  <c:v>-50.7</c:v>
                </c:pt>
                <c:pt idx="13">
                  <c:v>-64.2</c:v>
                </c:pt>
                <c:pt idx="14">
                  <c:v>-80.400000000000006</c:v>
                </c:pt>
                <c:pt idx="15">
                  <c:v>-98.3</c:v>
                </c:pt>
                <c:pt idx="16">
                  <c:v>-118.5</c:v>
                </c:pt>
                <c:pt idx="17">
                  <c:v>-142.19999999999999</c:v>
                </c:pt>
                <c:pt idx="18">
                  <c:v>-167.9</c:v>
                </c:pt>
                <c:pt idx="19">
                  <c:v>-196.6</c:v>
                </c:pt>
                <c:pt idx="20">
                  <c:v>-228.6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0C-4D56-97FE-2BB4FF8EA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851790699696673E-2"/>
          <c:y val="9.5956790123456787E-2"/>
          <c:w val="0.80637403361718607"/>
          <c:h val="0.804644940215806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'Terminal Ascent PHP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415246083343084E-2"/>
                  <c:y val="-0.37212501215125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-3.7462528040734542</c:v>
                </c:pt>
                <c:pt idx="2">
                  <c:v>-1.8675000868401557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-4.2187501112365755</c:v>
                </c:pt>
                <c:pt idx="7">
                  <c:v>-11.250001186523587</c:v>
                </c:pt>
                <c:pt idx="8">
                  <c:v>-28.125011865240378</c:v>
                </c:pt>
                <c:pt idx="9">
                  <c:v>-54.000058320075574</c:v>
                </c:pt>
                <c:pt idx="10">
                  <c:v>-86.625176877855267</c:v>
                </c:pt>
                <c:pt idx="11">
                  <c:v>-133.20049234934385</c:v>
                </c:pt>
                <c:pt idx="12">
                  <c:v>-177.18841570514167</c:v>
                </c:pt>
                <c:pt idx="13">
                  <c:v>-236.25175815866962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04-4CCB-A0E1-1E5AF04EA2DC}"/>
            </c:ext>
          </c:extLst>
        </c:ser>
        <c:ser>
          <c:idx val="1"/>
          <c:order val="1"/>
          <c:tx>
            <c:strRef>
              <c:f>'Terminal Ascent PHP (2)'!$A$102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572305449544006"/>
                  <c:y val="-0.10014508603091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-1.6</c:v>
                </c:pt>
                <c:pt idx="6">
                  <c:v>-4.4000000000000004</c:v>
                </c:pt>
                <c:pt idx="7">
                  <c:v>-8.3000000000000007</c:v>
                </c:pt>
                <c:pt idx="8">
                  <c:v>-13.8</c:v>
                </c:pt>
                <c:pt idx="9">
                  <c:v>-20.5</c:v>
                </c:pt>
                <c:pt idx="10">
                  <c:v>-28.7</c:v>
                </c:pt>
                <c:pt idx="11">
                  <c:v>-38.9</c:v>
                </c:pt>
                <c:pt idx="12">
                  <c:v>-50.6</c:v>
                </c:pt>
                <c:pt idx="13">
                  <c:v>-64.099999999999994</c:v>
                </c:pt>
                <c:pt idx="14">
                  <c:v>-80.3</c:v>
                </c:pt>
                <c:pt idx="15">
                  <c:v>-98.2</c:v>
                </c:pt>
                <c:pt idx="16">
                  <c:v>-118.4</c:v>
                </c:pt>
                <c:pt idx="17">
                  <c:v>-142.1</c:v>
                </c:pt>
                <c:pt idx="18">
                  <c:v>-167.7</c:v>
                </c:pt>
                <c:pt idx="19">
                  <c:v>-196.4</c:v>
                </c:pt>
                <c:pt idx="20">
                  <c:v>-228.4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04-4CCB-A0E1-1E5AF04EA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578818448808808E-2"/>
                  <c:y val="-0.335983036842616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-2.7625011243610706</c:v>
                </c:pt>
                <c:pt idx="2">
                  <c:v>0</c:v>
                </c:pt>
                <c:pt idx="3">
                  <c:v>2.6456251097339711</c:v>
                </c:pt>
                <c:pt idx="4">
                  <c:v>3.527500146311962</c:v>
                </c:pt>
                <c:pt idx="5">
                  <c:v>3.3203125780900344</c:v>
                </c:pt>
                <c:pt idx="6">
                  <c:v>0</c:v>
                </c:pt>
                <c:pt idx="7">
                  <c:v>-7.0550002926239239</c:v>
                </c:pt>
                <c:pt idx="8">
                  <c:v>-19.921879216862795</c:v>
                </c:pt>
                <c:pt idx="9">
                  <c:v>-42.457528346525805</c:v>
                </c:pt>
                <c:pt idx="10">
                  <c:v>-74.375111950072011</c:v>
                </c:pt>
                <c:pt idx="11">
                  <c:v>-104.89024041536128</c:v>
                </c:pt>
                <c:pt idx="12">
                  <c:v>-159.31191557228721</c:v>
                </c:pt>
                <c:pt idx="13">
                  <c:v>-217.81387781349002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8C-47FC-87D8-B2F0A67E79EA}"/>
            </c:ext>
          </c:extLst>
        </c:ser>
        <c:ser>
          <c:idx val="1"/>
          <c:order val="1"/>
          <c:tx>
            <c:strRef>
              <c:f>'Terminal Ascent PHP (2)'!$A$126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776937505165413"/>
                  <c:y val="-0.179660979877515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-0.7</c:v>
                </c:pt>
                <c:pt idx="2">
                  <c:v>1.5</c:v>
                </c:pt>
                <c:pt idx="3">
                  <c:v>2.7</c:v>
                </c:pt>
                <c:pt idx="4">
                  <c:v>2.9</c:v>
                </c:pt>
                <c:pt idx="5">
                  <c:v>2</c:v>
                </c:pt>
                <c:pt idx="6">
                  <c:v>0</c:v>
                </c:pt>
                <c:pt idx="7">
                  <c:v>-3.2</c:v>
                </c:pt>
                <c:pt idx="8">
                  <c:v>-8</c:v>
                </c:pt>
                <c:pt idx="9">
                  <c:v>-13.9</c:v>
                </c:pt>
                <c:pt idx="10">
                  <c:v>-21.4</c:v>
                </c:pt>
                <c:pt idx="11">
                  <c:v>-30.9</c:v>
                </c:pt>
                <c:pt idx="12">
                  <c:v>-41.9</c:v>
                </c:pt>
                <c:pt idx="13">
                  <c:v>-54.7</c:v>
                </c:pt>
                <c:pt idx="14">
                  <c:v>-70.099999999999994</c:v>
                </c:pt>
                <c:pt idx="15">
                  <c:v>-87.3</c:v>
                </c:pt>
                <c:pt idx="16">
                  <c:v>-106.8</c:v>
                </c:pt>
                <c:pt idx="17">
                  <c:v>-129.69999999999999</c:v>
                </c:pt>
                <c:pt idx="18">
                  <c:v>-154.69999999999999</c:v>
                </c:pt>
                <c:pt idx="19">
                  <c:v>-182.6</c:v>
                </c:pt>
                <c:pt idx="20">
                  <c:v>-213.8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8C-47FC-87D8-B2F0A67E7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1761998790187376E-2"/>
                  <c:y val="-0.368037571692427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2.0000001066666733</c:v>
                </c:pt>
                <c:pt idx="3">
                  <c:v>5.0100007451942137</c:v>
                </c:pt>
                <c:pt idx="4">
                  <c:v>6.6800009935922846</c:v>
                </c:pt>
                <c:pt idx="5">
                  <c:v>6.2500005208333844</c:v>
                </c:pt>
                <c:pt idx="6">
                  <c:v>7.5000006250000615</c:v>
                </c:pt>
                <c:pt idx="7">
                  <c:v>0</c:v>
                </c:pt>
                <c:pt idx="8">
                  <c:v>-8.3000003049530804</c:v>
                </c:pt>
                <c:pt idx="9">
                  <c:v>-30.000010000004</c:v>
                </c:pt>
                <c:pt idx="10">
                  <c:v>-56.000047786715612</c:v>
                </c:pt>
                <c:pt idx="11">
                  <c:v>-88.000141973608208</c:v>
                </c:pt>
                <c:pt idx="12">
                  <c:v>-135.00040500145803</c:v>
                </c:pt>
                <c:pt idx="13">
                  <c:v>-190.00091453861572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BE-40DE-A60F-BDB6B6F3BE75}"/>
            </c:ext>
          </c:extLst>
        </c:ser>
        <c:ser>
          <c:idx val="1"/>
          <c:order val="1"/>
          <c:tx>
            <c:strRef>
              <c:f>'Terminal Ascent PHP (2)'!$A$150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91756749101979"/>
                  <c:y val="-0.21242271799358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0.2</c:v>
                </c:pt>
                <c:pt idx="2">
                  <c:v>3.5</c:v>
                </c:pt>
                <c:pt idx="3">
                  <c:v>5.7</c:v>
                </c:pt>
                <c:pt idx="4">
                  <c:v>6.9</c:v>
                </c:pt>
                <c:pt idx="5">
                  <c:v>7</c:v>
                </c:pt>
                <c:pt idx="6">
                  <c:v>5.9</c:v>
                </c:pt>
                <c:pt idx="7">
                  <c:v>3.7</c:v>
                </c:pt>
                <c:pt idx="8">
                  <c:v>0</c:v>
                </c:pt>
                <c:pt idx="9">
                  <c:v>-5.0999999999999996</c:v>
                </c:pt>
                <c:pt idx="10">
                  <c:v>-11.6</c:v>
                </c:pt>
                <c:pt idx="11">
                  <c:v>-20.100000000000001</c:v>
                </c:pt>
                <c:pt idx="12">
                  <c:v>-30</c:v>
                </c:pt>
                <c:pt idx="13">
                  <c:v>-41.8</c:v>
                </c:pt>
                <c:pt idx="14">
                  <c:v>-56.3</c:v>
                </c:pt>
                <c:pt idx="15">
                  <c:v>-72.400000000000006</c:v>
                </c:pt>
                <c:pt idx="16">
                  <c:v>-91</c:v>
                </c:pt>
                <c:pt idx="17">
                  <c:v>-112.9</c:v>
                </c:pt>
                <c:pt idx="18">
                  <c:v>-136.9</c:v>
                </c:pt>
                <c:pt idx="19">
                  <c:v>-163.9</c:v>
                </c:pt>
                <c:pt idx="20">
                  <c:v>-194.1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BE-40DE-A60F-BDB6B6F3BE75}"/>
            </c:ext>
          </c:extLst>
        </c:ser>
        <c:ser>
          <c:idx val="2"/>
          <c:order val="2"/>
          <c:tx>
            <c:strRef>
              <c:f>'Terminal Ascent PHP (2)'!$H$150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 (2)'!$H$152:$H$172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-6</c:v>
                </c:pt>
                <c:pt idx="18">
                  <c:v>-6</c:v>
                </c:pt>
                <c:pt idx="19">
                  <c:v>-7</c:v>
                </c:pt>
                <c:pt idx="20">
                  <c:v>-7</c:v>
                </c:pt>
              </c:numCache>
            </c:numRef>
          </c:xVal>
          <c:yVal>
            <c:numRef>
              <c:f>'Terminal Ascent PHP (2)'!$K$152:$K$172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BE-40DE-A60F-BDB6B6F3B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73712862189166"/>
                  <c:y val="-0.301074171284145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0.83000003049530802</c:v>
                </c:pt>
                <c:pt idx="2">
                  <c:v>6.6600039387800765</c:v>
                </c:pt>
                <c:pt idx="3">
                  <c:v>12.000010240010488</c:v>
                </c:pt>
                <c:pt idx="4">
                  <c:v>16.000013653347317</c:v>
                </c:pt>
                <c:pt idx="5">
                  <c:v>18.750014062512658</c:v>
                </c:pt>
                <c:pt idx="6">
                  <c:v>21.000013720010759</c:v>
                </c:pt>
                <c:pt idx="7">
                  <c:v>20.000006666669336</c:v>
                </c:pt>
                <c:pt idx="8">
                  <c:v>16.700002483980715</c:v>
                </c:pt>
                <c:pt idx="9">
                  <c:v>0</c:v>
                </c:pt>
                <c:pt idx="10">
                  <c:v>-21.000002520000361</c:v>
                </c:pt>
                <c:pt idx="11">
                  <c:v>-50.000026041682943</c:v>
                </c:pt>
                <c:pt idx="12">
                  <c:v>-90.000120000191998</c:v>
                </c:pt>
                <c:pt idx="13">
                  <c:v>-140.00036586781403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85-4C25-98A8-A38790CCEB83}"/>
            </c:ext>
          </c:extLst>
        </c:ser>
        <c:ser>
          <c:idx val="1"/>
          <c:order val="1"/>
          <c:tx>
            <c:strRef>
              <c:f>'Terminal Ascent PHP (2)'!$A$174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58053089950581"/>
                  <c:y val="-0.148418635170603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2.7</c:v>
                </c:pt>
                <c:pt idx="2">
                  <c:v>8.5</c:v>
                </c:pt>
                <c:pt idx="3">
                  <c:v>13.2</c:v>
                </c:pt>
                <c:pt idx="4">
                  <c:v>16.899999999999999</c:v>
                </c:pt>
                <c:pt idx="5">
                  <c:v>19.600000000000001</c:v>
                </c:pt>
                <c:pt idx="6">
                  <c:v>21</c:v>
                </c:pt>
                <c:pt idx="7">
                  <c:v>21.2</c:v>
                </c:pt>
                <c:pt idx="8">
                  <c:v>20.100000000000001</c:v>
                </c:pt>
                <c:pt idx="9">
                  <c:v>17.5</c:v>
                </c:pt>
                <c:pt idx="10">
                  <c:v>13.5</c:v>
                </c:pt>
                <c:pt idx="11">
                  <c:v>7.6</c:v>
                </c:pt>
                <c:pt idx="12">
                  <c:v>0.1</c:v>
                </c:pt>
                <c:pt idx="13">
                  <c:v>-9.3000000000000007</c:v>
                </c:pt>
                <c:pt idx="14">
                  <c:v>-21.1</c:v>
                </c:pt>
                <c:pt idx="15">
                  <c:v>-34.799999999999997</c:v>
                </c:pt>
                <c:pt idx="16">
                  <c:v>-50.9</c:v>
                </c:pt>
                <c:pt idx="17">
                  <c:v>-70.2</c:v>
                </c:pt>
                <c:pt idx="18">
                  <c:v>-91.8</c:v>
                </c:pt>
                <c:pt idx="19">
                  <c:v>-116.3</c:v>
                </c:pt>
                <c:pt idx="20">
                  <c:v>-144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85-4C25-98A8-A38790CCEB83}"/>
            </c:ext>
          </c:extLst>
        </c:ser>
        <c:ser>
          <c:idx val="2"/>
          <c:order val="2"/>
          <c:tx>
            <c:strRef>
              <c:f>'Terminal Ascent PHP (2)'!$H$174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 (2)'!$H$176:$H$196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-6</c:v>
                </c:pt>
                <c:pt idx="18">
                  <c:v>-6</c:v>
                </c:pt>
                <c:pt idx="19">
                  <c:v>-7</c:v>
                </c:pt>
                <c:pt idx="20">
                  <c:v>-7</c:v>
                </c:pt>
              </c:numCache>
            </c:numRef>
          </c:xVal>
          <c:yVal>
            <c:numRef>
              <c:f>'Terminal Ascent PHP (2)'!$K$176:$K$196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B85-4C25-98A8-A38790CCE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(2)'!$O$21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9497036203601747"/>
                  <c:y val="-0.15839093030037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3.5000022866684599</c:v>
                </c:pt>
                <c:pt idx="2">
                  <c:v>13.000029293412544</c:v>
                </c:pt>
                <c:pt idx="3">
                  <c:v>21.000054880172105</c:v>
                </c:pt>
                <c:pt idx="4">
                  <c:v>28.000073173562807</c:v>
                </c:pt>
                <c:pt idx="5">
                  <c:v>35.000091466953506</c:v>
                </c:pt>
                <c:pt idx="6">
                  <c:v>40.020094957378532</c:v>
                </c:pt>
                <c:pt idx="7">
                  <c:v>45.000075937653769</c:v>
                </c:pt>
                <c:pt idx="8">
                  <c:v>45.000048600062982</c:v>
                </c:pt>
                <c:pt idx="9">
                  <c:v>39.960023632680461</c:v>
                </c:pt>
                <c:pt idx="10">
                  <c:v>23.380003477572998</c:v>
                </c:pt>
                <c:pt idx="11">
                  <c:v>0</c:v>
                </c:pt>
                <c:pt idx="12">
                  <c:v>-30.060004471165279</c:v>
                </c:pt>
                <c:pt idx="13">
                  <c:v>-83.400077345913274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73-4491-BEFD-03505EB19772}"/>
            </c:ext>
          </c:extLst>
        </c:ser>
        <c:ser>
          <c:idx val="1"/>
          <c:order val="1"/>
          <c:tx>
            <c:strRef>
              <c:f>'Terminal Ascent PHP (2)'!$A$198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935986962025786"/>
                  <c:y val="-0.62377588218139401"/>
                </c:manualLayout>
              </c:layout>
              <c:numFmt formatCode="General" sourceLinked="0"/>
              <c:spPr>
                <a:noFill/>
                <a:ln>
                  <a:solidFill>
                    <a:srgbClr val="E9713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5.9</c:v>
                </c:pt>
                <c:pt idx="2">
                  <c:v>15</c:v>
                </c:pt>
                <c:pt idx="3">
                  <c:v>22.8</c:v>
                </c:pt>
                <c:pt idx="4">
                  <c:v>29.6</c:v>
                </c:pt>
                <c:pt idx="5">
                  <c:v>35.6</c:v>
                </c:pt>
                <c:pt idx="6">
                  <c:v>40.200000000000003</c:v>
                </c:pt>
                <c:pt idx="7">
                  <c:v>43.6</c:v>
                </c:pt>
                <c:pt idx="8">
                  <c:v>45.7</c:v>
                </c:pt>
                <c:pt idx="9">
                  <c:v>46.3</c:v>
                </c:pt>
                <c:pt idx="10">
                  <c:v>45.4</c:v>
                </c:pt>
                <c:pt idx="11">
                  <c:v>42.8</c:v>
                </c:pt>
                <c:pt idx="12">
                  <c:v>38.5</c:v>
                </c:pt>
                <c:pt idx="13">
                  <c:v>32.200000000000003</c:v>
                </c:pt>
                <c:pt idx="14">
                  <c:v>23.7</c:v>
                </c:pt>
                <c:pt idx="15">
                  <c:v>13.1</c:v>
                </c:pt>
                <c:pt idx="16">
                  <c:v>0.2</c:v>
                </c:pt>
                <c:pt idx="17">
                  <c:v>-15.9</c:v>
                </c:pt>
                <c:pt idx="18">
                  <c:v>-34.200000000000003</c:v>
                </c:pt>
                <c:pt idx="19">
                  <c:v>-55.6</c:v>
                </c:pt>
                <c:pt idx="20">
                  <c:v>-80.2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973-4491-BEFD-03505EB19772}"/>
            </c:ext>
          </c:extLst>
        </c:ser>
        <c:ser>
          <c:idx val="2"/>
          <c:order val="2"/>
          <c:tx>
            <c:strRef>
              <c:f>'Terminal Ascent PHP (2)'!$H$198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 (2)'!$H$200:$H$220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-6</c:v>
                </c:pt>
                <c:pt idx="18">
                  <c:v>-6</c:v>
                </c:pt>
                <c:pt idx="19">
                  <c:v>-7</c:v>
                </c:pt>
                <c:pt idx="20">
                  <c:v>-7</c:v>
                </c:pt>
              </c:numCache>
            </c:numRef>
          </c:xVal>
          <c:yVal>
            <c:numRef>
              <c:f>'Terminal Ascent PHP (2)'!$K$200:$K$220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973-4491-BEFD-03505EB19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(2)'!$P$21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679096371814512E-2"/>
                  <c:y val="-0.607578011081948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(2)'!$P$22:$P$35</c:f>
              <c:numCache>
                <c:formatCode>0.00</c:formatCode>
                <c:ptCount val="14"/>
                <c:pt idx="0">
                  <c:v>-3.81</c:v>
                </c:pt>
                <c:pt idx="1">
                  <c:v>7.500022500081001</c:v>
                </c:pt>
                <c:pt idx="2">
                  <c:v>21.000123480871284</c:v>
                </c:pt>
                <c:pt idx="3">
                  <c:v>33.750227814345294</c:v>
                </c:pt>
                <c:pt idx="4">
                  <c:v>45.000303752460397</c:v>
                </c:pt>
                <c:pt idx="5">
                  <c:v>56.000374650474427</c:v>
                </c:pt>
                <c:pt idx="6">
                  <c:v>66.000425923298366</c:v>
                </c:pt>
                <c:pt idx="7">
                  <c:v>76.000365815446287</c:v>
                </c:pt>
                <c:pt idx="8">
                  <c:v>83.300308273122084</c:v>
                </c:pt>
                <c:pt idx="9">
                  <c:v>88.800259344268909</c:v>
                </c:pt>
                <c:pt idx="10">
                  <c:v>86.380175381311687</c:v>
                </c:pt>
                <c:pt idx="11">
                  <c:v>64.000054613389267</c:v>
                </c:pt>
                <c:pt idx="12">
                  <c:v>36.000007680001964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D8-4D67-977E-460E79731F98}"/>
            </c:ext>
          </c:extLst>
        </c:ser>
        <c:ser>
          <c:idx val="1"/>
          <c:order val="1"/>
          <c:tx>
            <c:strRef>
              <c:f>'Terminal Ascent PHP (2)'!$A$222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867021878468387E-2"/>
                  <c:y val="-0.208490327597939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9.9</c:v>
                </c:pt>
                <c:pt idx="2">
                  <c:v>23.2</c:v>
                </c:pt>
                <c:pt idx="3">
                  <c:v>35</c:v>
                </c:pt>
                <c:pt idx="4">
                  <c:v>45.8</c:v>
                </c:pt>
                <c:pt idx="5">
                  <c:v>55.9</c:v>
                </c:pt>
                <c:pt idx="6">
                  <c:v>64.5</c:v>
                </c:pt>
                <c:pt idx="7">
                  <c:v>71.900000000000006</c:v>
                </c:pt>
                <c:pt idx="8">
                  <c:v>78.099999999999994</c:v>
                </c:pt>
                <c:pt idx="9">
                  <c:v>82.7</c:v>
                </c:pt>
                <c:pt idx="10">
                  <c:v>85.8</c:v>
                </c:pt>
                <c:pt idx="11">
                  <c:v>87.3</c:v>
                </c:pt>
                <c:pt idx="12">
                  <c:v>87</c:v>
                </c:pt>
                <c:pt idx="13">
                  <c:v>84.8</c:v>
                </c:pt>
                <c:pt idx="14">
                  <c:v>80.3</c:v>
                </c:pt>
                <c:pt idx="15">
                  <c:v>73.8</c:v>
                </c:pt>
                <c:pt idx="16">
                  <c:v>64.900000000000006</c:v>
                </c:pt>
                <c:pt idx="17">
                  <c:v>53</c:v>
                </c:pt>
                <c:pt idx="18">
                  <c:v>38.6</c:v>
                </c:pt>
                <c:pt idx="19">
                  <c:v>21.2</c:v>
                </c:pt>
                <c:pt idx="20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D8-4D67-977E-460E79731F98}"/>
            </c:ext>
          </c:extLst>
        </c:ser>
        <c:ser>
          <c:idx val="2"/>
          <c:order val="2"/>
          <c:tx>
            <c:strRef>
              <c:f>'Terminal Ascent PHP (2)'!$H$222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 (2)'!$H$224:$H$244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-6</c:v>
                </c:pt>
                <c:pt idx="18">
                  <c:v>-6</c:v>
                </c:pt>
                <c:pt idx="19">
                  <c:v>-7</c:v>
                </c:pt>
                <c:pt idx="20">
                  <c:v>-7</c:v>
                </c:pt>
              </c:numCache>
            </c:numRef>
          </c:xVal>
          <c:yVal>
            <c:numRef>
              <c:f>'Terminal Ascent PHP (2)'!$K$224:$K$244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AD8-4D67-977E-460E79731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428764178473403E-2"/>
          <c:y val="9.4738228392828971E-2"/>
          <c:w val="0.90596628187799444"/>
          <c:h val="0.754338499207033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'Terminal Ascent PHP (2)'!$L$256</c:f>
              <c:strCache>
                <c:ptCount val="1"/>
                <c:pt idx="0">
                  <c:v>Energy Difference(Measured-HG1)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1"/>
            <c:dispEq val="1"/>
            <c:trendlineLbl>
              <c:layout>
                <c:manualLayout>
                  <c:x val="-3.292770635418081E-4"/>
                  <c:y val="-6.88410213091179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(2)'!$A$257:$A$280</c:f>
              <c:numCache>
                <c:formatCode>0.00</c:formatCode>
                <c:ptCount val="2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145</c:v>
                </c:pt>
                <c:pt idx="7">
                  <c:v>150</c:v>
                </c:pt>
                <c:pt idx="8">
                  <c:v>163.4</c:v>
                </c:pt>
                <c:pt idx="9">
                  <c:v>175</c:v>
                </c:pt>
                <c:pt idx="10">
                  <c:v>200</c:v>
                </c:pt>
                <c:pt idx="11">
                  <c:v>225</c:v>
                </c:pt>
                <c:pt idx="12">
                  <c:v>247.4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</c:numCache>
            </c:numRef>
          </c:xVal>
          <c:yVal>
            <c:numRef>
              <c:f>'Terminal Ascent PHP (2)'!$L$257:$L$280</c:f>
              <c:numCache>
                <c:formatCode>0.00</c:formatCode>
                <c:ptCount val="24"/>
                <c:pt idx="0">
                  <c:v>23.893591744440528</c:v>
                </c:pt>
                <c:pt idx="1">
                  <c:v>25.515639275397007</c:v>
                </c:pt>
                <c:pt idx="2">
                  <c:v>26.068088555931354</c:v>
                </c:pt>
                <c:pt idx="3">
                  <c:v>25.668094346935959</c:v>
                </c:pt>
                <c:pt idx="4">
                  <c:v>24.432811409302303</c:v>
                </c:pt>
                <c:pt idx="5">
                  <c:v>22.479394503922776</c:v>
                </c:pt>
                <c:pt idx="6">
                  <c:v>20.478332522161963</c:v>
                </c:pt>
                <c:pt idx="7">
                  <c:v>19.924998391689769</c:v>
                </c:pt>
                <c:pt idx="8">
                  <c:v>18.349217674443025</c:v>
                </c:pt>
                <c:pt idx="9">
                  <c:v>16.886777833495671</c:v>
                </c:pt>
                <c:pt idx="10">
                  <c:v>13.481887590231509</c:v>
                </c:pt>
                <c:pt idx="11">
                  <c:v>9.827482422790581</c:v>
                </c:pt>
                <c:pt idx="12">
                  <c:v>6.437257855228836</c:v>
                </c:pt>
                <c:pt idx="13">
                  <c:v>6.0407170920643694</c:v>
                </c:pt>
                <c:pt idx="14">
                  <c:v>2.2387463589457184</c:v>
                </c:pt>
                <c:pt idx="15">
                  <c:v>-1.4612750156743459</c:v>
                </c:pt>
                <c:pt idx="16">
                  <c:v>-4.9421922709029786</c:v>
                </c:pt>
                <c:pt idx="17">
                  <c:v>-8.0868506458484717</c:v>
                </c:pt>
                <c:pt idx="18">
                  <c:v>-10.778095379618208</c:v>
                </c:pt>
                <c:pt idx="19">
                  <c:v>-12.898771711320023</c:v>
                </c:pt>
                <c:pt idx="20">
                  <c:v>-14.331724880062438</c:v>
                </c:pt>
                <c:pt idx="21">
                  <c:v>-14.959800124953063</c:v>
                </c:pt>
                <c:pt idx="22">
                  <c:v>-14.665842685099278</c:v>
                </c:pt>
                <c:pt idx="23">
                  <c:v>-13.332697799610514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87-4B5E-9AE0-C859FCE25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804031"/>
        <c:axId val="816805951"/>
      </c:scatterChart>
      <c:valAx>
        <c:axId val="816804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805951"/>
        <c:crosses val="autoZero"/>
        <c:crossBetween val="midCat"/>
      </c:valAx>
      <c:valAx>
        <c:axId val="8168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Delta</a:t>
                </a:r>
                <a:r>
                  <a:rPr lang="en-CA" baseline="0"/>
                  <a:t> E(J)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804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796686177529244"/>
          <c:y val="0.35670163137734989"/>
          <c:w val="0.28224622565541602"/>
          <c:h val="7.95058568209009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428764178473403E-2"/>
          <c:y val="9.4738228392828971E-2"/>
          <c:w val="0.90596628187799444"/>
          <c:h val="0.754338499207033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'Terminal Ascent PHP (2)'!$M$256</c:f>
              <c:strCache>
                <c:ptCount val="1"/>
                <c:pt idx="0">
                  <c:v>% Diff(Delta/avg)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1"/>
            <c:dispEq val="1"/>
            <c:trendlineLbl>
              <c:layout>
                <c:manualLayout>
                  <c:x val="-3.292770635418081E-4"/>
                  <c:y val="-6.88410213091179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(2)'!$A$257:$A$280</c:f>
              <c:numCache>
                <c:formatCode>0.00</c:formatCode>
                <c:ptCount val="2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145</c:v>
                </c:pt>
                <c:pt idx="7">
                  <c:v>150</c:v>
                </c:pt>
                <c:pt idx="8">
                  <c:v>163.4</c:v>
                </c:pt>
                <c:pt idx="9">
                  <c:v>175</c:v>
                </c:pt>
                <c:pt idx="10">
                  <c:v>200</c:v>
                </c:pt>
                <c:pt idx="11">
                  <c:v>225</c:v>
                </c:pt>
                <c:pt idx="12">
                  <c:v>247.4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</c:numCache>
            </c:numRef>
          </c:xVal>
          <c:yVal>
            <c:numRef>
              <c:f>'Terminal Ascent PHP (2)'!$M$257:$M$280</c:f>
              <c:numCache>
                <c:formatCode>0.00%</c:formatCode>
                <c:ptCount val="24"/>
                <c:pt idx="0">
                  <c:v>5.0165032809164076E-3</c:v>
                </c:pt>
                <c:pt idx="1">
                  <c:v>5.6772985429740909E-3</c:v>
                </c:pt>
                <c:pt idx="2">
                  <c:v>6.1529872661138336E-3</c:v>
                </c:pt>
                <c:pt idx="3">
                  <c:v>6.4334552829848997E-3</c:v>
                </c:pt>
                <c:pt idx="4">
                  <c:v>6.5093183054980496E-3</c:v>
                </c:pt>
                <c:pt idx="5">
                  <c:v>6.3723498814208775E-3</c:v>
                </c:pt>
                <c:pt idx="6">
                  <c:v>6.1050811900088204E-3</c:v>
                </c:pt>
                <c:pt idx="7">
                  <c:v>6.0160307128527737E-3</c:v>
                </c:pt>
                <c:pt idx="8">
                  <c:v>5.7331963246484031E-3</c:v>
                </c:pt>
                <c:pt idx="9">
                  <c:v>5.4362482576071234E-3</c:v>
                </c:pt>
                <c:pt idx="10">
                  <c:v>4.6321812825895802E-3</c:v>
                </c:pt>
                <c:pt idx="11">
                  <c:v>3.6074103913730491E-3</c:v>
                </c:pt>
                <c:pt idx="12">
                  <c:v>2.5092776349524785E-3</c:v>
                </c:pt>
                <c:pt idx="13">
                  <c:v>2.3713022405256836E-3</c:v>
                </c:pt>
                <c:pt idx="14">
                  <c:v>9.4072166929169416E-4</c:v>
                </c:pt>
                <c:pt idx="15">
                  <c:v>-6.5786861851671293E-4</c:v>
                </c:pt>
                <c:pt idx="16">
                  <c:v>-2.3858583546529006E-3</c:v>
                </c:pt>
                <c:pt idx="17">
                  <c:v>-4.1894295953421173E-3</c:v>
                </c:pt>
                <c:pt idx="18">
                  <c:v>-5.995936202328544E-3</c:v>
                </c:pt>
                <c:pt idx="19">
                  <c:v>-7.7096964887228645E-3</c:v>
                </c:pt>
                <c:pt idx="20">
                  <c:v>-9.2072158669355211E-3</c:v>
                </c:pt>
                <c:pt idx="21">
                  <c:v>-1.0331927521193779E-2</c:v>
                </c:pt>
                <c:pt idx="22">
                  <c:v>-1.0888647681077099E-2</c:v>
                </c:pt>
                <c:pt idx="23">
                  <c:v>-1.0638097228530345E-2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6E-47C3-85C8-4A219A3F4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804031"/>
        <c:axId val="816805951"/>
      </c:scatterChart>
      <c:valAx>
        <c:axId val="816804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805951"/>
        <c:crosses val="autoZero"/>
        <c:crossBetween val="midCat"/>
      </c:valAx>
      <c:valAx>
        <c:axId val="8168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Delta</a:t>
                </a:r>
                <a:r>
                  <a:rPr lang="en-CA" baseline="0"/>
                  <a:t> E(J)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804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796686177529244"/>
          <c:y val="0.35670163137734989"/>
          <c:w val="0.28224622565541602"/>
          <c:h val="7.95058568209009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6593324019981374E-2"/>
                  <c:y val="-8.72548693366212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SP'!$B$22:$B$35</c:f>
              <c:numCache>
                <c:formatCode>0.00</c:formatCode>
                <c:ptCount val="14"/>
                <c:pt idx="0">
                  <c:v>4480.1000000000004</c:v>
                </c:pt>
                <c:pt idx="1">
                  <c:v>4396.7</c:v>
                </c:pt>
                <c:pt idx="2">
                  <c:v>4306.3</c:v>
                </c:pt>
                <c:pt idx="3">
                  <c:v>4218.5</c:v>
                </c:pt>
                <c:pt idx="4">
                  <c:v>4115.8999999999996</c:v>
                </c:pt>
                <c:pt idx="5">
                  <c:v>4032.6</c:v>
                </c:pt>
                <c:pt idx="6">
                  <c:v>3935.5</c:v>
                </c:pt>
                <c:pt idx="7">
                  <c:v>3765.3</c:v>
                </c:pt>
                <c:pt idx="8">
                  <c:v>3589.5</c:v>
                </c:pt>
                <c:pt idx="9">
                  <c:v>3437.3</c:v>
                </c:pt>
                <c:pt idx="10">
                  <c:v>3280.5</c:v>
                </c:pt>
                <c:pt idx="11">
                  <c:v>3120.8</c:v>
                </c:pt>
                <c:pt idx="12">
                  <c:v>2982.4</c:v>
                </c:pt>
                <c:pt idx="13">
                  <c:v>2841.5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0F-48FA-B84C-E6FD606F265E}"/>
            </c:ext>
          </c:extLst>
        </c:ser>
        <c:ser>
          <c:idx val="1"/>
          <c:order val="1"/>
          <c:tx>
            <c:strRef>
              <c:f>'Power-Shok SP'!$A$78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1216979933959868E-2"/>
                  <c:y val="9.85638694629168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SP'!$C$80:$C$100</c:f>
              <c:numCache>
                <c:formatCode>0.00</c:formatCode>
                <c:ptCount val="21"/>
                <c:pt idx="0">
                  <c:v>4482</c:v>
                </c:pt>
                <c:pt idx="1">
                  <c:v>4282</c:v>
                </c:pt>
                <c:pt idx="2">
                  <c:v>4092</c:v>
                </c:pt>
                <c:pt idx="3">
                  <c:v>3909</c:v>
                </c:pt>
                <c:pt idx="4">
                  <c:v>3733</c:v>
                </c:pt>
                <c:pt idx="5">
                  <c:v>3564</c:v>
                </c:pt>
                <c:pt idx="6">
                  <c:v>3401</c:v>
                </c:pt>
                <c:pt idx="7">
                  <c:v>3244</c:v>
                </c:pt>
                <c:pt idx="8">
                  <c:v>3093</c:v>
                </c:pt>
                <c:pt idx="9">
                  <c:v>2947</c:v>
                </c:pt>
                <c:pt idx="10">
                  <c:v>2807</c:v>
                </c:pt>
                <c:pt idx="11">
                  <c:v>2672</c:v>
                </c:pt>
                <c:pt idx="12">
                  <c:v>2543</c:v>
                </c:pt>
                <c:pt idx="13">
                  <c:v>2418</c:v>
                </c:pt>
                <c:pt idx="14">
                  <c:v>2298</c:v>
                </c:pt>
                <c:pt idx="15">
                  <c:v>2182</c:v>
                </c:pt>
                <c:pt idx="16">
                  <c:v>2072</c:v>
                </c:pt>
                <c:pt idx="17">
                  <c:v>1965</c:v>
                </c:pt>
                <c:pt idx="18">
                  <c:v>1863</c:v>
                </c:pt>
                <c:pt idx="19">
                  <c:v>1765</c:v>
                </c:pt>
                <c:pt idx="20">
                  <c:v>1676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0F-48FA-B84C-E6FD606F265E}"/>
            </c:ext>
          </c:extLst>
        </c:ser>
        <c:ser>
          <c:idx val="2"/>
          <c:order val="2"/>
          <c:tx>
            <c:strRef>
              <c:f>'Power-Shok SP'!$K$78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SP'!$M$80:$M$100</c:f>
              <c:numCache>
                <c:formatCode>0.00</c:formatCode>
                <c:ptCount val="21"/>
                <c:pt idx="0">
                  <c:v>4482</c:v>
                </c:pt>
                <c:pt idx="1">
                  <c:v>4384</c:v>
                </c:pt>
                <c:pt idx="2">
                  <c:v>4288</c:v>
                </c:pt>
                <c:pt idx="3">
                  <c:v>4194</c:v>
                </c:pt>
                <c:pt idx="4">
                  <c:v>4101</c:v>
                </c:pt>
                <c:pt idx="5">
                  <c:v>4010</c:v>
                </c:pt>
                <c:pt idx="6">
                  <c:v>3920</c:v>
                </c:pt>
                <c:pt idx="7">
                  <c:v>3833</c:v>
                </c:pt>
                <c:pt idx="8">
                  <c:v>3746</c:v>
                </c:pt>
                <c:pt idx="9">
                  <c:v>3662</c:v>
                </c:pt>
                <c:pt idx="10">
                  <c:v>3578</c:v>
                </c:pt>
                <c:pt idx="11">
                  <c:v>3497</c:v>
                </c:pt>
                <c:pt idx="12">
                  <c:v>3416</c:v>
                </c:pt>
                <c:pt idx="13">
                  <c:v>3337</c:v>
                </c:pt>
                <c:pt idx="14">
                  <c:v>3260</c:v>
                </c:pt>
                <c:pt idx="15">
                  <c:v>3184</c:v>
                </c:pt>
                <c:pt idx="16">
                  <c:v>3109</c:v>
                </c:pt>
                <c:pt idx="17">
                  <c:v>3035</c:v>
                </c:pt>
                <c:pt idx="18">
                  <c:v>2963</c:v>
                </c:pt>
                <c:pt idx="19">
                  <c:v>2892</c:v>
                </c:pt>
                <c:pt idx="20">
                  <c:v>2826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6F-45BC-ACCC-638347C21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0</c:v>
                </c:pt>
                <c:pt idx="3">
                  <c:v>3.1875001919140762</c:v>
                </c:pt>
                <c:pt idx="4">
                  <c:v>5.3125004997762613</c:v>
                </c:pt>
                <c:pt idx="5">
                  <c:v>6.640625624720327</c:v>
                </c:pt>
                <c:pt idx="6">
                  <c:v>7.9687507496643928</c:v>
                </c:pt>
                <c:pt idx="7">
                  <c:v>8.500000511770871</c:v>
                </c:pt>
                <c:pt idx="8">
                  <c:v>-2.656250009995524</c:v>
                </c:pt>
                <c:pt idx="9">
                  <c:v>-15.937501499328786</c:v>
                </c:pt>
                <c:pt idx="10">
                  <c:v>-27.890630903607917</c:v>
                </c:pt>
                <c:pt idx="11">
                  <c:v>-42.500015992845761</c:v>
                </c:pt>
                <c:pt idx="12">
                  <c:v>-71.718810722870529</c:v>
                </c:pt>
                <c:pt idx="13">
                  <c:v>-95.625116587963561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1A-49DF-9E05-061F28355714}"/>
            </c:ext>
          </c:extLst>
        </c:ser>
        <c:ser>
          <c:idx val="1"/>
          <c:order val="1"/>
          <c:tx>
            <c:strRef>
              <c:f>'Power-Shok SP'!$K$21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-1.5000000450000013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-8.0000004266666931</c:v>
                </c:pt>
                <c:pt idx="8">
                  <c:v>-18.750003515625792</c:v>
                </c:pt>
                <c:pt idx="9">
                  <c:v>-22.500004218750952</c:v>
                </c:pt>
                <c:pt idx="10">
                  <c:v>-36.400013123419015</c:v>
                </c:pt>
                <c:pt idx="11">
                  <c:v>-60.000045000040501</c:v>
                </c:pt>
                <c:pt idx="12">
                  <c:v>-85.500102885148564</c:v>
                </c:pt>
                <c:pt idx="13">
                  <c:v>-110.00017746701025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1A-49DF-9E05-061F28355714}"/>
            </c:ext>
          </c:extLst>
        </c:ser>
        <c:ser>
          <c:idx val="2"/>
          <c:order val="2"/>
          <c:tx>
            <c:strRef>
              <c:f>'Power-Shok SP'!$L$21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-3.1875017272276853</c:v>
                </c:pt>
                <c:pt idx="2">
                  <c:v>-1.3281250312360138</c:v>
                </c:pt>
                <c:pt idx="3">
                  <c:v>0</c:v>
                </c:pt>
                <c:pt idx="4">
                  <c:v>2.6562500624720276</c:v>
                </c:pt>
                <c:pt idx="5">
                  <c:v>2.6562500399820976</c:v>
                </c:pt>
                <c:pt idx="6">
                  <c:v>0</c:v>
                </c:pt>
                <c:pt idx="7">
                  <c:v>-5.3125001249440551</c:v>
                </c:pt>
                <c:pt idx="8">
                  <c:v>-13.281251249440654</c:v>
                </c:pt>
                <c:pt idx="9">
                  <c:v>-19.125002590840264</c:v>
                </c:pt>
                <c:pt idx="10">
                  <c:v>-37.187513993740048</c:v>
                </c:pt>
                <c:pt idx="11">
                  <c:v>-46.750021286479736</c:v>
                </c:pt>
                <c:pt idx="12">
                  <c:v>-76.500073695085206</c:v>
                </c:pt>
                <c:pt idx="13">
                  <c:v>-106.25015992867431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01A-49DF-9E05-061F28355714}"/>
            </c:ext>
          </c:extLst>
        </c:ser>
        <c:ser>
          <c:idx val="3"/>
          <c:order val="3"/>
          <c:tx>
            <c:strRef>
              <c:f>'Power-Shok SP'!$M$21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-2.7500011091672039</c:v>
                </c:pt>
                <c:pt idx="2">
                  <c:v>0</c:v>
                </c:pt>
                <c:pt idx="3">
                  <c:v>3.0000001600000106</c:v>
                </c:pt>
                <c:pt idx="4">
                  <c:v>5.0000004166667074</c:v>
                </c:pt>
                <c:pt idx="5">
                  <c:v>5.0000002666666834</c:v>
                </c:pt>
                <c:pt idx="6">
                  <c:v>6.9000004866800415</c:v>
                </c:pt>
                <c:pt idx="7">
                  <c:v>0</c:v>
                </c:pt>
                <c:pt idx="8">
                  <c:v>-6.2500001302083357</c:v>
                </c:pt>
                <c:pt idx="9">
                  <c:v>-15.000001250000123</c:v>
                </c:pt>
                <c:pt idx="10">
                  <c:v>-25.900004727614366</c:v>
                </c:pt>
                <c:pt idx="11">
                  <c:v>-42.400015880220472</c:v>
                </c:pt>
                <c:pt idx="12">
                  <c:v>-67.50005062504556</c:v>
                </c:pt>
                <c:pt idx="13">
                  <c:v>-98.000125492459503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01A-49DF-9E05-061F28355714}"/>
            </c:ext>
          </c:extLst>
        </c:ser>
        <c:ser>
          <c:idx val="4"/>
          <c:order val="4"/>
          <c:tx>
            <c:strRef>
              <c:f>'Power-Shok SP'!$N$21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-1.7500002858333894</c:v>
                </c:pt>
                <c:pt idx="2">
                  <c:v>2.5000002083333537</c:v>
                </c:pt>
                <c:pt idx="3">
                  <c:v>7.2000022118408156</c:v>
                </c:pt>
                <c:pt idx="4">
                  <c:v>9.9400032736939075</c:v>
                </c:pt>
                <c:pt idx="5">
                  <c:v>12.500004166668335</c:v>
                </c:pt>
                <c:pt idx="6">
                  <c:v>14.700004705961808</c:v>
                </c:pt>
                <c:pt idx="7">
                  <c:v>10.800001049760123</c:v>
                </c:pt>
                <c:pt idx="8">
                  <c:v>12.500001041666769</c:v>
                </c:pt>
                <c:pt idx="9">
                  <c:v>0</c:v>
                </c:pt>
                <c:pt idx="10">
                  <c:v>-16.800001290240115</c:v>
                </c:pt>
                <c:pt idx="11">
                  <c:v>-30.000005625001268</c:v>
                </c:pt>
                <c:pt idx="12">
                  <c:v>-45.000015000006002</c:v>
                </c:pt>
                <c:pt idx="13">
                  <c:v>-65.000036616691418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01A-49DF-9E05-061F28355714}"/>
            </c:ext>
          </c:extLst>
        </c:ser>
        <c:ser>
          <c:idx val="5"/>
          <c:order val="5"/>
          <c:tx>
            <c:strRef>
              <c:f>'Power-Shok SP'!$O$21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5.300001985027559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21.900015560693266</c:v>
                </c:pt>
                <c:pt idx="7">
                  <c:v>20.80000749909658</c:v>
                </c:pt>
                <c:pt idx="8">
                  <c:v>25.00000833333667</c:v>
                </c:pt>
                <c:pt idx="9">
                  <c:v>22.500004218750952</c:v>
                </c:pt>
                <c:pt idx="10">
                  <c:v>16.800001290240115</c:v>
                </c:pt>
                <c:pt idx="11">
                  <c:v>0</c:v>
                </c:pt>
                <c:pt idx="12">
                  <c:v>-18.000000960000062</c:v>
                </c:pt>
                <c:pt idx="13">
                  <c:v>-37.500007031251585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01A-49DF-9E05-061F28355714}"/>
            </c:ext>
          </c:extLst>
        </c:ser>
        <c:ser>
          <c:idx val="6"/>
          <c:order val="6"/>
          <c:tx>
            <c:strRef>
              <c:f>'Power-Shok SP'!$P$21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1.8750003515625793</c:v>
                </c:pt>
                <c:pt idx="2">
                  <c:v>9.7000121689916519</c:v>
                </c:pt>
                <c:pt idx="3">
                  <c:v>16.500026620051539</c:v>
                </c:pt>
                <c:pt idx="4">
                  <c:v>25.020052208564092</c:v>
                </c:pt>
                <c:pt idx="5">
                  <c:v>28.750050695940605</c:v>
                </c:pt>
                <c:pt idx="6">
                  <c:v>30.000040000063997</c:v>
                </c:pt>
                <c:pt idx="7">
                  <c:v>40.000053333418663</c:v>
                </c:pt>
                <c:pt idx="8">
                  <c:v>42.500040941713998</c:v>
                </c:pt>
                <c:pt idx="9">
                  <c:v>39.000021970014849</c:v>
                </c:pt>
                <c:pt idx="10">
                  <c:v>35.000011666671341</c:v>
                </c:pt>
                <c:pt idx="11">
                  <c:v>30.000005625001268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01A-49DF-9E05-061F28355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0.1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0.1</c:v>
                </c:pt>
                <c:pt idx="7">
                  <c:v>-2.5000000000000001E-2</c:v>
                </c:pt>
                <c:pt idx="8">
                  <c:v>-0.125</c:v>
                </c:pt>
                <c:pt idx="9">
                  <c:v>-0.1875</c:v>
                </c:pt>
                <c:pt idx="10">
                  <c:v>-0.25</c:v>
                </c:pt>
                <c:pt idx="11">
                  <c:v>-0.375</c:v>
                </c:pt>
                <c:pt idx="12">
                  <c:v>-0.45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E1-46CD-A99D-303BAE36DD8A}"/>
            </c:ext>
          </c:extLst>
        </c:ser>
        <c:ser>
          <c:idx val="1"/>
          <c:order val="1"/>
          <c:tx>
            <c:strRef>
              <c:f>'Power-Shok SP'!$D$21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SP'!$D$23:$D$35</c:f>
              <c:numCache>
                <c:formatCode>0.000</c:formatCode>
                <c:ptCount val="13"/>
                <c:pt idx="0">
                  <c:v>-0.375</c:v>
                </c:pt>
                <c:pt idx="1">
                  <c:v>-7.4999999999999997E-2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-0.1</c:v>
                </c:pt>
                <c:pt idx="7">
                  <c:v>-0.1875</c:v>
                </c:pt>
                <c:pt idx="8">
                  <c:v>-0.1875</c:v>
                </c:pt>
                <c:pt idx="9">
                  <c:v>-0.26</c:v>
                </c:pt>
                <c:pt idx="10">
                  <c:v>-0.375</c:v>
                </c:pt>
                <c:pt idx="11">
                  <c:v>-0.47499999999999998</c:v>
                </c:pt>
                <c:pt idx="12">
                  <c:v>-0.55000000000000004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E1-46CD-A99D-303BAE36DD8A}"/>
            </c:ext>
          </c:extLst>
        </c:ser>
        <c:ser>
          <c:idx val="2"/>
          <c:order val="2"/>
          <c:tx>
            <c:strRef>
              <c:f>'Power-Shok SP'!$E$21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SP'!$E$23:$E$35</c:f>
              <c:numCache>
                <c:formatCode>0.000</c:formatCode>
                <c:ptCount val="13"/>
                <c:pt idx="0">
                  <c:v>-0.3</c:v>
                </c:pt>
                <c:pt idx="1">
                  <c:v>-6.25E-2</c:v>
                </c:pt>
                <c:pt idx="2">
                  <c:v>0</c:v>
                </c:pt>
                <c:pt idx="3">
                  <c:v>6.25E-2</c:v>
                </c:pt>
                <c:pt idx="4">
                  <c:v>0.05</c:v>
                </c:pt>
                <c:pt idx="5">
                  <c:v>0</c:v>
                </c:pt>
                <c:pt idx="6">
                  <c:v>-6.25E-2</c:v>
                </c:pt>
                <c:pt idx="7">
                  <c:v>-0.125</c:v>
                </c:pt>
                <c:pt idx="8">
                  <c:v>-0.15</c:v>
                </c:pt>
                <c:pt idx="9">
                  <c:v>-0.25</c:v>
                </c:pt>
                <c:pt idx="10">
                  <c:v>-0.27500000000000002</c:v>
                </c:pt>
                <c:pt idx="11">
                  <c:v>-0.4</c:v>
                </c:pt>
                <c:pt idx="12">
                  <c:v>-0.5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4E1-46CD-A99D-303BAE36DD8A}"/>
            </c:ext>
          </c:extLst>
        </c:ser>
        <c:ser>
          <c:idx val="3"/>
          <c:order val="3"/>
          <c:tx>
            <c:strRef>
              <c:f>'Power-Shok SP'!$F$21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SP'!$F$23:$F$35</c:f>
              <c:numCache>
                <c:formatCode>0.000</c:formatCode>
                <c:ptCount val="13"/>
                <c:pt idx="0">
                  <c:v>-0.27500000000000002</c:v>
                </c:pt>
                <c:pt idx="1">
                  <c:v>0</c:v>
                </c:pt>
                <c:pt idx="2">
                  <c:v>0.1</c:v>
                </c:pt>
                <c:pt idx="3">
                  <c:v>0.125</c:v>
                </c:pt>
                <c:pt idx="4">
                  <c:v>0.1</c:v>
                </c:pt>
                <c:pt idx="5">
                  <c:v>0.115</c:v>
                </c:pt>
                <c:pt idx="6">
                  <c:v>0</c:v>
                </c:pt>
                <c:pt idx="7">
                  <c:v>-6.25E-2</c:v>
                </c:pt>
                <c:pt idx="8">
                  <c:v>-0.125</c:v>
                </c:pt>
                <c:pt idx="9">
                  <c:v>-0.185</c:v>
                </c:pt>
                <c:pt idx="10">
                  <c:v>-0.26500000000000001</c:v>
                </c:pt>
                <c:pt idx="11">
                  <c:v>-0.375</c:v>
                </c:pt>
                <c:pt idx="12">
                  <c:v>-0.49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4E1-46CD-A99D-303BAE36DD8A}"/>
            </c:ext>
          </c:extLst>
        </c:ser>
        <c:ser>
          <c:idx val="4"/>
          <c:order val="4"/>
          <c:tx>
            <c:strRef>
              <c:f>'Power-Shok SP'!$G$21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SP'!$G$23:$G$35</c:f>
              <c:numCache>
                <c:formatCode>0.000</c:formatCode>
                <c:ptCount val="13"/>
                <c:pt idx="0">
                  <c:v>-0.17499999999999999</c:v>
                </c:pt>
                <c:pt idx="1">
                  <c:v>0.125</c:v>
                </c:pt>
                <c:pt idx="2">
                  <c:v>0.24</c:v>
                </c:pt>
                <c:pt idx="3">
                  <c:v>0.2485</c:v>
                </c:pt>
                <c:pt idx="4">
                  <c:v>0.25</c:v>
                </c:pt>
                <c:pt idx="5">
                  <c:v>0.245</c:v>
                </c:pt>
                <c:pt idx="6">
                  <c:v>0.13500000000000001</c:v>
                </c:pt>
                <c:pt idx="7">
                  <c:v>0.125</c:v>
                </c:pt>
                <c:pt idx="8">
                  <c:v>0</c:v>
                </c:pt>
                <c:pt idx="9">
                  <c:v>-0.12</c:v>
                </c:pt>
                <c:pt idx="10">
                  <c:v>-0.1875</c:v>
                </c:pt>
                <c:pt idx="11">
                  <c:v>-0.25</c:v>
                </c:pt>
                <c:pt idx="12">
                  <c:v>-0.32500000000000001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4E1-46CD-A99D-303BAE36DD8A}"/>
            </c:ext>
          </c:extLst>
        </c:ser>
        <c:ser>
          <c:idx val="5"/>
          <c:order val="5"/>
          <c:tx>
            <c:strRef>
              <c:f>'Power-Shok SP'!$H$21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SP'!$H$23:$H$35</c:f>
              <c:numCache>
                <c:formatCode>0.000</c:formatCode>
                <c:ptCount val="13"/>
                <c:pt idx="0">
                  <c:v>0</c:v>
                </c:pt>
                <c:pt idx="1">
                  <c:v>0.26500000000000001</c:v>
                </c:pt>
                <c:pt idx="2">
                  <c:v>0.375</c:v>
                </c:pt>
                <c:pt idx="3">
                  <c:v>0.375</c:v>
                </c:pt>
                <c:pt idx="4">
                  <c:v>0.375</c:v>
                </c:pt>
                <c:pt idx="5">
                  <c:v>0.36499999999999999</c:v>
                </c:pt>
                <c:pt idx="6">
                  <c:v>0.26</c:v>
                </c:pt>
                <c:pt idx="7">
                  <c:v>0.25</c:v>
                </c:pt>
                <c:pt idx="8">
                  <c:v>0.1875</c:v>
                </c:pt>
                <c:pt idx="9">
                  <c:v>0.12</c:v>
                </c:pt>
                <c:pt idx="10">
                  <c:v>0</c:v>
                </c:pt>
                <c:pt idx="11">
                  <c:v>-0.1</c:v>
                </c:pt>
                <c:pt idx="12">
                  <c:v>-0.1875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4E1-46CD-A99D-303BAE36DD8A}"/>
            </c:ext>
          </c:extLst>
        </c:ser>
        <c:ser>
          <c:idx val="6"/>
          <c:order val="6"/>
          <c:tx>
            <c:strRef>
              <c:f>'Power-Shok SP'!$I$21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SP'!$I$23:$I$35</c:f>
              <c:numCache>
                <c:formatCode>0.000</c:formatCode>
                <c:ptCount val="13"/>
                <c:pt idx="0">
                  <c:v>0.1875</c:v>
                </c:pt>
                <c:pt idx="1">
                  <c:v>0.48499999999999999</c:v>
                </c:pt>
                <c:pt idx="2">
                  <c:v>0.55000000000000004</c:v>
                </c:pt>
                <c:pt idx="3">
                  <c:v>0.62549999999999994</c:v>
                </c:pt>
                <c:pt idx="4">
                  <c:v>0.57499999999999996</c:v>
                </c:pt>
                <c:pt idx="5">
                  <c:v>0.5</c:v>
                </c:pt>
                <c:pt idx="6">
                  <c:v>0.5</c:v>
                </c:pt>
                <c:pt idx="7">
                  <c:v>0.42499999999999999</c:v>
                </c:pt>
                <c:pt idx="8">
                  <c:v>0.32500000000000001</c:v>
                </c:pt>
                <c:pt idx="9">
                  <c:v>0.25</c:v>
                </c:pt>
                <c:pt idx="10">
                  <c:v>0.1875</c:v>
                </c:pt>
                <c:pt idx="11">
                  <c:v>0.125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4E1-46CD-A99D-303BAE36D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35027092957666"/>
                  <c:y val="-0.1694250627430695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aseline="0">
                        <a:solidFill>
                          <a:schemeClr val="accent1"/>
                        </a:solidFill>
                      </a:rPr>
                      <a:t>y = -3E-07x</a:t>
                    </a:r>
                    <a:r>
                      <a:rPr lang="en-US" baseline="30000">
                        <a:solidFill>
                          <a:schemeClr val="accent1"/>
                        </a:solidFill>
                      </a:rPr>
                      <a:t>3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- 0.0007x</a:t>
                    </a:r>
                    <a:r>
                      <a:rPr lang="en-US" baseline="30000">
                        <a:solidFill>
                          <a:schemeClr val="accent1"/>
                        </a:solidFill>
                      </a:rPr>
                      <a:t>2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+ 0.2141x - 6.711</a:t>
                    </a:r>
                    <a:br>
                      <a:rPr lang="en-US" baseline="0">
                        <a:solidFill>
                          <a:schemeClr val="accent1"/>
                        </a:solidFill>
                      </a:rPr>
                    </a:br>
                    <a:r>
                      <a:rPr lang="en-US" baseline="0">
                        <a:solidFill>
                          <a:schemeClr val="accent1"/>
                        </a:solidFill>
                      </a:rPr>
                      <a:t>R² = 0.9953</a:t>
                    </a:r>
                    <a:endParaRPr lang="en-US">
                      <a:solidFill>
                        <a:schemeClr val="accent1"/>
                      </a:solidFill>
                    </a:endParaRP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0</c:v>
                </c:pt>
                <c:pt idx="3">
                  <c:v>3.1875001919140762</c:v>
                </c:pt>
                <c:pt idx="4">
                  <c:v>5.3125004997762613</c:v>
                </c:pt>
                <c:pt idx="5">
                  <c:v>6.640625624720327</c:v>
                </c:pt>
                <c:pt idx="6">
                  <c:v>7.9687507496643928</c:v>
                </c:pt>
                <c:pt idx="7">
                  <c:v>8.500000511770871</c:v>
                </c:pt>
                <c:pt idx="8">
                  <c:v>-2.656250009995524</c:v>
                </c:pt>
                <c:pt idx="9">
                  <c:v>-15.937501499328786</c:v>
                </c:pt>
                <c:pt idx="10">
                  <c:v>-27.890630903607917</c:v>
                </c:pt>
                <c:pt idx="11">
                  <c:v>-42.500015992845761</c:v>
                </c:pt>
                <c:pt idx="12">
                  <c:v>-71.718810722870529</c:v>
                </c:pt>
                <c:pt idx="13">
                  <c:v>-95.625116587963561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30-4F76-B979-F476DADACA5E}"/>
            </c:ext>
          </c:extLst>
        </c:ser>
        <c:ser>
          <c:idx val="1"/>
          <c:order val="1"/>
          <c:tx>
            <c:strRef>
              <c:f>'Power-Shok SP'!$A$78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61044614662169"/>
                  <c:y val="0.1387918845910684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0.8</c:v>
                </c:pt>
                <c:pt idx="4">
                  <c:v>0.8</c:v>
                </c:pt>
                <c:pt idx="5">
                  <c:v>0.1</c:v>
                </c:pt>
                <c:pt idx="6">
                  <c:v>-1.6</c:v>
                </c:pt>
                <c:pt idx="7">
                  <c:v>-4.0999999999999996</c:v>
                </c:pt>
                <c:pt idx="8">
                  <c:v>-7.6</c:v>
                </c:pt>
                <c:pt idx="9">
                  <c:v>-12</c:v>
                </c:pt>
                <c:pt idx="10">
                  <c:v>-17.5</c:v>
                </c:pt>
                <c:pt idx="11">
                  <c:v>-24.3</c:v>
                </c:pt>
                <c:pt idx="12">
                  <c:v>-32</c:v>
                </c:pt>
                <c:pt idx="13">
                  <c:v>-41</c:v>
                </c:pt>
                <c:pt idx="14">
                  <c:v>-51.6</c:v>
                </c:pt>
                <c:pt idx="15">
                  <c:v>-63.2</c:v>
                </c:pt>
                <c:pt idx="16">
                  <c:v>-76.2</c:v>
                </c:pt>
                <c:pt idx="17">
                  <c:v>-91.4</c:v>
                </c:pt>
                <c:pt idx="18">
                  <c:v>-107.6</c:v>
                </c:pt>
                <c:pt idx="19">
                  <c:v>-125.6</c:v>
                </c:pt>
                <c:pt idx="20">
                  <c:v>-145.30000000000001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30-4F76-B979-F476DADACA5E}"/>
            </c:ext>
          </c:extLst>
        </c:ser>
        <c:ser>
          <c:idx val="2"/>
          <c:order val="2"/>
          <c:tx>
            <c:strRef>
              <c:f>'Power-Shok SP'!$K$78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SP'!$N$80:$N$100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0.9</c:v>
                </c:pt>
                <c:pt idx="4">
                  <c:v>1</c:v>
                </c:pt>
                <c:pt idx="5">
                  <c:v>0.4</c:v>
                </c:pt>
                <c:pt idx="6">
                  <c:v>-0.9</c:v>
                </c:pt>
                <c:pt idx="7">
                  <c:v>-3</c:v>
                </c:pt>
                <c:pt idx="8">
                  <c:v>-6</c:v>
                </c:pt>
                <c:pt idx="9">
                  <c:v>-9.6</c:v>
                </c:pt>
                <c:pt idx="10">
                  <c:v>-14.1</c:v>
                </c:pt>
                <c:pt idx="11">
                  <c:v>-19.600000000000001</c:v>
                </c:pt>
                <c:pt idx="12">
                  <c:v>-25.8</c:v>
                </c:pt>
                <c:pt idx="13">
                  <c:v>-32.9</c:v>
                </c:pt>
                <c:pt idx="14">
                  <c:v>-41.2</c:v>
                </c:pt>
                <c:pt idx="15">
                  <c:v>-50.1</c:v>
                </c:pt>
                <c:pt idx="16">
                  <c:v>-59.9</c:v>
                </c:pt>
                <c:pt idx="17">
                  <c:v>-71.2</c:v>
                </c:pt>
                <c:pt idx="18">
                  <c:v>-83</c:v>
                </c:pt>
                <c:pt idx="19">
                  <c:v>-95.9</c:v>
                </c:pt>
                <c:pt idx="20">
                  <c:v>-109.8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02-4AC9-825A-001095990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7520786198731653E-2"/>
                  <c:y val="-0.401429717118693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-1.5000000450000013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-8.0000004266666931</c:v>
                </c:pt>
                <c:pt idx="8">
                  <c:v>-18.750003515625792</c:v>
                </c:pt>
                <c:pt idx="9">
                  <c:v>-22.500004218750952</c:v>
                </c:pt>
                <c:pt idx="10">
                  <c:v>-36.400013123419015</c:v>
                </c:pt>
                <c:pt idx="11">
                  <c:v>-60.000045000040501</c:v>
                </c:pt>
                <c:pt idx="12">
                  <c:v>-85.500102885148564</c:v>
                </c:pt>
                <c:pt idx="13">
                  <c:v>-110.00017746701025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D5-48BC-BA0D-D37C8846C012}"/>
            </c:ext>
          </c:extLst>
        </c:ser>
        <c:ser>
          <c:idx val="1"/>
          <c:order val="1"/>
          <c:tx>
            <c:strRef>
              <c:f>'Power-Shok SP'!$A$102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197782418623982"/>
                  <c:y val="-0.149376883445124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-1.8</c:v>
                </c:pt>
                <c:pt idx="2">
                  <c:v>-0.4</c:v>
                </c:pt>
                <c:pt idx="3">
                  <c:v>0.2</c:v>
                </c:pt>
                <c:pt idx="4">
                  <c:v>0</c:v>
                </c:pt>
                <c:pt idx="5">
                  <c:v>-1</c:v>
                </c:pt>
                <c:pt idx="6">
                  <c:v>-2.8</c:v>
                </c:pt>
                <c:pt idx="7">
                  <c:v>-5.5</c:v>
                </c:pt>
                <c:pt idx="8">
                  <c:v>-9.3000000000000007</c:v>
                </c:pt>
                <c:pt idx="9">
                  <c:v>-13.9</c:v>
                </c:pt>
                <c:pt idx="10">
                  <c:v>-19.5</c:v>
                </c:pt>
                <c:pt idx="11">
                  <c:v>-26.6</c:v>
                </c:pt>
                <c:pt idx="12">
                  <c:v>-34.5</c:v>
                </c:pt>
                <c:pt idx="13">
                  <c:v>-43.6</c:v>
                </c:pt>
                <c:pt idx="14">
                  <c:v>-54.4</c:v>
                </c:pt>
                <c:pt idx="15">
                  <c:v>-66.3</c:v>
                </c:pt>
                <c:pt idx="16">
                  <c:v>-79.5</c:v>
                </c:pt>
                <c:pt idx="17">
                  <c:v>-94.9</c:v>
                </c:pt>
                <c:pt idx="18">
                  <c:v>-111.3</c:v>
                </c:pt>
                <c:pt idx="19">
                  <c:v>-129.5</c:v>
                </c:pt>
                <c:pt idx="20">
                  <c:v>-149.4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D5-48BC-BA0D-D37C8846C012}"/>
            </c:ext>
          </c:extLst>
        </c:ser>
        <c:ser>
          <c:idx val="2"/>
          <c:order val="2"/>
          <c:tx>
            <c:strRef>
              <c:f>'Power-Shok SP'!$K$102</c:f>
              <c:strCache>
                <c:ptCount val="1"/>
                <c:pt idx="0">
                  <c:v>100m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SP'!$N$104:$N$124</c:f>
              <c:numCache>
                <c:formatCode>0.00</c:formatCode>
                <c:ptCount val="21"/>
                <c:pt idx="0">
                  <c:v>-3.8</c:v>
                </c:pt>
                <c:pt idx="1">
                  <c:v>-1.8</c:v>
                </c:pt>
                <c:pt idx="2">
                  <c:v>-0.5</c:v>
                </c:pt>
                <c:pt idx="3">
                  <c:v>0.1</c:v>
                </c:pt>
                <c:pt idx="4">
                  <c:v>0</c:v>
                </c:pt>
                <c:pt idx="5">
                  <c:v>-0.9</c:v>
                </c:pt>
                <c:pt idx="6">
                  <c:v>-2.4</c:v>
                </c:pt>
                <c:pt idx="7">
                  <c:v>-4.8</c:v>
                </c:pt>
                <c:pt idx="8">
                  <c:v>-8</c:v>
                </c:pt>
                <c:pt idx="9">
                  <c:v>-11.9</c:v>
                </c:pt>
                <c:pt idx="10">
                  <c:v>-16.600000000000001</c:v>
                </c:pt>
                <c:pt idx="11">
                  <c:v>-22.4</c:v>
                </c:pt>
                <c:pt idx="12">
                  <c:v>-28.8</c:v>
                </c:pt>
                <c:pt idx="13">
                  <c:v>-36.200000000000003</c:v>
                </c:pt>
                <c:pt idx="14">
                  <c:v>-44.7</c:v>
                </c:pt>
                <c:pt idx="15">
                  <c:v>-53.9</c:v>
                </c:pt>
                <c:pt idx="16">
                  <c:v>-64</c:v>
                </c:pt>
                <c:pt idx="17">
                  <c:v>-75.5</c:v>
                </c:pt>
                <c:pt idx="18">
                  <c:v>-87.6</c:v>
                </c:pt>
                <c:pt idx="19">
                  <c:v>-100.7</c:v>
                </c:pt>
                <c:pt idx="20">
                  <c:v>-114.9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13-491D-B554-EA8D3380A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4892807698783088E-2"/>
                  <c:y val="-0.3412877904150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-3.1875017272276853</c:v>
                </c:pt>
                <c:pt idx="2">
                  <c:v>-1.3281250312360138</c:v>
                </c:pt>
                <c:pt idx="3">
                  <c:v>0</c:v>
                </c:pt>
                <c:pt idx="4">
                  <c:v>2.6562500624720276</c:v>
                </c:pt>
                <c:pt idx="5">
                  <c:v>2.6562500399820976</c:v>
                </c:pt>
                <c:pt idx="6">
                  <c:v>0</c:v>
                </c:pt>
                <c:pt idx="7">
                  <c:v>-5.3125001249440551</c:v>
                </c:pt>
                <c:pt idx="8">
                  <c:v>-13.281251249440654</c:v>
                </c:pt>
                <c:pt idx="9">
                  <c:v>-19.125002590840264</c:v>
                </c:pt>
                <c:pt idx="10">
                  <c:v>-37.187513993740048</c:v>
                </c:pt>
                <c:pt idx="11">
                  <c:v>-46.750021286479736</c:v>
                </c:pt>
                <c:pt idx="12">
                  <c:v>-76.500073695085206</c:v>
                </c:pt>
                <c:pt idx="13">
                  <c:v>-106.25015992867431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22-4319-B86A-11D7CA45D520}"/>
            </c:ext>
          </c:extLst>
        </c:ser>
        <c:ser>
          <c:idx val="1"/>
          <c:order val="1"/>
          <c:tx>
            <c:strRef>
              <c:f>'Power-Shok SP'!$A$126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567172822483984"/>
                  <c:y val="-0.249605570137066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-0.6</c:v>
                </c:pt>
                <c:pt idx="2">
                  <c:v>1.9</c:v>
                </c:pt>
                <c:pt idx="3">
                  <c:v>3.7</c:v>
                </c:pt>
                <c:pt idx="4">
                  <c:v>4.5999999999999996</c:v>
                </c:pt>
                <c:pt idx="5">
                  <c:v>4.8</c:v>
                </c:pt>
                <c:pt idx="6">
                  <c:v>4.0999999999999996</c:v>
                </c:pt>
                <c:pt idx="7">
                  <c:v>2.6</c:v>
                </c:pt>
                <c:pt idx="8">
                  <c:v>0</c:v>
                </c:pt>
                <c:pt idx="9">
                  <c:v>-3.5</c:v>
                </c:pt>
                <c:pt idx="10">
                  <c:v>-8</c:v>
                </c:pt>
                <c:pt idx="11">
                  <c:v>-13.8</c:v>
                </c:pt>
                <c:pt idx="12">
                  <c:v>-20.6</c:v>
                </c:pt>
                <c:pt idx="13">
                  <c:v>-28.6</c:v>
                </c:pt>
                <c:pt idx="14">
                  <c:v>-38.299999999999997</c:v>
                </c:pt>
                <c:pt idx="15">
                  <c:v>-48.9</c:v>
                </c:pt>
                <c:pt idx="16">
                  <c:v>-61</c:v>
                </c:pt>
                <c:pt idx="17">
                  <c:v>-75.2</c:v>
                </c:pt>
                <c:pt idx="18">
                  <c:v>-90.5</c:v>
                </c:pt>
                <c:pt idx="19">
                  <c:v>-107.5</c:v>
                </c:pt>
                <c:pt idx="20">
                  <c:v>-126.3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22-4319-B86A-11D7CA45D520}"/>
            </c:ext>
          </c:extLst>
        </c:ser>
        <c:ser>
          <c:idx val="2"/>
          <c:order val="2"/>
          <c:tx>
            <c:strRef>
              <c:f>'Power-Shok SP'!$K$126</c:f>
              <c:strCache>
                <c:ptCount val="1"/>
                <c:pt idx="0">
                  <c:v>150m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SP'!$K$128:$K$148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SP'!$N$128:$N$148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0.3</c:v>
                </c:pt>
                <c:pt idx="3">
                  <c:v>1.3</c:v>
                </c:pt>
                <c:pt idx="4">
                  <c:v>1.6</c:v>
                </c:pt>
                <c:pt idx="5">
                  <c:v>1.2</c:v>
                </c:pt>
                <c:pt idx="6">
                  <c:v>0</c:v>
                </c:pt>
                <c:pt idx="7">
                  <c:v>-1.9</c:v>
                </c:pt>
                <c:pt idx="8">
                  <c:v>-4.7</c:v>
                </c:pt>
                <c:pt idx="9">
                  <c:v>-8.1999999999999993</c:v>
                </c:pt>
                <c:pt idx="10">
                  <c:v>-12.5</c:v>
                </c:pt>
                <c:pt idx="11">
                  <c:v>-17.899999999999999</c:v>
                </c:pt>
                <c:pt idx="12">
                  <c:v>-23.9</c:v>
                </c:pt>
                <c:pt idx="13">
                  <c:v>-30.8</c:v>
                </c:pt>
                <c:pt idx="14">
                  <c:v>-38.9</c:v>
                </c:pt>
                <c:pt idx="15">
                  <c:v>-47.7</c:v>
                </c:pt>
                <c:pt idx="16">
                  <c:v>-57.4</c:v>
                </c:pt>
                <c:pt idx="17">
                  <c:v>-68.5</c:v>
                </c:pt>
                <c:pt idx="18">
                  <c:v>-80.2</c:v>
                </c:pt>
                <c:pt idx="19">
                  <c:v>-92.9</c:v>
                </c:pt>
                <c:pt idx="20">
                  <c:v>-106.7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FB-4DBA-85AB-EAA141592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183711660496089E-2"/>
          <c:y val="0.11447530864197532"/>
          <c:w val="0.77541064786720559"/>
          <c:h val="0.804644940215806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'Power-Shok SP'!$M$21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1660294867365092E-2"/>
                  <c:y val="-0.3029610187615436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-2.7500011091672039</c:v>
                </c:pt>
                <c:pt idx="2">
                  <c:v>0</c:v>
                </c:pt>
                <c:pt idx="3">
                  <c:v>3.0000001600000106</c:v>
                </c:pt>
                <c:pt idx="4">
                  <c:v>5.0000004166667074</c:v>
                </c:pt>
                <c:pt idx="5">
                  <c:v>5.0000002666666834</c:v>
                </c:pt>
                <c:pt idx="6">
                  <c:v>6.9000004866800415</c:v>
                </c:pt>
                <c:pt idx="7">
                  <c:v>0</c:v>
                </c:pt>
                <c:pt idx="8">
                  <c:v>-6.2500001302083357</c:v>
                </c:pt>
                <c:pt idx="9">
                  <c:v>-15.000001250000123</c:v>
                </c:pt>
                <c:pt idx="10">
                  <c:v>-25.900004727614366</c:v>
                </c:pt>
                <c:pt idx="11">
                  <c:v>-42.400015880220472</c:v>
                </c:pt>
                <c:pt idx="12">
                  <c:v>-67.50005062504556</c:v>
                </c:pt>
                <c:pt idx="13">
                  <c:v>-98.000125492459503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F8-47D5-89E2-DF4D4D339874}"/>
            </c:ext>
          </c:extLst>
        </c:ser>
        <c:ser>
          <c:idx val="1"/>
          <c:order val="1"/>
          <c:tx>
            <c:strRef>
              <c:f>'Power-Shok SP'!$A$150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904096782805279"/>
                  <c:y val="-0.1520946340040828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-0.6</c:v>
                </c:pt>
                <c:pt idx="2">
                  <c:v>1.9</c:v>
                </c:pt>
                <c:pt idx="3">
                  <c:v>3.7</c:v>
                </c:pt>
                <c:pt idx="4">
                  <c:v>4.5999999999999996</c:v>
                </c:pt>
                <c:pt idx="5">
                  <c:v>4.8</c:v>
                </c:pt>
                <c:pt idx="6">
                  <c:v>4.0999999999999996</c:v>
                </c:pt>
                <c:pt idx="7">
                  <c:v>2.6</c:v>
                </c:pt>
                <c:pt idx="8">
                  <c:v>0</c:v>
                </c:pt>
                <c:pt idx="9">
                  <c:v>-3.5</c:v>
                </c:pt>
                <c:pt idx="10">
                  <c:v>-8</c:v>
                </c:pt>
                <c:pt idx="11">
                  <c:v>-13.8</c:v>
                </c:pt>
                <c:pt idx="12">
                  <c:v>-20.6</c:v>
                </c:pt>
                <c:pt idx="13">
                  <c:v>-28.6</c:v>
                </c:pt>
                <c:pt idx="14">
                  <c:v>-38.299999999999997</c:v>
                </c:pt>
                <c:pt idx="15">
                  <c:v>-48.9</c:v>
                </c:pt>
                <c:pt idx="16">
                  <c:v>-61</c:v>
                </c:pt>
                <c:pt idx="17">
                  <c:v>-75.2</c:v>
                </c:pt>
                <c:pt idx="18">
                  <c:v>-90.5</c:v>
                </c:pt>
                <c:pt idx="19">
                  <c:v>-107.5</c:v>
                </c:pt>
                <c:pt idx="20">
                  <c:v>-126.3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F8-47D5-89E2-DF4D4D339874}"/>
            </c:ext>
          </c:extLst>
        </c:ser>
        <c:ser>
          <c:idx val="2"/>
          <c:order val="2"/>
          <c:tx>
            <c:strRef>
              <c:f>'Power-Shok SP'!$K$150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SP'!$N$152:$N$172</c:f>
              <c:numCache>
                <c:formatCode>0.00</c:formatCode>
                <c:ptCount val="21"/>
                <c:pt idx="0">
                  <c:v>-3.8</c:v>
                </c:pt>
                <c:pt idx="1">
                  <c:v>-0.8</c:v>
                </c:pt>
                <c:pt idx="2">
                  <c:v>1.5</c:v>
                </c:pt>
                <c:pt idx="3">
                  <c:v>3.1</c:v>
                </c:pt>
                <c:pt idx="4">
                  <c:v>4</c:v>
                </c:pt>
                <c:pt idx="5">
                  <c:v>4.0999999999999996</c:v>
                </c:pt>
                <c:pt idx="6">
                  <c:v>3.6</c:v>
                </c:pt>
                <c:pt idx="7">
                  <c:v>2.2000000000000002</c:v>
                </c:pt>
                <c:pt idx="8">
                  <c:v>0</c:v>
                </c:pt>
                <c:pt idx="9">
                  <c:v>-2.9</c:v>
                </c:pt>
                <c:pt idx="10">
                  <c:v>-6.7</c:v>
                </c:pt>
                <c:pt idx="11">
                  <c:v>-11.4</c:v>
                </c:pt>
                <c:pt idx="12">
                  <c:v>-16.899999999999999</c:v>
                </c:pt>
                <c:pt idx="13">
                  <c:v>-23.2</c:v>
                </c:pt>
                <c:pt idx="14">
                  <c:v>-30.7</c:v>
                </c:pt>
                <c:pt idx="15">
                  <c:v>-38.9</c:v>
                </c:pt>
                <c:pt idx="16">
                  <c:v>-48</c:v>
                </c:pt>
                <c:pt idx="17">
                  <c:v>-58.5</c:v>
                </c:pt>
                <c:pt idx="18">
                  <c:v>-69.599999999999994</c:v>
                </c:pt>
                <c:pt idx="19">
                  <c:v>-81.8</c:v>
                </c:pt>
                <c:pt idx="20">
                  <c:v>-95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C9-4347-8C32-E97FB503E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-1.7500002858333894</c:v>
                </c:pt>
                <c:pt idx="2">
                  <c:v>2.5000002083333537</c:v>
                </c:pt>
                <c:pt idx="3">
                  <c:v>7.2000022118408156</c:v>
                </c:pt>
                <c:pt idx="4">
                  <c:v>9.9400032736939075</c:v>
                </c:pt>
                <c:pt idx="5">
                  <c:v>12.500004166668335</c:v>
                </c:pt>
                <c:pt idx="6">
                  <c:v>14.700004705961808</c:v>
                </c:pt>
                <c:pt idx="7">
                  <c:v>10.800001049760123</c:v>
                </c:pt>
                <c:pt idx="8">
                  <c:v>12.500001041666769</c:v>
                </c:pt>
                <c:pt idx="9">
                  <c:v>0</c:v>
                </c:pt>
                <c:pt idx="10">
                  <c:v>-16.800001290240115</c:v>
                </c:pt>
                <c:pt idx="11">
                  <c:v>-30.000005625001268</c:v>
                </c:pt>
                <c:pt idx="12">
                  <c:v>-45.000015000006002</c:v>
                </c:pt>
                <c:pt idx="13">
                  <c:v>-65.000036616691418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70-43D0-A9AA-3F45FE58E044}"/>
            </c:ext>
          </c:extLst>
        </c:ser>
        <c:ser>
          <c:idx val="1"/>
          <c:order val="1"/>
          <c:tx>
            <c:strRef>
              <c:f>'Power-Shok SP'!$A$174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5945577756477376E-2"/>
                  <c:y val="-0.38304826480023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1.1000000000000001</c:v>
                </c:pt>
                <c:pt idx="2">
                  <c:v>5.4</c:v>
                </c:pt>
                <c:pt idx="3">
                  <c:v>8.8000000000000007</c:v>
                </c:pt>
                <c:pt idx="4">
                  <c:v>11.5</c:v>
                </c:pt>
                <c:pt idx="5">
                  <c:v>13.5</c:v>
                </c:pt>
                <c:pt idx="6">
                  <c:v>14.5</c:v>
                </c:pt>
                <c:pt idx="7">
                  <c:v>14.7</c:v>
                </c:pt>
                <c:pt idx="8">
                  <c:v>13.8</c:v>
                </c:pt>
                <c:pt idx="9">
                  <c:v>12</c:v>
                </c:pt>
                <c:pt idx="10">
                  <c:v>9.1999999999999993</c:v>
                </c:pt>
                <c:pt idx="11">
                  <c:v>5.2</c:v>
                </c:pt>
                <c:pt idx="12">
                  <c:v>0.1</c:v>
                </c:pt>
                <c:pt idx="13">
                  <c:v>-6.2</c:v>
                </c:pt>
                <c:pt idx="14">
                  <c:v>-14.1</c:v>
                </c:pt>
                <c:pt idx="15">
                  <c:v>-23.1</c:v>
                </c:pt>
                <c:pt idx="16">
                  <c:v>-33.5</c:v>
                </c:pt>
                <c:pt idx="17">
                  <c:v>-45.9</c:v>
                </c:pt>
                <c:pt idx="18">
                  <c:v>-59.5</c:v>
                </c:pt>
                <c:pt idx="19">
                  <c:v>-74.8</c:v>
                </c:pt>
                <c:pt idx="20">
                  <c:v>-91.9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70-43D0-A9AA-3F45FE58E044}"/>
            </c:ext>
          </c:extLst>
        </c:ser>
        <c:ser>
          <c:idx val="2"/>
          <c:order val="2"/>
          <c:tx>
            <c:strRef>
              <c:f>'Power-Shok SP'!$K$174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SP'!$N$176:$N$196</c:f>
              <c:numCache>
                <c:formatCode>0.00</c:formatCode>
                <c:ptCount val="21"/>
                <c:pt idx="0">
                  <c:v>-3.8</c:v>
                </c:pt>
                <c:pt idx="1">
                  <c:v>0.6</c:v>
                </c:pt>
                <c:pt idx="2">
                  <c:v>4.4000000000000004</c:v>
                </c:pt>
                <c:pt idx="3">
                  <c:v>7.3</c:v>
                </c:pt>
                <c:pt idx="4">
                  <c:v>9.6</c:v>
                </c:pt>
                <c:pt idx="5">
                  <c:v>11.2</c:v>
                </c:pt>
                <c:pt idx="6">
                  <c:v>12</c:v>
                </c:pt>
                <c:pt idx="7">
                  <c:v>12</c:v>
                </c:pt>
                <c:pt idx="8">
                  <c:v>11.3</c:v>
                </c:pt>
                <c:pt idx="9">
                  <c:v>9.6999999999999993</c:v>
                </c:pt>
                <c:pt idx="10">
                  <c:v>7.4</c:v>
                </c:pt>
                <c:pt idx="11">
                  <c:v>4.0999999999999996</c:v>
                </c:pt>
                <c:pt idx="12">
                  <c:v>0</c:v>
                </c:pt>
                <c:pt idx="13">
                  <c:v>-4.9000000000000004</c:v>
                </c:pt>
                <c:pt idx="14">
                  <c:v>-11</c:v>
                </c:pt>
                <c:pt idx="15">
                  <c:v>-17.8</c:v>
                </c:pt>
                <c:pt idx="16">
                  <c:v>-25.5</c:v>
                </c:pt>
                <c:pt idx="17">
                  <c:v>-34.5</c:v>
                </c:pt>
                <c:pt idx="18">
                  <c:v>-44.3</c:v>
                </c:pt>
                <c:pt idx="19">
                  <c:v>-55</c:v>
                </c:pt>
                <c:pt idx="20">
                  <c:v>-66.8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6E-43F7-BA86-AE40E1F39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4.594031556409451E-2"/>
                  <c:y val="-0.557507047730144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5.300001985027559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21.900015560693266</c:v>
                </c:pt>
                <c:pt idx="7">
                  <c:v>20.80000749909658</c:v>
                </c:pt>
                <c:pt idx="8">
                  <c:v>25.00000833333667</c:v>
                </c:pt>
                <c:pt idx="9">
                  <c:v>22.500004218750952</c:v>
                </c:pt>
                <c:pt idx="10">
                  <c:v>16.800001290240115</c:v>
                </c:pt>
                <c:pt idx="11">
                  <c:v>0</c:v>
                </c:pt>
                <c:pt idx="12">
                  <c:v>-18.000000960000062</c:v>
                </c:pt>
                <c:pt idx="13">
                  <c:v>-37.500007031251585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7F-4B73-8A03-A1503FADBFF0}"/>
            </c:ext>
          </c:extLst>
        </c:ser>
        <c:ser>
          <c:idx val="1"/>
          <c:order val="1"/>
          <c:tx>
            <c:strRef>
              <c:f>'Power-Shok SP'!$A$198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777726834022842"/>
                  <c:y val="-0.156625352386507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3.2</c:v>
                </c:pt>
                <c:pt idx="2">
                  <c:v>9.6999999999999993</c:v>
                </c:pt>
                <c:pt idx="3">
                  <c:v>15.2</c:v>
                </c:pt>
                <c:pt idx="4">
                  <c:v>19.899999999999999</c:v>
                </c:pt>
                <c:pt idx="5">
                  <c:v>24</c:v>
                </c:pt>
                <c:pt idx="6">
                  <c:v>27.2</c:v>
                </c:pt>
                <c:pt idx="7">
                  <c:v>29.4</c:v>
                </c:pt>
                <c:pt idx="8">
                  <c:v>30.7</c:v>
                </c:pt>
                <c:pt idx="9">
                  <c:v>31</c:v>
                </c:pt>
                <c:pt idx="10">
                  <c:v>30.3</c:v>
                </c:pt>
                <c:pt idx="11">
                  <c:v>28.4</c:v>
                </c:pt>
                <c:pt idx="12">
                  <c:v>25.4</c:v>
                </c:pt>
                <c:pt idx="13">
                  <c:v>21.2</c:v>
                </c:pt>
                <c:pt idx="14">
                  <c:v>15.4</c:v>
                </c:pt>
                <c:pt idx="15">
                  <c:v>8.5</c:v>
                </c:pt>
                <c:pt idx="16">
                  <c:v>0.2</c:v>
                </c:pt>
                <c:pt idx="17">
                  <c:v>-10</c:v>
                </c:pt>
                <c:pt idx="18">
                  <c:v>-21.6</c:v>
                </c:pt>
                <c:pt idx="19">
                  <c:v>-34.799999999999997</c:v>
                </c:pt>
                <c:pt idx="20">
                  <c:v>-49.8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7F-4B73-8A03-A1503FADBFF0}"/>
            </c:ext>
          </c:extLst>
        </c:ser>
        <c:ser>
          <c:idx val="2"/>
          <c:order val="2"/>
          <c:tx>
            <c:strRef>
              <c:f>'Power-Shok SP'!$K$198</c:f>
              <c:strCache>
                <c:ptCount val="1"/>
                <c:pt idx="0">
                  <c:v>400m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SP'!$N$200:$N$220</c:f>
              <c:numCache>
                <c:formatCode>0.00</c:formatCode>
                <c:ptCount val="21"/>
                <c:pt idx="0">
                  <c:v>-3.8</c:v>
                </c:pt>
                <c:pt idx="1">
                  <c:v>2.2000000000000002</c:v>
                </c:pt>
                <c:pt idx="2">
                  <c:v>7.6</c:v>
                </c:pt>
                <c:pt idx="3">
                  <c:v>12.1</c:v>
                </c:pt>
                <c:pt idx="4">
                  <c:v>16</c:v>
                </c:pt>
                <c:pt idx="5">
                  <c:v>19.2</c:v>
                </c:pt>
                <c:pt idx="6">
                  <c:v>21.6</c:v>
                </c:pt>
                <c:pt idx="7">
                  <c:v>23.3</c:v>
                </c:pt>
                <c:pt idx="8">
                  <c:v>24.1</c:v>
                </c:pt>
                <c:pt idx="9">
                  <c:v>24.2</c:v>
                </c:pt>
                <c:pt idx="10">
                  <c:v>23.4</c:v>
                </c:pt>
                <c:pt idx="11">
                  <c:v>21.7</c:v>
                </c:pt>
                <c:pt idx="12">
                  <c:v>19.3</c:v>
                </c:pt>
                <c:pt idx="13">
                  <c:v>15.9</c:v>
                </c:pt>
                <c:pt idx="14">
                  <c:v>11.5</c:v>
                </c:pt>
                <c:pt idx="15">
                  <c:v>6.3</c:v>
                </c:pt>
                <c:pt idx="16">
                  <c:v>0.1</c:v>
                </c:pt>
                <c:pt idx="17">
                  <c:v>-7.3</c:v>
                </c:pt>
                <c:pt idx="18">
                  <c:v>-15.4</c:v>
                </c:pt>
                <c:pt idx="19">
                  <c:v>-24.6</c:v>
                </c:pt>
                <c:pt idx="20">
                  <c:v>-34.799999999999997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FC-43CE-A659-15517EDDC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987491516704265"/>
                  <c:y val="-0.290937834159618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1.8750003515625793</c:v>
                </c:pt>
                <c:pt idx="2">
                  <c:v>9.7000121689916519</c:v>
                </c:pt>
                <c:pt idx="3">
                  <c:v>16.500026620051539</c:v>
                </c:pt>
                <c:pt idx="4">
                  <c:v>25.020052208564092</c:v>
                </c:pt>
                <c:pt idx="5">
                  <c:v>28.750050695940605</c:v>
                </c:pt>
                <c:pt idx="6">
                  <c:v>30.000040000063997</c:v>
                </c:pt>
                <c:pt idx="7">
                  <c:v>40.000053333418663</c:v>
                </c:pt>
                <c:pt idx="8">
                  <c:v>42.500040941713998</c:v>
                </c:pt>
                <c:pt idx="9">
                  <c:v>39.000021970014849</c:v>
                </c:pt>
                <c:pt idx="10">
                  <c:v>35.000011666671341</c:v>
                </c:pt>
                <c:pt idx="11">
                  <c:v>30.000005625001268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42-46B8-8175-822AAE95CE77}"/>
            </c:ext>
          </c:extLst>
        </c:ser>
        <c:ser>
          <c:idx val="1"/>
          <c:order val="1"/>
          <c:tx>
            <c:strRef>
              <c:f>'Power-Shok SP'!$A$222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7461566639557148E-2"/>
                  <c:y val="-0.5187134247108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5.7</c:v>
                </c:pt>
                <c:pt idx="2">
                  <c:v>14.7</c:v>
                </c:pt>
                <c:pt idx="3">
                  <c:v>22.7</c:v>
                </c:pt>
                <c:pt idx="4">
                  <c:v>30</c:v>
                </c:pt>
                <c:pt idx="5">
                  <c:v>36.700000000000003</c:v>
                </c:pt>
                <c:pt idx="6">
                  <c:v>42.3</c:v>
                </c:pt>
                <c:pt idx="7">
                  <c:v>47</c:v>
                </c:pt>
                <c:pt idx="8">
                  <c:v>50.9</c:v>
                </c:pt>
                <c:pt idx="9">
                  <c:v>53.7</c:v>
                </c:pt>
                <c:pt idx="10">
                  <c:v>55.4</c:v>
                </c:pt>
                <c:pt idx="11">
                  <c:v>56.1</c:v>
                </c:pt>
                <c:pt idx="12">
                  <c:v>55.6</c:v>
                </c:pt>
                <c:pt idx="13">
                  <c:v>53.8</c:v>
                </c:pt>
                <c:pt idx="14">
                  <c:v>50.7</c:v>
                </c:pt>
                <c:pt idx="15">
                  <c:v>46.3</c:v>
                </c:pt>
                <c:pt idx="16">
                  <c:v>40.4</c:v>
                </c:pt>
                <c:pt idx="17">
                  <c:v>32.799999999999997</c:v>
                </c:pt>
                <c:pt idx="18">
                  <c:v>23.7</c:v>
                </c:pt>
                <c:pt idx="19">
                  <c:v>13</c:v>
                </c:pt>
                <c:pt idx="20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42-46B8-8175-822AAE95CE77}"/>
            </c:ext>
          </c:extLst>
        </c:ser>
        <c:ser>
          <c:idx val="2"/>
          <c:order val="2"/>
          <c:tx>
            <c:strRef>
              <c:f>'Power-Shok SP'!$K$222</c:f>
              <c:strCache>
                <c:ptCount val="1"/>
                <c:pt idx="0">
                  <c:v>500m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SP'!$N$224:$N$244</c:f>
              <c:numCache>
                <c:formatCode>0.00</c:formatCode>
                <c:ptCount val="21"/>
                <c:pt idx="0">
                  <c:v>-3.8</c:v>
                </c:pt>
                <c:pt idx="1">
                  <c:v>3.9</c:v>
                </c:pt>
                <c:pt idx="2">
                  <c:v>11.1</c:v>
                </c:pt>
                <c:pt idx="3">
                  <c:v>17.399999999999999</c:v>
                </c:pt>
                <c:pt idx="4">
                  <c:v>23</c:v>
                </c:pt>
                <c:pt idx="5">
                  <c:v>28</c:v>
                </c:pt>
                <c:pt idx="6">
                  <c:v>32.1</c:v>
                </c:pt>
                <c:pt idx="7">
                  <c:v>35.5</c:v>
                </c:pt>
                <c:pt idx="8">
                  <c:v>38.200000000000003</c:v>
                </c:pt>
                <c:pt idx="9">
                  <c:v>40</c:v>
                </c:pt>
                <c:pt idx="10">
                  <c:v>40.9</c:v>
                </c:pt>
                <c:pt idx="11">
                  <c:v>41</c:v>
                </c:pt>
                <c:pt idx="12">
                  <c:v>40.299999999999997</c:v>
                </c:pt>
                <c:pt idx="13">
                  <c:v>38.700000000000003</c:v>
                </c:pt>
                <c:pt idx="14">
                  <c:v>36</c:v>
                </c:pt>
                <c:pt idx="15">
                  <c:v>32.6</c:v>
                </c:pt>
                <c:pt idx="16">
                  <c:v>28.1</c:v>
                </c:pt>
                <c:pt idx="17">
                  <c:v>22.5</c:v>
                </c:pt>
                <c:pt idx="18">
                  <c:v>16.100000000000001</c:v>
                </c:pt>
                <c:pt idx="19">
                  <c:v>8.6999999999999993</c:v>
                </c:pt>
                <c:pt idx="20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F4-40D2-903B-41945D6F7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6593324019981374E-2"/>
                  <c:y val="-8.72548693366212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(2)'!$B$22:$B$35</c:f>
              <c:numCache>
                <c:formatCode>0.00</c:formatCode>
                <c:ptCount val="14"/>
                <c:pt idx="0">
                  <c:v>4480.1000000000004</c:v>
                </c:pt>
                <c:pt idx="1">
                  <c:v>4311.5</c:v>
                </c:pt>
                <c:pt idx="2">
                  <c:v>4132.1000000000004</c:v>
                </c:pt>
                <c:pt idx="3">
                  <c:v>3930.6</c:v>
                </c:pt>
                <c:pt idx="4">
                  <c:v>3772</c:v>
                </c:pt>
                <c:pt idx="5">
                  <c:v>3592.8</c:v>
                </c:pt>
                <c:pt idx="6">
                  <c:v>3423.9</c:v>
                </c:pt>
                <c:pt idx="7">
                  <c:v>3115.5</c:v>
                </c:pt>
                <c:pt idx="8">
                  <c:v>2821.9</c:v>
                </c:pt>
                <c:pt idx="9">
                  <c:v>2562.4</c:v>
                </c:pt>
                <c:pt idx="10">
                  <c:v>2299.5</c:v>
                </c:pt>
                <c:pt idx="11">
                  <c:v>2068.5</c:v>
                </c:pt>
                <c:pt idx="12">
                  <c:v>1867.9</c:v>
                </c:pt>
                <c:pt idx="13">
                  <c:v>1671.5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46-43FA-B5C3-7D3B391CECB5}"/>
            </c:ext>
          </c:extLst>
        </c:ser>
        <c:ser>
          <c:idx val="1"/>
          <c:order val="1"/>
          <c:tx>
            <c:strRef>
              <c:f>'Power-Shok SP (2)'!$A$78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1216979933959868E-2"/>
                  <c:y val="9.85638694629168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(2)'!$C$80:$C$100</c:f>
              <c:numCache>
                <c:formatCode>0.00</c:formatCode>
                <c:ptCount val="21"/>
                <c:pt idx="0">
                  <c:v>4482</c:v>
                </c:pt>
                <c:pt idx="1">
                  <c:v>4282</c:v>
                </c:pt>
                <c:pt idx="2">
                  <c:v>4092</c:v>
                </c:pt>
                <c:pt idx="3">
                  <c:v>3909</c:v>
                </c:pt>
                <c:pt idx="4">
                  <c:v>3733</c:v>
                </c:pt>
                <c:pt idx="5">
                  <c:v>3564</c:v>
                </c:pt>
                <c:pt idx="6">
                  <c:v>3401</c:v>
                </c:pt>
                <c:pt idx="7">
                  <c:v>3244</c:v>
                </c:pt>
                <c:pt idx="8">
                  <c:v>3093</c:v>
                </c:pt>
                <c:pt idx="9">
                  <c:v>2947</c:v>
                </c:pt>
                <c:pt idx="10">
                  <c:v>2807</c:v>
                </c:pt>
                <c:pt idx="11">
                  <c:v>2672</c:v>
                </c:pt>
                <c:pt idx="12">
                  <c:v>2543</c:v>
                </c:pt>
                <c:pt idx="13">
                  <c:v>2418</c:v>
                </c:pt>
                <c:pt idx="14">
                  <c:v>2298</c:v>
                </c:pt>
                <c:pt idx="15">
                  <c:v>2182</c:v>
                </c:pt>
                <c:pt idx="16">
                  <c:v>2072</c:v>
                </c:pt>
                <c:pt idx="17">
                  <c:v>1965</c:v>
                </c:pt>
                <c:pt idx="18">
                  <c:v>1863</c:v>
                </c:pt>
                <c:pt idx="19">
                  <c:v>1765</c:v>
                </c:pt>
                <c:pt idx="20">
                  <c:v>1676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946-43FA-B5C3-7D3B391CE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0</c:v>
                </c:pt>
                <c:pt idx="3">
                  <c:v>2.9568751531987223</c:v>
                </c:pt>
                <c:pt idx="4">
                  <c:v>4.7500003572396157</c:v>
                </c:pt>
                <c:pt idx="5">
                  <c:v>5.93750044654952</c:v>
                </c:pt>
                <c:pt idx="6">
                  <c:v>5.9137503063974446</c:v>
                </c:pt>
                <c:pt idx="7">
                  <c:v>0</c:v>
                </c:pt>
                <c:pt idx="8">
                  <c:v>-9.8562505106624059</c:v>
                </c:pt>
                <c:pt idx="9">
                  <c:v>-23.797504991491682</c:v>
                </c:pt>
                <c:pt idx="10">
                  <c:v>-41.562519536550738</c:v>
                </c:pt>
                <c:pt idx="11">
                  <c:v>-66.500061266656274</c:v>
                </c:pt>
                <c:pt idx="12">
                  <c:v>-106.87520094771901</c:v>
                </c:pt>
                <c:pt idx="13">
                  <c:v>-138.46285394564651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73-491D-8290-2C57C96507E1}"/>
            </c:ext>
          </c:extLst>
        </c:ser>
        <c:ser>
          <c:idx val="1"/>
          <c:order val="1"/>
          <c:tx>
            <c:strRef>
              <c:f>'Power-Shok SP (2)'!$K$21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-2.0000001066666733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-1.8000000086400001</c:v>
                </c:pt>
                <c:pt idx="7">
                  <c:v>-6.6400002439624641</c:v>
                </c:pt>
                <c:pt idx="8">
                  <c:v>-15.000001800000257</c:v>
                </c:pt>
                <c:pt idx="9">
                  <c:v>-30.000010000004</c:v>
                </c:pt>
                <c:pt idx="10">
                  <c:v>-46.620027571460533</c:v>
                </c:pt>
                <c:pt idx="11">
                  <c:v>-72.000077760100766</c:v>
                </c:pt>
                <c:pt idx="12">
                  <c:v>-104.94019022948933</c:v>
                </c:pt>
                <c:pt idx="13">
                  <c:v>-148.00043224044819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73-491D-8290-2C57C96507E1}"/>
            </c:ext>
          </c:extLst>
        </c:ser>
        <c:ser>
          <c:idx val="2"/>
          <c:order val="2"/>
          <c:tx>
            <c:strRef>
              <c:f>'Power-Shok SP (2)'!$L$21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-1.763750073155981</c:v>
                </c:pt>
                <c:pt idx="3">
                  <c:v>0.99450000582868481</c:v>
                </c:pt>
                <c:pt idx="4">
                  <c:v>1.3260000077715799</c:v>
                </c:pt>
                <c:pt idx="5">
                  <c:v>1.6575000097144748</c:v>
                </c:pt>
                <c:pt idx="6">
                  <c:v>0</c:v>
                </c:pt>
                <c:pt idx="7">
                  <c:v>-5.3125001249440551</c:v>
                </c:pt>
                <c:pt idx="8">
                  <c:v>-13.281251249440654</c:v>
                </c:pt>
                <c:pt idx="9">
                  <c:v>-23.906255060235353</c:v>
                </c:pt>
                <c:pt idx="10">
                  <c:v>-46.484402331530461</c:v>
                </c:pt>
                <c:pt idx="11">
                  <c:v>-68.000065506742402</c:v>
                </c:pt>
                <c:pt idx="12">
                  <c:v>-107.57832993994833</c:v>
                </c:pt>
                <c:pt idx="13">
                  <c:v>-131.11280051920161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73-491D-8290-2C57C96507E1}"/>
            </c:ext>
          </c:extLst>
        </c:ser>
        <c:ser>
          <c:idx val="3"/>
          <c:order val="3"/>
          <c:tx>
            <c:strRef>
              <c:f>'Power-Shok SP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-3.0000014400008288</c:v>
                </c:pt>
                <c:pt idx="2">
                  <c:v>0</c:v>
                </c:pt>
                <c:pt idx="3">
                  <c:v>2.4900000914859239</c:v>
                </c:pt>
                <c:pt idx="4">
                  <c:v>3.3200001219812321</c:v>
                </c:pt>
                <c:pt idx="5">
                  <c:v>4.1500001524765402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-35.000011666671341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-116.60021136609924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73-491D-8290-2C57C96507E1}"/>
            </c:ext>
          </c:extLst>
        </c:ser>
        <c:ser>
          <c:idx val="4"/>
          <c:order val="4"/>
          <c:tx>
            <c:strRef>
              <c:f>'Power-Shok SP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-1.2500001041666768</c:v>
                </c:pt>
                <c:pt idx="2">
                  <c:v>3.3400004967961423</c:v>
                </c:pt>
                <c:pt idx="3">
                  <c:v>7.500002500001</c:v>
                </c:pt>
                <c:pt idx="4">
                  <c:v>10.000003333334668</c:v>
                </c:pt>
                <c:pt idx="5">
                  <c:v>12.500004166668335</c:v>
                </c:pt>
                <c:pt idx="6">
                  <c:v>15.000005000002</c:v>
                </c:pt>
                <c:pt idx="7">
                  <c:v>13.360001987184569</c:v>
                </c:pt>
                <c:pt idx="8">
                  <c:v>10.000000533333367</c:v>
                </c:pt>
                <c:pt idx="9">
                  <c:v>0</c:v>
                </c:pt>
                <c:pt idx="10">
                  <c:v>-11.620000426934313</c:v>
                </c:pt>
                <c:pt idx="11">
                  <c:v>-30.000005625001268</c:v>
                </c:pt>
                <c:pt idx="12">
                  <c:v>-59.940035449020691</c:v>
                </c:pt>
                <c:pt idx="13">
                  <c:v>-90.000097200125964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73-491D-8290-2C57C96507E1}"/>
            </c:ext>
          </c:extLst>
        </c:ser>
        <c:ser>
          <c:idx val="5"/>
          <c:order val="5"/>
          <c:tx>
            <c:strRef>
              <c:f>'Power-Shok SP (2)'!$O$21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1.2500001041666768</c:v>
                </c:pt>
                <c:pt idx="2">
                  <c:v>7.5000056250050626</c:v>
                </c:pt>
                <c:pt idx="3">
                  <c:v>13.500014580018894</c:v>
                </c:pt>
                <c:pt idx="4">
                  <c:v>18.000019440025191</c:v>
                </c:pt>
                <c:pt idx="5">
                  <c:v>22.500024300031491</c:v>
                </c:pt>
                <c:pt idx="6">
                  <c:v>24.000020480020975</c:v>
                </c:pt>
                <c:pt idx="7">
                  <c:v>30.000022500020251</c:v>
                </c:pt>
                <c:pt idx="8">
                  <c:v>31.250016276051838</c:v>
                </c:pt>
                <c:pt idx="9">
                  <c:v>24.000005120001312</c:v>
                </c:pt>
                <c:pt idx="10">
                  <c:v>17.500001458333479</c:v>
                </c:pt>
                <c:pt idx="11">
                  <c:v>0</c:v>
                </c:pt>
                <c:pt idx="12">
                  <c:v>-18.000000960000062</c:v>
                </c:pt>
                <c:pt idx="13">
                  <c:v>-50.000016666673339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73-491D-8290-2C57C96507E1}"/>
            </c:ext>
          </c:extLst>
        </c:ser>
        <c:ser>
          <c:idx val="6"/>
          <c:order val="6"/>
          <c:tx>
            <c:strRef>
              <c:f>'Power-Shok SP (2)'!$P$21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3.3300019693900382</c:v>
                </c:pt>
                <c:pt idx="2">
                  <c:v>12.500026041731772</c:v>
                </c:pt>
                <c:pt idx="3">
                  <c:v>20.625051992344773</c:v>
                </c:pt>
                <c:pt idx="4">
                  <c:v>29.600086448089634</c:v>
                </c:pt>
                <c:pt idx="5">
                  <c:v>37.000108060112048</c:v>
                </c:pt>
                <c:pt idx="6">
                  <c:v>41.250103984689545</c:v>
                </c:pt>
                <c:pt idx="7">
                  <c:v>50.000104166927088</c:v>
                </c:pt>
                <c:pt idx="8">
                  <c:v>56.250094922067206</c:v>
                </c:pt>
                <c:pt idx="9">
                  <c:v>54.000058320075574</c:v>
                </c:pt>
                <c:pt idx="10">
                  <c:v>49.000032013358435</c:v>
                </c:pt>
                <c:pt idx="11">
                  <c:v>40.000013333338671</c:v>
                </c:pt>
                <c:pt idx="12">
                  <c:v>30.060004471165279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73-491D-8290-2C57C9650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 (2)'!$C$23:$C$35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0.1</c:v>
                </c:pt>
                <c:pt idx="4">
                  <c:v>0.1</c:v>
                </c:pt>
                <c:pt idx="5">
                  <c:v>8.3000000000000004E-2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-0.16700000000000001</c:v>
                </c:pt>
                <c:pt idx="9">
                  <c:v>-0.25</c:v>
                </c:pt>
                <c:pt idx="10">
                  <c:v>-0.35</c:v>
                </c:pt>
                <c:pt idx="11">
                  <c:v>-0.5</c:v>
                </c:pt>
                <c:pt idx="12">
                  <c:v>-0.58299999999999996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B6-4A88-8C6F-08BB692E3193}"/>
            </c:ext>
          </c:extLst>
        </c:ser>
        <c:ser>
          <c:idx val="1"/>
          <c:order val="1"/>
          <c:tx>
            <c:strRef>
              <c:f>'Power-Shok SP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 (2)'!$D$23:$D$35</c:f>
              <c:numCache>
                <c:formatCode>0.000</c:formatCode>
                <c:ptCount val="13"/>
                <c:pt idx="0">
                  <c:v>-0.375</c:v>
                </c:pt>
                <c:pt idx="1">
                  <c:v>-0.1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-0.03</c:v>
                </c:pt>
                <c:pt idx="6">
                  <c:v>-8.3000000000000004E-2</c:v>
                </c:pt>
                <c:pt idx="7">
                  <c:v>-0.15</c:v>
                </c:pt>
                <c:pt idx="8">
                  <c:v>-0.25</c:v>
                </c:pt>
                <c:pt idx="9">
                  <c:v>-0.33300000000000002</c:v>
                </c:pt>
                <c:pt idx="10">
                  <c:v>-0.45</c:v>
                </c:pt>
                <c:pt idx="11">
                  <c:v>-0.58299999999999996</c:v>
                </c:pt>
                <c:pt idx="12">
                  <c:v>-0.74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B6-4A88-8C6F-08BB692E3193}"/>
            </c:ext>
          </c:extLst>
        </c:ser>
        <c:ser>
          <c:idx val="2"/>
          <c:order val="2"/>
          <c:tx>
            <c:strRef>
              <c:f>'Power-Shok SP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 (2)'!$E$23:$E$35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-8.3000000000000004E-2</c:v>
                </c:pt>
                <c:pt idx="2">
                  <c:v>3.1199999999999999E-2</c:v>
                </c:pt>
                <c:pt idx="3">
                  <c:v>3.1199999999999999E-2</c:v>
                </c:pt>
                <c:pt idx="4">
                  <c:v>3.1199999999999999E-2</c:v>
                </c:pt>
                <c:pt idx="5">
                  <c:v>0</c:v>
                </c:pt>
                <c:pt idx="6">
                  <c:v>-6.25E-2</c:v>
                </c:pt>
                <c:pt idx="7">
                  <c:v>-0.125</c:v>
                </c:pt>
                <c:pt idx="8">
                  <c:v>-0.1875</c:v>
                </c:pt>
                <c:pt idx="9">
                  <c:v>-0.3125</c:v>
                </c:pt>
                <c:pt idx="10">
                  <c:v>-0.4</c:v>
                </c:pt>
                <c:pt idx="11">
                  <c:v>-0.5625</c:v>
                </c:pt>
                <c:pt idx="12">
                  <c:v>-0.61699999999999999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7B6-4A88-8C6F-08BB692E3193}"/>
            </c:ext>
          </c:extLst>
        </c:ser>
        <c:ser>
          <c:idx val="3"/>
          <c:order val="3"/>
          <c:tx>
            <c:strRef>
              <c:f>'Power-Shok SP (2)'!$F$21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 (2)'!$F$23:$F$35</c:f>
              <c:numCache>
                <c:formatCode>0.000</c:formatCode>
                <c:ptCount val="13"/>
                <c:pt idx="0">
                  <c:v>-0.3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8.3000000000000004E-2</c:v>
                </c:pt>
                <c:pt idx="5">
                  <c:v>8.3000000000000004E-2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-0.16700000000000001</c:v>
                </c:pt>
                <c:pt idx="9">
                  <c:v>-0.25</c:v>
                </c:pt>
                <c:pt idx="10">
                  <c:v>-0.375</c:v>
                </c:pt>
                <c:pt idx="11">
                  <c:v>-0.5</c:v>
                </c:pt>
                <c:pt idx="12">
                  <c:v>-0.58299999999999996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7B6-4A88-8C6F-08BB692E3193}"/>
            </c:ext>
          </c:extLst>
        </c:ser>
        <c:ser>
          <c:idx val="4"/>
          <c:order val="4"/>
          <c:tx>
            <c:strRef>
              <c:f>'Power-Shok SP (2)'!$G$21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 (2)'!$G$23:$G$35</c:f>
              <c:numCache>
                <c:formatCode>0.000</c:formatCode>
                <c:ptCount val="13"/>
                <c:pt idx="0">
                  <c:v>-0.125</c:v>
                </c:pt>
                <c:pt idx="1">
                  <c:v>0.16700000000000001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0.16700000000000001</c:v>
                </c:pt>
                <c:pt idx="7">
                  <c:v>0.1</c:v>
                </c:pt>
                <c:pt idx="8">
                  <c:v>0</c:v>
                </c:pt>
                <c:pt idx="9">
                  <c:v>-8.3000000000000004E-2</c:v>
                </c:pt>
                <c:pt idx="10">
                  <c:v>-0.1875</c:v>
                </c:pt>
                <c:pt idx="11">
                  <c:v>-0.33300000000000002</c:v>
                </c:pt>
                <c:pt idx="12">
                  <c:v>-0.45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7B6-4A88-8C6F-08BB692E3193}"/>
            </c:ext>
          </c:extLst>
        </c:ser>
        <c:ser>
          <c:idx val="5"/>
          <c:order val="5"/>
          <c:tx>
            <c:strRef>
              <c:f>'Power-Shok SP (2)'!$H$21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 (2)'!$H$23:$H$35</c:f>
              <c:numCache>
                <c:formatCode>0.000</c:formatCode>
                <c:ptCount val="13"/>
                <c:pt idx="0">
                  <c:v>0.125</c:v>
                </c:pt>
                <c:pt idx="1">
                  <c:v>0.375</c:v>
                </c:pt>
                <c:pt idx="2">
                  <c:v>0.45</c:v>
                </c:pt>
                <c:pt idx="3">
                  <c:v>0.45</c:v>
                </c:pt>
                <c:pt idx="4">
                  <c:v>0.45</c:v>
                </c:pt>
                <c:pt idx="5">
                  <c:v>0.4</c:v>
                </c:pt>
                <c:pt idx="6">
                  <c:v>0.375</c:v>
                </c:pt>
                <c:pt idx="7">
                  <c:v>0.3125</c:v>
                </c:pt>
                <c:pt idx="8">
                  <c:v>0.2</c:v>
                </c:pt>
                <c:pt idx="9">
                  <c:v>0.125</c:v>
                </c:pt>
                <c:pt idx="10">
                  <c:v>0</c:v>
                </c:pt>
                <c:pt idx="11">
                  <c:v>-0.1</c:v>
                </c:pt>
                <c:pt idx="12">
                  <c:v>-0.25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7B6-4A88-8C6F-08BB692E3193}"/>
            </c:ext>
          </c:extLst>
        </c:ser>
        <c:ser>
          <c:idx val="6"/>
          <c:order val="6"/>
          <c:tx>
            <c:strRef>
              <c:f>'Power-Shok SP (2)'!$I$21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 (2)'!$I$23:$I$35</c:f>
              <c:numCache>
                <c:formatCode>0.000</c:formatCode>
                <c:ptCount val="13"/>
                <c:pt idx="0">
                  <c:v>0.33300000000000002</c:v>
                </c:pt>
                <c:pt idx="1">
                  <c:v>0.625</c:v>
                </c:pt>
                <c:pt idx="2">
                  <c:v>0.6875</c:v>
                </c:pt>
                <c:pt idx="3">
                  <c:v>0.74</c:v>
                </c:pt>
                <c:pt idx="4">
                  <c:v>0.74</c:v>
                </c:pt>
                <c:pt idx="5">
                  <c:v>0.6875</c:v>
                </c:pt>
                <c:pt idx="6">
                  <c:v>0.625</c:v>
                </c:pt>
                <c:pt idx="7">
                  <c:v>0.5625</c:v>
                </c:pt>
                <c:pt idx="8">
                  <c:v>0.45</c:v>
                </c:pt>
                <c:pt idx="9">
                  <c:v>0.35</c:v>
                </c:pt>
                <c:pt idx="10">
                  <c:v>0.25</c:v>
                </c:pt>
                <c:pt idx="11">
                  <c:v>0.16700000000000001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7B6-4A88-8C6F-08BB692E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35027092957666"/>
                  <c:y val="-0.1694250627430695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aseline="0">
                        <a:solidFill>
                          <a:schemeClr val="accent1"/>
                        </a:solidFill>
                      </a:rPr>
                      <a:t>y = -3E-07x</a:t>
                    </a:r>
                    <a:r>
                      <a:rPr lang="en-US" baseline="30000">
                        <a:solidFill>
                          <a:schemeClr val="accent1"/>
                        </a:solidFill>
                      </a:rPr>
                      <a:t>3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- 0.0007x</a:t>
                    </a:r>
                    <a:r>
                      <a:rPr lang="en-US" baseline="30000">
                        <a:solidFill>
                          <a:schemeClr val="accent1"/>
                        </a:solidFill>
                      </a:rPr>
                      <a:t>2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+ 0.2141x - 6.711</a:t>
                    </a:r>
                    <a:br>
                      <a:rPr lang="en-US" baseline="0">
                        <a:solidFill>
                          <a:schemeClr val="accent1"/>
                        </a:solidFill>
                      </a:rPr>
                    </a:br>
                    <a:r>
                      <a:rPr lang="en-US" baseline="0">
                        <a:solidFill>
                          <a:schemeClr val="accent1"/>
                        </a:solidFill>
                      </a:rPr>
                      <a:t>R² = 0.9953</a:t>
                    </a:r>
                    <a:endParaRPr lang="en-US">
                      <a:solidFill>
                        <a:schemeClr val="accent1"/>
                      </a:solidFill>
                    </a:endParaRP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0</c:v>
                </c:pt>
                <c:pt idx="3">
                  <c:v>2.9568751531987223</c:v>
                </c:pt>
                <c:pt idx="4">
                  <c:v>4.7500003572396157</c:v>
                </c:pt>
                <c:pt idx="5">
                  <c:v>5.93750044654952</c:v>
                </c:pt>
                <c:pt idx="6">
                  <c:v>5.9137503063974446</c:v>
                </c:pt>
                <c:pt idx="7">
                  <c:v>0</c:v>
                </c:pt>
                <c:pt idx="8">
                  <c:v>-9.8562505106624059</c:v>
                </c:pt>
                <c:pt idx="9">
                  <c:v>-23.797504991491682</c:v>
                </c:pt>
                <c:pt idx="10">
                  <c:v>-41.562519536550738</c:v>
                </c:pt>
                <c:pt idx="11">
                  <c:v>-66.500061266656274</c:v>
                </c:pt>
                <c:pt idx="12">
                  <c:v>-106.87520094771901</c:v>
                </c:pt>
                <c:pt idx="13">
                  <c:v>-138.46285394564651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59-415C-AF20-ECEBE0868000}"/>
            </c:ext>
          </c:extLst>
        </c:ser>
        <c:ser>
          <c:idx val="1"/>
          <c:order val="1"/>
          <c:tx>
            <c:strRef>
              <c:f>'Power-Shok SP (2)'!$A$78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61044614662169"/>
                  <c:y val="0.1387918845910684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0.8</c:v>
                </c:pt>
                <c:pt idx="4">
                  <c:v>0.8</c:v>
                </c:pt>
                <c:pt idx="5">
                  <c:v>0.1</c:v>
                </c:pt>
                <c:pt idx="6">
                  <c:v>-1.6</c:v>
                </c:pt>
                <c:pt idx="7">
                  <c:v>-4.0999999999999996</c:v>
                </c:pt>
                <c:pt idx="8">
                  <c:v>-7.6</c:v>
                </c:pt>
                <c:pt idx="9">
                  <c:v>-12</c:v>
                </c:pt>
                <c:pt idx="10">
                  <c:v>-17.5</c:v>
                </c:pt>
                <c:pt idx="11">
                  <c:v>-24.3</c:v>
                </c:pt>
                <c:pt idx="12">
                  <c:v>-32</c:v>
                </c:pt>
                <c:pt idx="13">
                  <c:v>-41</c:v>
                </c:pt>
                <c:pt idx="14">
                  <c:v>-51.6</c:v>
                </c:pt>
                <c:pt idx="15">
                  <c:v>-63.2</c:v>
                </c:pt>
                <c:pt idx="16">
                  <c:v>-76.2</c:v>
                </c:pt>
                <c:pt idx="17">
                  <c:v>-91.4</c:v>
                </c:pt>
                <c:pt idx="18">
                  <c:v>-107.6</c:v>
                </c:pt>
                <c:pt idx="19">
                  <c:v>-125.6</c:v>
                </c:pt>
                <c:pt idx="20">
                  <c:v>-145.30000000000001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59-415C-AF20-ECEBE0868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7520786198731653E-2"/>
                  <c:y val="-0.401429717118693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-2.0000001066666733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-1.8000000086400001</c:v>
                </c:pt>
                <c:pt idx="7">
                  <c:v>-6.6400002439624641</c:v>
                </c:pt>
                <c:pt idx="8">
                  <c:v>-15.000001800000257</c:v>
                </c:pt>
                <c:pt idx="9">
                  <c:v>-30.000010000004</c:v>
                </c:pt>
                <c:pt idx="10">
                  <c:v>-46.620027571460533</c:v>
                </c:pt>
                <c:pt idx="11">
                  <c:v>-72.000077760100766</c:v>
                </c:pt>
                <c:pt idx="12">
                  <c:v>-104.94019022948933</c:v>
                </c:pt>
                <c:pt idx="13">
                  <c:v>-148.00043224044819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92-4BA4-BEC1-14551D9C9E3C}"/>
            </c:ext>
          </c:extLst>
        </c:ser>
        <c:ser>
          <c:idx val="1"/>
          <c:order val="1"/>
          <c:tx>
            <c:strRef>
              <c:f>'Power-Shok SP (2)'!$A$102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197782418623982"/>
                  <c:y val="-0.149376883445124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-1.8</c:v>
                </c:pt>
                <c:pt idx="2">
                  <c:v>-0.4</c:v>
                </c:pt>
                <c:pt idx="3">
                  <c:v>0.2</c:v>
                </c:pt>
                <c:pt idx="4">
                  <c:v>0</c:v>
                </c:pt>
                <c:pt idx="5">
                  <c:v>-1</c:v>
                </c:pt>
                <c:pt idx="6">
                  <c:v>-2.8</c:v>
                </c:pt>
                <c:pt idx="7">
                  <c:v>-5.5</c:v>
                </c:pt>
                <c:pt idx="8">
                  <c:v>-9.3000000000000007</c:v>
                </c:pt>
                <c:pt idx="9">
                  <c:v>-13.9</c:v>
                </c:pt>
                <c:pt idx="10">
                  <c:v>-19.5</c:v>
                </c:pt>
                <c:pt idx="11">
                  <c:v>-26.6</c:v>
                </c:pt>
                <c:pt idx="12">
                  <c:v>-34.5</c:v>
                </c:pt>
                <c:pt idx="13">
                  <c:v>-43.6</c:v>
                </c:pt>
                <c:pt idx="14">
                  <c:v>-54.4</c:v>
                </c:pt>
                <c:pt idx="15">
                  <c:v>-66.3</c:v>
                </c:pt>
                <c:pt idx="16">
                  <c:v>-79.5</c:v>
                </c:pt>
                <c:pt idx="17">
                  <c:v>-94.9</c:v>
                </c:pt>
                <c:pt idx="18">
                  <c:v>-111.3</c:v>
                </c:pt>
                <c:pt idx="19">
                  <c:v>-129.5</c:v>
                </c:pt>
                <c:pt idx="20">
                  <c:v>-149.4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92-4BA4-BEC1-14551D9C9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589013573521854"/>
                  <c:y val="-5.276562651890735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-1.763750073155981</c:v>
                </c:pt>
                <c:pt idx="3">
                  <c:v>0.99450000582868481</c:v>
                </c:pt>
                <c:pt idx="4">
                  <c:v>1.3260000077715799</c:v>
                </c:pt>
                <c:pt idx="5">
                  <c:v>1.6575000097144748</c:v>
                </c:pt>
                <c:pt idx="6">
                  <c:v>0</c:v>
                </c:pt>
                <c:pt idx="7">
                  <c:v>-5.3125001249440551</c:v>
                </c:pt>
                <c:pt idx="8">
                  <c:v>-13.281251249440654</c:v>
                </c:pt>
                <c:pt idx="9">
                  <c:v>-23.906255060235353</c:v>
                </c:pt>
                <c:pt idx="10">
                  <c:v>-46.484402331530461</c:v>
                </c:pt>
                <c:pt idx="11">
                  <c:v>-68.000065506742402</c:v>
                </c:pt>
                <c:pt idx="12">
                  <c:v>-107.57832993994833</c:v>
                </c:pt>
                <c:pt idx="13">
                  <c:v>-131.11280051920161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28-4F52-A11E-4822729D22B9}"/>
            </c:ext>
          </c:extLst>
        </c:ser>
        <c:ser>
          <c:idx val="1"/>
          <c:order val="1"/>
          <c:tx>
            <c:strRef>
              <c:f>'Power-Shok SP (2)'!$A$126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567172822483984"/>
                  <c:y val="-0.249605570137066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-1.3</c:v>
                </c:pt>
                <c:pt idx="2">
                  <c:v>0.5</c:v>
                </c:pt>
                <c:pt idx="3">
                  <c:v>1.6</c:v>
                </c:pt>
                <c:pt idx="4">
                  <c:v>1.9</c:v>
                </c:pt>
                <c:pt idx="5">
                  <c:v>1.4</c:v>
                </c:pt>
                <c:pt idx="6">
                  <c:v>0</c:v>
                </c:pt>
                <c:pt idx="7">
                  <c:v>-2.2000000000000002</c:v>
                </c:pt>
                <c:pt idx="8">
                  <c:v>-5.5</c:v>
                </c:pt>
                <c:pt idx="9">
                  <c:v>-9.6999999999999993</c:v>
                </c:pt>
                <c:pt idx="10">
                  <c:v>-14.9</c:v>
                </c:pt>
                <c:pt idx="11">
                  <c:v>-21.4</c:v>
                </c:pt>
                <c:pt idx="12">
                  <c:v>-28.9</c:v>
                </c:pt>
                <c:pt idx="13">
                  <c:v>-37.6</c:v>
                </c:pt>
                <c:pt idx="14">
                  <c:v>-47.9</c:v>
                </c:pt>
                <c:pt idx="15">
                  <c:v>-59.3</c:v>
                </c:pt>
                <c:pt idx="16">
                  <c:v>-72.099999999999994</c:v>
                </c:pt>
                <c:pt idx="17">
                  <c:v>-86.9</c:v>
                </c:pt>
                <c:pt idx="18">
                  <c:v>-102.9</c:v>
                </c:pt>
                <c:pt idx="19">
                  <c:v>-120.6</c:v>
                </c:pt>
                <c:pt idx="20">
                  <c:v>-140.1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128-4F52-A11E-4822729D2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183711660496089E-2"/>
          <c:y val="0.11447530864197532"/>
          <c:w val="0.77541064786720559"/>
          <c:h val="0.804644940215806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'Power-Shok SP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1660294867365092E-2"/>
                  <c:y val="-0.3029610187615436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-3.0000014400008288</c:v>
                </c:pt>
                <c:pt idx="2">
                  <c:v>0</c:v>
                </c:pt>
                <c:pt idx="3">
                  <c:v>2.4900000914859239</c:v>
                </c:pt>
                <c:pt idx="4">
                  <c:v>3.3200001219812321</c:v>
                </c:pt>
                <c:pt idx="5">
                  <c:v>4.1500001524765402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-35.000011666671341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-116.60021136609924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59-410F-9511-545E68DA1CD0}"/>
            </c:ext>
          </c:extLst>
        </c:ser>
        <c:ser>
          <c:idx val="1"/>
          <c:order val="1"/>
          <c:tx>
            <c:strRef>
              <c:f>'Power-Shok SP (2)'!$A$150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904096782805279"/>
                  <c:y val="-0.1520946340040828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-0.6</c:v>
                </c:pt>
                <c:pt idx="2">
                  <c:v>1.9</c:v>
                </c:pt>
                <c:pt idx="3">
                  <c:v>3.7</c:v>
                </c:pt>
                <c:pt idx="4">
                  <c:v>4.5999999999999996</c:v>
                </c:pt>
                <c:pt idx="5">
                  <c:v>4.8</c:v>
                </c:pt>
                <c:pt idx="6">
                  <c:v>4.0999999999999996</c:v>
                </c:pt>
                <c:pt idx="7">
                  <c:v>2.6</c:v>
                </c:pt>
                <c:pt idx="8">
                  <c:v>0</c:v>
                </c:pt>
                <c:pt idx="9">
                  <c:v>-3.5</c:v>
                </c:pt>
                <c:pt idx="10">
                  <c:v>-8</c:v>
                </c:pt>
                <c:pt idx="11">
                  <c:v>-13.8</c:v>
                </c:pt>
                <c:pt idx="12">
                  <c:v>-20.6</c:v>
                </c:pt>
                <c:pt idx="13">
                  <c:v>-28.6</c:v>
                </c:pt>
                <c:pt idx="14">
                  <c:v>-38.299999999999997</c:v>
                </c:pt>
                <c:pt idx="15">
                  <c:v>-48.9</c:v>
                </c:pt>
                <c:pt idx="16">
                  <c:v>-61</c:v>
                </c:pt>
                <c:pt idx="17">
                  <c:v>-75.2</c:v>
                </c:pt>
                <c:pt idx="18">
                  <c:v>-90.5</c:v>
                </c:pt>
                <c:pt idx="19">
                  <c:v>-107.5</c:v>
                </c:pt>
                <c:pt idx="20">
                  <c:v>-126.3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59-410F-9511-545E68DA1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-1.2500001041666768</c:v>
                </c:pt>
                <c:pt idx="2">
                  <c:v>3.3400004967961423</c:v>
                </c:pt>
                <c:pt idx="3">
                  <c:v>7.500002500001</c:v>
                </c:pt>
                <c:pt idx="4">
                  <c:v>10.000003333334668</c:v>
                </c:pt>
                <c:pt idx="5">
                  <c:v>12.500004166668335</c:v>
                </c:pt>
                <c:pt idx="6">
                  <c:v>15.000005000002</c:v>
                </c:pt>
                <c:pt idx="7">
                  <c:v>13.360001987184569</c:v>
                </c:pt>
                <c:pt idx="8">
                  <c:v>10.000000533333367</c:v>
                </c:pt>
                <c:pt idx="9">
                  <c:v>0</c:v>
                </c:pt>
                <c:pt idx="10">
                  <c:v>-11.620000426934313</c:v>
                </c:pt>
                <c:pt idx="11">
                  <c:v>-30.000005625001268</c:v>
                </c:pt>
                <c:pt idx="12">
                  <c:v>-59.940035449020691</c:v>
                </c:pt>
                <c:pt idx="13">
                  <c:v>-90.000097200125964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37-474B-8A9A-91B6C8010CB8}"/>
            </c:ext>
          </c:extLst>
        </c:ser>
        <c:ser>
          <c:idx val="1"/>
          <c:order val="1"/>
          <c:tx>
            <c:strRef>
              <c:f>'Power-Shok SP (2)'!$A$174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5945577756477376E-2"/>
                  <c:y val="-0.38304826480023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1.1000000000000001</c:v>
                </c:pt>
                <c:pt idx="2">
                  <c:v>5.4</c:v>
                </c:pt>
                <c:pt idx="3">
                  <c:v>8.8000000000000007</c:v>
                </c:pt>
                <c:pt idx="4">
                  <c:v>11.5</c:v>
                </c:pt>
                <c:pt idx="5">
                  <c:v>13.5</c:v>
                </c:pt>
                <c:pt idx="6">
                  <c:v>14.5</c:v>
                </c:pt>
                <c:pt idx="7">
                  <c:v>14.7</c:v>
                </c:pt>
                <c:pt idx="8">
                  <c:v>13.8</c:v>
                </c:pt>
                <c:pt idx="9">
                  <c:v>12</c:v>
                </c:pt>
                <c:pt idx="10">
                  <c:v>9.1999999999999993</c:v>
                </c:pt>
                <c:pt idx="11">
                  <c:v>5.2</c:v>
                </c:pt>
                <c:pt idx="12">
                  <c:v>0.1</c:v>
                </c:pt>
                <c:pt idx="13">
                  <c:v>-6.2</c:v>
                </c:pt>
                <c:pt idx="14">
                  <c:v>-14.1</c:v>
                </c:pt>
                <c:pt idx="15">
                  <c:v>-23.1</c:v>
                </c:pt>
                <c:pt idx="16">
                  <c:v>-33.5</c:v>
                </c:pt>
                <c:pt idx="17">
                  <c:v>-45.9</c:v>
                </c:pt>
                <c:pt idx="18">
                  <c:v>-59.5</c:v>
                </c:pt>
                <c:pt idx="19">
                  <c:v>-74.8</c:v>
                </c:pt>
                <c:pt idx="20">
                  <c:v>-91.9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A37-474B-8A9A-91B6C8010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0904581481210996"/>
                  <c:y val="-0.2254007485175464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1.2500001041666768</c:v>
                </c:pt>
                <c:pt idx="2">
                  <c:v>7.5000056250050626</c:v>
                </c:pt>
                <c:pt idx="3">
                  <c:v>13.500014580018894</c:v>
                </c:pt>
                <c:pt idx="4">
                  <c:v>18.000019440025191</c:v>
                </c:pt>
                <c:pt idx="5">
                  <c:v>22.500024300031491</c:v>
                </c:pt>
                <c:pt idx="6">
                  <c:v>24.000020480020975</c:v>
                </c:pt>
                <c:pt idx="7">
                  <c:v>30.000022500020251</c:v>
                </c:pt>
                <c:pt idx="8">
                  <c:v>31.250016276051838</c:v>
                </c:pt>
                <c:pt idx="9">
                  <c:v>24.000005120001312</c:v>
                </c:pt>
                <c:pt idx="10">
                  <c:v>17.500001458333479</c:v>
                </c:pt>
                <c:pt idx="11">
                  <c:v>0</c:v>
                </c:pt>
                <c:pt idx="12">
                  <c:v>-18.000000960000062</c:v>
                </c:pt>
                <c:pt idx="13">
                  <c:v>-50.000016666673339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6F-418D-920C-C7EBFA96B1C2}"/>
            </c:ext>
          </c:extLst>
        </c:ser>
        <c:ser>
          <c:idx val="1"/>
          <c:order val="1"/>
          <c:tx>
            <c:strRef>
              <c:f>'Power-Shok SP (2)'!$A$198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777726834022842"/>
                  <c:y val="-0.156625352386507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3.2</c:v>
                </c:pt>
                <c:pt idx="2">
                  <c:v>9.6999999999999993</c:v>
                </c:pt>
                <c:pt idx="3">
                  <c:v>15.2</c:v>
                </c:pt>
                <c:pt idx="4">
                  <c:v>19.899999999999999</c:v>
                </c:pt>
                <c:pt idx="5">
                  <c:v>24</c:v>
                </c:pt>
                <c:pt idx="6">
                  <c:v>27.2</c:v>
                </c:pt>
                <c:pt idx="7">
                  <c:v>29.4</c:v>
                </c:pt>
                <c:pt idx="8">
                  <c:v>30.7</c:v>
                </c:pt>
                <c:pt idx="9">
                  <c:v>31</c:v>
                </c:pt>
                <c:pt idx="10">
                  <c:v>30.3</c:v>
                </c:pt>
                <c:pt idx="11">
                  <c:v>28.4</c:v>
                </c:pt>
                <c:pt idx="12">
                  <c:v>25.4</c:v>
                </c:pt>
                <c:pt idx="13">
                  <c:v>21.2</c:v>
                </c:pt>
                <c:pt idx="14">
                  <c:v>15.4</c:v>
                </c:pt>
                <c:pt idx="15">
                  <c:v>8.5</c:v>
                </c:pt>
                <c:pt idx="16">
                  <c:v>0.2</c:v>
                </c:pt>
                <c:pt idx="17">
                  <c:v>-10</c:v>
                </c:pt>
                <c:pt idx="18">
                  <c:v>-21.6</c:v>
                </c:pt>
                <c:pt idx="19">
                  <c:v>-34.799999999999997</c:v>
                </c:pt>
                <c:pt idx="20">
                  <c:v>-49.8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6F-418D-920C-C7EBFA96B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987491516704265"/>
                  <c:y val="-0.290937834159618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3.3300019693900382</c:v>
                </c:pt>
                <c:pt idx="2">
                  <c:v>12.500026041731772</c:v>
                </c:pt>
                <c:pt idx="3">
                  <c:v>20.625051992344773</c:v>
                </c:pt>
                <c:pt idx="4">
                  <c:v>29.600086448089634</c:v>
                </c:pt>
                <c:pt idx="5">
                  <c:v>37.000108060112048</c:v>
                </c:pt>
                <c:pt idx="6">
                  <c:v>41.250103984689545</c:v>
                </c:pt>
                <c:pt idx="7">
                  <c:v>50.000104166927088</c:v>
                </c:pt>
                <c:pt idx="8">
                  <c:v>56.250094922067206</c:v>
                </c:pt>
                <c:pt idx="9">
                  <c:v>54.000058320075574</c:v>
                </c:pt>
                <c:pt idx="10">
                  <c:v>49.000032013358435</c:v>
                </c:pt>
                <c:pt idx="11">
                  <c:v>40.000013333338671</c:v>
                </c:pt>
                <c:pt idx="12">
                  <c:v>30.060004471165279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A3-4B9C-BB4E-D2F9FD33C925}"/>
            </c:ext>
          </c:extLst>
        </c:ser>
        <c:ser>
          <c:idx val="1"/>
          <c:order val="1"/>
          <c:tx>
            <c:strRef>
              <c:f>'Power-Shok SP (2)'!$A$222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7461566639557148E-2"/>
                  <c:y val="-0.5187134247108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5.7</c:v>
                </c:pt>
                <c:pt idx="2">
                  <c:v>14.7</c:v>
                </c:pt>
                <c:pt idx="3">
                  <c:v>22.7</c:v>
                </c:pt>
                <c:pt idx="4">
                  <c:v>30</c:v>
                </c:pt>
                <c:pt idx="5">
                  <c:v>36.700000000000003</c:v>
                </c:pt>
                <c:pt idx="6">
                  <c:v>42.3</c:v>
                </c:pt>
                <c:pt idx="7">
                  <c:v>47</c:v>
                </c:pt>
                <c:pt idx="8">
                  <c:v>50.9</c:v>
                </c:pt>
                <c:pt idx="9">
                  <c:v>53.7</c:v>
                </c:pt>
                <c:pt idx="10">
                  <c:v>55.4</c:v>
                </c:pt>
                <c:pt idx="11">
                  <c:v>56.1</c:v>
                </c:pt>
                <c:pt idx="12">
                  <c:v>55.6</c:v>
                </c:pt>
                <c:pt idx="13">
                  <c:v>53.8</c:v>
                </c:pt>
                <c:pt idx="14">
                  <c:v>50.7</c:v>
                </c:pt>
                <c:pt idx="15">
                  <c:v>46.3</c:v>
                </c:pt>
                <c:pt idx="16">
                  <c:v>40.4</c:v>
                </c:pt>
                <c:pt idx="17">
                  <c:v>32.799999999999997</c:v>
                </c:pt>
                <c:pt idx="18">
                  <c:v>23.7</c:v>
                </c:pt>
                <c:pt idx="19">
                  <c:v>13</c:v>
                </c:pt>
                <c:pt idx="20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A3-4B9C-BB4E-D2F9FD33C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7986199305732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6593324019981374E-2"/>
                  <c:y val="-8.72548693366212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HP'!$B$22:$B$35</c:f>
              <c:numCache>
                <c:formatCode>0.00</c:formatCode>
                <c:ptCount val="14"/>
                <c:pt idx="0">
                  <c:v>4400.8999999999996</c:v>
                </c:pt>
                <c:pt idx="1">
                  <c:v>4309.8999999999996</c:v>
                </c:pt>
                <c:pt idx="2">
                  <c:v>4192.3</c:v>
                </c:pt>
                <c:pt idx="3">
                  <c:v>4078.8</c:v>
                </c:pt>
                <c:pt idx="4">
                  <c:v>3969</c:v>
                </c:pt>
                <c:pt idx="5">
                  <c:v>3863.1</c:v>
                </c:pt>
                <c:pt idx="6">
                  <c:v>3760.6</c:v>
                </c:pt>
                <c:pt idx="7">
                  <c:v>3550.3</c:v>
                </c:pt>
                <c:pt idx="8">
                  <c:v>3354.9</c:v>
                </c:pt>
                <c:pt idx="9">
                  <c:v>3159.5</c:v>
                </c:pt>
                <c:pt idx="10">
                  <c:v>2990.9</c:v>
                </c:pt>
                <c:pt idx="11">
                  <c:v>2822.1</c:v>
                </c:pt>
                <c:pt idx="12">
                  <c:v>2654.7</c:v>
                </c:pt>
                <c:pt idx="13">
                  <c:v>2500.6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9F-455C-85F5-DC58B028502A}"/>
            </c:ext>
          </c:extLst>
        </c:ser>
        <c:ser>
          <c:idx val="1"/>
          <c:order val="1"/>
          <c:tx>
            <c:strRef>
              <c:f>'Remington Core-Lokt Copper 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1216979933959868E-2"/>
                  <c:y val="9.85638694629168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HP'!$C$80:$C$100</c:f>
              <c:numCache>
                <c:formatCode>0.00</c:formatCode>
                <c:ptCount val="21"/>
                <c:pt idx="0">
                  <c:v>4402</c:v>
                </c:pt>
                <c:pt idx="1">
                  <c:v>4166</c:v>
                </c:pt>
                <c:pt idx="2">
                  <c:v>3943</c:v>
                </c:pt>
                <c:pt idx="3">
                  <c:v>3729</c:v>
                </c:pt>
                <c:pt idx="4">
                  <c:v>3524</c:v>
                </c:pt>
                <c:pt idx="5">
                  <c:v>3329</c:v>
                </c:pt>
                <c:pt idx="6">
                  <c:v>3142</c:v>
                </c:pt>
                <c:pt idx="7">
                  <c:v>2963</c:v>
                </c:pt>
                <c:pt idx="8">
                  <c:v>2792</c:v>
                </c:pt>
                <c:pt idx="9">
                  <c:v>2629</c:v>
                </c:pt>
                <c:pt idx="10">
                  <c:v>2473</c:v>
                </c:pt>
                <c:pt idx="11">
                  <c:v>2325</c:v>
                </c:pt>
                <c:pt idx="12">
                  <c:v>2184</c:v>
                </c:pt>
                <c:pt idx="13">
                  <c:v>2050</c:v>
                </c:pt>
                <c:pt idx="14">
                  <c:v>1923</c:v>
                </c:pt>
                <c:pt idx="15">
                  <c:v>1803</c:v>
                </c:pt>
                <c:pt idx="16">
                  <c:v>1689</c:v>
                </c:pt>
                <c:pt idx="17">
                  <c:v>1581</c:v>
                </c:pt>
                <c:pt idx="18">
                  <c:v>1480</c:v>
                </c:pt>
                <c:pt idx="19">
                  <c:v>1385</c:v>
                </c:pt>
                <c:pt idx="20">
                  <c:v>1299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9F-455C-85F5-DC58B028502A}"/>
            </c:ext>
          </c:extLst>
        </c:ser>
        <c:ser>
          <c:idx val="2"/>
          <c:order val="2"/>
          <c:tx>
            <c:strRef>
              <c:f>'Remington Core-Lokt Copper HP'!$K$78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HP'!$M$80:$M$100</c:f>
              <c:numCache>
                <c:formatCode>0.00</c:formatCode>
                <c:ptCount val="21"/>
                <c:pt idx="0">
                  <c:v>4402</c:v>
                </c:pt>
                <c:pt idx="1">
                  <c:v>4283</c:v>
                </c:pt>
                <c:pt idx="2">
                  <c:v>4168</c:v>
                </c:pt>
                <c:pt idx="3">
                  <c:v>4055</c:v>
                </c:pt>
                <c:pt idx="4">
                  <c:v>3944</c:v>
                </c:pt>
                <c:pt idx="5">
                  <c:v>3836</c:v>
                </c:pt>
                <c:pt idx="6">
                  <c:v>3730</c:v>
                </c:pt>
                <c:pt idx="7">
                  <c:v>3626</c:v>
                </c:pt>
                <c:pt idx="8">
                  <c:v>3525</c:v>
                </c:pt>
                <c:pt idx="9">
                  <c:v>3425</c:v>
                </c:pt>
                <c:pt idx="10">
                  <c:v>3328</c:v>
                </c:pt>
                <c:pt idx="11">
                  <c:v>3233</c:v>
                </c:pt>
                <c:pt idx="12">
                  <c:v>3140</c:v>
                </c:pt>
                <c:pt idx="13">
                  <c:v>3049</c:v>
                </c:pt>
                <c:pt idx="14">
                  <c:v>2960</c:v>
                </c:pt>
                <c:pt idx="15">
                  <c:v>2874</c:v>
                </c:pt>
                <c:pt idx="16">
                  <c:v>2789</c:v>
                </c:pt>
                <c:pt idx="17">
                  <c:v>2706</c:v>
                </c:pt>
                <c:pt idx="18">
                  <c:v>2625</c:v>
                </c:pt>
                <c:pt idx="19">
                  <c:v>2545</c:v>
                </c:pt>
                <c:pt idx="20">
                  <c:v>2471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45-4111-809C-7F3539CF4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2.1093750556182878</c:v>
                </c:pt>
                <c:pt idx="4">
                  <c:v>4.5000003037500242</c:v>
                </c:pt>
                <c:pt idx="5">
                  <c:v>4.6687502171003894</c:v>
                </c:pt>
                <c:pt idx="6">
                  <c:v>5.6025002605204666</c:v>
                </c:pt>
                <c:pt idx="7">
                  <c:v>0</c:v>
                </c:pt>
                <c:pt idx="8">
                  <c:v>-14.062501483154483</c:v>
                </c:pt>
                <c:pt idx="9">
                  <c:v>-25.312506006776616</c:v>
                </c:pt>
                <c:pt idx="10">
                  <c:v>-41.343769229699461</c:v>
                </c:pt>
                <c:pt idx="11">
                  <c:v>-75.060088101855399</c:v>
                </c:pt>
                <c:pt idx="12">
                  <c:v>-111.37522741438535</c:v>
                </c:pt>
                <c:pt idx="13">
                  <c:v>-150.07545067696162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C2-415D-9AB8-76C3A8303056}"/>
            </c:ext>
          </c:extLst>
        </c:ser>
        <c:ser>
          <c:idx val="1"/>
          <c:order val="1"/>
          <c:tx>
            <c:strRef>
              <c:f>'Remington Core-Lokt Copper HP'!$K$21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-3.3500020050881067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-1.5000000050000002</c:v>
                </c:pt>
                <c:pt idx="7">
                  <c:v>-10.000000833333415</c:v>
                </c:pt>
                <c:pt idx="8">
                  <c:v>-18.750003515625792</c:v>
                </c:pt>
                <c:pt idx="9">
                  <c:v>-31.800011910165356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C2-415D-9AB8-76C3A8303056}"/>
            </c:ext>
          </c:extLst>
        </c:ser>
        <c:ser>
          <c:idx val="2"/>
          <c:order val="2"/>
          <c:tx>
            <c:strRef>
              <c:f>'Remington Core-Lokt Copper HP'!$L$21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-3.2500018308345711</c:v>
                </c:pt>
                <c:pt idx="2">
                  <c:v>-1.5000000450000013</c:v>
                </c:pt>
                <c:pt idx="3">
                  <c:v>1.5000000200000003</c:v>
                </c:pt>
                <c:pt idx="4">
                  <c:v>4.0000002133333465</c:v>
                </c:pt>
                <c:pt idx="5">
                  <c:v>2.5000000333333343</c:v>
                </c:pt>
                <c:pt idx="6">
                  <c:v>0</c:v>
                </c:pt>
                <c:pt idx="7">
                  <c:v>-5.0000001041666682</c:v>
                </c:pt>
                <c:pt idx="8">
                  <c:v>-17.500002858333893</c:v>
                </c:pt>
                <c:pt idx="9">
                  <c:v>-30.000010000004</c:v>
                </c:pt>
                <c:pt idx="10">
                  <c:v>-51.800037820939806</c:v>
                </c:pt>
                <c:pt idx="11">
                  <c:v>-72.000077760100766</c:v>
                </c:pt>
                <c:pt idx="12">
                  <c:v>-104.94019022948933</c:v>
                </c:pt>
                <c:pt idx="13">
                  <c:v>-137.50034661563183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5C2-415D-9AB8-76C3A8303056}"/>
            </c:ext>
          </c:extLst>
        </c:ser>
        <c:ser>
          <c:idx val="3"/>
          <c:order val="3"/>
          <c:tx>
            <c:strRef>
              <c:f>'Remington Core-Lokt Copper 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1.5000000450000013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-35.700012380765159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5C2-415D-9AB8-76C3A8303056}"/>
            </c:ext>
          </c:extLst>
        </c:ser>
        <c:ser>
          <c:idx val="4"/>
          <c:order val="4"/>
          <c:tx>
            <c:strRef>
              <c:f>'Remington Core-Lokt Copper 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-0.8500000327533348</c:v>
                </c:pt>
                <c:pt idx="2">
                  <c:v>4.8000014745605428</c:v>
                </c:pt>
                <c:pt idx="3">
                  <c:v>7.950002977541339</c:v>
                </c:pt>
                <c:pt idx="4">
                  <c:v>10.600003970055118</c:v>
                </c:pt>
                <c:pt idx="5">
                  <c:v>13.250004962568898</c:v>
                </c:pt>
                <c:pt idx="6">
                  <c:v>15.000005000002</c:v>
                </c:pt>
                <c:pt idx="7">
                  <c:v>15.000002812500634</c:v>
                </c:pt>
                <c:pt idx="8">
                  <c:v>12.500001041666769</c:v>
                </c:pt>
                <c:pt idx="9">
                  <c:v>0</c:v>
                </c:pt>
                <c:pt idx="10">
                  <c:v>-14.000000746666712</c:v>
                </c:pt>
                <c:pt idx="11">
                  <c:v>-30.000005625001268</c:v>
                </c:pt>
                <c:pt idx="12">
                  <c:v>-59.940035449020691</c:v>
                </c:pt>
                <c:pt idx="13">
                  <c:v>-85.000081883427995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5C2-415D-9AB8-76C3A8303056}"/>
            </c:ext>
          </c:extLst>
        </c:ser>
        <c:ser>
          <c:idx val="5"/>
          <c:order val="5"/>
          <c:tx>
            <c:strRef>
              <c:f>'Remington Core-Lokt Copper 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1.6700002483980712</c:v>
                </c:pt>
                <c:pt idx="2">
                  <c:v>8.3400077345913282</c:v>
                </c:pt>
                <c:pt idx="3">
                  <c:v>15.000020000031999</c:v>
                </c:pt>
                <c:pt idx="4">
                  <c:v>20.000026666709331</c:v>
                </c:pt>
                <c:pt idx="5">
                  <c:v>25.000033333386661</c:v>
                </c:pt>
                <c:pt idx="6">
                  <c:v>29.100036506974959</c:v>
                </c:pt>
                <c:pt idx="7">
                  <c:v>30.400023412074972</c:v>
                </c:pt>
                <c:pt idx="8">
                  <c:v>33.300019693900381</c:v>
                </c:pt>
                <c:pt idx="9">
                  <c:v>28.800008847363262</c:v>
                </c:pt>
                <c:pt idx="10">
                  <c:v>17.500001458333479</c:v>
                </c:pt>
                <c:pt idx="11">
                  <c:v>0</c:v>
                </c:pt>
                <c:pt idx="12">
                  <c:v>-27.000003240000463</c:v>
                </c:pt>
                <c:pt idx="13">
                  <c:v>-50.000016666673339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5C2-415D-9AB8-76C3A8303056}"/>
            </c:ext>
          </c:extLst>
        </c:ser>
        <c:ser>
          <c:idx val="6"/>
          <c:order val="6"/>
          <c:tx>
            <c:strRef>
              <c:f>'Remington Core-Lokt Copper 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3.7500028125025313</c:v>
                </c:pt>
                <c:pt idx="2">
                  <c:v>13.34003165245951</c:v>
                </c:pt>
                <c:pt idx="3">
                  <c:v>22.500067500243006</c:v>
                </c:pt>
                <c:pt idx="4">
                  <c:v>30.000090000324004</c:v>
                </c:pt>
                <c:pt idx="5">
                  <c:v>37.500112500405002</c:v>
                </c:pt>
                <c:pt idx="6">
                  <c:v>40.500098415286985</c:v>
                </c:pt>
                <c:pt idx="7">
                  <c:v>50.000104166927088</c:v>
                </c:pt>
                <c:pt idx="8">
                  <c:v>56.250094922067206</c:v>
                </c:pt>
                <c:pt idx="9">
                  <c:v>57.00006859009904</c:v>
                </c:pt>
                <c:pt idx="10">
                  <c:v>52.500039375035435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5C2-415D-9AB8-76C3A8303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6.25E-2</c:v>
                </c:pt>
                <c:pt idx="3">
                  <c:v>0.1</c:v>
                </c:pt>
                <c:pt idx="4">
                  <c:v>8.3000000000000004E-2</c:v>
                </c:pt>
                <c:pt idx="5">
                  <c:v>8.3000000000000004E-2</c:v>
                </c:pt>
                <c:pt idx="6">
                  <c:v>0</c:v>
                </c:pt>
                <c:pt idx="7">
                  <c:v>-0.125</c:v>
                </c:pt>
                <c:pt idx="8">
                  <c:v>-0.1875</c:v>
                </c:pt>
                <c:pt idx="9">
                  <c:v>-0.26250000000000001</c:v>
                </c:pt>
                <c:pt idx="10">
                  <c:v>-0.41699999999999998</c:v>
                </c:pt>
                <c:pt idx="11">
                  <c:v>-0.55000000000000004</c:v>
                </c:pt>
                <c:pt idx="12">
                  <c:v>-0.66700000000000004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7D-4054-BF3D-212F278022ED}"/>
            </c:ext>
          </c:extLst>
        </c:ser>
        <c:ser>
          <c:idx val="1"/>
          <c:order val="1"/>
          <c:tx>
            <c:strRef>
              <c:f>'Remington Core-Lokt Copper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HP'!$D$23:$D$35</c:f>
              <c:numCache>
                <c:formatCode>0.000</c:formatCode>
                <c:ptCount val="13"/>
                <c:pt idx="0">
                  <c:v>-0.33500000000000002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-2.5000000000000001E-2</c:v>
                </c:pt>
                <c:pt idx="6">
                  <c:v>-0.125</c:v>
                </c:pt>
                <c:pt idx="7">
                  <c:v>-0.1875</c:v>
                </c:pt>
                <c:pt idx="8">
                  <c:v>-0.26500000000000001</c:v>
                </c:pt>
                <c:pt idx="9">
                  <c:v>-0.375</c:v>
                </c:pt>
                <c:pt idx="10">
                  <c:v>-0.5</c:v>
                </c:pt>
                <c:pt idx="11">
                  <c:v>-0.625</c:v>
                </c:pt>
                <c:pt idx="12">
                  <c:v>-0.75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7D-4054-BF3D-212F278022ED}"/>
            </c:ext>
          </c:extLst>
        </c:ser>
        <c:ser>
          <c:idx val="2"/>
          <c:order val="2"/>
          <c:tx>
            <c:strRef>
              <c:f>'Remington Core-Lokt Copper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HP'!$E$23:$E$35</c:f>
              <c:numCache>
                <c:formatCode>0.000</c:formatCode>
                <c:ptCount val="13"/>
                <c:pt idx="0">
                  <c:v>-0.32500000000000001</c:v>
                </c:pt>
                <c:pt idx="1">
                  <c:v>-7.4999999999999997E-2</c:v>
                </c:pt>
                <c:pt idx="2">
                  <c:v>0.05</c:v>
                </c:pt>
                <c:pt idx="3">
                  <c:v>0.1</c:v>
                </c:pt>
                <c:pt idx="4">
                  <c:v>0.05</c:v>
                </c:pt>
                <c:pt idx="5">
                  <c:v>0</c:v>
                </c:pt>
                <c:pt idx="6">
                  <c:v>-6.25E-2</c:v>
                </c:pt>
                <c:pt idx="7">
                  <c:v>-0.17499999999999999</c:v>
                </c:pt>
                <c:pt idx="8">
                  <c:v>-0.25</c:v>
                </c:pt>
                <c:pt idx="9">
                  <c:v>-0.37</c:v>
                </c:pt>
                <c:pt idx="10">
                  <c:v>-0.45</c:v>
                </c:pt>
                <c:pt idx="11">
                  <c:v>-0.58299999999999996</c:v>
                </c:pt>
                <c:pt idx="12">
                  <c:v>-0.6875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17D-4054-BF3D-212F278022ED}"/>
            </c:ext>
          </c:extLst>
        </c:ser>
        <c:ser>
          <c:idx val="3"/>
          <c:order val="3"/>
          <c:tx>
            <c:strRef>
              <c:f>'Remington Core-Lokt Copper 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HP'!$F$23:$F$35</c:f>
              <c:numCache>
                <c:formatCode>0.000</c:formatCode>
                <c:ptCount val="13"/>
                <c:pt idx="0">
                  <c:v>-0.25</c:v>
                </c:pt>
                <c:pt idx="1">
                  <c:v>7.4999999999999997E-2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8.3000000000000004E-2</c:v>
                </c:pt>
                <c:pt idx="6">
                  <c:v>0</c:v>
                </c:pt>
                <c:pt idx="7">
                  <c:v>-0.125</c:v>
                </c:pt>
                <c:pt idx="8">
                  <c:v>-0.1875</c:v>
                </c:pt>
                <c:pt idx="9">
                  <c:v>-0.255</c:v>
                </c:pt>
                <c:pt idx="10">
                  <c:v>-0.375</c:v>
                </c:pt>
                <c:pt idx="11">
                  <c:v>-0.5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17D-4054-BF3D-212F278022ED}"/>
            </c:ext>
          </c:extLst>
        </c:ser>
        <c:ser>
          <c:idx val="4"/>
          <c:order val="4"/>
          <c:tx>
            <c:strRef>
              <c:f>'Remington Core-Lokt Copper 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HP'!$G$23:$G$35</c:f>
              <c:numCache>
                <c:formatCode>0.000</c:formatCode>
                <c:ptCount val="13"/>
                <c:pt idx="0">
                  <c:v>-8.5000000000000006E-2</c:v>
                </c:pt>
                <c:pt idx="1">
                  <c:v>0.24</c:v>
                </c:pt>
                <c:pt idx="2">
                  <c:v>0.26500000000000001</c:v>
                </c:pt>
                <c:pt idx="3">
                  <c:v>0.26500000000000001</c:v>
                </c:pt>
                <c:pt idx="4">
                  <c:v>0.26500000000000001</c:v>
                </c:pt>
                <c:pt idx="5">
                  <c:v>0.25</c:v>
                </c:pt>
                <c:pt idx="6">
                  <c:v>0.1875</c:v>
                </c:pt>
                <c:pt idx="7">
                  <c:v>0.125</c:v>
                </c:pt>
                <c:pt idx="8">
                  <c:v>0</c:v>
                </c:pt>
                <c:pt idx="9">
                  <c:v>-0.1</c:v>
                </c:pt>
                <c:pt idx="10">
                  <c:v>-0.1875</c:v>
                </c:pt>
                <c:pt idx="11">
                  <c:v>-0.33300000000000002</c:v>
                </c:pt>
                <c:pt idx="12">
                  <c:v>-0.42499999999999999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17D-4054-BF3D-212F278022ED}"/>
            </c:ext>
          </c:extLst>
        </c:ser>
        <c:ser>
          <c:idx val="5"/>
          <c:order val="5"/>
          <c:tx>
            <c:strRef>
              <c:f>'Remington Core-Lokt Copper HP'!$H$21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HP'!$H$23:$H$35</c:f>
              <c:numCache>
                <c:formatCode>0.000</c:formatCode>
                <c:ptCount val="13"/>
                <c:pt idx="0">
                  <c:v>0.16700000000000001</c:v>
                </c:pt>
                <c:pt idx="1">
                  <c:v>0.41699999999999998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0.48499999999999999</c:v>
                </c:pt>
                <c:pt idx="6">
                  <c:v>0.38</c:v>
                </c:pt>
                <c:pt idx="7">
                  <c:v>0.33300000000000002</c:v>
                </c:pt>
                <c:pt idx="8">
                  <c:v>0.24</c:v>
                </c:pt>
                <c:pt idx="9">
                  <c:v>0.125</c:v>
                </c:pt>
                <c:pt idx="10">
                  <c:v>0</c:v>
                </c:pt>
                <c:pt idx="11">
                  <c:v>-0.15</c:v>
                </c:pt>
                <c:pt idx="12">
                  <c:v>-0.25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17D-4054-BF3D-212F278022ED}"/>
            </c:ext>
          </c:extLst>
        </c:ser>
        <c:ser>
          <c:idx val="6"/>
          <c:order val="6"/>
          <c:tx>
            <c:strRef>
              <c:f>'Remington Core-Lokt Copper HP'!$I$21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HP'!$I$23:$I$35</c:f>
              <c:numCache>
                <c:formatCode>0.000</c:formatCode>
                <c:ptCount val="13"/>
                <c:pt idx="0">
                  <c:v>0.375</c:v>
                </c:pt>
                <c:pt idx="1">
                  <c:v>0.66700000000000004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0.67500000000000004</c:v>
                </c:pt>
                <c:pt idx="6">
                  <c:v>0.625</c:v>
                </c:pt>
                <c:pt idx="7">
                  <c:v>0.5625</c:v>
                </c:pt>
                <c:pt idx="8">
                  <c:v>0.47499999999999998</c:v>
                </c:pt>
                <c:pt idx="9">
                  <c:v>0.375</c:v>
                </c:pt>
                <c:pt idx="10">
                  <c:v>0.25</c:v>
                </c:pt>
                <c:pt idx="11">
                  <c:v>0.125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17D-4054-BF3D-212F27802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7604524526931039E-2"/>
                  <c:y val="-0.217137894259567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2.1093750556182878</c:v>
                </c:pt>
                <c:pt idx="4">
                  <c:v>4.5000003037500242</c:v>
                </c:pt>
                <c:pt idx="5">
                  <c:v>4.6687502171003894</c:v>
                </c:pt>
                <c:pt idx="6">
                  <c:v>5.6025002605204666</c:v>
                </c:pt>
                <c:pt idx="7">
                  <c:v>0</c:v>
                </c:pt>
                <c:pt idx="8">
                  <c:v>-14.062501483154483</c:v>
                </c:pt>
                <c:pt idx="9">
                  <c:v>-25.312506006776616</c:v>
                </c:pt>
                <c:pt idx="10">
                  <c:v>-41.343769229699461</c:v>
                </c:pt>
                <c:pt idx="11">
                  <c:v>-75.060088101855399</c:v>
                </c:pt>
                <c:pt idx="12">
                  <c:v>-111.37522741438535</c:v>
                </c:pt>
                <c:pt idx="13">
                  <c:v>-150.07545067696162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95-4375-BC17-3FE123609FC5}"/>
            </c:ext>
          </c:extLst>
        </c:ser>
        <c:ser>
          <c:idx val="1"/>
          <c:order val="1"/>
          <c:tx>
            <c:strRef>
              <c:f>'Remington Core-Lokt Copper 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284734857347748"/>
                  <c:y val="-0.246598591234489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0.1</c:v>
                </c:pt>
                <c:pt idx="5">
                  <c:v>-1.4</c:v>
                </c:pt>
                <c:pt idx="6">
                  <c:v>-3.9</c:v>
                </c:pt>
                <c:pt idx="7">
                  <c:v>-7.6</c:v>
                </c:pt>
                <c:pt idx="8">
                  <c:v>-12.7</c:v>
                </c:pt>
                <c:pt idx="9">
                  <c:v>-19</c:v>
                </c:pt>
                <c:pt idx="10">
                  <c:v>-26.7</c:v>
                </c:pt>
                <c:pt idx="11">
                  <c:v>-36.200000000000003</c:v>
                </c:pt>
                <c:pt idx="12">
                  <c:v>-47</c:v>
                </c:pt>
                <c:pt idx="13">
                  <c:v>-59.6</c:v>
                </c:pt>
                <c:pt idx="14">
                  <c:v>-74.5</c:v>
                </c:pt>
                <c:pt idx="15">
                  <c:v>-90.9</c:v>
                </c:pt>
                <c:pt idx="16">
                  <c:v>-109.5</c:v>
                </c:pt>
                <c:pt idx="17">
                  <c:v>-131.1</c:v>
                </c:pt>
                <c:pt idx="18">
                  <c:v>-154.5</c:v>
                </c:pt>
                <c:pt idx="19">
                  <c:v>-180.5</c:v>
                </c:pt>
                <c:pt idx="20">
                  <c:v>-209.3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95-4375-BC17-3FE123609FC5}"/>
            </c:ext>
          </c:extLst>
        </c:ser>
        <c:ser>
          <c:idx val="2"/>
          <c:order val="2"/>
          <c:tx>
            <c:strRef>
              <c:f>'Remington Core-Lokt Copper HP'!$K$78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HP'!$N$80:$N$100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0.6</c:v>
                </c:pt>
                <c:pt idx="4">
                  <c:v>0.3</c:v>
                </c:pt>
                <c:pt idx="5">
                  <c:v>-0.9</c:v>
                </c:pt>
                <c:pt idx="6">
                  <c:v>-3</c:v>
                </c:pt>
                <c:pt idx="7">
                  <c:v>-6.1</c:v>
                </c:pt>
                <c:pt idx="8">
                  <c:v>-10.3</c:v>
                </c:pt>
                <c:pt idx="9">
                  <c:v>-15.4</c:v>
                </c:pt>
                <c:pt idx="10">
                  <c:v>-21.5</c:v>
                </c:pt>
                <c:pt idx="11">
                  <c:v>-29</c:v>
                </c:pt>
                <c:pt idx="12">
                  <c:v>-37.4</c:v>
                </c:pt>
                <c:pt idx="13">
                  <c:v>-46.9</c:v>
                </c:pt>
                <c:pt idx="14">
                  <c:v>-58</c:v>
                </c:pt>
                <c:pt idx="15">
                  <c:v>-70</c:v>
                </c:pt>
                <c:pt idx="16">
                  <c:v>-83.2</c:v>
                </c:pt>
                <c:pt idx="17">
                  <c:v>-98.4</c:v>
                </c:pt>
                <c:pt idx="18">
                  <c:v>-114.3</c:v>
                </c:pt>
                <c:pt idx="19">
                  <c:v>-131.69999999999999</c:v>
                </c:pt>
                <c:pt idx="20">
                  <c:v>-150.5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A2-4504-ACAF-36E37CD11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331759925652882"/>
                  <c:y val="-0.243135753864100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-3.3500020050881067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-1.5000000050000002</c:v>
                </c:pt>
                <c:pt idx="7">
                  <c:v>-10.000000833333415</c:v>
                </c:pt>
                <c:pt idx="8">
                  <c:v>-18.750003515625792</c:v>
                </c:pt>
                <c:pt idx="9">
                  <c:v>-31.800011910165356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03-41A0-B0ED-60A4788E0721}"/>
            </c:ext>
          </c:extLst>
        </c:ser>
        <c:ser>
          <c:idx val="1"/>
          <c:order val="1"/>
          <c:tx>
            <c:strRef>
              <c:f>'Remington Core-Lokt Copper HP'!$A$102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356355701325985"/>
                  <c:y val="-0.219435452512880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-0.1</c:v>
                </c:pt>
                <c:pt idx="3">
                  <c:v>0.5</c:v>
                </c:pt>
                <c:pt idx="4">
                  <c:v>0</c:v>
                </c:pt>
                <c:pt idx="5">
                  <c:v>-1.5</c:v>
                </c:pt>
                <c:pt idx="6">
                  <c:v>-4.0999999999999996</c:v>
                </c:pt>
                <c:pt idx="7">
                  <c:v>-7.8</c:v>
                </c:pt>
                <c:pt idx="8">
                  <c:v>-13</c:v>
                </c:pt>
                <c:pt idx="9">
                  <c:v>-19.3</c:v>
                </c:pt>
                <c:pt idx="10">
                  <c:v>-27</c:v>
                </c:pt>
                <c:pt idx="11">
                  <c:v>-36.5</c:v>
                </c:pt>
                <c:pt idx="12">
                  <c:v>-47.4</c:v>
                </c:pt>
                <c:pt idx="13">
                  <c:v>-59.9</c:v>
                </c:pt>
                <c:pt idx="14">
                  <c:v>-74.900000000000006</c:v>
                </c:pt>
                <c:pt idx="15">
                  <c:v>-91.3</c:v>
                </c:pt>
                <c:pt idx="16">
                  <c:v>-109.9</c:v>
                </c:pt>
                <c:pt idx="17">
                  <c:v>-131.6</c:v>
                </c:pt>
                <c:pt idx="18">
                  <c:v>-155</c:v>
                </c:pt>
                <c:pt idx="19">
                  <c:v>-181</c:v>
                </c:pt>
                <c:pt idx="20">
                  <c:v>-209.9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03-41A0-B0ED-60A4788E0721}"/>
            </c:ext>
          </c:extLst>
        </c:ser>
        <c:ser>
          <c:idx val="2"/>
          <c:order val="2"/>
          <c:tx>
            <c:strRef>
              <c:f>'Remington Core-Lokt Copper HP'!$K$102</c:f>
              <c:strCache>
                <c:ptCount val="1"/>
                <c:pt idx="0">
                  <c:v>100m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HP'!$N$104:$N$124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-0.2</c:v>
                </c:pt>
                <c:pt idx="3">
                  <c:v>0.3</c:v>
                </c:pt>
                <c:pt idx="4">
                  <c:v>0</c:v>
                </c:pt>
                <c:pt idx="5">
                  <c:v>-1.3</c:v>
                </c:pt>
                <c:pt idx="6">
                  <c:v>-3.5</c:v>
                </c:pt>
                <c:pt idx="7">
                  <c:v>-6.7</c:v>
                </c:pt>
                <c:pt idx="8">
                  <c:v>-11</c:v>
                </c:pt>
                <c:pt idx="9">
                  <c:v>-16.100000000000001</c:v>
                </c:pt>
                <c:pt idx="10">
                  <c:v>-22.4</c:v>
                </c:pt>
                <c:pt idx="11">
                  <c:v>-30</c:v>
                </c:pt>
                <c:pt idx="12">
                  <c:v>-38.4</c:v>
                </c:pt>
                <c:pt idx="13">
                  <c:v>-48</c:v>
                </c:pt>
                <c:pt idx="14">
                  <c:v>-59.2</c:v>
                </c:pt>
                <c:pt idx="15">
                  <c:v>-71.3</c:v>
                </c:pt>
                <c:pt idx="16">
                  <c:v>-84.6</c:v>
                </c:pt>
                <c:pt idx="17">
                  <c:v>-99.8</c:v>
                </c:pt>
                <c:pt idx="18">
                  <c:v>-115.8</c:v>
                </c:pt>
                <c:pt idx="19">
                  <c:v>-133.30000000000001</c:v>
                </c:pt>
                <c:pt idx="20">
                  <c:v>-152.1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0C-4E28-9D55-CBDE07A55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121205914114024"/>
                  <c:y val="-0.2402563915621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-3.2500018308345711</c:v>
                </c:pt>
                <c:pt idx="2">
                  <c:v>-1.5000000450000013</c:v>
                </c:pt>
                <c:pt idx="3">
                  <c:v>1.5000000200000003</c:v>
                </c:pt>
                <c:pt idx="4">
                  <c:v>4.0000002133333465</c:v>
                </c:pt>
                <c:pt idx="5">
                  <c:v>2.5000000333333343</c:v>
                </c:pt>
                <c:pt idx="6">
                  <c:v>0</c:v>
                </c:pt>
                <c:pt idx="7">
                  <c:v>-5.0000001041666682</c:v>
                </c:pt>
                <c:pt idx="8">
                  <c:v>-17.500002858333893</c:v>
                </c:pt>
                <c:pt idx="9">
                  <c:v>-30.000010000004</c:v>
                </c:pt>
                <c:pt idx="10">
                  <c:v>-51.800037820939806</c:v>
                </c:pt>
                <c:pt idx="11">
                  <c:v>-72.000077760100766</c:v>
                </c:pt>
                <c:pt idx="12">
                  <c:v>-104.94019022948933</c:v>
                </c:pt>
                <c:pt idx="13">
                  <c:v>-137.50034661563183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D-434D-A014-8E554FDD2C35}"/>
            </c:ext>
          </c:extLst>
        </c:ser>
        <c:ser>
          <c:idx val="1"/>
          <c:order val="1"/>
          <c:tx>
            <c:strRef>
              <c:f>'Remington Core-Lokt Copper HP'!$A$126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993676582240863"/>
                  <c:y val="-0.213330174006027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-0.8</c:v>
                </c:pt>
                <c:pt idx="2">
                  <c:v>1.3</c:v>
                </c:pt>
                <c:pt idx="3">
                  <c:v>2.5</c:v>
                </c:pt>
                <c:pt idx="4">
                  <c:v>2.8</c:v>
                </c:pt>
                <c:pt idx="5">
                  <c:v>1.9</c:v>
                </c:pt>
                <c:pt idx="6">
                  <c:v>0</c:v>
                </c:pt>
                <c:pt idx="7">
                  <c:v>-3</c:v>
                </c:pt>
                <c:pt idx="8">
                  <c:v>-7.4</c:v>
                </c:pt>
                <c:pt idx="9">
                  <c:v>-13.1</c:v>
                </c:pt>
                <c:pt idx="10">
                  <c:v>-20.100000000000001</c:v>
                </c:pt>
                <c:pt idx="11">
                  <c:v>-28.9</c:v>
                </c:pt>
                <c:pt idx="12">
                  <c:v>-39.1</c:v>
                </c:pt>
                <c:pt idx="13">
                  <c:v>-51</c:v>
                </c:pt>
                <c:pt idx="14">
                  <c:v>-65.2</c:v>
                </c:pt>
                <c:pt idx="15">
                  <c:v>-81</c:v>
                </c:pt>
                <c:pt idx="16">
                  <c:v>-98.9</c:v>
                </c:pt>
                <c:pt idx="17">
                  <c:v>-119.9</c:v>
                </c:pt>
                <c:pt idx="18">
                  <c:v>-142.6</c:v>
                </c:pt>
                <c:pt idx="19">
                  <c:v>-167.9</c:v>
                </c:pt>
                <c:pt idx="20">
                  <c:v>-196.1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D-434D-A014-8E554FDD2C35}"/>
            </c:ext>
          </c:extLst>
        </c:ser>
        <c:ser>
          <c:idx val="2"/>
          <c:order val="2"/>
          <c:tx>
            <c:strRef>
              <c:f>'Remington Core-Lokt Copper HP'!$K$126</c:f>
              <c:strCache>
                <c:ptCount val="1"/>
                <c:pt idx="0">
                  <c:v>150m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HP'!$K$128:$K$148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HP'!$N$128:$N$148</c:f>
              <c:numCache>
                <c:formatCode>0.00</c:formatCode>
                <c:ptCount val="21"/>
                <c:pt idx="0">
                  <c:v>-3.8</c:v>
                </c:pt>
                <c:pt idx="1">
                  <c:v>-1</c:v>
                </c:pt>
                <c:pt idx="2">
                  <c:v>1</c:v>
                </c:pt>
                <c:pt idx="3">
                  <c:v>2.1</c:v>
                </c:pt>
                <c:pt idx="4">
                  <c:v>2.2999999999999998</c:v>
                </c:pt>
                <c:pt idx="5">
                  <c:v>1.6</c:v>
                </c:pt>
                <c:pt idx="6">
                  <c:v>0</c:v>
                </c:pt>
                <c:pt idx="7">
                  <c:v>-2.6</c:v>
                </c:pt>
                <c:pt idx="8">
                  <c:v>-6.3</c:v>
                </c:pt>
                <c:pt idx="9">
                  <c:v>-10.9</c:v>
                </c:pt>
                <c:pt idx="10">
                  <c:v>-16.5</c:v>
                </c:pt>
                <c:pt idx="11">
                  <c:v>-23.5</c:v>
                </c:pt>
                <c:pt idx="12">
                  <c:v>-31.4</c:v>
                </c:pt>
                <c:pt idx="13">
                  <c:v>-40.4</c:v>
                </c:pt>
                <c:pt idx="14">
                  <c:v>-51</c:v>
                </c:pt>
                <c:pt idx="15">
                  <c:v>-62.5</c:v>
                </c:pt>
                <c:pt idx="16">
                  <c:v>-75.2</c:v>
                </c:pt>
                <c:pt idx="17">
                  <c:v>-89.8</c:v>
                </c:pt>
                <c:pt idx="18">
                  <c:v>-105.3</c:v>
                </c:pt>
                <c:pt idx="19">
                  <c:v>-122.1</c:v>
                </c:pt>
                <c:pt idx="20">
                  <c:v>-140.4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01-4C00-9449-B65B62212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390375856451009E-2"/>
                  <c:y val="-0.286700690191503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1.5000000450000013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-35.700012380765159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D6-44BC-864B-017E09325CA7}"/>
            </c:ext>
          </c:extLst>
        </c:ser>
        <c:ser>
          <c:idx val="1"/>
          <c:order val="1"/>
          <c:tx>
            <c:strRef>
              <c:f>'Remington Core-Lokt Copper HP'!$A$150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78563561816286"/>
                  <c:y val="-0.21415937591134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0.1</c:v>
                </c:pt>
                <c:pt idx="2">
                  <c:v>3.2</c:v>
                </c:pt>
                <c:pt idx="3">
                  <c:v>5.3</c:v>
                </c:pt>
                <c:pt idx="4">
                  <c:v>6.5</c:v>
                </c:pt>
                <c:pt idx="5">
                  <c:v>6.6</c:v>
                </c:pt>
                <c:pt idx="6">
                  <c:v>5.6</c:v>
                </c:pt>
                <c:pt idx="7">
                  <c:v>3.5</c:v>
                </c:pt>
                <c:pt idx="8">
                  <c:v>0</c:v>
                </c:pt>
                <c:pt idx="9">
                  <c:v>-4.7</c:v>
                </c:pt>
                <c:pt idx="10">
                  <c:v>-10.8</c:v>
                </c:pt>
                <c:pt idx="11">
                  <c:v>-18.7</c:v>
                </c:pt>
                <c:pt idx="12">
                  <c:v>-27.9</c:v>
                </c:pt>
                <c:pt idx="13">
                  <c:v>-38.9</c:v>
                </c:pt>
                <c:pt idx="14">
                  <c:v>-52.2</c:v>
                </c:pt>
                <c:pt idx="15">
                  <c:v>-67</c:v>
                </c:pt>
                <c:pt idx="16">
                  <c:v>-84</c:v>
                </c:pt>
                <c:pt idx="17">
                  <c:v>-104</c:v>
                </c:pt>
                <c:pt idx="18">
                  <c:v>-125.8</c:v>
                </c:pt>
                <c:pt idx="19">
                  <c:v>-150.19999999999999</c:v>
                </c:pt>
                <c:pt idx="20">
                  <c:v>-177.5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D6-44BC-864B-017E09325CA7}"/>
            </c:ext>
          </c:extLst>
        </c:ser>
        <c:ser>
          <c:idx val="2"/>
          <c:order val="2"/>
          <c:tx>
            <c:strRef>
              <c:f>'Remington Core-Lokt Copper HP'!$K$150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HP'!$N$152:$N$172</c:f>
              <c:numCache>
                <c:formatCode>0.00</c:formatCode>
                <c:ptCount val="21"/>
                <c:pt idx="0">
                  <c:v>-3.8</c:v>
                </c:pt>
                <c:pt idx="1">
                  <c:v>-0.2</c:v>
                </c:pt>
                <c:pt idx="2">
                  <c:v>2.6</c:v>
                </c:pt>
                <c:pt idx="3">
                  <c:v>4.4000000000000004</c:v>
                </c:pt>
                <c:pt idx="4">
                  <c:v>5.4</c:v>
                </c:pt>
                <c:pt idx="5">
                  <c:v>5.5</c:v>
                </c:pt>
                <c:pt idx="6">
                  <c:v>4.7</c:v>
                </c:pt>
                <c:pt idx="7">
                  <c:v>2.9</c:v>
                </c:pt>
                <c:pt idx="8">
                  <c:v>-0.1</c:v>
                </c:pt>
                <c:pt idx="9">
                  <c:v>-3.9</c:v>
                </c:pt>
                <c:pt idx="10">
                  <c:v>-8.8000000000000007</c:v>
                </c:pt>
                <c:pt idx="11">
                  <c:v>-15</c:v>
                </c:pt>
                <c:pt idx="12">
                  <c:v>-22.1</c:v>
                </c:pt>
                <c:pt idx="13">
                  <c:v>-30.3</c:v>
                </c:pt>
                <c:pt idx="14">
                  <c:v>-40.1</c:v>
                </c:pt>
                <c:pt idx="15">
                  <c:v>-50.9</c:v>
                </c:pt>
                <c:pt idx="16">
                  <c:v>-62.8</c:v>
                </c:pt>
                <c:pt idx="17">
                  <c:v>-76.599999999999994</c:v>
                </c:pt>
                <c:pt idx="18">
                  <c:v>-91.3</c:v>
                </c:pt>
                <c:pt idx="19">
                  <c:v>-107.4</c:v>
                </c:pt>
                <c:pt idx="20">
                  <c:v>-125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BE-4F9C-8591-DC6DBF528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7.8576187352617372E-2"/>
                  <c:y val="-0.301569213570525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-0.8500000327533348</c:v>
                </c:pt>
                <c:pt idx="2">
                  <c:v>4.8000014745605428</c:v>
                </c:pt>
                <c:pt idx="3">
                  <c:v>7.950002977541339</c:v>
                </c:pt>
                <c:pt idx="4">
                  <c:v>10.600003970055118</c:v>
                </c:pt>
                <c:pt idx="5">
                  <c:v>13.250004962568898</c:v>
                </c:pt>
                <c:pt idx="6">
                  <c:v>15.000005000002</c:v>
                </c:pt>
                <c:pt idx="7">
                  <c:v>15.000002812500634</c:v>
                </c:pt>
                <c:pt idx="8">
                  <c:v>12.500001041666769</c:v>
                </c:pt>
                <c:pt idx="9">
                  <c:v>0</c:v>
                </c:pt>
                <c:pt idx="10">
                  <c:v>-14.000000746666712</c:v>
                </c:pt>
                <c:pt idx="11">
                  <c:v>-30.000005625001268</c:v>
                </c:pt>
                <c:pt idx="12">
                  <c:v>-59.940035449020691</c:v>
                </c:pt>
                <c:pt idx="13">
                  <c:v>-85.000081883427995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A0-4A45-AFC4-9DA271B2CC54}"/>
            </c:ext>
          </c:extLst>
        </c:ser>
        <c:ser>
          <c:idx val="1"/>
          <c:order val="1"/>
          <c:tx>
            <c:strRef>
              <c:f>'Remington Core-Lokt Copper HP'!$A$174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4.7756219570696951E-2"/>
                  <c:y val="-0.1889984932439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2.4</c:v>
                </c:pt>
                <c:pt idx="2">
                  <c:v>7.9</c:v>
                </c:pt>
                <c:pt idx="3">
                  <c:v>12.4</c:v>
                </c:pt>
                <c:pt idx="4">
                  <c:v>15.8</c:v>
                </c:pt>
                <c:pt idx="5">
                  <c:v>18.399999999999999</c:v>
                </c:pt>
                <c:pt idx="6">
                  <c:v>19.7</c:v>
                </c:pt>
                <c:pt idx="7">
                  <c:v>19.899999999999999</c:v>
                </c:pt>
                <c:pt idx="8">
                  <c:v>18.8</c:v>
                </c:pt>
                <c:pt idx="9">
                  <c:v>16.399999999999999</c:v>
                </c:pt>
                <c:pt idx="10">
                  <c:v>12.6</c:v>
                </c:pt>
                <c:pt idx="11">
                  <c:v>7.1</c:v>
                </c:pt>
                <c:pt idx="12">
                  <c:v>0.2</c:v>
                </c:pt>
                <c:pt idx="13">
                  <c:v>-8.5</c:v>
                </c:pt>
                <c:pt idx="14">
                  <c:v>-19.399999999999999</c:v>
                </c:pt>
                <c:pt idx="15">
                  <c:v>-31.9</c:v>
                </c:pt>
                <c:pt idx="16">
                  <c:v>-46.6</c:v>
                </c:pt>
                <c:pt idx="17">
                  <c:v>-64.2</c:v>
                </c:pt>
                <c:pt idx="18">
                  <c:v>-83.7</c:v>
                </c:pt>
                <c:pt idx="19">
                  <c:v>-105.8</c:v>
                </c:pt>
                <c:pt idx="20">
                  <c:v>-130.69999999999999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A0-4A45-AFC4-9DA271B2CC54}"/>
            </c:ext>
          </c:extLst>
        </c:ser>
        <c:ser>
          <c:idx val="2"/>
          <c:order val="2"/>
          <c:tx>
            <c:strRef>
              <c:f>'Remington Core-Lokt Copper HP'!$K$174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HP'!$N$176:$N$196</c:f>
              <c:numCache>
                <c:formatCode>0.00</c:formatCode>
                <c:ptCount val="21"/>
                <c:pt idx="0">
                  <c:v>-3.8</c:v>
                </c:pt>
                <c:pt idx="1">
                  <c:v>1.6</c:v>
                </c:pt>
                <c:pt idx="2">
                  <c:v>6.3</c:v>
                </c:pt>
                <c:pt idx="3">
                  <c:v>10</c:v>
                </c:pt>
                <c:pt idx="4">
                  <c:v>12.8</c:v>
                </c:pt>
                <c:pt idx="5">
                  <c:v>14.8</c:v>
                </c:pt>
                <c:pt idx="6">
                  <c:v>15.7</c:v>
                </c:pt>
                <c:pt idx="7">
                  <c:v>15.8</c:v>
                </c:pt>
                <c:pt idx="8">
                  <c:v>14.7</c:v>
                </c:pt>
                <c:pt idx="9">
                  <c:v>12.7</c:v>
                </c:pt>
                <c:pt idx="10">
                  <c:v>9.6999999999999993</c:v>
                </c:pt>
                <c:pt idx="11">
                  <c:v>5.4</c:v>
                </c:pt>
                <c:pt idx="12">
                  <c:v>0.1</c:v>
                </c:pt>
                <c:pt idx="13">
                  <c:v>-6.4</c:v>
                </c:pt>
                <c:pt idx="14">
                  <c:v>-14.3</c:v>
                </c:pt>
                <c:pt idx="15">
                  <c:v>-23.2</c:v>
                </c:pt>
                <c:pt idx="16">
                  <c:v>-33.299999999999997</c:v>
                </c:pt>
                <c:pt idx="17">
                  <c:v>-45.2</c:v>
                </c:pt>
                <c:pt idx="18">
                  <c:v>-58.1</c:v>
                </c:pt>
                <c:pt idx="19">
                  <c:v>-72.400000000000006</c:v>
                </c:pt>
                <c:pt idx="20">
                  <c:v>-88.1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92-443E-AF61-3A965B544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layout>
        <c:manualLayout>
          <c:xMode val="edge"/>
          <c:yMode val="edge"/>
          <c:x val="0.281342270218221"/>
          <c:y val="3.08641975308641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852761983694E-2"/>
                  <c:y val="-0.4179943132108486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1.6700002483980712</c:v>
                </c:pt>
                <c:pt idx="2">
                  <c:v>8.3400077345913282</c:v>
                </c:pt>
                <c:pt idx="3">
                  <c:v>15.000020000031999</c:v>
                </c:pt>
                <c:pt idx="4">
                  <c:v>20.000026666709331</c:v>
                </c:pt>
                <c:pt idx="5">
                  <c:v>25.000033333386661</c:v>
                </c:pt>
                <c:pt idx="6">
                  <c:v>29.100036506974959</c:v>
                </c:pt>
                <c:pt idx="7">
                  <c:v>30.400023412074972</c:v>
                </c:pt>
                <c:pt idx="8">
                  <c:v>33.300019693900381</c:v>
                </c:pt>
                <c:pt idx="9">
                  <c:v>28.800008847363262</c:v>
                </c:pt>
                <c:pt idx="10">
                  <c:v>17.500001458333479</c:v>
                </c:pt>
                <c:pt idx="11">
                  <c:v>0</c:v>
                </c:pt>
                <c:pt idx="12">
                  <c:v>-27.000003240000463</c:v>
                </c:pt>
                <c:pt idx="13">
                  <c:v>-50.000016666673339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C6-450A-88A7-9BE18054F380}"/>
            </c:ext>
          </c:extLst>
        </c:ser>
        <c:ser>
          <c:idx val="1"/>
          <c:order val="1"/>
          <c:tx>
            <c:strRef>
              <c:f>'Remington Core-Lokt Copper HP'!$A$198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0389460263028383E-2"/>
                  <c:y val="-6.176679303975891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5.4</c:v>
                </c:pt>
                <c:pt idx="2">
                  <c:v>13.9</c:v>
                </c:pt>
                <c:pt idx="3">
                  <c:v>21.2</c:v>
                </c:pt>
                <c:pt idx="4">
                  <c:v>27.6</c:v>
                </c:pt>
                <c:pt idx="5">
                  <c:v>33.200000000000003</c:v>
                </c:pt>
                <c:pt idx="6">
                  <c:v>37.4</c:v>
                </c:pt>
                <c:pt idx="7">
                  <c:v>40.5</c:v>
                </c:pt>
                <c:pt idx="8">
                  <c:v>42.5</c:v>
                </c:pt>
                <c:pt idx="9">
                  <c:v>43</c:v>
                </c:pt>
                <c:pt idx="10">
                  <c:v>42.1</c:v>
                </c:pt>
                <c:pt idx="11">
                  <c:v>39.700000000000003</c:v>
                </c:pt>
                <c:pt idx="12">
                  <c:v>35.6</c:v>
                </c:pt>
                <c:pt idx="13">
                  <c:v>29.9</c:v>
                </c:pt>
                <c:pt idx="14">
                  <c:v>22</c:v>
                </c:pt>
                <c:pt idx="15">
                  <c:v>12.4</c:v>
                </c:pt>
                <c:pt idx="16">
                  <c:v>0.7</c:v>
                </c:pt>
                <c:pt idx="17">
                  <c:v>-13.9</c:v>
                </c:pt>
                <c:pt idx="18">
                  <c:v>-30.5</c:v>
                </c:pt>
                <c:pt idx="19">
                  <c:v>-49.7</c:v>
                </c:pt>
                <c:pt idx="20">
                  <c:v>-71.7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C6-450A-88A7-9BE18054F380}"/>
            </c:ext>
          </c:extLst>
        </c:ser>
        <c:ser>
          <c:idx val="2"/>
          <c:order val="2"/>
          <c:tx>
            <c:strRef>
              <c:f>'Remington Core-Lokt Copper HP'!$K$198</c:f>
              <c:strCache>
                <c:ptCount val="1"/>
                <c:pt idx="0">
                  <c:v>400m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HP'!$N$200:$N$220</c:f>
              <c:numCache>
                <c:formatCode>0.00</c:formatCode>
                <c:ptCount val="21"/>
                <c:pt idx="0">
                  <c:v>-3.8</c:v>
                </c:pt>
                <c:pt idx="1">
                  <c:v>3.7</c:v>
                </c:pt>
                <c:pt idx="2">
                  <c:v>10.5</c:v>
                </c:pt>
                <c:pt idx="3">
                  <c:v>16.3</c:v>
                </c:pt>
                <c:pt idx="4">
                  <c:v>21.2</c:v>
                </c:pt>
                <c:pt idx="5">
                  <c:v>25.3</c:v>
                </c:pt>
                <c:pt idx="6">
                  <c:v>28.3</c:v>
                </c:pt>
                <c:pt idx="7">
                  <c:v>30.4</c:v>
                </c:pt>
                <c:pt idx="8">
                  <c:v>31.6</c:v>
                </c:pt>
                <c:pt idx="9">
                  <c:v>31.6</c:v>
                </c:pt>
                <c:pt idx="10">
                  <c:v>30.6</c:v>
                </c:pt>
                <c:pt idx="11">
                  <c:v>28.5</c:v>
                </c:pt>
                <c:pt idx="12">
                  <c:v>25.3</c:v>
                </c:pt>
                <c:pt idx="13">
                  <c:v>20.9</c:v>
                </c:pt>
                <c:pt idx="14">
                  <c:v>15.1</c:v>
                </c:pt>
                <c:pt idx="15">
                  <c:v>8.3000000000000007</c:v>
                </c:pt>
                <c:pt idx="16">
                  <c:v>0.2</c:v>
                </c:pt>
                <c:pt idx="17">
                  <c:v>-9.6</c:v>
                </c:pt>
                <c:pt idx="18">
                  <c:v>-20.399999999999999</c:v>
                </c:pt>
                <c:pt idx="19">
                  <c:v>-32.6</c:v>
                </c:pt>
                <c:pt idx="20">
                  <c:v>-46.2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44-4295-B54F-2129D8636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7573381596070777E-2"/>
                  <c:y val="-0.488862156119373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3.7500028125025313</c:v>
                </c:pt>
                <c:pt idx="2">
                  <c:v>13.34003165245951</c:v>
                </c:pt>
                <c:pt idx="3">
                  <c:v>22.500067500243006</c:v>
                </c:pt>
                <c:pt idx="4">
                  <c:v>30.000090000324004</c:v>
                </c:pt>
                <c:pt idx="5">
                  <c:v>37.500112500405002</c:v>
                </c:pt>
                <c:pt idx="6">
                  <c:v>40.500098415286985</c:v>
                </c:pt>
                <c:pt idx="7">
                  <c:v>50.000104166927088</c:v>
                </c:pt>
                <c:pt idx="8">
                  <c:v>56.250094922067206</c:v>
                </c:pt>
                <c:pt idx="9">
                  <c:v>57.00006859009904</c:v>
                </c:pt>
                <c:pt idx="10">
                  <c:v>52.500039375035435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E1-4CAA-88FE-6C7B46EFE220}"/>
            </c:ext>
          </c:extLst>
        </c:ser>
        <c:ser>
          <c:idx val="1"/>
          <c:order val="1"/>
          <c:tx>
            <c:strRef>
              <c:f>'Remington Core-Lokt Copper HP'!$A$222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1935773897486557"/>
                  <c:y val="-0.275373772722854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9</c:v>
                </c:pt>
                <c:pt idx="2">
                  <c:v>21.3</c:v>
                </c:pt>
                <c:pt idx="3">
                  <c:v>32.299999999999997</c:v>
                </c:pt>
                <c:pt idx="4">
                  <c:v>42.3</c:v>
                </c:pt>
                <c:pt idx="5">
                  <c:v>51.6</c:v>
                </c:pt>
                <c:pt idx="6">
                  <c:v>59.5</c:v>
                </c:pt>
                <c:pt idx="7">
                  <c:v>66.2</c:v>
                </c:pt>
                <c:pt idx="8">
                  <c:v>71.900000000000006</c:v>
                </c:pt>
                <c:pt idx="9">
                  <c:v>76.099999999999994</c:v>
                </c:pt>
                <c:pt idx="10">
                  <c:v>78.8</c:v>
                </c:pt>
                <c:pt idx="11">
                  <c:v>80.099999999999994</c:v>
                </c:pt>
                <c:pt idx="12">
                  <c:v>79.7</c:v>
                </c:pt>
                <c:pt idx="13">
                  <c:v>77.599999999999994</c:v>
                </c:pt>
                <c:pt idx="14">
                  <c:v>73.5</c:v>
                </c:pt>
                <c:pt idx="15">
                  <c:v>67.5</c:v>
                </c:pt>
                <c:pt idx="16">
                  <c:v>59.4</c:v>
                </c:pt>
                <c:pt idx="17">
                  <c:v>48.5</c:v>
                </c:pt>
                <c:pt idx="18">
                  <c:v>35.6</c:v>
                </c:pt>
                <c:pt idx="19">
                  <c:v>20</c:v>
                </c:pt>
                <c:pt idx="20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E1-4CAA-88FE-6C7B46EFE220}"/>
            </c:ext>
          </c:extLst>
        </c:ser>
        <c:ser>
          <c:idx val="2"/>
          <c:order val="2"/>
          <c:tx>
            <c:strRef>
              <c:f>'Remington Core-Lokt Copper HP'!$K$222</c:f>
              <c:strCache>
                <c:ptCount val="1"/>
                <c:pt idx="0">
                  <c:v>500m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HP'!$N$224:$N$244</c:f>
              <c:numCache>
                <c:formatCode>0.00</c:formatCode>
                <c:ptCount val="21"/>
                <c:pt idx="0">
                  <c:v>-3.8</c:v>
                </c:pt>
                <c:pt idx="1">
                  <c:v>6</c:v>
                </c:pt>
                <c:pt idx="2">
                  <c:v>15.2</c:v>
                </c:pt>
                <c:pt idx="3">
                  <c:v>23.3</c:v>
                </c:pt>
                <c:pt idx="4">
                  <c:v>30.5</c:v>
                </c:pt>
                <c:pt idx="5">
                  <c:v>37</c:v>
                </c:pt>
                <c:pt idx="6">
                  <c:v>42.3</c:v>
                </c:pt>
                <c:pt idx="7">
                  <c:v>46.7</c:v>
                </c:pt>
                <c:pt idx="8">
                  <c:v>50.2</c:v>
                </c:pt>
                <c:pt idx="9">
                  <c:v>52.6</c:v>
                </c:pt>
                <c:pt idx="10">
                  <c:v>53.9</c:v>
                </c:pt>
                <c:pt idx="11">
                  <c:v>54.1</c:v>
                </c:pt>
                <c:pt idx="12">
                  <c:v>53.2</c:v>
                </c:pt>
                <c:pt idx="13">
                  <c:v>51.2</c:v>
                </c:pt>
                <c:pt idx="14">
                  <c:v>47.8</c:v>
                </c:pt>
                <c:pt idx="15">
                  <c:v>43.3</c:v>
                </c:pt>
                <c:pt idx="16">
                  <c:v>37.5</c:v>
                </c:pt>
                <c:pt idx="17">
                  <c:v>30.1</c:v>
                </c:pt>
                <c:pt idx="18">
                  <c:v>21.6</c:v>
                </c:pt>
                <c:pt idx="19">
                  <c:v>11.7</c:v>
                </c:pt>
                <c:pt idx="20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72-4A4B-9A95-8FC655CF2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7986199305732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6593324019981374E-2"/>
                  <c:y val="-8.72548693366212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(2)'!$B$22:$B$35</c:f>
              <c:numCache>
                <c:formatCode>0.00</c:formatCode>
                <c:ptCount val="14"/>
                <c:pt idx="0">
                  <c:v>4400.8999999999996</c:v>
                </c:pt>
                <c:pt idx="1">
                  <c:v>4219.5</c:v>
                </c:pt>
                <c:pt idx="2">
                  <c:v>3992.3</c:v>
                </c:pt>
                <c:pt idx="3">
                  <c:v>3780</c:v>
                </c:pt>
                <c:pt idx="4">
                  <c:v>3550.6</c:v>
                </c:pt>
                <c:pt idx="5">
                  <c:v>3367.2</c:v>
                </c:pt>
                <c:pt idx="6">
                  <c:v>3169</c:v>
                </c:pt>
                <c:pt idx="7">
                  <c:v>2815.2</c:v>
                </c:pt>
                <c:pt idx="8">
                  <c:v>2489.9</c:v>
                </c:pt>
                <c:pt idx="9">
                  <c:v>2194.1</c:v>
                </c:pt>
                <c:pt idx="10">
                  <c:v>1927.6</c:v>
                </c:pt>
                <c:pt idx="11">
                  <c:v>1688.7</c:v>
                </c:pt>
                <c:pt idx="12">
                  <c:v>1480.7</c:v>
                </c:pt>
                <c:pt idx="13">
                  <c:v>1300.8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31-4B59-9CD6-D73E0BBAC143}"/>
            </c:ext>
          </c:extLst>
        </c:ser>
        <c:ser>
          <c:idx val="1"/>
          <c:order val="1"/>
          <c:tx>
            <c:strRef>
              <c:f>'Remington Core-Lokt Copper  (2)'!$A$78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1216979933959868E-2"/>
                  <c:y val="9.85638694629168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(2)'!$C$80:$C$100</c:f>
              <c:numCache>
                <c:formatCode>0.00</c:formatCode>
                <c:ptCount val="21"/>
                <c:pt idx="0">
                  <c:v>4402</c:v>
                </c:pt>
                <c:pt idx="1">
                  <c:v>4165</c:v>
                </c:pt>
                <c:pt idx="2">
                  <c:v>3940</c:v>
                </c:pt>
                <c:pt idx="3">
                  <c:v>3725</c:v>
                </c:pt>
                <c:pt idx="4">
                  <c:v>3519</c:v>
                </c:pt>
                <c:pt idx="5">
                  <c:v>3322</c:v>
                </c:pt>
                <c:pt idx="6">
                  <c:v>3134</c:v>
                </c:pt>
                <c:pt idx="7">
                  <c:v>2955</c:v>
                </c:pt>
                <c:pt idx="8">
                  <c:v>2783</c:v>
                </c:pt>
                <c:pt idx="9">
                  <c:v>2619</c:v>
                </c:pt>
                <c:pt idx="10">
                  <c:v>2463</c:v>
                </c:pt>
                <c:pt idx="11">
                  <c:v>2314</c:v>
                </c:pt>
                <c:pt idx="12">
                  <c:v>2173</c:v>
                </c:pt>
                <c:pt idx="13">
                  <c:v>2038</c:v>
                </c:pt>
                <c:pt idx="14">
                  <c:v>1910</c:v>
                </c:pt>
                <c:pt idx="15">
                  <c:v>1789</c:v>
                </c:pt>
                <c:pt idx="16">
                  <c:v>1675</c:v>
                </c:pt>
                <c:pt idx="17">
                  <c:v>1567</c:v>
                </c:pt>
                <c:pt idx="18">
                  <c:v>1466</c:v>
                </c:pt>
                <c:pt idx="19">
                  <c:v>1370</c:v>
                </c:pt>
                <c:pt idx="20">
                  <c:v>1284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31-4B59-9CD6-D73E0BBAC143}"/>
            </c:ext>
          </c:extLst>
        </c:ser>
        <c:ser>
          <c:idx val="2"/>
          <c:order val="2"/>
          <c:tx>
            <c:strRef>
              <c:f>'Remington Core-Lokt Copper  (2)'!$K$78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(2)'!$M$80:$M$100</c:f>
              <c:numCache>
                <c:formatCode>0.00</c:formatCode>
                <c:ptCount val="21"/>
                <c:pt idx="0">
                  <c:v>4402</c:v>
                </c:pt>
                <c:pt idx="1">
                  <c:v>4283</c:v>
                </c:pt>
                <c:pt idx="2">
                  <c:v>4168</c:v>
                </c:pt>
                <c:pt idx="3">
                  <c:v>4055</c:v>
                </c:pt>
                <c:pt idx="4">
                  <c:v>3944</c:v>
                </c:pt>
                <c:pt idx="5">
                  <c:v>3836</c:v>
                </c:pt>
                <c:pt idx="6">
                  <c:v>3730</c:v>
                </c:pt>
                <c:pt idx="7">
                  <c:v>3626</c:v>
                </c:pt>
                <c:pt idx="8">
                  <c:v>3525</c:v>
                </c:pt>
                <c:pt idx="9">
                  <c:v>3425</c:v>
                </c:pt>
                <c:pt idx="10">
                  <c:v>3328</c:v>
                </c:pt>
                <c:pt idx="11">
                  <c:v>3233</c:v>
                </c:pt>
                <c:pt idx="12">
                  <c:v>3140</c:v>
                </c:pt>
                <c:pt idx="13">
                  <c:v>3049</c:v>
                </c:pt>
                <c:pt idx="14">
                  <c:v>2960</c:v>
                </c:pt>
                <c:pt idx="15">
                  <c:v>2874</c:v>
                </c:pt>
                <c:pt idx="16">
                  <c:v>2789</c:v>
                </c:pt>
                <c:pt idx="17">
                  <c:v>2706</c:v>
                </c:pt>
                <c:pt idx="18">
                  <c:v>2625</c:v>
                </c:pt>
                <c:pt idx="19">
                  <c:v>2545</c:v>
                </c:pt>
                <c:pt idx="20">
                  <c:v>2471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D31-4B59-9CD6-D73E0BBAC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0</c:v>
                </c:pt>
                <c:pt idx="3">
                  <c:v>2.9568751531987223</c:v>
                </c:pt>
                <c:pt idx="4">
                  <c:v>3.9425002042649626</c:v>
                </c:pt>
                <c:pt idx="5">
                  <c:v>4.9281252553312029</c:v>
                </c:pt>
                <c:pt idx="6">
                  <c:v>2.223000016274761</c:v>
                </c:pt>
                <c:pt idx="7">
                  <c:v>-5.9375001744333975</c:v>
                </c:pt>
                <c:pt idx="8">
                  <c:v>-19.8312541595764</c:v>
                </c:pt>
                <c:pt idx="9">
                  <c:v>-37.050018836540247</c:v>
                </c:pt>
                <c:pt idx="10">
                  <c:v>-69.326340664331781</c:v>
                </c:pt>
                <c:pt idx="11">
                  <c:v>-104.50023774359177</c:v>
                </c:pt>
                <c:pt idx="12">
                  <c:v>-160.31317820046442</c:v>
                </c:pt>
                <c:pt idx="13">
                  <c:v>-197.83853244589636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FA-49B4-B296-1DCD46121B7B}"/>
            </c:ext>
          </c:extLst>
        </c:ser>
        <c:ser>
          <c:idx val="1"/>
          <c:order val="1"/>
          <c:tx>
            <c:strRef>
              <c:f>'Remington Core-Lokt Copper  (2)'!$K$21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-1.763750073155981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-1.9890000116573696</c:v>
                </c:pt>
                <c:pt idx="7">
                  <c:v>-10.625000999552523</c:v>
                </c:pt>
                <c:pt idx="8">
                  <c:v>-26.562509995528604</c:v>
                </c:pt>
                <c:pt idx="9">
                  <c:v>-44.625032913290845</c:v>
                </c:pt>
                <c:pt idx="10">
                  <c:v>-74.375111950072011</c:v>
                </c:pt>
                <c:pt idx="11">
                  <c:v>-106.25024988880747</c:v>
                </c:pt>
                <c:pt idx="12">
                  <c:v>-155.39124263262653</c:v>
                </c:pt>
                <c:pt idx="13">
                  <c:v>-212.50127943632725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5FA-49B4-B296-1DCD46121B7B}"/>
            </c:ext>
          </c:extLst>
        </c:ser>
        <c:ser>
          <c:idx val="2"/>
          <c:order val="2"/>
          <c:tx>
            <c:strRef>
              <c:f>'Remington Core-Lokt Copper  (2)'!$L$21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-3.3203144522521759</c:v>
                </c:pt>
                <c:pt idx="2">
                  <c:v>0</c:v>
                </c:pt>
                <c:pt idx="3">
                  <c:v>1.9921875468540204</c:v>
                </c:pt>
                <c:pt idx="4">
                  <c:v>2.6562500624720276</c:v>
                </c:pt>
                <c:pt idx="5">
                  <c:v>3.3203125780900344</c:v>
                </c:pt>
                <c:pt idx="6">
                  <c:v>0</c:v>
                </c:pt>
                <c:pt idx="7">
                  <c:v>-5.3125001249440551</c:v>
                </c:pt>
                <c:pt idx="8">
                  <c:v>-17.74375297944275</c:v>
                </c:pt>
                <c:pt idx="9">
                  <c:v>-39.843773427026107</c:v>
                </c:pt>
                <c:pt idx="10">
                  <c:v>-57.640677110971708</c:v>
                </c:pt>
                <c:pt idx="11">
                  <c:v>-99.110202820690802</c:v>
                </c:pt>
                <c:pt idx="12">
                  <c:v>-143.43798578444495</c:v>
                </c:pt>
                <c:pt idx="13">
                  <c:v>-201.87609695594833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5FA-49B4-B296-1DCD46121B7B}"/>
            </c:ext>
          </c:extLst>
        </c:ser>
        <c:ser>
          <c:idx val="3"/>
          <c:order val="3"/>
          <c:tx>
            <c:strRef>
              <c:f>'Remington Core-Lokt Copper 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-2.1562505346827763</c:v>
                </c:pt>
                <c:pt idx="2">
                  <c:v>1.9090000927591042</c:v>
                </c:pt>
                <c:pt idx="3">
                  <c:v>4.3125004752735006</c:v>
                </c:pt>
                <c:pt idx="4">
                  <c:v>5.7500006336980007</c:v>
                </c:pt>
                <c:pt idx="5">
                  <c:v>7.1875007921225</c:v>
                </c:pt>
                <c:pt idx="6">
                  <c:v>5.7270002782773126</c:v>
                </c:pt>
                <c:pt idx="7">
                  <c:v>0</c:v>
                </c:pt>
                <c:pt idx="8">
                  <c:v>-11.5000008111334</c:v>
                </c:pt>
                <c:pt idx="9">
                  <c:v>-25.875006416193319</c:v>
                </c:pt>
                <c:pt idx="10">
                  <c:v>-56.350048688328805</c:v>
                </c:pt>
                <c:pt idx="11">
                  <c:v>-92.000162227009923</c:v>
                </c:pt>
                <c:pt idx="12">
                  <c:v>-127.71934294276539</c:v>
                </c:pt>
                <c:pt idx="13">
                  <c:v>-174.80071213961378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5FA-49B4-B296-1DCD46121B7B}"/>
            </c:ext>
          </c:extLst>
        </c:ser>
        <c:ser>
          <c:idx val="4"/>
          <c:order val="4"/>
          <c:tx>
            <c:strRef>
              <c:f>'Remington Core-Lokt Copper 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6.4062535055056378</c:v>
                </c:pt>
                <c:pt idx="3">
                  <c:v>11.531259086273238</c:v>
                </c:pt>
                <c:pt idx="4">
                  <c:v>15.375012115030984</c:v>
                </c:pt>
                <c:pt idx="5">
                  <c:v>19.21876514378873</c:v>
                </c:pt>
                <c:pt idx="6">
                  <c:v>20.479512724906471</c:v>
                </c:pt>
                <c:pt idx="7">
                  <c:v>20.500007179273844</c:v>
                </c:pt>
                <c:pt idx="8">
                  <c:v>12.812501121761183</c:v>
                </c:pt>
                <c:pt idx="9">
                  <c:v>0</c:v>
                </c:pt>
                <c:pt idx="10">
                  <c:v>-17.93750157046566</c:v>
                </c:pt>
                <c:pt idx="11">
                  <c:v>-51.250028044045102</c:v>
                </c:pt>
                <c:pt idx="12">
                  <c:v>-83.025094206520151</c:v>
                </c:pt>
                <c:pt idx="13">
                  <c:v>-128.12528044100353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5FA-49B4-B296-1DCD46121B7B}"/>
            </c:ext>
          </c:extLst>
        </c:ser>
        <c:ser>
          <c:idx val="5"/>
          <c:order val="5"/>
          <c:tx>
            <c:strRef>
              <c:f>'Remington Core-Lokt Copper  (2)'!$O$21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1.8750003515625793</c:v>
                </c:pt>
                <c:pt idx="2">
                  <c:v>11.660021136609924</c:v>
                </c:pt>
                <c:pt idx="3">
                  <c:v>19.500043940118815</c:v>
                </c:pt>
                <c:pt idx="4">
                  <c:v>26.000058586825087</c:v>
                </c:pt>
                <c:pt idx="5">
                  <c:v>32.50007323353136</c:v>
                </c:pt>
                <c:pt idx="6">
                  <c:v>36.000069120159253</c:v>
                </c:pt>
                <c:pt idx="7">
                  <c:v>44.000070986804104</c:v>
                </c:pt>
                <c:pt idx="8">
                  <c:v>45.000048600062982</c:v>
                </c:pt>
                <c:pt idx="9">
                  <c:v>37.500019531262211</c:v>
                </c:pt>
                <c:pt idx="10">
                  <c:v>23.380003477572998</c:v>
                </c:pt>
                <c:pt idx="11">
                  <c:v>0</c:v>
                </c:pt>
                <c:pt idx="12">
                  <c:v>-30.060004471165279</c:v>
                </c:pt>
                <c:pt idx="13">
                  <c:v>-70.000045733369205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5FA-49B4-B296-1DCD46121B7B}"/>
            </c:ext>
          </c:extLst>
        </c:ser>
        <c:ser>
          <c:idx val="6"/>
          <c:order val="6"/>
          <c:tx>
            <c:strRef>
              <c:f>'Remington Core-Lokt Copper  (2)'!$P$21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(2)'!$P$22:$P$35</c:f>
              <c:numCache>
                <c:formatCode>0.00</c:formatCode>
                <c:ptCount val="14"/>
                <c:pt idx="0">
                  <c:v>-3.81</c:v>
                </c:pt>
                <c:pt idx="1">
                  <c:v>6.7256412254941225</c:v>
                </c:pt>
                <c:pt idx="2">
                  <c:v>20.187609695594833</c:v>
                </c:pt>
                <c:pt idx="3">
                  <c:v>31.875191915449086</c:v>
                </c:pt>
                <c:pt idx="4">
                  <c:v>42.500255887265453</c:v>
                </c:pt>
                <c:pt idx="5">
                  <c:v>53.125319859081813</c:v>
                </c:pt>
                <c:pt idx="6">
                  <c:v>60.562829086784497</c:v>
                </c:pt>
                <c:pt idx="7">
                  <c:v>74.375342848372753</c:v>
                </c:pt>
                <c:pt idx="8">
                  <c:v>79.687769880247188</c:v>
                </c:pt>
                <c:pt idx="9">
                  <c:v>78.667680311520954</c:v>
                </c:pt>
                <c:pt idx="10">
                  <c:v>74.375111950072011</c:v>
                </c:pt>
                <c:pt idx="11">
                  <c:v>59.5000438843878</c:v>
                </c:pt>
                <c:pt idx="12">
                  <c:v>31.93875536299695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5FA-49B4-B296-1DCD46121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 (2)'!$C$23:$C$35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8.3000000000000004E-2</c:v>
                </c:pt>
                <c:pt idx="5">
                  <c:v>3.1199999999999999E-2</c:v>
                </c:pt>
                <c:pt idx="6">
                  <c:v>-6.25E-2</c:v>
                </c:pt>
                <c:pt idx="7">
                  <c:v>-0.16700000000000001</c:v>
                </c:pt>
                <c:pt idx="8">
                  <c:v>-0.26</c:v>
                </c:pt>
                <c:pt idx="9">
                  <c:v>-0.41699999999999998</c:v>
                </c:pt>
                <c:pt idx="10">
                  <c:v>-0.55000000000000004</c:v>
                </c:pt>
                <c:pt idx="11">
                  <c:v>-0.75</c:v>
                </c:pt>
                <c:pt idx="12">
                  <c:v>-0.83299999999999996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49-4A6B-8A83-77F057EAFDED}"/>
            </c:ext>
          </c:extLst>
        </c:ser>
        <c:ser>
          <c:idx val="1"/>
          <c:order val="1"/>
          <c:tx>
            <c:strRef>
              <c:f>'Remington Core-Lokt Copper 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 (2)'!$D$23:$D$35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-3.1199999999999999E-2</c:v>
                </c:pt>
                <c:pt idx="6">
                  <c:v>-0.125</c:v>
                </c:pt>
                <c:pt idx="7">
                  <c:v>-0.25</c:v>
                </c:pt>
                <c:pt idx="8">
                  <c:v>-0.35</c:v>
                </c:pt>
                <c:pt idx="9">
                  <c:v>-0.5</c:v>
                </c:pt>
                <c:pt idx="10">
                  <c:v>-0.625</c:v>
                </c:pt>
                <c:pt idx="11">
                  <c:v>-0.8125</c:v>
                </c:pt>
                <c:pt idx="12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49-4A6B-8A83-77F057EAFDED}"/>
            </c:ext>
          </c:extLst>
        </c:ser>
        <c:ser>
          <c:idx val="2"/>
          <c:order val="2"/>
          <c:tx>
            <c:strRef>
              <c:f>'Remington Core-Lokt Copper 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 (2)'!$E$23:$E$35</c:f>
              <c:numCache>
                <c:formatCode>0.000</c:formatCode>
                <c:ptCount val="13"/>
                <c:pt idx="0">
                  <c:v>-0.3125</c:v>
                </c:pt>
                <c:pt idx="1">
                  <c:v>0</c:v>
                </c:pt>
                <c:pt idx="2">
                  <c:v>6.25E-2</c:v>
                </c:pt>
                <c:pt idx="3">
                  <c:v>6.25E-2</c:v>
                </c:pt>
                <c:pt idx="4">
                  <c:v>6.25E-2</c:v>
                </c:pt>
                <c:pt idx="5">
                  <c:v>0</c:v>
                </c:pt>
                <c:pt idx="6">
                  <c:v>-6.25E-2</c:v>
                </c:pt>
                <c:pt idx="7">
                  <c:v>-0.16700000000000001</c:v>
                </c:pt>
                <c:pt idx="8">
                  <c:v>-0.3125</c:v>
                </c:pt>
                <c:pt idx="9">
                  <c:v>-0.38750000000000001</c:v>
                </c:pt>
                <c:pt idx="10">
                  <c:v>-0.58299999999999996</c:v>
                </c:pt>
                <c:pt idx="11">
                  <c:v>-0.75</c:v>
                </c:pt>
                <c:pt idx="12">
                  <c:v>-0.95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A49-4A6B-8A83-77F057EAFDED}"/>
            </c:ext>
          </c:extLst>
        </c:ser>
        <c:ser>
          <c:idx val="3"/>
          <c:order val="3"/>
          <c:tx>
            <c:strRef>
              <c:f>'Remington Core-Lokt Copper  (2)'!$F$21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 (2)'!$F$23:$F$35</c:f>
              <c:numCache>
                <c:formatCode>0.000</c:formatCode>
                <c:ptCount val="13"/>
                <c:pt idx="0">
                  <c:v>-0.1875</c:v>
                </c:pt>
                <c:pt idx="1">
                  <c:v>8.3000000000000004E-2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8.3000000000000004E-2</c:v>
                </c:pt>
                <c:pt idx="6">
                  <c:v>0</c:v>
                </c:pt>
                <c:pt idx="7">
                  <c:v>-0.1</c:v>
                </c:pt>
                <c:pt idx="8">
                  <c:v>-0.1875</c:v>
                </c:pt>
                <c:pt idx="9">
                  <c:v>-0.35</c:v>
                </c:pt>
                <c:pt idx="10">
                  <c:v>-0.5</c:v>
                </c:pt>
                <c:pt idx="11">
                  <c:v>-0.61699999999999999</c:v>
                </c:pt>
                <c:pt idx="12">
                  <c:v>-0.76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A49-4A6B-8A83-77F057EAFDED}"/>
            </c:ext>
          </c:extLst>
        </c:ser>
        <c:ser>
          <c:idx val="4"/>
          <c:order val="4"/>
          <c:tx>
            <c:strRef>
              <c:f>'Remington Core-Lokt Copper  (2)'!$G$21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 (2)'!$G$23:$G$35</c:f>
              <c:numCache>
                <c:formatCode>0.000</c:formatCode>
                <c:ptCount val="13"/>
                <c:pt idx="0">
                  <c:v>0</c:v>
                </c:pt>
                <c:pt idx="1">
                  <c:v>0.3125</c:v>
                </c:pt>
                <c:pt idx="2">
                  <c:v>0.375</c:v>
                </c:pt>
                <c:pt idx="3">
                  <c:v>0.375</c:v>
                </c:pt>
                <c:pt idx="4">
                  <c:v>0.375</c:v>
                </c:pt>
                <c:pt idx="5">
                  <c:v>0.33300000000000002</c:v>
                </c:pt>
                <c:pt idx="6">
                  <c:v>0.25</c:v>
                </c:pt>
                <c:pt idx="7">
                  <c:v>0.125</c:v>
                </c:pt>
                <c:pt idx="8">
                  <c:v>0</c:v>
                </c:pt>
                <c:pt idx="9">
                  <c:v>-0.125</c:v>
                </c:pt>
                <c:pt idx="10">
                  <c:v>-0.3125</c:v>
                </c:pt>
                <c:pt idx="11">
                  <c:v>-0.45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A49-4A6B-8A83-77F057EAFDED}"/>
            </c:ext>
          </c:extLst>
        </c:ser>
        <c:ser>
          <c:idx val="5"/>
          <c:order val="5"/>
          <c:tx>
            <c:strRef>
              <c:f>'Remington Core-Lokt Copper  (2)'!$H$21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 (2)'!$H$23:$H$35</c:f>
              <c:numCache>
                <c:formatCode>0.000</c:formatCode>
                <c:ptCount val="13"/>
                <c:pt idx="0">
                  <c:v>0.1875</c:v>
                </c:pt>
                <c:pt idx="1">
                  <c:v>0.58299999999999996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</c:v>
                </c:pt>
                <c:pt idx="6">
                  <c:v>0.55000000000000004</c:v>
                </c:pt>
                <c:pt idx="7">
                  <c:v>0.45</c:v>
                </c:pt>
                <c:pt idx="8">
                  <c:v>0.3125</c:v>
                </c:pt>
                <c:pt idx="9">
                  <c:v>0.16700000000000001</c:v>
                </c:pt>
                <c:pt idx="10">
                  <c:v>0</c:v>
                </c:pt>
                <c:pt idx="11">
                  <c:v>-0.16700000000000001</c:v>
                </c:pt>
                <c:pt idx="12">
                  <c:v>-0.35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A49-4A6B-8A83-77F057EAFDED}"/>
            </c:ext>
          </c:extLst>
        </c:ser>
        <c:ser>
          <c:idx val="6"/>
          <c:order val="6"/>
          <c:tx>
            <c:strRef>
              <c:f>'Remington Core-Lokt Copper  (2)'!$I$21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 (2)'!$I$23:$I$35</c:f>
              <c:numCache>
                <c:formatCode>0.000</c:formatCode>
                <c:ptCount val="13"/>
                <c:pt idx="0">
                  <c:v>0.63300000000000001</c:v>
                </c:pt>
                <c:pt idx="1">
                  <c:v>0.95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0.95</c:v>
                </c:pt>
                <c:pt idx="6">
                  <c:v>0.875</c:v>
                </c:pt>
                <c:pt idx="7">
                  <c:v>0.75</c:v>
                </c:pt>
                <c:pt idx="8">
                  <c:v>0.61699999999999999</c:v>
                </c:pt>
                <c:pt idx="9">
                  <c:v>0.5</c:v>
                </c:pt>
                <c:pt idx="10">
                  <c:v>0.35</c:v>
                </c:pt>
                <c:pt idx="11">
                  <c:v>0.16700000000000001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A49-4A6B-8A83-77F057EAF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7604524526931039E-2"/>
                  <c:y val="-0.217137894259567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0</c:v>
                </c:pt>
                <c:pt idx="3">
                  <c:v>2.9568751531987223</c:v>
                </c:pt>
                <c:pt idx="4">
                  <c:v>3.9425002042649626</c:v>
                </c:pt>
                <c:pt idx="5">
                  <c:v>4.9281252553312029</c:v>
                </c:pt>
                <c:pt idx="6">
                  <c:v>2.223000016274761</c:v>
                </c:pt>
                <c:pt idx="7">
                  <c:v>-5.9375001744333975</c:v>
                </c:pt>
                <c:pt idx="8">
                  <c:v>-19.8312541595764</c:v>
                </c:pt>
                <c:pt idx="9">
                  <c:v>-37.050018836540247</c:v>
                </c:pt>
                <c:pt idx="10">
                  <c:v>-69.326340664331781</c:v>
                </c:pt>
                <c:pt idx="11">
                  <c:v>-104.50023774359177</c:v>
                </c:pt>
                <c:pt idx="12">
                  <c:v>-160.31317820046442</c:v>
                </c:pt>
                <c:pt idx="13">
                  <c:v>-197.83853244589636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7D-4B12-B923-2E2400CE3492}"/>
            </c:ext>
          </c:extLst>
        </c:ser>
        <c:ser>
          <c:idx val="1"/>
          <c:order val="1"/>
          <c:tx>
            <c:strRef>
              <c:f>'Remington Core-Lokt Copper  (2)'!$A$78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284734857347748"/>
                  <c:y val="-0.246598591234489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0.1</c:v>
                </c:pt>
                <c:pt idx="5">
                  <c:v>-1.4</c:v>
                </c:pt>
                <c:pt idx="6">
                  <c:v>-3.9</c:v>
                </c:pt>
                <c:pt idx="7">
                  <c:v>-7.6</c:v>
                </c:pt>
                <c:pt idx="8">
                  <c:v>-12.8</c:v>
                </c:pt>
                <c:pt idx="9">
                  <c:v>-19.100000000000001</c:v>
                </c:pt>
                <c:pt idx="10">
                  <c:v>-26.8</c:v>
                </c:pt>
                <c:pt idx="11">
                  <c:v>-36.299999999999997</c:v>
                </c:pt>
                <c:pt idx="12">
                  <c:v>-47.2</c:v>
                </c:pt>
                <c:pt idx="13">
                  <c:v>-59.8</c:v>
                </c:pt>
                <c:pt idx="14">
                  <c:v>-74.8</c:v>
                </c:pt>
                <c:pt idx="15">
                  <c:v>-91.3</c:v>
                </c:pt>
                <c:pt idx="16">
                  <c:v>-109.9</c:v>
                </c:pt>
                <c:pt idx="17">
                  <c:v>-131.69999999999999</c:v>
                </c:pt>
                <c:pt idx="18">
                  <c:v>-155.19999999999999</c:v>
                </c:pt>
                <c:pt idx="19">
                  <c:v>-181.3</c:v>
                </c:pt>
                <c:pt idx="20">
                  <c:v>-210.4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7D-4B12-B923-2E2400CE3492}"/>
            </c:ext>
          </c:extLst>
        </c:ser>
        <c:ser>
          <c:idx val="2"/>
          <c:order val="2"/>
          <c:tx>
            <c:strRef>
              <c:f>'Remington Core-Lokt Copper  (2)'!$K$78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(2)'!$N$80:$N$100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0.6</c:v>
                </c:pt>
                <c:pt idx="4">
                  <c:v>0.3</c:v>
                </c:pt>
                <c:pt idx="5">
                  <c:v>-0.9</c:v>
                </c:pt>
                <c:pt idx="6">
                  <c:v>-3</c:v>
                </c:pt>
                <c:pt idx="7">
                  <c:v>-6.1</c:v>
                </c:pt>
                <c:pt idx="8">
                  <c:v>-10.3</c:v>
                </c:pt>
                <c:pt idx="9">
                  <c:v>-15.4</c:v>
                </c:pt>
                <c:pt idx="10">
                  <c:v>-21.5</c:v>
                </c:pt>
                <c:pt idx="11">
                  <c:v>-29</c:v>
                </c:pt>
                <c:pt idx="12">
                  <c:v>-37.4</c:v>
                </c:pt>
                <c:pt idx="13">
                  <c:v>-46.9</c:v>
                </c:pt>
                <c:pt idx="14">
                  <c:v>-58</c:v>
                </c:pt>
                <c:pt idx="15">
                  <c:v>-70</c:v>
                </c:pt>
                <c:pt idx="16">
                  <c:v>-83.2</c:v>
                </c:pt>
                <c:pt idx="17">
                  <c:v>-98.4</c:v>
                </c:pt>
                <c:pt idx="18">
                  <c:v>-114.3</c:v>
                </c:pt>
                <c:pt idx="19">
                  <c:v>-131.69999999999999</c:v>
                </c:pt>
                <c:pt idx="20">
                  <c:v>-150.5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C7D-4B12-B923-2E2400CE3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331759925652882"/>
                  <c:y val="-0.243135753864100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-1.763750073155981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-1.9890000116573696</c:v>
                </c:pt>
                <c:pt idx="7">
                  <c:v>-10.625000999552523</c:v>
                </c:pt>
                <c:pt idx="8">
                  <c:v>-26.562509995528604</c:v>
                </c:pt>
                <c:pt idx="9">
                  <c:v>-44.625032913290845</c:v>
                </c:pt>
                <c:pt idx="10">
                  <c:v>-74.375111950072011</c:v>
                </c:pt>
                <c:pt idx="11">
                  <c:v>-106.25024988880747</c:v>
                </c:pt>
                <c:pt idx="12">
                  <c:v>-155.39124263262653</c:v>
                </c:pt>
                <c:pt idx="13">
                  <c:v>-212.50127943632725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56-4409-B4F0-44276E045183}"/>
            </c:ext>
          </c:extLst>
        </c:ser>
        <c:ser>
          <c:idx val="1"/>
          <c:order val="1"/>
          <c:tx>
            <c:strRef>
              <c:f>'Remington Core-Lokt Copper  (2)'!$A$102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356355701325985"/>
                  <c:y val="-0.219435452512880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-0.1</c:v>
                </c:pt>
                <c:pt idx="3">
                  <c:v>0.5</c:v>
                </c:pt>
                <c:pt idx="4">
                  <c:v>0</c:v>
                </c:pt>
                <c:pt idx="5">
                  <c:v>-1.5</c:v>
                </c:pt>
                <c:pt idx="6">
                  <c:v>-4.0999999999999996</c:v>
                </c:pt>
                <c:pt idx="7">
                  <c:v>-7.8</c:v>
                </c:pt>
                <c:pt idx="8">
                  <c:v>-13</c:v>
                </c:pt>
                <c:pt idx="9">
                  <c:v>-19.3</c:v>
                </c:pt>
                <c:pt idx="10">
                  <c:v>-27</c:v>
                </c:pt>
                <c:pt idx="11">
                  <c:v>-36.6</c:v>
                </c:pt>
                <c:pt idx="12">
                  <c:v>-47.5</c:v>
                </c:pt>
                <c:pt idx="13">
                  <c:v>-60.1</c:v>
                </c:pt>
                <c:pt idx="14">
                  <c:v>-75.2</c:v>
                </c:pt>
                <c:pt idx="15">
                  <c:v>-91.7</c:v>
                </c:pt>
                <c:pt idx="16">
                  <c:v>-110.4</c:v>
                </c:pt>
                <c:pt idx="17">
                  <c:v>-132.1</c:v>
                </c:pt>
                <c:pt idx="18">
                  <c:v>-155.69999999999999</c:v>
                </c:pt>
                <c:pt idx="19">
                  <c:v>-181.9</c:v>
                </c:pt>
                <c:pt idx="20">
                  <c:v>-210.9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E56-4409-B4F0-44276E045183}"/>
            </c:ext>
          </c:extLst>
        </c:ser>
        <c:ser>
          <c:idx val="2"/>
          <c:order val="2"/>
          <c:tx>
            <c:strRef>
              <c:f>'Remington Core-Lokt Copper  (2)'!$K$102</c:f>
              <c:strCache>
                <c:ptCount val="1"/>
                <c:pt idx="0">
                  <c:v>100m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(2)'!$N$104:$N$124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-0.2</c:v>
                </c:pt>
                <c:pt idx="3">
                  <c:v>0.3</c:v>
                </c:pt>
                <c:pt idx="4">
                  <c:v>0</c:v>
                </c:pt>
                <c:pt idx="5">
                  <c:v>-1.3</c:v>
                </c:pt>
                <c:pt idx="6">
                  <c:v>-3.5</c:v>
                </c:pt>
                <c:pt idx="7">
                  <c:v>-6.7</c:v>
                </c:pt>
                <c:pt idx="8">
                  <c:v>-11</c:v>
                </c:pt>
                <c:pt idx="9">
                  <c:v>-16.100000000000001</c:v>
                </c:pt>
                <c:pt idx="10">
                  <c:v>-22.4</c:v>
                </c:pt>
                <c:pt idx="11">
                  <c:v>-30</c:v>
                </c:pt>
                <c:pt idx="12">
                  <c:v>-38.4</c:v>
                </c:pt>
                <c:pt idx="13">
                  <c:v>-48</c:v>
                </c:pt>
                <c:pt idx="14">
                  <c:v>-59.2</c:v>
                </c:pt>
                <c:pt idx="15">
                  <c:v>-71.3</c:v>
                </c:pt>
                <c:pt idx="16">
                  <c:v>-84.6</c:v>
                </c:pt>
                <c:pt idx="17">
                  <c:v>-99.8</c:v>
                </c:pt>
                <c:pt idx="18">
                  <c:v>-115.8</c:v>
                </c:pt>
                <c:pt idx="19">
                  <c:v>-133.30000000000001</c:v>
                </c:pt>
                <c:pt idx="20">
                  <c:v>-152.1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E56-4409-B4F0-44276E045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121205914114024"/>
                  <c:y val="-0.2402563915621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-3.3203144522521759</c:v>
                </c:pt>
                <c:pt idx="2">
                  <c:v>0</c:v>
                </c:pt>
                <c:pt idx="3">
                  <c:v>1.9921875468540204</c:v>
                </c:pt>
                <c:pt idx="4">
                  <c:v>2.6562500624720276</c:v>
                </c:pt>
                <c:pt idx="5">
                  <c:v>3.3203125780900344</c:v>
                </c:pt>
                <c:pt idx="6">
                  <c:v>0</c:v>
                </c:pt>
                <c:pt idx="7">
                  <c:v>-5.3125001249440551</c:v>
                </c:pt>
                <c:pt idx="8">
                  <c:v>-17.74375297944275</c:v>
                </c:pt>
                <c:pt idx="9">
                  <c:v>-39.843773427026107</c:v>
                </c:pt>
                <c:pt idx="10">
                  <c:v>-57.640677110971708</c:v>
                </c:pt>
                <c:pt idx="11">
                  <c:v>-99.110202820690802</c:v>
                </c:pt>
                <c:pt idx="12">
                  <c:v>-143.43798578444495</c:v>
                </c:pt>
                <c:pt idx="13">
                  <c:v>-201.87609695594833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1-4F39-B4DC-B727FAF94B09}"/>
            </c:ext>
          </c:extLst>
        </c:ser>
        <c:ser>
          <c:idx val="1"/>
          <c:order val="1"/>
          <c:tx>
            <c:strRef>
              <c:f>'Remington Core-Lokt Copper  (2)'!$A$126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993676582240863"/>
                  <c:y val="-0.213330174006027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-0.8</c:v>
                </c:pt>
                <c:pt idx="2">
                  <c:v>1.3</c:v>
                </c:pt>
                <c:pt idx="3">
                  <c:v>2.5</c:v>
                </c:pt>
                <c:pt idx="4">
                  <c:v>2.8</c:v>
                </c:pt>
                <c:pt idx="5">
                  <c:v>1.9</c:v>
                </c:pt>
                <c:pt idx="6">
                  <c:v>0</c:v>
                </c:pt>
                <c:pt idx="7">
                  <c:v>-3</c:v>
                </c:pt>
                <c:pt idx="8">
                  <c:v>-7.5</c:v>
                </c:pt>
                <c:pt idx="9">
                  <c:v>-13.1</c:v>
                </c:pt>
                <c:pt idx="10">
                  <c:v>-20.100000000000001</c:v>
                </c:pt>
                <c:pt idx="11">
                  <c:v>-29</c:v>
                </c:pt>
                <c:pt idx="12">
                  <c:v>-39.200000000000003</c:v>
                </c:pt>
                <c:pt idx="13">
                  <c:v>-51.2</c:v>
                </c:pt>
                <c:pt idx="14">
                  <c:v>-65.5</c:v>
                </c:pt>
                <c:pt idx="15">
                  <c:v>-81.3</c:v>
                </c:pt>
                <c:pt idx="16">
                  <c:v>-99.3</c:v>
                </c:pt>
                <c:pt idx="17">
                  <c:v>-120.4</c:v>
                </c:pt>
                <c:pt idx="18">
                  <c:v>-143.30000000000001</c:v>
                </c:pt>
                <c:pt idx="19">
                  <c:v>-168.8</c:v>
                </c:pt>
                <c:pt idx="20">
                  <c:v>-197.2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1-4F39-B4DC-B727FAF94B09}"/>
            </c:ext>
          </c:extLst>
        </c:ser>
        <c:ser>
          <c:idx val="2"/>
          <c:order val="2"/>
          <c:tx>
            <c:strRef>
              <c:f>'Remington Core-Lokt Copper  (2)'!$K$126</c:f>
              <c:strCache>
                <c:ptCount val="1"/>
                <c:pt idx="0">
                  <c:v>150m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(2)'!$K$128:$K$148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(2)'!$N$128:$N$148</c:f>
              <c:numCache>
                <c:formatCode>0.00</c:formatCode>
                <c:ptCount val="21"/>
                <c:pt idx="0">
                  <c:v>-3.8</c:v>
                </c:pt>
                <c:pt idx="1">
                  <c:v>-1</c:v>
                </c:pt>
                <c:pt idx="2">
                  <c:v>1</c:v>
                </c:pt>
                <c:pt idx="3">
                  <c:v>2.1</c:v>
                </c:pt>
                <c:pt idx="4">
                  <c:v>2.2999999999999998</c:v>
                </c:pt>
                <c:pt idx="5">
                  <c:v>1.6</c:v>
                </c:pt>
                <c:pt idx="6">
                  <c:v>0</c:v>
                </c:pt>
                <c:pt idx="7">
                  <c:v>-2.6</c:v>
                </c:pt>
                <c:pt idx="8">
                  <c:v>-6.3</c:v>
                </c:pt>
                <c:pt idx="9">
                  <c:v>-10.9</c:v>
                </c:pt>
                <c:pt idx="10">
                  <c:v>-16.5</c:v>
                </c:pt>
                <c:pt idx="11">
                  <c:v>-23.5</c:v>
                </c:pt>
                <c:pt idx="12">
                  <c:v>-31.4</c:v>
                </c:pt>
                <c:pt idx="13">
                  <c:v>-40.4</c:v>
                </c:pt>
                <c:pt idx="14">
                  <c:v>-51</c:v>
                </c:pt>
                <c:pt idx="15">
                  <c:v>-62.5</c:v>
                </c:pt>
                <c:pt idx="16">
                  <c:v>-75.2</c:v>
                </c:pt>
                <c:pt idx="17">
                  <c:v>-89.8</c:v>
                </c:pt>
                <c:pt idx="18">
                  <c:v>-105.3</c:v>
                </c:pt>
                <c:pt idx="19">
                  <c:v>-122.1</c:v>
                </c:pt>
                <c:pt idx="20">
                  <c:v>-140.4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1-4F39-B4DC-B727FAF94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390375856451009E-2"/>
                  <c:y val="-0.286700690191503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-2.1562505346827763</c:v>
                </c:pt>
                <c:pt idx="2">
                  <c:v>1.9090000927591042</c:v>
                </c:pt>
                <c:pt idx="3">
                  <c:v>4.3125004752735006</c:v>
                </c:pt>
                <c:pt idx="4">
                  <c:v>5.7500006336980007</c:v>
                </c:pt>
                <c:pt idx="5">
                  <c:v>7.1875007921225</c:v>
                </c:pt>
                <c:pt idx="6">
                  <c:v>5.7270002782773126</c:v>
                </c:pt>
                <c:pt idx="7">
                  <c:v>0</c:v>
                </c:pt>
                <c:pt idx="8">
                  <c:v>-11.5000008111334</c:v>
                </c:pt>
                <c:pt idx="9">
                  <c:v>-25.875006416193319</c:v>
                </c:pt>
                <c:pt idx="10">
                  <c:v>-56.350048688328805</c:v>
                </c:pt>
                <c:pt idx="11">
                  <c:v>-92.000162227009923</c:v>
                </c:pt>
                <c:pt idx="12">
                  <c:v>-127.71934294276539</c:v>
                </c:pt>
                <c:pt idx="13">
                  <c:v>-174.80071213961378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F8-40C7-B8EA-63EC01927178}"/>
            </c:ext>
          </c:extLst>
        </c:ser>
        <c:ser>
          <c:idx val="1"/>
          <c:order val="1"/>
          <c:tx>
            <c:strRef>
              <c:f>'Remington Core-Lokt Copper  (2)'!$A$150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78563561816286"/>
                  <c:y val="-0.21415937591134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0.1</c:v>
                </c:pt>
                <c:pt idx="2">
                  <c:v>3.2</c:v>
                </c:pt>
                <c:pt idx="3">
                  <c:v>5.3</c:v>
                </c:pt>
                <c:pt idx="4">
                  <c:v>6.5</c:v>
                </c:pt>
                <c:pt idx="5">
                  <c:v>6.6</c:v>
                </c:pt>
                <c:pt idx="6">
                  <c:v>5.6</c:v>
                </c:pt>
                <c:pt idx="7">
                  <c:v>3.5</c:v>
                </c:pt>
                <c:pt idx="8">
                  <c:v>0</c:v>
                </c:pt>
                <c:pt idx="9">
                  <c:v>-4.7</c:v>
                </c:pt>
                <c:pt idx="10">
                  <c:v>-10.8</c:v>
                </c:pt>
                <c:pt idx="11">
                  <c:v>-18.8</c:v>
                </c:pt>
                <c:pt idx="12">
                  <c:v>-28</c:v>
                </c:pt>
                <c:pt idx="13">
                  <c:v>-39.1</c:v>
                </c:pt>
                <c:pt idx="14">
                  <c:v>-52.4</c:v>
                </c:pt>
                <c:pt idx="15">
                  <c:v>-67.400000000000006</c:v>
                </c:pt>
                <c:pt idx="16">
                  <c:v>-84.4</c:v>
                </c:pt>
                <c:pt idx="17">
                  <c:v>-104.6</c:v>
                </c:pt>
                <c:pt idx="18">
                  <c:v>-126.5</c:v>
                </c:pt>
                <c:pt idx="19">
                  <c:v>-151.1</c:v>
                </c:pt>
                <c:pt idx="20">
                  <c:v>-178.6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F8-40C7-B8EA-63EC01927178}"/>
            </c:ext>
          </c:extLst>
        </c:ser>
        <c:ser>
          <c:idx val="2"/>
          <c:order val="2"/>
          <c:tx>
            <c:strRef>
              <c:f>'Remington Core-Lokt Copper  (2)'!$K$150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(2)'!$N$152:$N$172</c:f>
              <c:numCache>
                <c:formatCode>0.00</c:formatCode>
                <c:ptCount val="21"/>
                <c:pt idx="0">
                  <c:v>-3.8</c:v>
                </c:pt>
                <c:pt idx="1">
                  <c:v>-0.2</c:v>
                </c:pt>
                <c:pt idx="2">
                  <c:v>2.6</c:v>
                </c:pt>
                <c:pt idx="3">
                  <c:v>4.4000000000000004</c:v>
                </c:pt>
                <c:pt idx="4">
                  <c:v>5.4</c:v>
                </c:pt>
                <c:pt idx="5">
                  <c:v>5.5</c:v>
                </c:pt>
                <c:pt idx="6">
                  <c:v>4.7</c:v>
                </c:pt>
                <c:pt idx="7">
                  <c:v>2.9</c:v>
                </c:pt>
                <c:pt idx="8">
                  <c:v>-0.1</c:v>
                </c:pt>
                <c:pt idx="9">
                  <c:v>-3.9</c:v>
                </c:pt>
                <c:pt idx="10">
                  <c:v>-8.8000000000000007</c:v>
                </c:pt>
                <c:pt idx="11">
                  <c:v>-15</c:v>
                </c:pt>
                <c:pt idx="12">
                  <c:v>-22.1</c:v>
                </c:pt>
                <c:pt idx="13">
                  <c:v>-30.3</c:v>
                </c:pt>
                <c:pt idx="14">
                  <c:v>-40.1</c:v>
                </c:pt>
                <c:pt idx="15">
                  <c:v>-50.9</c:v>
                </c:pt>
                <c:pt idx="16">
                  <c:v>-62.8</c:v>
                </c:pt>
                <c:pt idx="17">
                  <c:v>-76.599999999999994</c:v>
                </c:pt>
                <c:pt idx="18">
                  <c:v>-91.3</c:v>
                </c:pt>
                <c:pt idx="19">
                  <c:v>-107.4</c:v>
                </c:pt>
                <c:pt idx="20">
                  <c:v>-125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7F8-40C7-B8EA-63EC01927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7.8576187352617372E-2"/>
                  <c:y val="-0.301569213570525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6.4062535055056378</c:v>
                </c:pt>
                <c:pt idx="3">
                  <c:v>11.531259086273238</c:v>
                </c:pt>
                <c:pt idx="4">
                  <c:v>15.375012115030984</c:v>
                </c:pt>
                <c:pt idx="5">
                  <c:v>19.21876514378873</c:v>
                </c:pt>
                <c:pt idx="6">
                  <c:v>20.479512724906471</c:v>
                </c:pt>
                <c:pt idx="7">
                  <c:v>20.500007179273844</c:v>
                </c:pt>
                <c:pt idx="8">
                  <c:v>12.812501121761183</c:v>
                </c:pt>
                <c:pt idx="9">
                  <c:v>0</c:v>
                </c:pt>
                <c:pt idx="10">
                  <c:v>-17.93750157046566</c:v>
                </c:pt>
                <c:pt idx="11">
                  <c:v>-51.250028044045102</c:v>
                </c:pt>
                <c:pt idx="12">
                  <c:v>-83.025094206520151</c:v>
                </c:pt>
                <c:pt idx="13">
                  <c:v>-128.12528044100353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5D-4B85-872F-7D5C69BA97EB}"/>
            </c:ext>
          </c:extLst>
        </c:ser>
        <c:ser>
          <c:idx val="1"/>
          <c:order val="1"/>
          <c:tx>
            <c:strRef>
              <c:f>'Remington Core-Lokt Copper  (2)'!$A$174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4.7756219570696951E-2"/>
                  <c:y val="-0.1889984932439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2.4</c:v>
                </c:pt>
                <c:pt idx="2">
                  <c:v>7.9</c:v>
                </c:pt>
                <c:pt idx="3">
                  <c:v>12.4</c:v>
                </c:pt>
                <c:pt idx="4">
                  <c:v>15.8</c:v>
                </c:pt>
                <c:pt idx="5">
                  <c:v>18.3</c:v>
                </c:pt>
                <c:pt idx="6">
                  <c:v>19.7</c:v>
                </c:pt>
                <c:pt idx="7">
                  <c:v>19.899999999999999</c:v>
                </c:pt>
                <c:pt idx="8">
                  <c:v>18.8</c:v>
                </c:pt>
                <c:pt idx="9">
                  <c:v>16.3</c:v>
                </c:pt>
                <c:pt idx="10">
                  <c:v>12.5</c:v>
                </c:pt>
                <c:pt idx="11">
                  <c:v>7</c:v>
                </c:pt>
                <c:pt idx="12">
                  <c:v>0</c:v>
                </c:pt>
                <c:pt idx="13">
                  <c:v>-8.6999999999999993</c:v>
                </c:pt>
                <c:pt idx="14">
                  <c:v>-19.7</c:v>
                </c:pt>
                <c:pt idx="15">
                  <c:v>-32.299999999999997</c:v>
                </c:pt>
                <c:pt idx="16">
                  <c:v>-47</c:v>
                </c:pt>
                <c:pt idx="17">
                  <c:v>-64.8</c:v>
                </c:pt>
                <c:pt idx="18">
                  <c:v>-84.4</c:v>
                </c:pt>
                <c:pt idx="19">
                  <c:v>-106.7</c:v>
                </c:pt>
                <c:pt idx="20">
                  <c:v>-131.80000000000001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05D-4B85-872F-7D5C69BA97EB}"/>
            </c:ext>
          </c:extLst>
        </c:ser>
        <c:ser>
          <c:idx val="2"/>
          <c:order val="2"/>
          <c:tx>
            <c:strRef>
              <c:f>'Remington Core-Lokt Copper  (2)'!$K$174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(2)'!$N$176:$N$196</c:f>
              <c:numCache>
                <c:formatCode>0.00</c:formatCode>
                <c:ptCount val="21"/>
                <c:pt idx="0">
                  <c:v>-3.8</c:v>
                </c:pt>
                <c:pt idx="1">
                  <c:v>1.6</c:v>
                </c:pt>
                <c:pt idx="2">
                  <c:v>6.3</c:v>
                </c:pt>
                <c:pt idx="3">
                  <c:v>10</c:v>
                </c:pt>
                <c:pt idx="4">
                  <c:v>12.8</c:v>
                </c:pt>
                <c:pt idx="5">
                  <c:v>14.8</c:v>
                </c:pt>
                <c:pt idx="6">
                  <c:v>15.7</c:v>
                </c:pt>
                <c:pt idx="7">
                  <c:v>15.8</c:v>
                </c:pt>
                <c:pt idx="8">
                  <c:v>14.7</c:v>
                </c:pt>
                <c:pt idx="9">
                  <c:v>12.7</c:v>
                </c:pt>
                <c:pt idx="10">
                  <c:v>9.6999999999999993</c:v>
                </c:pt>
                <c:pt idx="11">
                  <c:v>5.4</c:v>
                </c:pt>
                <c:pt idx="12">
                  <c:v>0.1</c:v>
                </c:pt>
                <c:pt idx="13">
                  <c:v>-6.4</c:v>
                </c:pt>
                <c:pt idx="14">
                  <c:v>-14.3</c:v>
                </c:pt>
                <c:pt idx="15">
                  <c:v>-23.2</c:v>
                </c:pt>
                <c:pt idx="16">
                  <c:v>-33.299999999999997</c:v>
                </c:pt>
                <c:pt idx="17">
                  <c:v>-45.2</c:v>
                </c:pt>
                <c:pt idx="18">
                  <c:v>-58.1</c:v>
                </c:pt>
                <c:pt idx="19">
                  <c:v>-72.400000000000006</c:v>
                </c:pt>
                <c:pt idx="20">
                  <c:v>-88.1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05D-4B85-872F-7D5C69BA9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layout>
        <c:manualLayout>
          <c:xMode val="edge"/>
          <c:yMode val="edge"/>
          <c:x val="0.281342270218221"/>
          <c:y val="3.08641975308641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852761983694E-2"/>
                  <c:y val="-0.4179943132108486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1.8750003515625793</c:v>
                </c:pt>
                <c:pt idx="2">
                  <c:v>11.660021136609924</c:v>
                </c:pt>
                <c:pt idx="3">
                  <c:v>19.500043940118815</c:v>
                </c:pt>
                <c:pt idx="4">
                  <c:v>26.000058586825087</c:v>
                </c:pt>
                <c:pt idx="5">
                  <c:v>32.50007323353136</c:v>
                </c:pt>
                <c:pt idx="6">
                  <c:v>36.000069120159253</c:v>
                </c:pt>
                <c:pt idx="7">
                  <c:v>44.000070986804104</c:v>
                </c:pt>
                <c:pt idx="8">
                  <c:v>45.000048600062982</c:v>
                </c:pt>
                <c:pt idx="9">
                  <c:v>37.500019531262211</c:v>
                </c:pt>
                <c:pt idx="10">
                  <c:v>23.380003477572998</c:v>
                </c:pt>
                <c:pt idx="11">
                  <c:v>0</c:v>
                </c:pt>
                <c:pt idx="12">
                  <c:v>-30.060004471165279</c:v>
                </c:pt>
                <c:pt idx="13">
                  <c:v>-70.000045733369205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37-46E4-88B1-9C3238F7774B}"/>
            </c:ext>
          </c:extLst>
        </c:ser>
        <c:ser>
          <c:idx val="1"/>
          <c:order val="1"/>
          <c:tx>
            <c:strRef>
              <c:f>'Remington Core-Lokt Copper  (2)'!$A$198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0389460263028383E-2"/>
                  <c:y val="-6.176679303975891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5.4</c:v>
                </c:pt>
                <c:pt idx="2">
                  <c:v>13.9</c:v>
                </c:pt>
                <c:pt idx="3">
                  <c:v>21.2</c:v>
                </c:pt>
                <c:pt idx="4">
                  <c:v>27.6</c:v>
                </c:pt>
                <c:pt idx="5">
                  <c:v>33.200000000000003</c:v>
                </c:pt>
                <c:pt idx="6">
                  <c:v>37.4</c:v>
                </c:pt>
                <c:pt idx="7">
                  <c:v>40.5</c:v>
                </c:pt>
                <c:pt idx="8">
                  <c:v>42.4</c:v>
                </c:pt>
                <c:pt idx="9">
                  <c:v>42.9</c:v>
                </c:pt>
                <c:pt idx="10">
                  <c:v>42.1</c:v>
                </c:pt>
                <c:pt idx="11">
                  <c:v>39.6</c:v>
                </c:pt>
                <c:pt idx="12">
                  <c:v>35.5</c:v>
                </c:pt>
                <c:pt idx="13">
                  <c:v>29.7</c:v>
                </c:pt>
                <c:pt idx="14">
                  <c:v>21.8</c:v>
                </c:pt>
                <c:pt idx="15">
                  <c:v>12.1</c:v>
                </c:pt>
                <c:pt idx="16">
                  <c:v>0.2</c:v>
                </c:pt>
                <c:pt idx="17">
                  <c:v>-14.5</c:v>
                </c:pt>
                <c:pt idx="18">
                  <c:v>-31.2</c:v>
                </c:pt>
                <c:pt idx="19">
                  <c:v>-50.6</c:v>
                </c:pt>
                <c:pt idx="20">
                  <c:v>-72.8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37-46E4-88B1-9C3238F7774B}"/>
            </c:ext>
          </c:extLst>
        </c:ser>
        <c:ser>
          <c:idx val="2"/>
          <c:order val="2"/>
          <c:tx>
            <c:strRef>
              <c:f>'Remington Core-Lokt Copper  (2)'!$K$198</c:f>
              <c:strCache>
                <c:ptCount val="1"/>
                <c:pt idx="0">
                  <c:v>400m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(2)'!$N$200:$N$220</c:f>
              <c:numCache>
                <c:formatCode>0.00</c:formatCode>
                <c:ptCount val="21"/>
                <c:pt idx="0">
                  <c:v>-3.8</c:v>
                </c:pt>
                <c:pt idx="1">
                  <c:v>3.7</c:v>
                </c:pt>
                <c:pt idx="2">
                  <c:v>10.5</c:v>
                </c:pt>
                <c:pt idx="3">
                  <c:v>16.3</c:v>
                </c:pt>
                <c:pt idx="4">
                  <c:v>21.2</c:v>
                </c:pt>
                <c:pt idx="5">
                  <c:v>25.3</c:v>
                </c:pt>
                <c:pt idx="6">
                  <c:v>28.3</c:v>
                </c:pt>
                <c:pt idx="7">
                  <c:v>30.4</c:v>
                </c:pt>
                <c:pt idx="8">
                  <c:v>31.6</c:v>
                </c:pt>
                <c:pt idx="9">
                  <c:v>31.6</c:v>
                </c:pt>
                <c:pt idx="10">
                  <c:v>30.6</c:v>
                </c:pt>
                <c:pt idx="11">
                  <c:v>28.5</c:v>
                </c:pt>
                <c:pt idx="12">
                  <c:v>25.3</c:v>
                </c:pt>
                <c:pt idx="13">
                  <c:v>20.9</c:v>
                </c:pt>
                <c:pt idx="14">
                  <c:v>15.1</c:v>
                </c:pt>
                <c:pt idx="15">
                  <c:v>8.3000000000000007</c:v>
                </c:pt>
                <c:pt idx="16">
                  <c:v>0.2</c:v>
                </c:pt>
                <c:pt idx="17">
                  <c:v>-9.6</c:v>
                </c:pt>
                <c:pt idx="18">
                  <c:v>-20.399999999999999</c:v>
                </c:pt>
                <c:pt idx="19">
                  <c:v>-32.6</c:v>
                </c:pt>
                <c:pt idx="20">
                  <c:v>-46.2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237-46E4-88B1-9C3238F77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7573381596070777E-2"/>
                  <c:y val="-0.488862156119373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(2)'!$P$22:$P$35</c:f>
              <c:numCache>
                <c:formatCode>0.00</c:formatCode>
                <c:ptCount val="14"/>
                <c:pt idx="0">
                  <c:v>-3.81</c:v>
                </c:pt>
                <c:pt idx="1">
                  <c:v>6.7256412254941225</c:v>
                </c:pt>
                <c:pt idx="2">
                  <c:v>20.187609695594833</c:v>
                </c:pt>
                <c:pt idx="3">
                  <c:v>31.875191915449086</c:v>
                </c:pt>
                <c:pt idx="4">
                  <c:v>42.500255887265453</c:v>
                </c:pt>
                <c:pt idx="5">
                  <c:v>53.125319859081813</c:v>
                </c:pt>
                <c:pt idx="6">
                  <c:v>60.562829086784497</c:v>
                </c:pt>
                <c:pt idx="7">
                  <c:v>74.375342848372753</c:v>
                </c:pt>
                <c:pt idx="8">
                  <c:v>79.687769880247188</c:v>
                </c:pt>
                <c:pt idx="9">
                  <c:v>78.667680311520954</c:v>
                </c:pt>
                <c:pt idx="10">
                  <c:v>74.375111950072011</c:v>
                </c:pt>
                <c:pt idx="11">
                  <c:v>59.5000438843878</c:v>
                </c:pt>
                <c:pt idx="12">
                  <c:v>31.93875536299695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2E-4483-AF81-49706FB9549B}"/>
            </c:ext>
          </c:extLst>
        </c:ser>
        <c:ser>
          <c:idx val="1"/>
          <c:order val="1"/>
          <c:tx>
            <c:strRef>
              <c:f>'Remington Core-Lokt Copper  (2)'!$A$222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1935773897486557"/>
                  <c:y val="-0.275373772722854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9</c:v>
                </c:pt>
                <c:pt idx="2">
                  <c:v>21.3</c:v>
                </c:pt>
                <c:pt idx="3">
                  <c:v>32.299999999999997</c:v>
                </c:pt>
                <c:pt idx="4">
                  <c:v>42.3</c:v>
                </c:pt>
                <c:pt idx="5">
                  <c:v>51.6</c:v>
                </c:pt>
                <c:pt idx="6">
                  <c:v>59.5</c:v>
                </c:pt>
                <c:pt idx="7">
                  <c:v>66.2</c:v>
                </c:pt>
                <c:pt idx="8">
                  <c:v>71.900000000000006</c:v>
                </c:pt>
                <c:pt idx="9">
                  <c:v>76</c:v>
                </c:pt>
                <c:pt idx="10">
                  <c:v>78.8</c:v>
                </c:pt>
                <c:pt idx="11">
                  <c:v>80</c:v>
                </c:pt>
                <c:pt idx="12">
                  <c:v>79.599999999999994</c:v>
                </c:pt>
                <c:pt idx="13">
                  <c:v>77.400000000000006</c:v>
                </c:pt>
                <c:pt idx="14">
                  <c:v>73.2</c:v>
                </c:pt>
                <c:pt idx="15">
                  <c:v>67.099999999999994</c:v>
                </c:pt>
                <c:pt idx="16">
                  <c:v>58.9</c:v>
                </c:pt>
                <c:pt idx="17">
                  <c:v>48</c:v>
                </c:pt>
                <c:pt idx="18">
                  <c:v>34.9</c:v>
                </c:pt>
                <c:pt idx="19">
                  <c:v>19.2</c:v>
                </c:pt>
                <c:pt idx="20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2E-4483-AF81-49706FB9549B}"/>
            </c:ext>
          </c:extLst>
        </c:ser>
        <c:ser>
          <c:idx val="2"/>
          <c:order val="2"/>
          <c:tx>
            <c:strRef>
              <c:f>'Remington Core-Lokt Copper  (2)'!$K$222</c:f>
              <c:strCache>
                <c:ptCount val="1"/>
                <c:pt idx="0">
                  <c:v>500m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(2)'!$N$224:$N$244</c:f>
              <c:numCache>
                <c:formatCode>0.00</c:formatCode>
                <c:ptCount val="21"/>
                <c:pt idx="0">
                  <c:v>-3.8</c:v>
                </c:pt>
                <c:pt idx="1">
                  <c:v>6</c:v>
                </c:pt>
                <c:pt idx="2">
                  <c:v>15.2</c:v>
                </c:pt>
                <c:pt idx="3">
                  <c:v>23.3</c:v>
                </c:pt>
                <c:pt idx="4">
                  <c:v>30.5</c:v>
                </c:pt>
                <c:pt idx="5">
                  <c:v>37</c:v>
                </c:pt>
                <c:pt idx="6">
                  <c:v>42.3</c:v>
                </c:pt>
                <c:pt idx="7">
                  <c:v>46.7</c:v>
                </c:pt>
                <c:pt idx="8">
                  <c:v>50.2</c:v>
                </c:pt>
                <c:pt idx="9">
                  <c:v>52.6</c:v>
                </c:pt>
                <c:pt idx="10">
                  <c:v>53.9</c:v>
                </c:pt>
                <c:pt idx="11">
                  <c:v>54.1</c:v>
                </c:pt>
                <c:pt idx="12">
                  <c:v>53.2</c:v>
                </c:pt>
                <c:pt idx="13">
                  <c:v>51.2</c:v>
                </c:pt>
                <c:pt idx="14">
                  <c:v>47.8</c:v>
                </c:pt>
                <c:pt idx="15">
                  <c:v>43.3</c:v>
                </c:pt>
                <c:pt idx="16">
                  <c:v>37.5</c:v>
                </c:pt>
                <c:pt idx="17">
                  <c:v>30.1</c:v>
                </c:pt>
                <c:pt idx="18">
                  <c:v>21.6</c:v>
                </c:pt>
                <c:pt idx="19">
                  <c:v>11.7</c:v>
                </c:pt>
                <c:pt idx="20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72E-4483-AF81-49706FB95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PHP'!$B$1:$E$1</c:f>
              <c:strCache>
                <c:ptCount val="1"/>
                <c:pt idx="0">
                  <c:v>300 Winchester Magnum Federal Terminal Ascent Polymer Tipped Hollow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PHP'!$B$22:$B$35</c:f>
              <c:numCache>
                <c:formatCode>0.00</c:formatCode>
                <c:ptCount val="14"/>
                <c:pt idx="0">
                  <c:v>4753</c:v>
                </c:pt>
                <c:pt idx="1">
                  <c:v>4647.3999999999996</c:v>
                </c:pt>
                <c:pt idx="2">
                  <c:v>4510.5</c:v>
                </c:pt>
                <c:pt idx="3">
                  <c:v>4378.8999999999996</c:v>
                </c:pt>
                <c:pt idx="4">
                  <c:v>4231.3</c:v>
                </c:pt>
                <c:pt idx="5">
                  <c:v>4110</c:v>
                </c:pt>
                <c:pt idx="6">
                  <c:v>3993.1</c:v>
                </c:pt>
                <c:pt idx="7">
                  <c:v>3753.8</c:v>
                </c:pt>
                <c:pt idx="8">
                  <c:v>3532.6</c:v>
                </c:pt>
                <c:pt idx="9">
                  <c:v>3313.8</c:v>
                </c:pt>
                <c:pt idx="10">
                  <c:v>3111.4</c:v>
                </c:pt>
                <c:pt idx="11">
                  <c:v>2911.5</c:v>
                </c:pt>
                <c:pt idx="12">
                  <c:v>2729.6</c:v>
                </c:pt>
                <c:pt idx="13">
                  <c:v>2550.4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1A-4206-A891-2BA886F8A05D}"/>
            </c:ext>
          </c:extLst>
        </c:ser>
        <c:ser>
          <c:idx val="1"/>
          <c:order val="1"/>
          <c:tx>
            <c:strRef>
              <c:f>'Power-Shok SP'!$B$1:$D$1</c:f>
              <c:strCache>
                <c:ptCount val="1"/>
                <c:pt idx="0">
                  <c:v>300 Winchester Magnum Federal Power-Shok Soft Point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'Power-Shok SP'!$B$22:$B$35</c:f>
              <c:numCache>
                <c:formatCode>0.00</c:formatCode>
                <c:ptCount val="14"/>
                <c:pt idx="0">
                  <c:v>4480.1000000000004</c:v>
                </c:pt>
                <c:pt idx="1">
                  <c:v>4396.7</c:v>
                </c:pt>
                <c:pt idx="2">
                  <c:v>4306.3</c:v>
                </c:pt>
                <c:pt idx="3">
                  <c:v>4218.5</c:v>
                </c:pt>
                <c:pt idx="4">
                  <c:v>4115.8999999999996</c:v>
                </c:pt>
                <c:pt idx="5">
                  <c:v>4032.6</c:v>
                </c:pt>
                <c:pt idx="6">
                  <c:v>3935.5</c:v>
                </c:pt>
                <c:pt idx="7">
                  <c:v>3765.3</c:v>
                </c:pt>
                <c:pt idx="8">
                  <c:v>3589.5</c:v>
                </c:pt>
                <c:pt idx="9">
                  <c:v>3437.3</c:v>
                </c:pt>
                <c:pt idx="10">
                  <c:v>3280.5</c:v>
                </c:pt>
                <c:pt idx="11">
                  <c:v>3120.8</c:v>
                </c:pt>
                <c:pt idx="12">
                  <c:v>2982.4</c:v>
                </c:pt>
                <c:pt idx="13">
                  <c:v>2841.5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A1A-4206-A891-2BA886F8A05D}"/>
            </c:ext>
          </c:extLst>
        </c:ser>
        <c:ser>
          <c:idx val="2"/>
          <c:order val="2"/>
          <c:tx>
            <c:strRef>
              <c:f>'Remington Core-Lokt Copper HP'!$B$1:$D$1</c:f>
              <c:strCache>
                <c:ptCount val="1"/>
                <c:pt idx="0">
                  <c:v>300 Winchester Magnum Remington Core-Lokt Copper Hollow Point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'Remington Core-Lokt Copper HP'!$B$22:$B$35</c:f>
              <c:numCache>
                <c:formatCode>0.00</c:formatCode>
                <c:ptCount val="14"/>
                <c:pt idx="0">
                  <c:v>4400.8999999999996</c:v>
                </c:pt>
                <c:pt idx="1">
                  <c:v>4309.8999999999996</c:v>
                </c:pt>
                <c:pt idx="2">
                  <c:v>4192.3</c:v>
                </c:pt>
                <c:pt idx="3">
                  <c:v>4078.8</c:v>
                </c:pt>
                <c:pt idx="4">
                  <c:v>3969</c:v>
                </c:pt>
                <c:pt idx="5">
                  <c:v>3863.1</c:v>
                </c:pt>
                <c:pt idx="6">
                  <c:v>3760.6</c:v>
                </c:pt>
                <c:pt idx="7">
                  <c:v>3550.3</c:v>
                </c:pt>
                <c:pt idx="8">
                  <c:v>3354.9</c:v>
                </c:pt>
                <c:pt idx="9">
                  <c:v>3159.5</c:v>
                </c:pt>
                <c:pt idx="10">
                  <c:v>2990.9</c:v>
                </c:pt>
                <c:pt idx="11">
                  <c:v>2822.1</c:v>
                </c:pt>
                <c:pt idx="12">
                  <c:v>2654.7</c:v>
                </c:pt>
                <c:pt idx="13">
                  <c:v>2500.6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A1A-4206-A891-2BA886F8A05D}"/>
            </c:ext>
          </c:extLst>
        </c:ser>
        <c:ser>
          <c:idx val="3"/>
          <c:order val="3"/>
          <c:tx>
            <c:strRef>
              <c:f>'Terminal Ascent PHP (2)'!$B$1:$D$1</c:f>
              <c:strCache>
                <c:ptCount val="1"/>
                <c:pt idx="0">
                  <c:v>300 Winchester Magnum Federal Terminal Ascent Polymer Tipped Hollow Point After Patch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(2)'!$B$22:$B$35</c:f>
              <c:numCache>
                <c:formatCode>0.00</c:formatCode>
                <c:ptCount val="14"/>
                <c:pt idx="0">
                  <c:v>4753.7</c:v>
                </c:pt>
                <c:pt idx="1">
                  <c:v>4543.1000000000004</c:v>
                </c:pt>
                <c:pt idx="2">
                  <c:v>4238.8999999999996</c:v>
                </c:pt>
                <c:pt idx="3">
                  <c:v>3998.6</c:v>
                </c:pt>
                <c:pt idx="4">
                  <c:v>3775.6</c:v>
                </c:pt>
                <c:pt idx="5">
                  <c:v>3534.7</c:v>
                </c:pt>
                <c:pt idx="6">
                  <c:v>3313.6</c:v>
                </c:pt>
                <c:pt idx="7">
                  <c:v>2921.2</c:v>
                </c:pt>
                <c:pt idx="8">
                  <c:v>2542.8000000000002</c:v>
                </c:pt>
                <c:pt idx="9">
                  <c:v>2225.4</c:v>
                </c:pt>
                <c:pt idx="10">
                  <c:v>1927.9</c:v>
                </c:pt>
                <c:pt idx="11">
                  <c:v>1668.4</c:v>
                </c:pt>
                <c:pt idx="12">
                  <c:v>1439.1</c:v>
                </c:pt>
                <c:pt idx="13">
                  <c:v>1246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93-441E-B6CE-3C755BED975C}"/>
            </c:ext>
          </c:extLst>
        </c:ser>
        <c:ser>
          <c:idx val="4"/>
          <c:order val="4"/>
          <c:tx>
            <c:strRef>
              <c:f>'Power-Shok SP (2)'!$B$1:$D$1</c:f>
              <c:strCache>
                <c:ptCount val="1"/>
                <c:pt idx="0">
                  <c:v>300 Winchester Magnum Federal Power-Shok Soft Point After Patch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(2)'!$B$22:$B$35</c:f>
              <c:numCache>
                <c:formatCode>0.00</c:formatCode>
                <c:ptCount val="14"/>
                <c:pt idx="0">
                  <c:v>4480.1000000000004</c:v>
                </c:pt>
                <c:pt idx="1">
                  <c:v>4311.5</c:v>
                </c:pt>
                <c:pt idx="2">
                  <c:v>4132.1000000000004</c:v>
                </c:pt>
                <c:pt idx="3">
                  <c:v>3930.6</c:v>
                </c:pt>
                <c:pt idx="4">
                  <c:v>3772</c:v>
                </c:pt>
                <c:pt idx="5">
                  <c:v>3592.8</c:v>
                </c:pt>
                <c:pt idx="6">
                  <c:v>3423.9</c:v>
                </c:pt>
                <c:pt idx="7">
                  <c:v>3115.5</c:v>
                </c:pt>
                <c:pt idx="8">
                  <c:v>2821.9</c:v>
                </c:pt>
                <c:pt idx="9">
                  <c:v>2562.4</c:v>
                </c:pt>
                <c:pt idx="10">
                  <c:v>2299.5</c:v>
                </c:pt>
                <c:pt idx="11">
                  <c:v>2068.5</c:v>
                </c:pt>
                <c:pt idx="12">
                  <c:v>1867.9</c:v>
                </c:pt>
                <c:pt idx="13">
                  <c:v>1671.5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93-441E-B6CE-3C755BED975C}"/>
            </c:ext>
          </c:extLst>
        </c:ser>
        <c:ser>
          <c:idx val="5"/>
          <c:order val="5"/>
          <c:tx>
            <c:strRef>
              <c:f>'Remington Core-Lokt Copper  (2)'!$B$1:$E$1</c:f>
              <c:strCache>
                <c:ptCount val="1"/>
                <c:pt idx="0">
                  <c:v>300 Winchester Magnum Remington Core-Lokt Copper Hollow Point After Patch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(2)'!$B$22:$B$35</c:f>
              <c:numCache>
                <c:formatCode>0.00</c:formatCode>
                <c:ptCount val="14"/>
                <c:pt idx="0">
                  <c:v>4400.8999999999996</c:v>
                </c:pt>
                <c:pt idx="1">
                  <c:v>4219.5</c:v>
                </c:pt>
                <c:pt idx="2">
                  <c:v>3992.3</c:v>
                </c:pt>
                <c:pt idx="3">
                  <c:v>3780</c:v>
                </c:pt>
                <c:pt idx="4">
                  <c:v>3550.6</c:v>
                </c:pt>
                <c:pt idx="5">
                  <c:v>3367.2</c:v>
                </c:pt>
                <c:pt idx="6">
                  <c:v>3169</c:v>
                </c:pt>
                <c:pt idx="7">
                  <c:v>2815.2</c:v>
                </c:pt>
                <c:pt idx="8">
                  <c:v>2489.9</c:v>
                </c:pt>
                <c:pt idx="9">
                  <c:v>2194.1</c:v>
                </c:pt>
                <c:pt idx="10">
                  <c:v>1927.6</c:v>
                </c:pt>
                <c:pt idx="11">
                  <c:v>1688.7</c:v>
                </c:pt>
                <c:pt idx="12">
                  <c:v>1480.7</c:v>
                </c:pt>
                <c:pt idx="13">
                  <c:v>1300.8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93-441E-B6CE-3C755BED9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6868288"/>
        <c:axId val="1286867808"/>
        <c:extLst/>
      </c:scatterChart>
      <c:valAx>
        <c:axId val="128686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867808"/>
        <c:crosses val="autoZero"/>
        <c:crossBetween val="midCat"/>
      </c:valAx>
      <c:valAx>
        <c:axId val="128686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868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Calculated</a:t>
            </a:r>
            <a:r>
              <a:rPr lang="en-CA" baseline="0"/>
              <a:t> Energy vs Range: Hornady BC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PHP'!$B$1:$E$1</c:f>
              <c:strCache>
                <c:ptCount val="1"/>
                <c:pt idx="0">
                  <c:v>300 Winchester Magnum Federal Terminal Ascent Polymer Tipped Hollow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'Terminal Ascent PHP'!$K$80:$K$100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PHP'!$M$80:$M$100</c:f>
              <c:numCache>
                <c:formatCode>0.00</c:formatCode>
                <c:ptCount val="21"/>
                <c:pt idx="0">
                  <c:v>4754</c:v>
                </c:pt>
                <c:pt idx="1">
                  <c:v>4614</c:v>
                </c:pt>
                <c:pt idx="2">
                  <c:v>4478</c:v>
                </c:pt>
                <c:pt idx="3">
                  <c:v>4346</c:v>
                </c:pt>
                <c:pt idx="4">
                  <c:v>4216</c:v>
                </c:pt>
                <c:pt idx="5">
                  <c:v>4089</c:v>
                </c:pt>
                <c:pt idx="6">
                  <c:v>3966</c:v>
                </c:pt>
                <c:pt idx="7">
                  <c:v>3845</c:v>
                </c:pt>
                <c:pt idx="8">
                  <c:v>3727</c:v>
                </c:pt>
                <c:pt idx="9">
                  <c:v>3611</c:v>
                </c:pt>
                <c:pt idx="10">
                  <c:v>3499</c:v>
                </c:pt>
                <c:pt idx="11">
                  <c:v>3389</c:v>
                </c:pt>
                <c:pt idx="12">
                  <c:v>3282</c:v>
                </c:pt>
                <c:pt idx="13">
                  <c:v>3178</c:v>
                </c:pt>
                <c:pt idx="14">
                  <c:v>3076</c:v>
                </c:pt>
                <c:pt idx="15">
                  <c:v>2976</c:v>
                </c:pt>
                <c:pt idx="16">
                  <c:v>2879</c:v>
                </c:pt>
                <c:pt idx="17">
                  <c:v>2785</c:v>
                </c:pt>
                <c:pt idx="18">
                  <c:v>2693</c:v>
                </c:pt>
                <c:pt idx="19">
                  <c:v>2603</c:v>
                </c:pt>
                <c:pt idx="20">
                  <c:v>2519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3-4900-9372-ACB26C792518}"/>
            </c:ext>
          </c:extLst>
        </c:ser>
        <c:ser>
          <c:idx val="1"/>
          <c:order val="1"/>
          <c:tx>
            <c:strRef>
              <c:f>'Power-Shok SP'!$B$1:$D$1</c:f>
              <c:strCache>
                <c:ptCount val="1"/>
                <c:pt idx="0">
                  <c:v>300 Winchester Magnum Federal Power-Shok Soft Point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'Power-Shok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'Power-Shok SP'!$M$80:$M$100</c:f>
              <c:numCache>
                <c:formatCode>0.00</c:formatCode>
                <c:ptCount val="21"/>
                <c:pt idx="0">
                  <c:v>4482</c:v>
                </c:pt>
                <c:pt idx="1">
                  <c:v>4384</c:v>
                </c:pt>
                <c:pt idx="2">
                  <c:v>4288</c:v>
                </c:pt>
                <c:pt idx="3">
                  <c:v>4194</c:v>
                </c:pt>
                <c:pt idx="4">
                  <c:v>4101</c:v>
                </c:pt>
                <c:pt idx="5">
                  <c:v>4010</c:v>
                </c:pt>
                <c:pt idx="6">
                  <c:v>3920</c:v>
                </c:pt>
                <c:pt idx="7">
                  <c:v>3833</c:v>
                </c:pt>
                <c:pt idx="8">
                  <c:v>3746</c:v>
                </c:pt>
                <c:pt idx="9">
                  <c:v>3662</c:v>
                </c:pt>
                <c:pt idx="10">
                  <c:v>3578</c:v>
                </c:pt>
                <c:pt idx="11">
                  <c:v>3497</c:v>
                </c:pt>
                <c:pt idx="12">
                  <c:v>3416</c:v>
                </c:pt>
                <c:pt idx="13">
                  <c:v>3337</c:v>
                </c:pt>
                <c:pt idx="14">
                  <c:v>3260</c:v>
                </c:pt>
                <c:pt idx="15">
                  <c:v>3184</c:v>
                </c:pt>
                <c:pt idx="16">
                  <c:v>3109</c:v>
                </c:pt>
                <c:pt idx="17">
                  <c:v>3035</c:v>
                </c:pt>
                <c:pt idx="18">
                  <c:v>2963</c:v>
                </c:pt>
                <c:pt idx="19">
                  <c:v>2892</c:v>
                </c:pt>
                <c:pt idx="20">
                  <c:v>2826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E23-4900-9372-ACB26C792518}"/>
            </c:ext>
          </c:extLst>
        </c:ser>
        <c:ser>
          <c:idx val="2"/>
          <c:order val="2"/>
          <c:tx>
            <c:strRef>
              <c:f>'Remington Core-Lokt Copper HP'!$B$1:$D$1</c:f>
              <c:strCache>
                <c:ptCount val="1"/>
                <c:pt idx="0">
                  <c:v>300 Winchester Magnum Remington Core-Lokt Copper Hollow Point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'Remington Core-Lokt Copper HP'!$M$80:$M$100</c:f>
              <c:numCache>
                <c:formatCode>0.00</c:formatCode>
                <c:ptCount val="21"/>
                <c:pt idx="0">
                  <c:v>4402</c:v>
                </c:pt>
                <c:pt idx="1">
                  <c:v>4283</c:v>
                </c:pt>
                <c:pt idx="2">
                  <c:v>4168</c:v>
                </c:pt>
                <c:pt idx="3">
                  <c:v>4055</c:v>
                </c:pt>
                <c:pt idx="4">
                  <c:v>3944</c:v>
                </c:pt>
                <c:pt idx="5">
                  <c:v>3836</c:v>
                </c:pt>
                <c:pt idx="6">
                  <c:v>3730</c:v>
                </c:pt>
                <c:pt idx="7">
                  <c:v>3626</c:v>
                </c:pt>
                <c:pt idx="8">
                  <c:v>3525</c:v>
                </c:pt>
                <c:pt idx="9">
                  <c:v>3425</c:v>
                </c:pt>
                <c:pt idx="10">
                  <c:v>3328</c:v>
                </c:pt>
                <c:pt idx="11">
                  <c:v>3233</c:v>
                </c:pt>
                <c:pt idx="12">
                  <c:v>3140</c:v>
                </c:pt>
                <c:pt idx="13">
                  <c:v>3049</c:v>
                </c:pt>
                <c:pt idx="14">
                  <c:v>2960</c:v>
                </c:pt>
                <c:pt idx="15">
                  <c:v>2874</c:v>
                </c:pt>
                <c:pt idx="16">
                  <c:v>2789</c:v>
                </c:pt>
                <c:pt idx="17">
                  <c:v>2706</c:v>
                </c:pt>
                <c:pt idx="18">
                  <c:v>2625</c:v>
                </c:pt>
                <c:pt idx="19">
                  <c:v>2545</c:v>
                </c:pt>
                <c:pt idx="20">
                  <c:v>2471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0E23-4900-9372-ACB26C792518}"/>
            </c:ext>
          </c:extLst>
        </c:ser>
        <c:ser>
          <c:idx val="3"/>
          <c:order val="3"/>
          <c:tx>
            <c:strRef>
              <c:f>'Terminal Ascent PHP (2)'!$B$1:$E$1</c:f>
              <c:strCache>
                <c:ptCount val="1"/>
                <c:pt idx="0">
                  <c:v>300 Winchester Magnum Federal Terminal Ascent Polymer Tipped Hollow Point After Patch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'Terminal Ascent PHP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(2)'!$C$80:$C$100</c:f>
              <c:numCache>
                <c:formatCode>0.00</c:formatCode>
                <c:ptCount val="21"/>
                <c:pt idx="0">
                  <c:v>4754</c:v>
                </c:pt>
                <c:pt idx="1">
                  <c:v>4481</c:v>
                </c:pt>
                <c:pt idx="2">
                  <c:v>4222</c:v>
                </c:pt>
                <c:pt idx="3">
                  <c:v>3975</c:v>
                </c:pt>
                <c:pt idx="4">
                  <c:v>3740</c:v>
                </c:pt>
                <c:pt idx="5">
                  <c:v>3516</c:v>
                </c:pt>
                <c:pt idx="6">
                  <c:v>3302</c:v>
                </c:pt>
                <c:pt idx="7">
                  <c:v>3098</c:v>
                </c:pt>
                <c:pt idx="8">
                  <c:v>2905</c:v>
                </c:pt>
                <c:pt idx="9">
                  <c:v>2720</c:v>
                </c:pt>
                <c:pt idx="10">
                  <c:v>2546</c:v>
                </c:pt>
                <c:pt idx="11">
                  <c:v>2380</c:v>
                </c:pt>
                <c:pt idx="12">
                  <c:v>2223</c:v>
                </c:pt>
                <c:pt idx="13">
                  <c:v>2074</c:v>
                </c:pt>
                <c:pt idx="14">
                  <c:v>1934</c:v>
                </c:pt>
                <c:pt idx="15">
                  <c:v>1802</c:v>
                </c:pt>
                <c:pt idx="16">
                  <c:v>1678</c:v>
                </c:pt>
                <c:pt idx="17">
                  <c:v>1563</c:v>
                </c:pt>
                <c:pt idx="18">
                  <c:v>1454</c:v>
                </c:pt>
                <c:pt idx="19">
                  <c:v>1353</c:v>
                </c:pt>
                <c:pt idx="20">
                  <c:v>1263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08-4CF6-9D81-4716E3A0CA12}"/>
            </c:ext>
          </c:extLst>
        </c:ser>
        <c:ser>
          <c:idx val="4"/>
          <c:order val="4"/>
          <c:tx>
            <c:strRef>
              <c:f>'Power-Shok SP (2)'!$B$1:$D$1</c:f>
              <c:strCache>
                <c:ptCount val="1"/>
                <c:pt idx="0">
                  <c:v>300 Winchester Magnum Federal Power-Shok Soft Point After Patch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(2)'!$B$22:$B$35</c:f>
              <c:numCache>
                <c:formatCode>0.00</c:formatCode>
                <c:ptCount val="14"/>
                <c:pt idx="0">
                  <c:v>4480.1000000000004</c:v>
                </c:pt>
                <c:pt idx="1">
                  <c:v>4311.5</c:v>
                </c:pt>
                <c:pt idx="2">
                  <c:v>4132.1000000000004</c:v>
                </c:pt>
                <c:pt idx="3">
                  <c:v>3930.6</c:v>
                </c:pt>
                <c:pt idx="4">
                  <c:v>3772</c:v>
                </c:pt>
                <c:pt idx="5">
                  <c:v>3592.8</c:v>
                </c:pt>
                <c:pt idx="6">
                  <c:v>3423.9</c:v>
                </c:pt>
                <c:pt idx="7">
                  <c:v>3115.5</c:v>
                </c:pt>
                <c:pt idx="8">
                  <c:v>2821.9</c:v>
                </c:pt>
                <c:pt idx="9">
                  <c:v>2562.4</c:v>
                </c:pt>
                <c:pt idx="10">
                  <c:v>2299.5</c:v>
                </c:pt>
                <c:pt idx="11">
                  <c:v>2068.5</c:v>
                </c:pt>
                <c:pt idx="12">
                  <c:v>1867.9</c:v>
                </c:pt>
                <c:pt idx="13">
                  <c:v>1671.5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08-4CF6-9D81-4716E3A0CA12}"/>
            </c:ext>
          </c:extLst>
        </c:ser>
        <c:ser>
          <c:idx val="5"/>
          <c:order val="5"/>
          <c:tx>
            <c:strRef>
              <c:f>'Remington Core-Lokt Copper  (2)'!$B$1:$D$1</c:f>
              <c:strCache>
                <c:ptCount val="1"/>
                <c:pt idx="0">
                  <c:v>300 Winchester Magnum Remington Core-Lokt Copper Hollow Point After Patch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'Remington Core-Lokt Copper 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(2)'!$C$80:$C$100</c:f>
              <c:numCache>
                <c:formatCode>0.00</c:formatCode>
                <c:ptCount val="21"/>
                <c:pt idx="0">
                  <c:v>4402</c:v>
                </c:pt>
                <c:pt idx="1">
                  <c:v>4165</c:v>
                </c:pt>
                <c:pt idx="2">
                  <c:v>3940</c:v>
                </c:pt>
                <c:pt idx="3">
                  <c:v>3725</c:v>
                </c:pt>
                <c:pt idx="4">
                  <c:v>3519</c:v>
                </c:pt>
                <c:pt idx="5">
                  <c:v>3322</c:v>
                </c:pt>
                <c:pt idx="6">
                  <c:v>3134</c:v>
                </c:pt>
                <c:pt idx="7">
                  <c:v>2955</c:v>
                </c:pt>
                <c:pt idx="8">
                  <c:v>2783</c:v>
                </c:pt>
                <c:pt idx="9">
                  <c:v>2619</c:v>
                </c:pt>
                <c:pt idx="10">
                  <c:v>2463</c:v>
                </c:pt>
                <c:pt idx="11">
                  <c:v>2314</c:v>
                </c:pt>
                <c:pt idx="12">
                  <c:v>2173</c:v>
                </c:pt>
                <c:pt idx="13">
                  <c:v>2038</c:v>
                </c:pt>
                <c:pt idx="14">
                  <c:v>1910</c:v>
                </c:pt>
                <c:pt idx="15">
                  <c:v>1789</c:v>
                </c:pt>
                <c:pt idx="16">
                  <c:v>1675</c:v>
                </c:pt>
                <c:pt idx="17">
                  <c:v>1567</c:v>
                </c:pt>
                <c:pt idx="18">
                  <c:v>1466</c:v>
                </c:pt>
                <c:pt idx="19">
                  <c:v>1370</c:v>
                </c:pt>
                <c:pt idx="20">
                  <c:v>1284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08-4CF6-9D81-4716E3A0C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6868288"/>
        <c:axId val="1286867808"/>
        <c:extLst/>
      </c:scatterChart>
      <c:valAx>
        <c:axId val="128686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867808"/>
        <c:crosses val="autoZero"/>
        <c:crossBetween val="midCat"/>
      </c:valAx>
      <c:valAx>
        <c:axId val="128686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868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5" Type="http://schemas.openxmlformats.org/officeDocument/2006/relationships/chart" Target="../charts/chart28.xml"/><Relationship Id="rId10" Type="http://schemas.openxmlformats.org/officeDocument/2006/relationships/chart" Target="../charts/chart33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1.xml"/><Relationship Id="rId3" Type="http://schemas.openxmlformats.org/officeDocument/2006/relationships/chart" Target="../charts/chart36.xml"/><Relationship Id="rId7" Type="http://schemas.openxmlformats.org/officeDocument/2006/relationships/chart" Target="../charts/chart40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6" Type="http://schemas.openxmlformats.org/officeDocument/2006/relationships/chart" Target="../charts/chart39.xml"/><Relationship Id="rId5" Type="http://schemas.openxmlformats.org/officeDocument/2006/relationships/chart" Target="../charts/chart38.xml"/><Relationship Id="rId10" Type="http://schemas.openxmlformats.org/officeDocument/2006/relationships/chart" Target="../charts/chart43.xml"/><Relationship Id="rId4" Type="http://schemas.openxmlformats.org/officeDocument/2006/relationships/chart" Target="../charts/chart37.xml"/><Relationship Id="rId9" Type="http://schemas.openxmlformats.org/officeDocument/2006/relationships/chart" Target="../charts/chart4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5" Type="http://schemas.openxmlformats.org/officeDocument/2006/relationships/chart" Target="../charts/chart48.xml"/><Relationship Id="rId10" Type="http://schemas.openxmlformats.org/officeDocument/2006/relationships/chart" Target="../charts/chart53.xml"/><Relationship Id="rId4" Type="http://schemas.openxmlformats.org/officeDocument/2006/relationships/chart" Target="../charts/chart47.xml"/><Relationship Id="rId9" Type="http://schemas.openxmlformats.org/officeDocument/2006/relationships/chart" Target="../charts/chart5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1.xml"/><Relationship Id="rId3" Type="http://schemas.openxmlformats.org/officeDocument/2006/relationships/chart" Target="../charts/chart56.xml"/><Relationship Id="rId7" Type="http://schemas.openxmlformats.org/officeDocument/2006/relationships/chart" Target="../charts/chart60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Relationship Id="rId6" Type="http://schemas.openxmlformats.org/officeDocument/2006/relationships/chart" Target="../charts/chart59.xml"/><Relationship Id="rId5" Type="http://schemas.openxmlformats.org/officeDocument/2006/relationships/chart" Target="../charts/chart58.xml"/><Relationship Id="rId10" Type="http://schemas.openxmlformats.org/officeDocument/2006/relationships/chart" Target="../charts/chart63.xml"/><Relationship Id="rId4" Type="http://schemas.openxmlformats.org/officeDocument/2006/relationships/chart" Target="../charts/chart57.xml"/><Relationship Id="rId9" Type="http://schemas.openxmlformats.org/officeDocument/2006/relationships/chart" Target="../charts/chart6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180975</xdr:colOff>
      <xdr:row>4</xdr:row>
      <xdr:rowOff>142875</xdr:rowOff>
    </xdr:from>
    <xdr:to>
      <xdr:col>37</xdr:col>
      <xdr:colOff>600075</xdr:colOff>
      <xdr:row>52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098F43-EFBF-DE4D-691E-C2D9C0098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575255-F922-B6C3-A896-0FA4931C0A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40F64AC-E628-369F-4E98-7D698B2642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757236</xdr:colOff>
      <xdr:row>78</xdr:row>
      <xdr:rowOff>57149</xdr:rowOff>
    </xdr:from>
    <xdr:to>
      <xdr:col>38</xdr:col>
      <xdr:colOff>200024</xdr:colOff>
      <xdr:row>98</xdr:row>
      <xdr:rowOff>161924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0B3A43-BB22-24CE-3613-DEF4F54EC8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690562</xdr:colOff>
      <xdr:row>102</xdr:row>
      <xdr:rowOff>28575</xdr:rowOff>
    </xdr:from>
    <xdr:to>
      <xdr:col>38</xdr:col>
      <xdr:colOff>533400</xdr:colOff>
      <xdr:row>123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2E9B954-9AF9-B1ED-3AC4-87EFE8B792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590550</xdr:colOff>
      <xdr:row>126</xdr:row>
      <xdr:rowOff>171450</xdr:rowOff>
    </xdr:from>
    <xdr:to>
      <xdr:col>38</xdr:col>
      <xdr:colOff>433388</xdr:colOff>
      <xdr:row>148</xdr:row>
      <xdr:rowOff>95250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1DD0A29-7169-4506-85CC-D46382D77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619125</xdr:colOff>
      <xdr:row>151</xdr:row>
      <xdr:rowOff>47625</xdr:rowOff>
    </xdr:from>
    <xdr:to>
      <xdr:col>42</xdr:col>
      <xdr:colOff>471488</xdr:colOff>
      <xdr:row>172</xdr:row>
      <xdr:rowOff>161925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AEE5B267-40D3-4087-B5F0-D2B36164F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628650</xdr:colOff>
      <xdr:row>174</xdr:row>
      <xdr:rowOff>180975</xdr:rowOff>
    </xdr:from>
    <xdr:to>
      <xdr:col>38</xdr:col>
      <xdr:colOff>471488</xdr:colOff>
      <xdr:row>196</xdr:row>
      <xdr:rowOff>104775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6050A10-EB7C-4447-AAFF-BADA92BBD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666751</xdr:colOff>
      <xdr:row>199</xdr:row>
      <xdr:rowOff>38100</xdr:rowOff>
    </xdr:from>
    <xdr:to>
      <xdr:col>41</xdr:col>
      <xdr:colOff>85726</xdr:colOff>
      <xdr:row>220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990DC25-0AF9-447D-8DED-552E09B21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685800</xdr:colOff>
      <xdr:row>222</xdr:row>
      <xdr:rowOff>152400</xdr:rowOff>
    </xdr:from>
    <xdr:to>
      <xdr:col>38</xdr:col>
      <xdr:colOff>528638</xdr:colOff>
      <xdr:row>244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D5C4E7E-9BCB-4F1F-81D2-2C1CA23A7C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295275</xdr:colOff>
      <xdr:row>253</xdr:row>
      <xdr:rowOff>66675</xdr:rowOff>
    </xdr:from>
    <xdr:to>
      <xdr:col>24</xdr:col>
      <xdr:colOff>533399</xdr:colOff>
      <xdr:row>281</xdr:row>
      <xdr:rowOff>123825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A83655C-4EE7-B301-2C02-056C8F7520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590550</xdr:colOff>
      <xdr:row>1</xdr:row>
      <xdr:rowOff>142875</xdr:rowOff>
    </xdr:from>
    <xdr:to>
      <xdr:col>36</xdr:col>
      <xdr:colOff>285750</xdr:colOff>
      <xdr:row>49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46F8FF-BACD-4B25-984C-6405B3C01D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FB1856-304B-48A0-AF56-12088152F4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70FF3E5-B12A-4127-8F9D-A3BFB93894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23811</xdr:colOff>
      <xdr:row>76</xdr:row>
      <xdr:rowOff>190499</xdr:rowOff>
    </xdr:from>
    <xdr:to>
      <xdr:col>17</xdr:col>
      <xdr:colOff>561974</xdr:colOff>
      <xdr:row>97</xdr:row>
      <xdr:rowOff>104774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2064F49-6705-402E-B248-C296DFEFF1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1500187</xdr:colOff>
      <xdr:row>100</xdr:row>
      <xdr:rowOff>19050</xdr:rowOff>
    </xdr:from>
    <xdr:to>
      <xdr:col>17</xdr:col>
      <xdr:colOff>838200</xdr:colOff>
      <xdr:row>121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DFE560-799A-480D-8C85-653EBB367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47625</xdr:colOff>
      <xdr:row>123</xdr:row>
      <xdr:rowOff>133350</xdr:rowOff>
    </xdr:from>
    <xdr:to>
      <xdr:col>18</xdr:col>
      <xdr:colOff>33338</xdr:colOff>
      <xdr:row>145</xdr:row>
      <xdr:rowOff>57150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190B9B2-D7D1-4433-8B42-C96B9C7C81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28575</xdr:colOff>
      <xdr:row>147</xdr:row>
      <xdr:rowOff>114300</xdr:rowOff>
    </xdr:from>
    <xdr:to>
      <xdr:col>20</xdr:col>
      <xdr:colOff>319088</xdr:colOff>
      <xdr:row>169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7258C89-454C-4F27-A101-6D1177ADE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1543050</xdr:colOff>
      <xdr:row>175</xdr:row>
      <xdr:rowOff>0</xdr:rowOff>
    </xdr:from>
    <xdr:to>
      <xdr:col>17</xdr:col>
      <xdr:colOff>881063</xdr:colOff>
      <xdr:row>196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3E8D406-B75E-4A21-9426-49A526D1A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1590676</xdr:colOff>
      <xdr:row>199</xdr:row>
      <xdr:rowOff>19050</xdr:rowOff>
    </xdr:from>
    <xdr:to>
      <xdr:col>19</xdr:col>
      <xdr:colOff>371476</xdr:colOff>
      <xdr:row>220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1CBD8C0-E976-4C6E-818D-34AE44FEC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1571625</xdr:colOff>
      <xdr:row>222</xdr:row>
      <xdr:rowOff>85725</xdr:rowOff>
    </xdr:from>
    <xdr:to>
      <xdr:col>17</xdr:col>
      <xdr:colOff>909638</xdr:colOff>
      <xdr:row>244</xdr:row>
      <xdr:rowOff>9525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6A3C444-03BD-4462-B970-E997868BB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628650</xdr:colOff>
      <xdr:row>245</xdr:row>
      <xdr:rowOff>323850</xdr:rowOff>
    </xdr:from>
    <xdr:to>
      <xdr:col>28</xdr:col>
      <xdr:colOff>561975</xdr:colOff>
      <xdr:row>274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065DEF6-455E-437D-8968-3FF078D6C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295275</xdr:colOff>
      <xdr:row>276</xdr:row>
      <xdr:rowOff>114300</xdr:rowOff>
    </xdr:from>
    <xdr:to>
      <xdr:col>28</xdr:col>
      <xdr:colOff>228600</xdr:colOff>
      <xdr:row>304</xdr:row>
      <xdr:rowOff>171450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A64D56F8-40D3-494B-ABFE-C15862232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209550</xdr:colOff>
      <xdr:row>10</xdr:row>
      <xdr:rowOff>9525</xdr:rowOff>
    </xdr:from>
    <xdr:to>
      <xdr:col>35</xdr:col>
      <xdr:colOff>514350</xdr:colOff>
      <xdr:row>33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B5F181-8F8E-4DBC-A2D2-4172758DD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A728D3-F186-4623-A143-AB591C429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7402BB-2BF0-4DC7-9DB4-00DE58D3C2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414336</xdr:colOff>
      <xdr:row>72</xdr:row>
      <xdr:rowOff>57149</xdr:rowOff>
    </xdr:from>
    <xdr:to>
      <xdr:col>41</xdr:col>
      <xdr:colOff>495299</xdr:colOff>
      <xdr:row>92</xdr:row>
      <xdr:rowOff>161924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D9F5638-237F-4D4A-AB45-60E587099D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328612</xdr:colOff>
      <xdr:row>94</xdr:row>
      <xdr:rowOff>180975</xdr:rowOff>
    </xdr:from>
    <xdr:to>
      <xdr:col>41</xdr:col>
      <xdr:colOff>200025</xdr:colOff>
      <xdr:row>116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E6E68B6-BB28-4637-BC4D-BD0C82CC3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904875</xdr:colOff>
      <xdr:row>121</xdr:row>
      <xdr:rowOff>0</xdr:rowOff>
    </xdr:from>
    <xdr:to>
      <xdr:col>39</xdr:col>
      <xdr:colOff>252413</xdr:colOff>
      <xdr:row>142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B52A56-276D-4245-92D7-4DEA164FC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104775</xdr:colOff>
      <xdr:row>144</xdr:row>
      <xdr:rowOff>161925</xdr:rowOff>
    </xdr:from>
    <xdr:to>
      <xdr:col>43</xdr:col>
      <xdr:colOff>595313</xdr:colOff>
      <xdr:row>166</xdr:row>
      <xdr:rowOff>85725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16CB536-295B-4BB9-9E20-E602207055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95250</xdr:colOff>
      <xdr:row>166</xdr:row>
      <xdr:rowOff>161925</xdr:rowOff>
    </xdr:from>
    <xdr:to>
      <xdr:col>39</xdr:col>
      <xdr:colOff>576263</xdr:colOff>
      <xdr:row>188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2FDFD91-1C02-4DFC-A478-6FBBC67DF2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276225</xdr:colOff>
      <xdr:row>190</xdr:row>
      <xdr:rowOff>180975</xdr:rowOff>
    </xdr:from>
    <xdr:to>
      <xdr:col>40</xdr:col>
      <xdr:colOff>147638</xdr:colOff>
      <xdr:row>212</xdr:row>
      <xdr:rowOff>104775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AFF1A85-A193-450B-9C0E-0F441DFEC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171450</xdr:colOff>
      <xdr:row>215</xdr:row>
      <xdr:rowOff>152400</xdr:rowOff>
    </xdr:from>
    <xdr:to>
      <xdr:col>40</xdr:col>
      <xdr:colOff>42863</xdr:colOff>
      <xdr:row>237</xdr:row>
      <xdr:rowOff>76200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C8D7813-F898-45BB-BD78-29AF880B5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952500</xdr:colOff>
      <xdr:row>9</xdr:row>
      <xdr:rowOff>152400</xdr:rowOff>
    </xdr:from>
    <xdr:to>
      <xdr:col>33</xdr:col>
      <xdr:colOff>333375</xdr:colOff>
      <xdr:row>33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1B65DD-72D4-4E94-97F0-6A45E176A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85EA49E-1451-455E-91F1-428554BC60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DDE9154-CACD-4529-BF8D-886B9F2B73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261936</xdr:colOff>
      <xdr:row>76</xdr:row>
      <xdr:rowOff>133349</xdr:rowOff>
    </xdr:from>
    <xdr:to>
      <xdr:col>22</xdr:col>
      <xdr:colOff>28574</xdr:colOff>
      <xdr:row>97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12DE26B-1996-4A62-959D-E1F3C07D74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71437</xdr:colOff>
      <xdr:row>101</xdr:row>
      <xdr:rowOff>104775</xdr:rowOff>
    </xdr:from>
    <xdr:to>
      <xdr:col>22</xdr:col>
      <xdr:colOff>238125</xdr:colOff>
      <xdr:row>123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D38C1C2-38BC-48C3-9AA7-CD927FB78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19050</xdr:colOff>
      <xdr:row>126</xdr:row>
      <xdr:rowOff>95250</xdr:rowOff>
    </xdr:from>
    <xdr:to>
      <xdr:col>22</xdr:col>
      <xdr:colOff>185738</xdr:colOff>
      <xdr:row>148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44FAAA8-683E-412C-AC8F-D55F9FC6E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1247775</xdr:colOff>
      <xdr:row>150</xdr:row>
      <xdr:rowOff>95250</xdr:rowOff>
    </xdr:from>
    <xdr:to>
      <xdr:col>26</xdr:col>
      <xdr:colOff>166688</xdr:colOff>
      <xdr:row>172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72B5BD4-8701-491C-A553-6A7C64B99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19050</xdr:colOff>
      <xdr:row>175</xdr:row>
      <xdr:rowOff>19050</xdr:rowOff>
    </xdr:from>
    <xdr:to>
      <xdr:col>22</xdr:col>
      <xdr:colOff>185738</xdr:colOff>
      <xdr:row>196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CBE7FF5-9D74-4C4A-BA91-B8C3A8A7BB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1171575</xdr:colOff>
      <xdr:row>199</xdr:row>
      <xdr:rowOff>28575</xdr:rowOff>
    </xdr:from>
    <xdr:to>
      <xdr:col>22</xdr:col>
      <xdr:colOff>80963</xdr:colOff>
      <xdr:row>220</xdr:row>
      <xdr:rowOff>142875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E56AAC7-8FD2-4424-98CC-93EA8455DD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85725</xdr:colOff>
      <xdr:row>225</xdr:row>
      <xdr:rowOff>123825</xdr:rowOff>
    </xdr:from>
    <xdr:to>
      <xdr:col>22</xdr:col>
      <xdr:colOff>252413</xdr:colOff>
      <xdr:row>246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B333B35-E3DE-455D-B8E8-F5E29D8DA1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19050</xdr:colOff>
      <xdr:row>37</xdr:row>
      <xdr:rowOff>14286</xdr:rowOff>
    </xdr:from>
    <xdr:to>
      <xdr:col>36</xdr:col>
      <xdr:colOff>323850</xdr:colOff>
      <xdr:row>64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5E6A51-E5A8-4074-93A2-2CC9820E6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36</xdr:row>
      <xdr:rowOff>142875</xdr:rowOff>
    </xdr:from>
    <xdr:to>
      <xdr:col>20</xdr:col>
      <xdr:colOff>342900</xdr:colOff>
      <xdr:row>63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C30077-6748-48EB-A0FC-67AC796CD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FF28282-A2CC-49F9-A510-87D3832DD2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90486</xdr:colOff>
      <xdr:row>69</xdr:row>
      <xdr:rowOff>85724</xdr:rowOff>
    </xdr:from>
    <xdr:to>
      <xdr:col>40</xdr:col>
      <xdr:colOff>457199</xdr:colOff>
      <xdr:row>89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D5561CF-2863-4ECB-8894-DF3B85058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261937</xdr:colOff>
      <xdr:row>93</xdr:row>
      <xdr:rowOff>142875</xdr:rowOff>
    </xdr:from>
    <xdr:to>
      <xdr:col>41</xdr:col>
      <xdr:colOff>419100</xdr:colOff>
      <xdr:row>115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F8BFBF2-04C5-477D-8475-AAE80F6F5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876300</xdr:colOff>
      <xdr:row>119</xdr:row>
      <xdr:rowOff>47625</xdr:rowOff>
    </xdr:from>
    <xdr:to>
      <xdr:col>41</xdr:col>
      <xdr:colOff>138113</xdr:colOff>
      <xdr:row>140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7A31281-B167-4F00-BCCE-3F730AAD5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76200</xdr:colOff>
      <xdr:row>142</xdr:row>
      <xdr:rowOff>152400</xdr:rowOff>
    </xdr:from>
    <xdr:to>
      <xdr:col>45</xdr:col>
      <xdr:colOff>242888</xdr:colOff>
      <xdr:row>164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D88D8E4-B7A3-431B-949D-69DDFFDCA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847725</xdr:colOff>
      <xdr:row>167</xdr:row>
      <xdr:rowOff>47625</xdr:rowOff>
    </xdr:from>
    <xdr:to>
      <xdr:col>41</xdr:col>
      <xdr:colOff>109538</xdr:colOff>
      <xdr:row>188</xdr:row>
      <xdr:rowOff>161925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523DF8A-8483-417B-8F21-3736711627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57150</xdr:colOff>
      <xdr:row>191</xdr:row>
      <xdr:rowOff>9525</xdr:rowOff>
    </xdr:from>
    <xdr:to>
      <xdr:col>41</xdr:col>
      <xdr:colOff>214313</xdr:colOff>
      <xdr:row>212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75FE0C8-D986-4075-993E-0E905291B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219075</xdr:colOff>
      <xdr:row>215</xdr:row>
      <xdr:rowOff>0</xdr:rowOff>
    </xdr:from>
    <xdr:to>
      <xdr:col>41</xdr:col>
      <xdr:colOff>376238</xdr:colOff>
      <xdr:row>236</xdr:row>
      <xdr:rowOff>114300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493508C-34D5-41FE-852D-0A4E589CE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523874</xdr:colOff>
      <xdr:row>28</xdr:row>
      <xdr:rowOff>171450</xdr:rowOff>
    </xdr:from>
    <xdr:to>
      <xdr:col>29</xdr:col>
      <xdr:colOff>19049</xdr:colOff>
      <xdr:row>33</xdr:row>
      <xdr:rowOff>133350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AD59CA6-F7E2-D72E-617E-175AD80F855B}"/>
            </a:ext>
          </a:extLst>
        </xdr:cNvPr>
        <xdr:cNvSpPr/>
      </xdr:nvSpPr>
      <xdr:spPr>
        <a:xfrm>
          <a:off x="30299024" y="5505450"/>
          <a:ext cx="1933575" cy="914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Match to the</a:t>
          </a:r>
          <a:r>
            <a:rPr lang="en-CA" sz="1100" baseline="0"/>
            <a:t> G7 BC calculation</a:t>
          </a:r>
          <a:endParaRPr lang="en-CA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19050</xdr:colOff>
      <xdr:row>37</xdr:row>
      <xdr:rowOff>14286</xdr:rowOff>
    </xdr:from>
    <xdr:to>
      <xdr:col>36</xdr:col>
      <xdr:colOff>323850</xdr:colOff>
      <xdr:row>64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68AC99-91EC-48D1-850E-729F0D5813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36</xdr:row>
      <xdr:rowOff>142875</xdr:rowOff>
    </xdr:from>
    <xdr:to>
      <xdr:col>20</xdr:col>
      <xdr:colOff>342900</xdr:colOff>
      <xdr:row>63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E933CC-2450-4009-873A-084F3935E3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B90E5DD-369A-4950-A027-F5EC4AEE1D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90486</xdr:colOff>
      <xdr:row>69</xdr:row>
      <xdr:rowOff>85724</xdr:rowOff>
    </xdr:from>
    <xdr:to>
      <xdr:col>40</xdr:col>
      <xdr:colOff>457199</xdr:colOff>
      <xdr:row>89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A212E60-60DE-4494-8D6F-7CDC7B18FA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261937</xdr:colOff>
      <xdr:row>93</xdr:row>
      <xdr:rowOff>142875</xdr:rowOff>
    </xdr:from>
    <xdr:to>
      <xdr:col>41</xdr:col>
      <xdr:colOff>419100</xdr:colOff>
      <xdr:row>115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B54F4F3-0943-4F65-B849-62B679E27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876300</xdr:colOff>
      <xdr:row>119</xdr:row>
      <xdr:rowOff>47625</xdr:rowOff>
    </xdr:from>
    <xdr:to>
      <xdr:col>41</xdr:col>
      <xdr:colOff>138113</xdr:colOff>
      <xdr:row>140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83F2099-025C-4C24-80DE-6AEEC8335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76200</xdr:colOff>
      <xdr:row>142</xdr:row>
      <xdr:rowOff>152400</xdr:rowOff>
    </xdr:from>
    <xdr:to>
      <xdr:col>45</xdr:col>
      <xdr:colOff>242888</xdr:colOff>
      <xdr:row>164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511122E-D3AD-4C96-A770-92D3A5559D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847725</xdr:colOff>
      <xdr:row>167</xdr:row>
      <xdr:rowOff>47625</xdr:rowOff>
    </xdr:from>
    <xdr:to>
      <xdr:col>41</xdr:col>
      <xdr:colOff>109538</xdr:colOff>
      <xdr:row>188</xdr:row>
      <xdr:rowOff>161925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C7BABFA-6FDB-4EF9-A31E-C76A0AC7E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57150</xdr:colOff>
      <xdr:row>191</xdr:row>
      <xdr:rowOff>9525</xdr:rowOff>
    </xdr:from>
    <xdr:to>
      <xdr:col>41</xdr:col>
      <xdr:colOff>214313</xdr:colOff>
      <xdr:row>212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9EF043E-20B8-4CF2-AE6D-6180DDF25B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219075</xdr:colOff>
      <xdr:row>215</xdr:row>
      <xdr:rowOff>0</xdr:rowOff>
    </xdr:from>
    <xdr:to>
      <xdr:col>41</xdr:col>
      <xdr:colOff>376238</xdr:colOff>
      <xdr:row>236</xdr:row>
      <xdr:rowOff>114300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20866F0-C9BA-4C8B-9A09-860239B2A8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26</xdr:col>
      <xdr:colOff>457199</xdr:colOff>
      <xdr:row>27</xdr:row>
      <xdr:rowOff>133350</xdr:rowOff>
    </xdr:from>
    <xdr:to>
      <xdr:col>30</xdr:col>
      <xdr:colOff>333374</xdr:colOff>
      <xdr:row>35</xdr:row>
      <xdr:rowOff>114300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2F24D1F-B319-35FF-CED4-BD38A7136E73}"/>
            </a:ext>
          </a:extLst>
        </xdr:cNvPr>
        <xdr:cNvSpPr/>
      </xdr:nvSpPr>
      <xdr:spPr>
        <a:xfrm>
          <a:off x="30841949" y="5276850"/>
          <a:ext cx="2314575" cy="1504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Match</a:t>
          </a:r>
          <a:r>
            <a:rPr lang="en-CA" sz="1100" baseline="0"/>
            <a:t> to the G1 BC Calculation</a:t>
          </a:r>
          <a:endParaRPr lang="en-CA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200024</xdr:colOff>
      <xdr:row>1</xdr:row>
      <xdr:rowOff>61911</xdr:rowOff>
    </xdr:from>
    <xdr:to>
      <xdr:col>14</xdr:col>
      <xdr:colOff>571499</xdr:colOff>
      <xdr:row>39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FF6E74-50E3-1DE3-C8D1-B20217E2C3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85725</xdr:colOff>
      <xdr:row>1</xdr:row>
      <xdr:rowOff>85725</xdr:rowOff>
    </xdr:from>
    <xdr:to>
      <xdr:col>33</xdr:col>
      <xdr:colOff>171450</xdr:colOff>
      <xdr:row>39</xdr:row>
      <xdr:rowOff>90489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61C5BB8-0079-4A19-A192-17B139888F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7A446-FEBC-405E-9524-8BE549C2CC28}">
  <sheetPr codeName="Sheet1"/>
  <dimension ref="A1:AX300"/>
  <sheetViews>
    <sheetView topLeftCell="P1" workbookViewId="0">
      <selection activeCell="I274" sqref="I274"/>
    </sheetView>
  </sheetViews>
  <sheetFormatPr defaultRowHeight="15" x14ac:dyDescent="0.25"/>
  <cols>
    <col min="1" max="1" width="37.7109375" customWidth="1"/>
    <col min="2" max="2" width="29.140625" customWidth="1"/>
    <col min="3" max="3" width="25.28515625" customWidth="1"/>
    <col min="4" max="4" width="16.42578125" customWidth="1"/>
    <col min="5" max="5" width="15.140625" customWidth="1"/>
    <col min="6" max="6" width="25.28515625" customWidth="1"/>
    <col min="7" max="7" width="13.42578125" customWidth="1"/>
    <col min="8" max="8" width="17.140625" customWidth="1"/>
    <col min="9" max="9" width="19.7109375" customWidth="1"/>
    <col min="10" max="10" width="24" customWidth="1"/>
    <col min="11" max="11" width="23.140625" customWidth="1"/>
    <col min="12" max="12" width="34.140625" customWidth="1"/>
    <col min="13" max="13" width="29.85546875" customWidth="1"/>
    <col min="14" max="14" width="20.5703125" customWidth="1"/>
    <col min="15" max="15" width="22.28515625" customWidth="1"/>
    <col min="16" max="16" width="17.28515625" customWidth="1"/>
    <col min="17" max="17" width="19.5703125" customWidth="1"/>
    <col min="18" max="18" width="14.28515625" customWidth="1"/>
    <col min="19" max="19" width="15.140625" customWidth="1"/>
    <col min="20" max="20" width="17" customWidth="1"/>
    <col min="22" max="22" width="10.85546875" customWidth="1"/>
    <col min="42" max="42" width="14.140625" customWidth="1"/>
    <col min="43" max="43" width="13.140625" customWidth="1"/>
    <col min="44" max="44" width="14.140625" customWidth="1"/>
    <col min="45" max="45" width="11.85546875" customWidth="1"/>
    <col min="46" max="46" width="12" customWidth="1"/>
    <col min="47" max="47" width="15.28515625" customWidth="1"/>
    <col min="48" max="48" width="15.140625" customWidth="1"/>
    <col min="49" max="49" width="15.85546875" customWidth="1"/>
    <col min="50" max="50" width="12.140625" customWidth="1"/>
    <col min="51" max="51" width="13.140625" customWidth="1"/>
  </cols>
  <sheetData>
    <row r="1" spans="1:50" x14ac:dyDescent="0.25">
      <c r="A1" t="s">
        <v>18</v>
      </c>
      <c r="B1" t="s">
        <v>32</v>
      </c>
      <c r="C1" t="s">
        <v>33</v>
      </c>
      <c r="D1" t="s">
        <v>28</v>
      </c>
      <c r="F1" s="59" t="s">
        <v>68</v>
      </c>
      <c r="G1" s="59"/>
      <c r="H1" s="59"/>
      <c r="I1" s="59"/>
    </row>
    <row r="2" spans="1:50" x14ac:dyDescent="0.25">
      <c r="A2" t="s">
        <v>20</v>
      </c>
      <c r="B2" s="2">
        <v>200</v>
      </c>
      <c r="C2" s="2">
        <f>CONVERT($B$2,"grain","g")</f>
        <v>12.959782000000001</v>
      </c>
      <c r="F2" t="s">
        <v>69</v>
      </c>
      <c r="G2" s="2">
        <v>200</v>
      </c>
      <c r="H2" s="2">
        <f>CONVERT($G$2,"grain","g")</f>
        <v>12.959782000000001</v>
      </c>
    </row>
    <row r="3" spans="1:50" x14ac:dyDescent="0.25">
      <c r="A3" t="s">
        <v>0</v>
      </c>
      <c r="B3" s="2">
        <v>0.308</v>
      </c>
      <c r="C3" s="2">
        <f>CONVERT($B$3,"in","cm")</f>
        <v>0.78232000000000002</v>
      </c>
      <c r="F3" t="s">
        <v>70</v>
      </c>
      <c r="G3" s="2">
        <v>0.308</v>
      </c>
      <c r="H3" s="2">
        <f>CONVERT($G$3,"in","mm")</f>
        <v>7.8232000000000008</v>
      </c>
    </row>
    <row r="4" spans="1:50" x14ac:dyDescent="0.25">
      <c r="A4" t="s">
        <v>11</v>
      </c>
      <c r="B4" s="2">
        <v>0.30399999999999999</v>
      </c>
      <c r="C4" s="2"/>
      <c r="F4" t="s">
        <v>11</v>
      </c>
      <c r="G4" s="2">
        <v>0.30399999999999999</v>
      </c>
      <c r="H4" s="2"/>
    </row>
    <row r="5" spans="1:50" x14ac:dyDescent="0.25">
      <c r="A5" t="s">
        <v>21</v>
      </c>
      <c r="B5" s="2">
        <v>0.625</v>
      </c>
      <c r="C5" s="2"/>
      <c r="F5" t="s">
        <v>21</v>
      </c>
      <c r="G5" s="2">
        <v>0.60799999999999998</v>
      </c>
      <c r="H5" s="2"/>
    </row>
    <row r="6" spans="1:50" x14ac:dyDescent="0.25">
      <c r="A6" t="s">
        <v>22</v>
      </c>
      <c r="B6" s="2">
        <v>4753</v>
      </c>
      <c r="C6" s="2">
        <f>CONVERT($B$6,"J","flb")</f>
        <v>3505.6328955148424</v>
      </c>
      <c r="F6" t="s">
        <v>72</v>
      </c>
      <c r="G6" s="2">
        <f>CONVERT($H$6,"J","flb")</f>
        <v>3505.9755807101747</v>
      </c>
      <c r="H6" s="2">
        <f>($C$2/1000)*$H$7*$H$7/2</f>
        <v>4753.4646187384587</v>
      </c>
      <c r="AP6" t="s">
        <v>113</v>
      </c>
    </row>
    <row r="7" spans="1:50" x14ac:dyDescent="0.25">
      <c r="A7" t="s">
        <v>19</v>
      </c>
      <c r="B7" s="2">
        <f xml:space="preserve"> SQRT(2*$B$6/(CONVERT($B$2,"grain","g")/1000))</f>
        <v>856.44614104758864</v>
      </c>
      <c r="C7" s="2">
        <f>CONVERT($B$7,"m","ft")</f>
        <v>2809.8626674789652</v>
      </c>
      <c r="D7" t="s">
        <v>120</v>
      </c>
      <c r="F7" t="s">
        <v>73</v>
      </c>
      <c r="G7" s="2">
        <v>2810</v>
      </c>
      <c r="H7" s="2">
        <f>CONVERT($G$7,"ft","m")</f>
        <v>856.48800000000006</v>
      </c>
      <c r="I7" t="s">
        <v>119</v>
      </c>
      <c r="AP7" t="s">
        <v>12</v>
      </c>
      <c r="AQ7" t="s">
        <v>13</v>
      </c>
      <c r="AR7" t="s">
        <v>14</v>
      </c>
      <c r="AS7" t="s">
        <v>15</v>
      </c>
      <c r="AT7" t="s">
        <v>16</v>
      </c>
      <c r="AU7" t="s">
        <v>17</v>
      </c>
      <c r="AV7" t="s">
        <v>39</v>
      </c>
      <c r="AW7" t="s">
        <v>40</v>
      </c>
      <c r="AX7" t="s">
        <v>41</v>
      </c>
    </row>
    <row r="8" spans="1:50" x14ac:dyDescent="0.25">
      <c r="A8" t="s">
        <v>1</v>
      </c>
      <c r="B8" s="2">
        <v>0</v>
      </c>
      <c r="C8" s="2"/>
      <c r="AP8" s="1">
        <v>0</v>
      </c>
      <c r="AQ8" s="1">
        <v>856</v>
      </c>
      <c r="AR8" s="1">
        <v>4754</v>
      </c>
      <c r="AS8" s="1">
        <v>-8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</row>
    <row r="9" spans="1:50" x14ac:dyDescent="0.25">
      <c r="A9" t="s">
        <v>2</v>
      </c>
      <c r="B9" s="2">
        <v>0</v>
      </c>
      <c r="C9" s="2">
        <f>CONVERT($B$9,"m/sec","km/hr")</f>
        <v>0</v>
      </c>
      <c r="AP9" s="1">
        <v>25</v>
      </c>
      <c r="AQ9" s="1">
        <v>844</v>
      </c>
      <c r="AR9" s="1">
        <v>4613</v>
      </c>
      <c r="AS9" s="1">
        <v>-4.7</v>
      </c>
      <c r="AT9" s="1">
        <v>6.5</v>
      </c>
      <c r="AU9" s="1">
        <v>1.9</v>
      </c>
      <c r="AV9" s="1">
        <v>0</v>
      </c>
      <c r="AW9" s="1">
        <v>0</v>
      </c>
      <c r="AX9" s="1">
        <v>0</v>
      </c>
    </row>
    <row r="10" spans="1:50" x14ac:dyDescent="0.25">
      <c r="A10" t="s">
        <v>3</v>
      </c>
      <c r="B10" s="2"/>
      <c r="C10" s="2"/>
      <c r="AP10" s="1">
        <v>50</v>
      </c>
      <c r="AQ10" s="1">
        <v>831</v>
      </c>
      <c r="AR10" s="1">
        <v>4476</v>
      </c>
      <c r="AS10" s="1">
        <v>-2.2000000000000002</v>
      </c>
      <c r="AT10" s="1">
        <v>1.5</v>
      </c>
      <c r="AU10" s="1">
        <v>0.4</v>
      </c>
      <c r="AV10" s="1">
        <v>0</v>
      </c>
      <c r="AW10" s="1">
        <v>0</v>
      </c>
      <c r="AX10" s="1">
        <v>0</v>
      </c>
    </row>
    <row r="11" spans="1:50" x14ac:dyDescent="0.25">
      <c r="A11" s="32" t="s">
        <v>56</v>
      </c>
      <c r="B11" s="2">
        <v>0.5</v>
      </c>
      <c r="C11" s="33"/>
      <c r="AP11" s="1">
        <v>75</v>
      </c>
      <c r="AQ11" s="1">
        <v>819</v>
      </c>
      <c r="AR11" s="1">
        <v>4343</v>
      </c>
      <c r="AS11" s="1">
        <v>-0.6</v>
      </c>
      <c r="AT11" s="1">
        <v>0.3</v>
      </c>
      <c r="AU11" s="1">
        <v>0.1</v>
      </c>
      <c r="AV11" s="1">
        <v>0</v>
      </c>
      <c r="AW11" s="1">
        <v>0</v>
      </c>
      <c r="AX11" s="1">
        <v>0</v>
      </c>
    </row>
    <row r="12" spans="1:50" x14ac:dyDescent="0.25">
      <c r="A12" s="32" t="s">
        <v>57</v>
      </c>
      <c r="B12" s="2" cm="1">
        <f t="array" ref="B12">MOAToMRAD($B$11)</f>
        <v>0.14544410433286079</v>
      </c>
      <c r="C12" s="33">
        <f>$B$12/2</f>
        <v>7.2722052166430393E-2</v>
      </c>
      <c r="AP12" s="1">
        <v>100</v>
      </c>
      <c r="AQ12" s="1">
        <v>806</v>
      </c>
      <c r="AR12" s="1">
        <v>4212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</row>
    <row r="13" spans="1:50" x14ac:dyDescent="0.25">
      <c r="A13" s="32" t="s">
        <v>26</v>
      </c>
      <c r="B13" s="2">
        <f>CONVERT(1.5,"in","cm")</f>
        <v>3.81</v>
      </c>
      <c r="D13" s="2">
        <f>CONVERT($B$13,"cm","in")</f>
        <v>1.5</v>
      </c>
      <c r="AP13" s="1">
        <v>125</v>
      </c>
      <c r="AQ13" s="1">
        <v>794</v>
      </c>
      <c r="AR13" s="1">
        <v>4085</v>
      </c>
      <c r="AS13" s="1">
        <v>-0.3</v>
      </c>
      <c r="AT13" s="1">
        <v>0.1</v>
      </c>
      <c r="AU13" s="1">
        <v>0</v>
      </c>
      <c r="AV13" s="1">
        <v>0</v>
      </c>
      <c r="AW13" s="1">
        <v>0</v>
      </c>
      <c r="AX13" s="1">
        <v>0</v>
      </c>
    </row>
    <row r="14" spans="1:50" x14ac:dyDescent="0.25">
      <c r="A14" s="32" t="s">
        <v>5</v>
      </c>
      <c r="B14" t="s">
        <v>58</v>
      </c>
      <c r="AP14" s="1">
        <v>150</v>
      </c>
      <c r="AQ14" s="1">
        <v>782</v>
      </c>
      <c r="AR14" s="1">
        <v>3961</v>
      </c>
      <c r="AS14" s="1">
        <v>-1.6</v>
      </c>
      <c r="AT14" s="1">
        <v>0.4</v>
      </c>
      <c r="AU14" s="1">
        <v>0.1</v>
      </c>
      <c r="AV14" s="1">
        <v>0</v>
      </c>
      <c r="AW14" s="1">
        <v>0</v>
      </c>
      <c r="AX14" s="1">
        <v>0</v>
      </c>
    </row>
    <row r="15" spans="1:50" x14ac:dyDescent="0.25">
      <c r="A15" t="s">
        <v>59</v>
      </c>
      <c r="B15" s="31" t="s">
        <v>60</v>
      </c>
      <c r="C15" s="31" t="s">
        <v>61</v>
      </c>
      <c r="D15" s="31" t="s">
        <v>62</v>
      </c>
      <c r="E15" s="31" t="s">
        <v>63</v>
      </c>
      <c r="AP15" s="1">
        <v>175</v>
      </c>
      <c r="AQ15" s="1">
        <v>770</v>
      </c>
      <c r="AR15" s="1">
        <v>3840</v>
      </c>
      <c r="AS15" s="1">
        <v>-3.9</v>
      </c>
      <c r="AT15" s="1">
        <v>0.8</v>
      </c>
      <c r="AU15" s="1">
        <v>0.2</v>
      </c>
      <c r="AV15" s="1">
        <v>0</v>
      </c>
      <c r="AW15" s="1">
        <v>0</v>
      </c>
      <c r="AX15" s="1">
        <v>0</v>
      </c>
    </row>
    <row r="16" spans="1:50" x14ac:dyDescent="0.25">
      <c r="A16" s="32" t="s">
        <v>64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  <c r="Q16" s="58" t="s">
        <v>116</v>
      </c>
      <c r="R16" s="58"/>
      <c r="AP16" s="1">
        <v>200</v>
      </c>
      <c r="AQ16" s="1">
        <v>758</v>
      </c>
      <c r="AR16" s="1">
        <v>3722</v>
      </c>
      <c r="AS16" s="1">
        <v>-7.3</v>
      </c>
      <c r="AT16" s="1">
        <v>1.3</v>
      </c>
      <c r="AU16" s="1">
        <v>0.4</v>
      </c>
      <c r="AV16" s="1">
        <v>0</v>
      </c>
      <c r="AW16" s="1">
        <v>0</v>
      </c>
      <c r="AX16" s="1">
        <v>0</v>
      </c>
    </row>
    <row r="17" spans="1:50" x14ac:dyDescent="0.25">
      <c r="A17" s="32" t="s">
        <v>65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  <c r="Q17" s="43" t="s">
        <v>117</v>
      </c>
      <c r="R17" s="43" t="s">
        <v>118</v>
      </c>
      <c r="AP17" s="1">
        <v>225</v>
      </c>
      <c r="AQ17" s="1">
        <v>746</v>
      </c>
      <c r="AR17" s="1">
        <v>3607</v>
      </c>
      <c r="AS17" s="1">
        <v>-11.7</v>
      </c>
      <c r="AT17" s="1">
        <v>1.8</v>
      </c>
      <c r="AU17" s="1">
        <v>0.5</v>
      </c>
      <c r="AV17" s="1">
        <v>0</v>
      </c>
      <c r="AW17" s="1">
        <v>0</v>
      </c>
      <c r="AX17" s="1">
        <v>0</v>
      </c>
    </row>
    <row r="18" spans="1:50" x14ac:dyDescent="0.25">
      <c r="A18" s="11" t="s">
        <v>66</v>
      </c>
      <c r="B18" s="12">
        <f>$B$12/$B$17</f>
        <v>0.58177641733144314</v>
      </c>
      <c r="C18" s="2"/>
      <c r="J18" s="2">
        <v>3</v>
      </c>
      <c r="K18" s="2">
        <v>3.75</v>
      </c>
      <c r="L18" s="2">
        <v>3.75</v>
      </c>
      <c r="M18" s="2">
        <v>4</v>
      </c>
      <c r="N18" s="2">
        <v>4</v>
      </c>
      <c r="O18" s="2">
        <v>3.5</v>
      </c>
      <c r="P18" s="2">
        <v>4</v>
      </c>
      <c r="Q18" s="2">
        <f>AVERAGE(J18:P18)</f>
        <v>3.7142857142857144</v>
      </c>
      <c r="R18" s="2">
        <f>_xlfn.STDEV.S(J18:P18)</f>
        <v>0.36596252735569995</v>
      </c>
      <c r="AP18" s="1">
        <v>250</v>
      </c>
      <c r="AQ18" s="1">
        <v>734</v>
      </c>
      <c r="AR18" s="1">
        <v>3494</v>
      </c>
      <c r="AS18" s="1">
        <v>-17.3</v>
      </c>
      <c r="AT18" s="1">
        <v>2.4</v>
      </c>
      <c r="AU18" s="1">
        <v>0.7</v>
      </c>
      <c r="AV18" s="1">
        <v>0</v>
      </c>
      <c r="AW18" s="1">
        <v>0</v>
      </c>
      <c r="AX18" s="1">
        <v>0</v>
      </c>
    </row>
    <row r="19" spans="1:50" x14ac:dyDescent="0.25">
      <c r="A19" s="34" t="s">
        <v>67</v>
      </c>
      <c r="B19" s="35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  <c r="AP19" s="1">
        <v>275</v>
      </c>
      <c r="AQ19" s="1">
        <v>723</v>
      </c>
      <c r="AR19" s="1">
        <v>3385</v>
      </c>
      <c r="AS19" s="1">
        <v>-24.2</v>
      </c>
      <c r="AT19" s="1">
        <v>3</v>
      </c>
      <c r="AU19" s="1">
        <v>0.9</v>
      </c>
      <c r="AV19" s="1">
        <v>0</v>
      </c>
      <c r="AW19" s="1">
        <v>0</v>
      </c>
      <c r="AX19" s="1">
        <v>0</v>
      </c>
    </row>
    <row r="20" spans="1:50" x14ac:dyDescent="0.25">
      <c r="C20" s="61" t="s">
        <v>24</v>
      </c>
      <c r="D20" s="61"/>
      <c r="E20" s="61"/>
      <c r="F20" s="61"/>
      <c r="G20" s="61"/>
      <c r="H20" s="13"/>
      <c r="I20" s="13"/>
      <c r="J20" s="61" t="s">
        <v>25</v>
      </c>
      <c r="K20" s="61"/>
      <c r="L20" s="61"/>
      <c r="M20" s="61"/>
      <c r="N20" s="61"/>
      <c r="O20" s="13"/>
      <c r="P20" s="13"/>
      <c r="Q20" s="36" t="s">
        <v>30</v>
      </c>
      <c r="AP20" s="1">
        <v>300</v>
      </c>
      <c r="AQ20" s="1">
        <v>711</v>
      </c>
      <c r="AR20" s="1">
        <v>3278</v>
      </c>
      <c r="AS20" s="1">
        <v>-32.1</v>
      </c>
      <c r="AT20" s="1">
        <v>3.7</v>
      </c>
      <c r="AU20" s="1">
        <v>1.1000000000000001</v>
      </c>
      <c r="AV20" s="1">
        <v>0</v>
      </c>
      <c r="AW20" s="1">
        <v>0</v>
      </c>
      <c r="AX20" s="1">
        <v>0</v>
      </c>
    </row>
    <row r="21" spans="1:50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34</v>
      </c>
      <c r="I21" t="s">
        <v>35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34</v>
      </c>
      <c r="P21" s="37" t="s">
        <v>35</v>
      </c>
      <c r="Q21" s="36" t="s">
        <v>31</v>
      </c>
      <c r="AP21" s="1">
        <v>325</v>
      </c>
      <c r="AQ21" s="1">
        <v>700</v>
      </c>
      <c r="AR21" s="1">
        <v>3173</v>
      </c>
      <c r="AS21" s="1">
        <v>-41.2</v>
      </c>
      <c r="AT21" s="1">
        <v>4.4000000000000004</v>
      </c>
      <c r="AU21" s="1">
        <v>1.3</v>
      </c>
      <c r="AV21" s="1">
        <v>0</v>
      </c>
      <c r="AW21" s="1">
        <v>0</v>
      </c>
      <c r="AX21" s="1">
        <v>0</v>
      </c>
    </row>
    <row r="22" spans="1:50" x14ac:dyDescent="0.25">
      <c r="A22" s="1">
        <v>0</v>
      </c>
      <c r="B22" s="1">
        <v>4753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8">
        <f t="shared" si="1"/>
        <v>-3.81</v>
      </c>
      <c r="Q22" s="39">
        <v>0</v>
      </c>
      <c r="AP22" s="1">
        <v>350</v>
      </c>
      <c r="AQ22" s="1">
        <v>688</v>
      </c>
      <c r="AR22" s="1">
        <v>3071</v>
      </c>
      <c r="AS22" s="1">
        <v>-52</v>
      </c>
      <c r="AT22" s="1">
        <v>5.0999999999999996</v>
      </c>
      <c r="AU22" s="1">
        <v>1.5</v>
      </c>
      <c r="AV22" s="1">
        <v>0</v>
      </c>
      <c r="AW22" s="1">
        <v>0</v>
      </c>
      <c r="AX22" s="1">
        <v>0</v>
      </c>
    </row>
    <row r="23" spans="1:50" x14ac:dyDescent="0.25">
      <c r="A23" s="1">
        <v>25</v>
      </c>
      <c r="B23" s="1">
        <v>4647.3999999999996</v>
      </c>
      <c r="C23" s="6">
        <v>-0.25</v>
      </c>
      <c r="D23" s="6">
        <v>-0.375</v>
      </c>
      <c r="E23" s="6">
        <v>-0.35</v>
      </c>
      <c r="F23" s="6">
        <v>-0.245</v>
      </c>
      <c r="G23" s="6">
        <v>-0.05</v>
      </c>
      <c r="H23" s="6">
        <v>0.1875</v>
      </c>
      <c r="I23" s="14">
        <v>0.375</v>
      </c>
      <c r="J23" s="9" cm="1">
        <f t="array" ref="J23">TrajectoryDropInCM(C23,$A23,J$18)</f>
        <v>-1.8750003515625793</v>
      </c>
      <c r="K23" s="9" cm="1">
        <f t="array" ref="K23">TrajectoryDropInCM(D23,$A23,K$18)</f>
        <v>-3.5156273174304218</v>
      </c>
      <c r="L23" s="9" cm="1">
        <f t="array" ref="L23">TrajectoryDropInCM(E23,$A23,L$18)</f>
        <v>-3.2812518841565721</v>
      </c>
      <c r="M23" s="9" cm="1">
        <f t="array" ref="M23">TrajectoryDropInCM(F23,$A23,M$18)</f>
        <v>-2.450000784326968</v>
      </c>
      <c r="N23" s="9" cm="1">
        <f t="array" ref="N23">TrajectoryDropInCM(G23,$A23,N$18)</f>
        <v>-0.50000000666666677</v>
      </c>
      <c r="O23" s="9" cm="1">
        <f t="array" ref="O23">TrajectoryDropInCM(H23,$A23,O$18)</f>
        <v>1.6406252355194499</v>
      </c>
      <c r="P23" s="40" cm="1">
        <f t="array" ref="P23">TrajectoryDropInCM(I23,$A23,P$18)</f>
        <v>3.7500028125025313</v>
      </c>
      <c r="Q23" s="39" cm="1">
        <f t="array" ref="Q23">TrajectoryErrorCM($E$19,1,$A23)</f>
        <v>0.37561137059069255</v>
      </c>
      <c r="AP23" s="1">
        <v>375</v>
      </c>
      <c r="AQ23" s="1">
        <v>677</v>
      </c>
      <c r="AR23" s="1">
        <v>2972</v>
      </c>
      <c r="AS23" s="1">
        <v>-63.8</v>
      </c>
      <c r="AT23" s="1">
        <v>5.8</v>
      </c>
      <c r="AU23" s="1">
        <v>1.7</v>
      </c>
      <c r="AV23" s="1">
        <v>0</v>
      </c>
      <c r="AW23" s="1">
        <v>0</v>
      </c>
      <c r="AX23" s="1">
        <v>0</v>
      </c>
    </row>
    <row r="24" spans="1:50" x14ac:dyDescent="0.25">
      <c r="A24" s="1">
        <v>50</v>
      </c>
      <c r="B24" s="1">
        <v>4510.5</v>
      </c>
      <c r="C24" s="7">
        <v>0</v>
      </c>
      <c r="D24" s="6">
        <v>-6.25E-2</v>
      </c>
      <c r="E24" s="6">
        <v>-0.05</v>
      </c>
      <c r="F24" s="6">
        <v>6.25E-2</v>
      </c>
      <c r="G24" s="6">
        <v>0.25</v>
      </c>
      <c r="H24" s="6">
        <v>0.47499999999999998</v>
      </c>
      <c r="I24" s="14">
        <v>0.72499999999999998</v>
      </c>
      <c r="J24" s="9" cm="1">
        <f t="array" ref="J24">TrajectoryDropInCM(C24,$A24,J$18)</f>
        <v>0</v>
      </c>
      <c r="K24" s="9" cm="1">
        <f t="array" ref="K24">TrajectoryDropInCM(D24,$A24,K$18)</f>
        <v>-1.1718750214576725</v>
      </c>
      <c r="L24" s="9" cm="1">
        <f t="array" ref="L24">TrajectoryDropInCM(E24,$A24,L$18)</f>
        <v>-0.93750001098632829</v>
      </c>
      <c r="M24" s="9" cm="1">
        <f t="array" ref="M24">TrajectoryDropInCM(F24,$A24,M$18)</f>
        <v>1.250000026041667</v>
      </c>
      <c r="N24" s="9" cm="1">
        <f t="array" ref="N24">TrajectoryDropInCM(G24,$A24,N$18)</f>
        <v>5.0000016666673339</v>
      </c>
      <c r="O24" s="9" cm="1">
        <f t="array" ref="O24">TrajectoryDropInCM(H24,$A24,O$18)</f>
        <v>8.3125076583320343</v>
      </c>
      <c r="P24" s="40" cm="1">
        <f t="array" ref="P24">TrajectoryDropInCM(I24,$A24,P$18)</f>
        <v>14.500040648470073</v>
      </c>
      <c r="Q24" s="39" cm="1">
        <f t="array" ref="Q24">TrajectoryErrorCM($E$19,1,$A24)</f>
        <v>0.7512227411813851</v>
      </c>
      <c r="AP24" s="1">
        <v>400</v>
      </c>
      <c r="AQ24" s="1">
        <v>666</v>
      </c>
      <c r="AR24" s="1">
        <v>2875</v>
      </c>
      <c r="AS24" s="1">
        <v>-76.900000000000006</v>
      </c>
      <c r="AT24" s="1">
        <v>6.6</v>
      </c>
      <c r="AU24" s="1">
        <v>1.9</v>
      </c>
      <c r="AV24" s="1">
        <v>0</v>
      </c>
      <c r="AW24" s="1">
        <v>0</v>
      </c>
      <c r="AX24" s="1">
        <v>0</v>
      </c>
    </row>
    <row r="25" spans="1:50" x14ac:dyDescent="0.25">
      <c r="A25" s="1">
        <v>75</v>
      </c>
      <c r="B25" s="1">
        <v>4378.8999999999996</v>
      </c>
      <c r="C25" s="6">
        <v>6.25E-2</v>
      </c>
      <c r="D25" s="6">
        <v>0</v>
      </c>
      <c r="E25" s="6">
        <v>6.25E-2</v>
      </c>
      <c r="F25" s="6">
        <v>0.125</v>
      </c>
      <c r="G25" s="6">
        <v>0.3125</v>
      </c>
      <c r="H25" s="6">
        <v>0.55000000000000004</v>
      </c>
      <c r="I25" s="14">
        <v>0.76</v>
      </c>
      <c r="J25" s="9" cm="1">
        <f t="array" ref="J25">TrajectoryDropInCM(C25,$A25,J$18)</f>
        <v>1.4062500164794922</v>
      </c>
      <c r="K25" s="9" cm="1">
        <f t="array" ref="K25">TrajectoryDropInCM(D25,$A25,K$18)</f>
        <v>0</v>
      </c>
      <c r="L25" s="9" cm="1">
        <f t="array" ref="L25">TrajectoryDropInCM(E25,$A25,L$18)</f>
        <v>1.757812532186509</v>
      </c>
      <c r="M25" s="9" cm="1">
        <f t="array" ref="M25">TrajectoryDropInCM(F25,$A25,M$18)</f>
        <v>3.7500003125000307</v>
      </c>
      <c r="N25" s="9" cm="1">
        <f t="array" ref="N25">TrajectoryDropInCM(G25,$A25,N$18)</f>
        <v>9.3750048828155528</v>
      </c>
      <c r="O25" s="9" cm="1">
        <f t="array" ref="O25">TrajectoryDropInCM(H25,$A25,O$18)</f>
        <v>14.43751783334675</v>
      </c>
      <c r="P25" s="40" cm="1">
        <f t="array" ref="P25">TrajectoryDropInCM(I25,$A25,P$18)</f>
        <v>22.800070236419639</v>
      </c>
      <c r="Q25" s="39" cm="1">
        <f t="array" ref="Q25">TrajectoryErrorCM($E$19,1,$A25)</f>
        <v>1.1268341117720777</v>
      </c>
      <c r="AP25" s="1">
        <v>425</v>
      </c>
      <c r="AQ25" s="1">
        <v>655</v>
      </c>
      <c r="AR25" s="1">
        <v>2781</v>
      </c>
      <c r="AS25" s="1">
        <v>-92</v>
      </c>
      <c r="AT25" s="1">
        <v>7.4</v>
      </c>
      <c r="AU25" s="1">
        <v>2.2000000000000002</v>
      </c>
      <c r="AV25" s="1">
        <v>0</v>
      </c>
      <c r="AW25" s="1">
        <v>0</v>
      </c>
      <c r="AX25" s="1">
        <v>0</v>
      </c>
    </row>
    <row r="26" spans="1:50" x14ac:dyDescent="0.25">
      <c r="A26" s="1">
        <v>100</v>
      </c>
      <c r="B26" s="1">
        <v>4231.3</v>
      </c>
      <c r="C26" s="6">
        <v>0.08</v>
      </c>
      <c r="D26" s="7">
        <v>0</v>
      </c>
      <c r="E26" s="6">
        <v>6.25E-2</v>
      </c>
      <c r="F26" s="6">
        <v>0.125</v>
      </c>
      <c r="G26" s="6">
        <v>0.32500000000000001</v>
      </c>
      <c r="H26" s="6">
        <v>0.56000000000000005</v>
      </c>
      <c r="I26" s="14">
        <v>0.76500000000000001</v>
      </c>
      <c r="J26" s="9" cm="1">
        <f t="array" ref="J26">TrajectoryDropInCM(C26,$A26,J$18)</f>
        <v>2.4000000460800006</v>
      </c>
      <c r="K26" s="9" cm="1">
        <f t="array" ref="K26">TrajectoryDropInCM(D26,$A26,K$18)</f>
        <v>0</v>
      </c>
      <c r="L26" s="9" cm="1">
        <f t="array" ref="L26">TrajectoryDropInCM(E26,$A26,L$18)</f>
        <v>2.3437500429153451</v>
      </c>
      <c r="M26" s="9" cm="1">
        <f t="array" ref="M26">TrajectoryDropInCM(F26,$A26,M$18)</f>
        <v>5.0000004166667074</v>
      </c>
      <c r="N26" s="9" cm="1">
        <f t="array" ref="N26">TrajectoryDropInCM(G26,$A26,N$18)</f>
        <v>13.000007323338284</v>
      </c>
      <c r="O26" s="9" cm="1">
        <f t="array" ref="O26">TrajectoryDropInCM(H26,$A26,O$18)</f>
        <v>19.600025098491905</v>
      </c>
      <c r="P26" s="40" cm="1">
        <f t="array" ref="P26">TrajectoryDropInCM(I26,$A26,P$18)</f>
        <v>30.600095509077729</v>
      </c>
      <c r="Q26" s="39" cm="1">
        <f t="array" ref="Q26">TrajectoryErrorCM($E$19,1,$A26)</f>
        <v>1.5024454823627702</v>
      </c>
      <c r="AP26" s="1">
        <v>450</v>
      </c>
      <c r="AQ26" s="1">
        <v>644</v>
      </c>
      <c r="AR26" s="1">
        <v>2689</v>
      </c>
      <c r="AS26" s="1">
        <v>-108</v>
      </c>
      <c r="AT26" s="1">
        <v>8.3000000000000007</v>
      </c>
      <c r="AU26" s="1">
        <v>2.4</v>
      </c>
      <c r="AV26" s="1">
        <v>0</v>
      </c>
      <c r="AW26" s="1">
        <v>0</v>
      </c>
      <c r="AX26" s="1">
        <v>0</v>
      </c>
    </row>
    <row r="27" spans="1:50" x14ac:dyDescent="0.25">
      <c r="A27" s="1">
        <v>125</v>
      </c>
      <c r="B27" s="1">
        <v>4110</v>
      </c>
      <c r="C27" s="6">
        <v>7.4999999999999997E-2</v>
      </c>
      <c r="D27" s="6">
        <v>0</v>
      </c>
      <c r="E27" s="6">
        <v>7.4999999999999997E-2</v>
      </c>
      <c r="F27" s="6">
        <v>0.13500000000000001</v>
      </c>
      <c r="G27" s="6">
        <v>0.32500000000000001</v>
      </c>
      <c r="H27" s="6">
        <v>0.51500000000000001</v>
      </c>
      <c r="I27" s="14">
        <v>0.75</v>
      </c>
      <c r="J27" s="9" cm="1">
        <f t="array" ref="J27">TrajectoryDropInCM(C27,$A27,J$18)</f>
        <v>2.8125000474609378</v>
      </c>
      <c r="K27" s="9" cm="1">
        <f t="array" ref="K27">TrajectoryDropInCM(D27,$A27,K$18)</f>
        <v>0</v>
      </c>
      <c r="L27" s="9" cm="1">
        <f t="array" ref="L27">TrajectoryDropInCM(E27,$A27,L$18)</f>
        <v>3.5156250926971464</v>
      </c>
      <c r="M27" s="9" cm="1">
        <f t="array" ref="M27">TrajectoryDropInCM(F27,$A27,M$18)</f>
        <v>6.7500006561000765</v>
      </c>
      <c r="N27" s="9" cm="1">
        <f t="array" ref="N27">TrajectoryDropInCM(G27,$A27,N$18)</f>
        <v>16.250009154172854</v>
      </c>
      <c r="O27" s="9" cm="1">
        <f t="array" ref="O27">TrajectoryDropInCM(H27,$A27,O$18)</f>
        <v>22.531274401422401</v>
      </c>
      <c r="P27" s="40" cm="1">
        <f t="array" ref="P27">TrajectoryDropInCM(I27,$A27,P$18)</f>
        <v>37.500112500405002</v>
      </c>
      <c r="Q27" s="39" cm="1">
        <f t="array" ref="Q27">TrajectoryErrorCM($E$19,1,$A27)</f>
        <v>1.8780568529534629</v>
      </c>
      <c r="AP27" s="1">
        <v>475</v>
      </c>
      <c r="AQ27" s="1">
        <v>633</v>
      </c>
      <c r="AR27" s="1">
        <v>2599</v>
      </c>
      <c r="AS27" s="1">
        <v>-125.6</v>
      </c>
      <c r="AT27" s="1">
        <v>9.1</v>
      </c>
      <c r="AU27" s="1">
        <v>2.6</v>
      </c>
      <c r="AV27" s="1">
        <v>0</v>
      </c>
      <c r="AW27" s="1">
        <v>0</v>
      </c>
      <c r="AX27" s="1">
        <v>0</v>
      </c>
    </row>
    <row r="28" spans="1:50" x14ac:dyDescent="0.25">
      <c r="A28" s="1">
        <v>150</v>
      </c>
      <c r="B28" s="1">
        <v>3993.1</v>
      </c>
      <c r="C28" s="6">
        <v>7.4999999999999997E-2</v>
      </c>
      <c r="D28" s="6">
        <v>-6.25E-2</v>
      </c>
      <c r="E28" s="7">
        <v>0</v>
      </c>
      <c r="F28" s="6">
        <v>7.4999999999999997E-2</v>
      </c>
      <c r="G28" s="6">
        <v>0.255</v>
      </c>
      <c r="H28" s="6">
        <v>0.5</v>
      </c>
      <c r="I28" s="14">
        <v>0.75</v>
      </c>
      <c r="J28" s="9" cm="1">
        <f t="array" ref="J28">TrajectoryDropInCM(C28,$A28,J$18)</f>
        <v>3.3750000569531258</v>
      </c>
      <c r="K28" s="9" cm="1">
        <f t="array" ref="K28">TrajectoryDropInCM(D28,$A28,K$18)</f>
        <v>-3.515625064373018</v>
      </c>
      <c r="L28" s="9" cm="1">
        <f t="array" ref="L28">TrajectoryDropInCM(E28,$A28,L$18)</f>
        <v>0</v>
      </c>
      <c r="M28" s="9" cm="1">
        <f t="array" ref="M28">TrajectoryDropInCM(F28,$A28,M$18)</f>
        <v>4.5000001350000041</v>
      </c>
      <c r="N28" s="9" cm="1">
        <f t="array" ref="N28">TrajectoryDropInCM(G28,$A28,N$18)</f>
        <v>15.300005306042211</v>
      </c>
      <c r="O28" s="9" cm="1">
        <f t="array" ref="O28">TrajectoryDropInCM(H28,$A28,O$18)</f>
        <v>26.250026796907829</v>
      </c>
      <c r="P28" s="40" cm="1">
        <f t="array" ref="P28">TrajectoryDropInCM(I28,$A28,P$18)</f>
        <v>45.000135000486011</v>
      </c>
      <c r="Q28" s="39" cm="1">
        <f t="array" ref="Q28">TrajectoryErrorCM($E$19,1,$A28)</f>
        <v>2.2536682235441554</v>
      </c>
      <c r="AP28" s="1">
        <v>500</v>
      </c>
      <c r="AQ28" s="1">
        <v>623</v>
      </c>
      <c r="AR28" s="1">
        <v>2516</v>
      </c>
      <c r="AS28" s="1">
        <v>-144.80000000000001</v>
      </c>
      <c r="AT28" s="1">
        <v>10</v>
      </c>
      <c r="AU28" s="1">
        <v>2.9</v>
      </c>
      <c r="AV28" s="1">
        <v>0</v>
      </c>
      <c r="AW28" s="1">
        <v>0</v>
      </c>
      <c r="AX28" s="1">
        <v>0</v>
      </c>
    </row>
    <row r="29" spans="1:50" x14ac:dyDescent="0.25">
      <c r="A29" s="1">
        <v>200</v>
      </c>
      <c r="B29" s="1">
        <v>3753.8</v>
      </c>
      <c r="C29" s="6">
        <v>0</v>
      </c>
      <c r="D29" s="6">
        <v>-0.125</v>
      </c>
      <c r="E29" s="6">
        <v>-6.25E-2</v>
      </c>
      <c r="F29" s="7">
        <v>0</v>
      </c>
      <c r="G29" s="6">
        <v>0.1875</v>
      </c>
      <c r="H29" s="6">
        <v>0.35</v>
      </c>
      <c r="I29" s="14">
        <v>0.67500000000000004</v>
      </c>
      <c r="J29" s="9" cm="1">
        <f t="array" ref="J29">TrajectoryDropInCM(C29,$A29,J$18)</f>
        <v>0</v>
      </c>
      <c r="K29" s="9" cm="1">
        <f t="array" ref="K29">TrajectoryDropInCM(D29,$A29,K$18)</f>
        <v>-9.3750006866455688</v>
      </c>
      <c r="L29" s="9" cm="1">
        <f t="array" ref="L29">TrajectoryDropInCM(E29,$A29,L$18)</f>
        <v>-4.6875000858306901</v>
      </c>
      <c r="M29" s="9" cm="1">
        <f t="array" ref="M29">TrajectoryDropInCM(F29,$A29,M$18)</f>
        <v>0</v>
      </c>
      <c r="N29" s="9" cm="1">
        <f t="array" ref="N29">TrajectoryDropInCM(G29,$A29,N$18)</f>
        <v>15.000002812500634</v>
      </c>
      <c r="O29" s="9" cm="1">
        <f t="array" ref="O29">TrajectoryDropInCM(H29,$A29,O$18)</f>
        <v>24.500012255111525</v>
      </c>
      <c r="P29" s="40" cm="1">
        <f t="array" ref="P29">TrajectoryDropInCM(I29,$A29,P$18)</f>
        <v>54.000131220382642</v>
      </c>
      <c r="Q29" s="39" cm="1">
        <f t="array" ref="Q29">TrajectoryErrorCM($E$19,1,$A29)</f>
        <v>3.0048909647255404</v>
      </c>
    </row>
    <row r="30" spans="1:50" x14ac:dyDescent="0.25">
      <c r="A30" s="1">
        <v>250</v>
      </c>
      <c r="B30" s="1">
        <v>3532.6</v>
      </c>
      <c r="C30" s="6">
        <v>-0.1</v>
      </c>
      <c r="D30" s="6">
        <v>-0.1875</v>
      </c>
      <c r="E30" s="6">
        <v>-0.1875</v>
      </c>
      <c r="F30" s="6">
        <v>-0.125</v>
      </c>
      <c r="G30" s="6">
        <v>0.125</v>
      </c>
      <c r="H30" s="6">
        <v>0.3125</v>
      </c>
      <c r="I30" s="14">
        <v>0.61250000000000004</v>
      </c>
      <c r="J30" s="9" cm="1">
        <f t="array" ref="J30">TrajectoryDropInCM(C30,$A30,J$18)</f>
        <v>-7.5000002250000088</v>
      </c>
      <c r="K30" s="9" cm="1">
        <f t="array" ref="K30">TrajectoryDropInCM(D30,$A30,K$18)</f>
        <v>-17.578127896786309</v>
      </c>
      <c r="L30" s="9" cm="1">
        <f t="array" ref="L30">TrajectoryDropInCM(E30,$A30,L$18)</f>
        <v>-17.578127896786309</v>
      </c>
      <c r="M30" s="9" cm="1">
        <f t="array" ref="M30">TrajectoryDropInCM(F30,$A30,M$18)</f>
        <v>-12.500001041666769</v>
      </c>
      <c r="N30" s="9" cm="1">
        <f t="array" ref="N30">TrajectoryDropInCM(G30,$A30,N$18)</f>
        <v>12.500001041666769</v>
      </c>
      <c r="O30" s="9" cm="1">
        <f t="array" ref="O30">TrajectoryDropInCM(H30,$A30,O$18)</f>
        <v>27.343760903681574</v>
      </c>
      <c r="P30" s="40" cm="1">
        <f t="array" ref="P30">TrajectoryDropInCM(I30,$A30,P$18)</f>
        <v>61.25012255133592</v>
      </c>
      <c r="Q30" s="39" cm="1">
        <f t="array" ref="Q30">TrajectoryErrorCM($E$19,1,$A30)</f>
        <v>3.7561137059069258</v>
      </c>
    </row>
    <row r="31" spans="1:50" x14ac:dyDescent="0.25">
      <c r="A31" s="1">
        <v>300</v>
      </c>
      <c r="B31" s="1">
        <v>3313.8</v>
      </c>
      <c r="C31" s="6">
        <v>-0.185</v>
      </c>
      <c r="D31" s="6">
        <v>-0.3125</v>
      </c>
      <c r="E31" s="6">
        <v>-0.25</v>
      </c>
      <c r="F31" s="6">
        <v>-0.1875</v>
      </c>
      <c r="G31" s="7">
        <v>0</v>
      </c>
      <c r="H31" s="17">
        <v>0.255</v>
      </c>
      <c r="I31" s="18">
        <v>0.5</v>
      </c>
      <c r="J31" s="9" cm="1">
        <f t="array" ref="J31">TrajectoryDropInCM(C31,$A31,J$18)</f>
        <v>-16.650001709538962</v>
      </c>
      <c r="K31" s="9" cm="1">
        <f t="array" ref="K31">TrajectoryDropInCM(D31,$A31,K$18)</f>
        <v>-35.156266093262929</v>
      </c>
      <c r="L31" s="9" cm="1">
        <f t="array" ref="L31">TrajectoryDropInCM(E31,$A31,L$18)</f>
        <v>-28.12500823974899</v>
      </c>
      <c r="M31" s="9" cm="1">
        <f t="array" ref="M31">TrajectoryDropInCM(F31,$A31,M$18)</f>
        <v>-22.500004218750952</v>
      </c>
      <c r="N31" s="9" cm="1">
        <f t="array" ref="N31">TrajectoryDropInCM(G31,$A31,N$18)</f>
        <v>0</v>
      </c>
      <c r="O31" s="9" cm="1">
        <f t="array" ref="O31">TrajectoryDropInCM(H31,$A31,O$18)</f>
        <v>26.775007109266802</v>
      </c>
      <c r="P31" s="40" cm="1">
        <f t="array" ref="P31">TrajectoryDropInCM(I31,$A31,P$18)</f>
        <v>60.000080000127994</v>
      </c>
      <c r="Q31" s="39" cm="1">
        <f t="array" ref="Q31">TrajectoryErrorCM($E$19,1,$A31)</f>
        <v>4.5073364470883108</v>
      </c>
    </row>
    <row r="32" spans="1:50" x14ac:dyDescent="0.25">
      <c r="A32" s="1">
        <v>350</v>
      </c>
      <c r="B32" s="1">
        <v>3111.4</v>
      </c>
      <c r="C32" s="6">
        <v>-0.3125</v>
      </c>
      <c r="D32" s="6">
        <v>-0.4</v>
      </c>
      <c r="E32" s="6">
        <v>-0.375</v>
      </c>
      <c r="F32" s="6">
        <v>-0.26</v>
      </c>
      <c r="G32" s="6">
        <v>-0.125</v>
      </c>
      <c r="H32" s="6">
        <v>0.125</v>
      </c>
      <c r="I32" s="14">
        <v>0.375</v>
      </c>
      <c r="J32" s="9" cm="1">
        <f t="array" ref="J32">TrajectoryDropInCM(C32,$A32,J$18)</f>
        <v>-32.812509613040483</v>
      </c>
      <c r="K32" s="9" cm="1">
        <f t="array" ref="K32">TrajectoryDropInCM(D32,$A32,K$18)</f>
        <v>-52.500039375035435</v>
      </c>
      <c r="L32" s="9" cm="1">
        <f t="array" ref="L32">TrajectoryDropInCM(E32,$A32,L$18)</f>
        <v>-49.218782444025905</v>
      </c>
      <c r="M32" s="9" cm="1">
        <f t="array" ref="M32">TrajectoryDropInCM(F32,$A32,M$18)</f>
        <v>-36.400013123419015</v>
      </c>
      <c r="N32" s="9" cm="1">
        <f t="array" ref="N32">TrajectoryDropInCM(G32,$A32,N$18)</f>
        <v>-17.500001458333479</v>
      </c>
      <c r="O32" s="9" cm="1">
        <f t="array" ref="O32">TrajectoryDropInCM(H32,$A32,O$18)</f>
        <v>15.312500976969476</v>
      </c>
      <c r="P32" s="40" cm="1">
        <f t="array" ref="P32">TrajectoryDropInCM(I32,$A32,P$18)</f>
        <v>52.500039375035435</v>
      </c>
      <c r="Q32" s="39" cm="1">
        <f t="array" ref="Q32">TrajectoryErrorCM($E$19,1,$A32)</f>
        <v>5.2585591882696958</v>
      </c>
    </row>
    <row r="33" spans="1:17" x14ac:dyDescent="0.25">
      <c r="A33" s="1">
        <v>400</v>
      </c>
      <c r="B33" s="1">
        <v>2911.5</v>
      </c>
      <c r="C33" s="6">
        <v>-0.45</v>
      </c>
      <c r="D33" s="6">
        <v>-0.55000000000000004</v>
      </c>
      <c r="E33" s="6">
        <v>-0.5</v>
      </c>
      <c r="F33" s="6">
        <v>-0.35</v>
      </c>
      <c r="G33" s="6">
        <v>-0.2</v>
      </c>
      <c r="H33" s="7">
        <v>0</v>
      </c>
      <c r="I33" s="14">
        <v>0.25</v>
      </c>
      <c r="J33" s="9" cm="1">
        <f t="array" ref="J33">TrajectoryDropInCM(C33,$A33,J$18)</f>
        <v>-54.000032805023913</v>
      </c>
      <c r="K33" s="9" cm="1">
        <f t="array" ref="K33">TrajectoryDropInCM(D33,$A33,K$18)</f>
        <v>-82.500116982620938</v>
      </c>
      <c r="L33" s="9" cm="1">
        <f t="array" ref="L33">TrajectoryDropInCM(E33,$A33,L$18)</f>
        <v>-75.000087890748588</v>
      </c>
      <c r="M33" s="9" cm="1">
        <f t="array" ref="M33">TrajectoryDropInCM(F33,$A33,M$18)</f>
        <v>-56.000036586695359</v>
      </c>
      <c r="N33" s="9" cm="1">
        <f t="array" ref="N33">TrajectoryDropInCM(G33,$A33,N$18)</f>
        <v>-32.000006826668411</v>
      </c>
      <c r="O33" s="9" cm="1">
        <f t="array" ref="O33">TrajectoryDropInCM(H33,$A33,O$18)</f>
        <v>0</v>
      </c>
      <c r="P33" s="40" cm="1">
        <f t="array" ref="P33">TrajectoryDropInCM(I33,$A33,P$18)</f>
        <v>40.000013333338671</v>
      </c>
      <c r="Q33" s="39" cm="1">
        <f t="array" ref="Q33">TrajectoryErrorCM($E$19,1,$A33)</f>
        <v>6.0097819294510808</v>
      </c>
    </row>
    <row r="34" spans="1:17" x14ac:dyDescent="0.25">
      <c r="A34" s="1">
        <v>450</v>
      </c>
      <c r="B34" s="1">
        <v>2729.6</v>
      </c>
      <c r="C34" s="6">
        <v>-0.625</v>
      </c>
      <c r="D34" s="6">
        <v>-0.67500000000000004</v>
      </c>
      <c r="E34" s="6">
        <v>-0.625</v>
      </c>
      <c r="F34" s="6">
        <v>-0.5</v>
      </c>
      <c r="G34" s="6">
        <v>-0.32500000000000001</v>
      </c>
      <c r="H34" s="6">
        <v>-0.125</v>
      </c>
      <c r="I34" s="14">
        <v>0.125</v>
      </c>
      <c r="J34" s="9" cm="1">
        <f t="array" ref="J34">TrajectoryDropInCM(C34,$A34,J$18)</f>
        <v>-84.375098877092171</v>
      </c>
      <c r="K34" s="9" cm="1">
        <f t="array" ref="K34">TrajectoryDropInCM(D34,$A34,K$18)</f>
        <v>-113.90649327500701</v>
      </c>
      <c r="L34" s="9" cm="1">
        <f t="array" ref="L34">TrajectoryDropInCM(E34,$A34,L$18)</f>
        <v>-105.46894311947339</v>
      </c>
      <c r="M34" s="9" cm="1">
        <f t="array" ref="M34">TrajectoryDropInCM(F34,$A34,M$18)</f>
        <v>-90.000120000191998</v>
      </c>
      <c r="N34" s="9" cm="1">
        <f t="array" ref="N34">TrajectoryDropInCM(G34,$A34,N$18)</f>
        <v>-58.500032955022277</v>
      </c>
      <c r="O34" s="9" cm="1">
        <f t="array" ref="O34">TrajectoryDropInCM(H34,$A34,O$18)</f>
        <v>-19.687501256103612</v>
      </c>
      <c r="P34" s="40" cm="1">
        <f t="array" ref="P34">TrajectoryDropInCM(I34,$A34,P$18)</f>
        <v>22.500001875000187</v>
      </c>
      <c r="Q34" s="39" cm="1">
        <f t="array" ref="Q34">TrajectoryErrorCM($E$19,1,$A34)</f>
        <v>6.7610046706324667</v>
      </c>
    </row>
    <row r="35" spans="1:17" x14ac:dyDescent="0.25">
      <c r="A35" s="1">
        <v>500</v>
      </c>
      <c r="B35" s="1">
        <v>2550.4</v>
      </c>
      <c r="C35" s="6">
        <v>-0.72499999999999998</v>
      </c>
      <c r="D35" s="6">
        <v>-0.75</v>
      </c>
      <c r="E35" s="6">
        <v>-0.745</v>
      </c>
      <c r="F35" s="6">
        <v>-0.625</v>
      </c>
      <c r="G35" s="6">
        <v>-0.5</v>
      </c>
      <c r="H35" s="6">
        <v>-0.25</v>
      </c>
      <c r="I35" s="15">
        <v>0</v>
      </c>
      <c r="J35" s="9" cm="1">
        <f t="array" ref="J35">TrajectoryDropInCM(C35,$A35,J$18)</f>
        <v>-108.75017148548073</v>
      </c>
      <c r="K35" s="9" cm="1">
        <f t="array" ref="K35">TrajectoryDropInCM(D35,$A35,K$18)</f>
        <v>-140.62537078974739</v>
      </c>
      <c r="L35" s="9" cm="1">
        <f t="array" ref="L35">TrajectoryDropInCM(E35,$A35,L$18)</f>
        <v>-139.68786342326601</v>
      </c>
      <c r="M35" s="9" cm="1">
        <f t="array" ref="M35">TrajectoryDropInCM(F35,$A35,M$18)</f>
        <v>-125.0002604173177</v>
      </c>
      <c r="N35" s="9" cm="1">
        <f t="array" ref="N35">TrajectoryDropInCM(G35,$A35,N$18)</f>
        <v>-100.00013333354664</v>
      </c>
      <c r="O35" s="9" cm="1">
        <f t="array" ref="O35">TrajectoryDropInCM(H35,$A35,O$18)</f>
        <v>-43.750011165368008</v>
      </c>
      <c r="P35" s="40" cm="1">
        <f t="array" ref="P35">TrajectoryDropInCM(I35,$A35,P$18)</f>
        <v>0</v>
      </c>
      <c r="Q35" s="39" cm="1">
        <f t="array" ref="Q35">TrajectoryErrorCM($E$19,1,$A35)</f>
        <v>7.5122274118138517</v>
      </c>
    </row>
    <row r="69" spans="1:23" x14ac:dyDescent="0.25">
      <c r="Q69" s="13"/>
      <c r="R69" s="13"/>
      <c r="S69" s="13"/>
      <c r="T69" s="13"/>
      <c r="U69" s="13"/>
      <c r="V69" s="13"/>
      <c r="W69" s="13"/>
    </row>
    <row r="71" spans="1:23" x14ac:dyDescent="0.25">
      <c r="Q71" s="1"/>
      <c r="R71" s="1"/>
      <c r="S71" s="1"/>
      <c r="T71" s="1"/>
      <c r="U71" s="1"/>
      <c r="V71" s="1"/>
      <c r="W71" s="1"/>
    </row>
    <row r="72" spans="1:23" x14ac:dyDescent="0.25">
      <c r="Q72" s="1"/>
      <c r="R72" s="1"/>
      <c r="S72" s="1"/>
      <c r="T72" s="1"/>
      <c r="U72" s="1"/>
      <c r="V72" s="1"/>
      <c r="W72" s="1"/>
    </row>
    <row r="73" spans="1:23" x14ac:dyDescent="0.25">
      <c r="Q73" s="1"/>
      <c r="R73" s="1"/>
      <c r="S73" s="1"/>
      <c r="T73" s="1"/>
      <c r="U73" s="1"/>
      <c r="V73" s="1"/>
      <c r="W73" s="1"/>
    </row>
    <row r="74" spans="1:23" x14ac:dyDescent="0.25">
      <c r="Q74" s="1"/>
      <c r="R74" s="1"/>
      <c r="S74" s="1"/>
      <c r="T74" s="1"/>
      <c r="U74" s="1"/>
      <c r="V74" s="1"/>
      <c r="W74" s="1"/>
    </row>
    <row r="75" spans="1:23" x14ac:dyDescent="0.25">
      <c r="Q75" s="1"/>
      <c r="R75" s="1"/>
      <c r="S75" s="1"/>
      <c r="T75" s="1"/>
      <c r="U75" s="1"/>
      <c r="V75" s="1"/>
      <c r="W75" s="1"/>
    </row>
    <row r="76" spans="1:23" x14ac:dyDescent="0.25">
      <c r="Q76" s="1"/>
      <c r="R76" s="1"/>
      <c r="S76" s="1"/>
      <c r="T76" s="1"/>
      <c r="U76" s="1"/>
      <c r="V76" s="1"/>
      <c r="W76" s="1"/>
    </row>
    <row r="77" spans="1:23" x14ac:dyDescent="0.25">
      <c r="A77" t="s">
        <v>27</v>
      </c>
      <c r="Q77" s="1"/>
      <c r="R77" s="1"/>
      <c r="S77" s="1"/>
      <c r="T77" s="1"/>
      <c r="U77" s="1"/>
      <c r="V77" s="1"/>
      <c r="W77" s="1"/>
    </row>
    <row r="78" spans="1:23" x14ac:dyDescent="0.25">
      <c r="A78" t="s">
        <v>36</v>
      </c>
      <c r="K78" t="s">
        <v>37</v>
      </c>
      <c r="R78" s="13"/>
      <c r="S78" s="13"/>
      <c r="T78" s="1"/>
      <c r="U78" s="1"/>
      <c r="V78" s="1"/>
      <c r="W78" s="1"/>
    </row>
    <row r="79" spans="1:23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39</v>
      </c>
      <c r="H79" t="s">
        <v>40</v>
      </c>
      <c r="I79" t="s">
        <v>41</v>
      </c>
      <c r="K79" t="s">
        <v>12</v>
      </c>
      <c r="L79" t="s">
        <v>13</v>
      </c>
      <c r="M79" t="s">
        <v>14</v>
      </c>
      <c r="N79" t="s">
        <v>15</v>
      </c>
      <c r="O79" t="s">
        <v>16</v>
      </c>
      <c r="P79" t="s">
        <v>17</v>
      </c>
      <c r="Q79" t="s">
        <v>39</v>
      </c>
      <c r="R79" t="s">
        <v>40</v>
      </c>
      <c r="S79" t="s">
        <v>41</v>
      </c>
      <c r="T79" s="1"/>
      <c r="U79" s="1"/>
      <c r="V79" s="1"/>
      <c r="W79" s="1"/>
    </row>
    <row r="80" spans="1:23" x14ac:dyDescent="0.25">
      <c r="A80" s="1">
        <v>0</v>
      </c>
      <c r="B80" s="1">
        <v>856</v>
      </c>
      <c r="C80" s="1">
        <v>4754</v>
      </c>
      <c r="D80" s="1">
        <v>-8</v>
      </c>
      <c r="E80" s="1">
        <v>0</v>
      </c>
      <c r="F80" s="1">
        <v>0</v>
      </c>
      <c r="G80" s="1">
        <v>0</v>
      </c>
      <c r="H80">
        <v>0</v>
      </c>
      <c r="I80">
        <v>0</v>
      </c>
      <c r="K80" s="1">
        <v>0</v>
      </c>
      <c r="L80" s="1">
        <v>856</v>
      </c>
      <c r="M80" s="1">
        <v>4754</v>
      </c>
      <c r="N80" s="1">
        <v>-3.8</v>
      </c>
      <c r="O80" s="1">
        <v>0</v>
      </c>
      <c r="P80" s="1">
        <v>0</v>
      </c>
      <c r="Q80">
        <v>0</v>
      </c>
      <c r="R80" s="1">
        <v>0</v>
      </c>
      <c r="S80" s="1">
        <v>0</v>
      </c>
      <c r="T80" s="1"/>
      <c r="U80" s="1"/>
      <c r="V80" s="1"/>
      <c r="W80" s="1"/>
    </row>
    <row r="81" spans="1:23" x14ac:dyDescent="0.25">
      <c r="A81" s="1">
        <v>25</v>
      </c>
      <c r="B81" s="1">
        <v>844</v>
      </c>
      <c r="C81" s="1">
        <v>4616</v>
      </c>
      <c r="D81" s="1">
        <v>-3.6</v>
      </c>
      <c r="E81" s="1">
        <v>5</v>
      </c>
      <c r="F81" s="1">
        <v>1.5</v>
      </c>
      <c r="G81" s="1">
        <v>0</v>
      </c>
      <c r="H81">
        <v>0</v>
      </c>
      <c r="I81">
        <v>0</v>
      </c>
      <c r="K81" s="1">
        <v>25</v>
      </c>
      <c r="L81" s="1">
        <v>844</v>
      </c>
      <c r="M81" s="1">
        <v>4614</v>
      </c>
      <c r="N81" s="1">
        <v>-1.5</v>
      </c>
      <c r="O81" s="1">
        <v>2.1</v>
      </c>
      <c r="P81" s="1">
        <v>0.6</v>
      </c>
      <c r="Q81">
        <v>0</v>
      </c>
      <c r="R81" s="1">
        <v>0</v>
      </c>
      <c r="S81" s="1">
        <v>0</v>
      </c>
      <c r="T81" s="1"/>
      <c r="U81" s="1"/>
      <c r="V81" s="1"/>
      <c r="W81" s="1"/>
    </row>
    <row r="82" spans="1:23" x14ac:dyDescent="0.25">
      <c r="A82" s="10">
        <v>50</v>
      </c>
      <c r="B82" s="10">
        <v>832</v>
      </c>
      <c r="C82" s="10">
        <v>4483</v>
      </c>
      <c r="D82" s="10">
        <v>0</v>
      </c>
      <c r="E82" s="10">
        <v>0</v>
      </c>
      <c r="F82" s="10">
        <v>0</v>
      </c>
      <c r="G82" s="1">
        <v>0</v>
      </c>
      <c r="H82">
        <v>0</v>
      </c>
      <c r="I82">
        <v>0</v>
      </c>
      <c r="K82" s="10">
        <v>50</v>
      </c>
      <c r="L82" s="10">
        <v>831</v>
      </c>
      <c r="M82" s="10">
        <v>4478</v>
      </c>
      <c r="N82" s="10">
        <v>0</v>
      </c>
      <c r="O82" s="10">
        <v>0</v>
      </c>
      <c r="P82" s="10">
        <v>0</v>
      </c>
      <c r="Q82">
        <v>0</v>
      </c>
      <c r="R82" s="1">
        <v>0</v>
      </c>
      <c r="S82" s="1">
        <v>0</v>
      </c>
      <c r="T82" s="1"/>
      <c r="U82" s="1"/>
      <c r="V82" s="1"/>
      <c r="W82" s="1"/>
    </row>
    <row r="83" spans="1:23" x14ac:dyDescent="0.25">
      <c r="A83" s="1">
        <v>75</v>
      </c>
      <c r="B83" s="1">
        <v>820</v>
      </c>
      <c r="C83" s="1">
        <v>4353</v>
      </c>
      <c r="D83" s="1">
        <v>2.6</v>
      </c>
      <c r="E83" s="1">
        <v>-1.2</v>
      </c>
      <c r="F83" s="1">
        <v>-0.3</v>
      </c>
      <c r="G83" s="1">
        <v>0</v>
      </c>
      <c r="H83">
        <v>0</v>
      </c>
      <c r="I83">
        <v>0</v>
      </c>
      <c r="K83" s="1">
        <v>75</v>
      </c>
      <c r="L83" s="1">
        <v>819</v>
      </c>
      <c r="M83" s="1">
        <v>4346</v>
      </c>
      <c r="N83" s="1">
        <v>0.6</v>
      </c>
      <c r="O83" s="1">
        <v>-0.3</v>
      </c>
      <c r="P83" s="1">
        <v>-0.1</v>
      </c>
      <c r="Q83">
        <v>0</v>
      </c>
      <c r="R83" s="1">
        <v>0</v>
      </c>
      <c r="S83" s="1">
        <v>0</v>
      </c>
      <c r="T83" s="1"/>
      <c r="U83" s="1"/>
      <c r="V83" s="1"/>
      <c r="W83" s="1"/>
    </row>
    <row r="84" spans="1:23" x14ac:dyDescent="0.25">
      <c r="A84" s="1">
        <v>100</v>
      </c>
      <c r="B84" s="1">
        <v>808</v>
      </c>
      <c r="C84" s="1">
        <v>4226</v>
      </c>
      <c r="D84" s="1">
        <v>4.3</v>
      </c>
      <c r="E84" s="1">
        <v>-1.5</v>
      </c>
      <c r="F84" s="1">
        <v>-0.4</v>
      </c>
      <c r="G84" s="1">
        <v>0</v>
      </c>
      <c r="H84">
        <v>0</v>
      </c>
      <c r="I84">
        <v>0</v>
      </c>
      <c r="K84" s="1">
        <v>100</v>
      </c>
      <c r="L84" s="1">
        <v>807</v>
      </c>
      <c r="M84" s="1">
        <v>4216</v>
      </c>
      <c r="N84" s="1">
        <v>0.2</v>
      </c>
      <c r="O84" s="1">
        <v>-0.1</v>
      </c>
      <c r="P84" s="1">
        <v>0</v>
      </c>
      <c r="Q84">
        <v>0</v>
      </c>
      <c r="R84" s="1">
        <v>0</v>
      </c>
      <c r="S84" s="1">
        <v>0</v>
      </c>
      <c r="T84" s="1"/>
      <c r="U84" s="1"/>
      <c r="V84" s="1"/>
      <c r="W84" s="1"/>
    </row>
    <row r="85" spans="1:23" x14ac:dyDescent="0.25">
      <c r="A85" s="1">
        <v>125</v>
      </c>
      <c r="B85" s="1">
        <v>796</v>
      </c>
      <c r="C85" s="1">
        <v>4102</v>
      </c>
      <c r="D85" s="1">
        <v>5.0999999999999996</v>
      </c>
      <c r="E85" s="1">
        <v>-1.4</v>
      </c>
      <c r="F85" s="1">
        <v>-0.4</v>
      </c>
      <c r="G85" s="1">
        <v>0</v>
      </c>
      <c r="H85">
        <v>0</v>
      </c>
      <c r="I85">
        <v>0</v>
      </c>
      <c r="K85" s="1">
        <v>125</v>
      </c>
      <c r="L85" s="1">
        <v>794</v>
      </c>
      <c r="M85" s="1">
        <v>4089</v>
      </c>
      <c r="N85" s="1">
        <v>-1.1000000000000001</v>
      </c>
      <c r="O85" s="1">
        <v>0.3</v>
      </c>
      <c r="P85" s="1">
        <v>0.1</v>
      </c>
      <c r="Q85">
        <v>0</v>
      </c>
      <c r="R85" s="1">
        <v>0</v>
      </c>
      <c r="S85" s="1">
        <v>0</v>
      </c>
      <c r="T85" s="1"/>
      <c r="U85" s="1"/>
      <c r="V85" s="1"/>
      <c r="W85" s="1"/>
    </row>
    <row r="86" spans="1:23" x14ac:dyDescent="0.25">
      <c r="A86" s="1">
        <v>150</v>
      </c>
      <c r="B86" s="1">
        <v>784</v>
      </c>
      <c r="C86" s="1">
        <v>3981</v>
      </c>
      <c r="D86" s="1">
        <v>4.9000000000000004</v>
      </c>
      <c r="E86" s="1">
        <v>-1.1000000000000001</v>
      </c>
      <c r="F86" s="1">
        <v>-0.3</v>
      </c>
      <c r="G86" s="1">
        <v>0</v>
      </c>
      <c r="H86">
        <v>0</v>
      </c>
      <c r="I86">
        <v>0</v>
      </c>
      <c r="K86" s="1">
        <v>150</v>
      </c>
      <c r="L86" s="1">
        <v>782</v>
      </c>
      <c r="M86" s="1">
        <v>3966</v>
      </c>
      <c r="N86" s="1">
        <v>-3.4</v>
      </c>
      <c r="O86" s="1">
        <v>0.8</v>
      </c>
      <c r="P86" s="1">
        <v>0.2</v>
      </c>
      <c r="Q86">
        <v>0</v>
      </c>
      <c r="R86" s="1">
        <v>0</v>
      </c>
      <c r="S86" s="1">
        <v>0</v>
      </c>
      <c r="T86" s="1"/>
      <c r="U86" s="1"/>
      <c r="V86" s="1"/>
      <c r="W86" s="1"/>
    </row>
    <row r="87" spans="1:23" x14ac:dyDescent="0.25">
      <c r="A87" s="1">
        <v>175</v>
      </c>
      <c r="B87" s="1">
        <v>772</v>
      </c>
      <c r="C87" s="1">
        <v>3863</v>
      </c>
      <c r="D87" s="1">
        <v>3.7</v>
      </c>
      <c r="E87" s="1">
        <v>-0.7</v>
      </c>
      <c r="F87" s="1">
        <v>-0.2</v>
      </c>
      <c r="G87" s="1">
        <v>0</v>
      </c>
      <c r="H87">
        <v>0</v>
      </c>
      <c r="I87">
        <v>0</v>
      </c>
      <c r="K87" s="1">
        <v>175</v>
      </c>
      <c r="L87" s="1">
        <v>770</v>
      </c>
      <c r="M87" s="1">
        <v>3845</v>
      </c>
      <c r="N87" s="1">
        <v>-6.6</v>
      </c>
      <c r="O87" s="1">
        <v>1.3</v>
      </c>
      <c r="P87" s="1">
        <v>0.4</v>
      </c>
      <c r="Q87">
        <v>0</v>
      </c>
      <c r="R87" s="1">
        <v>0</v>
      </c>
      <c r="S87" s="1">
        <v>0</v>
      </c>
      <c r="T87" s="1"/>
      <c r="U87" s="1"/>
      <c r="V87" s="1"/>
      <c r="W87" s="1"/>
    </row>
    <row r="88" spans="1:23" x14ac:dyDescent="0.25">
      <c r="A88" s="1">
        <v>200</v>
      </c>
      <c r="B88" s="1">
        <v>760</v>
      </c>
      <c r="C88" s="1">
        <v>3748</v>
      </c>
      <c r="D88" s="1">
        <v>1.4</v>
      </c>
      <c r="E88" s="1">
        <v>-0.2</v>
      </c>
      <c r="F88" s="1">
        <v>-0.1</v>
      </c>
      <c r="G88" s="1">
        <v>0</v>
      </c>
      <c r="H88">
        <v>0</v>
      </c>
      <c r="I88">
        <v>0</v>
      </c>
      <c r="K88" s="1">
        <v>200</v>
      </c>
      <c r="L88" s="1">
        <v>758</v>
      </c>
      <c r="M88" s="1">
        <v>3727</v>
      </c>
      <c r="N88" s="1">
        <v>-11.1</v>
      </c>
      <c r="O88" s="1">
        <v>1.9</v>
      </c>
      <c r="P88" s="1">
        <v>0.6</v>
      </c>
      <c r="Q88">
        <v>0</v>
      </c>
      <c r="R88" s="1">
        <v>0</v>
      </c>
      <c r="S88" s="1">
        <v>0</v>
      </c>
      <c r="T88" s="1"/>
      <c r="U88" s="1"/>
      <c r="V88" s="1"/>
      <c r="W88" s="1"/>
    </row>
    <row r="89" spans="1:23" x14ac:dyDescent="0.25">
      <c r="A89" s="1">
        <v>225</v>
      </c>
      <c r="B89" s="1">
        <v>749</v>
      </c>
      <c r="C89" s="1">
        <v>3635</v>
      </c>
      <c r="D89" s="1">
        <v>-1.9</v>
      </c>
      <c r="E89" s="1">
        <v>0.3</v>
      </c>
      <c r="F89" s="1">
        <v>0.1</v>
      </c>
      <c r="G89" s="1">
        <v>0</v>
      </c>
      <c r="H89">
        <v>0</v>
      </c>
      <c r="I89">
        <v>0</v>
      </c>
      <c r="K89" s="1">
        <v>225</v>
      </c>
      <c r="L89" s="1">
        <v>747</v>
      </c>
      <c r="M89" s="1">
        <v>3611</v>
      </c>
      <c r="N89" s="1">
        <v>-16.5</v>
      </c>
      <c r="O89" s="1">
        <v>2.5</v>
      </c>
      <c r="P89" s="1">
        <v>0.7</v>
      </c>
      <c r="Q89">
        <v>0</v>
      </c>
      <c r="R89" s="1">
        <v>0</v>
      </c>
      <c r="S89" s="1">
        <v>0</v>
      </c>
      <c r="T89" s="1"/>
      <c r="U89" s="1"/>
      <c r="V89" s="1"/>
      <c r="W89" s="1"/>
    </row>
    <row r="90" spans="1:23" x14ac:dyDescent="0.25">
      <c r="A90" s="1">
        <v>250</v>
      </c>
      <c r="B90" s="1">
        <v>737</v>
      </c>
      <c r="C90" s="1">
        <v>3525</v>
      </c>
      <c r="D90" s="1">
        <v>-6.3</v>
      </c>
      <c r="E90" s="1">
        <v>0.9</v>
      </c>
      <c r="F90" s="1">
        <v>0.3</v>
      </c>
      <c r="G90" s="1">
        <v>0</v>
      </c>
      <c r="H90">
        <v>0</v>
      </c>
      <c r="I90">
        <v>0</v>
      </c>
      <c r="K90" s="1">
        <v>250</v>
      </c>
      <c r="L90" s="1">
        <v>735</v>
      </c>
      <c r="M90" s="1">
        <v>3499</v>
      </c>
      <c r="N90" s="1">
        <v>-23</v>
      </c>
      <c r="O90" s="1">
        <v>3.2</v>
      </c>
      <c r="P90" s="1">
        <v>0.9</v>
      </c>
      <c r="Q90">
        <v>0</v>
      </c>
      <c r="R90" s="1">
        <v>0</v>
      </c>
      <c r="S90" s="1">
        <v>0</v>
      </c>
      <c r="T90" s="1"/>
      <c r="U90" s="1"/>
      <c r="V90" s="1"/>
      <c r="W90" s="1"/>
    </row>
    <row r="91" spans="1:23" x14ac:dyDescent="0.25">
      <c r="A91" s="1">
        <v>275</v>
      </c>
      <c r="B91" s="1">
        <v>726</v>
      </c>
      <c r="C91" s="1">
        <v>3417</v>
      </c>
      <c r="D91" s="1">
        <v>-12.1</v>
      </c>
      <c r="E91" s="1">
        <v>1.5</v>
      </c>
      <c r="F91" s="1">
        <v>0.4</v>
      </c>
      <c r="G91" s="1">
        <v>0</v>
      </c>
      <c r="H91">
        <v>0</v>
      </c>
      <c r="I91">
        <v>0</v>
      </c>
      <c r="K91" s="1">
        <v>275</v>
      </c>
      <c r="L91" s="1">
        <v>723</v>
      </c>
      <c r="M91" s="1">
        <v>3389</v>
      </c>
      <c r="N91" s="1">
        <v>-31</v>
      </c>
      <c r="O91" s="1">
        <v>3.9</v>
      </c>
      <c r="P91" s="1">
        <v>1.1000000000000001</v>
      </c>
      <c r="Q91">
        <v>0</v>
      </c>
      <c r="R91" s="1">
        <v>0</v>
      </c>
      <c r="S91" s="1">
        <v>0</v>
      </c>
      <c r="T91" s="1"/>
      <c r="U91" s="1"/>
      <c r="V91" s="1"/>
      <c r="W91" s="1"/>
    </row>
    <row r="92" spans="1:23" x14ac:dyDescent="0.25">
      <c r="A92" s="1">
        <v>300</v>
      </c>
      <c r="B92" s="1">
        <v>715</v>
      </c>
      <c r="C92" s="1">
        <v>3312</v>
      </c>
      <c r="D92" s="1">
        <v>-18.8</v>
      </c>
      <c r="E92" s="1">
        <v>2.2000000000000002</v>
      </c>
      <c r="F92" s="1">
        <v>0.6</v>
      </c>
      <c r="G92" s="1">
        <v>0</v>
      </c>
      <c r="H92">
        <v>0</v>
      </c>
      <c r="I92">
        <v>0</v>
      </c>
      <c r="K92" s="1">
        <v>300</v>
      </c>
      <c r="L92" s="1">
        <v>712</v>
      </c>
      <c r="M92" s="1">
        <v>3282</v>
      </c>
      <c r="N92" s="1">
        <v>-39.799999999999997</v>
      </c>
      <c r="O92" s="1">
        <v>4.5999999999999996</v>
      </c>
      <c r="P92" s="1">
        <v>1.3</v>
      </c>
      <c r="Q92">
        <v>0</v>
      </c>
      <c r="R92" s="1">
        <v>0</v>
      </c>
      <c r="S92" s="1">
        <v>0</v>
      </c>
    </row>
    <row r="93" spans="1:23" x14ac:dyDescent="0.25">
      <c r="A93" s="1">
        <v>325</v>
      </c>
      <c r="B93" s="1">
        <v>704</v>
      </c>
      <c r="C93" s="1">
        <v>3210</v>
      </c>
      <c r="D93" s="1">
        <v>-26.8</v>
      </c>
      <c r="E93" s="1">
        <v>2.8</v>
      </c>
      <c r="F93" s="1">
        <v>0.8</v>
      </c>
      <c r="G93" s="1">
        <v>0</v>
      </c>
      <c r="H93">
        <v>0</v>
      </c>
      <c r="I93">
        <v>0</v>
      </c>
      <c r="K93" s="1">
        <v>325</v>
      </c>
      <c r="L93" s="1">
        <v>700</v>
      </c>
      <c r="M93" s="1">
        <v>3178</v>
      </c>
      <c r="N93" s="1">
        <v>-49.9</v>
      </c>
      <c r="O93" s="1">
        <v>5.3</v>
      </c>
      <c r="P93" s="1">
        <v>1.5</v>
      </c>
      <c r="Q93">
        <v>0</v>
      </c>
      <c r="R93" s="1">
        <v>0</v>
      </c>
      <c r="S93" s="1">
        <v>0</v>
      </c>
    </row>
    <row r="94" spans="1:23" x14ac:dyDescent="0.25">
      <c r="A94" s="1">
        <v>350</v>
      </c>
      <c r="B94" s="1">
        <v>693</v>
      </c>
      <c r="C94" s="1">
        <v>3110</v>
      </c>
      <c r="D94" s="1">
        <v>-36.4</v>
      </c>
      <c r="E94" s="1">
        <v>3.6</v>
      </c>
      <c r="F94" s="1">
        <v>1</v>
      </c>
      <c r="G94" s="1">
        <v>0</v>
      </c>
      <c r="H94">
        <v>0</v>
      </c>
      <c r="I94">
        <v>0</v>
      </c>
      <c r="K94" s="1">
        <v>350</v>
      </c>
      <c r="L94" s="1">
        <v>689</v>
      </c>
      <c r="M94" s="1">
        <v>3076</v>
      </c>
      <c r="N94" s="1">
        <v>-61.7</v>
      </c>
      <c r="O94" s="1">
        <v>6.1</v>
      </c>
      <c r="P94" s="1">
        <v>1.8</v>
      </c>
      <c r="Q94">
        <v>0</v>
      </c>
      <c r="R94" s="1">
        <v>0</v>
      </c>
      <c r="S94" s="1">
        <v>0</v>
      </c>
    </row>
    <row r="95" spans="1:23" x14ac:dyDescent="0.25">
      <c r="A95" s="1">
        <v>375</v>
      </c>
      <c r="B95" s="1">
        <v>682</v>
      </c>
      <c r="C95" s="1">
        <v>3012</v>
      </c>
      <c r="D95" s="1">
        <v>-47</v>
      </c>
      <c r="E95" s="1">
        <v>4.3</v>
      </c>
      <c r="F95" s="1">
        <v>1.3</v>
      </c>
      <c r="G95" s="1">
        <v>0</v>
      </c>
      <c r="H95">
        <v>0</v>
      </c>
      <c r="I95">
        <v>0</v>
      </c>
      <c r="K95" s="1">
        <v>375</v>
      </c>
      <c r="L95" s="1">
        <v>678</v>
      </c>
      <c r="M95" s="1">
        <v>2976</v>
      </c>
      <c r="N95" s="1">
        <v>-74.400000000000006</v>
      </c>
      <c r="O95" s="1">
        <v>6.8</v>
      </c>
      <c r="P95" s="1">
        <v>2</v>
      </c>
      <c r="Q95">
        <v>0</v>
      </c>
      <c r="R95" s="1">
        <v>0</v>
      </c>
      <c r="S95" s="1">
        <v>0</v>
      </c>
      <c r="T95" s="1"/>
      <c r="U95" s="1"/>
      <c r="V95" s="1"/>
      <c r="W95" s="1"/>
    </row>
    <row r="96" spans="1:23" x14ac:dyDescent="0.25">
      <c r="A96" s="1">
        <v>400</v>
      </c>
      <c r="B96" s="1">
        <v>671</v>
      </c>
      <c r="C96" s="1">
        <v>2917</v>
      </c>
      <c r="D96" s="1">
        <v>-58.9</v>
      </c>
      <c r="E96" s="1">
        <v>5.0999999999999996</v>
      </c>
      <c r="F96" s="1">
        <v>1.5</v>
      </c>
      <c r="G96" s="1">
        <v>0</v>
      </c>
      <c r="H96">
        <v>0</v>
      </c>
      <c r="I96">
        <v>0</v>
      </c>
      <c r="K96" s="1">
        <v>400</v>
      </c>
      <c r="L96" s="1">
        <v>667</v>
      </c>
      <c r="M96" s="1">
        <v>2879</v>
      </c>
      <c r="N96" s="1">
        <v>-88.5</v>
      </c>
      <c r="O96" s="1">
        <v>7.6</v>
      </c>
      <c r="P96" s="1">
        <v>2.2000000000000002</v>
      </c>
      <c r="Q96">
        <v>0</v>
      </c>
      <c r="R96" s="1">
        <v>0</v>
      </c>
      <c r="S96" s="1">
        <v>0</v>
      </c>
      <c r="T96" s="1"/>
      <c r="U96" s="1"/>
      <c r="V96" s="1"/>
      <c r="W96" s="1"/>
    </row>
    <row r="97" spans="1:23" x14ac:dyDescent="0.25">
      <c r="A97" s="1">
        <v>425</v>
      </c>
      <c r="B97" s="1">
        <v>660</v>
      </c>
      <c r="C97" s="1">
        <v>2824</v>
      </c>
      <c r="D97" s="1">
        <v>-72.7</v>
      </c>
      <c r="E97" s="1">
        <v>5.9</v>
      </c>
      <c r="F97" s="1">
        <v>1.7</v>
      </c>
      <c r="G97" s="1">
        <v>0</v>
      </c>
      <c r="H97">
        <v>0</v>
      </c>
      <c r="I97">
        <v>0</v>
      </c>
      <c r="K97" s="1">
        <v>425</v>
      </c>
      <c r="L97" s="1">
        <v>656</v>
      </c>
      <c r="M97" s="1">
        <v>2785</v>
      </c>
      <c r="N97" s="1">
        <v>-104.6</v>
      </c>
      <c r="O97" s="1">
        <v>8.5</v>
      </c>
      <c r="P97" s="1">
        <v>2.5</v>
      </c>
      <c r="Q97">
        <v>0</v>
      </c>
      <c r="R97" s="1">
        <v>0</v>
      </c>
      <c r="S97" s="1">
        <v>0</v>
      </c>
      <c r="T97" s="1"/>
      <c r="U97" s="1"/>
      <c r="V97" s="1"/>
      <c r="W97" s="1"/>
    </row>
    <row r="98" spans="1:23" x14ac:dyDescent="0.25">
      <c r="A98" s="1">
        <v>450</v>
      </c>
      <c r="B98" s="1">
        <v>649</v>
      </c>
      <c r="C98" s="1">
        <v>2734</v>
      </c>
      <c r="D98" s="1">
        <v>-87.5</v>
      </c>
      <c r="E98" s="1">
        <v>6.7</v>
      </c>
      <c r="F98" s="1">
        <v>1.9</v>
      </c>
      <c r="G98" s="1">
        <v>0</v>
      </c>
      <c r="H98">
        <v>0</v>
      </c>
      <c r="I98">
        <v>0</v>
      </c>
      <c r="K98" s="1">
        <v>450</v>
      </c>
      <c r="L98" s="1">
        <v>645</v>
      </c>
      <c r="M98" s="1">
        <v>2693</v>
      </c>
      <c r="N98" s="1">
        <v>-121.6</v>
      </c>
      <c r="O98" s="1">
        <v>9.3000000000000007</v>
      </c>
      <c r="P98" s="1">
        <v>2.7</v>
      </c>
      <c r="Q98">
        <v>0</v>
      </c>
      <c r="R98" s="1">
        <v>0</v>
      </c>
      <c r="S98" s="1">
        <v>0</v>
      </c>
      <c r="T98" s="1"/>
      <c r="U98" s="1"/>
      <c r="V98" s="1"/>
      <c r="W98" s="1"/>
    </row>
    <row r="99" spans="1:23" x14ac:dyDescent="0.25">
      <c r="A99" s="1">
        <v>475</v>
      </c>
      <c r="B99" s="1">
        <v>639</v>
      </c>
      <c r="C99" s="1">
        <v>2645</v>
      </c>
      <c r="D99" s="1">
        <v>-103.8</v>
      </c>
      <c r="E99" s="1">
        <v>7.5</v>
      </c>
      <c r="F99" s="1">
        <v>2.2000000000000002</v>
      </c>
      <c r="G99" s="1">
        <v>0</v>
      </c>
      <c r="H99">
        <v>0</v>
      </c>
      <c r="I99">
        <v>0</v>
      </c>
      <c r="K99" s="1">
        <v>475</v>
      </c>
      <c r="L99" s="1">
        <v>634</v>
      </c>
      <c r="M99" s="1">
        <v>2603</v>
      </c>
      <c r="N99" s="1">
        <v>-140.19999999999999</v>
      </c>
      <c r="O99" s="1">
        <v>10.199999999999999</v>
      </c>
      <c r="P99" s="1">
        <v>3</v>
      </c>
      <c r="Q99">
        <v>0</v>
      </c>
      <c r="R99" s="1">
        <v>0</v>
      </c>
      <c r="S99" s="1">
        <v>0</v>
      </c>
      <c r="T99" s="1"/>
      <c r="U99" s="1"/>
      <c r="V99" s="1"/>
      <c r="W99" s="1"/>
    </row>
    <row r="100" spans="1:23" x14ac:dyDescent="0.25">
      <c r="A100" s="1">
        <v>500</v>
      </c>
      <c r="B100" s="1">
        <v>629</v>
      </c>
      <c r="C100" s="1">
        <v>2563</v>
      </c>
      <c r="D100" s="1">
        <v>-121.7</v>
      </c>
      <c r="E100" s="1">
        <v>8.4</v>
      </c>
      <c r="F100" s="1">
        <v>2.4</v>
      </c>
      <c r="G100" s="1">
        <v>0</v>
      </c>
      <c r="H100">
        <v>0</v>
      </c>
      <c r="I100">
        <v>0</v>
      </c>
      <c r="K100" s="1">
        <v>500</v>
      </c>
      <c r="L100" s="1">
        <v>623</v>
      </c>
      <c r="M100" s="1">
        <v>2519</v>
      </c>
      <c r="N100" s="1">
        <v>-160.30000000000001</v>
      </c>
      <c r="O100" s="1">
        <v>11</v>
      </c>
      <c r="P100" s="1">
        <v>3.2</v>
      </c>
      <c r="Q100">
        <v>0</v>
      </c>
      <c r="R100" s="1">
        <v>0</v>
      </c>
      <c r="S100" s="1">
        <v>0</v>
      </c>
      <c r="T100" s="1"/>
      <c r="U100" s="1"/>
      <c r="V100" s="1"/>
      <c r="W100" s="1"/>
    </row>
    <row r="101" spans="1:23" x14ac:dyDescent="0.25">
      <c r="T101" s="1"/>
      <c r="U101" s="1"/>
      <c r="V101" s="1"/>
      <c r="W101" s="1"/>
    </row>
    <row r="102" spans="1:23" x14ac:dyDescent="0.25">
      <c r="A102" t="s">
        <v>85</v>
      </c>
      <c r="K102" t="s">
        <v>75</v>
      </c>
      <c r="T102" s="1"/>
      <c r="U102" s="1"/>
      <c r="V102" s="1"/>
      <c r="W102" s="1"/>
    </row>
    <row r="103" spans="1:23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39</v>
      </c>
      <c r="H103" t="s">
        <v>40</v>
      </c>
      <c r="I103" t="s">
        <v>41</v>
      </c>
      <c r="K103" t="s">
        <v>12</v>
      </c>
      <c r="L103" t="s">
        <v>13</v>
      </c>
      <c r="M103" t="s">
        <v>14</v>
      </c>
      <c r="N103" t="s">
        <v>15</v>
      </c>
      <c r="O103" t="s">
        <v>16</v>
      </c>
      <c r="P103" t="s">
        <v>17</v>
      </c>
      <c r="Q103" t="s">
        <v>39</v>
      </c>
      <c r="R103" t="s">
        <v>40</v>
      </c>
      <c r="S103" t="s">
        <v>41</v>
      </c>
      <c r="T103" s="1"/>
      <c r="U103" s="1"/>
      <c r="V103" s="1"/>
      <c r="W103" s="1"/>
    </row>
    <row r="104" spans="1:23" x14ac:dyDescent="0.25">
      <c r="A104" s="1">
        <v>0</v>
      </c>
      <c r="B104" s="1">
        <v>856</v>
      </c>
      <c r="C104" s="1">
        <v>4754</v>
      </c>
      <c r="D104" s="1">
        <v>-8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>
        <v>0</v>
      </c>
      <c r="L104" s="1">
        <v>856</v>
      </c>
      <c r="M104" s="1">
        <v>4754</v>
      </c>
      <c r="N104" s="1">
        <v>-3.8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/>
      <c r="U104" s="1"/>
      <c r="V104" s="1"/>
      <c r="W104" s="1"/>
    </row>
    <row r="105" spans="1:23" x14ac:dyDescent="0.25">
      <c r="A105" s="1">
        <v>25</v>
      </c>
      <c r="B105" s="1">
        <v>844</v>
      </c>
      <c r="C105" s="1">
        <v>4616</v>
      </c>
      <c r="D105" s="1">
        <v>-4.7</v>
      </c>
      <c r="E105" s="1">
        <v>6.5</v>
      </c>
      <c r="F105" s="1">
        <v>1.9</v>
      </c>
      <c r="G105">
        <v>0</v>
      </c>
      <c r="H105">
        <v>0</v>
      </c>
      <c r="I105">
        <v>0</v>
      </c>
      <c r="K105" s="1">
        <v>25</v>
      </c>
      <c r="L105" s="1">
        <v>844</v>
      </c>
      <c r="M105" s="1">
        <v>4614</v>
      </c>
      <c r="N105" s="1">
        <v>-1.5</v>
      </c>
      <c r="O105" s="1">
        <v>2.1</v>
      </c>
      <c r="P105" s="1">
        <v>0.6</v>
      </c>
      <c r="Q105" s="1">
        <v>0</v>
      </c>
      <c r="R105" s="1">
        <v>0</v>
      </c>
      <c r="S105" s="1">
        <v>0</v>
      </c>
      <c r="T105" s="1"/>
      <c r="U105" s="1"/>
      <c r="V105" s="1"/>
      <c r="W105" s="1"/>
    </row>
    <row r="106" spans="1:23" x14ac:dyDescent="0.25">
      <c r="A106" s="1">
        <v>50</v>
      </c>
      <c r="B106" s="1">
        <v>832</v>
      </c>
      <c r="C106" s="1">
        <v>4483</v>
      </c>
      <c r="D106" s="1">
        <v>-2.2000000000000002</v>
      </c>
      <c r="E106" s="1">
        <v>1.5</v>
      </c>
      <c r="F106" s="1">
        <v>0.4</v>
      </c>
      <c r="G106">
        <v>0</v>
      </c>
      <c r="H106">
        <v>0</v>
      </c>
      <c r="I106">
        <v>0</v>
      </c>
      <c r="K106" s="1">
        <v>50</v>
      </c>
      <c r="L106" s="1">
        <v>831</v>
      </c>
      <c r="M106" s="1">
        <v>4478</v>
      </c>
      <c r="N106" s="1">
        <v>-0.1</v>
      </c>
      <c r="O106" s="1">
        <v>0.1</v>
      </c>
      <c r="P106" s="1">
        <v>0</v>
      </c>
      <c r="Q106" s="1">
        <v>0</v>
      </c>
      <c r="R106" s="1">
        <v>0</v>
      </c>
      <c r="S106" s="1">
        <v>0</v>
      </c>
      <c r="T106" s="1"/>
      <c r="U106" s="1"/>
      <c r="V106" s="1"/>
      <c r="W106" s="1"/>
    </row>
    <row r="107" spans="1:23" x14ac:dyDescent="0.25">
      <c r="A107" s="1">
        <v>75</v>
      </c>
      <c r="B107" s="1">
        <v>820</v>
      </c>
      <c r="C107" s="1">
        <v>4353</v>
      </c>
      <c r="D107" s="1">
        <v>-0.7</v>
      </c>
      <c r="E107" s="1">
        <v>0.3</v>
      </c>
      <c r="F107" s="1">
        <v>0.1</v>
      </c>
      <c r="G107">
        <v>0</v>
      </c>
      <c r="H107">
        <v>0</v>
      </c>
      <c r="I107">
        <v>0</v>
      </c>
      <c r="K107" s="1">
        <v>75</v>
      </c>
      <c r="L107" s="1">
        <v>819</v>
      </c>
      <c r="M107" s="1">
        <v>4346</v>
      </c>
      <c r="N107" s="1">
        <v>0.4</v>
      </c>
      <c r="O107" s="1">
        <v>-0.2</v>
      </c>
      <c r="P107" s="1">
        <v>-0.1</v>
      </c>
      <c r="Q107" s="1">
        <v>0</v>
      </c>
      <c r="R107" s="1">
        <v>0</v>
      </c>
      <c r="S107" s="1">
        <v>0</v>
      </c>
      <c r="T107" s="1"/>
      <c r="U107" s="1"/>
      <c r="V107" s="1"/>
      <c r="W107" s="1"/>
    </row>
    <row r="108" spans="1:23" x14ac:dyDescent="0.25">
      <c r="A108" s="10">
        <v>100</v>
      </c>
      <c r="B108" s="10">
        <v>808</v>
      </c>
      <c r="C108" s="10">
        <v>4226</v>
      </c>
      <c r="D108" s="10">
        <v>0</v>
      </c>
      <c r="E108" s="10">
        <v>0</v>
      </c>
      <c r="F108" s="10">
        <v>0</v>
      </c>
      <c r="G108">
        <v>0</v>
      </c>
      <c r="H108">
        <v>0</v>
      </c>
      <c r="I108">
        <v>0</v>
      </c>
      <c r="K108" s="1">
        <v>100</v>
      </c>
      <c r="L108" s="1">
        <v>807</v>
      </c>
      <c r="M108" s="1">
        <v>4216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/>
      <c r="U108" s="1"/>
      <c r="V108" s="1"/>
      <c r="W108" s="1"/>
    </row>
    <row r="109" spans="1:23" x14ac:dyDescent="0.25">
      <c r="A109" s="1">
        <v>125</v>
      </c>
      <c r="B109" s="1">
        <v>796</v>
      </c>
      <c r="C109" s="1">
        <v>4103</v>
      </c>
      <c r="D109" s="1">
        <v>-0.3</v>
      </c>
      <c r="E109" s="1">
        <v>0.1</v>
      </c>
      <c r="F109" s="1">
        <v>0</v>
      </c>
      <c r="G109">
        <v>0</v>
      </c>
      <c r="H109">
        <v>0</v>
      </c>
      <c r="I109">
        <v>0</v>
      </c>
      <c r="K109" s="1">
        <v>125</v>
      </c>
      <c r="L109" s="1">
        <v>794</v>
      </c>
      <c r="M109" s="1">
        <v>4089</v>
      </c>
      <c r="N109" s="1">
        <v>-1.4</v>
      </c>
      <c r="O109" s="1">
        <v>0.4</v>
      </c>
      <c r="P109" s="1">
        <v>0.1</v>
      </c>
      <c r="Q109" s="1">
        <v>0</v>
      </c>
      <c r="R109" s="1">
        <v>0</v>
      </c>
      <c r="S109" s="1">
        <v>0</v>
      </c>
      <c r="T109" s="1"/>
      <c r="U109" s="1"/>
      <c r="V109" s="1"/>
      <c r="W109" s="1"/>
    </row>
    <row r="110" spans="1:23" x14ac:dyDescent="0.25">
      <c r="A110" s="1">
        <v>150</v>
      </c>
      <c r="B110" s="1">
        <v>784</v>
      </c>
      <c r="C110" s="1">
        <v>3981</v>
      </c>
      <c r="D110" s="1">
        <v>-1.6</v>
      </c>
      <c r="E110" s="1">
        <v>0.4</v>
      </c>
      <c r="F110" s="1">
        <v>0.1</v>
      </c>
      <c r="G110">
        <v>0</v>
      </c>
      <c r="H110">
        <v>0</v>
      </c>
      <c r="I110">
        <v>0</v>
      </c>
      <c r="K110" s="1">
        <v>150</v>
      </c>
      <c r="L110" s="1">
        <v>782</v>
      </c>
      <c r="M110" s="1">
        <v>3966</v>
      </c>
      <c r="N110" s="1">
        <v>-3.7</v>
      </c>
      <c r="O110" s="1">
        <v>0.9</v>
      </c>
      <c r="P110" s="1">
        <v>0.2</v>
      </c>
      <c r="Q110" s="1">
        <v>0</v>
      </c>
      <c r="R110" s="1">
        <v>0</v>
      </c>
      <c r="S110" s="1">
        <v>0</v>
      </c>
      <c r="T110" s="1"/>
      <c r="U110" s="1"/>
      <c r="V110" s="1"/>
      <c r="W110" s="1"/>
    </row>
    <row r="111" spans="1:23" x14ac:dyDescent="0.25">
      <c r="A111" s="1">
        <v>175</v>
      </c>
      <c r="B111" s="1">
        <v>772</v>
      </c>
      <c r="C111" s="1">
        <v>3863</v>
      </c>
      <c r="D111" s="1">
        <v>-3.9</v>
      </c>
      <c r="E111" s="1">
        <v>0.8</v>
      </c>
      <c r="F111" s="1">
        <v>0.2</v>
      </c>
      <c r="G111">
        <v>0</v>
      </c>
      <c r="H111">
        <v>0</v>
      </c>
      <c r="I111">
        <v>0</v>
      </c>
      <c r="K111" s="1">
        <v>175</v>
      </c>
      <c r="L111" s="1">
        <v>770</v>
      </c>
      <c r="M111" s="1">
        <v>3845</v>
      </c>
      <c r="N111" s="1">
        <v>-7</v>
      </c>
      <c r="O111" s="1">
        <v>1.4</v>
      </c>
      <c r="P111" s="1">
        <v>0.4</v>
      </c>
      <c r="Q111" s="1">
        <v>0</v>
      </c>
      <c r="R111" s="1">
        <v>0</v>
      </c>
      <c r="S111" s="1">
        <v>0</v>
      </c>
      <c r="T111" s="1"/>
      <c r="U111" s="1"/>
      <c r="V111" s="1"/>
      <c r="W111" s="1"/>
    </row>
    <row r="112" spans="1:23" x14ac:dyDescent="0.25">
      <c r="A112" s="1">
        <v>200</v>
      </c>
      <c r="B112" s="1">
        <v>760</v>
      </c>
      <c r="C112" s="1">
        <v>3748</v>
      </c>
      <c r="D112" s="1">
        <v>-7.3</v>
      </c>
      <c r="E112" s="1">
        <v>1.3</v>
      </c>
      <c r="F112" s="1">
        <v>0.4</v>
      </c>
      <c r="G112">
        <v>0</v>
      </c>
      <c r="H112">
        <v>0</v>
      </c>
      <c r="I112">
        <v>0</v>
      </c>
      <c r="K112" s="1">
        <v>200</v>
      </c>
      <c r="L112" s="1">
        <v>758</v>
      </c>
      <c r="M112" s="1">
        <v>3727</v>
      </c>
      <c r="N112" s="1">
        <v>-11.6</v>
      </c>
      <c r="O112" s="1">
        <v>2</v>
      </c>
      <c r="P112" s="1">
        <v>0.6</v>
      </c>
      <c r="Q112" s="1">
        <v>0</v>
      </c>
      <c r="R112" s="1">
        <v>0</v>
      </c>
      <c r="S112" s="1">
        <v>0</v>
      </c>
      <c r="T112" s="1"/>
      <c r="U112" s="1"/>
      <c r="V112" s="1"/>
      <c r="W112" s="1"/>
    </row>
    <row r="113" spans="1:23" x14ac:dyDescent="0.25">
      <c r="A113" s="1">
        <v>225</v>
      </c>
      <c r="B113" s="1">
        <v>749</v>
      </c>
      <c r="C113" s="1">
        <v>3635</v>
      </c>
      <c r="D113" s="1">
        <v>-11.7</v>
      </c>
      <c r="E113" s="1">
        <v>1.8</v>
      </c>
      <c r="F113" s="1">
        <v>0.5</v>
      </c>
      <c r="G113">
        <v>0</v>
      </c>
      <c r="H113">
        <v>0</v>
      </c>
      <c r="I113">
        <v>0</v>
      </c>
      <c r="K113" s="1">
        <v>225</v>
      </c>
      <c r="L113" s="1">
        <v>747</v>
      </c>
      <c r="M113" s="1">
        <v>3611</v>
      </c>
      <c r="N113" s="1">
        <v>-17</v>
      </c>
      <c r="O113" s="1">
        <v>2.6</v>
      </c>
      <c r="P113" s="1">
        <v>0.8</v>
      </c>
      <c r="Q113" s="1">
        <v>0</v>
      </c>
      <c r="R113" s="1">
        <v>0</v>
      </c>
      <c r="S113" s="1">
        <v>0</v>
      </c>
      <c r="T113" s="1"/>
      <c r="U113" s="1"/>
      <c r="V113" s="1"/>
      <c r="W113" s="1"/>
    </row>
    <row r="114" spans="1:23" x14ac:dyDescent="0.25">
      <c r="A114" s="1">
        <v>250</v>
      </c>
      <c r="B114" s="1">
        <v>737</v>
      </c>
      <c r="C114" s="1">
        <v>3525</v>
      </c>
      <c r="D114" s="1">
        <v>-17.2</v>
      </c>
      <c r="E114" s="1">
        <v>2.4</v>
      </c>
      <c r="F114" s="1">
        <v>0.7</v>
      </c>
      <c r="G114">
        <v>0</v>
      </c>
      <c r="H114">
        <v>0</v>
      </c>
      <c r="I114">
        <v>0</v>
      </c>
      <c r="K114" s="1">
        <v>250</v>
      </c>
      <c r="L114" s="1">
        <v>735</v>
      </c>
      <c r="M114" s="1">
        <v>3499</v>
      </c>
      <c r="N114" s="1">
        <v>-23.6</v>
      </c>
      <c r="O114" s="1">
        <v>3.2</v>
      </c>
      <c r="P114" s="1">
        <v>0.9</v>
      </c>
      <c r="Q114" s="1">
        <v>0</v>
      </c>
      <c r="R114" s="1">
        <v>0</v>
      </c>
      <c r="S114" s="1">
        <v>0</v>
      </c>
      <c r="T114" s="1"/>
      <c r="U114" s="1"/>
      <c r="V114" s="1"/>
      <c r="W114" s="1"/>
    </row>
    <row r="115" spans="1:23" x14ac:dyDescent="0.25">
      <c r="A115" s="1">
        <v>275</v>
      </c>
      <c r="B115" s="1">
        <v>726</v>
      </c>
      <c r="C115" s="1">
        <v>3417</v>
      </c>
      <c r="D115" s="1">
        <v>-24.1</v>
      </c>
      <c r="E115" s="1">
        <v>3</v>
      </c>
      <c r="F115" s="1">
        <v>0.9</v>
      </c>
      <c r="G115">
        <v>0</v>
      </c>
      <c r="H115">
        <v>0</v>
      </c>
      <c r="I115">
        <v>0</v>
      </c>
      <c r="K115" s="1">
        <v>275</v>
      </c>
      <c r="L115" s="1">
        <v>723</v>
      </c>
      <c r="M115" s="1">
        <v>3389</v>
      </c>
      <c r="N115" s="1">
        <v>-31.6</v>
      </c>
      <c r="O115" s="1">
        <v>3.9</v>
      </c>
      <c r="P115" s="1">
        <v>1.1000000000000001</v>
      </c>
      <c r="Q115" s="1">
        <v>0</v>
      </c>
      <c r="R115" s="1">
        <v>0</v>
      </c>
      <c r="S115" s="1">
        <v>0</v>
      </c>
      <c r="T115" s="1"/>
      <c r="U115" s="1"/>
      <c r="V115" s="1"/>
      <c r="W115" s="1"/>
    </row>
    <row r="116" spans="1:23" x14ac:dyDescent="0.25">
      <c r="A116" s="1">
        <v>300</v>
      </c>
      <c r="B116" s="1">
        <v>715</v>
      </c>
      <c r="C116" s="1">
        <v>3312</v>
      </c>
      <c r="D116" s="1">
        <v>-31.9</v>
      </c>
      <c r="E116" s="1">
        <v>3.7</v>
      </c>
      <c r="F116" s="1">
        <v>1.1000000000000001</v>
      </c>
      <c r="G116">
        <v>0</v>
      </c>
      <c r="H116">
        <v>0</v>
      </c>
      <c r="I116">
        <v>0</v>
      </c>
      <c r="K116" s="1">
        <v>300</v>
      </c>
      <c r="L116" s="1">
        <v>712</v>
      </c>
      <c r="M116" s="1">
        <v>3282</v>
      </c>
      <c r="N116" s="1">
        <v>-40.5</v>
      </c>
      <c r="O116" s="1">
        <v>4.5999999999999996</v>
      </c>
      <c r="P116" s="1">
        <v>1.3</v>
      </c>
      <c r="Q116" s="1">
        <v>0</v>
      </c>
      <c r="R116" s="1">
        <v>0</v>
      </c>
      <c r="S116" s="1">
        <v>0</v>
      </c>
    </row>
    <row r="117" spans="1:23" x14ac:dyDescent="0.25">
      <c r="A117" s="1">
        <v>325</v>
      </c>
      <c r="B117" s="1">
        <v>704</v>
      </c>
      <c r="C117" s="1">
        <v>3210</v>
      </c>
      <c r="D117" s="1">
        <v>-41</v>
      </c>
      <c r="E117" s="1">
        <v>4.3</v>
      </c>
      <c r="F117" s="1">
        <v>1.3</v>
      </c>
      <c r="G117">
        <v>0</v>
      </c>
      <c r="H117">
        <v>0</v>
      </c>
      <c r="I117">
        <v>0</v>
      </c>
      <c r="K117" s="1">
        <v>325</v>
      </c>
      <c r="L117" s="1">
        <v>700</v>
      </c>
      <c r="M117" s="1">
        <v>3178</v>
      </c>
      <c r="N117" s="1">
        <v>-50.6</v>
      </c>
      <c r="O117" s="1">
        <v>5.4</v>
      </c>
      <c r="P117" s="1">
        <v>1.6</v>
      </c>
      <c r="Q117" s="1">
        <v>0</v>
      </c>
      <c r="R117" s="1">
        <v>0</v>
      </c>
      <c r="S117" s="1">
        <v>0</v>
      </c>
    </row>
    <row r="118" spans="1:23" x14ac:dyDescent="0.25">
      <c r="A118" s="1">
        <v>350</v>
      </c>
      <c r="B118" s="1">
        <v>693</v>
      </c>
      <c r="C118" s="1">
        <v>3110</v>
      </c>
      <c r="D118" s="1">
        <v>-51.7</v>
      </c>
      <c r="E118" s="1">
        <v>5.0999999999999996</v>
      </c>
      <c r="F118" s="1">
        <v>1.5</v>
      </c>
      <c r="G118">
        <v>0</v>
      </c>
      <c r="H118">
        <v>0</v>
      </c>
      <c r="I118">
        <v>0</v>
      </c>
      <c r="K118" s="1">
        <v>350</v>
      </c>
      <c r="L118" s="1">
        <v>689</v>
      </c>
      <c r="M118" s="1">
        <v>3076</v>
      </c>
      <c r="N118" s="1">
        <v>-62.5</v>
      </c>
      <c r="O118" s="1">
        <v>6.1</v>
      </c>
      <c r="P118" s="1">
        <v>1.8</v>
      </c>
      <c r="Q118" s="1">
        <v>0</v>
      </c>
      <c r="R118" s="1">
        <v>0</v>
      </c>
      <c r="S118" s="1">
        <v>0</v>
      </c>
    </row>
    <row r="119" spans="1:23" x14ac:dyDescent="0.25">
      <c r="A119" s="1">
        <v>375</v>
      </c>
      <c r="B119" s="1">
        <v>682</v>
      </c>
      <c r="C119" s="1">
        <v>3012</v>
      </c>
      <c r="D119" s="1">
        <v>-63.3</v>
      </c>
      <c r="E119" s="1">
        <v>5.8</v>
      </c>
      <c r="F119" s="1">
        <v>1.7</v>
      </c>
      <c r="G119">
        <v>0</v>
      </c>
      <c r="H119">
        <v>0</v>
      </c>
      <c r="I119">
        <v>0</v>
      </c>
      <c r="K119" s="1">
        <v>375</v>
      </c>
      <c r="L119" s="1">
        <v>678</v>
      </c>
      <c r="M119" s="1">
        <v>2976</v>
      </c>
      <c r="N119" s="1">
        <v>-75.3</v>
      </c>
      <c r="O119" s="1">
        <v>6.9</v>
      </c>
      <c r="P119" s="1">
        <v>2</v>
      </c>
      <c r="Q119" s="1">
        <v>0</v>
      </c>
      <c r="R119" s="1">
        <v>0</v>
      </c>
      <c r="S119" s="1">
        <v>0</v>
      </c>
      <c r="T119" s="1"/>
      <c r="U119" s="1"/>
      <c r="V119" s="1"/>
      <c r="W119" s="1"/>
    </row>
    <row r="120" spans="1:23" x14ac:dyDescent="0.25">
      <c r="A120" s="1">
        <v>400</v>
      </c>
      <c r="B120" s="1">
        <v>671</v>
      </c>
      <c r="C120" s="1">
        <v>2917</v>
      </c>
      <c r="D120" s="1">
        <v>-76.3</v>
      </c>
      <c r="E120" s="1">
        <v>6.6</v>
      </c>
      <c r="F120" s="1">
        <v>1.9</v>
      </c>
      <c r="G120">
        <v>0</v>
      </c>
      <c r="H120">
        <v>0</v>
      </c>
      <c r="I120">
        <v>0</v>
      </c>
      <c r="K120" s="1">
        <v>400</v>
      </c>
      <c r="L120" s="1">
        <v>667</v>
      </c>
      <c r="M120" s="1">
        <v>2879</v>
      </c>
      <c r="N120" s="1">
        <v>-89.4</v>
      </c>
      <c r="O120" s="1">
        <v>7.7</v>
      </c>
      <c r="P120" s="1">
        <v>2.2000000000000002</v>
      </c>
      <c r="Q120" s="1">
        <v>0</v>
      </c>
      <c r="R120" s="1">
        <v>0</v>
      </c>
      <c r="S120" s="1">
        <v>0</v>
      </c>
      <c r="T120" s="1"/>
      <c r="U120" s="1"/>
      <c r="V120" s="1"/>
      <c r="W120" s="1"/>
    </row>
    <row r="121" spans="1:23" x14ac:dyDescent="0.25">
      <c r="A121" s="1">
        <v>425</v>
      </c>
      <c r="B121" s="1">
        <v>660</v>
      </c>
      <c r="C121" s="1">
        <v>2824</v>
      </c>
      <c r="D121" s="1">
        <v>-91.3</v>
      </c>
      <c r="E121" s="1">
        <v>7.4</v>
      </c>
      <c r="F121" s="1">
        <v>2.1</v>
      </c>
      <c r="G121">
        <v>0</v>
      </c>
      <c r="H121">
        <v>0</v>
      </c>
      <c r="I121">
        <v>0</v>
      </c>
      <c r="K121" s="1">
        <v>425</v>
      </c>
      <c r="L121" s="1">
        <v>656</v>
      </c>
      <c r="M121" s="1">
        <v>2785</v>
      </c>
      <c r="N121" s="1">
        <v>-105.6</v>
      </c>
      <c r="O121" s="1">
        <v>8.5</v>
      </c>
      <c r="P121" s="1">
        <v>2.5</v>
      </c>
      <c r="Q121" s="1">
        <v>0</v>
      </c>
      <c r="R121" s="1">
        <v>0</v>
      </c>
      <c r="S121" s="1">
        <v>0</v>
      </c>
      <c r="T121" s="1"/>
      <c r="U121" s="1"/>
      <c r="V121" s="1"/>
      <c r="W121" s="1"/>
    </row>
    <row r="122" spans="1:23" x14ac:dyDescent="0.25">
      <c r="A122" s="1">
        <v>450</v>
      </c>
      <c r="B122" s="1">
        <v>649</v>
      </c>
      <c r="C122" s="1">
        <v>2734</v>
      </c>
      <c r="D122" s="1">
        <v>-107.2</v>
      </c>
      <c r="E122" s="1">
        <v>8.1999999999999993</v>
      </c>
      <c r="F122" s="1">
        <v>2.4</v>
      </c>
      <c r="G122">
        <v>0</v>
      </c>
      <c r="H122">
        <v>0</v>
      </c>
      <c r="I122">
        <v>0</v>
      </c>
      <c r="K122" s="1">
        <v>450</v>
      </c>
      <c r="L122" s="1">
        <v>645</v>
      </c>
      <c r="M122" s="1">
        <v>2693</v>
      </c>
      <c r="N122" s="1">
        <v>-122.6</v>
      </c>
      <c r="O122" s="1">
        <v>9.4</v>
      </c>
      <c r="P122" s="1">
        <v>2.7</v>
      </c>
      <c r="Q122" s="1">
        <v>0</v>
      </c>
      <c r="R122" s="1">
        <v>0</v>
      </c>
      <c r="S122" s="1">
        <v>0</v>
      </c>
      <c r="T122" s="1"/>
      <c r="U122" s="1"/>
      <c r="V122" s="1"/>
      <c r="W122" s="1"/>
    </row>
    <row r="123" spans="1:23" x14ac:dyDescent="0.25">
      <c r="A123" s="1">
        <v>475</v>
      </c>
      <c r="B123" s="1">
        <v>639</v>
      </c>
      <c r="C123" s="1">
        <v>2645</v>
      </c>
      <c r="D123" s="1">
        <v>-124.5</v>
      </c>
      <c r="E123" s="1">
        <v>9</v>
      </c>
      <c r="F123" s="1">
        <v>2.6</v>
      </c>
      <c r="G123">
        <v>0</v>
      </c>
      <c r="H123">
        <v>0</v>
      </c>
      <c r="I123">
        <v>0</v>
      </c>
      <c r="K123" s="1">
        <v>475</v>
      </c>
      <c r="L123" s="1">
        <v>634</v>
      </c>
      <c r="M123" s="1">
        <v>2603</v>
      </c>
      <c r="N123" s="1">
        <v>-141.30000000000001</v>
      </c>
      <c r="O123" s="1">
        <v>10.199999999999999</v>
      </c>
      <c r="P123" s="1">
        <v>3</v>
      </c>
      <c r="Q123" s="1">
        <v>0</v>
      </c>
      <c r="R123" s="1">
        <v>0</v>
      </c>
      <c r="S123" s="1">
        <v>0</v>
      </c>
      <c r="T123" s="1"/>
      <c r="U123" s="1"/>
      <c r="V123" s="1"/>
      <c r="W123" s="1"/>
    </row>
    <row r="124" spans="1:23" x14ac:dyDescent="0.25">
      <c r="A124" s="1">
        <v>500</v>
      </c>
      <c r="B124" s="1">
        <v>629</v>
      </c>
      <c r="C124" s="1">
        <v>2563</v>
      </c>
      <c r="D124" s="1">
        <v>-143.5</v>
      </c>
      <c r="E124" s="1">
        <v>9.9</v>
      </c>
      <c r="F124" s="1">
        <v>2.9</v>
      </c>
      <c r="G124">
        <v>0</v>
      </c>
      <c r="H124">
        <v>0</v>
      </c>
      <c r="I124">
        <v>0</v>
      </c>
      <c r="K124" s="1">
        <v>500</v>
      </c>
      <c r="L124" s="1">
        <v>623</v>
      </c>
      <c r="M124" s="1">
        <v>2519</v>
      </c>
      <c r="N124" s="1">
        <v>-161.4</v>
      </c>
      <c r="O124" s="1">
        <v>11.1</v>
      </c>
      <c r="P124" s="1">
        <v>3.2</v>
      </c>
      <c r="Q124" s="1">
        <v>0</v>
      </c>
      <c r="R124" s="1">
        <v>0</v>
      </c>
      <c r="S124" s="1">
        <v>0</v>
      </c>
      <c r="T124" s="1"/>
      <c r="U124" s="1"/>
      <c r="V124" s="1"/>
      <c r="W124" s="1"/>
    </row>
    <row r="125" spans="1:23" x14ac:dyDescent="0.25">
      <c r="T125" s="1"/>
      <c r="U125" s="1"/>
      <c r="V125" s="1"/>
      <c r="W125" s="1"/>
    </row>
    <row r="126" spans="1:23" x14ac:dyDescent="0.25">
      <c r="A126" t="s">
        <v>84</v>
      </c>
      <c r="K126" t="s">
        <v>76</v>
      </c>
      <c r="T126" s="1"/>
      <c r="U126" s="1"/>
      <c r="V126" s="1"/>
      <c r="W126" s="1"/>
    </row>
    <row r="127" spans="1:23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39</v>
      </c>
      <c r="H127" t="s">
        <v>40</v>
      </c>
      <c r="I127" t="s">
        <v>41</v>
      </c>
      <c r="K127" t="s">
        <v>12</v>
      </c>
      <c r="L127" t="s">
        <v>13</v>
      </c>
      <c r="M127" t="s">
        <v>14</v>
      </c>
      <c r="N127" t="s">
        <v>15</v>
      </c>
      <c r="O127" t="s">
        <v>16</v>
      </c>
      <c r="P127" t="s">
        <v>17</v>
      </c>
      <c r="Q127" t="s">
        <v>39</v>
      </c>
      <c r="R127" t="s">
        <v>40</v>
      </c>
      <c r="S127" t="s">
        <v>41</v>
      </c>
      <c r="T127" s="1"/>
      <c r="U127" s="1"/>
      <c r="V127" s="1"/>
      <c r="W127" s="1"/>
    </row>
    <row r="128" spans="1:23" x14ac:dyDescent="0.25">
      <c r="A128" s="1">
        <v>0</v>
      </c>
      <c r="B128" s="1">
        <v>856</v>
      </c>
      <c r="C128" s="1">
        <v>4754</v>
      </c>
      <c r="D128" s="1">
        <v>-8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856</v>
      </c>
      <c r="M128" s="1">
        <v>4754</v>
      </c>
      <c r="N128" s="1">
        <v>-3.8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/>
      <c r="U128" s="1"/>
      <c r="V128" s="1"/>
      <c r="W128" s="1"/>
    </row>
    <row r="129" spans="1:23" x14ac:dyDescent="0.25">
      <c r="A129" s="1">
        <v>25</v>
      </c>
      <c r="B129" s="1">
        <v>844</v>
      </c>
      <c r="C129" s="1">
        <v>4616</v>
      </c>
      <c r="D129" s="1">
        <v>-4.4000000000000004</v>
      </c>
      <c r="E129" s="1">
        <v>6.1</v>
      </c>
      <c r="F129" s="1">
        <v>1.8</v>
      </c>
      <c r="G129">
        <v>0</v>
      </c>
      <c r="H129">
        <v>0</v>
      </c>
      <c r="I129">
        <v>0</v>
      </c>
      <c r="K129" s="1">
        <v>25</v>
      </c>
      <c r="L129" s="1">
        <v>844</v>
      </c>
      <c r="M129" s="1">
        <v>4614</v>
      </c>
      <c r="N129" s="1">
        <v>-0.9</v>
      </c>
      <c r="O129" s="1">
        <v>1.3</v>
      </c>
      <c r="P129" s="1">
        <v>0.4</v>
      </c>
      <c r="Q129" s="1">
        <v>0</v>
      </c>
      <c r="R129" s="1">
        <v>0</v>
      </c>
      <c r="S129" s="1">
        <v>0</v>
      </c>
      <c r="T129" s="1"/>
      <c r="U129" s="1"/>
      <c r="V129" s="1"/>
      <c r="W129" s="1"/>
    </row>
    <row r="130" spans="1:23" x14ac:dyDescent="0.25">
      <c r="A130" s="1">
        <v>50</v>
      </c>
      <c r="B130" s="1">
        <v>832</v>
      </c>
      <c r="C130" s="1">
        <v>4483</v>
      </c>
      <c r="D130" s="1">
        <v>-1.6</v>
      </c>
      <c r="E130" s="1">
        <v>1.1000000000000001</v>
      </c>
      <c r="F130" s="1">
        <v>0.3</v>
      </c>
      <c r="G130">
        <v>0</v>
      </c>
      <c r="H130">
        <v>0</v>
      </c>
      <c r="I130">
        <v>0</v>
      </c>
      <c r="K130" s="1">
        <v>50</v>
      </c>
      <c r="L130" s="1">
        <v>831</v>
      </c>
      <c r="M130" s="1">
        <v>4478</v>
      </c>
      <c r="N130" s="1">
        <v>1.2</v>
      </c>
      <c r="O130" s="1">
        <v>-0.8</v>
      </c>
      <c r="P130" s="1">
        <v>-0.2</v>
      </c>
      <c r="Q130" s="1">
        <v>0</v>
      </c>
      <c r="R130" s="1">
        <v>0</v>
      </c>
      <c r="S130" s="1">
        <v>0</v>
      </c>
      <c r="T130" s="1"/>
      <c r="U130" s="1"/>
      <c r="V130" s="1"/>
      <c r="W130" s="1"/>
    </row>
    <row r="131" spans="1:23" x14ac:dyDescent="0.25">
      <c r="A131" s="1">
        <v>75</v>
      </c>
      <c r="B131" s="1">
        <v>820</v>
      </c>
      <c r="C131" s="1">
        <v>4353</v>
      </c>
      <c r="D131" s="1">
        <v>0.2</v>
      </c>
      <c r="E131" s="1">
        <v>-0.1</v>
      </c>
      <c r="F131" s="1">
        <v>0</v>
      </c>
      <c r="G131">
        <v>0</v>
      </c>
      <c r="H131">
        <v>0</v>
      </c>
      <c r="I131">
        <v>0</v>
      </c>
      <c r="K131" s="1">
        <v>75</v>
      </c>
      <c r="L131" s="1">
        <v>819</v>
      </c>
      <c r="M131" s="1">
        <v>4346</v>
      </c>
      <c r="N131" s="1">
        <v>2.2999999999999998</v>
      </c>
      <c r="O131" s="1">
        <v>-1</v>
      </c>
      <c r="P131" s="1">
        <v>-0.3</v>
      </c>
      <c r="Q131" s="1">
        <v>0</v>
      </c>
      <c r="R131" s="1">
        <v>0</v>
      </c>
      <c r="S131" s="1">
        <v>0</v>
      </c>
      <c r="T131" s="1"/>
      <c r="U131" s="1"/>
      <c r="V131" s="1"/>
      <c r="W131" s="1"/>
    </row>
    <row r="132" spans="1:23" x14ac:dyDescent="0.25">
      <c r="A132" s="1">
        <v>100</v>
      </c>
      <c r="B132" s="1">
        <v>808</v>
      </c>
      <c r="C132" s="1">
        <v>4226</v>
      </c>
      <c r="D132" s="1">
        <v>1.1000000000000001</v>
      </c>
      <c r="E132" s="1">
        <v>-0.4</v>
      </c>
      <c r="F132" s="1">
        <v>-0.1</v>
      </c>
      <c r="G132">
        <v>0</v>
      </c>
      <c r="H132">
        <v>0</v>
      </c>
      <c r="I132">
        <v>0</v>
      </c>
      <c r="K132" s="1">
        <v>100</v>
      </c>
      <c r="L132" s="1">
        <v>807</v>
      </c>
      <c r="M132" s="1">
        <v>4216</v>
      </c>
      <c r="N132" s="1">
        <v>2.5</v>
      </c>
      <c r="O132" s="1">
        <v>-0.9</v>
      </c>
      <c r="P132" s="1">
        <v>-0.2</v>
      </c>
      <c r="Q132" s="1">
        <v>0</v>
      </c>
      <c r="R132" s="1">
        <v>0</v>
      </c>
      <c r="S132" s="1">
        <v>0</v>
      </c>
      <c r="T132" s="1"/>
      <c r="U132" s="1"/>
      <c r="V132" s="1"/>
      <c r="W132" s="1"/>
    </row>
    <row r="133" spans="1:23" x14ac:dyDescent="0.25">
      <c r="A133" s="1">
        <v>125</v>
      </c>
      <c r="B133" s="1">
        <v>796</v>
      </c>
      <c r="C133" s="1">
        <v>4103</v>
      </c>
      <c r="D133" s="1">
        <v>1</v>
      </c>
      <c r="E133" s="1">
        <v>-0.3</v>
      </c>
      <c r="F133" s="1">
        <v>-0.1</v>
      </c>
      <c r="G133">
        <v>0</v>
      </c>
      <c r="H133">
        <v>0</v>
      </c>
      <c r="I133">
        <v>0</v>
      </c>
      <c r="K133" s="1">
        <v>125</v>
      </c>
      <c r="L133" s="1">
        <v>794</v>
      </c>
      <c r="M133" s="1">
        <v>4089</v>
      </c>
      <c r="N133" s="1">
        <v>1.7</v>
      </c>
      <c r="O133" s="1">
        <v>-0.5</v>
      </c>
      <c r="P133" s="1">
        <v>-0.1</v>
      </c>
      <c r="Q133" s="1">
        <v>0</v>
      </c>
      <c r="R133" s="1">
        <v>0</v>
      </c>
      <c r="S133" s="1">
        <v>0</v>
      </c>
      <c r="T133" s="1"/>
      <c r="U133" s="1"/>
      <c r="V133" s="1"/>
      <c r="W133" s="1"/>
    </row>
    <row r="134" spans="1:23" x14ac:dyDescent="0.25">
      <c r="A134" s="10">
        <v>150</v>
      </c>
      <c r="B134" s="10">
        <v>784</v>
      </c>
      <c r="C134" s="10">
        <v>3981</v>
      </c>
      <c r="D134" s="10">
        <v>0</v>
      </c>
      <c r="E134" s="10">
        <v>0</v>
      </c>
      <c r="F134" s="10">
        <v>0</v>
      </c>
      <c r="G134">
        <v>0</v>
      </c>
      <c r="H134">
        <v>0</v>
      </c>
      <c r="I134">
        <v>0</v>
      </c>
      <c r="K134" s="1">
        <v>150</v>
      </c>
      <c r="L134" s="1">
        <v>782</v>
      </c>
      <c r="M134" s="1">
        <v>3966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/>
      <c r="U134" s="1"/>
      <c r="V134" s="1"/>
      <c r="W134" s="1"/>
    </row>
    <row r="135" spans="1:23" x14ac:dyDescent="0.25">
      <c r="A135" s="1">
        <v>175</v>
      </c>
      <c r="B135" s="1">
        <v>772</v>
      </c>
      <c r="C135" s="1">
        <v>3863</v>
      </c>
      <c r="D135" s="1">
        <v>-2</v>
      </c>
      <c r="E135" s="1">
        <v>0.4</v>
      </c>
      <c r="F135" s="1">
        <v>0.1</v>
      </c>
      <c r="G135">
        <v>0</v>
      </c>
      <c r="H135">
        <v>0</v>
      </c>
      <c r="I135">
        <v>0</v>
      </c>
      <c r="K135" s="1">
        <v>175</v>
      </c>
      <c r="L135" s="1">
        <v>770</v>
      </c>
      <c r="M135" s="1">
        <v>3845</v>
      </c>
      <c r="N135" s="1">
        <v>-2.7</v>
      </c>
      <c r="O135" s="1">
        <v>0.5</v>
      </c>
      <c r="P135" s="1">
        <v>0.2</v>
      </c>
      <c r="Q135" s="1">
        <v>0</v>
      </c>
      <c r="R135" s="1">
        <v>0</v>
      </c>
      <c r="S135" s="1">
        <v>0</v>
      </c>
      <c r="T135" s="1"/>
      <c r="U135" s="1"/>
      <c r="V135" s="1"/>
      <c r="W135" s="1"/>
    </row>
    <row r="136" spans="1:23" x14ac:dyDescent="0.25">
      <c r="A136" s="1">
        <v>200</v>
      </c>
      <c r="B136" s="1">
        <v>760</v>
      </c>
      <c r="C136" s="1">
        <v>3748</v>
      </c>
      <c r="D136" s="1">
        <v>-5.2</v>
      </c>
      <c r="E136" s="1">
        <v>0.9</v>
      </c>
      <c r="F136" s="1">
        <v>0.3</v>
      </c>
      <c r="G136">
        <v>0</v>
      </c>
      <c r="H136">
        <v>0</v>
      </c>
      <c r="I136">
        <v>0</v>
      </c>
      <c r="K136" s="1">
        <v>200</v>
      </c>
      <c r="L136" s="1">
        <v>758</v>
      </c>
      <c r="M136" s="1">
        <v>3727</v>
      </c>
      <c r="N136" s="1">
        <v>-6.6</v>
      </c>
      <c r="O136" s="1">
        <v>1.1000000000000001</v>
      </c>
      <c r="P136" s="1">
        <v>0.3</v>
      </c>
      <c r="Q136" s="1">
        <v>0</v>
      </c>
      <c r="R136" s="1">
        <v>0</v>
      </c>
      <c r="S136" s="1">
        <v>0</v>
      </c>
      <c r="T136" s="1"/>
      <c r="U136" s="1"/>
      <c r="V136" s="1"/>
      <c r="W136" s="1"/>
    </row>
    <row r="137" spans="1:23" x14ac:dyDescent="0.25">
      <c r="A137" s="1">
        <v>225</v>
      </c>
      <c r="B137" s="1">
        <v>749</v>
      </c>
      <c r="C137" s="1">
        <v>3635</v>
      </c>
      <c r="D137" s="1">
        <v>-9.3000000000000007</v>
      </c>
      <c r="E137" s="1">
        <v>1.4</v>
      </c>
      <c r="F137" s="1">
        <v>0.4</v>
      </c>
      <c r="G137">
        <v>0</v>
      </c>
      <c r="H137">
        <v>0</v>
      </c>
      <c r="I137">
        <v>0</v>
      </c>
      <c r="K137" s="1">
        <v>225</v>
      </c>
      <c r="L137" s="1">
        <v>747</v>
      </c>
      <c r="M137" s="1">
        <v>3611</v>
      </c>
      <c r="N137" s="1">
        <v>-11.4</v>
      </c>
      <c r="O137" s="1">
        <v>1.7</v>
      </c>
      <c r="P137" s="1">
        <v>0.5</v>
      </c>
      <c r="Q137" s="1">
        <v>0</v>
      </c>
      <c r="R137" s="1">
        <v>0</v>
      </c>
      <c r="S137" s="1">
        <v>0</v>
      </c>
      <c r="T137" s="1"/>
      <c r="U137" s="1"/>
      <c r="V137" s="1"/>
      <c r="W137" s="1"/>
    </row>
    <row r="138" spans="1:23" x14ac:dyDescent="0.25">
      <c r="A138" s="1">
        <v>250</v>
      </c>
      <c r="B138" s="1">
        <v>737</v>
      </c>
      <c r="C138" s="1">
        <v>3525</v>
      </c>
      <c r="D138" s="1">
        <v>-14.5</v>
      </c>
      <c r="E138" s="1">
        <v>2</v>
      </c>
      <c r="F138" s="1">
        <v>0.6</v>
      </c>
      <c r="G138">
        <v>0</v>
      </c>
      <c r="H138">
        <v>0</v>
      </c>
      <c r="I138">
        <v>0</v>
      </c>
      <c r="K138" s="1">
        <v>250</v>
      </c>
      <c r="L138" s="1">
        <v>735</v>
      </c>
      <c r="M138" s="1">
        <v>3499</v>
      </c>
      <c r="N138" s="1">
        <v>-17.3</v>
      </c>
      <c r="O138" s="1">
        <v>2.4</v>
      </c>
      <c r="P138" s="1">
        <v>0.7</v>
      </c>
      <c r="Q138" s="1">
        <v>0</v>
      </c>
      <c r="R138" s="1">
        <v>0</v>
      </c>
      <c r="S138" s="1">
        <v>0</v>
      </c>
      <c r="T138" s="1"/>
      <c r="U138" s="1"/>
      <c r="V138" s="1"/>
      <c r="W138" s="1"/>
    </row>
    <row r="139" spans="1:23" x14ac:dyDescent="0.25">
      <c r="A139" s="1">
        <v>275</v>
      </c>
      <c r="B139" s="1">
        <v>726</v>
      </c>
      <c r="C139" s="1">
        <v>3417</v>
      </c>
      <c r="D139" s="1">
        <v>-21.1</v>
      </c>
      <c r="E139" s="1">
        <v>2.6</v>
      </c>
      <c r="F139" s="1">
        <v>0.8</v>
      </c>
      <c r="G139">
        <v>0</v>
      </c>
      <c r="H139">
        <v>0</v>
      </c>
      <c r="I139">
        <v>0</v>
      </c>
      <c r="K139" s="1">
        <v>275</v>
      </c>
      <c r="L139" s="1">
        <v>723</v>
      </c>
      <c r="M139" s="1">
        <v>3389</v>
      </c>
      <c r="N139" s="1">
        <v>-24.7</v>
      </c>
      <c r="O139" s="1">
        <v>3.1</v>
      </c>
      <c r="P139" s="1">
        <v>0.9</v>
      </c>
      <c r="Q139" s="1">
        <v>0</v>
      </c>
      <c r="R139" s="1">
        <v>0</v>
      </c>
      <c r="S139" s="1">
        <v>0</v>
      </c>
      <c r="T139" s="1"/>
      <c r="U139" s="1"/>
      <c r="V139" s="1"/>
      <c r="W139" s="1"/>
    </row>
    <row r="140" spans="1:23" x14ac:dyDescent="0.25">
      <c r="A140" s="1">
        <v>300</v>
      </c>
      <c r="B140" s="1">
        <v>715</v>
      </c>
      <c r="C140" s="1">
        <v>3312</v>
      </c>
      <c r="D140" s="1">
        <v>-28.7</v>
      </c>
      <c r="E140" s="1">
        <v>3.3</v>
      </c>
      <c r="F140" s="1">
        <v>1</v>
      </c>
      <c r="G140">
        <v>0</v>
      </c>
      <c r="H140">
        <v>0</v>
      </c>
      <c r="I140">
        <v>0</v>
      </c>
      <c r="K140" s="1">
        <v>300</v>
      </c>
      <c r="L140" s="1">
        <v>712</v>
      </c>
      <c r="M140" s="1">
        <v>3282</v>
      </c>
      <c r="N140" s="1">
        <v>-33</v>
      </c>
      <c r="O140" s="1">
        <v>3.8</v>
      </c>
      <c r="P140" s="1">
        <v>1.1000000000000001</v>
      </c>
      <c r="Q140" s="1">
        <v>0</v>
      </c>
      <c r="R140" s="1">
        <v>0</v>
      </c>
      <c r="S140" s="1">
        <v>0</v>
      </c>
    </row>
    <row r="141" spans="1:23" x14ac:dyDescent="0.25">
      <c r="A141" s="1">
        <v>325</v>
      </c>
      <c r="B141" s="1">
        <v>704</v>
      </c>
      <c r="C141" s="1">
        <v>3210</v>
      </c>
      <c r="D141" s="1">
        <v>-37.5</v>
      </c>
      <c r="E141" s="1">
        <v>4</v>
      </c>
      <c r="F141" s="1">
        <v>1.2</v>
      </c>
      <c r="G141">
        <v>0</v>
      </c>
      <c r="H141">
        <v>0</v>
      </c>
      <c r="I141">
        <v>0</v>
      </c>
      <c r="K141" s="1">
        <v>325</v>
      </c>
      <c r="L141" s="1">
        <v>700</v>
      </c>
      <c r="M141" s="1">
        <v>3178</v>
      </c>
      <c r="N141" s="1">
        <v>-42.5</v>
      </c>
      <c r="O141" s="1">
        <v>4.5</v>
      </c>
      <c r="P141" s="1">
        <v>1.3</v>
      </c>
      <c r="Q141" s="1">
        <v>0</v>
      </c>
      <c r="R141" s="1">
        <v>0</v>
      </c>
      <c r="S141" s="1">
        <v>0</v>
      </c>
    </row>
    <row r="142" spans="1:23" x14ac:dyDescent="0.25">
      <c r="A142" s="1">
        <v>350</v>
      </c>
      <c r="B142" s="1">
        <v>693</v>
      </c>
      <c r="C142" s="1">
        <v>3110</v>
      </c>
      <c r="D142" s="1">
        <v>-47.9</v>
      </c>
      <c r="E142" s="1">
        <v>4.7</v>
      </c>
      <c r="F142" s="1">
        <v>1.4</v>
      </c>
      <c r="G142">
        <v>0</v>
      </c>
      <c r="H142">
        <v>0</v>
      </c>
      <c r="I142">
        <v>0</v>
      </c>
      <c r="K142" s="1">
        <v>350</v>
      </c>
      <c r="L142" s="1">
        <v>689</v>
      </c>
      <c r="M142" s="1">
        <v>3076</v>
      </c>
      <c r="N142" s="1">
        <v>-53.7</v>
      </c>
      <c r="O142" s="1">
        <v>5.3</v>
      </c>
      <c r="P142" s="1">
        <v>1.5</v>
      </c>
      <c r="Q142" s="1">
        <v>0</v>
      </c>
      <c r="R142" s="1">
        <v>0</v>
      </c>
      <c r="S142" s="1">
        <v>0</v>
      </c>
    </row>
    <row r="143" spans="1:23" x14ac:dyDescent="0.25">
      <c r="A143" s="1">
        <v>375</v>
      </c>
      <c r="B143" s="1">
        <v>682</v>
      </c>
      <c r="C143" s="1">
        <v>3012</v>
      </c>
      <c r="D143" s="1">
        <v>-59.3</v>
      </c>
      <c r="E143" s="1">
        <v>5.4</v>
      </c>
      <c r="F143" s="1">
        <v>1.6</v>
      </c>
      <c r="G143">
        <v>0</v>
      </c>
      <c r="H143">
        <v>0</v>
      </c>
      <c r="I143">
        <v>0</v>
      </c>
      <c r="K143" s="1">
        <v>375</v>
      </c>
      <c r="L143" s="1">
        <v>678</v>
      </c>
      <c r="M143" s="1">
        <v>2976</v>
      </c>
      <c r="N143" s="1">
        <v>-65.900000000000006</v>
      </c>
      <c r="O143" s="1">
        <v>6</v>
      </c>
      <c r="P143" s="1">
        <v>1.8</v>
      </c>
      <c r="Q143" s="1">
        <v>0</v>
      </c>
      <c r="R143" s="1">
        <v>0</v>
      </c>
      <c r="S143" s="1">
        <v>0</v>
      </c>
      <c r="T143" s="1"/>
      <c r="U143" s="1"/>
      <c r="V143" s="1"/>
      <c r="W143" s="1"/>
    </row>
    <row r="144" spans="1:23" x14ac:dyDescent="0.25">
      <c r="A144" s="1">
        <v>400</v>
      </c>
      <c r="B144" s="1">
        <v>671</v>
      </c>
      <c r="C144" s="1">
        <v>2917</v>
      </c>
      <c r="D144" s="1">
        <v>-72</v>
      </c>
      <c r="E144" s="1">
        <v>6.2</v>
      </c>
      <c r="F144" s="1">
        <v>1.8</v>
      </c>
      <c r="G144">
        <v>0</v>
      </c>
      <c r="H144">
        <v>0</v>
      </c>
      <c r="I144">
        <v>0</v>
      </c>
      <c r="K144" s="1">
        <v>400</v>
      </c>
      <c r="L144" s="1">
        <v>667</v>
      </c>
      <c r="M144" s="1">
        <v>2879</v>
      </c>
      <c r="N144" s="1">
        <v>-79.400000000000006</v>
      </c>
      <c r="O144" s="1">
        <v>6.8</v>
      </c>
      <c r="P144" s="1">
        <v>2</v>
      </c>
      <c r="Q144" s="1">
        <v>0</v>
      </c>
      <c r="R144" s="1">
        <v>0</v>
      </c>
      <c r="S144" s="1">
        <v>0</v>
      </c>
      <c r="T144" s="1"/>
      <c r="U144" s="1"/>
      <c r="V144" s="1"/>
      <c r="W144" s="1"/>
    </row>
    <row r="145" spans="1:23" x14ac:dyDescent="0.25">
      <c r="A145" s="1">
        <v>425</v>
      </c>
      <c r="B145" s="1">
        <v>660</v>
      </c>
      <c r="C145" s="1">
        <v>2824</v>
      </c>
      <c r="D145" s="1">
        <v>-86.7</v>
      </c>
      <c r="E145" s="1">
        <v>7</v>
      </c>
      <c r="F145" s="1">
        <v>2</v>
      </c>
      <c r="G145">
        <v>0</v>
      </c>
      <c r="H145">
        <v>0</v>
      </c>
      <c r="I145">
        <v>0</v>
      </c>
      <c r="K145" s="1">
        <v>425</v>
      </c>
      <c r="L145" s="1">
        <v>656</v>
      </c>
      <c r="M145" s="1">
        <v>2785</v>
      </c>
      <c r="N145" s="1">
        <v>-94.9</v>
      </c>
      <c r="O145" s="1">
        <v>7.7</v>
      </c>
      <c r="P145" s="1">
        <v>2.2000000000000002</v>
      </c>
      <c r="Q145" s="1">
        <v>0</v>
      </c>
      <c r="R145" s="1">
        <v>0</v>
      </c>
      <c r="S145" s="1">
        <v>0</v>
      </c>
      <c r="T145" s="1"/>
      <c r="U145" s="1"/>
      <c r="V145" s="1"/>
      <c r="W145" s="1"/>
    </row>
    <row r="146" spans="1:23" x14ac:dyDescent="0.25">
      <c r="A146" s="1">
        <v>450</v>
      </c>
      <c r="B146" s="1">
        <v>649</v>
      </c>
      <c r="C146" s="1">
        <v>2734</v>
      </c>
      <c r="D146" s="1">
        <v>-102.3</v>
      </c>
      <c r="E146" s="1">
        <v>7.8</v>
      </c>
      <c r="F146" s="1">
        <v>2.2999999999999998</v>
      </c>
      <c r="G146">
        <v>0</v>
      </c>
      <c r="H146">
        <v>0</v>
      </c>
      <c r="I146">
        <v>0</v>
      </c>
      <c r="K146" s="1">
        <v>450</v>
      </c>
      <c r="L146" s="1">
        <v>645</v>
      </c>
      <c r="M146" s="1">
        <v>2693</v>
      </c>
      <c r="N146" s="1">
        <v>-111.4</v>
      </c>
      <c r="O146" s="1">
        <v>8.5</v>
      </c>
      <c r="P146" s="1">
        <v>2.5</v>
      </c>
      <c r="Q146" s="1">
        <v>0</v>
      </c>
      <c r="R146" s="1">
        <v>0</v>
      </c>
      <c r="S146" s="1">
        <v>0</v>
      </c>
      <c r="T146" s="1"/>
      <c r="U146" s="1"/>
      <c r="V146" s="1"/>
      <c r="W146" s="1"/>
    </row>
    <row r="147" spans="1:23" x14ac:dyDescent="0.25">
      <c r="A147" s="1">
        <v>475</v>
      </c>
      <c r="B147" s="1">
        <v>639</v>
      </c>
      <c r="C147" s="1">
        <v>2645</v>
      </c>
      <c r="D147" s="1">
        <v>-119.4</v>
      </c>
      <c r="E147" s="1">
        <v>8.6</v>
      </c>
      <c r="F147" s="1">
        <v>2.5</v>
      </c>
      <c r="G147">
        <v>0</v>
      </c>
      <c r="H147">
        <v>0</v>
      </c>
      <c r="I147">
        <v>0</v>
      </c>
      <c r="K147" s="1">
        <v>475</v>
      </c>
      <c r="L147" s="1">
        <v>634</v>
      </c>
      <c r="M147" s="1">
        <v>2603</v>
      </c>
      <c r="N147" s="1">
        <v>-129.4</v>
      </c>
      <c r="O147" s="1">
        <v>9.4</v>
      </c>
      <c r="P147" s="1">
        <v>2.7</v>
      </c>
      <c r="Q147" s="1">
        <v>0</v>
      </c>
      <c r="R147" s="1">
        <v>0</v>
      </c>
      <c r="S147" s="1">
        <v>0</v>
      </c>
      <c r="T147" s="1"/>
      <c r="U147" s="1"/>
      <c r="V147" s="1"/>
      <c r="W147" s="1"/>
    </row>
    <row r="148" spans="1:23" x14ac:dyDescent="0.25">
      <c r="A148" s="1">
        <v>500</v>
      </c>
      <c r="B148" s="1">
        <v>629</v>
      </c>
      <c r="C148" s="1">
        <v>2563</v>
      </c>
      <c r="D148" s="1">
        <v>-138.1</v>
      </c>
      <c r="E148" s="1">
        <v>9.5</v>
      </c>
      <c r="F148" s="1">
        <v>2.8</v>
      </c>
      <c r="G148">
        <v>0</v>
      </c>
      <c r="H148">
        <v>0</v>
      </c>
      <c r="I148">
        <v>0</v>
      </c>
      <c r="K148" s="1">
        <v>500</v>
      </c>
      <c r="L148" s="1">
        <v>623</v>
      </c>
      <c r="M148" s="1">
        <v>2519</v>
      </c>
      <c r="N148" s="1">
        <v>-149</v>
      </c>
      <c r="O148" s="1">
        <v>10.3</v>
      </c>
      <c r="P148" s="1">
        <v>3</v>
      </c>
      <c r="Q148" s="1">
        <v>0</v>
      </c>
      <c r="R148" s="1">
        <v>0</v>
      </c>
      <c r="S148" s="1">
        <v>0</v>
      </c>
      <c r="T148" s="1"/>
      <c r="U148" s="1"/>
      <c r="V148" s="1"/>
      <c r="W148" s="1"/>
    </row>
    <row r="149" spans="1:23" x14ac:dyDescent="0.25">
      <c r="T149" s="1"/>
      <c r="U149" s="1"/>
      <c r="V149" s="1"/>
      <c r="W149" s="1"/>
    </row>
    <row r="150" spans="1:23" x14ac:dyDescent="0.25">
      <c r="A150" t="s">
        <v>83</v>
      </c>
      <c r="K150" t="s">
        <v>77</v>
      </c>
      <c r="T150" s="1"/>
      <c r="U150" s="1"/>
      <c r="V150" s="1"/>
      <c r="W150" s="1"/>
    </row>
    <row r="151" spans="1:23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39</v>
      </c>
      <c r="H151" t="s">
        <v>40</v>
      </c>
      <c r="I151" t="s">
        <v>41</v>
      </c>
      <c r="K151" t="s">
        <v>12</v>
      </c>
      <c r="L151" t="s">
        <v>13</v>
      </c>
      <c r="M151" t="s">
        <v>14</v>
      </c>
      <c r="N151" t="s">
        <v>15</v>
      </c>
      <c r="O151" t="s">
        <v>16</v>
      </c>
      <c r="P151" t="s">
        <v>17</v>
      </c>
      <c r="Q151" t="s">
        <v>39</v>
      </c>
      <c r="R151" t="s">
        <v>40</v>
      </c>
      <c r="S151" t="s">
        <v>41</v>
      </c>
      <c r="T151" s="1"/>
      <c r="U151" s="1"/>
      <c r="V151" s="1"/>
      <c r="W151" s="1"/>
    </row>
    <row r="152" spans="1:23" x14ac:dyDescent="0.25">
      <c r="A152" s="1">
        <v>0</v>
      </c>
      <c r="B152" s="1">
        <v>856</v>
      </c>
      <c r="C152" s="1">
        <v>4754</v>
      </c>
      <c r="D152" s="1">
        <v>-8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856</v>
      </c>
      <c r="M152" s="1">
        <v>4754</v>
      </c>
      <c r="N152" s="1">
        <v>-3.8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/>
      <c r="U152" s="1"/>
      <c r="V152" s="1"/>
      <c r="W152" s="1"/>
    </row>
    <row r="153" spans="1:23" x14ac:dyDescent="0.25">
      <c r="A153" s="1">
        <v>25</v>
      </c>
      <c r="B153" s="1">
        <v>844</v>
      </c>
      <c r="C153" s="1">
        <v>4616</v>
      </c>
      <c r="D153" s="1">
        <v>-3.8</v>
      </c>
      <c r="E153" s="1">
        <v>5.2</v>
      </c>
      <c r="F153" s="1">
        <v>1.5</v>
      </c>
      <c r="G153">
        <v>0</v>
      </c>
      <c r="H153">
        <v>0</v>
      </c>
      <c r="I153">
        <v>0</v>
      </c>
      <c r="K153" s="1">
        <v>25</v>
      </c>
      <c r="L153" s="1">
        <v>844</v>
      </c>
      <c r="M153" s="1">
        <v>4614</v>
      </c>
      <c r="N153" s="1">
        <v>-0.1</v>
      </c>
      <c r="O153" s="1">
        <v>0.2</v>
      </c>
      <c r="P153" s="1">
        <v>0</v>
      </c>
      <c r="Q153" s="1">
        <v>0</v>
      </c>
      <c r="R153" s="1">
        <v>0</v>
      </c>
      <c r="S153" s="1">
        <v>0</v>
      </c>
      <c r="T153" s="1"/>
      <c r="U153" s="1"/>
      <c r="V153" s="1"/>
      <c r="W153" s="1"/>
    </row>
    <row r="154" spans="1:23" x14ac:dyDescent="0.25">
      <c r="A154" s="1">
        <v>50</v>
      </c>
      <c r="B154" s="1">
        <v>832</v>
      </c>
      <c r="C154" s="1">
        <v>4483</v>
      </c>
      <c r="D154" s="1">
        <v>-0.3</v>
      </c>
      <c r="E154" s="1">
        <v>0.2</v>
      </c>
      <c r="F154" s="1">
        <v>0.1</v>
      </c>
      <c r="G154">
        <v>0</v>
      </c>
      <c r="H154">
        <v>0</v>
      </c>
      <c r="I154">
        <v>0</v>
      </c>
      <c r="K154" s="1">
        <v>50</v>
      </c>
      <c r="L154" s="1">
        <v>831</v>
      </c>
      <c r="M154" s="1">
        <v>4478</v>
      </c>
      <c r="N154" s="1">
        <v>2.8</v>
      </c>
      <c r="O154" s="1">
        <v>-1.9</v>
      </c>
      <c r="P154" s="1">
        <v>-0.6</v>
      </c>
      <c r="Q154" s="1">
        <v>0</v>
      </c>
      <c r="R154" s="1">
        <v>0</v>
      </c>
      <c r="S154" s="1">
        <v>0</v>
      </c>
      <c r="T154" s="1"/>
      <c r="U154" s="1"/>
      <c r="V154" s="1"/>
      <c r="W154" s="1"/>
    </row>
    <row r="155" spans="1:23" x14ac:dyDescent="0.25">
      <c r="A155" s="1">
        <v>75</v>
      </c>
      <c r="B155" s="1">
        <v>820</v>
      </c>
      <c r="C155" s="1">
        <v>4353</v>
      </c>
      <c r="D155" s="1">
        <v>2.1</v>
      </c>
      <c r="E155" s="1">
        <v>-1</v>
      </c>
      <c r="F155" s="1">
        <v>-0.3</v>
      </c>
      <c r="G155">
        <v>0</v>
      </c>
      <c r="H155">
        <v>0</v>
      </c>
      <c r="I155">
        <v>0</v>
      </c>
      <c r="K155" s="1">
        <v>75</v>
      </c>
      <c r="L155" s="1">
        <v>819</v>
      </c>
      <c r="M155" s="1">
        <v>4346</v>
      </c>
      <c r="N155" s="1">
        <v>4.7</v>
      </c>
      <c r="O155" s="1">
        <v>-2.2000000000000002</v>
      </c>
      <c r="P155" s="1">
        <v>-0.6</v>
      </c>
      <c r="Q155" s="1">
        <v>0</v>
      </c>
      <c r="R155" s="1">
        <v>0</v>
      </c>
      <c r="S155" s="1">
        <v>0</v>
      </c>
      <c r="T155" s="1"/>
      <c r="U155" s="1"/>
      <c r="V155" s="1"/>
      <c r="W155" s="1"/>
    </row>
    <row r="156" spans="1:23" x14ac:dyDescent="0.25">
      <c r="A156" s="1">
        <v>100</v>
      </c>
      <c r="B156" s="1">
        <v>808</v>
      </c>
      <c r="C156" s="1">
        <v>4226</v>
      </c>
      <c r="D156" s="1">
        <v>3.6</v>
      </c>
      <c r="E156" s="1">
        <v>-1.3</v>
      </c>
      <c r="F156" s="1">
        <v>-0.4</v>
      </c>
      <c r="G156">
        <v>0</v>
      </c>
      <c r="H156">
        <v>0</v>
      </c>
      <c r="I156">
        <v>0</v>
      </c>
      <c r="K156" s="1">
        <v>100</v>
      </c>
      <c r="L156" s="1">
        <v>807</v>
      </c>
      <c r="M156" s="1">
        <v>4216</v>
      </c>
      <c r="N156" s="1">
        <v>5.7</v>
      </c>
      <c r="O156" s="1">
        <v>-2</v>
      </c>
      <c r="P156" s="1">
        <v>-0.6</v>
      </c>
      <c r="Q156" s="1">
        <v>0</v>
      </c>
      <c r="R156" s="1">
        <v>0</v>
      </c>
      <c r="S156" s="1">
        <v>0</v>
      </c>
      <c r="T156" s="1"/>
      <c r="U156" s="1"/>
      <c r="V156" s="1"/>
      <c r="W156" s="1"/>
    </row>
    <row r="157" spans="1:23" x14ac:dyDescent="0.25">
      <c r="A157" s="1">
        <v>125</v>
      </c>
      <c r="B157" s="1">
        <v>796</v>
      </c>
      <c r="C157" s="1">
        <v>4102</v>
      </c>
      <c r="D157" s="1">
        <v>4.2</v>
      </c>
      <c r="E157" s="1">
        <v>-1.2</v>
      </c>
      <c r="F157" s="1">
        <v>-0.3</v>
      </c>
      <c r="G157">
        <v>0</v>
      </c>
      <c r="H157">
        <v>0</v>
      </c>
      <c r="I157">
        <v>0</v>
      </c>
      <c r="K157" s="1">
        <v>125</v>
      </c>
      <c r="L157" s="1">
        <v>794</v>
      </c>
      <c r="M157" s="1">
        <v>4089</v>
      </c>
      <c r="N157" s="1">
        <v>5.8</v>
      </c>
      <c r="O157" s="1">
        <v>-1.6</v>
      </c>
      <c r="P157" s="1">
        <v>-0.5</v>
      </c>
      <c r="Q157" s="1">
        <v>0</v>
      </c>
      <c r="R157" s="1">
        <v>0</v>
      </c>
      <c r="S157" s="1">
        <v>0</v>
      </c>
      <c r="T157" s="1"/>
      <c r="U157" s="1"/>
      <c r="V157" s="1"/>
      <c r="W157" s="1"/>
    </row>
    <row r="158" spans="1:23" x14ac:dyDescent="0.25">
      <c r="A158" s="1">
        <v>150</v>
      </c>
      <c r="B158" s="1">
        <v>784</v>
      </c>
      <c r="C158" s="1">
        <v>3981</v>
      </c>
      <c r="D158" s="1">
        <v>3.9</v>
      </c>
      <c r="E158" s="1">
        <v>-0.9</v>
      </c>
      <c r="F158" s="1">
        <v>-0.3</v>
      </c>
      <c r="G158">
        <v>0</v>
      </c>
      <c r="H158">
        <v>0</v>
      </c>
      <c r="I158">
        <v>0</v>
      </c>
      <c r="K158" s="1">
        <v>150</v>
      </c>
      <c r="L158" s="1">
        <v>782</v>
      </c>
      <c r="M158" s="1">
        <v>3966</v>
      </c>
      <c r="N158" s="1">
        <v>4.9000000000000004</v>
      </c>
      <c r="O158" s="1">
        <v>-1.1000000000000001</v>
      </c>
      <c r="P158" s="1">
        <v>-0.3</v>
      </c>
      <c r="Q158" s="1">
        <v>0</v>
      </c>
      <c r="R158" s="1">
        <v>0</v>
      </c>
      <c r="S158" s="1">
        <v>0</v>
      </c>
      <c r="T158" s="1"/>
      <c r="U158" s="1"/>
      <c r="V158" s="1"/>
      <c r="W158" s="1"/>
    </row>
    <row r="159" spans="1:23" x14ac:dyDescent="0.25">
      <c r="A159" s="1">
        <v>175</v>
      </c>
      <c r="B159" s="1">
        <v>772</v>
      </c>
      <c r="C159" s="1">
        <v>3863</v>
      </c>
      <c r="D159" s="1">
        <v>2.5</v>
      </c>
      <c r="E159" s="1">
        <v>-0.5</v>
      </c>
      <c r="F159" s="1">
        <v>-0.1</v>
      </c>
      <c r="G159">
        <v>0</v>
      </c>
      <c r="H159">
        <v>0</v>
      </c>
      <c r="I159">
        <v>0</v>
      </c>
      <c r="K159" s="1">
        <v>175</v>
      </c>
      <c r="L159" s="1">
        <v>770</v>
      </c>
      <c r="M159" s="1">
        <v>3845</v>
      </c>
      <c r="N159" s="1">
        <v>3</v>
      </c>
      <c r="O159" s="1">
        <v>-0.6</v>
      </c>
      <c r="P159" s="1">
        <v>-0.2</v>
      </c>
      <c r="Q159" s="1">
        <v>0</v>
      </c>
      <c r="R159" s="1">
        <v>0</v>
      </c>
      <c r="S159" s="1">
        <v>0</v>
      </c>
      <c r="T159" s="1"/>
      <c r="U159" s="1"/>
      <c r="V159" s="1"/>
      <c r="W159" s="1"/>
    </row>
    <row r="160" spans="1:23" x14ac:dyDescent="0.25">
      <c r="A160" s="10">
        <v>200</v>
      </c>
      <c r="B160" s="10">
        <v>760</v>
      </c>
      <c r="C160" s="10">
        <v>3748</v>
      </c>
      <c r="D160" s="10">
        <v>0</v>
      </c>
      <c r="E160" s="10">
        <v>0</v>
      </c>
      <c r="F160" s="10">
        <v>0</v>
      </c>
      <c r="G160">
        <v>0</v>
      </c>
      <c r="H160">
        <v>0</v>
      </c>
      <c r="I160">
        <v>0</v>
      </c>
      <c r="K160" s="1">
        <v>200</v>
      </c>
      <c r="L160" s="1">
        <v>758</v>
      </c>
      <c r="M160" s="1">
        <v>3727</v>
      </c>
      <c r="N160" s="1">
        <v>-0.1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/>
      <c r="U160" s="1"/>
      <c r="V160" s="1"/>
      <c r="W160" s="1"/>
    </row>
    <row r="161" spans="1:23" x14ac:dyDescent="0.25">
      <c r="A161" s="1">
        <v>225</v>
      </c>
      <c r="B161" s="1">
        <v>749</v>
      </c>
      <c r="C161" s="1">
        <v>3635</v>
      </c>
      <c r="D161" s="1">
        <v>-3.5</v>
      </c>
      <c r="E161" s="1">
        <v>0.5</v>
      </c>
      <c r="F161" s="1">
        <v>0.2</v>
      </c>
      <c r="G161">
        <v>0</v>
      </c>
      <c r="H161">
        <v>0</v>
      </c>
      <c r="I161">
        <v>0</v>
      </c>
      <c r="K161" s="1">
        <v>225</v>
      </c>
      <c r="L161" s="1">
        <v>747</v>
      </c>
      <c r="M161" s="1">
        <v>3611</v>
      </c>
      <c r="N161" s="1">
        <v>-4.0999999999999996</v>
      </c>
      <c r="O161" s="1">
        <v>0.6</v>
      </c>
      <c r="P161" s="1">
        <v>0.2</v>
      </c>
      <c r="Q161" s="1">
        <v>0</v>
      </c>
      <c r="R161" s="1">
        <v>0</v>
      </c>
      <c r="S161" s="1">
        <v>0</v>
      </c>
      <c r="T161" s="1"/>
      <c r="U161" s="1"/>
      <c r="V161" s="1"/>
      <c r="W161" s="1"/>
    </row>
    <row r="162" spans="1:23" x14ac:dyDescent="0.25">
      <c r="A162" s="1">
        <v>250</v>
      </c>
      <c r="B162" s="1">
        <v>737</v>
      </c>
      <c r="C162" s="1">
        <v>3525</v>
      </c>
      <c r="D162" s="1">
        <v>-8.1</v>
      </c>
      <c r="E162" s="1">
        <v>1.1000000000000001</v>
      </c>
      <c r="F162" s="1">
        <v>0.3</v>
      </c>
      <c r="G162">
        <v>0</v>
      </c>
      <c r="H162">
        <v>0</v>
      </c>
      <c r="I162">
        <v>0</v>
      </c>
      <c r="K162" s="1">
        <v>250</v>
      </c>
      <c r="L162" s="1">
        <v>735</v>
      </c>
      <c r="M162" s="1">
        <v>3499</v>
      </c>
      <c r="N162" s="1">
        <v>-9.1999999999999993</v>
      </c>
      <c r="O162" s="1">
        <v>1.3</v>
      </c>
      <c r="P162" s="1">
        <v>0.4</v>
      </c>
      <c r="Q162" s="1">
        <v>0</v>
      </c>
      <c r="R162" s="1">
        <v>0</v>
      </c>
      <c r="S162" s="1">
        <v>0</v>
      </c>
      <c r="T162" s="1"/>
      <c r="U162" s="1"/>
      <c r="V162" s="1"/>
      <c r="W162" s="1"/>
    </row>
    <row r="163" spans="1:23" x14ac:dyDescent="0.25">
      <c r="A163" s="1">
        <v>275</v>
      </c>
      <c r="B163" s="1">
        <v>726</v>
      </c>
      <c r="C163" s="1">
        <v>3417</v>
      </c>
      <c r="D163" s="1">
        <v>-14</v>
      </c>
      <c r="E163" s="1">
        <v>1.8</v>
      </c>
      <c r="F163" s="1">
        <v>0.5</v>
      </c>
      <c r="G163">
        <v>0</v>
      </c>
      <c r="H163">
        <v>0</v>
      </c>
      <c r="I163">
        <v>0</v>
      </c>
      <c r="K163" s="1">
        <v>275</v>
      </c>
      <c r="L163" s="1">
        <v>723</v>
      </c>
      <c r="M163" s="1">
        <v>3389</v>
      </c>
      <c r="N163" s="1">
        <v>-15.8</v>
      </c>
      <c r="O163" s="1">
        <v>2</v>
      </c>
      <c r="P163" s="1">
        <v>0.6</v>
      </c>
      <c r="Q163" s="1">
        <v>0</v>
      </c>
      <c r="R163" s="1">
        <v>0</v>
      </c>
      <c r="S163" s="1">
        <v>0</v>
      </c>
      <c r="T163" s="1"/>
      <c r="U163" s="1"/>
      <c r="V163" s="1"/>
      <c r="W163" s="1"/>
    </row>
    <row r="164" spans="1:23" x14ac:dyDescent="0.25">
      <c r="A164" s="1">
        <v>300</v>
      </c>
      <c r="B164" s="1">
        <v>715</v>
      </c>
      <c r="C164" s="1">
        <v>3312</v>
      </c>
      <c r="D164" s="1">
        <v>-21</v>
      </c>
      <c r="E164" s="1">
        <v>2.4</v>
      </c>
      <c r="F164" s="1">
        <v>0.7</v>
      </c>
      <c r="G164">
        <v>0</v>
      </c>
      <c r="H164">
        <v>0</v>
      </c>
      <c r="I164">
        <v>0</v>
      </c>
      <c r="K164" s="1">
        <v>300</v>
      </c>
      <c r="L164" s="1">
        <v>712</v>
      </c>
      <c r="M164" s="1">
        <v>3282</v>
      </c>
      <c r="N164" s="1">
        <v>-23.3</v>
      </c>
      <c r="O164" s="1">
        <v>2.7</v>
      </c>
      <c r="P164" s="1">
        <v>0.8</v>
      </c>
      <c r="Q164" s="1">
        <v>0</v>
      </c>
      <c r="R164" s="1">
        <v>0</v>
      </c>
      <c r="S164" s="1">
        <v>0</v>
      </c>
    </row>
    <row r="165" spans="1:23" x14ac:dyDescent="0.25">
      <c r="A165" s="1">
        <v>325</v>
      </c>
      <c r="B165" s="1">
        <v>704</v>
      </c>
      <c r="C165" s="1">
        <v>3210</v>
      </c>
      <c r="D165" s="1">
        <v>-29.1</v>
      </c>
      <c r="E165" s="1">
        <v>3.1</v>
      </c>
      <c r="F165" s="1">
        <v>0.9</v>
      </c>
      <c r="G165">
        <v>0</v>
      </c>
      <c r="H165">
        <v>0</v>
      </c>
      <c r="I165">
        <v>0</v>
      </c>
      <c r="K165" s="1">
        <v>325</v>
      </c>
      <c r="L165" s="1">
        <v>700</v>
      </c>
      <c r="M165" s="1">
        <v>3178</v>
      </c>
      <c r="N165" s="1">
        <v>-32</v>
      </c>
      <c r="O165" s="1">
        <v>3.4</v>
      </c>
      <c r="P165" s="1">
        <v>1</v>
      </c>
      <c r="Q165" s="1">
        <v>0</v>
      </c>
      <c r="R165" s="1">
        <v>0</v>
      </c>
      <c r="S165" s="1">
        <v>0</v>
      </c>
    </row>
    <row r="166" spans="1:23" x14ac:dyDescent="0.25">
      <c r="A166" s="1">
        <v>350</v>
      </c>
      <c r="B166" s="1">
        <v>693</v>
      </c>
      <c r="C166" s="1">
        <v>3110</v>
      </c>
      <c r="D166" s="1">
        <v>-38.9</v>
      </c>
      <c r="E166" s="1">
        <v>3.8</v>
      </c>
      <c r="F166" s="1">
        <v>1.1000000000000001</v>
      </c>
      <c r="G166">
        <v>0</v>
      </c>
      <c r="H166">
        <v>0</v>
      </c>
      <c r="I166">
        <v>0</v>
      </c>
      <c r="K166" s="1">
        <v>350</v>
      </c>
      <c r="L166" s="1">
        <v>689</v>
      </c>
      <c r="M166" s="1">
        <v>3076</v>
      </c>
      <c r="N166" s="1">
        <v>-42.4</v>
      </c>
      <c r="O166" s="1">
        <v>4.2</v>
      </c>
      <c r="P166" s="1">
        <v>1.2</v>
      </c>
      <c r="Q166" s="1">
        <v>0</v>
      </c>
      <c r="R166" s="1">
        <v>0</v>
      </c>
      <c r="S166" s="1">
        <v>0</v>
      </c>
    </row>
    <row r="167" spans="1:23" x14ac:dyDescent="0.25">
      <c r="A167" s="1">
        <v>375</v>
      </c>
      <c r="B167" s="1">
        <v>682</v>
      </c>
      <c r="C167" s="1">
        <v>3012</v>
      </c>
      <c r="D167" s="1">
        <v>-49.6</v>
      </c>
      <c r="E167" s="1">
        <v>4.5</v>
      </c>
      <c r="F167" s="1">
        <v>1.3</v>
      </c>
      <c r="G167">
        <v>0</v>
      </c>
      <c r="H167">
        <v>0</v>
      </c>
      <c r="I167">
        <v>0</v>
      </c>
      <c r="K167" s="1">
        <v>375</v>
      </c>
      <c r="L167" s="1">
        <v>678</v>
      </c>
      <c r="M167" s="1">
        <v>2976</v>
      </c>
      <c r="N167" s="1">
        <v>-53.7</v>
      </c>
      <c r="O167" s="1">
        <v>4.9000000000000004</v>
      </c>
      <c r="P167" s="1">
        <v>1.4</v>
      </c>
      <c r="Q167" s="1">
        <v>0</v>
      </c>
      <c r="R167" s="1">
        <v>0</v>
      </c>
      <c r="S167" s="1">
        <v>0</v>
      </c>
      <c r="T167" s="1"/>
      <c r="U167" s="1"/>
      <c r="V167" s="1"/>
      <c r="W167" s="1"/>
    </row>
    <row r="168" spans="1:23" x14ac:dyDescent="0.25">
      <c r="A168" s="1">
        <v>400</v>
      </c>
      <c r="B168" s="1">
        <v>671</v>
      </c>
      <c r="C168" s="1">
        <v>2917</v>
      </c>
      <c r="D168" s="1">
        <v>-61.7</v>
      </c>
      <c r="E168" s="1">
        <v>5.3</v>
      </c>
      <c r="F168" s="1">
        <v>1.5</v>
      </c>
      <c r="G168">
        <v>0</v>
      </c>
      <c r="H168">
        <v>0</v>
      </c>
      <c r="I168">
        <v>0</v>
      </c>
      <c r="K168" s="1">
        <v>400</v>
      </c>
      <c r="L168" s="1">
        <v>667</v>
      </c>
      <c r="M168" s="1">
        <v>2879</v>
      </c>
      <c r="N168" s="1">
        <v>-66.5</v>
      </c>
      <c r="O168" s="1">
        <v>5.7</v>
      </c>
      <c r="P168" s="1">
        <v>1.7</v>
      </c>
      <c r="Q168" s="1">
        <v>0</v>
      </c>
      <c r="R168" s="1">
        <v>0</v>
      </c>
      <c r="S168" s="1">
        <v>0</v>
      </c>
      <c r="T168" s="1"/>
      <c r="U168" s="1"/>
      <c r="V168" s="1"/>
      <c r="W168" s="1"/>
    </row>
    <row r="169" spans="1:23" x14ac:dyDescent="0.25">
      <c r="A169" s="1">
        <v>425</v>
      </c>
      <c r="B169" s="1">
        <v>660</v>
      </c>
      <c r="C169" s="1">
        <v>2824</v>
      </c>
      <c r="D169" s="1">
        <v>-75.7</v>
      </c>
      <c r="E169" s="1">
        <v>6.1</v>
      </c>
      <c r="F169" s="1">
        <v>1.8</v>
      </c>
      <c r="G169">
        <v>0</v>
      </c>
      <c r="H169">
        <v>0</v>
      </c>
      <c r="I169">
        <v>0</v>
      </c>
      <c r="K169" s="1">
        <v>425</v>
      </c>
      <c r="L169" s="1">
        <v>655</v>
      </c>
      <c r="M169" s="1">
        <v>2785</v>
      </c>
      <c r="N169" s="1">
        <v>-81.099999999999994</v>
      </c>
      <c r="O169" s="1">
        <v>6.6</v>
      </c>
      <c r="P169" s="1">
        <v>1.9</v>
      </c>
      <c r="Q169" s="1">
        <v>0</v>
      </c>
      <c r="R169" s="1">
        <v>0</v>
      </c>
      <c r="S169" s="1">
        <v>0</v>
      </c>
      <c r="T169" s="1"/>
      <c r="U169" s="1"/>
      <c r="V169" s="1"/>
      <c r="W169" s="1"/>
    </row>
    <row r="170" spans="1:23" x14ac:dyDescent="0.25">
      <c r="A170" s="1">
        <v>450</v>
      </c>
      <c r="B170" s="1">
        <v>649</v>
      </c>
      <c r="C170" s="1">
        <v>2734</v>
      </c>
      <c r="D170" s="1">
        <v>-90.7</v>
      </c>
      <c r="E170" s="1">
        <v>6.9</v>
      </c>
      <c r="F170" s="1">
        <v>2</v>
      </c>
      <c r="G170">
        <v>0</v>
      </c>
      <c r="H170">
        <v>0</v>
      </c>
      <c r="I170">
        <v>0</v>
      </c>
      <c r="K170" s="1">
        <v>450</v>
      </c>
      <c r="L170" s="1">
        <v>645</v>
      </c>
      <c r="M170" s="1">
        <v>2692</v>
      </c>
      <c r="N170" s="1">
        <v>-96.8</v>
      </c>
      <c r="O170" s="1">
        <v>7.4</v>
      </c>
      <c r="P170" s="1">
        <v>2.2000000000000002</v>
      </c>
      <c r="Q170" s="1">
        <v>0</v>
      </c>
      <c r="R170" s="1">
        <v>0</v>
      </c>
      <c r="S170" s="1">
        <v>0</v>
      </c>
      <c r="T170" s="1"/>
      <c r="U170" s="1"/>
      <c r="V170" s="1"/>
      <c r="W170" s="1"/>
    </row>
    <row r="171" spans="1:23" x14ac:dyDescent="0.25">
      <c r="A171" s="1">
        <v>475</v>
      </c>
      <c r="B171" s="1">
        <v>639</v>
      </c>
      <c r="C171" s="1">
        <v>2645</v>
      </c>
      <c r="D171" s="1">
        <v>-107.2</v>
      </c>
      <c r="E171" s="1">
        <v>7.8</v>
      </c>
      <c r="F171" s="1">
        <v>2.2999999999999998</v>
      </c>
      <c r="G171">
        <v>0</v>
      </c>
      <c r="H171">
        <v>0</v>
      </c>
      <c r="I171">
        <v>0</v>
      </c>
      <c r="K171" s="1">
        <v>475</v>
      </c>
      <c r="L171" s="1">
        <v>634</v>
      </c>
      <c r="M171" s="1">
        <v>2603</v>
      </c>
      <c r="N171" s="1">
        <v>-114</v>
      </c>
      <c r="O171" s="1">
        <v>8.3000000000000007</v>
      </c>
      <c r="P171" s="1">
        <v>2.4</v>
      </c>
      <c r="Q171" s="1">
        <v>0</v>
      </c>
      <c r="R171" s="1">
        <v>0</v>
      </c>
      <c r="S171" s="1">
        <v>0</v>
      </c>
      <c r="T171" s="1"/>
      <c r="U171" s="1"/>
      <c r="V171" s="1"/>
      <c r="W171" s="1"/>
    </row>
    <row r="172" spans="1:23" x14ac:dyDescent="0.25">
      <c r="A172" s="1">
        <v>500</v>
      </c>
      <c r="B172" s="1">
        <v>629</v>
      </c>
      <c r="C172" s="1">
        <v>2563</v>
      </c>
      <c r="D172" s="1">
        <v>-125.2</v>
      </c>
      <c r="E172" s="1">
        <v>8.6</v>
      </c>
      <c r="F172" s="1">
        <v>2.5</v>
      </c>
      <c r="G172">
        <v>0</v>
      </c>
      <c r="H172">
        <v>0</v>
      </c>
      <c r="I172">
        <v>0</v>
      </c>
      <c r="K172" s="1">
        <v>500</v>
      </c>
      <c r="L172" s="1">
        <v>623</v>
      </c>
      <c r="M172" s="1">
        <v>2519</v>
      </c>
      <c r="N172" s="1">
        <v>-132.80000000000001</v>
      </c>
      <c r="O172" s="1">
        <v>9.1</v>
      </c>
      <c r="P172" s="1">
        <v>2.7</v>
      </c>
      <c r="Q172" s="1">
        <v>0</v>
      </c>
      <c r="R172" s="1">
        <v>0</v>
      </c>
      <c r="S172" s="1">
        <v>0</v>
      </c>
      <c r="T172" s="1"/>
      <c r="U172" s="1"/>
      <c r="V172" s="1"/>
      <c r="W172" s="1"/>
    </row>
    <row r="173" spans="1:23" x14ac:dyDescent="0.25">
      <c r="T173" s="1"/>
      <c r="U173" s="1"/>
      <c r="V173" s="1"/>
      <c r="W173" s="1"/>
    </row>
    <row r="174" spans="1:23" x14ac:dyDescent="0.25">
      <c r="A174" t="s">
        <v>82</v>
      </c>
      <c r="K174" t="s">
        <v>78</v>
      </c>
      <c r="T174" s="1"/>
      <c r="U174" s="1"/>
      <c r="V174" s="1"/>
      <c r="W174" s="1"/>
    </row>
    <row r="175" spans="1:23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39</v>
      </c>
      <c r="H175" t="s">
        <v>40</v>
      </c>
      <c r="I175" t="s">
        <v>41</v>
      </c>
      <c r="K175" t="s">
        <v>12</v>
      </c>
      <c r="L175" t="s">
        <v>13</v>
      </c>
      <c r="M175" t="s">
        <v>14</v>
      </c>
      <c r="N175" t="s">
        <v>15</v>
      </c>
      <c r="O175" t="s">
        <v>16</v>
      </c>
      <c r="P175" t="s">
        <v>17</v>
      </c>
      <c r="Q175" t="s">
        <v>39</v>
      </c>
      <c r="R175" t="s">
        <v>40</v>
      </c>
      <c r="S175" t="s">
        <v>41</v>
      </c>
      <c r="T175" s="1"/>
      <c r="U175" s="1"/>
      <c r="V175" s="1"/>
      <c r="W175" s="1"/>
    </row>
    <row r="176" spans="1:23" x14ac:dyDescent="0.25">
      <c r="A176" s="1">
        <v>0</v>
      </c>
      <c r="B176" s="1">
        <v>856</v>
      </c>
      <c r="C176" s="1">
        <v>4754</v>
      </c>
      <c r="D176" s="1">
        <v>-8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856</v>
      </c>
      <c r="M176" s="1">
        <v>4754</v>
      </c>
      <c r="N176" s="1">
        <v>-3.8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/>
      <c r="U176" s="1"/>
      <c r="V176" s="1"/>
      <c r="W176" s="1"/>
    </row>
    <row r="177" spans="1:23" x14ac:dyDescent="0.25">
      <c r="A177" s="1">
        <v>25</v>
      </c>
      <c r="B177" s="1">
        <v>844</v>
      </c>
      <c r="C177" s="1">
        <v>4616</v>
      </c>
      <c r="D177" s="1">
        <v>-2</v>
      </c>
      <c r="E177" s="1">
        <v>2.8</v>
      </c>
      <c r="F177" s="1">
        <v>0.8</v>
      </c>
      <c r="G177">
        <v>0</v>
      </c>
      <c r="H177">
        <v>0</v>
      </c>
      <c r="I177">
        <v>0</v>
      </c>
      <c r="K177" s="1">
        <v>25</v>
      </c>
      <c r="L177" s="1">
        <v>844</v>
      </c>
      <c r="M177" s="1">
        <v>4614</v>
      </c>
      <c r="N177" s="1">
        <v>1.8</v>
      </c>
      <c r="O177" s="1">
        <v>-2.5</v>
      </c>
      <c r="P177" s="1">
        <v>-0.7</v>
      </c>
      <c r="Q177" s="1">
        <v>0</v>
      </c>
      <c r="R177" s="1">
        <v>0</v>
      </c>
      <c r="S177" s="1">
        <v>0</v>
      </c>
      <c r="T177" s="1"/>
      <c r="U177" s="1"/>
      <c r="V177" s="1"/>
      <c r="W177" s="1"/>
    </row>
    <row r="178" spans="1:23" x14ac:dyDescent="0.25">
      <c r="A178" s="1">
        <v>50</v>
      </c>
      <c r="B178" s="1">
        <v>832</v>
      </c>
      <c r="C178" s="1">
        <v>4483</v>
      </c>
      <c r="D178" s="1">
        <v>3.2</v>
      </c>
      <c r="E178" s="1">
        <v>-2.2000000000000002</v>
      </c>
      <c r="F178" s="1">
        <v>-0.6</v>
      </c>
      <c r="G178">
        <v>0</v>
      </c>
      <c r="H178">
        <v>0</v>
      </c>
      <c r="I178">
        <v>0</v>
      </c>
      <c r="K178" s="1">
        <v>50</v>
      </c>
      <c r="L178" s="1">
        <v>831</v>
      </c>
      <c r="M178" s="1">
        <v>4478</v>
      </c>
      <c r="N178" s="1">
        <v>6.7</v>
      </c>
      <c r="O178" s="1">
        <v>-4.5999999999999996</v>
      </c>
      <c r="P178" s="1">
        <v>-1.3</v>
      </c>
      <c r="Q178" s="1">
        <v>0</v>
      </c>
      <c r="R178" s="1">
        <v>0</v>
      </c>
      <c r="S178" s="1">
        <v>0</v>
      </c>
      <c r="T178" s="1"/>
      <c r="U178" s="1"/>
      <c r="V178" s="1"/>
      <c r="W178" s="1"/>
    </row>
    <row r="179" spans="1:23" x14ac:dyDescent="0.25">
      <c r="A179" s="1">
        <v>75</v>
      </c>
      <c r="B179" s="1">
        <v>820</v>
      </c>
      <c r="C179" s="1">
        <v>4353</v>
      </c>
      <c r="D179" s="1">
        <v>7.4</v>
      </c>
      <c r="E179" s="1">
        <v>-3.4</v>
      </c>
      <c r="F179" s="1">
        <v>-1</v>
      </c>
      <c r="G179">
        <v>0</v>
      </c>
      <c r="H179">
        <v>0</v>
      </c>
      <c r="I179">
        <v>0</v>
      </c>
      <c r="K179" s="1">
        <v>75</v>
      </c>
      <c r="L179" s="1">
        <v>819</v>
      </c>
      <c r="M179" s="1">
        <v>4346</v>
      </c>
      <c r="N179" s="1">
        <v>10.5</v>
      </c>
      <c r="O179" s="1">
        <v>-4.8</v>
      </c>
      <c r="P179" s="1">
        <v>-1.4</v>
      </c>
      <c r="Q179" s="1">
        <v>0</v>
      </c>
      <c r="R179" s="1">
        <v>0</v>
      </c>
      <c r="S179" s="1">
        <v>0</v>
      </c>
      <c r="T179" s="1"/>
      <c r="U179" s="1"/>
      <c r="V179" s="1"/>
      <c r="W179" s="1"/>
    </row>
    <row r="180" spans="1:23" x14ac:dyDescent="0.25">
      <c r="A180" s="1">
        <v>100</v>
      </c>
      <c r="B180" s="1">
        <v>808</v>
      </c>
      <c r="C180" s="1">
        <v>4226</v>
      </c>
      <c r="D180" s="1">
        <v>10.6</v>
      </c>
      <c r="E180" s="1">
        <v>-3.7</v>
      </c>
      <c r="F180" s="1">
        <v>-1.1000000000000001</v>
      </c>
      <c r="G180">
        <v>0</v>
      </c>
      <c r="H180">
        <v>0</v>
      </c>
      <c r="I180">
        <v>0</v>
      </c>
      <c r="K180" s="1">
        <v>100</v>
      </c>
      <c r="L180" s="1">
        <v>807</v>
      </c>
      <c r="M180" s="1">
        <v>4216</v>
      </c>
      <c r="N180" s="1">
        <v>13.5</v>
      </c>
      <c r="O180" s="1">
        <v>-4.5999999999999996</v>
      </c>
      <c r="P180" s="1">
        <v>-1.3</v>
      </c>
      <c r="Q180" s="1">
        <v>0</v>
      </c>
      <c r="R180" s="1">
        <v>0</v>
      </c>
      <c r="S180" s="1">
        <v>0</v>
      </c>
      <c r="T180" s="1"/>
      <c r="U180" s="1"/>
      <c r="V180" s="1"/>
      <c r="W180" s="1"/>
    </row>
    <row r="181" spans="1:23" x14ac:dyDescent="0.25">
      <c r="A181" s="1">
        <v>125</v>
      </c>
      <c r="B181" s="1">
        <v>796</v>
      </c>
      <c r="C181" s="1">
        <v>4102</v>
      </c>
      <c r="D181" s="1">
        <v>13</v>
      </c>
      <c r="E181" s="1">
        <v>-3.6</v>
      </c>
      <c r="F181" s="1">
        <v>-1</v>
      </c>
      <c r="G181">
        <v>0</v>
      </c>
      <c r="H181">
        <v>0</v>
      </c>
      <c r="I181">
        <v>0</v>
      </c>
      <c r="K181" s="1">
        <v>125</v>
      </c>
      <c r="L181" s="1">
        <v>794</v>
      </c>
      <c r="M181" s="1">
        <v>4089</v>
      </c>
      <c r="N181" s="1">
        <v>15.5</v>
      </c>
      <c r="O181" s="1">
        <v>-4.3</v>
      </c>
      <c r="P181" s="1">
        <v>-1.2</v>
      </c>
      <c r="Q181" s="1">
        <v>0</v>
      </c>
      <c r="R181" s="1">
        <v>0</v>
      </c>
      <c r="S181" s="1">
        <v>0</v>
      </c>
      <c r="T181" s="1"/>
      <c r="U181" s="1"/>
      <c r="V181" s="1"/>
      <c r="W181" s="1"/>
    </row>
    <row r="182" spans="1:23" x14ac:dyDescent="0.25">
      <c r="A182" s="1">
        <v>150</v>
      </c>
      <c r="B182" s="1">
        <v>784</v>
      </c>
      <c r="C182" s="1">
        <v>3981</v>
      </c>
      <c r="D182" s="1">
        <v>14.4</v>
      </c>
      <c r="E182" s="1">
        <v>-3.3</v>
      </c>
      <c r="F182" s="1">
        <v>-1</v>
      </c>
      <c r="G182">
        <v>0</v>
      </c>
      <c r="H182">
        <v>0</v>
      </c>
      <c r="I182">
        <v>0</v>
      </c>
      <c r="K182" s="1">
        <v>150</v>
      </c>
      <c r="L182" s="1">
        <v>782</v>
      </c>
      <c r="M182" s="1">
        <v>3966</v>
      </c>
      <c r="N182" s="1">
        <v>16.5</v>
      </c>
      <c r="O182" s="1">
        <v>-3.8</v>
      </c>
      <c r="P182" s="1">
        <v>-1.1000000000000001</v>
      </c>
      <c r="Q182" s="1">
        <v>0</v>
      </c>
      <c r="R182" s="1">
        <v>0</v>
      </c>
      <c r="S182" s="1">
        <v>0</v>
      </c>
      <c r="T182" s="1"/>
      <c r="U182" s="1"/>
      <c r="V182" s="1"/>
      <c r="W182" s="1"/>
    </row>
    <row r="183" spans="1:23" x14ac:dyDescent="0.25">
      <c r="A183" s="1">
        <v>175</v>
      </c>
      <c r="B183" s="1">
        <v>772</v>
      </c>
      <c r="C183" s="1">
        <v>3863</v>
      </c>
      <c r="D183" s="1">
        <v>14.7</v>
      </c>
      <c r="E183" s="1">
        <v>-2.9</v>
      </c>
      <c r="F183" s="1">
        <v>-0.8</v>
      </c>
      <c r="G183">
        <v>0</v>
      </c>
      <c r="H183">
        <v>0</v>
      </c>
      <c r="I183">
        <v>0</v>
      </c>
      <c r="K183" s="1">
        <v>175</v>
      </c>
      <c r="L183" s="1">
        <v>770</v>
      </c>
      <c r="M183" s="1">
        <v>3845</v>
      </c>
      <c r="N183" s="1">
        <v>16.600000000000001</v>
      </c>
      <c r="O183" s="1">
        <v>-3.3</v>
      </c>
      <c r="P183" s="1">
        <v>-0.9</v>
      </c>
      <c r="Q183" s="1">
        <v>0</v>
      </c>
      <c r="R183" s="1">
        <v>0</v>
      </c>
      <c r="S183" s="1">
        <v>0</v>
      </c>
      <c r="T183" s="1"/>
      <c r="U183" s="1"/>
      <c r="V183" s="1"/>
      <c r="W183" s="1"/>
    </row>
    <row r="184" spans="1:23" x14ac:dyDescent="0.25">
      <c r="A184" s="1">
        <v>200</v>
      </c>
      <c r="B184" s="1">
        <v>760</v>
      </c>
      <c r="C184" s="1">
        <v>3748</v>
      </c>
      <c r="D184" s="1">
        <v>14</v>
      </c>
      <c r="E184" s="1">
        <v>-2.4</v>
      </c>
      <c r="F184" s="1">
        <v>-0.7</v>
      </c>
      <c r="G184">
        <v>0</v>
      </c>
      <c r="H184">
        <v>0</v>
      </c>
      <c r="I184">
        <v>0</v>
      </c>
      <c r="K184" s="1">
        <v>200</v>
      </c>
      <c r="L184" s="1">
        <v>758</v>
      </c>
      <c r="M184" s="1">
        <v>3727</v>
      </c>
      <c r="N184" s="1">
        <v>15.5</v>
      </c>
      <c r="O184" s="1">
        <v>-2.7</v>
      </c>
      <c r="P184" s="1">
        <v>-0.8</v>
      </c>
      <c r="Q184" s="1">
        <v>0</v>
      </c>
      <c r="R184" s="1">
        <v>0</v>
      </c>
      <c r="S184" s="1">
        <v>0</v>
      </c>
      <c r="T184" s="1"/>
      <c r="U184" s="1"/>
      <c r="V184" s="1"/>
      <c r="W184" s="1"/>
    </row>
    <row r="185" spans="1:23" x14ac:dyDescent="0.25">
      <c r="A185" s="1">
        <v>225</v>
      </c>
      <c r="B185" s="1">
        <v>749</v>
      </c>
      <c r="C185" s="1">
        <v>3635</v>
      </c>
      <c r="D185" s="1">
        <v>12.3</v>
      </c>
      <c r="E185" s="1">
        <v>-1.9</v>
      </c>
      <c r="F185" s="1">
        <v>-0.5</v>
      </c>
      <c r="G185">
        <v>0</v>
      </c>
      <c r="H185">
        <v>0</v>
      </c>
      <c r="I185">
        <v>0</v>
      </c>
      <c r="K185" s="1">
        <v>225</v>
      </c>
      <c r="L185" s="1">
        <v>746</v>
      </c>
      <c r="M185" s="1">
        <v>3611</v>
      </c>
      <c r="N185" s="1">
        <v>13.4</v>
      </c>
      <c r="O185" s="1">
        <v>-2</v>
      </c>
      <c r="P185" s="1">
        <v>-0.6</v>
      </c>
      <c r="Q185" s="1">
        <v>0</v>
      </c>
      <c r="R185" s="1">
        <v>0</v>
      </c>
      <c r="S185" s="1">
        <v>0</v>
      </c>
      <c r="T185" s="1"/>
      <c r="U185" s="1"/>
      <c r="V185" s="1"/>
      <c r="W185" s="1"/>
    </row>
    <row r="186" spans="1:23" x14ac:dyDescent="0.25">
      <c r="A186" s="1">
        <v>250</v>
      </c>
      <c r="B186" s="1">
        <v>737</v>
      </c>
      <c r="C186" s="1">
        <v>3525</v>
      </c>
      <c r="D186" s="1">
        <v>9.4</v>
      </c>
      <c r="E186" s="1">
        <v>-1.3</v>
      </c>
      <c r="F186" s="1">
        <v>-0.4</v>
      </c>
      <c r="G186">
        <v>0</v>
      </c>
      <c r="H186">
        <v>0</v>
      </c>
      <c r="I186">
        <v>0</v>
      </c>
      <c r="K186" s="1">
        <v>250</v>
      </c>
      <c r="L186" s="1">
        <v>735</v>
      </c>
      <c r="M186" s="1">
        <v>3499</v>
      </c>
      <c r="N186" s="1">
        <v>10.1</v>
      </c>
      <c r="O186" s="1">
        <v>-1.4</v>
      </c>
      <c r="P186" s="1">
        <v>-0.4</v>
      </c>
      <c r="Q186" s="1">
        <v>0</v>
      </c>
      <c r="R186" s="1">
        <v>0</v>
      </c>
      <c r="S186" s="1">
        <v>0</v>
      </c>
      <c r="T186" s="1"/>
      <c r="U186" s="1"/>
      <c r="V186" s="1"/>
      <c r="W186" s="1"/>
    </row>
    <row r="187" spans="1:23" x14ac:dyDescent="0.25">
      <c r="A187" s="1">
        <v>275</v>
      </c>
      <c r="B187" s="1">
        <v>726</v>
      </c>
      <c r="C187" s="1">
        <v>3417</v>
      </c>
      <c r="D187" s="1">
        <v>5.3</v>
      </c>
      <c r="E187" s="1">
        <v>-0.7</v>
      </c>
      <c r="F187" s="1">
        <v>-0.2</v>
      </c>
      <c r="G187">
        <v>0</v>
      </c>
      <c r="H187">
        <v>0</v>
      </c>
      <c r="I187">
        <v>0</v>
      </c>
      <c r="K187" s="1">
        <v>275</v>
      </c>
      <c r="L187" s="1">
        <v>723</v>
      </c>
      <c r="M187" s="1">
        <v>3389</v>
      </c>
      <c r="N187" s="1">
        <v>5.6</v>
      </c>
      <c r="O187" s="1">
        <v>-0.7</v>
      </c>
      <c r="P187" s="1">
        <v>-0.2</v>
      </c>
      <c r="Q187" s="1">
        <v>0</v>
      </c>
      <c r="R187" s="1">
        <v>0</v>
      </c>
      <c r="S187" s="1">
        <v>0</v>
      </c>
      <c r="T187" s="1"/>
      <c r="U187" s="1"/>
      <c r="V187" s="1"/>
      <c r="W187" s="1"/>
    </row>
    <row r="188" spans="1:23" x14ac:dyDescent="0.25">
      <c r="A188" s="10">
        <v>300</v>
      </c>
      <c r="B188" s="10">
        <v>715</v>
      </c>
      <c r="C188" s="10">
        <v>3312</v>
      </c>
      <c r="D188" s="10">
        <v>0.1</v>
      </c>
      <c r="E188" s="10">
        <v>0</v>
      </c>
      <c r="F188" s="10">
        <v>0</v>
      </c>
      <c r="G188">
        <v>0</v>
      </c>
      <c r="H188">
        <v>0</v>
      </c>
      <c r="I188">
        <v>0</v>
      </c>
      <c r="K188" s="1">
        <v>300</v>
      </c>
      <c r="L188" s="1">
        <v>712</v>
      </c>
      <c r="M188" s="1">
        <v>3282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23" x14ac:dyDescent="0.25">
      <c r="A189" s="1">
        <v>325</v>
      </c>
      <c r="B189" s="1">
        <v>704</v>
      </c>
      <c r="C189" s="1">
        <v>3210</v>
      </c>
      <c r="D189" s="1">
        <v>-6.3</v>
      </c>
      <c r="E189" s="1">
        <v>0.7</v>
      </c>
      <c r="F189" s="1">
        <v>0.2</v>
      </c>
      <c r="G189">
        <v>0</v>
      </c>
      <c r="H189">
        <v>0</v>
      </c>
      <c r="I189">
        <v>0</v>
      </c>
      <c r="K189" s="1">
        <v>325</v>
      </c>
      <c r="L189" s="1">
        <v>700</v>
      </c>
      <c r="M189" s="1">
        <v>3177</v>
      </c>
      <c r="N189" s="1">
        <v>-6.8</v>
      </c>
      <c r="O189" s="1">
        <v>0.7</v>
      </c>
      <c r="P189" s="1">
        <v>0.2</v>
      </c>
      <c r="Q189" s="1">
        <v>0</v>
      </c>
      <c r="R189" s="1">
        <v>0</v>
      </c>
      <c r="S189" s="1">
        <v>0</v>
      </c>
    </row>
    <row r="190" spans="1:23" x14ac:dyDescent="0.25">
      <c r="A190" s="1">
        <v>350</v>
      </c>
      <c r="B190" s="1">
        <v>693</v>
      </c>
      <c r="C190" s="1">
        <v>3110</v>
      </c>
      <c r="D190" s="1">
        <v>-14.3</v>
      </c>
      <c r="E190" s="1">
        <v>1.4</v>
      </c>
      <c r="F190" s="1">
        <v>0.4</v>
      </c>
      <c r="G190">
        <v>0</v>
      </c>
      <c r="H190">
        <v>0</v>
      </c>
      <c r="I190">
        <v>0</v>
      </c>
      <c r="K190" s="1">
        <v>350</v>
      </c>
      <c r="L190" s="1">
        <v>689</v>
      </c>
      <c r="M190" s="1">
        <v>3076</v>
      </c>
      <c r="N190" s="1">
        <v>-15.2</v>
      </c>
      <c r="O190" s="1">
        <v>1.5</v>
      </c>
      <c r="P190" s="1">
        <v>0.4</v>
      </c>
      <c r="Q190" s="1">
        <v>0</v>
      </c>
      <c r="R190" s="1">
        <v>0</v>
      </c>
      <c r="S190" s="1">
        <v>0</v>
      </c>
    </row>
    <row r="191" spans="1:23" x14ac:dyDescent="0.25">
      <c r="A191" s="1">
        <v>375</v>
      </c>
      <c r="B191" s="1">
        <v>682</v>
      </c>
      <c r="C191" s="1">
        <v>3012</v>
      </c>
      <c r="D191" s="1">
        <v>-23.3</v>
      </c>
      <c r="E191" s="1">
        <v>2.1</v>
      </c>
      <c r="F191" s="1">
        <v>0.6</v>
      </c>
      <c r="G191">
        <v>0</v>
      </c>
      <c r="H191">
        <v>0</v>
      </c>
      <c r="I191">
        <v>0</v>
      </c>
      <c r="K191" s="1">
        <v>375</v>
      </c>
      <c r="L191" s="1">
        <v>678</v>
      </c>
      <c r="M191" s="1">
        <v>2976</v>
      </c>
      <c r="N191" s="1">
        <v>-24.7</v>
      </c>
      <c r="O191" s="1">
        <v>2.2999999999999998</v>
      </c>
      <c r="P191" s="1">
        <v>0.7</v>
      </c>
      <c r="Q191" s="1">
        <v>0</v>
      </c>
      <c r="R191" s="1">
        <v>0</v>
      </c>
      <c r="S191" s="1">
        <v>0</v>
      </c>
      <c r="T191" s="1"/>
      <c r="U191" s="1"/>
      <c r="V191" s="1"/>
      <c r="W191" s="1"/>
    </row>
    <row r="192" spans="1:23" x14ac:dyDescent="0.25">
      <c r="A192" s="1">
        <v>400</v>
      </c>
      <c r="B192" s="1">
        <v>671</v>
      </c>
      <c r="C192" s="1">
        <v>2917</v>
      </c>
      <c r="D192" s="1">
        <v>-33.700000000000003</v>
      </c>
      <c r="E192" s="1">
        <v>2.9</v>
      </c>
      <c r="F192" s="1">
        <v>0.8</v>
      </c>
      <c r="G192">
        <v>0</v>
      </c>
      <c r="H192">
        <v>0</v>
      </c>
      <c r="I192">
        <v>0</v>
      </c>
      <c r="K192" s="1">
        <v>400</v>
      </c>
      <c r="L192" s="1">
        <v>667</v>
      </c>
      <c r="M192" s="1">
        <v>2879</v>
      </c>
      <c r="N192" s="1">
        <v>-35.5</v>
      </c>
      <c r="O192" s="1">
        <v>3</v>
      </c>
      <c r="P192" s="1">
        <v>0.9</v>
      </c>
      <c r="Q192" s="1">
        <v>0</v>
      </c>
      <c r="R192" s="1">
        <v>0</v>
      </c>
      <c r="S192" s="1">
        <v>0</v>
      </c>
      <c r="T192" s="1"/>
      <c r="U192" s="1"/>
      <c r="V192" s="1"/>
      <c r="W192" s="1"/>
    </row>
    <row r="193" spans="1:23" x14ac:dyDescent="0.25">
      <c r="A193" s="1">
        <v>425</v>
      </c>
      <c r="B193" s="1">
        <v>660</v>
      </c>
      <c r="C193" s="1">
        <v>2824</v>
      </c>
      <c r="D193" s="1">
        <v>-45.9</v>
      </c>
      <c r="E193" s="1">
        <v>3.7</v>
      </c>
      <c r="F193" s="1">
        <v>1.1000000000000001</v>
      </c>
      <c r="G193">
        <v>0</v>
      </c>
      <c r="H193">
        <v>0</v>
      </c>
      <c r="I193">
        <v>0</v>
      </c>
      <c r="K193" s="1">
        <v>425</v>
      </c>
      <c r="L193" s="1">
        <v>655</v>
      </c>
      <c r="M193" s="1">
        <v>2785</v>
      </c>
      <c r="N193" s="1">
        <v>-48.2</v>
      </c>
      <c r="O193" s="1">
        <v>3.9</v>
      </c>
      <c r="P193" s="1">
        <v>1.1000000000000001</v>
      </c>
      <c r="Q193" s="1">
        <v>0</v>
      </c>
      <c r="R193" s="1">
        <v>0</v>
      </c>
      <c r="S193" s="1">
        <v>0</v>
      </c>
      <c r="T193" s="1"/>
      <c r="U193" s="1"/>
      <c r="V193" s="1"/>
      <c r="W193" s="1"/>
    </row>
    <row r="194" spans="1:23" x14ac:dyDescent="0.25">
      <c r="A194" s="1">
        <v>450</v>
      </c>
      <c r="B194" s="1">
        <v>649</v>
      </c>
      <c r="C194" s="1">
        <v>2734</v>
      </c>
      <c r="D194" s="1">
        <v>-59.2</v>
      </c>
      <c r="E194" s="1">
        <v>4.5</v>
      </c>
      <c r="F194" s="1">
        <v>1.3</v>
      </c>
      <c r="G194">
        <v>0</v>
      </c>
      <c r="H194">
        <v>0</v>
      </c>
      <c r="I194">
        <v>0</v>
      </c>
      <c r="K194" s="1">
        <v>450</v>
      </c>
      <c r="L194" s="1">
        <v>645</v>
      </c>
      <c r="M194" s="1">
        <v>2692</v>
      </c>
      <c r="N194" s="1">
        <v>-61.9</v>
      </c>
      <c r="O194" s="1">
        <v>4.7</v>
      </c>
      <c r="P194" s="1">
        <v>1.4</v>
      </c>
      <c r="Q194" s="1">
        <v>0</v>
      </c>
      <c r="R194" s="1">
        <v>0</v>
      </c>
      <c r="S194" s="1">
        <v>0</v>
      </c>
      <c r="T194" s="1"/>
      <c r="U194" s="1"/>
      <c r="V194" s="1"/>
      <c r="W194" s="1"/>
    </row>
    <row r="195" spans="1:23" x14ac:dyDescent="0.25">
      <c r="A195" s="1">
        <v>475</v>
      </c>
      <c r="B195" s="1">
        <v>639</v>
      </c>
      <c r="C195" s="1">
        <v>2645</v>
      </c>
      <c r="D195" s="1">
        <v>-73.900000000000006</v>
      </c>
      <c r="E195" s="1">
        <v>5.4</v>
      </c>
      <c r="F195" s="1">
        <v>1.6</v>
      </c>
      <c r="G195">
        <v>0</v>
      </c>
      <c r="H195">
        <v>0</v>
      </c>
      <c r="I195">
        <v>0</v>
      </c>
      <c r="K195" s="1">
        <v>475</v>
      </c>
      <c r="L195" s="1">
        <v>634</v>
      </c>
      <c r="M195" s="1">
        <v>2603</v>
      </c>
      <c r="N195" s="1">
        <v>-77.2</v>
      </c>
      <c r="O195" s="1">
        <v>5.6</v>
      </c>
      <c r="P195" s="1">
        <v>1.6</v>
      </c>
      <c r="Q195" s="1">
        <v>0</v>
      </c>
      <c r="R195" s="1">
        <v>0</v>
      </c>
      <c r="S195" s="1">
        <v>0</v>
      </c>
      <c r="T195" s="1"/>
      <c r="U195" s="1"/>
      <c r="V195" s="1"/>
      <c r="W195" s="1"/>
    </row>
    <row r="196" spans="1:23" x14ac:dyDescent="0.25">
      <c r="A196" s="1">
        <v>500</v>
      </c>
      <c r="B196" s="1">
        <v>629</v>
      </c>
      <c r="C196" s="1">
        <v>2563</v>
      </c>
      <c r="D196" s="1">
        <v>-90.2</v>
      </c>
      <c r="E196" s="1">
        <v>6.2</v>
      </c>
      <c r="F196" s="1">
        <v>1.8</v>
      </c>
      <c r="G196">
        <v>0</v>
      </c>
      <c r="H196">
        <v>0</v>
      </c>
      <c r="I196">
        <v>0</v>
      </c>
      <c r="K196" s="1">
        <v>500</v>
      </c>
      <c r="L196" s="1">
        <v>623</v>
      </c>
      <c r="M196" s="1">
        <v>2519</v>
      </c>
      <c r="N196" s="1">
        <v>-94</v>
      </c>
      <c r="O196" s="1">
        <v>6.5</v>
      </c>
      <c r="P196" s="1">
        <v>1.9</v>
      </c>
      <c r="Q196" s="1">
        <v>0</v>
      </c>
      <c r="R196" s="1">
        <v>0</v>
      </c>
      <c r="S196" s="1">
        <v>0</v>
      </c>
      <c r="T196" s="1"/>
      <c r="U196" s="1"/>
      <c r="V196" s="1"/>
      <c r="W196" s="1"/>
    </row>
    <row r="197" spans="1:23" x14ac:dyDescent="0.25">
      <c r="T197" s="1"/>
      <c r="U197" s="1"/>
      <c r="V197" s="1"/>
      <c r="W197" s="1"/>
    </row>
    <row r="198" spans="1:23" x14ac:dyDescent="0.25">
      <c r="A198" t="s">
        <v>81</v>
      </c>
      <c r="K198" t="s">
        <v>86</v>
      </c>
      <c r="T198" s="1"/>
      <c r="U198" s="1"/>
      <c r="V198" s="1"/>
      <c r="W198" s="1"/>
    </row>
    <row r="199" spans="1:23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39</v>
      </c>
      <c r="H199" t="s">
        <v>40</v>
      </c>
      <c r="I199" t="s">
        <v>41</v>
      </c>
      <c r="K199" t="s">
        <v>12</v>
      </c>
      <c r="L199" t="s">
        <v>13</v>
      </c>
      <c r="M199" t="s">
        <v>14</v>
      </c>
      <c r="N199" t="s">
        <v>15</v>
      </c>
      <c r="O199" t="s">
        <v>16</v>
      </c>
      <c r="P199" t="s">
        <v>17</v>
      </c>
      <c r="Q199" t="s">
        <v>39</v>
      </c>
      <c r="R199" t="s">
        <v>40</v>
      </c>
      <c r="S199" t="s">
        <v>41</v>
      </c>
      <c r="T199" s="1"/>
      <c r="U199" s="1"/>
      <c r="V199" s="1"/>
      <c r="W199" s="1"/>
    </row>
    <row r="200" spans="1:23" x14ac:dyDescent="0.25">
      <c r="A200" s="1">
        <v>0</v>
      </c>
      <c r="B200" s="1">
        <v>856</v>
      </c>
      <c r="C200" s="1">
        <v>4754</v>
      </c>
      <c r="D200" s="1">
        <v>-8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856</v>
      </c>
      <c r="M200" s="1">
        <v>4754</v>
      </c>
      <c r="N200" s="1">
        <v>-3.8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/>
      <c r="U200" s="1"/>
      <c r="V200" s="1"/>
      <c r="W200" s="1"/>
    </row>
    <row r="201" spans="1:23" x14ac:dyDescent="0.25">
      <c r="A201" s="1">
        <v>25</v>
      </c>
      <c r="B201" s="1">
        <v>844</v>
      </c>
      <c r="C201" s="1">
        <v>4616</v>
      </c>
      <c r="D201" s="1">
        <v>0.1</v>
      </c>
      <c r="E201" s="1">
        <v>-0.1</v>
      </c>
      <c r="F201" s="1">
        <v>0</v>
      </c>
      <c r="G201">
        <v>0</v>
      </c>
      <c r="H201">
        <v>0</v>
      </c>
      <c r="I201">
        <v>0</v>
      </c>
      <c r="K201" s="1">
        <v>25</v>
      </c>
      <c r="L201" s="1">
        <v>844</v>
      </c>
      <c r="M201" s="1">
        <v>4614</v>
      </c>
      <c r="N201" s="1">
        <v>4</v>
      </c>
      <c r="O201" s="1">
        <v>-5.6</v>
      </c>
      <c r="P201" s="1">
        <v>-1.6</v>
      </c>
      <c r="Q201" s="1">
        <v>0</v>
      </c>
      <c r="R201" s="1">
        <v>0</v>
      </c>
      <c r="S201" s="1">
        <v>0</v>
      </c>
      <c r="T201" s="1"/>
      <c r="U201" s="1"/>
      <c r="V201" s="1"/>
      <c r="W201" s="1"/>
    </row>
    <row r="202" spans="1:23" x14ac:dyDescent="0.25">
      <c r="A202" s="1">
        <v>50</v>
      </c>
      <c r="B202" s="1">
        <v>832</v>
      </c>
      <c r="C202" s="1">
        <v>4483</v>
      </c>
      <c r="D202" s="1">
        <v>7.5</v>
      </c>
      <c r="E202" s="1">
        <v>-5.0999999999999996</v>
      </c>
      <c r="F202" s="1">
        <v>-1.5</v>
      </c>
      <c r="G202">
        <v>0</v>
      </c>
      <c r="H202">
        <v>0</v>
      </c>
      <c r="I202">
        <v>0</v>
      </c>
      <c r="K202" s="1">
        <v>50</v>
      </c>
      <c r="L202" s="1">
        <v>831</v>
      </c>
      <c r="M202" s="1">
        <v>4478</v>
      </c>
      <c r="N202" s="1">
        <v>11.2</v>
      </c>
      <c r="O202" s="1">
        <v>-7.6</v>
      </c>
      <c r="P202" s="1">
        <v>-2.2000000000000002</v>
      </c>
      <c r="Q202" s="1">
        <v>0</v>
      </c>
      <c r="R202" s="1">
        <v>0</v>
      </c>
      <c r="S202" s="1">
        <v>0</v>
      </c>
      <c r="T202" s="1"/>
      <c r="U202" s="1"/>
      <c r="V202" s="1"/>
      <c r="W202" s="1"/>
    </row>
    <row r="203" spans="1:23" x14ac:dyDescent="0.25">
      <c r="A203" s="1">
        <v>75</v>
      </c>
      <c r="B203" s="1">
        <v>820</v>
      </c>
      <c r="C203" s="1">
        <v>4353</v>
      </c>
      <c r="D203" s="1">
        <v>13.7</v>
      </c>
      <c r="E203" s="1">
        <v>-6.3</v>
      </c>
      <c r="F203" s="1">
        <v>-1.8</v>
      </c>
      <c r="G203">
        <v>0</v>
      </c>
      <c r="H203">
        <v>0</v>
      </c>
      <c r="I203">
        <v>0</v>
      </c>
      <c r="K203" s="1">
        <v>75</v>
      </c>
      <c r="L203" s="1">
        <v>819</v>
      </c>
      <c r="M203" s="1">
        <v>4345</v>
      </c>
      <c r="N203" s="1">
        <v>17.2</v>
      </c>
      <c r="O203" s="1">
        <v>-7.9</v>
      </c>
      <c r="P203" s="1">
        <v>-2.2999999999999998</v>
      </c>
      <c r="Q203" s="1">
        <v>0</v>
      </c>
      <c r="R203" s="1">
        <v>0</v>
      </c>
      <c r="S203" s="1">
        <v>0</v>
      </c>
      <c r="T203" s="1"/>
      <c r="U203" s="1"/>
      <c r="V203" s="1"/>
      <c r="W203" s="1"/>
    </row>
    <row r="204" spans="1:23" x14ac:dyDescent="0.25">
      <c r="A204" s="1">
        <v>100</v>
      </c>
      <c r="B204" s="1">
        <v>808</v>
      </c>
      <c r="C204" s="1">
        <v>4226</v>
      </c>
      <c r="D204" s="1">
        <v>19.100000000000001</v>
      </c>
      <c r="E204" s="1">
        <v>-6.6</v>
      </c>
      <c r="F204" s="1">
        <v>-1.9</v>
      </c>
      <c r="G204">
        <v>0</v>
      </c>
      <c r="H204">
        <v>0</v>
      </c>
      <c r="I204">
        <v>0</v>
      </c>
      <c r="K204" s="1">
        <v>100</v>
      </c>
      <c r="L204" s="1">
        <v>807</v>
      </c>
      <c r="M204" s="1">
        <v>4216</v>
      </c>
      <c r="N204" s="1">
        <v>22.4</v>
      </c>
      <c r="O204" s="1">
        <v>-7.7</v>
      </c>
      <c r="P204" s="1">
        <v>-2.2000000000000002</v>
      </c>
      <c r="Q204" s="1">
        <v>0</v>
      </c>
      <c r="R204" s="1">
        <v>0</v>
      </c>
      <c r="S204" s="1">
        <v>0</v>
      </c>
      <c r="T204" s="1"/>
      <c r="U204" s="1"/>
      <c r="V204" s="1"/>
      <c r="W204" s="1"/>
    </row>
    <row r="205" spans="1:23" x14ac:dyDescent="0.25">
      <c r="A205" s="1">
        <v>125</v>
      </c>
      <c r="B205" s="1">
        <v>796</v>
      </c>
      <c r="C205" s="1">
        <v>4102</v>
      </c>
      <c r="D205" s="1">
        <v>23.7</v>
      </c>
      <c r="E205" s="1">
        <v>-6.5</v>
      </c>
      <c r="F205" s="1">
        <v>-1.9</v>
      </c>
      <c r="G205">
        <v>0</v>
      </c>
      <c r="H205">
        <v>0</v>
      </c>
      <c r="I205">
        <v>0</v>
      </c>
      <c r="K205" s="1">
        <v>125</v>
      </c>
      <c r="L205" s="1">
        <v>794</v>
      </c>
      <c r="M205" s="1">
        <v>4089</v>
      </c>
      <c r="N205" s="1">
        <v>26.7</v>
      </c>
      <c r="O205" s="1">
        <v>-7.3</v>
      </c>
      <c r="P205" s="1">
        <v>-2.1</v>
      </c>
      <c r="Q205" s="1">
        <v>0</v>
      </c>
      <c r="R205" s="1">
        <v>0</v>
      </c>
      <c r="S205" s="1">
        <v>0</v>
      </c>
      <c r="T205" s="1"/>
      <c r="U205" s="1"/>
      <c r="V205" s="1"/>
      <c r="W205" s="1"/>
    </row>
    <row r="206" spans="1:23" x14ac:dyDescent="0.25">
      <c r="A206" s="1">
        <v>150</v>
      </c>
      <c r="B206" s="1">
        <v>784</v>
      </c>
      <c r="C206" s="1">
        <v>3981</v>
      </c>
      <c r="D206" s="1">
        <v>27.1</v>
      </c>
      <c r="E206" s="1">
        <v>-6.2</v>
      </c>
      <c r="F206" s="1">
        <v>-1.8</v>
      </c>
      <c r="G206">
        <v>0</v>
      </c>
      <c r="H206">
        <v>0</v>
      </c>
      <c r="I206">
        <v>0</v>
      </c>
      <c r="K206" s="1">
        <v>150</v>
      </c>
      <c r="L206" s="1">
        <v>782</v>
      </c>
      <c r="M206" s="1">
        <v>3965</v>
      </c>
      <c r="N206" s="1">
        <v>29.9</v>
      </c>
      <c r="O206" s="1">
        <v>-6.9</v>
      </c>
      <c r="P206" s="1">
        <v>-2</v>
      </c>
      <c r="Q206" s="1">
        <v>0</v>
      </c>
      <c r="R206" s="1">
        <v>0</v>
      </c>
      <c r="S206" s="1">
        <v>0</v>
      </c>
      <c r="T206" s="1"/>
      <c r="U206" s="1"/>
      <c r="V206" s="1"/>
      <c r="W206" s="1"/>
    </row>
    <row r="207" spans="1:23" x14ac:dyDescent="0.25">
      <c r="A207" s="1">
        <v>175</v>
      </c>
      <c r="B207" s="1">
        <v>772</v>
      </c>
      <c r="C207" s="1">
        <v>3863</v>
      </c>
      <c r="D207" s="1">
        <v>29.5</v>
      </c>
      <c r="E207" s="1">
        <v>-5.8</v>
      </c>
      <c r="F207" s="1">
        <v>-1.7</v>
      </c>
      <c r="G207">
        <v>0</v>
      </c>
      <c r="H207">
        <v>0</v>
      </c>
      <c r="I207">
        <v>0</v>
      </c>
      <c r="K207" s="1">
        <v>175</v>
      </c>
      <c r="L207" s="1">
        <v>770</v>
      </c>
      <c r="M207" s="1">
        <v>3845</v>
      </c>
      <c r="N207" s="1">
        <v>32.1</v>
      </c>
      <c r="O207" s="1">
        <v>-6.3</v>
      </c>
      <c r="P207" s="1">
        <v>-1.8</v>
      </c>
      <c r="Q207" s="1">
        <v>0</v>
      </c>
      <c r="R207" s="1">
        <v>0</v>
      </c>
      <c r="S207" s="1">
        <v>0</v>
      </c>
      <c r="T207" s="1"/>
      <c r="U207" s="1"/>
      <c r="V207" s="1"/>
      <c r="W207" s="1"/>
    </row>
    <row r="208" spans="1:23" x14ac:dyDescent="0.25">
      <c r="A208" s="1">
        <v>200</v>
      </c>
      <c r="B208" s="1">
        <v>760</v>
      </c>
      <c r="C208" s="1">
        <v>3748</v>
      </c>
      <c r="D208" s="1">
        <v>31</v>
      </c>
      <c r="E208" s="1">
        <v>-5.3</v>
      </c>
      <c r="F208" s="1">
        <v>-1.5</v>
      </c>
      <c r="G208">
        <v>0</v>
      </c>
      <c r="H208">
        <v>0</v>
      </c>
      <c r="I208">
        <v>0</v>
      </c>
      <c r="K208" s="1">
        <v>200</v>
      </c>
      <c r="L208" s="1">
        <v>758</v>
      </c>
      <c r="M208" s="1">
        <v>3727</v>
      </c>
      <c r="N208" s="1">
        <v>33.299999999999997</v>
      </c>
      <c r="O208" s="1">
        <v>-5.7</v>
      </c>
      <c r="P208" s="1">
        <v>-1.7</v>
      </c>
      <c r="Q208" s="1">
        <v>0</v>
      </c>
      <c r="R208" s="1">
        <v>0</v>
      </c>
      <c r="S208" s="1">
        <v>0</v>
      </c>
      <c r="T208" s="1"/>
      <c r="U208" s="1"/>
      <c r="V208" s="1"/>
      <c r="W208" s="1"/>
    </row>
    <row r="209" spans="1:23" x14ac:dyDescent="0.25">
      <c r="A209" s="1">
        <v>225</v>
      </c>
      <c r="B209" s="1">
        <v>749</v>
      </c>
      <c r="C209" s="1">
        <v>3635</v>
      </c>
      <c r="D209" s="1">
        <v>31.3</v>
      </c>
      <c r="E209" s="1">
        <v>-4.8</v>
      </c>
      <c r="F209" s="1">
        <v>-1.4</v>
      </c>
      <c r="G209">
        <v>0</v>
      </c>
      <c r="H209">
        <v>0</v>
      </c>
      <c r="I209">
        <v>0</v>
      </c>
      <c r="K209" s="1">
        <v>225</v>
      </c>
      <c r="L209" s="1">
        <v>746</v>
      </c>
      <c r="M209" s="1">
        <v>3611</v>
      </c>
      <c r="N209" s="1">
        <v>33.4</v>
      </c>
      <c r="O209" s="1">
        <v>-5.0999999999999996</v>
      </c>
      <c r="P209" s="1">
        <v>-1.5</v>
      </c>
      <c r="Q209" s="1">
        <v>0</v>
      </c>
      <c r="R209" s="1">
        <v>0</v>
      </c>
      <c r="S209" s="1">
        <v>0</v>
      </c>
      <c r="T209" s="1"/>
      <c r="U209" s="1"/>
      <c r="V209" s="1"/>
      <c r="W209" s="1"/>
    </row>
    <row r="210" spans="1:23" x14ac:dyDescent="0.25">
      <c r="A210" s="1">
        <v>250</v>
      </c>
      <c r="B210" s="1">
        <v>737</v>
      </c>
      <c r="C210" s="1">
        <v>3525</v>
      </c>
      <c r="D210" s="1">
        <v>30.6</v>
      </c>
      <c r="E210" s="1">
        <v>-4.2</v>
      </c>
      <c r="F210" s="1">
        <v>-1.2</v>
      </c>
      <c r="G210">
        <v>0</v>
      </c>
      <c r="H210">
        <v>0</v>
      </c>
      <c r="I210">
        <v>0</v>
      </c>
      <c r="K210" s="1">
        <v>250</v>
      </c>
      <c r="L210" s="1">
        <v>735</v>
      </c>
      <c r="M210" s="1">
        <v>3499</v>
      </c>
      <c r="N210" s="1">
        <v>32.4</v>
      </c>
      <c r="O210" s="1">
        <v>-4.5</v>
      </c>
      <c r="P210" s="1">
        <v>-1.3</v>
      </c>
      <c r="Q210" s="1">
        <v>0</v>
      </c>
      <c r="R210" s="1">
        <v>0</v>
      </c>
      <c r="S210" s="1">
        <v>0</v>
      </c>
      <c r="T210" s="1"/>
      <c r="U210" s="1"/>
      <c r="V210" s="1"/>
      <c r="W210" s="1"/>
    </row>
    <row r="211" spans="1:23" x14ac:dyDescent="0.25">
      <c r="A211" s="1">
        <v>275</v>
      </c>
      <c r="B211" s="1">
        <v>726</v>
      </c>
      <c r="C211" s="1">
        <v>3417</v>
      </c>
      <c r="D211" s="1">
        <v>28.6</v>
      </c>
      <c r="E211" s="1">
        <v>-3.6</v>
      </c>
      <c r="F211" s="1">
        <v>-1</v>
      </c>
      <c r="G211">
        <v>0</v>
      </c>
      <c r="H211">
        <v>0</v>
      </c>
      <c r="I211">
        <v>0</v>
      </c>
      <c r="K211" s="1">
        <v>275</v>
      </c>
      <c r="L211" s="1">
        <v>723</v>
      </c>
      <c r="M211" s="1">
        <v>3389</v>
      </c>
      <c r="N211" s="1">
        <v>30.1</v>
      </c>
      <c r="O211" s="1">
        <v>-3.8</v>
      </c>
      <c r="P211" s="1">
        <v>-1.1000000000000001</v>
      </c>
      <c r="Q211" s="1">
        <v>0</v>
      </c>
      <c r="R211" s="1">
        <v>0</v>
      </c>
      <c r="S211" s="1">
        <v>0</v>
      </c>
      <c r="T211" s="1"/>
      <c r="U211" s="1"/>
      <c r="V211" s="1"/>
      <c r="W211" s="1"/>
    </row>
    <row r="212" spans="1:23" x14ac:dyDescent="0.25">
      <c r="A212" s="1">
        <v>300</v>
      </c>
      <c r="B212" s="1">
        <v>715</v>
      </c>
      <c r="C212" s="1">
        <v>3312</v>
      </c>
      <c r="D212" s="1">
        <v>25.5</v>
      </c>
      <c r="E212" s="1">
        <v>-2.9</v>
      </c>
      <c r="F212" s="1">
        <v>-0.8</v>
      </c>
      <c r="G212">
        <v>0</v>
      </c>
      <c r="H212">
        <v>0</v>
      </c>
      <c r="I212">
        <v>0</v>
      </c>
      <c r="K212" s="1">
        <v>300</v>
      </c>
      <c r="L212" s="1">
        <v>712</v>
      </c>
      <c r="M212" s="1">
        <v>3282</v>
      </c>
      <c r="N212" s="1">
        <v>26.7</v>
      </c>
      <c r="O212" s="1">
        <v>-3.1</v>
      </c>
      <c r="P212" s="1">
        <v>-0.9</v>
      </c>
      <c r="Q212" s="1">
        <v>0</v>
      </c>
      <c r="R212" s="1">
        <v>0</v>
      </c>
      <c r="S212" s="1">
        <v>0</v>
      </c>
    </row>
    <row r="213" spans="1:23" x14ac:dyDescent="0.25">
      <c r="A213" s="1">
        <v>325</v>
      </c>
      <c r="B213" s="1">
        <v>704</v>
      </c>
      <c r="C213" s="1">
        <v>3210</v>
      </c>
      <c r="D213" s="1">
        <v>21.1</v>
      </c>
      <c r="E213" s="1">
        <v>-2.2000000000000002</v>
      </c>
      <c r="F213" s="1">
        <v>-0.7</v>
      </c>
      <c r="G213">
        <v>0</v>
      </c>
      <c r="H213">
        <v>0</v>
      </c>
      <c r="I213">
        <v>0</v>
      </c>
      <c r="K213" s="1">
        <v>325</v>
      </c>
      <c r="L213" s="1">
        <v>700</v>
      </c>
      <c r="M213" s="1">
        <v>3177</v>
      </c>
      <c r="N213" s="1">
        <v>22.1</v>
      </c>
      <c r="O213" s="1">
        <v>-2.2999999999999998</v>
      </c>
      <c r="P213" s="1">
        <v>-0.7</v>
      </c>
      <c r="Q213" s="1">
        <v>0</v>
      </c>
      <c r="R213" s="1">
        <v>0</v>
      </c>
      <c r="S213" s="1">
        <v>0</v>
      </c>
    </row>
    <row r="214" spans="1:23" x14ac:dyDescent="0.25">
      <c r="A214" s="1">
        <v>350</v>
      </c>
      <c r="B214" s="1">
        <v>693</v>
      </c>
      <c r="C214" s="1">
        <v>3110</v>
      </c>
      <c r="D214" s="1">
        <v>15.3</v>
      </c>
      <c r="E214" s="1">
        <v>-1.5</v>
      </c>
      <c r="F214" s="1">
        <v>-0.4</v>
      </c>
      <c r="G214">
        <v>0</v>
      </c>
      <c r="H214">
        <v>0</v>
      </c>
      <c r="I214">
        <v>0</v>
      </c>
      <c r="K214" s="1">
        <v>350</v>
      </c>
      <c r="L214" s="1">
        <v>689</v>
      </c>
      <c r="M214" s="1">
        <v>3075</v>
      </c>
      <c r="N214" s="1">
        <v>16</v>
      </c>
      <c r="O214" s="1">
        <v>-1.6</v>
      </c>
      <c r="P214" s="1">
        <v>-0.5</v>
      </c>
      <c r="Q214" s="1">
        <v>0</v>
      </c>
      <c r="R214" s="1">
        <v>0</v>
      </c>
      <c r="S214" s="1">
        <v>0</v>
      </c>
    </row>
    <row r="215" spans="1:23" x14ac:dyDescent="0.25">
      <c r="A215" s="1">
        <v>375</v>
      </c>
      <c r="B215" s="1">
        <v>682</v>
      </c>
      <c r="C215" s="1">
        <v>3012</v>
      </c>
      <c r="D215" s="1">
        <v>8.4</v>
      </c>
      <c r="E215" s="1">
        <v>-0.8</v>
      </c>
      <c r="F215" s="1">
        <v>-0.2</v>
      </c>
      <c r="G215">
        <v>0</v>
      </c>
      <c r="H215">
        <v>0</v>
      </c>
      <c r="I215">
        <v>0</v>
      </c>
      <c r="K215" s="1">
        <v>375</v>
      </c>
      <c r="L215" s="1">
        <v>678</v>
      </c>
      <c r="M215" s="1">
        <v>2976</v>
      </c>
      <c r="N215" s="1">
        <v>8.8000000000000007</v>
      </c>
      <c r="O215" s="1">
        <v>-0.8</v>
      </c>
      <c r="P215" s="1">
        <v>-0.2</v>
      </c>
      <c r="Q215" s="1">
        <v>0</v>
      </c>
      <c r="R215" s="1">
        <v>0</v>
      </c>
      <c r="S215" s="1">
        <v>0</v>
      </c>
      <c r="T215" s="1"/>
      <c r="U215" s="1"/>
      <c r="V215" s="1"/>
      <c r="W215" s="1"/>
    </row>
    <row r="216" spans="1:23" x14ac:dyDescent="0.25">
      <c r="A216" s="10">
        <v>400</v>
      </c>
      <c r="B216" s="10">
        <v>671</v>
      </c>
      <c r="C216" s="10">
        <v>2917</v>
      </c>
      <c r="D216" s="10">
        <v>0.1</v>
      </c>
      <c r="E216" s="10">
        <v>0</v>
      </c>
      <c r="F216" s="10">
        <v>0</v>
      </c>
      <c r="G216">
        <v>0</v>
      </c>
      <c r="H216">
        <v>0</v>
      </c>
      <c r="I216">
        <v>0</v>
      </c>
      <c r="K216" s="1">
        <v>400</v>
      </c>
      <c r="L216" s="1">
        <v>667</v>
      </c>
      <c r="M216" s="1">
        <v>2879</v>
      </c>
      <c r="N216" s="1">
        <v>0.2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/>
      <c r="U216" s="1"/>
      <c r="V216" s="1"/>
      <c r="W216" s="1"/>
    </row>
    <row r="217" spans="1:23" x14ac:dyDescent="0.25">
      <c r="A217" s="1">
        <v>425</v>
      </c>
      <c r="B217" s="1">
        <v>660</v>
      </c>
      <c r="C217" s="1">
        <v>2824</v>
      </c>
      <c r="D217" s="1">
        <v>-9.9</v>
      </c>
      <c r="E217" s="1">
        <v>0.8</v>
      </c>
      <c r="F217" s="1">
        <v>0.2</v>
      </c>
      <c r="G217">
        <v>0</v>
      </c>
      <c r="H217">
        <v>0</v>
      </c>
      <c r="I217">
        <v>0</v>
      </c>
      <c r="K217" s="1">
        <v>425</v>
      </c>
      <c r="L217" s="1">
        <v>655</v>
      </c>
      <c r="M217" s="1">
        <v>2784</v>
      </c>
      <c r="N217" s="1">
        <v>-10.3</v>
      </c>
      <c r="O217" s="1">
        <v>0.8</v>
      </c>
      <c r="P217" s="1">
        <v>0.2</v>
      </c>
      <c r="Q217" s="1">
        <v>0</v>
      </c>
      <c r="R217" s="1">
        <v>0</v>
      </c>
      <c r="S217" s="1">
        <v>0</v>
      </c>
      <c r="T217" s="1"/>
      <c r="U217" s="1"/>
      <c r="V217" s="1"/>
      <c r="W217" s="1"/>
    </row>
    <row r="218" spans="1:23" x14ac:dyDescent="0.25">
      <c r="A218" s="1">
        <v>450</v>
      </c>
      <c r="B218" s="1">
        <v>649</v>
      </c>
      <c r="C218" s="1">
        <v>2733</v>
      </c>
      <c r="D218" s="1">
        <v>-21.1</v>
      </c>
      <c r="E218" s="1">
        <v>1.6</v>
      </c>
      <c r="F218" s="1">
        <v>0.5</v>
      </c>
      <c r="G218">
        <v>0</v>
      </c>
      <c r="H218">
        <v>0</v>
      </c>
      <c r="I218">
        <v>0</v>
      </c>
      <c r="K218" s="1">
        <v>450</v>
      </c>
      <c r="L218" s="1">
        <v>645</v>
      </c>
      <c r="M218" s="1">
        <v>2692</v>
      </c>
      <c r="N218" s="1">
        <v>-21.8</v>
      </c>
      <c r="O218" s="1">
        <v>1.7</v>
      </c>
      <c r="P218" s="1">
        <v>0.5</v>
      </c>
      <c r="Q218" s="1">
        <v>0</v>
      </c>
      <c r="R218" s="1">
        <v>0</v>
      </c>
      <c r="S218" s="1">
        <v>0</v>
      </c>
      <c r="T218" s="1"/>
      <c r="U218" s="1"/>
      <c r="V218" s="1"/>
      <c r="W218" s="1"/>
    </row>
    <row r="219" spans="1:23" x14ac:dyDescent="0.25">
      <c r="A219" s="1">
        <v>475</v>
      </c>
      <c r="B219" s="1">
        <v>639</v>
      </c>
      <c r="C219" s="1">
        <v>2645</v>
      </c>
      <c r="D219" s="1">
        <v>-33.799999999999997</v>
      </c>
      <c r="E219" s="1">
        <v>2.4</v>
      </c>
      <c r="F219" s="1">
        <v>0.7</v>
      </c>
      <c r="G219">
        <v>0</v>
      </c>
      <c r="H219">
        <v>0</v>
      </c>
      <c r="I219">
        <v>0</v>
      </c>
      <c r="K219" s="1">
        <v>475</v>
      </c>
      <c r="L219" s="1">
        <v>634</v>
      </c>
      <c r="M219" s="1">
        <v>2603</v>
      </c>
      <c r="N219" s="1">
        <v>-34.9</v>
      </c>
      <c r="O219" s="1">
        <v>2.5</v>
      </c>
      <c r="P219" s="1">
        <v>0.7</v>
      </c>
      <c r="Q219" s="1">
        <v>0</v>
      </c>
      <c r="R219" s="1">
        <v>0</v>
      </c>
      <c r="S219" s="1">
        <v>0</v>
      </c>
      <c r="T219" s="1"/>
      <c r="U219" s="1"/>
      <c r="V219" s="1"/>
      <c r="W219" s="1"/>
    </row>
    <row r="220" spans="1:23" x14ac:dyDescent="0.25">
      <c r="A220" s="1">
        <v>500</v>
      </c>
      <c r="B220" s="1">
        <v>629</v>
      </c>
      <c r="C220" s="1">
        <v>2563</v>
      </c>
      <c r="D220" s="1">
        <v>-48</v>
      </c>
      <c r="E220" s="1">
        <v>3.3</v>
      </c>
      <c r="F220" s="1">
        <v>1</v>
      </c>
      <c r="G220">
        <v>0</v>
      </c>
      <c r="H220">
        <v>0</v>
      </c>
      <c r="I220">
        <v>0</v>
      </c>
      <c r="K220" s="1">
        <v>500</v>
      </c>
      <c r="L220" s="1">
        <v>623</v>
      </c>
      <c r="M220" s="1">
        <v>2518</v>
      </c>
      <c r="N220" s="1">
        <v>-49.5</v>
      </c>
      <c r="O220" s="1">
        <v>3.4</v>
      </c>
      <c r="P220" s="1">
        <v>1</v>
      </c>
      <c r="Q220" s="1">
        <v>0</v>
      </c>
      <c r="R220" s="1">
        <v>0</v>
      </c>
      <c r="S220" s="1">
        <v>0</v>
      </c>
      <c r="T220" s="1"/>
      <c r="U220" s="1"/>
      <c r="V220" s="1"/>
      <c r="W220" s="1"/>
    </row>
    <row r="221" spans="1:23" x14ac:dyDescent="0.25">
      <c r="T221" s="1"/>
      <c r="U221" s="1"/>
      <c r="V221" s="1"/>
      <c r="W221" s="1"/>
    </row>
    <row r="222" spans="1:23" x14ac:dyDescent="0.25">
      <c r="A222" t="s">
        <v>80</v>
      </c>
      <c r="K222" t="s">
        <v>79</v>
      </c>
      <c r="T222" s="1"/>
      <c r="U222" s="1"/>
      <c r="V222" s="1"/>
      <c r="W222" s="1"/>
    </row>
    <row r="223" spans="1:23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39</v>
      </c>
      <c r="H223" t="s">
        <v>40</v>
      </c>
      <c r="I223" t="s">
        <v>41</v>
      </c>
      <c r="K223" t="s">
        <v>12</v>
      </c>
      <c r="L223" t="s">
        <v>13</v>
      </c>
      <c r="M223" t="s">
        <v>14</v>
      </c>
      <c r="N223" t="s">
        <v>15</v>
      </c>
      <c r="O223" t="s">
        <v>16</v>
      </c>
      <c r="P223" t="s">
        <v>17</v>
      </c>
      <c r="Q223" t="s">
        <v>39</v>
      </c>
      <c r="R223" t="s">
        <v>40</v>
      </c>
      <c r="S223" t="s">
        <v>41</v>
      </c>
      <c r="T223" s="1"/>
      <c r="U223" s="1"/>
      <c r="V223" s="1"/>
      <c r="W223" s="1"/>
    </row>
    <row r="224" spans="1:23" x14ac:dyDescent="0.25">
      <c r="A224" s="1">
        <v>0</v>
      </c>
      <c r="B224" s="1">
        <v>856</v>
      </c>
      <c r="C224" s="1">
        <v>4754</v>
      </c>
      <c r="D224" s="1">
        <v>-8</v>
      </c>
      <c r="E224" s="1">
        <v>0</v>
      </c>
      <c r="F224" s="1">
        <v>0</v>
      </c>
      <c r="G224">
        <v>0</v>
      </c>
      <c r="H224">
        <v>0</v>
      </c>
      <c r="I224">
        <v>0</v>
      </c>
      <c r="K224" s="1">
        <v>0</v>
      </c>
      <c r="L224" s="1">
        <v>856</v>
      </c>
      <c r="M224" s="1">
        <v>4754</v>
      </c>
      <c r="N224" s="1">
        <v>-3.8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/>
      <c r="U224" s="1"/>
      <c r="V224" s="1"/>
      <c r="W224" s="1"/>
    </row>
    <row r="225" spans="1:23" x14ac:dyDescent="0.25">
      <c r="A225" s="1">
        <v>25</v>
      </c>
      <c r="B225" s="1">
        <v>844</v>
      </c>
      <c r="C225" s="1">
        <v>4616</v>
      </c>
      <c r="D225" s="1">
        <v>2.5</v>
      </c>
      <c r="E225" s="1">
        <v>-3.4</v>
      </c>
      <c r="F225" s="1">
        <v>-1</v>
      </c>
      <c r="G225">
        <v>0</v>
      </c>
      <c r="H225">
        <v>0</v>
      </c>
      <c r="I225">
        <v>0</v>
      </c>
      <c r="K225" s="1">
        <v>25</v>
      </c>
      <c r="L225" s="1">
        <v>844</v>
      </c>
      <c r="M225" s="1">
        <v>4614</v>
      </c>
      <c r="N225" s="1">
        <v>6.5</v>
      </c>
      <c r="O225" s="1">
        <v>-9</v>
      </c>
      <c r="P225" s="1">
        <v>-2.6</v>
      </c>
      <c r="Q225" s="1">
        <v>0</v>
      </c>
      <c r="R225" s="1">
        <v>0</v>
      </c>
      <c r="S225" s="1">
        <v>0</v>
      </c>
      <c r="T225" s="1"/>
      <c r="U225" s="1"/>
      <c r="V225" s="1"/>
      <c r="W225" s="1"/>
    </row>
    <row r="226" spans="1:23" x14ac:dyDescent="0.25">
      <c r="A226" s="1">
        <v>50</v>
      </c>
      <c r="B226" s="1">
        <v>832</v>
      </c>
      <c r="C226" s="1">
        <v>4483</v>
      </c>
      <c r="D226" s="1">
        <v>12.3</v>
      </c>
      <c r="E226" s="1">
        <v>-8.4</v>
      </c>
      <c r="F226" s="1">
        <v>-2.4</v>
      </c>
      <c r="G226">
        <v>0</v>
      </c>
      <c r="H226">
        <v>0</v>
      </c>
      <c r="I226">
        <v>0</v>
      </c>
      <c r="K226" s="1">
        <v>50</v>
      </c>
      <c r="L226" s="1">
        <v>831</v>
      </c>
      <c r="M226" s="1">
        <v>4478</v>
      </c>
      <c r="N226" s="1">
        <v>16.2</v>
      </c>
      <c r="O226" s="1">
        <v>-11.1</v>
      </c>
      <c r="P226" s="1">
        <v>-3.2</v>
      </c>
      <c r="Q226" s="1">
        <v>0</v>
      </c>
      <c r="R226" s="1">
        <v>0</v>
      </c>
      <c r="S226" s="1">
        <v>0</v>
      </c>
      <c r="T226" s="1"/>
      <c r="U226" s="1"/>
      <c r="V226" s="1"/>
      <c r="W226" s="1"/>
    </row>
    <row r="227" spans="1:23" x14ac:dyDescent="0.25">
      <c r="A227" s="1">
        <v>75</v>
      </c>
      <c r="B227" s="1">
        <v>820</v>
      </c>
      <c r="C227" s="1">
        <v>4353</v>
      </c>
      <c r="D227" s="1">
        <v>21</v>
      </c>
      <c r="E227" s="1">
        <v>-9.6</v>
      </c>
      <c r="F227" s="1">
        <v>-2.8</v>
      </c>
      <c r="G227">
        <v>0</v>
      </c>
      <c r="H227">
        <v>0</v>
      </c>
      <c r="I227">
        <v>0</v>
      </c>
      <c r="K227" s="1">
        <v>75</v>
      </c>
      <c r="L227" s="1">
        <v>819</v>
      </c>
      <c r="M227" s="1">
        <v>4345</v>
      </c>
      <c r="N227" s="1">
        <v>24.7</v>
      </c>
      <c r="O227" s="1">
        <v>-11.3</v>
      </c>
      <c r="P227" s="1">
        <v>-3.3</v>
      </c>
      <c r="Q227" s="1">
        <v>0</v>
      </c>
      <c r="R227" s="1">
        <v>0</v>
      </c>
      <c r="S227" s="1">
        <v>0</v>
      </c>
      <c r="T227" s="1"/>
      <c r="U227" s="1"/>
      <c r="V227" s="1"/>
      <c r="W227" s="1"/>
    </row>
    <row r="228" spans="1:23" x14ac:dyDescent="0.25">
      <c r="A228" s="1">
        <v>100</v>
      </c>
      <c r="B228" s="1">
        <v>808</v>
      </c>
      <c r="C228" s="1">
        <v>4226</v>
      </c>
      <c r="D228" s="1">
        <v>28.8</v>
      </c>
      <c r="E228" s="1">
        <v>-9.9</v>
      </c>
      <c r="F228" s="1">
        <v>-2.9</v>
      </c>
      <c r="G228">
        <v>0</v>
      </c>
      <c r="H228">
        <v>0</v>
      </c>
      <c r="I228">
        <v>0</v>
      </c>
      <c r="K228" s="1">
        <v>100</v>
      </c>
      <c r="L228" s="1">
        <v>807</v>
      </c>
      <c r="M228" s="1">
        <v>4216</v>
      </c>
      <c r="N228" s="1">
        <v>32.299999999999997</v>
      </c>
      <c r="O228" s="1">
        <v>-11.1</v>
      </c>
      <c r="P228" s="1">
        <v>-3.2</v>
      </c>
      <c r="Q228" s="1">
        <v>0</v>
      </c>
      <c r="R228" s="1">
        <v>0</v>
      </c>
      <c r="S228" s="1">
        <v>0</v>
      </c>
      <c r="T228" s="1"/>
      <c r="U228" s="1"/>
      <c r="V228" s="1"/>
      <c r="W228" s="1"/>
    </row>
    <row r="229" spans="1:23" x14ac:dyDescent="0.25">
      <c r="A229" s="1">
        <v>125</v>
      </c>
      <c r="B229" s="1">
        <v>796</v>
      </c>
      <c r="C229" s="1">
        <v>4102</v>
      </c>
      <c r="D229" s="1">
        <v>35.799999999999997</v>
      </c>
      <c r="E229" s="1">
        <v>-9.8000000000000007</v>
      </c>
      <c r="F229" s="1">
        <v>-2.9</v>
      </c>
      <c r="G229">
        <v>0</v>
      </c>
      <c r="H229">
        <v>0</v>
      </c>
      <c r="I229">
        <v>0</v>
      </c>
      <c r="K229" s="1">
        <v>125</v>
      </c>
      <c r="L229" s="1">
        <v>794</v>
      </c>
      <c r="M229" s="1">
        <v>4089</v>
      </c>
      <c r="N229" s="1">
        <v>39.200000000000003</v>
      </c>
      <c r="O229" s="1">
        <v>-10.8</v>
      </c>
      <c r="P229" s="1">
        <v>-3.1</v>
      </c>
      <c r="Q229" s="1">
        <v>0</v>
      </c>
      <c r="R229" s="1">
        <v>0</v>
      </c>
      <c r="S229" s="1">
        <v>0</v>
      </c>
      <c r="T229" s="1"/>
      <c r="U229" s="1"/>
      <c r="V229" s="1"/>
      <c r="W229" s="1"/>
    </row>
    <row r="230" spans="1:23" x14ac:dyDescent="0.25">
      <c r="A230" s="1">
        <v>150</v>
      </c>
      <c r="B230" s="1">
        <v>784</v>
      </c>
      <c r="C230" s="1">
        <v>3981</v>
      </c>
      <c r="D230" s="1">
        <v>41.6</v>
      </c>
      <c r="E230" s="1">
        <v>-9.5</v>
      </c>
      <c r="F230" s="1">
        <v>-2.8</v>
      </c>
      <c r="G230">
        <v>0</v>
      </c>
      <c r="H230">
        <v>0</v>
      </c>
      <c r="I230">
        <v>0</v>
      </c>
      <c r="K230" s="1">
        <v>150</v>
      </c>
      <c r="L230" s="1">
        <v>782</v>
      </c>
      <c r="M230" s="1">
        <v>3965</v>
      </c>
      <c r="N230" s="1">
        <v>44.9</v>
      </c>
      <c r="O230" s="1">
        <v>-10.3</v>
      </c>
      <c r="P230" s="1">
        <v>-3</v>
      </c>
      <c r="Q230" s="1">
        <v>0</v>
      </c>
      <c r="R230" s="1">
        <v>0</v>
      </c>
      <c r="S230" s="1">
        <v>0</v>
      </c>
      <c r="T230" s="1"/>
      <c r="U230" s="1"/>
      <c r="V230" s="1"/>
      <c r="W230" s="1"/>
    </row>
    <row r="231" spans="1:23" x14ac:dyDescent="0.25">
      <c r="A231" s="1">
        <v>175</v>
      </c>
      <c r="B231" s="1">
        <v>772</v>
      </c>
      <c r="C231" s="1">
        <v>3863</v>
      </c>
      <c r="D231" s="1">
        <v>46.5</v>
      </c>
      <c r="E231" s="1">
        <v>-9.1</v>
      </c>
      <c r="F231" s="1">
        <v>-2.7</v>
      </c>
      <c r="G231">
        <v>0</v>
      </c>
      <c r="H231">
        <v>0</v>
      </c>
      <c r="I231">
        <v>0</v>
      </c>
      <c r="K231" s="1">
        <v>175</v>
      </c>
      <c r="L231" s="1">
        <v>770</v>
      </c>
      <c r="M231" s="1">
        <v>3845</v>
      </c>
      <c r="N231" s="1">
        <v>49.6</v>
      </c>
      <c r="O231" s="1">
        <v>-9.8000000000000007</v>
      </c>
      <c r="P231" s="1">
        <v>-2.8</v>
      </c>
      <c r="Q231" s="1">
        <v>0</v>
      </c>
      <c r="R231" s="1">
        <v>0</v>
      </c>
      <c r="S231" s="1">
        <v>0</v>
      </c>
      <c r="T231" s="1"/>
      <c r="U231" s="1"/>
      <c r="V231" s="1"/>
      <c r="W231" s="1"/>
    </row>
    <row r="232" spans="1:23" x14ac:dyDescent="0.25">
      <c r="A232" s="1">
        <v>200</v>
      </c>
      <c r="B232" s="1">
        <v>760</v>
      </c>
      <c r="C232" s="1">
        <v>3748</v>
      </c>
      <c r="D232" s="1">
        <v>50.4</v>
      </c>
      <c r="E232" s="1">
        <v>-8.6999999999999993</v>
      </c>
      <c r="F232" s="1">
        <v>-2.5</v>
      </c>
      <c r="G232">
        <v>0</v>
      </c>
      <c r="H232">
        <v>0</v>
      </c>
      <c r="I232">
        <v>0</v>
      </c>
      <c r="K232" s="1">
        <v>200</v>
      </c>
      <c r="L232" s="1">
        <v>758</v>
      </c>
      <c r="M232" s="1">
        <v>3727</v>
      </c>
      <c r="N232" s="1">
        <v>53.4</v>
      </c>
      <c r="O232" s="1">
        <v>-9.1999999999999993</v>
      </c>
      <c r="P232" s="1">
        <v>-2.7</v>
      </c>
      <c r="Q232" s="1">
        <v>0</v>
      </c>
      <c r="R232" s="1">
        <v>0</v>
      </c>
      <c r="S232" s="1">
        <v>0</v>
      </c>
      <c r="T232" s="1"/>
      <c r="U232" s="1"/>
      <c r="V232" s="1"/>
      <c r="W232" s="1"/>
    </row>
    <row r="233" spans="1:23" x14ac:dyDescent="0.25">
      <c r="A233" s="1">
        <v>225</v>
      </c>
      <c r="B233" s="1">
        <v>749</v>
      </c>
      <c r="C233" s="1">
        <v>3635</v>
      </c>
      <c r="D233" s="1">
        <v>53.2</v>
      </c>
      <c r="E233" s="1">
        <v>-8.1</v>
      </c>
      <c r="F233" s="1">
        <v>-2.4</v>
      </c>
      <c r="G233">
        <v>0</v>
      </c>
      <c r="H233">
        <v>0</v>
      </c>
      <c r="I233">
        <v>0</v>
      </c>
      <c r="K233" s="1">
        <v>225</v>
      </c>
      <c r="L233" s="1">
        <v>746</v>
      </c>
      <c r="M233" s="1">
        <v>3611</v>
      </c>
      <c r="N233" s="1">
        <v>55.9</v>
      </c>
      <c r="O233" s="1">
        <v>-8.5</v>
      </c>
      <c r="P233" s="1">
        <v>-2.5</v>
      </c>
      <c r="Q233" s="1">
        <v>0</v>
      </c>
      <c r="R233" s="1">
        <v>0</v>
      </c>
      <c r="S233" s="1">
        <v>0</v>
      </c>
      <c r="T233" s="1"/>
      <c r="U233" s="1"/>
      <c r="V233" s="1"/>
      <c r="W233" s="1"/>
    </row>
    <row r="234" spans="1:23" x14ac:dyDescent="0.25">
      <c r="A234" s="1">
        <v>250</v>
      </c>
      <c r="B234" s="1">
        <v>737</v>
      </c>
      <c r="C234" s="1">
        <v>3525</v>
      </c>
      <c r="D234" s="1">
        <v>54.8</v>
      </c>
      <c r="E234" s="1">
        <v>-7.5</v>
      </c>
      <c r="F234" s="1">
        <v>-2.2000000000000002</v>
      </c>
      <c r="G234">
        <v>0</v>
      </c>
      <c r="H234">
        <v>0</v>
      </c>
      <c r="I234">
        <v>0</v>
      </c>
      <c r="K234" s="1">
        <v>250</v>
      </c>
      <c r="L234" s="1">
        <v>735</v>
      </c>
      <c r="M234" s="1">
        <v>3499</v>
      </c>
      <c r="N234" s="1">
        <v>57.4</v>
      </c>
      <c r="O234" s="1">
        <v>-7.9</v>
      </c>
      <c r="P234" s="1">
        <v>-2.2999999999999998</v>
      </c>
      <c r="Q234" s="1">
        <v>0</v>
      </c>
      <c r="R234" s="1">
        <v>0</v>
      </c>
      <c r="S234" s="1">
        <v>0</v>
      </c>
      <c r="T234" s="1"/>
      <c r="U234" s="1"/>
      <c r="V234" s="1"/>
      <c r="W234" s="1"/>
    </row>
    <row r="235" spans="1:23" x14ac:dyDescent="0.25">
      <c r="A235" s="1">
        <v>275</v>
      </c>
      <c r="B235" s="1">
        <v>726</v>
      </c>
      <c r="C235" s="1">
        <v>3417</v>
      </c>
      <c r="D235" s="1">
        <v>55.3</v>
      </c>
      <c r="E235" s="1">
        <v>-6.9</v>
      </c>
      <c r="F235" s="1">
        <v>-2</v>
      </c>
      <c r="G235">
        <v>0</v>
      </c>
      <c r="H235">
        <v>0</v>
      </c>
      <c r="I235">
        <v>0</v>
      </c>
      <c r="K235" s="1">
        <v>275</v>
      </c>
      <c r="L235" s="1">
        <v>723</v>
      </c>
      <c r="M235" s="1">
        <v>3389</v>
      </c>
      <c r="N235" s="1">
        <v>57.7</v>
      </c>
      <c r="O235" s="1">
        <v>-7.2</v>
      </c>
      <c r="P235" s="1">
        <v>-2.1</v>
      </c>
      <c r="Q235" s="1">
        <v>0</v>
      </c>
      <c r="R235" s="1">
        <v>0</v>
      </c>
      <c r="S235" s="1">
        <v>0</v>
      </c>
      <c r="T235" s="1"/>
      <c r="U235" s="1"/>
      <c r="V235" s="1"/>
      <c r="W235" s="1"/>
    </row>
    <row r="236" spans="1:23" x14ac:dyDescent="0.25">
      <c r="A236" s="1">
        <v>300</v>
      </c>
      <c r="B236" s="1">
        <v>715</v>
      </c>
      <c r="C236" s="1">
        <v>3312</v>
      </c>
      <c r="D236" s="1">
        <v>54.6</v>
      </c>
      <c r="E236" s="1">
        <v>-6.2</v>
      </c>
      <c r="F236" s="1">
        <v>-1.8</v>
      </c>
      <c r="G236">
        <v>0</v>
      </c>
      <c r="H236">
        <v>0</v>
      </c>
      <c r="I236">
        <v>0</v>
      </c>
      <c r="K236" s="1">
        <v>300</v>
      </c>
      <c r="L236" s="1">
        <v>712</v>
      </c>
      <c r="M236" s="1">
        <v>3282</v>
      </c>
      <c r="N236" s="1">
        <v>56.7</v>
      </c>
      <c r="O236" s="1">
        <v>-6.5</v>
      </c>
      <c r="P236" s="1">
        <v>-1.9</v>
      </c>
      <c r="Q236" s="1">
        <v>0</v>
      </c>
      <c r="R236" s="1">
        <v>0</v>
      </c>
      <c r="S236" s="1">
        <v>0</v>
      </c>
    </row>
    <row r="237" spans="1:23" x14ac:dyDescent="0.25">
      <c r="A237" s="1">
        <v>325</v>
      </c>
      <c r="B237" s="1">
        <v>704</v>
      </c>
      <c r="C237" s="1">
        <v>3210</v>
      </c>
      <c r="D237" s="1">
        <v>52.6</v>
      </c>
      <c r="E237" s="1">
        <v>-5.6</v>
      </c>
      <c r="F237" s="1">
        <v>-1.6</v>
      </c>
      <c r="G237">
        <v>0</v>
      </c>
      <c r="H237">
        <v>0</v>
      </c>
      <c r="I237">
        <v>0</v>
      </c>
      <c r="K237" s="1">
        <v>325</v>
      </c>
      <c r="L237" s="1">
        <v>700</v>
      </c>
      <c r="M237" s="1">
        <v>3177</v>
      </c>
      <c r="N237" s="1">
        <v>54.6</v>
      </c>
      <c r="O237" s="1">
        <v>-5.8</v>
      </c>
      <c r="P237" s="1">
        <v>-1.7</v>
      </c>
      <c r="Q237" s="1">
        <v>0</v>
      </c>
      <c r="R237" s="1">
        <v>0</v>
      </c>
      <c r="S237" s="1">
        <v>0</v>
      </c>
    </row>
    <row r="238" spans="1:23" x14ac:dyDescent="0.25">
      <c r="A238" s="1">
        <v>350</v>
      </c>
      <c r="B238" s="1">
        <v>693</v>
      </c>
      <c r="C238" s="1">
        <v>3110</v>
      </c>
      <c r="D238" s="1">
        <v>49.3</v>
      </c>
      <c r="E238" s="1">
        <v>-4.8</v>
      </c>
      <c r="F238" s="1">
        <v>-1.4</v>
      </c>
      <c r="G238">
        <v>0</v>
      </c>
      <c r="H238">
        <v>0</v>
      </c>
      <c r="I238">
        <v>0</v>
      </c>
      <c r="K238" s="1">
        <v>350</v>
      </c>
      <c r="L238" s="1">
        <v>689</v>
      </c>
      <c r="M238" s="1">
        <v>3075</v>
      </c>
      <c r="N238" s="1">
        <v>51</v>
      </c>
      <c r="O238" s="1">
        <v>-5</v>
      </c>
      <c r="P238" s="1">
        <v>-1.5</v>
      </c>
      <c r="Q238" s="1">
        <v>0</v>
      </c>
      <c r="R238" s="1">
        <v>0</v>
      </c>
      <c r="S238" s="1">
        <v>0</v>
      </c>
    </row>
    <row r="239" spans="1:23" x14ac:dyDescent="0.25">
      <c r="A239" s="1">
        <v>375</v>
      </c>
      <c r="B239" s="1">
        <v>682</v>
      </c>
      <c r="C239" s="1">
        <v>3012</v>
      </c>
      <c r="D239" s="1">
        <v>44.8</v>
      </c>
      <c r="E239" s="1">
        <v>-4.0999999999999996</v>
      </c>
      <c r="F239" s="1">
        <v>-1.2</v>
      </c>
      <c r="G239">
        <v>0</v>
      </c>
      <c r="H239">
        <v>0</v>
      </c>
      <c r="I239">
        <v>0</v>
      </c>
      <c r="K239" s="1">
        <v>375</v>
      </c>
      <c r="L239" s="1">
        <v>678</v>
      </c>
      <c r="M239" s="1">
        <v>2976</v>
      </c>
      <c r="N239" s="1">
        <v>46.2</v>
      </c>
      <c r="O239" s="1">
        <v>-4.2</v>
      </c>
      <c r="P239" s="1">
        <v>-1.2</v>
      </c>
      <c r="Q239" s="1">
        <v>0</v>
      </c>
      <c r="R239" s="1">
        <v>0</v>
      </c>
      <c r="S239" s="1">
        <v>0</v>
      </c>
    </row>
    <row r="240" spans="1:23" x14ac:dyDescent="0.25">
      <c r="A240" s="1">
        <v>400</v>
      </c>
      <c r="B240" s="1">
        <v>671</v>
      </c>
      <c r="C240" s="1">
        <v>2917</v>
      </c>
      <c r="D240" s="1">
        <v>38.9</v>
      </c>
      <c r="E240" s="1">
        <v>-3.3</v>
      </c>
      <c r="F240" s="1">
        <v>-1</v>
      </c>
      <c r="G240">
        <v>0</v>
      </c>
      <c r="H240">
        <v>0</v>
      </c>
      <c r="I240">
        <v>0</v>
      </c>
      <c r="K240" s="1">
        <v>400</v>
      </c>
      <c r="L240" s="1">
        <v>667</v>
      </c>
      <c r="M240" s="1">
        <v>2879</v>
      </c>
      <c r="N240" s="1">
        <v>40.1</v>
      </c>
      <c r="O240" s="1">
        <v>-3.4</v>
      </c>
      <c r="P240" s="1">
        <v>-1</v>
      </c>
      <c r="Q240" s="1">
        <v>0</v>
      </c>
      <c r="R240" s="1">
        <v>0</v>
      </c>
      <c r="S240" s="1">
        <v>0</v>
      </c>
    </row>
    <row r="241" spans="1:19" x14ac:dyDescent="0.25">
      <c r="A241" s="1">
        <v>425</v>
      </c>
      <c r="B241" s="1">
        <v>660</v>
      </c>
      <c r="C241" s="1">
        <v>2824</v>
      </c>
      <c r="D241" s="1">
        <v>31.3</v>
      </c>
      <c r="E241" s="1">
        <v>-2.5</v>
      </c>
      <c r="F241" s="1">
        <v>-0.7</v>
      </c>
      <c r="G241">
        <v>0</v>
      </c>
      <c r="H241">
        <v>0</v>
      </c>
      <c r="I241">
        <v>0</v>
      </c>
      <c r="K241" s="1">
        <v>425</v>
      </c>
      <c r="L241" s="1">
        <v>655</v>
      </c>
      <c r="M241" s="1">
        <v>2784</v>
      </c>
      <c r="N241" s="1">
        <v>32.200000000000003</v>
      </c>
      <c r="O241" s="1">
        <v>-2.6</v>
      </c>
      <c r="P241" s="1">
        <v>-0.8</v>
      </c>
      <c r="Q241" s="1">
        <v>0</v>
      </c>
      <c r="R241" s="1">
        <v>0</v>
      </c>
      <c r="S241" s="1">
        <v>0</v>
      </c>
    </row>
    <row r="242" spans="1:19" x14ac:dyDescent="0.25">
      <c r="A242" s="1">
        <v>450</v>
      </c>
      <c r="B242" s="1">
        <v>649</v>
      </c>
      <c r="C242" s="1">
        <v>2733</v>
      </c>
      <c r="D242" s="1">
        <v>22.5</v>
      </c>
      <c r="E242" s="1">
        <v>-1.7</v>
      </c>
      <c r="F242" s="1">
        <v>-0.5</v>
      </c>
      <c r="G242">
        <v>0</v>
      </c>
      <c r="H242">
        <v>0</v>
      </c>
      <c r="I242">
        <v>0</v>
      </c>
      <c r="K242" s="1">
        <v>450</v>
      </c>
      <c r="L242" s="1">
        <v>645</v>
      </c>
      <c r="M242" s="1">
        <v>2692</v>
      </c>
      <c r="N242" s="1">
        <v>23.2</v>
      </c>
      <c r="O242" s="1">
        <v>-1.8</v>
      </c>
      <c r="P242" s="1">
        <v>-0.5</v>
      </c>
      <c r="Q242" s="1">
        <v>0</v>
      </c>
      <c r="R242" s="1">
        <v>0</v>
      </c>
      <c r="S242" s="1">
        <v>0</v>
      </c>
    </row>
    <row r="243" spans="1:19" x14ac:dyDescent="0.25">
      <c r="A243" s="1">
        <v>475</v>
      </c>
      <c r="B243" s="1">
        <v>639</v>
      </c>
      <c r="C243" s="1">
        <v>2645</v>
      </c>
      <c r="D243" s="1">
        <v>12.3</v>
      </c>
      <c r="E243" s="1">
        <v>-0.9</v>
      </c>
      <c r="F243" s="1">
        <v>-0.3</v>
      </c>
      <c r="G243">
        <v>0</v>
      </c>
      <c r="H243">
        <v>0</v>
      </c>
      <c r="I243">
        <v>0</v>
      </c>
      <c r="K243" s="1">
        <v>475</v>
      </c>
      <c r="L243" s="1">
        <v>634</v>
      </c>
      <c r="M243" s="1">
        <v>2602</v>
      </c>
      <c r="N243" s="1">
        <v>12.5</v>
      </c>
      <c r="O243" s="1">
        <v>-0.9</v>
      </c>
      <c r="P243" s="1">
        <v>-0.3</v>
      </c>
      <c r="Q243" s="1">
        <v>0</v>
      </c>
      <c r="R243" s="1">
        <v>0</v>
      </c>
      <c r="S243" s="1">
        <v>0</v>
      </c>
    </row>
    <row r="244" spans="1:19" x14ac:dyDescent="0.25">
      <c r="A244" s="1">
        <v>500</v>
      </c>
      <c r="B244" s="1">
        <v>629</v>
      </c>
      <c r="C244" s="1">
        <v>2563</v>
      </c>
      <c r="D244" s="1">
        <v>0.4</v>
      </c>
      <c r="E244" s="1">
        <v>0</v>
      </c>
      <c r="F244" s="1">
        <v>0</v>
      </c>
      <c r="G244">
        <v>0</v>
      </c>
      <c r="H244">
        <v>0</v>
      </c>
      <c r="I244">
        <v>0</v>
      </c>
      <c r="K244" s="1">
        <v>500</v>
      </c>
      <c r="L244" s="1">
        <v>623</v>
      </c>
      <c r="M244" s="1">
        <v>2518</v>
      </c>
      <c r="N244" s="1">
        <v>0.4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6" spans="1:19" ht="30" x14ac:dyDescent="0.25">
      <c r="A246" s="26" t="s">
        <v>44</v>
      </c>
      <c r="B246" s="27" t="s">
        <v>6</v>
      </c>
      <c r="C246" s="27" t="s">
        <v>7</v>
      </c>
      <c r="D246" s="27" t="s">
        <v>8</v>
      </c>
      <c r="E246" s="27" t="s">
        <v>9</v>
      </c>
      <c r="F246" s="27" t="s">
        <v>10</v>
      </c>
      <c r="G246" s="27" t="s">
        <v>34</v>
      </c>
      <c r="H246" s="27" t="s">
        <v>35</v>
      </c>
      <c r="I246" s="28" t="s">
        <v>45</v>
      </c>
      <c r="J246" s="28" t="s">
        <v>101</v>
      </c>
      <c r="K246" s="28" t="s">
        <v>102</v>
      </c>
    </row>
    <row r="247" spans="1:19" x14ac:dyDescent="0.25">
      <c r="A247" t="s">
        <v>46</v>
      </c>
      <c r="B247" s="22" cm="1">
        <f t="array" ref="B247">INDEX(LINEST(J$22:J$35,$A$22:$A$35^{1,2,3}), 1,4)</f>
        <v>-4.7152593139798515</v>
      </c>
      <c r="C247" s="22" cm="1">
        <f t="array" ref="C247">INDEX(LINEST(K$22:K$35,$A$22:$A$35^{1,2,3}), 1,4)</f>
        <v>-5.6049896668340944</v>
      </c>
      <c r="D247" s="23" cm="1">
        <f t="array" ref="D247">INDEX(LINEST(L$22:L$35,$A$22:$A$35^{1,2,3}), 1,4)</f>
        <v>-5.2230130759979954</v>
      </c>
      <c r="E247" s="23" cm="1">
        <f t="array" ref="E247">INDEX(LINEST(M$22:M$35,$A$22:$A$35^{1,2,3}), 1,4)</f>
        <v>-3.8019301276093564</v>
      </c>
      <c r="F247" s="23" cm="1">
        <f t="array" ref="F247">INDEX(LINEST(N$22:N$35,$A$22:$A$35^{1,2,3}), 1,4)</f>
        <v>-4.2247286445798764</v>
      </c>
      <c r="G247" s="23" cm="1">
        <f t="array" ref="G247">INDEX(LINEST(O$22:O$35,$A$22:$A$35^{1,2,3}), 1,4)</f>
        <v>-3.8833556210577758</v>
      </c>
      <c r="H247" s="23" cm="1">
        <f t="array" ref="H247">INDEX(LINEST(P$22:P$35,$A$22:$A$35^{1,2,3}), 1,4)</f>
        <v>-5.4370170565019791</v>
      </c>
      <c r="I247" s="23" cm="1">
        <f t="array" ref="I247">INDEX(LINEST(B$22:B$35,$A$22:$A$35^{1,2,3}), 1,4)</f>
        <v>4769.264792186189</v>
      </c>
      <c r="J247" s="23" cm="1">
        <f t="array" ref="J247">INDEX(LINEST($C$80:$C$100,$A$80:$A$100^{1,2,3}), 1,4)</f>
        <v>4752.5945793337087</v>
      </c>
      <c r="K247" s="23" cm="1">
        <f t="array" ref="K247">INDEX(LINEST($M$80:$M$100,$K$80:$K$100^{1,2,3}), 1,4)</f>
        <v>4753.1032373423695</v>
      </c>
    </row>
    <row r="248" spans="1:19" x14ac:dyDescent="0.25">
      <c r="A248" t="s">
        <v>47</v>
      </c>
      <c r="B248" s="23" cm="1">
        <f t="array" ref="B248">INDEX(LINEST(J$22:J$35,$A$22:$A$35^{1,2,3}), 1,3)</f>
        <v>0.12257643391584666</v>
      </c>
      <c r="C248" s="22" cm="1">
        <f t="array" ref="C248">INDEX(LINEST(K$22:K$35,$A$22:$A$35^{1,2,3}), 1,3)</f>
        <v>0.13734578408915368</v>
      </c>
      <c r="D248" s="23" cm="1">
        <f t="array" ref="D248">INDEX(LINEST(L$22:L$35,$A$22:$A$35^{1,2,3}), 1,3)</f>
        <v>0.14303566479750643</v>
      </c>
      <c r="E248" s="23" cm="1">
        <f t="array" ref="E248">INDEX(LINEST(M$22:M$35,$A$22:$A$35^{1,2,3}), 1,3)</f>
        <v>0.12742793542580988</v>
      </c>
      <c r="F248" s="23" cm="1">
        <f t="array" ref="F248">INDEX(LINEST(N$22:N$35,$A$22:$A$35^{1,2,3}), 1,3)</f>
        <v>0.21376696841659698</v>
      </c>
      <c r="G248" s="23" cm="1">
        <f t="array" ref="G248">INDEX(LINEST(O$22:O$35,$A$22:$A$35^{1,2,3}), 1,3)</f>
        <v>0.27017953948232504</v>
      </c>
      <c r="H248" s="23" cm="1">
        <f t="array" ref="H248">INDEX(LINEST(P$22:P$35,$A$22:$A$35^{1,2,3}), 1,3)</f>
        <v>0.42518226914559049</v>
      </c>
      <c r="I248" s="23" cm="1">
        <f t="array" ref="I248">INDEX(LINEST(B$22:B$35,$A$22:$A$35^{1,2,3}), 1,3)</f>
        <v>-5.488728318170498</v>
      </c>
      <c r="J248" s="23" cm="1">
        <f t="array" ref="J248">INDEX(LINEST($C$80:$C$100,$A$80:$A$100^{1,2,3}), 1,3)</f>
        <v>-5.5039521068811519</v>
      </c>
      <c r="K248" s="23" cm="1">
        <f t="array" ref="K248">INDEX(LINEST($M$80:$M$100,$K$80:$K$100^{1,2,3}), 1,3)</f>
        <v>-5.6115267857830977</v>
      </c>
    </row>
    <row r="249" spans="1:19" x14ac:dyDescent="0.25">
      <c r="A249" t="s">
        <v>48</v>
      </c>
      <c r="B249" s="23" cm="1">
        <f t="array" ref="B249">INDEX(LINEST(J$22:J$35,$A$22:$A$35^{1,2,3}), 1,2)</f>
        <v>-3.9148953426887005E-4</v>
      </c>
      <c r="C249" s="23" cm="1">
        <f t="array" ref="C249">INDEX(LINEST(K$22:K$35,$A$22:$A$35^{1,2,3}), 1,2)</f>
        <v>-7.3531638378454024E-4</v>
      </c>
      <c r="D249" s="23" cm="1">
        <f t="array" ref="D249">INDEX(LINEST(L$22:L$35,$A$22:$A$35^{1,2,3}), 1,2)</f>
        <v>-6.425762060688322E-4</v>
      </c>
      <c r="E249" s="23" cm="1">
        <f t="array" ref="E249">INDEX(LINEST(M$22:M$35,$A$22:$A$35^{1,2,3}), 1,2)</f>
        <v>-4.1828244282880739E-4</v>
      </c>
      <c r="F249" s="23" cm="1">
        <f t="array" ref="F249">INDEX(LINEST(N$22:N$35,$A$22:$A$35^{1,2,3}), 1,2)</f>
        <v>-4.1897092173516417E-4</v>
      </c>
      <c r="G249" s="23" cm="1">
        <f t="array" ref="G249">INDEX(LINEST(O$22:O$35,$A$22:$A$35^{1,2,3}), 1,2)</f>
        <v>-4.3041746627485932E-4</v>
      </c>
      <c r="H249" s="23" cm="1">
        <f t="array" ref="H249">INDEX(LINEST(P$22:P$35,$A$22:$A$35^{1,2,3}), 1,2)</f>
        <v>-5.0833001033798295E-4</v>
      </c>
      <c r="I249" s="23" cm="1">
        <f t="array" ref="I249">INDEX(LINEST(B$22:B$35,$A$22:$A$35^{1,2,3}), 1,2)</f>
        <v>2.1544030658812025E-3</v>
      </c>
      <c r="J249" s="23" cm="1">
        <f t="array" ref="J249">INDEX(LINEST($C$80:$C$100,$A$80:$A$100^{1,2,3}), 1,2)</f>
        <v>2.4853834190218006E-3</v>
      </c>
      <c r="K249" s="23" cm="1">
        <f t="array" ref="K249">INDEX(LINEST($M$80:$M$100,$K$80:$K$100^{1,2,3}), 1,2)</f>
        <v>2.4732054114205869E-3</v>
      </c>
    </row>
    <row r="250" spans="1:19" x14ac:dyDescent="0.25">
      <c r="A250" t="s">
        <v>49</v>
      </c>
      <c r="B250" s="22" cm="1">
        <f t="array" ref="B250">INDEX(LINEST(J$22:J$35,$A$22:$A$35^{1,2,3}), 1)</f>
        <v>-5.5991870270182016E-7</v>
      </c>
      <c r="C250" s="22" cm="1">
        <f t="array" ref="C250">INDEX(LINEST(K$22:K$35,$A$22:$A$35^{1,2,3}), 1)</f>
        <v>-1.8385928184687502E-7</v>
      </c>
      <c r="D250" s="23" cm="1">
        <f t="array" ref="D250">INDEX(LINEST(L$22:L$35,$A$22:$A$35^{1,2,3}), 1)</f>
        <v>-3.6805543579669509E-7</v>
      </c>
      <c r="E250" s="23" cm="1">
        <f t="array" ref="E250">INDEX(LINEST(M$22:M$35,$A$22:$A$35^{1,2,3}), 1)</f>
        <v>-6.3475643364633567E-7</v>
      </c>
      <c r="F250" s="23" cm="1">
        <f t="array" ref="F250">INDEX(LINEST(N$22:N$35,$A$22:$A$35^{1,2,3}), 1)</f>
        <v>-7.6283640474747762E-7</v>
      </c>
      <c r="G250" s="23" cm="1">
        <f t="array" ref="G250">INDEX(LINEST(O$22:O$35,$A$22:$A$35^{1,2,3}), 1)</f>
        <v>-5.420781657867934E-7</v>
      </c>
      <c r="H250" s="23" cm="1">
        <f t="array" ref="H250">INDEX(LINEST(P$22:P$35,$A$22:$A$35^{1,2,3}), 1)</f>
        <v>-6.5127631205175917E-7</v>
      </c>
      <c r="I250" s="23" cm="1">
        <f t="array" ref="I250">INDEX(LINEST(B$22:B$35,$A$22:$A$35^{1,2,3}), 1)</f>
        <v>-8.9827748929408372E-8</v>
      </c>
      <c r="J250" s="23" cm="1">
        <f t="array" ref="J250">INDEX(LINEST($C$80:$C$100,$A$80:$A$100^{1,2,3}), 1)</f>
        <v>-4.8891662621633132E-7</v>
      </c>
      <c r="K250" s="23" cm="1">
        <f t="array" ref="K250">INDEX(LINEST($M$80:$M$100,$K$80:$K$100^{1,2,3}), 1)</f>
        <v>-3.8598032190718358E-7</v>
      </c>
    </row>
    <row r="251" spans="1:19" x14ac:dyDescent="0.25">
      <c r="A251" t="s">
        <v>50</v>
      </c>
      <c r="B251" s="22"/>
      <c r="C251" s="22"/>
      <c r="D251" s="23"/>
      <c r="E251" s="23"/>
      <c r="F251" s="23"/>
      <c r="G251" s="23"/>
      <c r="H251" s="23"/>
      <c r="I251" s="23"/>
    </row>
    <row r="252" spans="1:19" x14ac:dyDescent="0.25">
      <c r="A252" t="s">
        <v>51</v>
      </c>
      <c r="B252" s="22"/>
      <c r="C252" s="22"/>
      <c r="D252" s="23"/>
      <c r="E252" s="23"/>
      <c r="F252" s="23"/>
      <c r="G252" s="23"/>
      <c r="H252" s="23"/>
      <c r="I252" s="23"/>
    </row>
    <row r="253" spans="1:19" x14ac:dyDescent="0.25">
      <c r="A253" t="s">
        <v>52</v>
      </c>
      <c r="B253" s="22"/>
      <c r="C253" s="22"/>
      <c r="D253" s="23"/>
      <c r="E253" s="23"/>
      <c r="F253" s="23"/>
      <c r="G253" s="23"/>
      <c r="H253" s="23"/>
      <c r="I253" s="23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s="29"/>
      <c r="B255" s="62"/>
      <c r="C255" s="62"/>
      <c r="D255" s="62"/>
      <c r="E255" s="62"/>
      <c r="F255" s="62"/>
      <c r="G255" s="62"/>
      <c r="H255" s="62"/>
      <c r="L255" s="60" t="s">
        <v>104</v>
      </c>
      <c r="M255" s="60"/>
      <c r="N255" s="60"/>
      <c r="O255" s="60"/>
    </row>
    <row r="256" spans="1:19" x14ac:dyDescent="0.25">
      <c r="A256" s="30" t="s">
        <v>4</v>
      </c>
      <c r="B256" s="60" t="s">
        <v>54</v>
      </c>
      <c r="C256" s="60"/>
      <c r="D256" s="60"/>
      <c r="E256" s="60"/>
      <c r="F256" s="60"/>
      <c r="G256" s="60"/>
      <c r="H256" s="60"/>
      <c r="I256" s="60" t="s">
        <v>55</v>
      </c>
      <c r="J256" s="60"/>
      <c r="K256" s="59"/>
      <c r="L256" s="43" t="s">
        <v>103</v>
      </c>
      <c r="M256" s="43" t="s">
        <v>108</v>
      </c>
      <c r="N256" s="41" t="s">
        <v>105</v>
      </c>
      <c r="O256" s="1">
        <f>AVERAGE($L257:$L284)</f>
        <v>3.9265727588765458</v>
      </c>
    </row>
    <row r="257" spans="1:15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4769.264792186189</v>
      </c>
      <c r="J257" s="2" cm="1">
        <f t="array" ref="J257">EvaluatePolynomial(J$247:J$250,$A257)</f>
        <v>4752.5945793337087</v>
      </c>
      <c r="K257" s="1" cm="1">
        <f t="array" ref="K257">EvaluatePolynomial(K$247:K$250,$A257)</f>
        <v>4753.1032373423695</v>
      </c>
      <c r="L257" s="1">
        <f>$I257-$J257</f>
        <v>16.67021285248029</v>
      </c>
      <c r="M257" s="42">
        <f>$L257/AVERAGE($I257:$J257)</f>
        <v>3.5014616792895057E-3</v>
      </c>
      <c r="N257" s="41" t="s">
        <v>106</v>
      </c>
      <c r="O257" s="1">
        <f>_xlfn.STDEV.S($L257:$L284)</f>
        <v>9.6125959958466591</v>
      </c>
    </row>
    <row r="258" spans="1:15" x14ac:dyDescent="0.25">
      <c r="A258" s="1">
        <v>25</v>
      </c>
      <c r="B258" s="2" cm="1">
        <f t="array" ref="B258">TrajectoryToComeUp(B$247:B$250,$A258)</f>
        <v>0.76171126189257798</v>
      </c>
      <c r="C258" s="2" cm="1">
        <f t="array" ref="C258">TrajectoryToComeUp(C$247:C$250,$A258)</f>
        <v>1.0535162422997788</v>
      </c>
      <c r="D258" s="2" cm="1">
        <f t="array" ref="D258">TrajectoryToComeUp(D$247:D$250,$A258)</f>
        <v>0.82179298041507121</v>
      </c>
      <c r="E258" s="2" cm="1">
        <f t="array" ref="E258">TrajectoryToComeUp(E$247:E$250,$A258)</f>
        <v>0.35503053520313527</v>
      </c>
      <c r="F258" s="2" cm="1">
        <f t="array" ref="F258">TrajectoryToComeUp(F$247:F$250,$A258)</f>
        <v>-0.33826776837055639</v>
      </c>
      <c r="G258" s="2" cm="1">
        <f t="array" ref="G258">TrajectoryToComeUp(G$247:G$250,$A258)</f>
        <v>-1.0374607912952576</v>
      </c>
      <c r="H258" s="2" cm="1">
        <f t="array" ref="H258">TrajectoryToComeUp(H$247:H$250,$A258)</f>
        <v>-1.9458628893202938</v>
      </c>
      <c r="I258" s="2" cm="1">
        <f t="array" ref="I258">EvaluatePolynomial(I$247:I$250,$A258)</f>
        <v>4633.3916825895249</v>
      </c>
      <c r="J258" s="2" cm="1">
        <f t="array" ref="J258">EvaluatePolynomial(J$247:J$250,$A258)</f>
        <v>4616.5415019762841</v>
      </c>
      <c r="K258" s="1" cm="1">
        <f t="array" ref="K258">EvaluatePolynomial(K$247:K$250,$A258)</f>
        <v>4614.3547901374004</v>
      </c>
      <c r="L258" s="1">
        <f t="shared" ref="L258:L300" si="2">$I258-$J258</f>
        <v>16.850180613240809</v>
      </c>
      <c r="M258" s="42">
        <f t="shared" ref="M258:M300" si="3">$L258/AVERAGE($I258:$J258)</f>
        <v>3.6433086114300954E-3</v>
      </c>
      <c r="N258" s="41" t="s">
        <v>107</v>
      </c>
      <c r="O258" s="44">
        <f>_xlfn.VAR.S($L257:$L284)</f>
        <v>92.402001779367239</v>
      </c>
    </row>
    <row r="259" spans="1:15" x14ac:dyDescent="0.25">
      <c r="A259" s="1">
        <v>50</v>
      </c>
      <c r="B259" s="2" cm="1">
        <f t="array" ref="B259">TrajectoryToComeUp(B$247:B$250,$A259)</f>
        <v>-7.2969741660515813E-2</v>
      </c>
      <c r="C259" s="2" cm="1">
        <f t="array" ref="C259">TrajectoryToComeUp(C$247:C$250,$A259)</f>
        <v>0.11979476641372395</v>
      </c>
      <c r="D259" s="2" cm="1">
        <f t="array" ref="D259">TrajectoryToComeUp(D$247:D$250,$A259)</f>
        <v>-5.5264543846131754E-2</v>
      </c>
      <c r="E259" s="2" cm="1">
        <f t="array" ref="E259">TrajectoryToComeUp(E$247:E$250,$A259)</f>
        <v>-0.28888319648066535</v>
      </c>
      <c r="F259" s="2" cm="1">
        <f t="array" ref="F259">TrajectoryToComeUp(F$247:F$250,$A259)</f>
        <v>-1.0641675842637255</v>
      </c>
      <c r="G259" s="2" cm="1">
        <f t="array" ref="G259">TrajectoryToComeUp(G$247:G$250,$A259)</f>
        <v>-1.6963635833295956</v>
      </c>
      <c r="H259" s="2" cm="1">
        <f t="array" ref="H259">TrajectoryToComeUp(H$247:H$250,$A259)</f>
        <v>-2.8939723671852242</v>
      </c>
      <c r="I259" s="2" cm="1">
        <f t="array" ref="I259">EvaluatePolynomial(I$247:I$250,$A259)</f>
        <v>4500.2031554737505</v>
      </c>
      <c r="J259" s="2" cm="1">
        <f t="array" ref="J259">EvaluatePolynomial(J$247:J$250,$A259)</f>
        <v>4483.5493179589284</v>
      </c>
      <c r="K259" s="1" cm="1">
        <f t="array" ref="K259">EvaluatePolynomial(K$247:K$250,$A259)</f>
        <v>4478.6616640415277</v>
      </c>
      <c r="L259" s="1">
        <f t="shared" si="2"/>
        <v>16.653837514822044</v>
      </c>
      <c r="M259" s="42">
        <f t="shared" si="3"/>
        <v>3.7075459423157138E-3</v>
      </c>
      <c r="N259" s="41" t="s">
        <v>109</v>
      </c>
      <c r="O259" s="45">
        <f>AVERAGE($M257:$M284)</f>
        <v>5.7793927453612254E-4</v>
      </c>
    </row>
    <row r="260" spans="1:15" x14ac:dyDescent="0.25">
      <c r="A260" s="1">
        <v>75</v>
      </c>
      <c r="B260" s="2" cm="1">
        <f t="array" ref="B260">TrajectoryToComeUp(B$247:B$250,$A260)</f>
        <v>-0.27195051956585642</v>
      </c>
      <c r="C260" s="2" cm="1">
        <f t="array" ref="C260">TrajectoryToComeUp(C$247:C$250,$A260)</f>
        <v>-6.4296512871365633E-2</v>
      </c>
      <c r="D260" s="2" cm="1">
        <f t="array" ref="D260">TrajectoryToComeUp(D$247:D$250,$A260)</f>
        <v>-0.23131963169347666</v>
      </c>
      <c r="E260" s="2" cm="1">
        <f t="array" ref="E260">TrajectoryToComeUp(E$247:E$250,$A260)</f>
        <v>-0.41793845572930599</v>
      </c>
      <c r="F260" s="2" cm="1">
        <f t="array" ref="F260">TrajectoryToComeUp(F$247:F$250,$A260)</f>
        <v>-1.2172347924869009</v>
      </c>
      <c r="G260" s="2" cm="1">
        <f t="array" ref="G260">TrajectoryToComeUp(G$247:G$250,$A260)</f>
        <v>-1.8307096488172285</v>
      </c>
      <c r="H260" s="2" cm="1">
        <f t="array" ref="H260">TrajectoryToComeUp(H$247:H$250,$A260)</f>
        <v>-3.1090052836159088</v>
      </c>
      <c r="I260" s="2" cm="1">
        <f t="array" ref="I260">EvaluatePolynomial(I$247:I$250,$A260)</f>
        <v>4369.6907894874039</v>
      </c>
      <c r="J260" s="2" cm="1">
        <f t="array" ref="J260">EvaluatePolynomial(J$247:J$250,$A260)</f>
        <v>4353.5721913479347</v>
      </c>
      <c r="K260" s="1" cm="1">
        <f t="array" ref="K260">EvaluatePolynomial(K$247:K$250,$A260)</f>
        <v>4345.9876733995734</v>
      </c>
      <c r="L260" s="1">
        <f t="shared" si="2"/>
        <v>16.118598139469213</v>
      </c>
      <c r="M260" s="42">
        <f t="shared" si="3"/>
        <v>3.6955433247584379E-3</v>
      </c>
      <c r="N260" s="41"/>
      <c r="O260" s="1"/>
    </row>
    <row r="261" spans="1:15" x14ac:dyDescent="0.25">
      <c r="A261" s="1">
        <v>100</v>
      </c>
      <c r="B261" s="2" cm="1">
        <f t="array" ref="B261">TrajectoryToComeUp(B$247:B$250,$A261)</f>
        <v>-0.30675700322142935</v>
      </c>
      <c r="C261" s="2" cm="1">
        <f t="array" ref="C261">TrajectoryToComeUp(C$247:C$250,$A261)</f>
        <v>-5.9256562238899593E-2</v>
      </c>
      <c r="D261" s="2" cm="1">
        <f t="array" ref="D261">TrajectoryToComeUp(D$247:D$250,$A261)</f>
        <v>-0.22867359072676299</v>
      </c>
      <c r="E261" s="2" cm="1">
        <f t="array" ref="E261">TrajectoryToComeUp(E$247:E$250,$A261)</f>
        <v>-0.41232825530372225</v>
      </c>
      <c r="F261" s="2" cm="1">
        <f t="array" ref="F261">TrajectoryToComeUp(F$247:F$250,$A261)</f>
        <v>-1.2199422574980703</v>
      </c>
      <c r="G261" s="2" cm="1">
        <f t="array" ref="G261">TrajectoryToComeUp(G$247:G$250,$A261)</f>
        <v>-1.828834549863934</v>
      </c>
      <c r="H261" s="2" cm="1">
        <f t="array" ref="H261">TrajectoryToComeUp(H$247:H$250,$A261)</f>
        <v>-3.134663344262548</v>
      </c>
      <c r="I261" s="2" cm="1">
        <f t="array" ref="I261">EvaluatePolynomial(I$247:I$250,$A261)</f>
        <v>4241.8461632790222</v>
      </c>
      <c r="J261" s="2" cm="1">
        <f t="array" ref="J261">EvaluatePolynomial(J$247:J$250,$A261)</f>
        <v>4226.5642862095956</v>
      </c>
      <c r="K261" s="1" cm="1">
        <f t="array" ref="K261">EvaluatePolynomial(K$247:K$250,$A261)</f>
        <v>4216.2966325563584</v>
      </c>
      <c r="L261" s="1">
        <f t="shared" si="2"/>
        <v>15.281877069426628</v>
      </c>
      <c r="M261" s="42">
        <f t="shared" si="3"/>
        <v>3.6091488858690014E-3</v>
      </c>
      <c r="N261" s="41"/>
      <c r="O261" s="1"/>
    </row>
    <row r="262" spans="1:15" x14ac:dyDescent="0.25">
      <c r="A262" s="1">
        <v>125</v>
      </c>
      <c r="B262" s="2" cm="1">
        <f t="array" ref="B262">TrajectoryToComeUp(B$247:B$250,$A262)</f>
        <v>-0.27169437890683146</v>
      </c>
      <c r="C262" s="2" cm="1">
        <f t="array" ref="C262">TrajectoryToComeUp(C$247:C$250,$A262)</f>
        <v>2.2814824974440179E-2</v>
      </c>
      <c r="D262" s="2" cm="1">
        <f t="array" ref="D262">TrajectoryToComeUp(D$247:D$250,$A262)</f>
        <v>-0.15178668246595087</v>
      </c>
      <c r="E262" s="2" cm="1">
        <f t="array" ref="E262">TrajectoryToComeUp(E$247:E$250,$A262)</f>
        <v>-0.34809119775610114</v>
      </c>
      <c r="F262" s="2" cm="1">
        <f t="array" ref="F262">TrajectoryToComeUp(F$247:F$250,$A262)</f>
        <v>-1.1567845521888311</v>
      </c>
      <c r="G262" s="2" cm="1">
        <f t="array" ref="G262">TrajectoryToComeUp(G$247:G$250,$A262)</f>
        <v>-1.7684053988908679</v>
      </c>
      <c r="H262" s="2" cm="1">
        <f t="array" ref="H262">TrajectoryToComeUp(H$247:H$250,$A262)</f>
        <v>-3.0796868902551808</v>
      </c>
      <c r="I262" s="2" cm="1">
        <f t="array" ref="I262">EvaluatePolynomial(I$247:I$250,$A262)</f>
        <v>4116.6608554971426</v>
      </c>
      <c r="J262" s="2" cm="1">
        <f t="array" ref="J262">EvaluatePolynomial(J$247:J$250,$A262)</f>
        <v>4102.4797666102013</v>
      </c>
      <c r="K262" s="1" cm="1">
        <f t="array" ref="K262">EvaluatePolynomial(K$247:K$250,$A262)</f>
        <v>4089.5523558567038</v>
      </c>
      <c r="L262" s="1">
        <f t="shared" si="2"/>
        <v>14.181088886941325</v>
      </c>
      <c r="M262" s="42">
        <f t="shared" si="3"/>
        <v>3.4507473564323486E-3</v>
      </c>
      <c r="N262" s="41"/>
      <c r="O262" s="1"/>
    </row>
    <row r="263" spans="1:15" x14ac:dyDescent="0.25">
      <c r="A263" s="1">
        <v>145</v>
      </c>
      <c r="B263" s="2" cm="1">
        <f t="array" ref="B263">TrajectoryToComeUp(B$247:B$250,$A263)</f>
        <v>-0.21519130970969549</v>
      </c>
      <c r="C263" s="2" cm="1">
        <f t="array" ref="C263">TrajectoryToComeUp(C$247:C$250,$A263)</f>
        <v>0.11795834111015165</v>
      </c>
      <c r="D263" s="2" cm="1">
        <f t="array" ref="D263">TrajectoryToComeUp(D$247:D$250,$A263)</f>
        <v>-6.1029695454313117E-2</v>
      </c>
      <c r="E263" s="2" cm="1">
        <f t="array" ref="E263">TrajectoryToComeUp(E$247:E$250,$A263)</f>
        <v>-0.27211019421602339</v>
      </c>
      <c r="F263" s="2" cm="1">
        <f t="array" ref="F263">TrajectoryToComeUp(F$247:F$250,$A263)</f>
        <v>-1.0784148973739021</v>
      </c>
      <c r="G263" s="2" cm="1">
        <f t="array" ref="G263">TrajectoryToComeUp(G$247:G$250,$A263)</f>
        <v>-1.6959005053295637</v>
      </c>
      <c r="H263" s="2" cm="1">
        <f t="array" ref="H263">TrajectoryToComeUp(H$247:H$250,$A263)</f>
        <v>-3.0028466383050865</v>
      </c>
      <c r="I263" s="2" cm="1">
        <f t="array" ref="I263">EvaluatePolynomial(I$247:I$250,$A263)</f>
        <v>4018.4216593905394</v>
      </c>
      <c r="J263" s="2" cm="1">
        <f t="array" ref="J263">EvaluatePolynomial(J$247:J$250,$A263)</f>
        <v>4005.2861867712763</v>
      </c>
      <c r="K263" s="1" cm="1">
        <f t="array" ref="K263">EvaluatePolynomial(K$247:K$250,$A263)</f>
        <v>3990.2542879200637</v>
      </c>
      <c r="L263" s="1">
        <f t="shared" si="2"/>
        <v>13.135472619263055</v>
      </c>
      <c r="M263" s="42">
        <f t="shared" si="3"/>
        <v>3.2741652291207188E-3</v>
      </c>
      <c r="N263" s="41"/>
      <c r="O263" s="1"/>
    </row>
    <row r="264" spans="1:15" x14ac:dyDescent="0.25">
      <c r="A264" s="1">
        <v>150</v>
      </c>
      <c r="B264" s="2" cm="1">
        <f t="array" ref="B264">TrajectoryToComeUp(B$247:B$250,$A264)</f>
        <v>-0.19819770871526193</v>
      </c>
      <c r="C264" s="2" cm="1">
        <f t="array" ref="C264">TrajectoryToComeUp(C$247:C$250,$A264)</f>
        <v>0.14455105098976001</v>
      </c>
      <c r="D264" s="2" cm="1">
        <f t="array" ref="D264">TrajectoryToComeUp(D$247:D$250,$A264)</f>
        <v>-3.5478994084359936E-2</v>
      </c>
      <c r="E264" s="2" cm="1">
        <f t="array" ref="E264">TrajectoryToComeUp(E$247:E$250,$A264)</f>
        <v>-0.25057348393717177</v>
      </c>
      <c r="F264" s="2" cm="1">
        <f t="array" ref="F264">TrajectoryToComeUp(F$247:F$250,$A264)</f>
        <v>-1.0559265341897157</v>
      </c>
      <c r="G264" s="2" cm="1">
        <f t="array" ref="G264">TrajectoryToComeUp(G$247:G$250,$A264)</f>
        <v>-1.6753112333717475</v>
      </c>
      <c r="H264" s="2" cm="1">
        <f t="array" ref="H264">TrajectoryToComeUp(H$247:H$250,$A264)</f>
        <v>-2.9803227019704863</v>
      </c>
      <c r="I264" s="2" cm="1">
        <f t="array" ref="I264">EvaluatePolynomial(I$247:I$250,$A264)</f>
        <v>3994.1264447903045</v>
      </c>
      <c r="J264" s="2" cm="1">
        <f t="array" ref="J264">EvaluatePolynomial(J$247:J$250,$A264)</f>
        <v>3981.2727966160464</v>
      </c>
      <c r="K264" s="1" cm="1">
        <f t="array" ref="K264">EvaluatePolynomial(K$247:K$250,$A264)</f>
        <v>3965.7186576454314</v>
      </c>
      <c r="L264" s="1">
        <f t="shared" si="2"/>
        <v>12.853648174258069</v>
      </c>
      <c r="M264" s="42">
        <f t="shared" si="3"/>
        <v>3.2233240707311619E-3</v>
      </c>
      <c r="N264" s="41"/>
      <c r="O264" s="1"/>
    </row>
    <row r="265" spans="1:15" x14ac:dyDescent="0.25">
      <c r="A265" s="1">
        <v>163.4</v>
      </c>
      <c r="B265" s="2" cm="1">
        <f t="array" ref="B265">TrajectoryToComeUp(B$247:B$250,$A265)</f>
        <v>-0.14800304874096346</v>
      </c>
      <c r="C265" s="2" cm="1">
        <f t="array" ref="C265">TrajectoryToComeUp(C$247:C$250,$A265)</f>
        <v>0.22016137291393661</v>
      </c>
      <c r="D265" s="2" cm="1">
        <f t="array" ref="D265">TrajectoryToComeUp(D$247:D$250,$A265)</f>
        <v>3.7527897739540191E-2</v>
      </c>
      <c r="E265" s="2" cm="1">
        <f t="array" ref="E265">TrajectoryToComeUp(E$247:E$250,$A265)</f>
        <v>-0.18865240542097056</v>
      </c>
      <c r="F265" s="2" cm="1">
        <f t="array" ref="F265">TrajectoryToComeUp(F$247:F$250,$A265)</f>
        <v>-0.99084590982562437</v>
      </c>
      <c r="G265" s="2" cm="1">
        <f t="array" ref="G265">TrajectoryToComeUp(G$247:G$250,$A265)</f>
        <v>-1.6161013070759518</v>
      </c>
      <c r="H265" s="2" cm="1">
        <f t="array" ref="H265">TrajectoryToComeUp(H$247:H$250,$A265)</f>
        <v>-2.9145807629459282</v>
      </c>
      <c r="I265" s="2" cm="1">
        <f t="array" ref="I265">EvaluatePolynomial(I$247:I$250,$A265)</f>
        <v>3929.5363066705904</v>
      </c>
      <c r="J265" s="2" cm="1">
        <f t="array" ref="J265">EvaluatePolynomial(J$247:J$250,$A265)</f>
        <v>3917.4744482611318</v>
      </c>
      <c r="K265" s="1" cm="1">
        <f t="array" ref="K265">EvaluatePolynomial(K$247:K$250,$A265)</f>
        <v>3900.5293373415911</v>
      </c>
      <c r="L265" s="1">
        <f t="shared" si="2"/>
        <v>12.061858409458637</v>
      </c>
      <c r="M265" s="42">
        <f t="shared" si="3"/>
        <v>3.074255607940374E-3</v>
      </c>
      <c r="O265" s="1"/>
    </row>
    <row r="266" spans="1:15" x14ac:dyDescent="0.25">
      <c r="A266" s="1">
        <v>175</v>
      </c>
      <c r="B266" s="2" cm="1">
        <f t="array" ref="B266">TrajectoryToComeUp(B$247:B$250,$A266)</f>
        <v>-9.9739162115234453E-2</v>
      </c>
      <c r="C266" s="2" cm="1">
        <f t="array" ref="C266">TrajectoryToComeUp(C$247:C$250,$A266)</f>
        <v>0.28993785961610519</v>
      </c>
      <c r="D266" s="2" cm="1">
        <f t="array" ref="D266">TrajectoryToComeUp(D$247:D$250,$A266)</f>
        <v>0.1053265799151582</v>
      </c>
      <c r="E266" s="2" cm="1">
        <f t="array" ref="E266">TrajectoryToComeUp(E$247:E$250,$A266)</f>
        <v>-0.13063777135438945</v>
      </c>
      <c r="F266" s="2" cm="1">
        <f t="array" ref="F266">TrajectoryToComeUp(F$247:F$250,$A266)</f>
        <v>-0.92943885677095328</v>
      </c>
      <c r="G266" s="2" cm="1">
        <f t="array" ref="G266">TrajectoryToComeUp(G$247:G$250,$A266)</f>
        <v>-1.5606473550810254</v>
      </c>
      <c r="H266" s="2" cm="1">
        <f t="array" ref="H266">TrajectoryToComeUp(H$247:H$250,$A266)</f>
        <v>-2.8521051138556137</v>
      </c>
      <c r="I266" s="2" cm="1">
        <f t="array" ref="I266">EvaluatePolynomial(I$247:I$250,$A266)</f>
        <v>3874.234509807045</v>
      </c>
      <c r="J266" s="2" cm="1">
        <f t="array" ref="J266">EvaluatePolynomial(J$247:J$250,$A266)</f>
        <v>3862.8975402934216</v>
      </c>
      <c r="K266" s="1" cm="1">
        <f t="array" ref="K266">EvaluatePolynomial(K$247:K$250,$A266)</f>
        <v>3844.7593522673615</v>
      </c>
      <c r="L266" s="1">
        <f t="shared" si="2"/>
        <v>11.336969513623444</v>
      </c>
      <c r="M266" s="42">
        <f t="shared" si="3"/>
        <v>2.9305353560499809E-3</v>
      </c>
      <c r="O266" s="1"/>
    </row>
    <row r="267" spans="1:15" x14ac:dyDescent="0.25">
      <c r="A267" s="1">
        <v>200</v>
      </c>
      <c r="B267" s="2" cm="1">
        <f t="array" ref="B267">TrajectoryToComeUp(B$247:B$250,$A267)</f>
        <v>1.6945176158994227E-2</v>
      </c>
      <c r="C267" s="2" cm="1">
        <f t="array" ref="C267">TrajectoryToComeUp(C$247:C$250,$A267)</f>
        <v>0.45096812275799847</v>
      </c>
      <c r="D267" s="2" cm="1">
        <f t="array" ref="D267">TrajectoryToComeUp(D$247:D$250,$A267)</f>
        <v>0.26316859228117789</v>
      </c>
      <c r="E267" s="2" cm="1">
        <f t="array" ref="E267">TrajectoryToComeUp(E$247:E$250,$A267)</f>
        <v>6.2846112385181174E-3</v>
      </c>
      <c r="F267" s="2" cm="1">
        <f t="array" ref="F267">TrajectoryToComeUp(F$247:F$250,$A267)</f>
        <v>-0.78335684656765669</v>
      </c>
      <c r="G267" s="2" cm="1">
        <f t="array" ref="G267">TrajectoryToComeUp(G$247:G$250,$A267)</f>
        <v>-1.4299614149059257</v>
      </c>
      <c r="H267" s="2" cm="1">
        <f t="array" ref="H267">TrajectoryToComeUp(H$247:H$250,$A267)</f>
        <v>-2.7028012931341361</v>
      </c>
      <c r="I267" s="2" cm="1">
        <f t="array" ref="I267">EvaluatePolynomial(I$247:I$250,$A267)</f>
        <v>3756.9766291959022</v>
      </c>
      <c r="J267" s="2" cm="1">
        <f t="array" ref="J267">EvaluatePolynomial(J$247:J$250,$A267)</f>
        <v>3747.3081617086195</v>
      </c>
      <c r="K267" s="1" cm="1">
        <f t="array" ref="K267">EvaluatePolynomial(K$247:K$250,$A267)</f>
        <v>3726.6382540673158</v>
      </c>
      <c r="L267" s="1">
        <f t="shared" si="2"/>
        <v>9.668467487282669</v>
      </c>
      <c r="M267" s="42">
        <f t="shared" si="3"/>
        <v>2.5767858647905311E-3</v>
      </c>
      <c r="O267" s="1"/>
    </row>
    <row r="268" spans="1:15" x14ac:dyDescent="0.25">
      <c r="A268" s="1">
        <v>225</v>
      </c>
      <c r="B268" s="2" cm="1">
        <f t="array" ref="B268">TrajectoryToComeUp(B$247:B$250,$A268)</f>
        <v>0.14811303681061422</v>
      </c>
      <c r="C268" s="2" cm="1">
        <f t="array" ref="C268">TrajectoryToComeUp(C$247:C$250,$A268)</f>
        <v>0.62319343591795229</v>
      </c>
      <c r="D268" s="2" cm="1">
        <f t="array" ref="D268">TrajectoryToComeUp(D$247:D$250,$A268)</f>
        <v>0.43390179454068484</v>
      </c>
      <c r="E268" s="2" cm="1">
        <f t="array" ref="E268">TrajectoryToComeUp(E$247:E$250,$A268)</f>
        <v>0.15717625897836895</v>
      </c>
      <c r="F268" s="2" cm="1">
        <f t="array" ref="F268">TrajectoryToComeUp(F$247:F$250,$A268)</f>
        <v>-0.62103346282155647</v>
      </c>
      <c r="G268" s="2" cm="1">
        <f t="array" ref="G268">TrajectoryToComeUp(G$247:G$250,$A268)</f>
        <v>-1.2863354411171295</v>
      </c>
      <c r="H268" s="2" cm="1">
        <f t="array" ref="H268">TrajectoryToComeUp(H$247:H$250,$A268)</f>
        <v>-2.5367263327080409</v>
      </c>
      <c r="I268" s="2" cm="1">
        <f t="array" ref="I268">EvaluatePolynomial(I$247:I$250,$A268)</f>
        <v>3642.3443816054137</v>
      </c>
      <c r="J268" s="2" cm="1">
        <f t="array" ref="J268">EvaluatePolynomial(J$247:J$250,$A268)</f>
        <v>3634.4588249279327</v>
      </c>
      <c r="K268" s="1" cm="1">
        <f t="array" ref="K268">EvaluatePolynomial(K$247:K$250,$A268)</f>
        <v>3611.3191773901158</v>
      </c>
      <c r="L268" s="1">
        <f t="shared" si="2"/>
        <v>7.8855566774809631</v>
      </c>
      <c r="M268" s="42">
        <f t="shared" si="3"/>
        <v>2.1673134352186573E-3</v>
      </c>
      <c r="O268" s="1"/>
    </row>
    <row r="269" spans="1:15" x14ac:dyDescent="0.25">
      <c r="A269" s="1">
        <v>247.4</v>
      </c>
      <c r="B269" s="2" cm="1">
        <f t="array" ref="B269">TrajectoryToComeUp(B$247:B$250,$A269)</f>
        <v>0.27608140010292137</v>
      </c>
      <c r="C269" s="2" cm="1">
        <f t="array" ref="C269">TrajectoryToComeUp(C$247:C$250,$A269)</f>
        <v>0.78480496861564342</v>
      </c>
      <c r="D269" s="2" cm="1">
        <f t="array" ref="D269">TrajectoryToComeUp(D$247:D$250,$A269)</f>
        <v>0.59576782389450622</v>
      </c>
      <c r="E269" s="2" cm="1">
        <f t="array" ref="E269">TrajectoryToComeUp(E$247:E$250,$A269)</f>
        <v>0.30274068579876495</v>
      </c>
      <c r="F269" s="2" cm="1">
        <f t="array" ref="F269">TrajectoryToComeUp(F$247:F$250,$A269)</f>
        <v>-0.46346307349389154</v>
      </c>
      <c r="G269" s="2" cm="1">
        <f t="array" ref="G269">TrajectoryToComeUp(G$247:G$250,$A269)</f>
        <v>-1.1481874230171281</v>
      </c>
      <c r="H269" s="2" cm="1">
        <f t="array" ref="H269">TrajectoryToComeUp(H$247:H$250,$A269)</f>
        <v>-2.3758228653520419</v>
      </c>
      <c r="I269" s="2" cm="1">
        <f t="array" ref="I269">EvaluatePolynomial(I$247:I$250,$A269)</f>
        <v>3541.8572162701694</v>
      </c>
      <c r="J269" s="2" cm="1">
        <f t="array" ref="J269">EvaluatePolynomial(J$247:J$250,$A269)</f>
        <v>3535.6356488839124</v>
      </c>
      <c r="K269" s="1" cm="1">
        <f t="array" ref="K269">EvaluatePolynomial(K$247:K$250,$A269)</f>
        <v>3510.3436733280405</v>
      </c>
      <c r="L269" s="1">
        <f t="shared" si="2"/>
        <v>6.2215673862569929</v>
      </c>
      <c r="M269" s="42">
        <f t="shared" si="3"/>
        <v>1.7581274908488505E-3</v>
      </c>
      <c r="O269" s="1"/>
    </row>
    <row r="270" spans="1:15" x14ac:dyDescent="0.25">
      <c r="A270" s="1">
        <v>250</v>
      </c>
      <c r="B270" s="2" cm="1">
        <f t="array" ref="B270">TrajectoryToComeUp(B$247:B$250,$A270)</f>
        <v>0.29151905826154012</v>
      </c>
      <c r="C270" s="2" cm="1">
        <f t="array" ref="C270">TrajectoryToComeUp(C$247:C$250,$A270)</f>
        <v>0.80394475639747442</v>
      </c>
      <c r="D270" s="2" cm="1">
        <f t="array" ref="D270">TrajectoryToComeUp(D$247:D$250,$A270)</f>
        <v>0.61503903760987044</v>
      </c>
      <c r="E270" s="2" cm="1">
        <f t="array" ref="E270">TrajectoryToComeUp(E$247:E$250,$A270)</f>
        <v>0.32022672894725379</v>
      </c>
      <c r="F270" s="2" cm="1">
        <f t="array" ref="F270">TrajectoryToComeUp(F$247:F$250,$A270)</f>
        <v>-0.44448048107769089</v>
      </c>
      <c r="G270" s="2" cm="1">
        <f t="array" ref="G270">TrajectoryToComeUp(G$247:G$250,$A270)</f>
        <v>-1.1316186506770451</v>
      </c>
      <c r="H270" s="2" cm="1">
        <f t="array" ref="H270">TrajectoryToComeUp(H$247:H$250,$A270)</f>
        <v>-2.356469288318519</v>
      </c>
      <c r="I270" s="2" cm="1">
        <f t="array" ref="I270">EvaluatePolynomial(I$247:I$250,$A270)</f>
        <v>3530.3293456841175</v>
      </c>
      <c r="J270" s="2" cm="1">
        <f t="array" ref="J270">EvaluatePolynomial(J$247:J$250,$A270)</f>
        <v>3524.303694017653</v>
      </c>
      <c r="K270" s="1" cm="1">
        <f t="array" ref="K270">EvaluatePolynomial(K$247:K$250,$A270)</f>
        <v>3498.7659365805821</v>
      </c>
      <c r="L270" s="1">
        <f t="shared" si="2"/>
        <v>6.025651666464455</v>
      </c>
      <c r="M270" s="42">
        <f t="shared" si="3"/>
        <v>1.7082820984602725E-3</v>
      </c>
      <c r="O270" s="1"/>
    </row>
    <row r="271" spans="1:15" x14ac:dyDescent="0.25">
      <c r="A271" s="1">
        <v>275</v>
      </c>
      <c r="B271" s="2" cm="1">
        <f t="array" ref="B271">TrajectoryToComeUp(B$247:B$250,$A271)</f>
        <v>0.44573437405299016</v>
      </c>
      <c r="C271" s="2" cm="1">
        <f t="array" ref="C271">TrajectoryToComeUp(C$247:C$250,$A271)</f>
        <v>0.99152360247934235</v>
      </c>
      <c r="D271" s="2" cm="1">
        <f t="array" ref="D271">TrajectoryToComeUp(D$247:D$250,$A271)</f>
        <v>0.80499759025358386</v>
      </c>
      <c r="E271" s="2" cm="1">
        <f t="array" ref="E271">TrajectoryToComeUp(E$247:E$250,$A271)</f>
        <v>0.49428392110650321</v>
      </c>
      <c r="F271" s="2" cm="1">
        <f t="array" ref="F271">TrajectoryToComeUp(F$247:F$250,$A271)</f>
        <v>-0.25497812213744742</v>
      </c>
      <c r="G271" s="2" cm="1">
        <f t="array" ref="G271">TrajectoryToComeUp(G$247:G$250,$A271)</f>
        <v>-0.96698781801629652</v>
      </c>
      <c r="H271" s="2" cm="1">
        <f t="array" ref="H271">TrajectoryToComeUp(H$247:H$250,$A271)</f>
        <v>-2.1636777408917824</v>
      </c>
      <c r="I271" s="2" cm="1">
        <f t="array" ref="I271">EvaluatePolynomial(I$247:I$250,$A271)</f>
        <v>3420.9231000805516</v>
      </c>
      <c r="J271" s="2" cm="1">
        <f t="array" ref="J271">EvaluatePolynomial(J$247:J$250,$A271)</f>
        <v>3416.7969330440728</v>
      </c>
      <c r="K271" s="1" cm="1">
        <f t="array" ref="K271">EvaluatePolynomial(K$247:K$250,$A271)</f>
        <v>3388.9423459835361</v>
      </c>
      <c r="L271" s="1">
        <f t="shared" si="2"/>
        <v>4.1261670364788188</v>
      </c>
      <c r="M271" s="42">
        <f t="shared" si="3"/>
        <v>1.2068838783951467E-3</v>
      </c>
      <c r="O271" s="1"/>
    </row>
    <row r="272" spans="1:15" x14ac:dyDescent="0.25">
      <c r="A272" s="1">
        <v>300</v>
      </c>
      <c r="B272" s="2" cm="1">
        <f t="array" ref="B272">TrajectoryToComeUp(B$247:B$250,$A272)</f>
        <v>0.60980640654577678</v>
      </c>
      <c r="C272" s="2" cm="1">
        <f t="array" ref="C272">TrajectoryToComeUp(C$247:C$250,$A272)</f>
        <v>1.1847976530187412</v>
      </c>
      <c r="D272" s="2" cm="1">
        <f t="array" ref="D272">TrajectoryToComeUp(D$247:D$250,$A272)</f>
        <v>1.0027222983150579</v>
      </c>
      <c r="E272" s="2" cm="1">
        <f t="array" ref="E272">TrajectoryToComeUp(E$247:E$250,$A272)</f>
        <v>0.67857976876367054</v>
      </c>
      <c r="F272" s="2" cm="1">
        <f t="array" ref="F272">TrajectoryToComeUp(F$247:F$250,$A272)</f>
        <v>-5.3379866535084898E-2</v>
      </c>
      <c r="G272" s="2" cm="1">
        <f t="array" ref="G272">TrajectoryToComeUp(G$247:G$250,$A272)</f>
        <v>-0.79322745942196593</v>
      </c>
      <c r="H272" s="2" cm="1">
        <f t="array" ref="H272">TrajectoryToComeUp(H$247:H$250,$A272)</f>
        <v>-1.9594500777119734</v>
      </c>
      <c r="I272" s="2" cm="1">
        <f t="array" ref="I272">EvaluatePolynomial(I$247:I$250,$A272)</f>
        <v>3314.1172234432538</v>
      </c>
      <c r="J272" s="2" cm="1">
        <f t="array" ref="J272">EvaluatePolynomial(J$247:J$250,$A272)</f>
        <v>3311.8927060734841</v>
      </c>
      <c r="K272" s="1" cm="1">
        <f t="array" ref="K272">EvaluatePolynomial(K$247:K$250,$A272)</f>
        <v>3281.8122199437989</v>
      </c>
      <c r="L272" s="1">
        <f t="shared" si="2"/>
        <v>2.2245173697697282</v>
      </c>
      <c r="M272" s="42">
        <f t="shared" si="3"/>
        <v>6.714500561975377E-4</v>
      </c>
      <c r="O272" s="1"/>
    </row>
    <row r="273" spans="1:15" x14ac:dyDescent="0.25">
      <c r="A273" s="1">
        <v>325</v>
      </c>
      <c r="B273" s="2" cm="1">
        <f t="array" ref="B273">TrajectoryToComeUp(B$247:B$250,$A273)</f>
        <v>0.7830756789127693</v>
      </c>
      <c r="C273" s="2" cm="1">
        <f t="array" ref="C273">TrajectoryToComeUp(C$247:C$250,$A273)</f>
        <v>1.3829829933769529</v>
      </c>
      <c r="D273" s="2" cm="1">
        <f t="array" ref="D273">TrajectoryToComeUp(D$247:D$250,$A273)</f>
        <v>1.2074826704549917</v>
      </c>
      <c r="E273" s="2" cm="1">
        <f t="array" ref="E273">TrajectoryToComeUp(E$247:E$250,$A273)</f>
        <v>0.87258253343937053</v>
      </c>
      <c r="F273" s="2" cm="1">
        <f t="array" ref="F273">TrajectoryToComeUp(F$247:F$250,$A273)</f>
        <v>0.15972341459029474</v>
      </c>
      <c r="G273" s="2" cm="1">
        <f t="array" ref="G273">TrajectoryToComeUp(G$247:G$250,$A273)</f>
        <v>-0.61088070155434104</v>
      </c>
      <c r="H273" s="2" cm="1">
        <f t="array" ref="H273">TrajectoryToComeUp(H$247:H$250,$A273)</f>
        <v>-1.7445467207450363</v>
      </c>
      <c r="I273" s="2" cm="1">
        <f t="array" ref="I273">EvaluatePolynomial(I$247:I$250,$A273)</f>
        <v>3209.903294420762</v>
      </c>
      <c r="J273" s="2" cm="1">
        <f t="array" ref="J273">EvaluatePolynomial(J$247:J$250,$A273)</f>
        <v>3209.5451771721796</v>
      </c>
      <c r="K273" s="1" cm="1">
        <f t="array" ref="K273">EvaluatePolynomial(K$247:K$250,$A273)</f>
        <v>3177.3393728061924</v>
      </c>
      <c r="L273" s="1">
        <f t="shared" si="2"/>
        <v>0.35811724858240268</v>
      </c>
      <c r="M273" s="42">
        <f t="shared" si="3"/>
        <v>1.115725907504756E-4</v>
      </c>
      <c r="O273" s="1"/>
    </row>
    <row r="274" spans="1:15" x14ac:dyDescent="0.25">
      <c r="A274" s="1">
        <v>350</v>
      </c>
      <c r="B274" s="2" cm="1">
        <f t="array" ref="B274">TrajectoryToComeUp(B$247:B$250,$A274)</f>
        <v>0.96507113627744678</v>
      </c>
      <c r="C274" s="2" cm="1">
        <f t="array" ref="C274">TrajectoryToComeUp(C$247:C$250,$A274)</f>
        <v>1.5855196845263217</v>
      </c>
      <c r="D274" s="2" cm="1">
        <f t="array" ref="D274">TrajectoryToComeUp(D$247:D$250,$A274)</f>
        <v>1.4187569271453142</v>
      </c>
      <c r="E274" s="2" cm="1">
        <f t="array" ref="E274">TrajectoryToComeUp(E$247:E$250,$A274)</f>
        <v>1.0759124019340414</v>
      </c>
      <c r="F274" s="2" cm="1">
        <f t="array" ref="F274">TrajectoryToComeUp(F$247:F$250,$A274)</f>
        <v>0.38390967042504714</v>
      </c>
      <c r="G274" s="2" cm="1">
        <f t="array" ref="G274">TrajectoryToComeUp(G$247:G$250,$A274)</f>
        <v>-0.42033549202791293</v>
      </c>
      <c r="H274" s="2" cm="1">
        <f t="array" ref="H274">TrajectoryToComeUp(H$247:H$250,$A274)</f>
        <v>-1.5195108285380745</v>
      </c>
      <c r="I274" s="2" cm="1">
        <f t="array" ref="I274">EvaluatePolynomial(I$247:I$250,$A274)</f>
        <v>3108.2728916616134</v>
      </c>
      <c r="J274" s="2" cm="1">
        <f t="array" ref="J274">EvaluatePolynomial(J$247:J$250,$A274)</f>
        <v>3109.7085104064508</v>
      </c>
      <c r="K274" s="1" cm="1">
        <f t="array" ref="K274">EvaluatePolynomial(K$247:K$250,$A274)</f>
        <v>3075.4876189155366</v>
      </c>
      <c r="L274" s="1">
        <f t="shared" si="2"/>
        <v>-1.435618744837484</v>
      </c>
      <c r="M274" s="42">
        <f t="shared" si="3"/>
        <v>-4.6176360204615779E-4</v>
      </c>
      <c r="O274" s="1"/>
    </row>
    <row r="275" spans="1:15" x14ac:dyDescent="0.25">
      <c r="A275" s="1">
        <v>375</v>
      </c>
      <c r="B275" s="2" cm="1">
        <f t="array" ref="B275">TrajectoryToComeUp(B$247:B$250,$A275)</f>
        <v>1.1554473383970267</v>
      </c>
      <c r="C275" s="2" cm="1">
        <f t="array" ref="C275">TrajectoryToComeUp(C$247:C$250,$A275)</f>
        <v>1.7919971045132328</v>
      </c>
      <c r="D275" s="2" cm="1">
        <f t="array" ref="D275">TrajectoryToComeUp(D$247:D$250,$A275)</f>
        <v>1.6361624300654387</v>
      </c>
      <c r="E275" s="2" cm="1">
        <f t="array" ref="E275">TrajectoryToComeUp(E$247:E$250,$A275)</f>
        <v>1.2882908445680046</v>
      </c>
      <c r="F275" s="2" cm="1">
        <f t="array" ref="F275">TrajectoryToComeUp(F$247:F$250,$A275)</f>
        <v>0.61886939703916632</v>
      </c>
      <c r="G275" s="2" cm="1">
        <f t="array" ref="G275">TrajectoryToComeUp(G$247:G$250,$A275)</f>
        <v>-0.22187632575997571</v>
      </c>
      <c r="H275" s="2" cm="1">
        <f t="array" ref="H275">TrajectoryToComeUp(H$247:H$250,$A275)</f>
        <v>-1.2847407173589629</v>
      </c>
      <c r="I275" s="2" cm="1">
        <f t="array" ref="I275">EvaluatePolynomial(I$247:I$250,$A275)</f>
        <v>3009.2175938143473</v>
      </c>
      <c r="J275" s="2" cm="1">
        <f t="array" ref="J275">EvaluatePolynomial(J$247:J$250,$A275)</f>
        <v>3012.3368698425907</v>
      </c>
      <c r="K275" s="1" cm="1">
        <f t="array" ref="K275">EvaluatePolynomial(K$247:K$250,$A275)</f>
        <v>2976.2207726166534</v>
      </c>
      <c r="L275" s="1">
        <f t="shared" si="2"/>
        <v>-3.1192760282433483</v>
      </c>
      <c r="M275" s="42">
        <f t="shared" si="3"/>
        <v>-1.0360368064657468E-3</v>
      </c>
      <c r="O275" s="1"/>
    </row>
    <row r="276" spans="1:15" x14ac:dyDescent="0.25">
      <c r="A276" s="1">
        <v>400</v>
      </c>
      <c r="B276" s="2" cm="1">
        <f t="array" ref="B276">TrajectoryToComeUp(B$247:B$250,$A276)</f>
        <v>1.3539452050894223</v>
      </c>
      <c r="C276" s="2" cm="1">
        <f t="array" ref="C276">TrajectoryToComeUp(C$247:C$250,$A276)</f>
        <v>2.0021072868724765</v>
      </c>
      <c r="D276" s="2" cm="1">
        <f t="array" ref="D276">TrajectoryToComeUp(D$247:D$250,$A276)</f>
        <v>1.8594122004749263</v>
      </c>
      <c r="E276" s="2" cm="1">
        <f t="array" ref="E276">TrajectoryToComeUp(E$247:E$250,$A276)</f>
        <v>1.5095089640815016</v>
      </c>
      <c r="F276" s="2" cm="1">
        <f t="array" ref="F276">TrajectoryToComeUp(F$247:F$250,$A276)</f>
        <v>0.86437046648514804</v>
      </c>
      <c r="G276" s="2" cm="1">
        <f t="array" ref="G276">TrajectoryToComeUp(G$247:G$250,$A276)</f>
        <v>-1.5716573938499248E-2</v>
      </c>
      <c r="H276" s="2" cm="1">
        <f t="array" ref="H276">TrajectoryToComeUp(H$247:H$250,$A276)</f>
        <v>-1.0405351244086092</v>
      </c>
      <c r="I276" s="2" cm="1">
        <f t="array" ref="I276">EvaluatePolynomial(I$247:I$250,$A276)</f>
        <v>2912.7289795275001</v>
      </c>
      <c r="J276" s="2" cm="1">
        <f t="array" ref="J276">EvaluatePolynomial(J$247:J$250,$A276)</f>
        <v>2917.384419546891</v>
      </c>
      <c r="K276" s="1" cm="1">
        <f t="array" ref="K276">EvaluatePolynomial(K$247:K$250,$A276)</f>
        <v>2879.5026482543649</v>
      </c>
      <c r="L276" s="1">
        <f t="shared" si="2"/>
        <v>-4.6554400193908805</v>
      </c>
      <c r="M276" s="42">
        <f t="shared" si="3"/>
        <v>-1.5970324076818108E-3</v>
      </c>
      <c r="O276" s="1"/>
    </row>
    <row r="277" spans="1:15" x14ac:dyDescent="0.25">
      <c r="A277" s="1">
        <v>425</v>
      </c>
      <c r="B277" s="2" cm="1">
        <f t="array" ref="B277">TrajectoryToComeUp(B$247:B$250,$A277)</f>
        <v>1.5603666162153902</v>
      </c>
      <c r="C277" s="2" cm="1">
        <f t="array" ref="C277">TrajectoryToComeUp(C$247:C$250,$A277)</f>
        <v>2.2156147278365381</v>
      </c>
      <c r="D277" s="2" cm="1">
        <f t="array" ref="D277">TrajectoryToComeUp(D$247:D$250,$A277)</f>
        <v>2.088286784042853</v>
      </c>
      <c r="E277" s="2" cm="1">
        <f t="array" ref="E277">TrajectoryToComeUp(E$247:E$250,$A277)</f>
        <v>1.7394070155111878</v>
      </c>
      <c r="F277" s="2" cm="1">
        <f t="array" ref="F277">TrajectoryToComeUp(F$247:F$250,$A277)</f>
        <v>1.1202353691560771</v>
      </c>
      <c r="G277" s="2" cm="1">
        <f t="array" ref="G277">TrajectoryToComeUp(G$247:G$250,$A277)</f>
        <v>0.19798059723395089</v>
      </c>
      <c r="H277" s="2" cm="1">
        <f t="array" ref="H277">TrajectoryToComeUp(H$247:H$250,$A277)</f>
        <v>-0.78712249578182303</v>
      </c>
      <c r="I277" s="2" cm="1">
        <f t="array" ref="I277">EvaluatePolynomial(I$247:I$250,$A277)</f>
        <v>2818.7986274496102</v>
      </c>
      <c r="J277" s="2" cm="1">
        <f t="array" ref="J277">EvaluatePolynomial(J$247:J$250,$A277)</f>
        <v>2824.8053235856437</v>
      </c>
      <c r="K277" s="1" cm="1">
        <f t="array" ref="K277">EvaluatePolynomial(K$247:K$250,$A277)</f>
        <v>2785.2970601734905</v>
      </c>
      <c r="L277" s="1">
        <f t="shared" si="2"/>
        <v>-6.0066961360334972</v>
      </c>
      <c r="M277" s="42">
        <f t="shared" si="3"/>
        <v>-2.1286738715716002E-3</v>
      </c>
      <c r="O277" s="1"/>
    </row>
    <row r="278" spans="1:15" x14ac:dyDescent="0.25">
      <c r="A278" s="48">
        <v>450</v>
      </c>
      <c r="B278" s="49" cm="1">
        <f t="array" ref="B278">TrajectoryToComeUp(B$247:B$250,$A278)</f>
        <v>1.7745574783332978</v>
      </c>
      <c r="C278" s="49" cm="1">
        <f t="array" ref="C278">TrajectoryToComeUp(C$247:C$250,$A278)</f>
        <v>2.4323362578084629</v>
      </c>
      <c r="D278" s="49" cm="1">
        <f t="array" ref="D278">TrajectoryToComeUp(D$247:D$250,$A278)</f>
        <v>2.3226154940673878</v>
      </c>
      <c r="E278" s="49" cm="1">
        <f t="array" ref="E278">TrajectoryToComeUp(E$247:E$250,$A278)</f>
        <v>1.9778607527744612</v>
      </c>
      <c r="F278" s="49" cm="1">
        <f t="array" ref="F278">TrajectoryToComeUp(F$247:F$250,$A278)</f>
        <v>1.3863260420243531</v>
      </c>
      <c r="G278" s="49" cm="1">
        <f t="array" ref="G278">TrajectoryToComeUp(G$247:G$250,$A278)</f>
        <v>0.4190882807109349</v>
      </c>
      <c r="H278" s="49" cm="1">
        <f t="array" ref="H278">TrajectoryToComeUp(H$247:H$250,$A278)</f>
        <v>-0.52468051177456987</v>
      </c>
      <c r="I278" s="49" cm="1">
        <f t="array" ref="I278">EvaluatePolynomial(I$247:I$250,$A278)</f>
        <v>2727.4181162292161</v>
      </c>
      <c r="J278" s="49" cm="1">
        <f t="array" ref="J278">EvaluatePolynomial(J$247:J$250,$A278)</f>
        <v>2734.5537460251417</v>
      </c>
      <c r="K278" s="48" cm="1">
        <f t="array" ref="K278">EvaluatePolynomial(K$247:K$250,$A278)</f>
        <v>2693.5678227188523</v>
      </c>
      <c r="L278" s="48">
        <f t="shared" si="2"/>
        <v>-7.1356297959255244</v>
      </c>
      <c r="M278" s="50">
        <f t="shared" si="3"/>
        <v>-2.6128401888106346E-3</v>
      </c>
      <c r="O278" s="1"/>
    </row>
    <row r="279" spans="1:15" x14ac:dyDescent="0.25">
      <c r="A279" s="1">
        <v>475</v>
      </c>
      <c r="B279" s="2" cm="1">
        <f t="array" ref="B279">TrajectoryToComeUp(B$247:B$250,$A279)</f>
        <v>1.9963961387260658</v>
      </c>
      <c r="C279" s="2" cm="1">
        <f t="array" ref="C279">TrajectoryToComeUp(C$247:C$250,$A279)</f>
        <v>2.6521272692117059</v>
      </c>
      <c r="D279" s="2" cm="1">
        <f t="array" ref="D279">TrajectoryToComeUp(D$247:D$250,$A279)</f>
        <v>2.5622635778891922</v>
      </c>
      <c r="E279" s="2" cm="1">
        <f t="array" ref="E279">TrajectoryToComeUp(E$247:E$250,$A279)</f>
        <v>2.2247720868587413</v>
      </c>
      <c r="F279" s="2" cm="1">
        <f t="array" ref="F279">TrajectoryToComeUp(F$247:F$250,$A279)</f>
        <v>1.6625334879629221</v>
      </c>
      <c r="G279" s="2" cm="1">
        <f t="array" ref="G279">TrajectoryToComeUp(G$247:G$250,$A279)</f>
        <v>0.64750628671894783</v>
      </c>
      <c r="H279" s="2" cm="1">
        <f t="array" ref="H279">TrajectoryToComeUp(H$247:H$250,$A279)</f>
        <v>-0.25334944630471506</v>
      </c>
      <c r="I279" s="2" cm="1">
        <f t="array" ref="I279">EvaluatePolynomial(I$247:I$250,$A279)</f>
        <v>2638.5790245148546</v>
      </c>
      <c r="J279" s="2" cm="1">
        <f t="array" ref="J279">EvaluatePolynomial(J$247:J$250,$A279)</f>
        <v>2646.5838509316773</v>
      </c>
      <c r="K279" s="1" cm="1">
        <f t="array" ref="K279">EvaluatePolynomial(K$247:K$250,$A279)</f>
        <v>2604.2787502352717</v>
      </c>
      <c r="L279" s="1">
        <f t="shared" si="2"/>
        <v>-8.0048264168226524</v>
      </c>
      <c r="M279" s="42">
        <f t="shared" si="3"/>
        <v>-3.0291692443428593E-3</v>
      </c>
      <c r="O279" s="1"/>
    </row>
    <row r="280" spans="1:15" x14ac:dyDescent="0.25">
      <c r="A280" s="1">
        <v>500</v>
      </c>
      <c r="B280" s="2" cm="1">
        <f t="array" ref="B280">TrajectoryToComeUp(B$247:B$250,$A280)</f>
        <v>2.2257852752200313</v>
      </c>
      <c r="C280" s="2" cm="1">
        <f t="array" ref="C280">TrajectoryToComeUp(C$247:C$250,$A280)</f>
        <v>2.8748720759850341</v>
      </c>
      <c r="D280" s="2" cm="1">
        <f t="array" ref="D280">TrajectoryToComeUp(D$247:D$250,$A280)</f>
        <v>2.8071232333807945</v>
      </c>
      <c r="E280" s="2" cm="1">
        <f t="array" ref="E280">TrajectoryToComeUp(E$247:E$250,$A280)</f>
        <v>2.4800625465539645</v>
      </c>
      <c r="F280" s="2" cm="1">
        <f t="array" ref="F280">TrajectoryToComeUp(F$247:F$250,$A280)</f>
        <v>1.9487705092701424</v>
      </c>
      <c r="G280" s="2" cm="1">
        <f t="array" ref="G280">TrajectoryToComeUp(G$247:G$250,$A280)</f>
        <v>0.88315446343918536</v>
      </c>
      <c r="H280" s="2" cm="1">
        <f t="array" ref="H280">TrajectoryToComeUp(H$247:H$250,$A280)</f>
        <v>2.6758481493447221E-2</v>
      </c>
      <c r="I280" s="2" cm="1">
        <f t="array" ref="I280">EvaluatePolynomial(I$247:I$250,$A280)</f>
        <v>2552.2729309550646</v>
      </c>
      <c r="J280" s="2" cm="1">
        <f t="array" ref="J280">EvaluatePolynomial(J$247:J$250,$A280)</f>
        <v>2560.849802371541</v>
      </c>
      <c r="K280" s="1" cm="1">
        <f t="array" ref="K280">EvaluatePolynomial(K$247:K$250,$A280)</f>
        <v>2517.3936570675692</v>
      </c>
      <c r="L280" s="1">
        <f t="shared" si="2"/>
        <v>-8.5768714164764788</v>
      </c>
      <c r="M280" s="42">
        <f t="shared" si="3"/>
        <v>-3.3548466812946434E-3</v>
      </c>
      <c r="O280" s="1"/>
    </row>
    <row r="281" spans="1:15" x14ac:dyDescent="0.25">
      <c r="A281" s="1">
        <v>525</v>
      </c>
      <c r="B281" s="2" cm="1">
        <f t="array" ref="B281">TrajectoryToComeUp(B$247:B$250,$A281)</f>
        <v>2.4626461031984186</v>
      </c>
      <c r="C281" s="2" cm="1">
        <f t="array" ref="C281">TrajectoryToComeUp(C$247:C$250,$A281)</f>
        <v>3.1004770275074462</v>
      </c>
      <c r="D281" s="2" cm="1">
        <f t="array" ref="D281">TrajectoryToComeUp(D$247:D$250,$A281)</f>
        <v>3.0571071921532886</v>
      </c>
      <c r="E281" s="2" cm="1">
        <f t="array" ref="E281">TrajectoryToComeUp(E$247:E$250,$A281)</f>
        <v>2.7436686075472219</v>
      </c>
      <c r="F281" s="2" cm="1">
        <f t="array" ref="F281">TrajectoryToComeUp(F$247:F$250,$A281)</f>
        <v>2.2449665173303983</v>
      </c>
      <c r="G281" s="2" cm="1">
        <f t="array" ref="G281">TrajectoryToComeUp(G$247:G$250,$A281)</f>
        <v>1.1259679260659492</v>
      </c>
      <c r="H281" s="2" cm="1">
        <f t="array" ref="H281">TrajectoryToComeUp(H$247:H$250,$A281)</f>
        <v>0.31555242755882368</v>
      </c>
      <c r="I281" s="2" cm="1">
        <f t="array" ref="I281">EvaluatePolynomial(I$247:I$250,$A281)</f>
        <v>2468.4914141983832</v>
      </c>
      <c r="J281" s="2" cm="1">
        <f t="array" ref="J281">EvaluatePolynomial(J$247:J$250,$A281)</f>
        <v>2477.3057644110277</v>
      </c>
      <c r="K281" s="1" cm="1">
        <f t="array" ref="K281">EvaluatePolynomial(K$247:K$250,$A281)</f>
        <v>2432.8763575605667</v>
      </c>
      <c r="L281" s="1">
        <f t="shared" si="2"/>
        <v>-8.8143502126445128</v>
      </c>
      <c r="M281" s="42">
        <f t="shared" si="3"/>
        <v>-3.5643799752915891E-3</v>
      </c>
    </row>
    <row r="282" spans="1:15" x14ac:dyDescent="0.25">
      <c r="A282" s="1">
        <v>550</v>
      </c>
      <c r="B282" s="2" cm="1">
        <f t="array" ref="B282">TrajectoryToComeUp(B$247:B$250,$A282)</f>
        <v>2.7069141625202309</v>
      </c>
      <c r="C282" s="2" cm="1">
        <f t="array" ref="C282">TrajectoryToComeUp(C$247:C$250,$A282)</f>
        <v>3.3288655005435781</v>
      </c>
      <c r="D282" s="2" cm="1">
        <f t="array" ref="D282">TrajectoryToComeUp(D$247:D$250,$A282)</f>
        <v>3.3121440527975703</v>
      </c>
      <c r="E282" s="2" cm="1">
        <f t="array" ref="E282">TrajectoryToComeUp(E$247:E$250,$A282)</f>
        <v>3.0155382954006775</v>
      </c>
      <c r="F282" s="2" cm="1">
        <f t="array" ref="F282">TrajectoryToComeUp(F$247:F$250,$A282)</f>
        <v>2.5510637578218232</v>
      </c>
      <c r="G282" s="2" cm="1">
        <f t="array" ref="G282">TrajectoryToComeUp(G$247:G$250,$A282)</f>
        <v>1.3758935870309403</v>
      </c>
      <c r="H282" s="2" cm="1">
        <f t="array" ref="H282">TrajectoryToComeUp(H$247:H$250,$A282)</f>
        <v>0.61295806493233596</v>
      </c>
      <c r="I282" s="2" cm="1">
        <f t="array" ref="I282">EvaluatePolynomial(I$247:I$250,$A282)</f>
        <v>2387.2260528933484</v>
      </c>
      <c r="J282" s="2" cm="1">
        <f t="array" ref="J282">EvaluatePolynomial(J$247:J$250,$A282)</f>
        <v>2395.9059011164277</v>
      </c>
      <c r="K282" s="1" cm="1">
        <f t="array" ref="K282">EvaluatePolynomial(K$247:K$250,$A282)</f>
        <v>2350.6906660590857</v>
      </c>
      <c r="L282" s="1">
        <f t="shared" si="2"/>
        <v>-8.6798482230792615</v>
      </c>
      <c r="M282" s="42">
        <f t="shared" si="3"/>
        <v>-3.6293576286570168E-3</v>
      </c>
    </row>
    <row r="283" spans="1:15" x14ac:dyDescent="0.25">
      <c r="A283" s="1">
        <v>575</v>
      </c>
      <c r="B283" s="2" cm="1">
        <f t="array" ref="B283">TrajectoryToComeUp(B$247:B$250,$A283)</f>
        <v>2.9585362035037748</v>
      </c>
      <c r="C283" s="2" cm="1">
        <f t="array" ref="C283">TrajectoryToComeUp(C$247:C$250,$A283)</f>
        <v>3.5599741976381325</v>
      </c>
      <c r="D283" s="2" cm="1">
        <f t="array" ref="D283">TrajectoryToComeUp(D$247:D$250,$A283)</f>
        <v>3.5721748315409005</v>
      </c>
      <c r="E283" s="2" cm="1">
        <f t="array" ref="E283">TrajectoryToComeUp(E$247:E$250,$A283)</f>
        <v>3.2956286747091643</v>
      </c>
      <c r="F283" s="2" cm="1">
        <f t="array" ref="F283">TrajectoryToComeUp(F$247:F$250,$A283)</f>
        <v>2.8670145206524396</v>
      </c>
      <c r="G283" s="2" cm="1">
        <f t="array" ref="G283">TrajectoryToComeUp(G$247:G$250,$A283)</f>
        <v>1.6328875913864338</v>
      </c>
      <c r="H283" s="2" cm="1">
        <f t="array" ref="H283">TrajectoryToComeUp(H$247:H$250,$A283)</f>
        <v>0.91891399308257338</v>
      </c>
      <c r="I283" s="2" cm="1">
        <f t="array" ref="I283">EvaluatePolynomial(I$247:I$250,$A283)</f>
        <v>2308.4684256884984</v>
      </c>
      <c r="J283" s="2" cm="1">
        <f t="array" ref="J283">EvaluatePolynomial(J$247:J$250,$A283)</f>
        <v>2316.6043765540335</v>
      </c>
      <c r="K283" s="1" cm="1">
        <f t="array" ref="K283">EvaluatePolynomial(K$247:K$250,$A283)</f>
        <v>2270.8003969079464</v>
      </c>
      <c r="L283" s="1">
        <f t="shared" si="2"/>
        <v>-8.135950865535051</v>
      </c>
      <c r="M283" s="42">
        <f t="shared" si="3"/>
        <v>-3.5181936429585369E-3</v>
      </c>
    </row>
    <row r="284" spans="1:15" x14ac:dyDescent="0.25">
      <c r="A284" s="1">
        <v>600</v>
      </c>
      <c r="B284" s="2" cm="1">
        <f t="array" ref="B284">TrajectoryToComeUp(B$247:B$250,$A284)</f>
        <v>3.217467851414304</v>
      </c>
      <c r="C284" s="2" cm="1">
        <f t="array" ref="C284">TrajectoryToComeUp(C$247:C$250,$A284)</f>
        <v>3.7937503709116904</v>
      </c>
      <c r="D284" s="2" cm="1">
        <f t="array" ref="D284">TrajectoryToComeUp(D$247:D$250,$A284)</f>
        <v>3.837150375239331</v>
      </c>
      <c r="E284" s="2" cm="1">
        <f t="array" ref="E284">TrajectoryToComeUp(E$247:E$250,$A284)</f>
        <v>3.5839039659683767</v>
      </c>
      <c r="F284" s="2" cm="1">
        <f t="array" ref="F284">TrajectoryToComeUp(F$247:F$250,$A284)</f>
        <v>3.1927790474122659</v>
      </c>
      <c r="G284" s="2" cm="1">
        <f t="array" ref="G284">TrajectoryToComeUp(G$247:G$250,$A284)</f>
        <v>1.8969133933426585</v>
      </c>
      <c r="H284" s="2" cm="1">
        <f t="array" ref="H284">TrajectoryToComeUp(H$247:H$250,$A284)</f>
        <v>1.2333690449000252</v>
      </c>
      <c r="I284" s="2" cm="1">
        <f t="array" ref="I284">EvaluatePolynomial(I$247:I$250,$A284)</f>
        <v>2232.2101112323708</v>
      </c>
      <c r="J284" s="2" cm="1">
        <f t="array" ref="J284">EvaluatePolynomial(J$247:J$250,$A284)</f>
        <v>2239.3553547901383</v>
      </c>
      <c r="K284" s="1" cm="1">
        <f t="array" ref="K284">EvaluatePolynomial(K$247:K$250,$A284)</f>
        <v>2193.1693644519705</v>
      </c>
      <c r="L284" s="1">
        <f t="shared" si="2"/>
        <v>-7.1452435577675715</v>
      </c>
      <c r="M284" s="42">
        <f t="shared" si="3"/>
        <v>-3.1958577424667871E-3</v>
      </c>
    </row>
    <row r="285" spans="1:15" x14ac:dyDescent="0.25">
      <c r="A285" s="1">
        <v>625</v>
      </c>
      <c r="B285" s="2" cm="1">
        <f t="array" ref="B285">TrajectoryToComeUp(B$247:B$250,$A285)</f>
        <v>3.4836718314746333</v>
      </c>
      <c r="C285" s="2" cm="1">
        <f t="array" ref="C285">TrajectoryToComeUp(C$247:C$250,$A285)</f>
        <v>4.0301497121455405</v>
      </c>
      <c r="D285" s="2" cm="1">
        <f t="array" ref="D285">TrajectoryToComeUp(D$247:D$250,$A285)</f>
        <v>4.1070293952519448</v>
      </c>
      <c r="E285" s="2" cm="1">
        <f t="array" ref="E285">TrajectoryToComeUp(E$247:E$250,$A285)</f>
        <v>3.880334114394695</v>
      </c>
      <c r="F285" s="2" cm="1">
        <f t="array" ref="F285">TrajectoryToComeUp(F$247:F$250,$A285)</f>
        <v>3.5283239410369189</v>
      </c>
      <c r="G285" s="2" cm="1">
        <f t="array" ref="G285">TrajectoryToComeUp(G$247:G$250,$A285)</f>
        <v>2.1679402944362063</v>
      </c>
      <c r="H285" s="2" cm="1">
        <f t="array" ref="H285">TrajectoryToComeUp(H$247:H$250,$A285)</f>
        <v>1.5562802400127045</v>
      </c>
      <c r="I285" s="2" cm="1">
        <f t="array" ref="I285">EvaluatePolynomial(I$247:I$250,$A285)</f>
        <v>2158.4426881735035</v>
      </c>
      <c r="J285" s="2" cm="1">
        <f t="array" ref="J285">EvaluatePolynomial(J$247:J$250,$A285)</f>
        <v>2164.1129998910328</v>
      </c>
      <c r="K285" s="1" cm="1">
        <f t="array" ref="K285">EvaluatePolynomial(K$247:K$250,$A285)</f>
        <v>2117.7613830359792</v>
      </c>
      <c r="L285" s="1">
        <f t="shared" si="2"/>
        <v>-5.6703117175293301</v>
      </c>
      <c r="M285" s="42">
        <f t="shared" si="3"/>
        <v>-2.6235922110552446E-3</v>
      </c>
    </row>
    <row r="286" spans="1:15" x14ac:dyDescent="0.25">
      <c r="A286" s="51">
        <v>650</v>
      </c>
      <c r="B286" s="52" cm="1">
        <f t="array" ref="B286">TrajectoryToComeUp(B$247:B$250,$A286)</f>
        <v>3.7571166034886843</v>
      </c>
      <c r="C286" s="52" cm="1">
        <f t="array" ref="C286">TrajectoryToComeUp(C$247:C$250,$A286)</f>
        <v>4.2691347297700073</v>
      </c>
      <c r="D286" s="52" cm="1">
        <f t="array" ref="D286">TrajectoryToComeUp(D$247:D$250,$A286)</f>
        <v>4.3817769550364281</v>
      </c>
      <c r="E286" s="52" cm="1">
        <f t="array" ref="E286">TrajectoryToComeUp(E$247:E$250,$A286)</f>
        <v>4.1848936890173691</v>
      </c>
      <c r="F286" s="52" cm="1">
        <f t="array" ref="F286">TrajectoryToComeUp(F$247:F$250,$A286)</f>
        <v>3.873620942471919</v>
      </c>
      <c r="G286" s="52" cm="1">
        <f t="array" ref="G286">TrajectoryToComeUp(G$247:G$250,$A286)</f>
        <v>2.4459423190441951</v>
      </c>
      <c r="H286" s="52" cm="1">
        <f t="array" ref="H286">TrajectoryToComeUp(H$247:H$250,$A286)</f>
        <v>1.887611210413543</v>
      </c>
      <c r="I286" s="52" cm="1">
        <f t="array" ref="I286">EvaluatePolynomial(I$247:I$250,$A286)</f>
        <v>2087.1577351604346</v>
      </c>
      <c r="J286" s="52" cm="1">
        <f t="array" ref="J286">EvaluatePolynomial(J$247:J$250,$A286)</f>
        <v>2090.8314759230107</v>
      </c>
      <c r="K286" s="51" cm="1">
        <f t="array" ref="K286">EvaluatePolynomial(K$247:K$250,$A286)</f>
        <v>2044.5402670047938</v>
      </c>
      <c r="L286" s="51">
        <f t="shared" si="2"/>
        <v>-3.673740762576017</v>
      </c>
      <c r="M286" s="53">
        <f t="shared" si="3"/>
        <v>-1.7586166823170587E-3</v>
      </c>
    </row>
    <row r="287" spans="1:15" x14ac:dyDescent="0.25">
      <c r="A287" s="51">
        <v>675</v>
      </c>
      <c r="B287" s="52" cm="1">
        <f t="array" ref="B287">TrajectoryToComeUp(B$247:B$250,$A287)</f>
        <v>4.0377752998820169</v>
      </c>
      <c r="C287" s="52" cm="1">
        <f t="array" ref="C287">TrajectoryToComeUp(C$247:C$250,$A287)</f>
        <v>4.5106734865220321</v>
      </c>
      <c r="D287" s="52" cm="1">
        <f t="array" ref="D287">TrajectoryToComeUp(D$247:D$250,$A287)</f>
        <v>4.6613632938345111</v>
      </c>
      <c r="E287" s="52" cm="1">
        <f t="array" ref="E287">TrajectoryToComeUp(E$247:E$250,$A287)</f>
        <v>4.4975610264168662</v>
      </c>
      <c r="F287" s="52" cm="1">
        <f t="array" ref="F287">TrajectoryToComeUp(F$247:F$250,$A287)</f>
        <v>4.2286459791893778</v>
      </c>
      <c r="G287" s="52" cm="1">
        <f t="array" ref="G287">TrajectoryToComeUp(G$247:G$250,$A287)</f>
        <v>2.730897339784168</v>
      </c>
      <c r="H287" s="52" cm="1">
        <f t="array" ref="H287">TrajectoryToComeUp(H$247:H$250,$A287)</f>
        <v>2.2273309759483744</v>
      </c>
      <c r="I287" s="52" cm="1">
        <f t="array" ref="I287">EvaluatePolynomial(I$247:I$250,$A287)</f>
        <v>2018.3468308417016</v>
      </c>
      <c r="J287" s="52" cm="1">
        <f t="array" ref="J287">EvaluatePolynomial(J$247:J$250,$A287)</f>
        <v>2019.4649469523631</v>
      </c>
      <c r="K287" s="51" cm="1">
        <f t="array" ref="K287">EvaluatePolynomial(K$247:K$250,$A287)</f>
        <v>1973.4698307032352</v>
      </c>
      <c r="L287" s="51">
        <f t="shared" si="2"/>
        <v>-1.1181161106615036</v>
      </c>
      <c r="M287" s="53">
        <f t="shared" si="3"/>
        <v>-5.5382279917582104E-4</v>
      </c>
    </row>
    <row r="288" spans="1:15" x14ac:dyDescent="0.25">
      <c r="A288" s="1">
        <v>700</v>
      </c>
      <c r="B288" s="2" cm="1">
        <f t="array" ref="B288">TrajectoryToComeUp(B$247:B$250,$A288)</f>
        <v>4.3256248913051119</v>
      </c>
      <c r="C288" s="2" cm="1">
        <f t="array" ref="C288">TrajectoryToComeUp(C$247:C$250,$A288)</f>
        <v>4.7547386076047058</v>
      </c>
      <c r="D288" s="2" cm="1">
        <f t="array" ref="D288">TrajectoryToComeUp(D$247:D$250,$A288)</f>
        <v>4.9457629024248249</v>
      </c>
      <c r="E288" s="2" cm="1">
        <f t="array" ref="E288">TrajectoryToComeUp(E$247:E$250,$A288)</f>
        <v>4.8183175579478741</v>
      </c>
      <c r="F288" s="2" cm="1">
        <f t="array" ref="F288">TrajectoryToComeUp(F$247:F$250,$A288)</f>
        <v>4.5933784175939607</v>
      </c>
      <c r="G288" s="2" cm="1">
        <f t="array" ref="G288">TrajectoryToComeUp(G$247:G$250,$A288)</f>
        <v>3.0227863903283061</v>
      </c>
      <c r="H288" s="2" cm="1">
        <f t="array" ref="H288">TrajectoryToComeUp(H$247:H$250,$A288)</f>
        <v>2.5754129821993379</v>
      </c>
      <c r="I288" s="2" cm="1">
        <f t="array" ref="I288">EvaluatePolynomial(I$247:I$250,$A288)</f>
        <v>1952.0015538658427</v>
      </c>
      <c r="J288" s="2" cm="1">
        <f t="array" ref="J288">EvaluatePolynomial(J$247:J$250,$A288)</f>
        <v>1949.9675770453828</v>
      </c>
      <c r="K288" s="1" cm="1">
        <f t="array" ref="K288">EvaluatePolynomial(K$247:K$250,$A288)</f>
        <v>1904.513888476125</v>
      </c>
      <c r="L288" s="1">
        <f t="shared" si="2"/>
        <v>2.033976820459884</v>
      </c>
      <c r="M288" s="42">
        <f t="shared" si="3"/>
        <v>1.0425386527775479E-3</v>
      </c>
    </row>
    <row r="289" spans="1:13" x14ac:dyDescent="0.25">
      <c r="A289" s="1">
        <v>725</v>
      </c>
      <c r="B289" s="2" cm="1">
        <f t="array" ref="B289">TrajectoryToComeUp(B$247:B$250,$A289)</f>
        <v>4.6206455248704543</v>
      </c>
      <c r="C289" s="2" cm="1">
        <f t="array" ref="C289">TrajectoryToComeUp(C$247:C$250,$A289)</f>
        <v>5.0013064940551759</v>
      </c>
      <c r="D289" s="2" cm="1">
        <f t="array" ref="D289">TrajectoryToComeUp(D$247:D$250,$A289)</f>
        <v>5.2349537900992855</v>
      </c>
      <c r="E289" s="2" cm="1">
        <f t="array" ref="E289">TrajectoryToComeUp(E$247:E$250,$A289)</f>
        <v>5.147147276157539</v>
      </c>
      <c r="F289" s="2" cm="1">
        <f t="array" ref="F289">TrajectoryToComeUp(F$247:F$250,$A289)</f>
        <v>4.9678004701034846</v>
      </c>
      <c r="G289" s="2" cm="1">
        <f t="array" ref="G289">TrajectoryToComeUp(G$247:G$250,$A289)</f>
        <v>3.3215931203940063</v>
      </c>
      <c r="H289" s="2" cm="1">
        <f t="array" ref="H289">TrajectoryToComeUp(H$247:H$250,$A289)</f>
        <v>2.9318343374269027</v>
      </c>
      <c r="I289" s="2" cm="1">
        <f t="array" ref="I289">EvaluatePolynomial(I$247:I$250,$A289)</f>
        <v>1888.1134828813954</v>
      </c>
      <c r="J289" s="2" cm="1">
        <f t="array" ref="J289">EvaluatePolynomial(J$247:J$250,$A289)</f>
        <v>1882.2935302683622</v>
      </c>
      <c r="K289" s="1" cm="1">
        <f t="array" ref="K289">EvaluatePolynomial(K$247:K$250,$A289)</f>
        <v>1837.6362546682838</v>
      </c>
      <c r="L289" s="1">
        <f t="shared" si="2"/>
        <v>5.8199526130331378</v>
      </c>
      <c r="M289" s="42">
        <f t="shared" si="3"/>
        <v>3.0871747229067516E-3</v>
      </c>
    </row>
    <row r="290" spans="1:13" x14ac:dyDescent="0.25">
      <c r="A290" s="1">
        <v>750</v>
      </c>
      <c r="B290" s="2" cm="1">
        <f t="array" ref="B290">TrajectoryToComeUp(B$247:B$250,$A290)</f>
        <v>4.9228199947421958</v>
      </c>
      <c r="C290" s="2" cm="1">
        <f t="array" ref="C290">TrajectoryToComeUp(C$247:C$250,$A290)</f>
        <v>5.2503566934389747</v>
      </c>
      <c r="D290" s="2" cm="1">
        <f t="array" ref="D290">TrajectoryToComeUp(D$247:D$250,$A290)</f>
        <v>5.5289168982442272</v>
      </c>
      <c r="E290" s="2" cm="1">
        <f t="array" ref="E290">TrajectoryToComeUp(E$247:E$250,$A290)</f>
        <v>5.4840363079200527</v>
      </c>
      <c r="F290" s="2" cm="1">
        <f t="array" ref="F290">TrajectoryToComeUp(F$247:F$250,$A290)</f>
        <v>5.3518967208133885</v>
      </c>
      <c r="G290" s="2" cm="1">
        <f t="array" ref="G290">TrajectoryToComeUp(G$247:G$250,$A290)</f>
        <v>3.6273033597363447</v>
      </c>
      <c r="H290" s="2" cm="1">
        <f t="array" ref="H290">TrajectoryToComeUp(H$247:H$250,$A290)</f>
        <v>3.296575202123472</v>
      </c>
      <c r="I290" s="2" cm="1">
        <f t="array" ref="I290">EvaluatePolynomial(I$247:I$250,$A290)</f>
        <v>1826.6741965368979</v>
      </c>
      <c r="J290" s="2" cm="1">
        <f t="array" ref="J290">EvaluatePolynomial(J$247:J$250,$A290)</f>
        <v>1816.3969706875928</v>
      </c>
      <c r="K290" s="1" cm="1">
        <f t="array" ref="K290">EvaluatePolynomial(K$247:K$250,$A290)</f>
        <v>1772.8007436245332</v>
      </c>
      <c r="L290" s="1">
        <f t="shared" si="2"/>
        <v>10.277225849305069</v>
      </c>
      <c r="M290" s="42">
        <f t="shared" si="3"/>
        <v>5.6420670239801397E-3</v>
      </c>
    </row>
    <row r="291" spans="1:13" x14ac:dyDescent="0.25">
      <c r="A291" s="1">
        <v>775</v>
      </c>
      <c r="B291" s="2" cm="1">
        <f t="array" ref="B291">TrajectoryToComeUp(B$247:B$250,$A291)</f>
        <v>5.2321333151923399</v>
      </c>
      <c r="C291" s="2" cm="1">
        <f t="array" ref="C291">TrajectoryToComeUp(C$247:C$250,$A291)</f>
        <v>5.501871392345433</v>
      </c>
      <c r="D291" s="2" cm="1">
        <f t="array" ref="D291">TrajectoryToComeUp(D$247:D$250,$A291)</f>
        <v>5.8276356274219374</v>
      </c>
      <c r="E291" s="2" cm="1">
        <f t="array" ref="E291">TrajectoryToComeUp(E$247:E$250,$A291)</f>
        <v>5.8289725701903574</v>
      </c>
      <c r="F291" s="2" cm="1">
        <f t="array" ref="F291">TrajectoryToComeUp(F$247:F$250,$A291)</f>
        <v>5.7456537429680887</v>
      </c>
      <c r="G291" s="2" cm="1">
        <f t="array" ref="G291">TrajectoryToComeUp(G$247:G$250,$A291)</f>
        <v>3.9399047665290987</v>
      </c>
      <c r="H291" s="2" cm="1">
        <f t="array" ref="H291">TrajectoryToComeUp(H$247:H$250,$A291)</f>
        <v>3.669618296717915</v>
      </c>
      <c r="I291" s="2" cm="1">
        <f t="array" ref="I291">EvaluatePolynomial(I$247:I$250,$A291)</f>
        <v>1767.6752734808877</v>
      </c>
      <c r="J291" s="2" cm="1">
        <f t="array" ref="J291">EvaluatePolynomial(J$247:J$250,$A291)</f>
        <v>1752.2320623693672</v>
      </c>
      <c r="K291" s="1" cm="1">
        <f t="array" ref="K291">EvaluatePolynomial(K$247:K$250,$A291)</f>
        <v>1709.9711696896945</v>
      </c>
      <c r="L291" s="1">
        <f t="shared" si="2"/>
        <v>15.443211111520441</v>
      </c>
      <c r="M291" s="42">
        <f t="shared" si="3"/>
        <v>8.7747827644389063E-3</v>
      </c>
    </row>
    <row r="292" spans="1:13" x14ac:dyDescent="0.25">
      <c r="A292" s="1">
        <v>800</v>
      </c>
      <c r="B292" s="2" cm="1">
        <f t="array" ref="B292">TrajectoryToComeUp(B$247:B$250,$A292)</f>
        <v>5.5485723737088914</v>
      </c>
      <c r="C292" s="2" cm="1">
        <f t="array" ref="C292">TrajectoryToComeUp(C$247:C$250,$A292)</f>
        <v>5.755835004040212</v>
      </c>
      <c r="D292" s="2" cm="1">
        <f t="array" ref="D292">TrajectoryToComeUp(D$247:D$250,$A292)</f>
        <v>6.1310954531244164</v>
      </c>
      <c r="E292" s="2" cm="1">
        <f t="array" ref="E292">TrajectoryToComeUp(E$247:E$250,$A292)</f>
        <v>6.1819454903040247</v>
      </c>
      <c r="F292" s="2" cm="1">
        <f t="array" ref="F292">TrajectoryToComeUp(F$247:F$250,$A292)</f>
        <v>6.1490597881564497</v>
      </c>
      <c r="G292" s="2" cm="1">
        <f t="array" ref="G292">TrajectoryToComeUp(G$247:G$250,$A292)</f>
        <v>4.2593865416743242</v>
      </c>
      <c r="H292" s="2" cm="1">
        <f t="array" ref="H292">TrajectoryToComeUp(H$247:H$250,$A292)</f>
        <v>4.0509485015854931</v>
      </c>
      <c r="I292" s="2" cm="1">
        <f t="array" ref="I292">EvaluatePolynomial(I$247:I$250,$A292)</f>
        <v>1711.1082923619033</v>
      </c>
      <c r="J292" s="2" cm="1">
        <f t="array" ref="J292">EvaluatePolynomial(J$247:J$250,$A292)</f>
        <v>1689.7529693799779</v>
      </c>
      <c r="K292" s="1" cm="1">
        <f t="array" ref="K292">EvaluatePolynomial(K$247:K$250,$A292)</f>
        <v>1649.111347208589</v>
      </c>
      <c r="L292" s="1">
        <f t="shared" si="2"/>
        <v>21.355322981925383</v>
      </c>
      <c r="M292" s="42">
        <f t="shared" si="3"/>
        <v>1.255877340376269E-2</v>
      </c>
    </row>
    <row r="293" spans="1:13" x14ac:dyDescent="0.25">
      <c r="A293" s="1">
        <v>825</v>
      </c>
      <c r="B293" s="2" cm="1">
        <f t="array" ref="B293">TrajectoryToComeUp(B$247:B$250,$A293)</f>
        <v>5.8721256471752454</v>
      </c>
      <c r="C293" s="2" cm="1">
        <f t="array" ref="C293">TrajectoryToComeUp(C$247:C$250,$A293)</f>
        <v>6.0122338310901116</v>
      </c>
      <c r="D293" s="2" cm="1">
        <f t="array" ref="D293">TrajectoryToComeUp(D$247:D$250,$A293)</f>
        <v>6.4392836113900929</v>
      </c>
      <c r="E293" s="2" cm="1">
        <f t="array" ref="E293">TrajectoryToComeUp(E$247:E$250,$A293)</f>
        <v>6.542945777131715</v>
      </c>
      <c r="F293" s="2" cm="1">
        <f t="array" ref="F293">TrajectoryToComeUp(F$247:F$250,$A293)</f>
        <v>6.5621045320171687</v>
      </c>
      <c r="G293" s="2" cm="1">
        <f t="array" ref="G293">TrajectoryToComeUp(G$247:G$250,$A293)</f>
        <v>4.5857391950556439</v>
      </c>
      <c r="H293" s="2" cm="1">
        <f t="array" ref="H293">TrajectoryToComeUp(H$247:H$250,$A293)</f>
        <v>4.4405525297832495</v>
      </c>
      <c r="I293" s="2" cm="1">
        <f t="array" ref="I293">EvaluatePolynomial(I$247:I$250,$A293)</f>
        <v>1656.9648318284819</v>
      </c>
      <c r="J293" s="2" cm="1">
        <f t="array" ref="J293">EvaluatePolynomial(J$247:J$250,$A293)</f>
        <v>1628.9138557857164</v>
      </c>
      <c r="K293" s="1" cm="1">
        <f t="array" ref="K293">EvaluatePolynomial(K$247:K$250,$A293)</f>
        <v>1590.1850905260374</v>
      </c>
      <c r="L293" s="1">
        <f t="shared" si="2"/>
        <v>28.050976042765569</v>
      </c>
      <c r="M293" s="42">
        <f t="shared" si="3"/>
        <v>1.7073652870083736E-2</v>
      </c>
    </row>
    <row r="294" spans="1:13" x14ac:dyDescent="0.25">
      <c r="A294" s="1">
        <v>850</v>
      </c>
      <c r="B294" s="2" cm="1">
        <f t="array" ref="B294">TrajectoryToComeUp(B$247:B$250,$A294)</f>
        <v>6.2027829681355779</v>
      </c>
      <c r="C294" s="2" cm="1">
        <f t="array" ref="C294">TrajectoryToComeUp(C$247:C$250,$A294)</f>
        <v>6.2710557875246584</v>
      </c>
      <c r="D294" s="2" cm="1">
        <f t="array" ref="D294">TrajectoryToComeUp(D$247:D$250,$A294)</f>
        <v>6.7521888398999321</v>
      </c>
      <c r="E294" s="2" cm="1">
        <f t="array" ref="E294">TrajectoryToComeUp(E$247:E$250,$A294)</f>
        <v>6.9119652326181207</v>
      </c>
      <c r="F294" s="2" cm="1">
        <f t="array" ref="F294">TrajectoryToComeUp(F$247:F$250,$A294)</f>
        <v>6.9847788648196856</v>
      </c>
      <c r="G294" s="2" cm="1">
        <f t="array" ref="G294">TrajectoryToComeUp(G$247:G$250,$A294)</f>
        <v>4.918954353040963</v>
      </c>
      <c r="H294" s="2" cm="1">
        <f t="array" ref="H294">TrajectoryToComeUp(H$247:H$250,$A294)</f>
        <v>4.8384186575379919</v>
      </c>
      <c r="I294" s="2" cm="1">
        <f t="array" ref="I294">EvaluatePolynomial(I$247:I$250,$A294)</f>
        <v>1605.2364705291618</v>
      </c>
      <c r="J294" s="2" cm="1">
        <f t="array" ref="J294">EvaluatePolynomial(J$247:J$250,$A294)</f>
        <v>1569.6688856528763</v>
      </c>
      <c r="K294" s="1" cm="1">
        <f t="array" ref="K294">EvaluatePolynomial(K$247:K$250,$A294)</f>
        <v>1533.1562139868613</v>
      </c>
      <c r="L294" s="1">
        <f t="shared" si="2"/>
        <v>35.567584876285537</v>
      </c>
      <c r="M294" s="42">
        <f t="shared" si="3"/>
        <v>2.240544576047275E-2</v>
      </c>
    </row>
    <row r="295" spans="1:13" x14ac:dyDescent="0.25">
      <c r="A295" s="1">
        <v>875</v>
      </c>
      <c r="B295" s="2" cm="1">
        <f t="array" ref="B295">TrajectoryToComeUp(B$247:B$250,$A295)</f>
        <v>6.5405353311290133</v>
      </c>
      <c r="C295" s="2" cm="1">
        <f t="array" ref="C295">TrajectoryToComeUp(C$247:C$250,$A295)</f>
        <v>6.5322901686271448</v>
      </c>
      <c r="D295" s="2" cm="1">
        <f t="array" ref="D295">TrajectoryToComeUp(D$247:D$250,$A295)</f>
        <v>7.0698011634570701</v>
      </c>
      <c r="E295" s="2" cm="1">
        <f t="array" ref="E295">TrajectoryToComeUp(E$247:E$250,$A295)</f>
        <v>7.2889965956285447</v>
      </c>
      <c r="F295" s="2" cm="1">
        <f t="array" ref="F295">TrajectoryToComeUp(F$247:F$250,$A295)</f>
        <v>7.4170747179455061</v>
      </c>
      <c r="G295" s="2" cm="1">
        <f t="array" ref="G295">TrajectoryToComeUp(G$247:G$250,$A295)</f>
        <v>5.2590245989847091</v>
      </c>
      <c r="H295" s="2" cm="1">
        <f t="array" ref="H295">TrajectoryToComeUp(H$247:H$250,$A295)</f>
        <v>5.2445365009363227</v>
      </c>
      <c r="I295" s="2" cm="1">
        <f t="array" ref="I295">EvaluatePolynomial(I$247:I$250,$A295)</f>
        <v>1555.9147871124806</v>
      </c>
      <c r="J295" s="2" cm="1">
        <f t="array" ref="J295">EvaluatePolynomial(J$247:J$250,$A295)</f>
        <v>1511.9722230477482</v>
      </c>
      <c r="K295" s="1" cm="1">
        <f t="array" ref="K295">EvaluatePolynomial(K$247:K$250,$A295)</f>
        <v>1477.9885319358818</v>
      </c>
      <c r="L295" s="1">
        <f t="shared" si="2"/>
        <v>43.942564064732323</v>
      </c>
      <c r="M295" s="42">
        <f t="shared" si="3"/>
        <v>2.8646794304486006E-2</v>
      </c>
    </row>
    <row r="296" spans="1:13" x14ac:dyDescent="0.25">
      <c r="A296" s="1">
        <v>900</v>
      </c>
      <c r="B296" s="2" cm="1">
        <f t="array" ref="B296">TrajectoryToComeUp(B$247:B$250,$A296)</f>
        <v>6.8853747313014386</v>
      </c>
      <c r="C296" s="2" cm="1">
        <f t="array" ref="C296">TrajectoryToComeUp(C$247:C$250,$A296)</f>
        <v>6.7959274590938357</v>
      </c>
      <c r="D296" s="2" cm="1">
        <f t="array" ref="D296">TrajectoryToComeUp(D$247:D$250,$A296)</f>
        <v>7.3921117152198548</v>
      </c>
      <c r="E296" s="2" cm="1">
        <f t="array" ref="E296">TrajectoryToComeUp(E$247:E$250,$A296)</f>
        <v>7.6740334118210365</v>
      </c>
      <c r="F296" s="2" cm="1">
        <f t="array" ref="F296">TrajectoryToComeUp(F$247:F$250,$A296)</f>
        <v>7.8589849192892984</v>
      </c>
      <c r="G296" s="2" cm="1">
        <f t="array" ref="G296">TrajectoryToComeUp(G$247:G$250,$A296)</f>
        <v>5.6059433403130408</v>
      </c>
      <c r="H296" s="2" cm="1">
        <f t="array" ref="H296">TrajectoryToComeUp(H$247:H$250,$A296)</f>
        <v>5.658896829832992</v>
      </c>
      <c r="I296" s="2" cm="1">
        <f t="array" ref="I296">EvaluatePolynomial(I$247:I$250,$A296)</f>
        <v>1508.991360226976</v>
      </c>
      <c r="J296" s="2" cm="1">
        <f t="array" ref="J296">EvaluatePolynomial(J$247:J$250,$A296)</f>
        <v>1455.7780320366248</v>
      </c>
      <c r="K296" s="1" cm="1">
        <f t="array" ref="K296">EvaluatePolynomial(K$247:K$250,$A296)</f>
        <v>1424.6458587179202</v>
      </c>
      <c r="L296" s="1">
        <f t="shared" si="2"/>
        <v>53.213328190351149</v>
      </c>
      <c r="M296" s="42">
        <f t="shared" si="3"/>
        <v>3.5897111140723685E-2</v>
      </c>
    </row>
    <row r="297" spans="1:13" x14ac:dyDescent="0.25">
      <c r="A297" s="1">
        <v>925</v>
      </c>
      <c r="B297" s="2" cm="1">
        <f t="array" ref="B297">TrajectoryToComeUp(B$247:B$250,$A297)</f>
        <v>7.2372940291883792</v>
      </c>
      <c r="C297" s="2" cm="1">
        <f t="array" ref="C297">TrajectoryToComeUp(C$247:C$250,$A297)</f>
        <v>7.0619591723024779</v>
      </c>
      <c r="D297" s="2" cm="1">
        <f t="array" ref="D297">TrajectoryToComeUp(D$247:D$250,$A297)</f>
        <v>7.719112586924112</v>
      </c>
      <c r="E297" s="2" cm="1">
        <f t="array" ref="E297">TrajectoryToComeUp(E$247:E$250,$A297)</f>
        <v>8.0670699246203359</v>
      </c>
      <c r="F297" s="2" cm="1">
        <f t="array" ref="F297">TrajectoryToComeUp(F$247:F$250,$A297)</f>
        <v>8.3105030721084709</v>
      </c>
      <c r="G297" s="2" cm="1">
        <f t="array" ref="G297">TrajectoryToComeUp(G$247:G$250,$A297)</f>
        <v>5.9597046971628034</v>
      </c>
      <c r="H297" s="2" cm="1">
        <f t="array" ref="H297">TrajectoryToComeUp(H$247:H$250,$A297)</f>
        <v>6.0814914119362964</v>
      </c>
      <c r="I297" s="2" cm="1">
        <f t="array" ref="I297">EvaluatePolynomial(I$247:I$250,$A297)</f>
        <v>1464.4577685211866</v>
      </c>
      <c r="J297" s="2" cm="1">
        <f t="array" ref="J297">EvaluatePolynomial(J$247:J$250,$A297)</f>
        <v>1401.0404766857989</v>
      </c>
      <c r="K297" s="1" cm="1">
        <f t="array" ref="K297">EvaluatePolynomial(K$247:K$250,$A297)</f>
        <v>1373.0920086777974</v>
      </c>
      <c r="L297" s="1">
        <f t="shared" si="2"/>
        <v>63.417291835387687</v>
      </c>
      <c r="M297" s="42">
        <f t="shared" si="3"/>
        <v>4.4262663180103835E-2</v>
      </c>
    </row>
    <row r="298" spans="1:13" x14ac:dyDescent="0.25">
      <c r="A298" s="1">
        <v>950</v>
      </c>
      <c r="B298" s="2" cm="1">
        <f t="array" ref="B298">TrajectoryToComeUp(B$247:B$250,$A298)</f>
        <v>7.596286836847935</v>
      </c>
      <c r="C298" s="2" cm="1">
        <f t="array" ref="C298">TrajectoryToComeUp(C$247:C$250,$A298)</f>
        <v>7.330377714959476</v>
      </c>
      <c r="D298" s="2" cm="1">
        <f t="array" ref="D298">TrajectoryToComeUp(D$247:D$250,$A298)</f>
        <v>8.0507967027545195</v>
      </c>
      <c r="E298" s="2" cm="1">
        <f t="array" ref="E298">TrajectoryToComeUp(E$247:E$250,$A298)</f>
        <v>8.4681009834064813</v>
      </c>
      <c r="F298" s="2" cm="1">
        <f t="array" ref="F298">TrajectoryToComeUp(F$247:F$250,$A298)</f>
        <v>8.7716234530017569</v>
      </c>
      <c r="G298" s="2" cm="1">
        <f t="array" ref="G298">TrajectoryToComeUp(G$247:G$250,$A298)</f>
        <v>6.3203034086038059</v>
      </c>
      <c r="H298" s="2" cm="1">
        <f t="array" ref="H298">TrajectoryToComeUp(H$247:H$250,$A298)</f>
        <v>6.5123128815115541</v>
      </c>
      <c r="I298" s="2" cm="1">
        <f t="array" ref="I298">EvaluatePolynomial(I$247:I$250,$A298)</f>
        <v>1422.3055906436496</v>
      </c>
      <c r="J298" s="2" cm="1">
        <f t="array" ref="J298">EvaluatePolynomial(J$247:J$250,$A298)</f>
        <v>1347.7137210615622</v>
      </c>
      <c r="K298" s="1" cm="1">
        <f t="array" ref="K298">EvaluatePolynomial(K$247:K$250,$A298)</f>
        <v>1323.2907961603348</v>
      </c>
      <c r="L298" s="1">
        <f t="shared" si="2"/>
        <v>74.591869582087384</v>
      </c>
      <c r="M298" s="42">
        <f t="shared" si="3"/>
        <v>5.3856570072913286E-2</v>
      </c>
    </row>
    <row r="299" spans="1:13" x14ac:dyDescent="0.25">
      <c r="A299" s="1">
        <v>975</v>
      </c>
      <c r="B299" s="2" cm="1">
        <f t="array" ref="B299">TrajectoryToComeUp(B$247:B$250,$A299)</f>
        <v>7.9623474215117316</v>
      </c>
      <c r="C299" s="2" cm="1">
        <f t="array" ref="C299">TrajectoryToComeUp(C$247:C$250,$A299)</f>
        <v>7.6011762725705765</v>
      </c>
      <c r="D299" s="2" cm="1">
        <f t="array" ref="D299">TrajectoryToComeUp(D$247:D$250,$A299)</f>
        <v>8.3871577126204109</v>
      </c>
      <c r="E299" s="2" cm="1">
        <f t="array" ref="E299">TrajectoryToComeUp(E$247:E$250,$A299)</f>
        <v>8.8771219658282199</v>
      </c>
      <c r="F299" s="2" cm="1">
        <f t="array" ref="F299">TrajectoryToComeUp(F$247:F$250,$A299)</f>
        <v>9.2423409255834095</v>
      </c>
      <c r="G299" s="2" cm="1">
        <f t="array" ref="G299">TrajectoryToComeUp(G$247:G$250,$A299)</f>
        <v>6.6877347532884377</v>
      </c>
      <c r="H299" s="2" cm="1">
        <f t="array" ref="H299">TrajectoryToComeUp(H$247:H$250,$A299)</f>
        <v>6.951354628284049</v>
      </c>
      <c r="I299" s="2" cm="1">
        <f t="array" ref="I299">EvaluatePolynomial(I$247:I$250,$A299)</f>
        <v>1382.5264052429031</v>
      </c>
      <c r="J299" s="2" cm="1">
        <f t="array" ref="J299">EvaluatePolynomial(J$247:J$250,$A299)</f>
        <v>1295.7519292302077</v>
      </c>
      <c r="K299" s="1" cm="1">
        <f t="array" ref="K299">EvaluatePolynomial(K$247:K$250,$A299)</f>
        <v>1275.206035510354</v>
      </c>
      <c r="L299" s="1">
        <f t="shared" si="2"/>
        <v>86.774476012695459</v>
      </c>
      <c r="M299" s="42">
        <f t="shared" si="3"/>
        <v>6.4798699146230695E-2</v>
      </c>
    </row>
    <row r="300" spans="1:13" x14ac:dyDescent="0.25">
      <c r="A300" s="21">
        <v>1000</v>
      </c>
      <c r="B300" s="54" cm="1">
        <f t="array" ref="B300">TrajectoryToComeUp(B$247:B$250,$A300)</f>
        <v>8.3354706236882343</v>
      </c>
      <c r="C300" s="54" cm="1">
        <f t="array" ref="C300">TrajectoryToComeUp(C$247:C$250,$A300)</f>
        <v>7.8743487120909572</v>
      </c>
      <c r="D300" s="54" cm="1">
        <f t="array" ref="D300">TrajectoryToComeUp(D$247:D$250,$A300)</f>
        <v>8.7281899014401887</v>
      </c>
      <c r="E300" s="54" cm="1">
        <f t="array" ref="E300">TrajectoryToComeUp(E$247:E$250,$A300)</f>
        <v>9.2941287117694245</v>
      </c>
      <c r="F300" s="54" cm="1">
        <f t="array" ref="F300">TrajectoryToComeUp(F$247:F$250,$A300)</f>
        <v>9.7226508671062462</v>
      </c>
      <c r="G300" s="54" cm="1">
        <f t="array" ref="G300">TrajectoryToComeUp(G$247:G$250,$A300)</f>
        <v>7.061994482003854</v>
      </c>
      <c r="H300" s="54" cm="1">
        <f t="array" ref="H300">TrajectoryToComeUp(H$247:H$250,$A300)</f>
        <v>7.3986107030065371</v>
      </c>
      <c r="I300" s="54" cm="1">
        <f t="array" ref="I300">EvaluatePolynomial(I$247:I$250,$A300)</f>
        <v>1345.1117909674851</v>
      </c>
      <c r="J300" s="54" cm="1">
        <f t="array" ref="J300">EvaluatePolynomial(J$247:J$250,$A300)</f>
        <v>1245.1092652580264</v>
      </c>
      <c r="K300" s="21" cm="1">
        <f t="array" ref="K300">EvaluatePolynomial(K$247:K$250,$A300)</f>
        <v>1228.8015410726753</v>
      </c>
      <c r="L300" s="21">
        <f t="shared" si="2"/>
        <v>100.00252570945872</v>
      </c>
      <c r="M300" s="55">
        <f t="shared" si="3"/>
        <v>7.7215437245486004E-2</v>
      </c>
    </row>
  </sheetData>
  <mergeCells count="8">
    <mergeCell ref="Q16:R16"/>
    <mergeCell ref="F1:I1"/>
    <mergeCell ref="I256:K256"/>
    <mergeCell ref="C20:G20"/>
    <mergeCell ref="J20:N20"/>
    <mergeCell ref="B255:H255"/>
    <mergeCell ref="B256:H256"/>
    <mergeCell ref="L255:O255"/>
  </mergeCell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79999-2A17-4725-BD8E-813B5A1984CB}">
  <sheetPr codeName="Sheet5"/>
  <dimension ref="A1:AZ300"/>
  <sheetViews>
    <sheetView tabSelected="1" topLeftCell="J34" workbookViewId="0">
      <selection activeCell="O259" sqref="O259"/>
    </sheetView>
  </sheetViews>
  <sheetFormatPr defaultRowHeight="15" x14ac:dyDescent="0.25"/>
  <cols>
    <col min="1" max="1" width="37.7109375" customWidth="1"/>
    <col min="2" max="2" width="29.140625" customWidth="1"/>
    <col min="3" max="3" width="25.28515625" customWidth="1"/>
    <col min="4" max="4" width="16.42578125" customWidth="1"/>
    <col min="5" max="5" width="15.140625" customWidth="1"/>
    <col min="6" max="6" width="15.85546875" customWidth="1"/>
    <col min="7" max="7" width="13.42578125" customWidth="1"/>
    <col min="8" max="8" width="17.140625" customWidth="1"/>
    <col min="9" max="9" width="19.7109375" customWidth="1"/>
    <col min="10" max="10" width="24" customWidth="1"/>
    <col min="11" max="11" width="23.140625" customWidth="1"/>
    <col min="12" max="12" width="34.140625" customWidth="1"/>
    <col min="13" max="13" width="29.85546875" customWidth="1"/>
    <col min="14" max="14" width="20.5703125" customWidth="1"/>
    <col min="15" max="15" width="22.28515625" customWidth="1"/>
    <col min="16" max="16" width="17.28515625" customWidth="1"/>
    <col min="17" max="17" width="19.5703125" customWidth="1"/>
    <col min="18" max="18" width="14.28515625" customWidth="1"/>
    <col min="19" max="19" width="15.140625" customWidth="1"/>
    <col min="20" max="20" width="17" customWidth="1"/>
    <col min="22" max="22" width="10.85546875" customWidth="1"/>
  </cols>
  <sheetData>
    <row r="1" spans="1:52" x14ac:dyDescent="0.25">
      <c r="A1" t="s">
        <v>18</v>
      </c>
      <c r="B1" t="s">
        <v>32</v>
      </c>
      <c r="C1" t="s">
        <v>33</v>
      </c>
      <c r="D1" t="s">
        <v>110</v>
      </c>
      <c r="F1" s="59" t="s">
        <v>68</v>
      </c>
      <c r="G1" s="59"/>
      <c r="H1" s="59"/>
      <c r="I1" s="59"/>
    </row>
    <row r="2" spans="1:52" x14ac:dyDescent="0.25">
      <c r="A2" t="s">
        <v>20</v>
      </c>
      <c r="B2" s="2">
        <v>200</v>
      </c>
      <c r="C2" s="2">
        <f>CONVERT($B$2,"grain","g")</f>
        <v>12.959782000000001</v>
      </c>
      <c r="F2" t="s">
        <v>69</v>
      </c>
      <c r="G2" s="2">
        <v>200</v>
      </c>
      <c r="H2" s="2">
        <f>CONVERT($G$2,"grain","g")</f>
        <v>12.959782000000001</v>
      </c>
    </row>
    <row r="3" spans="1:52" x14ac:dyDescent="0.25">
      <c r="A3" t="s">
        <v>0</v>
      </c>
      <c r="B3" s="2">
        <v>0.308</v>
      </c>
      <c r="C3" s="2">
        <f>CONVERT($B$3,"in","cm")</f>
        <v>0.78232000000000002</v>
      </c>
      <c r="F3" t="s">
        <v>70</v>
      </c>
      <c r="G3" s="2">
        <v>0.308</v>
      </c>
      <c r="H3" s="2">
        <f>CONVERT($G$3,"in","mm")</f>
        <v>7.8232000000000008</v>
      </c>
    </row>
    <row r="4" spans="1:52" x14ac:dyDescent="0.25">
      <c r="A4" t="s">
        <v>11</v>
      </c>
      <c r="B4" s="2" t="s">
        <v>71</v>
      </c>
      <c r="C4" s="2"/>
      <c r="F4" t="s">
        <v>11</v>
      </c>
      <c r="G4" s="2">
        <v>0.30399999999999999</v>
      </c>
      <c r="H4" s="2"/>
    </row>
    <row r="5" spans="1:52" x14ac:dyDescent="0.25">
      <c r="A5" t="s">
        <v>21</v>
      </c>
      <c r="B5" s="2">
        <v>0.31</v>
      </c>
      <c r="C5" s="2"/>
      <c r="F5" t="s">
        <v>21</v>
      </c>
      <c r="G5" s="2">
        <v>0.60799999999999998</v>
      </c>
      <c r="H5" s="2"/>
      <c r="AR5" t="s">
        <v>113</v>
      </c>
    </row>
    <row r="6" spans="1:52" x14ac:dyDescent="0.25">
      <c r="A6" t="s">
        <v>22</v>
      </c>
      <c r="B6" s="2">
        <v>4753.7</v>
      </c>
      <c r="C6" s="2">
        <f>CONVERT($B$6,"J","flb")</f>
        <v>3506.1491890193365</v>
      </c>
      <c r="F6" t="s">
        <v>72</v>
      </c>
      <c r="G6" s="2">
        <f>CONVERT($H$6,"J","flb")</f>
        <v>3236.85895358179</v>
      </c>
      <c r="H6" s="2">
        <f>($C$2/1000)*$H$7*$H$7/2</f>
        <v>4388.5914654833859</v>
      </c>
      <c r="AR6" t="s">
        <v>12</v>
      </c>
      <c r="AS6" t="s">
        <v>13</v>
      </c>
      <c r="AT6" t="s">
        <v>14</v>
      </c>
      <c r="AU6" t="s">
        <v>15</v>
      </c>
      <c r="AV6" t="s">
        <v>16</v>
      </c>
      <c r="AW6" t="s">
        <v>17</v>
      </c>
      <c r="AX6" t="s">
        <v>39</v>
      </c>
      <c r="AY6" t="s">
        <v>40</v>
      </c>
      <c r="AZ6" t="s">
        <v>41</v>
      </c>
    </row>
    <row r="7" spans="1:52" x14ac:dyDescent="0.25">
      <c r="A7" t="s">
        <v>19</v>
      </c>
      <c r="B7" s="2">
        <f xml:space="preserve"> SQRT(2*$B$6/(CONVERT($B$2,"grain","g")/1000))</f>
        <v>856.50920545186011</v>
      </c>
      <c r="C7" s="2">
        <f>CONVERT($B$7,"m","ft")</f>
        <v>2810.0695716924547</v>
      </c>
      <c r="F7" t="s">
        <v>73</v>
      </c>
      <c r="G7" s="2">
        <v>2700</v>
      </c>
      <c r="H7" s="2">
        <f>CONVERT($G$7,"ft","m")</f>
        <v>822.96</v>
      </c>
      <c r="AR7" s="1">
        <v>0</v>
      </c>
      <c r="AS7" s="1">
        <v>856</v>
      </c>
      <c r="AT7" s="1">
        <v>4754</v>
      </c>
      <c r="AU7" s="1">
        <v>-8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</row>
    <row r="8" spans="1:52" x14ac:dyDescent="0.25">
      <c r="A8" t="s">
        <v>1</v>
      </c>
      <c r="B8" s="2">
        <v>0</v>
      </c>
      <c r="C8" s="2"/>
      <c r="AR8" s="1">
        <v>25</v>
      </c>
      <c r="AS8" s="1">
        <v>844</v>
      </c>
      <c r="AT8" s="1">
        <v>4613</v>
      </c>
      <c r="AU8" s="1">
        <v>-4.7</v>
      </c>
      <c r="AV8" s="1">
        <v>6.5</v>
      </c>
      <c r="AW8" s="1">
        <v>1.9</v>
      </c>
      <c r="AX8" s="1">
        <v>0</v>
      </c>
      <c r="AY8" s="1">
        <v>0</v>
      </c>
      <c r="AZ8" s="1">
        <v>0</v>
      </c>
    </row>
    <row r="9" spans="1:52" x14ac:dyDescent="0.25">
      <c r="A9" t="s">
        <v>2</v>
      </c>
      <c r="B9" s="2">
        <v>4.5</v>
      </c>
      <c r="C9" s="2">
        <f>CONVERT($B$9,"m/sec","km/hr")</f>
        <v>16.2</v>
      </c>
      <c r="AR9" s="1">
        <v>50</v>
      </c>
      <c r="AS9" s="1">
        <v>831</v>
      </c>
      <c r="AT9" s="1">
        <v>4476</v>
      </c>
      <c r="AU9" s="1">
        <v>-2.2000000000000002</v>
      </c>
      <c r="AV9" s="1">
        <v>1.5</v>
      </c>
      <c r="AW9" s="1">
        <v>0.4</v>
      </c>
      <c r="AX9" s="1">
        <v>0</v>
      </c>
      <c r="AY9" s="1">
        <v>0</v>
      </c>
      <c r="AZ9" s="1">
        <v>0</v>
      </c>
    </row>
    <row r="10" spans="1:52" x14ac:dyDescent="0.25">
      <c r="A10" t="s">
        <v>3</v>
      </c>
      <c r="B10" s="2">
        <v>270</v>
      </c>
      <c r="C10" s="2"/>
      <c r="AR10" s="1">
        <v>75</v>
      </c>
      <c r="AS10" s="1">
        <v>819</v>
      </c>
      <c r="AT10" s="1">
        <v>4343</v>
      </c>
      <c r="AU10" s="1">
        <v>-0.6</v>
      </c>
      <c r="AV10" s="1">
        <v>0.3</v>
      </c>
      <c r="AW10" s="1">
        <v>0.1</v>
      </c>
      <c r="AX10" s="1">
        <v>0</v>
      </c>
      <c r="AY10" s="1">
        <v>0</v>
      </c>
      <c r="AZ10" s="1">
        <v>0</v>
      </c>
    </row>
    <row r="11" spans="1:52" x14ac:dyDescent="0.25">
      <c r="A11" s="32" t="s">
        <v>56</v>
      </c>
      <c r="B11" s="2">
        <v>0.5</v>
      </c>
      <c r="C11" s="33"/>
      <c r="AR11" s="1">
        <v>100</v>
      </c>
      <c r="AS11" s="1">
        <v>806</v>
      </c>
      <c r="AT11" s="1">
        <v>4212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</row>
    <row r="12" spans="1:52" x14ac:dyDescent="0.25">
      <c r="A12" s="32" t="s">
        <v>57</v>
      </c>
      <c r="B12" s="2" cm="1">
        <f t="array" ref="B12">MOAToMRAD($B$11)</f>
        <v>0.14544410433286079</v>
      </c>
      <c r="C12" s="33">
        <f>$B$12/2</f>
        <v>7.2722052166430393E-2</v>
      </c>
      <c r="AR12" s="1">
        <v>125</v>
      </c>
      <c r="AS12" s="1">
        <v>794</v>
      </c>
      <c r="AT12" s="1">
        <v>4085</v>
      </c>
      <c r="AU12" s="1">
        <v>-0.3</v>
      </c>
      <c r="AV12" s="1">
        <v>0.1</v>
      </c>
      <c r="AW12" s="1">
        <v>0</v>
      </c>
      <c r="AX12" s="1">
        <v>0</v>
      </c>
      <c r="AY12" s="1">
        <v>0</v>
      </c>
      <c r="AZ12" s="1">
        <v>0</v>
      </c>
    </row>
    <row r="13" spans="1:52" x14ac:dyDescent="0.25">
      <c r="A13" s="32" t="s">
        <v>26</v>
      </c>
      <c r="B13" s="2">
        <f>CONVERT(1.5,"in","cm")</f>
        <v>3.81</v>
      </c>
      <c r="D13" s="2">
        <f>CONVERT($B$13,"cm","in")</f>
        <v>1.5</v>
      </c>
      <c r="AR13" s="1">
        <v>150</v>
      </c>
      <c r="AS13" s="1">
        <v>782</v>
      </c>
      <c r="AT13" s="1">
        <v>3961</v>
      </c>
      <c r="AU13" s="1">
        <v>-1.6</v>
      </c>
      <c r="AV13" s="1">
        <v>0.4</v>
      </c>
      <c r="AW13" s="1">
        <v>0.1</v>
      </c>
      <c r="AX13" s="1">
        <v>0</v>
      </c>
      <c r="AY13" s="1">
        <v>0</v>
      </c>
      <c r="AZ13" s="1">
        <v>0</v>
      </c>
    </row>
    <row r="14" spans="1:52" x14ac:dyDescent="0.25">
      <c r="A14" s="32" t="s">
        <v>5</v>
      </c>
      <c r="B14" t="s">
        <v>58</v>
      </c>
      <c r="AR14" s="1">
        <v>175</v>
      </c>
      <c r="AS14" s="1">
        <v>770</v>
      </c>
      <c r="AT14" s="1">
        <v>3840</v>
      </c>
      <c r="AU14" s="1">
        <v>-3.9</v>
      </c>
      <c r="AV14" s="1">
        <v>0.8</v>
      </c>
      <c r="AW14" s="1">
        <v>0.2</v>
      </c>
      <c r="AX14" s="1">
        <v>0</v>
      </c>
      <c r="AY14" s="1">
        <v>0</v>
      </c>
      <c r="AZ14" s="1">
        <v>0</v>
      </c>
    </row>
    <row r="15" spans="1:52" x14ac:dyDescent="0.25">
      <c r="A15" t="s">
        <v>59</v>
      </c>
      <c r="B15" s="31" t="s">
        <v>60</v>
      </c>
      <c r="C15" s="31" t="s">
        <v>61</v>
      </c>
      <c r="D15" s="31" t="s">
        <v>62</v>
      </c>
      <c r="E15" s="31" t="s">
        <v>63</v>
      </c>
      <c r="AR15" s="1">
        <v>200</v>
      </c>
      <c r="AS15" s="1">
        <v>758</v>
      </c>
      <c r="AT15" s="1">
        <v>3722</v>
      </c>
      <c r="AU15" s="1">
        <v>-7.3</v>
      </c>
      <c r="AV15" s="1">
        <v>1.3</v>
      </c>
      <c r="AW15" s="1">
        <v>0.4</v>
      </c>
      <c r="AX15" s="1">
        <v>0</v>
      </c>
      <c r="AY15" s="1">
        <v>0</v>
      </c>
      <c r="AZ15" s="1">
        <v>0</v>
      </c>
    </row>
    <row r="16" spans="1:52" x14ac:dyDescent="0.25">
      <c r="A16" s="32" t="s">
        <v>64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  <c r="Q16" s="58" t="s">
        <v>116</v>
      </c>
      <c r="R16" s="58"/>
      <c r="AR16" s="1">
        <v>225</v>
      </c>
      <c r="AS16" s="1">
        <v>746</v>
      </c>
      <c r="AT16" s="1">
        <v>3607</v>
      </c>
      <c r="AU16" s="1">
        <v>-11.7</v>
      </c>
      <c r="AV16" s="1">
        <v>1.8</v>
      </c>
      <c r="AW16" s="1">
        <v>0.5</v>
      </c>
      <c r="AX16" s="1">
        <v>0</v>
      </c>
      <c r="AY16" s="1">
        <v>0</v>
      </c>
      <c r="AZ16" s="1">
        <v>0</v>
      </c>
    </row>
    <row r="17" spans="1:52" x14ac:dyDescent="0.25">
      <c r="A17" s="32" t="s">
        <v>65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  <c r="Q17" s="43" t="s">
        <v>117</v>
      </c>
      <c r="R17" s="43" t="s">
        <v>118</v>
      </c>
      <c r="AR17" s="1">
        <v>250</v>
      </c>
      <c r="AS17" s="1">
        <v>734</v>
      </c>
      <c r="AT17" s="1">
        <v>3494</v>
      </c>
      <c r="AU17" s="1">
        <v>-17.3</v>
      </c>
      <c r="AV17" s="1">
        <v>2.4</v>
      </c>
      <c r="AW17" s="1">
        <v>0.7</v>
      </c>
      <c r="AX17" s="1">
        <v>0</v>
      </c>
      <c r="AY17" s="1">
        <v>0</v>
      </c>
      <c r="AZ17" s="1">
        <v>0</v>
      </c>
    </row>
    <row r="18" spans="1:52" x14ac:dyDescent="0.25">
      <c r="A18" s="11" t="s">
        <v>66</v>
      </c>
      <c r="B18" s="12">
        <f>$B$12/$B$17</f>
        <v>0.58177641733144314</v>
      </c>
      <c r="C18" s="2"/>
      <c r="J18" s="2">
        <v>4.5</v>
      </c>
      <c r="K18" s="2">
        <v>4.5</v>
      </c>
      <c r="L18" s="2">
        <v>4.25</v>
      </c>
      <c r="M18" s="2">
        <v>4</v>
      </c>
      <c r="N18" s="2">
        <v>4</v>
      </c>
      <c r="O18" s="2">
        <v>4</v>
      </c>
      <c r="P18" s="2">
        <v>4</v>
      </c>
      <c r="Q18" s="2">
        <f>AVERAGE(J18:P18)</f>
        <v>4.1785714285714288</v>
      </c>
      <c r="R18" s="2">
        <f>_xlfn.STDEV.S(J18:P18)</f>
        <v>0.23779743280283544</v>
      </c>
      <c r="AR18" s="1">
        <v>275</v>
      </c>
      <c r="AS18" s="1">
        <v>723</v>
      </c>
      <c r="AT18" s="1">
        <v>3385</v>
      </c>
      <c r="AU18" s="1">
        <v>-24.2</v>
      </c>
      <c r="AV18" s="1">
        <v>3</v>
      </c>
      <c r="AW18" s="1">
        <v>0.9</v>
      </c>
      <c r="AX18" s="1">
        <v>0</v>
      </c>
      <c r="AY18" s="1">
        <v>0</v>
      </c>
      <c r="AZ18" s="1">
        <v>0</v>
      </c>
    </row>
    <row r="19" spans="1:52" x14ac:dyDescent="0.25">
      <c r="A19" s="34" t="s">
        <v>67</v>
      </c>
      <c r="B19" s="35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  <c r="AR19" s="1">
        <v>300</v>
      </c>
      <c r="AS19" s="1">
        <v>711</v>
      </c>
      <c r="AT19" s="1">
        <v>3278</v>
      </c>
      <c r="AU19" s="1">
        <v>-32.1</v>
      </c>
      <c r="AV19" s="1">
        <v>3.7</v>
      </c>
      <c r="AW19" s="1">
        <v>1.1000000000000001</v>
      </c>
      <c r="AX19" s="1">
        <v>0</v>
      </c>
      <c r="AY19" s="1">
        <v>0</v>
      </c>
      <c r="AZ19" s="1">
        <v>0</v>
      </c>
    </row>
    <row r="20" spans="1:52" x14ac:dyDescent="0.25">
      <c r="C20" s="61" t="s">
        <v>24</v>
      </c>
      <c r="D20" s="61"/>
      <c r="E20" s="61"/>
      <c r="F20" s="61"/>
      <c r="G20" s="61"/>
      <c r="H20" s="13"/>
      <c r="I20" s="13"/>
      <c r="J20" s="61" t="s">
        <v>25</v>
      </c>
      <c r="K20" s="61"/>
      <c r="L20" s="61"/>
      <c r="M20" s="61"/>
      <c r="N20" s="61"/>
      <c r="O20" s="13"/>
      <c r="P20" s="13"/>
      <c r="Q20" s="36" t="s">
        <v>30</v>
      </c>
      <c r="AR20" s="1">
        <v>325</v>
      </c>
      <c r="AS20" s="1">
        <v>700</v>
      </c>
      <c r="AT20" s="1">
        <v>3173</v>
      </c>
      <c r="AU20" s="1">
        <v>-41.2</v>
      </c>
      <c r="AV20" s="1">
        <v>4.4000000000000004</v>
      </c>
      <c r="AW20" s="1">
        <v>1.3</v>
      </c>
      <c r="AX20" s="1">
        <v>0</v>
      </c>
      <c r="AY20" s="1">
        <v>0</v>
      </c>
      <c r="AZ20" s="1">
        <v>0</v>
      </c>
    </row>
    <row r="21" spans="1:52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34</v>
      </c>
      <c r="I21" t="s">
        <v>35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34</v>
      </c>
      <c r="P21" s="37" t="s">
        <v>35</v>
      </c>
      <c r="Q21" s="36" t="s">
        <v>31</v>
      </c>
      <c r="AR21" s="1">
        <v>350</v>
      </c>
      <c r="AS21" s="1">
        <v>688</v>
      </c>
      <c r="AT21" s="1">
        <v>3071</v>
      </c>
      <c r="AU21" s="1">
        <v>-52</v>
      </c>
      <c r="AV21" s="1">
        <v>5.0999999999999996</v>
      </c>
      <c r="AW21" s="1">
        <v>1.5</v>
      </c>
      <c r="AX21" s="1">
        <v>0</v>
      </c>
      <c r="AY21" s="1">
        <v>0</v>
      </c>
      <c r="AZ21" s="1">
        <v>0</v>
      </c>
    </row>
    <row r="22" spans="1:52" x14ac:dyDescent="0.25">
      <c r="A22" s="1">
        <v>0</v>
      </c>
      <c r="B22" s="1">
        <v>4753.7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8">
        <f t="shared" si="1"/>
        <v>-3.81</v>
      </c>
      <c r="Q22" s="39">
        <v>0</v>
      </c>
      <c r="AR22" s="1">
        <v>375</v>
      </c>
      <c r="AS22" s="1">
        <v>677</v>
      </c>
      <c r="AT22" s="1">
        <v>2972</v>
      </c>
      <c r="AU22" s="1">
        <v>-63.8</v>
      </c>
      <c r="AV22" s="1">
        <v>5.8</v>
      </c>
      <c r="AW22" s="1">
        <v>1.7</v>
      </c>
      <c r="AX22" s="1">
        <v>0</v>
      </c>
      <c r="AY22" s="1">
        <v>0</v>
      </c>
      <c r="AZ22" s="1">
        <v>0</v>
      </c>
    </row>
    <row r="23" spans="1:52" x14ac:dyDescent="0.25">
      <c r="A23" s="1">
        <v>25</v>
      </c>
      <c r="B23" s="1">
        <v>4543.1000000000004</v>
      </c>
      <c r="C23" s="6">
        <v>-0.25</v>
      </c>
      <c r="D23" s="6">
        <v>-0.33300000000000002</v>
      </c>
      <c r="E23" s="6">
        <v>-0.26</v>
      </c>
      <c r="F23" s="6">
        <v>-0.1875</v>
      </c>
      <c r="G23" s="6">
        <v>8.3000000000000004E-2</v>
      </c>
      <c r="H23" s="6">
        <v>0.35</v>
      </c>
      <c r="I23" s="14">
        <v>0.75</v>
      </c>
      <c r="J23" s="9" cm="1">
        <f t="array" ref="J23">TrajectoryDropInCM(C23,$A23,J$18)</f>
        <v>-2.8125011865240381</v>
      </c>
      <c r="K23" s="9" cm="1">
        <f t="array" ref="K23">TrajectoryDropInCM(D23,$A23,K$18)</f>
        <v>-3.7462528040734542</v>
      </c>
      <c r="L23" s="9" cm="1">
        <f t="array" ref="L23">TrajectoryDropInCM(E23,$A23,L$18)</f>
        <v>-2.7625011243610706</v>
      </c>
      <c r="M23" s="9" cm="1">
        <f t="array" ref="M23">TrajectoryDropInCM(F23,$A23,M$18)</f>
        <v>-1.8750003515625793</v>
      </c>
      <c r="N23" s="9" cm="1">
        <f t="array" ref="N23">TrajectoryDropInCM(G23,$A23,N$18)</f>
        <v>0.83000003049530802</v>
      </c>
      <c r="O23" s="9" cm="1">
        <f t="array" ref="O23">TrajectoryDropInCM(H23,$A23,O$18)</f>
        <v>3.5000022866684599</v>
      </c>
      <c r="P23" s="40" cm="1">
        <f t="array" ref="P23">TrajectoryDropInCM(I23,$A23,P$18)</f>
        <v>7.500022500081001</v>
      </c>
      <c r="Q23" s="39" cm="1">
        <f t="array" ref="Q23">TrajectoryErrorCM($E$19,1,$A23)</f>
        <v>0.37561137059069255</v>
      </c>
      <c r="AR23" s="1">
        <v>400</v>
      </c>
      <c r="AS23" s="1">
        <v>666</v>
      </c>
      <c r="AT23" s="1">
        <v>2875</v>
      </c>
      <c r="AU23" s="1">
        <v>-76.900000000000006</v>
      </c>
      <c r="AV23" s="1">
        <v>6.6</v>
      </c>
      <c r="AW23" s="1">
        <v>1.9</v>
      </c>
      <c r="AX23" s="1">
        <v>0</v>
      </c>
      <c r="AY23" s="1">
        <v>0</v>
      </c>
      <c r="AZ23" s="1">
        <v>0</v>
      </c>
    </row>
    <row r="24" spans="1:52" x14ac:dyDescent="0.25">
      <c r="A24" s="1">
        <v>50</v>
      </c>
      <c r="B24" s="1">
        <v>4238.8999999999996</v>
      </c>
      <c r="C24" s="7">
        <v>0</v>
      </c>
      <c r="D24" s="6">
        <v>-8.3000000000000004E-2</v>
      </c>
      <c r="E24" s="6">
        <v>0</v>
      </c>
      <c r="F24" s="6">
        <v>0.1</v>
      </c>
      <c r="G24" s="6">
        <v>0.33300000000000002</v>
      </c>
      <c r="H24" s="6">
        <v>0.65</v>
      </c>
      <c r="I24" s="14">
        <v>1.05</v>
      </c>
      <c r="J24" s="9" cm="1">
        <f t="array" ref="J24">TrajectoryDropInCM(C24,$A24,J$18)</f>
        <v>0</v>
      </c>
      <c r="K24" s="9" cm="1">
        <f t="array" ref="K24">TrajectoryDropInCM(D24,$A24,K$18)</f>
        <v>-1.8675000868401557</v>
      </c>
      <c r="L24" s="9" cm="1">
        <f t="array" ref="L24">TrajectoryDropInCM(E24,$A24,L$18)</f>
        <v>0</v>
      </c>
      <c r="M24" s="9" cm="1">
        <f t="array" ref="M24">TrajectoryDropInCM(F24,$A24,M$18)</f>
        <v>2.0000001066666733</v>
      </c>
      <c r="N24" s="9" cm="1">
        <f t="array" ref="N24">TrajectoryDropInCM(G24,$A24,N$18)</f>
        <v>6.6600039387800765</v>
      </c>
      <c r="O24" s="9" cm="1">
        <f t="array" ref="O24">TrajectoryDropInCM(H24,$A24,O$18)</f>
        <v>13.000029293412544</v>
      </c>
      <c r="P24" s="40" cm="1">
        <f t="array" ref="P24">TrajectoryDropInCM(I24,$A24,P$18)</f>
        <v>21.000123480871284</v>
      </c>
      <c r="Q24" s="39" cm="1">
        <f t="array" ref="Q24">TrajectoryErrorCM($E$19,1,$A24)</f>
        <v>0.7512227411813851</v>
      </c>
      <c r="AR24" s="1">
        <v>425</v>
      </c>
      <c r="AS24" s="1">
        <v>655</v>
      </c>
      <c r="AT24" s="1">
        <v>2781</v>
      </c>
      <c r="AU24" s="1">
        <v>-92</v>
      </c>
      <c r="AV24" s="1">
        <v>7.4</v>
      </c>
      <c r="AW24" s="1">
        <v>2.2000000000000002</v>
      </c>
      <c r="AX24" s="1">
        <v>0</v>
      </c>
      <c r="AY24" s="1">
        <v>0</v>
      </c>
      <c r="AZ24" s="1">
        <v>0</v>
      </c>
    </row>
    <row r="25" spans="1:52" x14ac:dyDescent="0.25">
      <c r="A25" s="1">
        <v>75</v>
      </c>
      <c r="B25" s="1">
        <v>3998.6</v>
      </c>
      <c r="C25" s="6">
        <v>8.3000000000000004E-2</v>
      </c>
      <c r="D25" s="6">
        <v>0</v>
      </c>
      <c r="E25" s="6">
        <v>8.3000000000000004E-2</v>
      </c>
      <c r="F25" s="6">
        <v>0.16700000000000001</v>
      </c>
      <c r="G25" s="6">
        <v>0.4</v>
      </c>
      <c r="H25" s="6">
        <v>0.7</v>
      </c>
      <c r="I25" s="14">
        <v>1.125</v>
      </c>
      <c r="J25" s="9" cm="1">
        <f t="array" ref="J25">TrajectoryDropInCM(C25,$A25,J$18)</f>
        <v>2.8012501302602333</v>
      </c>
      <c r="K25" s="9" cm="1">
        <f t="array" ref="K25">TrajectoryDropInCM(D25,$A25,K$18)</f>
        <v>0</v>
      </c>
      <c r="L25" s="9" cm="1">
        <f t="array" ref="L25">TrajectoryDropInCM(E25,$A25,L$18)</f>
        <v>2.6456251097339711</v>
      </c>
      <c r="M25" s="9" cm="1">
        <f t="array" ref="M25">TrajectoryDropInCM(F25,$A25,M$18)</f>
        <v>5.0100007451942137</v>
      </c>
      <c r="N25" s="9" cm="1">
        <f t="array" ref="N25">TrajectoryDropInCM(G25,$A25,N$18)</f>
        <v>12.000010240010488</v>
      </c>
      <c r="O25" s="9" cm="1">
        <f t="array" ref="O25">TrajectoryDropInCM(H25,$A25,O$18)</f>
        <v>21.000054880172105</v>
      </c>
      <c r="P25" s="40" cm="1">
        <f t="array" ref="P25">TrajectoryDropInCM(I25,$A25,P$18)</f>
        <v>33.750227814345294</v>
      </c>
      <c r="Q25" s="39" cm="1">
        <f t="array" ref="Q25">TrajectoryErrorCM($E$19,1,$A25)</f>
        <v>1.1268341117720777</v>
      </c>
      <c r="AR25" s="1">
        <v>450</v>
      </c>
      <c r="AS25" s="1">
        <v>644</v>
      </c>
      <c r="AT25" s="1">
        <v>2689</v>
      </c>
      <c r="AU25" s="1">
        <v>-108</v>
      </c>
      <c r="AV25" s="1">
        <v>8.3000000000000007</v>
      </c>
      <c r="AW25" s="1">
        <v>2.4</v>
      </c>
      <c r="AX25" s="1">
        <v>0</v>
      </c>
      <c r="AY25" s="1">
        <v>0</v>
      </c>
      <c r="AZ25" s="1">
        <v>0</v>
      </c>
    </row>
    <row r="26" spans="1:52" x14ac:dyDescent="0.25">
      <c r="A26" s="1">
        <v>100</v>
      </c>
      <c r="B26" s="1">
        <v>3775.6</v>
      </c>
      <c r="C26" s="6">
        <v>8.3000000000000004E-2</v>
      </c>
      <c r="D26" s="7">
        <v>0</v>
      </c>
      <c r="E26" s="6">
        <v>8.3000000000000004E-2</v>
      </c>
      <c r="F26" s="6">
        <v>0.16700000000000001</v>
      </c>
      <c r="G26" s="6">
        <v>0.4</v>
      </c>
      <c r="H26" s="6">
        <v>0.7</v>
      </c>
      <c r="I26" s="14">
        <v>1.125</v>
      </c>
      <c r="J26" s="9" cm="1">
        <f t="array" ref="J26">TrajectoryDropInCM(C26,$A26,J$18)</f>
        <v>3.7350001736803113</v>
      </c>
      <c r="K26" s="9" cm="1">
        <f t="array" ref="K26">TrajectoryDropInCM(D26,$A26,K$18)</f>
        <v>0</v>
      </c>
      <c r="L26" s="9" cm="1">
        <f t="array" ref="L26">TrajectoryDropInCM(E26,$A26,L$18)</f>
        <v>3.527500146311962</v>
      </c>
      <c r="M26" s="9" cm="1">
        <f t="array" ref="M26">TrajectoryDropInCM(F26,$A26,M$18)</f>
        <v>6.6800009935922846</v>
      </c>
      <c r="N26" s="9" cm="1">
        <f t="array" ref="N26">TrajectoryDropInCM(G26,$A26,N$18)</f>
        <v>16.000013653347317</v>
      </c>
      <c r="O26" s="9" cm="1">
        <f t="array" ref="O26">TrajectoryDropInCM(H26,$A26,O$18)</f>
        <v>28.000073173562807</v>
      </c>
      <c r="P26" s="40" cm="1">
        <f t="array" ref="P26">TrajectoryDropInCM(I26,$A26,P$18)</f>
        <v>45.000303752460397</v>
      </c>
      <c r="Q26" s="39" cm="1">
        <f t="array" ref="Q26">TrajectoryErrorCM($E$19,1,$A26)</f>
        <v>1.5024454823627702</v>
      </c>
      <c r="AR26" s="1">
        <v>475</v>
      </c>
      <c r="AS26" s="1">
        <v>633</v>
      </c>
      <c r="AT26" s="1">
        <v>2599</v>
      </c>
      <c r="AU26" s="1">
        <v>-125.6</v>
      </c>
      <c r="AV26" s="1">
        <v>9.1</v>
      </c>
      <c r="AW26" s="1">
        <v>2.6</v>
      </c>
      <c r="AX26" s="1">
        <v>0</v>
      </c>
      <c r="AY26" s="1">
        <v>0</v>
      </c>
      <c r="AZ26" s="1">
        <v>0</v>
      </c>
    </row>
    <row r="27" spans="1:52" x14ac:dyDescent="0.25">
      <c r="A27" s="1">
        <v>125</v>
      </c>
      <c r="B27" s="1">
        <v>3534.7</v>
      </c>
      <c r="C27" s="6">
        <v>6.25E-2</v>
      </c>
      <c r="D27" s="6">
        <v>0</v>
      </c>
      <c r="E27" s="6">
        <v>6.25E-2</v>
      </c>
      <c r="F27" s="6">
        <v>0.125</v>
      </c>
      <c r="G27" s="6">
        <v>0.375</v>
      </c>
      <c r="H27" s="6">
        <v>0.7</v>
      </c>
      <c r="I27" s="14">
        <v>1.1200000000000001</v>
      </c>
      <c r="J27" s="9" cm="1">
        <f t="array" ref="J27">TrajectoryDropInCM(C27,$A27,J$18)</f>
        <v>3.5156250926971464</v>
      </c>
      <c r="K27" s="9" cm="1">
        <f t="array" ref="K27">TrajectoryDropInCM(D27,$A27,K$18)</f>
        <v>0</v>
      </c>
      <c r="L27" s="9" cm="1">
        <f t="array" ref="L27">TrajectoryDropInCM(E27,$A27,L$18)</f>
        <v>3.3203125780900344</v>
      </c>
      <c r="M27" s="9" cm="1">
        <f t="array" ref="M27">TrajectoryDropInCM(F27,$A27,M$18)</f>
        <v>6.2500005208333844</v>
      </c>
      <c r="N27" s="9" cm="1">
        <f t="array" ref="N27">TrajectoryDropInCM(G27,$A27,N$18)</f>
        <v>18.750014062512658</v>
      </c>
      <c r="O27" s="9" cm="1">
        <f t="array" ref="O27">TrajectoryDropInCM(H27,$A27,O$18)</f>
        <v>35.000091466953506</v>
      </c>
      <c r="P27" s="40" cm="1">
        <f t="array" ref="P27">TrajectoryDropInCM(I27,$A27,P$18)</f>
        <v>56.000374650474427</v>
      </c>
      <c r="Q27" s="39" cm="1">
        <f t="array" ref="Q27">TrajectoryErrorCM($E$19,1,$A27)</f>
        <v>1.8780568529534629</v>
      </c>
      <c r="AR27" s="1">
        <v>500</v>
      </c>
      <c r="AS27" s="1">
        <v>623</v>
      </c>
      <c r="AT27" s="1">
        <v>2516</v>
      </c>
      <c r="AU27" s="1">
        <v>-144.80000000000001</v>
      </c>
      <c r="AV27" s="1">
        <v>10</v>
      </c>
      <c r="AW27" s="1">
        <v>2.9</v>
      </c>
      <c r="AX27" s="1">
        <v>0</v>
      </c>
      <c r="AY27" s="1">
        <v>0</v>
      </c>
      <c r="AZ27" s="1">
        <v>0</v>
      </c>
    </row>
    <row r="28" spans="1:52" x14ac:dyDescent="0.25">
      <c r="A28" s="1">
        <v>150</v>
      </c>
      <c r="B28" s="1">
        <v>3313.6</v>
      </c>
      <c r="C28" s="6">
        <v>6.25E-2</v>
      </c>
      <c r="D28" s="6">
        <v>-6.25E-2</v>
      </c>
      <c r="E28" s="7">
        <v>0</v>
      </c>
      <c r="F28" s="6">
        <v>0.125</v>
      </c>
      <c r="G28" s="6">
        <v>0.35</v>
      </c>
      <c r="H28" s="6">
        <v>0.66700000000000004</v>
      </c>
      <c r="I28" s="14">
        <v>1.1000000000000001</v>
      </c>
      <c r="J28" s="9" cm="1">
        <f t="array" ref="J28">TrajectoryDropInCM(C28,$A28,J$18)</f>
        <v>4.2187501112365755</v>
      </c>
      <c r="K28" s="9" cm="1">
        <f t="array" ref="K28">TrajectoryDropInCM(D28,$A28,K$18)</f>
        <v>-4.2187501112365755</v>
      </c>
      <c r="L28" s="9" cm="1">
        <f t="array" ref="L28">TrajectoryDropInCM(E28,$A28,L$18)</f>
        <v>0</v>
      </c>
      <c r="M28" s="9" cm="1">
        <f t="array" ref="M28">TrajectoryDropInCM(F28,$A28,M$18)</f>
        <v>7.5000006250000615</v>
      </c>
      <c r="N28" s="9" cm="1">
        <f t="array" ref="N28">TrajectoryDropInCM(G28,$A28,N$18)</f>
        <v>21.000013720010759</v>
      </c>
      <c r="O28" s="9" cm="1">
        <f t="array" ref="O28">TrajectoryDropInCM(H28,$A28,O$18)</f>
        <v>40.020094957378532</v>
      </c>
      <c r="P28" s="40" cm="1">
        <f t="array" ref="P28">TrajectoryDropInCM(I28,$A28,P$18)</f>
        <v>66.000425923298366</v>
      </c>
      <c r="Q28" s="39" cm="1">
        <f t="array" ref="Q28">TrajectoryErrorCM($E$19,1,$A28)</f>
        <v>2.2536682235441554</v>
      </c>
    </row>
    <row r="29" spans="1:52" x14ac:dyDescent="0.25">
      <c r="A29" s="46">
        <v>200</v>
      </c>
      <c r="B29" s="46">
        <v>2921.2</v>
      </c>
      <c r="C29" s="6">
        <v>-6.25E-2</v>
      </c>
      <c r="D29" s="6">
        <v>-0.125</v>
      </c>
      <c r="E29" s="6">
        <v>-8.3000000000000004E-2</v>
      </c>
      <c r="F29" s="7">
        <v>0</v>
      </c>
      <c r="G29" s="6">
        <v>0.25</v>
      </c>
      <c r="H29" s="6">
        <v>0.5625</v>
      </c>
      <c r="I29" s="14">
        <v>0.95</v>
      </c>
      <c r="J29" s="9" cm="1">
        <f t="array" ref="J29">TrajectoryDropInCM(C29,$A29,J$18)</f>
        <v>-5.6250001483154337</v>
      </c>
      <c r="K29" s="9" cm="1">
        <f t="array" ref="K29">TrajectoryDropInCM(D29,$A29,K$18)</f>
        <v>-11.250001186523587</v>
      </c>
      <c r="L29" s="9" cm="1">
        <f t="array" ref="L29">TrajectoryDropInCM(E29,$A29,L$18)</f>
        <v>-7.0550002926239239</v>
      </c>
      <c r="M29" s="9" cm="1">
        <f t="array" ref="M29">TrajectoryDropInCM(F29,$A29,M$18)</f>
        <v>0</v>
      </c>
      <c r="N29" s="9" cm="1">
        <f t="array" ref="N29">TrajectoryDropInCM(G29,$A29,N$18)</f>
        <v>20.000006666669336</v>
      </c>
      <c r="O29" s="9" cm="1">
        <f t="array" ref="O29">TrajectoryDropInCM(H29,$A29,O$18)</f>
        <v>45.000075937653769</v>
      </c>
      <c r="P29" s="40" cm="1">
        <f t="array" ref="P29">TrajectoryDropInCM(I29,$A29,P$18)</f>
        <v>76.000365815446287</v>
      </c>
      <c r="Q29" s="39" cm="1">
        <f t="array" ref="Q29">TrajectoryErrorCM($E$19,1,$A29)</f>
        <v>3.0048909647255404</v>
      </c>
    </row>
    <row r="30" spans="1:52" x14ac:dyDescent="0.25">
      <c r="A30" s="46">
        <v>250</v>
      </c>
      <c r="B30" s="46">
        <v>2542.8000000000002</v>
      </c>
      <c r="C30" s="6">
        <v>-0.16700000000000001</v>
      </c>
      <c r="D30" s="6">
        <v>-0.25</v>
      </c>
      <c r="E30" s="6">
        <v>-0.1875</v>
      </c>
      <c r="F30" s="6">
        <v>-8.3000000000000004E-2</v>
      </c>
      <c r="G30" s="6">
        <v>0.16700000000000001</v>
      </c>
      <c r="H30" s="6">
        <v>0.45</v>
      </c>
      <c r="I30" s="14">
        <v>0.83299999999999996</v>
      </c>
      <c r="J30" s="9" cm="1">
        <f t="array" ref="J30">TrajectoryDropInCM(C30,$A30,J$18)</f>
        <v>-18.787503536761768</v>
      </c>
      <c r="K30" s="9" cm="1">
        <f t="array" ref="K30">TrajectoryDropInCM(D30,$A30,K$18)</f>
        <v>-28.125011865240378</v>
      </c>
      <c r="L30" s="9" cm="1">
        <f t="array" ref="L30">TrajectoryDropInCM(E30,$A30,L$18)</f>
        <v>-19.921879216862795</v>
      </c>
      <c r="M30" s="9" cm="1">
        <f t="array" ref="M30">TrajectoryDropInCM(F30,$A30,M$18)</f>
        <v>-8.3000003049530804</v>
      </c>
      <c r="N30" s="9" cm="1">
        <f t="array" ref="N30">TrajectoryDropInCM(G30,$A30,N$18)</f>
        <v>16.700002483980715</v>
      </c>
      <c r="O30" s="9" cm="1">
        <f t="array" ref="O30">TrajectoryDropInCM(H30,$A30,O$18)</f>
        <v>45.000048600062982</v>
      </c>
      <c r="P30" s="40" cm="1">
        <f t="array" ref="P30">TrajectoryDropInCM(I30,$A30,P$18)</f>
        <v>83.300308273122084</v>
      </c>
      <c r="Q30" s="39" cm="1">
        <f t="array" ref="Q30">TrajectoryErrorCM($E$19,1,$A30)</f>
        <v>3.7561137059069258</v>
      </c>
    </row>
    <row r="31" spans="1:52" x14ac:dyDescent="0.25">
      <c r="A31" s="47">
        <v>300</v>
      </c>
      <c r="B31" s="47">
        <v>2225.4</v>
      </c>
      <c r="C31" s="6">
        <v>-0.3125</v>
      </c>
      <c r="D31" s="6">
        <v>-0.4</v>
      </c>
      <c r="E31" s="6">
        <v>-0.33300000000000002</v>
      </c>
      <c r="F31" s="6">
        <v>-0.25</v>
      </c>
      <c r="G31" s="7">
        <v>0</v>
      </c>
      <c r="H31" s="17">
        <v>0.33300000000000002</v>
      </c>
      <c r="I31" s="18">
        <v>0.74</v>
      </c>
      <c r="J31" s="9" cm="1">
        <f t="array" ref="J31">TrajectoryDropInCM(C31,$A31,J$18)</f>
        <v>-42.187527809165061</v>
      </c>
      <c r="K31" s="9" cm="1">
        <f t="array" ref="K31">TrajectoryDropInCM(D31,$A31,K$18)</f>
        <v>-54.000058320075574</v>
      </c>
      <c r="L31" s="9" cm="1">
        <f t="array" ref="L31">TrajectoryDropInCM(E31,$A31,L$18)</f>
        <v>-42.457528346525805</v>
      </c>
      <c r="M31" s="9" cm="1">
        <f t="array" ref="M31">TrajectoryDropInCM(F31,$A31,M$18)</f>
        <v>-30.000010000004</v>
      </c>
      <c r="N31" s="9" cm="1">
        <f t="array" ref="N31">TrajectoryDropInCM(G31,$A31,N$18)</f>
        <v>0</v>
      </c>
      <c r="O31" s="9" cm="1">
        <f t="array" ref="O31">TrajectoryDropInCM(H31,$A31,O$18)</f>
        <v>39.960023632680461</v>
      </c>
      <c r="P31" s="40" cm="1">
        <f t="array" ref="P31">TrajectoryDropInCM(I31,$A31,P$18)</f>
        <v>88.800259344268909</v>
      </c>
      <c r="Q31" s="39" cm="1">
        <f t="array" ref="Q31">TrajectoryErrorCM($E$19,1,$A31)</f>
        <v>4.5073364470883108</v>
      </c>
    </row>
    <row r="32" spans="1:52" x14ac:dyDescent="0.25">
      <c r="A32" s="47">
        <v>350</v>
      </c>
      <c r="B32" s="47">
        <v>1927.9</v>
      </c>
      <c r="C32" s="6">
        <v>-0.45</v>
      </c>
      <c r="D32" s="6">
        <v>-0.55000000000000004</v>
      </c>
      <c r="E32" s="6">
        <v>-0.5</v>
      </c>
      <c r="F32" s="6">
        <v>-0.4</v>
      </c>
      <c r="G32" s="6">
        <v>-0.15</v>
      </c>
      <c r="H32" s="6">
        <v>0.16700000000000001</v>
      </c>
      <c r="I32" s="14">
        <v>0.61699999999999999</v>
      </c>
      <c r="J32" s="9" cm="1">
        <f t="array" ref="J32">TrajectoryDropInCM(C32,$A32,J$18)</f>
        <v>-70.875096877424539</v>
      </c>
      <c r="K32" s="9" cm="1">
        <f t="array" ref="K32">TrajectoryDropInCM(D32,$A32,K$18)</f>
        <v>-86.625176877855267</v>
      </c>
      <c r="L32" s="9" cm="1">
        <f t="array" ref="L32">TrajectoryDropInCM(E32,$A32,L$18)</f>
        <v>-74.375111950072011</v>
      </c>
      <c r="M32" s="9" cm="1">
        <f t="array" ref="M32">TrajectoryDropInCM(F32,$A32,M$18)</f>
        <v>-56.000047786715612</v>
      </c>
      <c r="N32" s="9" cm="1">
        <f t="array" ref="N32">TrajectoryDropInCM(G32,$A32,N$18)</f>
        <v>-21.000002520000361</v>
      </c>
      <c r="O32" s="9" cm="1">
        <f t="array" ref="O32">TrajectoryDropInCM(H32,$A32,O$18)</f>
        <v>23.380003477572998</v>
      </c>
      <c r="P32" s="40" cm="1">
        <f t="array" ref="P32">TrajectoryDropInCM(I32,$A32,P$18)</f>
        <v>86.380175381311687</v>
      </c>
      <c r="Q32" s="39" cm="1">
        <f t="array" ref="Q32">TrajectoryErrorCM($E$19,1,$A32)</f>
        <v>5.2585591882696958</v>
      </c>
    </row>
    <row r="33" spans="1:17" x14ac:dyDescent="0.25">
      <c r="A33" s="1">
        <v>400</v>
      </c>
      <c r="B33" s="1">
        <v>1668.4</v>
      </c>
      <c r="C33" s="6">
        <v>-0.625</v>
      </c>
      <c r="D33" s="6">
        <v>-0.74</v>
      </c>
      <c r="E33" s="6">
        <v>-0.61699999999999999</v>
      </c>
      <c r="F33" s="6">
        <v>-0.55000000000000004</v>
      </c>
      <c r="G33" s="6">
        <v>-0.3125</v>
      </c>
      <c r="H33" s="7">
        <v>0</v>
      </c>
      <c r="I33" s="14">
        <v>0.4</v>
      </c>
      <c r="J33" s="9" cm="1">
        <f t="array" ref="J33">TrajectoryDropInCM(C33,$A33,J$18)</f>
        <v>-112.50029663179792</v>
      </c>
      <c r="K33" s="9" cm="1">
        <f t="array" ref="K33">TrajectoryDropInCM(D33,$A33,K$18)</f>
        <v>-133.20049234934385</v>
      </c>
      <c r="L33" s="9" cm="1">
        <f t="array" ref="L33">TrajectoryDropInCM(E33,$A33,L$18)</f>
        <v>-104.89024041536128</v>
      </c>
      <c r="M33" s="9" cm="1">
        <f t="array" ref="M33">TrajectoryDropInCM(F33,$A33,M$18)</f>
        <v>-88.000141973608208</v>
      </c>
      <c r="N33" s="9" cm="1">
        <f t="array" ref="N33">TrajectoryDropInCM(G33,$A33,N$18)</f>
        <v>-50.000026041682943</v>
      </c>
      <c r="O33" s="9" cm="1">
        <f t="array" ref="O33">TrajectoryDropInCM(H33,$A33,O$18)</f>
        <v>0</v>
      </c>
      <c r="P33" s="40" cm="1">
        <f t="array" ref="P33">TrajectoryDropInCM(I33,$A33,P$18)</f>
        <v>64.000054613389267</v>
      </c>
      <c r="Q33" s="39" cm="1">
        <f t="array" ref="Q33">TrajectoryErrorCM($E$19,1,$A33)</f>
        <v>6.0097819294510808</v>
      </c>
    </row>
    <row r="34" spans="1:17" x14ac:dyDescent="0.25">
      <c r="A34" s="21">
        <v>450</v>
      </c>
      <c r="B34" s="21">
        <v>1439.1</v>
      </c>
      <c r="C34" s="6">
        <v>-0.8125</v>
      </c>
      <c r="D34" s="6">
        <v>-0.875</v>
      </c>
      <c r="E34" s="6">
        <v>-0.83299999999999996</v>
      </c>
      <c r="F34" s="6">
        <v>-0.75</v>
      </c>
      <c r="G34" s="6">
        <v>-0.5</v>
      </c>
      <c r="H34" s="6">
        <v>-0.16700000000000001</v>
      </c>
      <c r="I34" s="14">
        <v>0.2</v>
      </c>
      <c r="J34" s="9" cm="1">
        <f t="array" ref="J34">TrajectoryDropInCM(C34,$A34,J$18)</f>
        <v>-164.53198316416825</v>
      </c>
      <c r="K34" s="9" cm="1">
        <f t="array" ref="K34">TrajectoryDropInCM(D34,$A34,K$18)</f>
        <v>-177.18841570514167</v>
      </c>
      <c r="L34" s="9" cm="1">
        <f t="array" ref="L34">TrajectoryDropInCM(E34,$A34,L$18)</f>
        <v>-159.31191557228721</v>
      </c>
      <c r="M34" s="9" cm="1">
        <f t="array" ref="M34">TrajectoryDropInCM(F34,$A34,M$18)</f>
        <v>-135.00040500145803</v>
      </c>
      <c r="N34" s="9" cm="1">
        <f t="array" ref="N34">TrajectoryDropInCM(G34,$A34,N$18)</f>
        <v>-90.000120000191998</v>
      </c>
      <c r="O34" s="9" cm="1">
        <f t="array" ref="O34">TrajectoryDropInCM(H34,$A34,O$18)</f>
        <v>-30.060004471165279</v>
      </c>
      <c r="P34" s="40" cm="1">
        <f t="array" ref="P34">TrajectoryDropInCM(I34,$A34,P$18)</f>
        <v>36.000007680001964</v>
      </c>
      <c r="Q34" s="39" cm="1">
        <f t="array" ref="Q34">TrajectoryErrorCM($E$19,1,$A34)</f>
        <v>6.7610046706324667</v>
      </c>
    </row>
    <row r="35" spans="1:17" x14ac:dyDescent="0.25">
      <c r="A35" s="21">
        <v>500</v>
      </c>
      <c r="B35" s="21">
        <v>1246</v>
      </c>
      <c r="C35" s="6">
        <v>-1</v>
      </c>
      <c r="D35" s="6">
        <v>-1.05</v>
      </c>
      <c r="E35" s="6">
        <v>-1.0249999999999999</v>
      </c>
      <c r="F35" s="6">
        <v>-0.95</v>
      </c>
      <c r="G35" s="6">
        <v>-0.7</v>
      </c>
      <c r="H35" s="6">
        <v>-0.41699999999999998</v>
      </c>
      <c r="I35" s="15">
        <v>0</v>
      </c>
      <c r="J35" s="9" cm="1">
        <f t="array" ref="J35">TrajectoryDropInCM(C35,$A35,J$18)</f>
        <v>-225.00151876230197</v>
      </c>
      <c r="K35" s="9" cm="1">
        <f t="array" ref="K35">TrajectoryDropInCM(D35,$A35,K$18)</f>
        <v>-236.25175815866962</v>
      </c>
      <c r="L35" s="9" cm="1">
        <f t="array" ref="L35">TrajectoryDropInCM(E35,$A35,L$18)</f>
        <v>-217.81387781349002</v>
      </c>
      <c r="M35" s="9" cm="1">
        <f t="array" ref="M35">TrajectoryDropInCM(F35,$A35,M$18)</f>
        <v>-190.00091453861572</v>
      </c>
      <c r="N35" s="9" cm="1">
        <f t="array" ref="N35">TrajectoryDropInCM(G35,$A35,N$18)</f>
        <v>-140.00036586781403</v>
      </c>
      <c r="O35" s="9" cm="1">
        <f t="array" ref="O35">TrajectoryDropInCM(H35,$A35,O$18)</f>
        <v>-83.400077345913274</v>
      </c>
      <c r="P35" s="40" cm="1">
        <f t="array" ref="P35">TrajectoryDropInCM(I35,$A35,P$18)</f>
        <v>0</v>
      </c>
      <c r="Q35" s="39" cm="1">
        <f t="array" ref="Q35">TrajectoryErrorCM($E$19,1,$A35)</f>
        <v>7.5122274118138517</v>
      </c>
    </row>
    <row r="69" spans="1:23" x14ac:dyDescent="0.25">
      <c r="Q69" s="13"/>
      <c r="R69" s="13"/>
      <c r="S69" s="13"/>
      <c r="T69" s="13"/>
      <c r="U69" s="13"/>
      <c r="V69" s="13"/>
      <c r="W69" s="13"/>
    </row>
    <row r="71" spans="1:23" x14ac:dyDescent="0.25">
      <c r="Q71" s="1"/>
      <c r="R71" s="1"/>
      <c r="S71" s="1"/>
      <c r="T71" s="1"/>
      <c r="U71" s="1"/>
      <c r="V71" s="1"/>
      <c r="W71" s="1"/>
    </row>
    <row r="72" spans="1:23" x14ac:dyDescent="0.25">
      <c r="Q72" s="1"/>
      <c r="R72" s="1"/>
      <c r="S72" s="1"/>
      <c r="T72" s="1"/>
      <c r="U72" s="1"/>
      <c r="V72" s="1"/>
      <c r="W72" s="1"/>
    </row>
    <row r="73" spans="1:23" x14ac:dyDescent="0.25">
      <c r="Q73" s="1"/>
      <c r="R73" s="1"/>
      <c r="S73" s="1"/>
      <c r="T73" s="1"/>
      <c r="U73" s="1"/>
      <c r="V73" s="1"/>
      <c r="W73" s="1"/>
    </row>
    <row r="74" spans="1:23" x14ac:dyDescent="0.25">
      <c r="Q74" s="1"/>
      <c r="R74" s="1"/>
      <c r="S74" s="1"/>
      <c r="T74" s="1"/>
      <c r="U74" s="1"/>
      <c r="V74" s="1"/>
      <c r="W74" s="1"/>
    </row>
    <row r="75" spans="1:23" x14ac:dyDescent="0.25">
      <c r="Q75" s="1"/>
      <c r="R75" s="1"/>
      <c r="S75" s="1"/>
      <c r="T75" s="1"/>
      <c r="U75" s="1"/>
      <c r="V75" s="1"/>
      <c r="W75" s="1"/>
    </row>
    <row r="76" spans="1:23" x14ac:dyDescent="0.25">
      <c r="Q76" s="1"/>
      <c r="R76" s="1"/>
      <c r="S76" s="1"/>
      <c r="T76" s="1"/>
      <c r="U76" s="1"/>
      <c r="V76" s="1"/>
      <c r="W76" s="1"/>
    </row>
    <row r="77" spans="1:23" x14ac:dyDescent="0.25">
      <c r="A77" t="s">
        <v>27</v>
      </c>
      <c r="Q77" s="1"/>
      <c r="R77" s="1"/>
      <c r="S77" s="1"/>
      <c r="T77" s="1"/>
      <c r="U77" s="1"/>
      <c r="V77" s="1"/>
      <c r="W77" s="1"/>
    </row>
    <row r="78" spans="1:23" x14ac:dyDescent="0.25">
      <c r="A78" t="s">
        <v>36</v>
      </c>
      <c r="O78" s="13"/>
      <c r="P78" s="13"/>
      <c r="Q78" s="1"/>
      <c r="R78" s="1"/>
      <c r="S78" s="1"/>
      <c r="T78" s="1"/>
      <c r="U78" s="1"/>
      <c r="V78" s="1"/>
      <c r="W78" s="1"/>
    </row>
    <row r="79" spans="1:23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39</v>
      </c>
      <c r="H79" t="s">
        <v>40</v>
      </c>
      <c r="I79" t="s">
        <v>41</v>
      </c>
      <c r="Q79" s="1"/>
      <c r="R79" s="1"/>
      <c r="S79" s="1"/>
      <c r="T79" s="1"/>
      <c r="U79" s="1"/>
      <c r="V79" s="1"/>
      <c r="W79" s="1"/>
    </row>
    <row r="80" spans="1:23" x14ac:dyDescent="0.25">
      <c r="A80" s="1">
        <v>0</v>
      </c>
      <c r="B80" s="1">
        <v>857</v>
      </c>
      <c r="C80" s="1">
        <v>4754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/>
      <c r="L80" s="1"/>
      <c r="M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>
        <v>25</v>
      </c>
      <c r="B81" s="1">
        <v>832</v>
      </c>
      <c r="C81" s="1">
        <v>4481</v>
      </c>
      <c r="D81" s="1">
        <v>-1.5</v>
      </c>
      <c r="E81" s="1">
        <v>2</v>
      </c>
      <c r="F81" s="1">
        <v>0.6</v>
      </c>
      <c r="G81" s="1">
        <v>0</v>
      </c>
      <c r="H81" s="1">
        <v>0</v>
      </c>
      <c r="I81" s="1">
        <v>0</v>
      </c>
      <c r="J81" s="1"/>
      <c r="K81" s="1"/>
      <c r="L81" s="1"/>
      <c r="M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0">
        <v>50</v>
      </c>
      <c r="B82" s="10">
        <v>807</v>
      </c>
      <c r="C82" s="10">
        <v>4222</v>
      </c>
      <c r="D82" s="10">
        <v>0</v>
      </c>
      <c r="E82" s="10">
        <v>0</v>
      </c>
      <c r="F82" s="10">
        <v>0</v>
      </c>
      <c r="G82" s="1">
        <v>-1</v>
      </c>
      <c r="H82" s="10">
        <v>-1</v>
      </c>
      <c r="I82" s="10">
        <v>0</v>
      </c>
      <c r="J82" s="10"/>
      <c r="K82" s="10"/>
      <c r="L82" s="10"/>
      <c r="M82" s="10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>
        <v>75</v>
      </c>
      <c r="B83" s="1">
        <v>783</v>
      </c>
      <c r="C83" s="1">
        <v>3975</v>
      </c>
      <c r="D83" s="1">
        <v>0.5</v>
      </c>
      <c r="E83" s="1">
        <v>-0.2</v>
      </c>
      <c r="F83" s="1">
        <v>-0.1</v>
      </c>
      <c r="G83" s="1">
        <v>-2</v>
      </c>
      <c r="H83" s="1">
        <v>-1</v>
      </c>
      <c r="I83" s="1">
        <v>0</v>
      </c>
      <c r="J83" s="1"/>
      <c r="K83" s="1"/>
      <c r="L83" s="1"/>
      <c r="M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>
        <v>100</v>
      </c>
      <c r="B84" s="1">
        <v>760</v>
      </c>
      <c r="C84" s="1">
        <v>3740</v>
      </c>
      <c r="D84" s="1">
        <v>0</v>
      </c>
      <c r="E84" s="1">
        <v>0</v>
      </c>
      <c r="F84" s="1">
        <v>0</v>
      </c>
      <c r="G84" s="1">
        <v>-3</v>
      </c>
      <c r="H84" s="1">
        <v>-1</v>
      </c>
      <c r="I84" s="1">
        <v>0</v>
      </c>
      <c r="J84" s="1"/>
      <c r="K84" s="1"/>
      <c r="L84" s="1"/>
      <c r="M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>
        <v>125</v>
      </c>
      <c r="B85" s="1">
        <v>737</v>
      </c>
      <c r="C85" s="1">
        <v>3516</v>
      </c>
      <c r="D85" s="1">
        <v>-1.7</v>
      </c>
      <c r="E85" s="1">
        <v>0.5</v>
      </c>
      <c r="F85" s="1">
        <v>0.1</v>
      </c>
      <c r="G85" s="1">
        <v>-5</v>
      </c>
      <c r="H85" s="1">
        <v>-1</v>
      </c>
      <c r="I85" s="1">
        <v>0</v>
      </c>
      <c r="J85" s="1"/>
      <c r="K85" s="1"/>
      <c r="L85" s="1"/>
      <c r="M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>
        <v>150</v>
      </c>
      <c r="B86" s="1">
        <v>714</v>
      </c>
      <c r="C86" s="1">
        <v>3302</v>
      </c>
      <c r="D86" s="1">
        <v>-4.4000000000000004</v>
      </c>
      <c r="E86" s="1">
        <v>1</v>
      </c>
      <c r="F86" s="1">
        <v>0.3</v>
      </c>
      <c r="G86" s="1">
        <v>-7</v>
      </c>
      <c r="H86" s="1">
        <v>-2</v>
      </c>
      <c r="I86" s="1">
        <v>0</v>
      </c>
      <c r="J86" s="1"/>
      <c r="K86" s="1"/>
      <c r="L86" s="1"/>
      <c r="M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s="1">
        <v>175</v>
      </c>
      <c r="B87" s="1">
        <v>691</v>
      </c>
      <c r="C87" s="1">
        <v>3098</v>
      </c>
      <c r="D87" s="1">
        <v>-8.4</v>
      </c>
      <c r="E87" s="1">
        <v>1.6</v>
      </c>
      <c r="F87" s="1">
        <v>0.5</v>
      </c>
      <c r="G87" s="1">
        <v>-10</v>
      </c>
      <c r="H87" s="1">
        <v>-2</v>
      </c>
      <c r="I87" s="1">
        <v>-1</v>
      </c>
      <c r="J87" s="1"/>
      <c r="K87" s="1"/>
      <c r="L87" s="1"/>
      <c r="M87" s="1"/>
      <c r="O87" s="1"/>
      <c r="P87" s="1"/>
      <c r="Q87" s="1"/>
      <c r="R87" s="1"/>
      <c r="S87" s="1"/>
      <c r="T87" s="1"/>
      <c r="U87" s="1"/>
      <c r="V87" s="1"/>
      <c r="W87" s="1"/>
    </row>
    <row r="88" spans="1:23" x14ac:dyDescent="0.25">
      <c r="A88" s="1">
        <v>200</v>
      </c>
      <c r="B88" s="1">
        <v>669</v>
      </c>
      <c r="C88" s="1">
        <v>2905</v>
      </c>
      <c r="D88" s="1">
        <v>-13.9</v>
      </c>
      <c r="E88" s="1">
        <v>2.4</v>
      </c>
      <c r="F88" s="1">
        <v>0.7</v>
      </c>
      <c r="G88" s="1">
        <v>-13</v>
      </c>
      <c r="H88" s="1">
        <v>-2</v>
      </c>
      <c r="I88" s="1">
        <v>-1</v>
      </c>
      <c r="J88" s="1"/>
      <c r="K88" s="1"/>
      <c r="L88" s="1"/>
      <c r="M88" s="1"/>
      <c r="O88" s="1"/>
      <c r="P88" s="1"/>
      <c r="Q88" s="1"/>
      <c r="R88" s="1"/>
      <c r="S88" s="1"/>
      <c r="T88" s="1"/>
      <c r="U88" s="1"/>
      <c r="V88" s="1"/>
      <c r="W88" s="1"/>
    </row>
    <row r="89" spans="1:23" x14ac:dyDescent="0.25">
      <c r="A89" s="1">
        <v>225</v>
      </c>
      <c r="B89" s="1">
        <v>648</v>
      </c>
      <c r="C89" s="1">
        <v>2720</v>
      </c>
      <c r="D89" s="1">
        <v>-20.6</v>
      </c>
      <c r="E89" s="1">
        <v>3.1</v>
      </c>
      <c r="F89" s="1">
        <v>0.9</v>
      </c>
      <c r="G89" s="1">
        <v>-16</v>
      </c>
      <c r="H89" s="1">
        <v>-3</v>
      </c>
      <c r="I89" s="1">
        <v>-1</v>
      </c>
      <c r="J89" s="1"/>
      <c r="K89" s="1"/>
      <c r="L89" s="1"/>
      <c r="M89" s="1"/>
      <c r="O89" s="1"/>
      <c r="P89" s="1"/>
      <c r="Q89" s="1"/>
      <c r="R89" s="1"/>
      <c r="S89" s="1"/>
      <c r="T89" s="1"/>
      <c r="U89" s="1"/>
      <c r="V89" s="1"/>
      <c r="W89" s="1"/>
    </row>
    <row r="90" spans="1:23" x14ac:dyDescent="0.25">
      <c r="A90" s="1">
        <v>250</v>
      </c>
      <c r="B90" s="1">
        <v>627</v>
      </c>
      <c r="C90" s="1">
        <v>2546</v>
      </c>
      <c r="D90" s="1">
        <v>-28.8</v>
      </c>
      <c r="E90" s="1">
        <v>4</v>
      </c>
      <c r="F90" s="1">
        <v>1.2</v>
      </c>
      <c r="G90" s="1">
        <v>-20</v>
      </c>
      <c r="H90" s="1">
        <v>-3</v>
      </c>
      <c r="I90" s="1">
        <v>-1</v>
      </c>
      <c r="J90" s="1"/>
      <c r="K90" s="1"/>
      <c r="L90" s="1"/>
      <c r="M90" s="1"/>
      <c r="O90" s="1"/>
      <c r="P90" s="1"/>
      <c r="Q90" s="1"/>
      <c r="R90" s="1"/>
      <c r="S90" s="1"/>
      <c r="T90" s="1"/>
      <c r="U90" s="1"/>
      <c r="V90" s="1"/>
      <c r="W90" s="1"/>
    </row>
    <row r="91" spans="1:23" x14ac:dyDescent="0.25">
      <c r="A91" s="1">
        <v>275</v>
      </c>
      <c r="B91" s="1">
        <v>606</v>
      </c>
      <c r="C91" s="1">
        <v>2380</v>
      </c>
      <c r="D91" s="1">
        <v>-39</v>
      </c>
      <c r="E91" s="1">
        <v>4.9000000000000004</v>
      </c>
      <c r="F91" s="1">
        <v>1.4</v>
      </c>
      <c r="G91" s="1">
        <v>-25</v>
      </c>
      <c r="H91" s="1">
        <v>-3</v>
      </c>
      <c r="I91" s="1">
        <v>-1</v>
      </c>
      <c r="J91" s="1"/>
      <c r="K91" s="1"/>
      <c r="L91" s="1"/>
      <c r="M91" s="1"/>
      <c r="O91" s="1"/>
      <c r="P91" s="1"/>
      <c r="Q91" s="1"/>
      <c r="R91" s="1"/>
      <c r="S91" s="1"/>
      <c r="T91" s="1"/>
      <c r="U91" s="1"/>
      <c r="V91" s="1"/>
      <c r="W91" s="1"/>
    </row>
    <row r="92" spans="1:23" x14ac:dyDescent="0.25">
      <c r="A92" s="1">
        <v>300</v>
      </c>
      <c r="B92" s="1">
        <v>586</v>
      </c>
      <c r="C92" s="1">
        <v>2223</v>
      </c>
      <c r="D92" s="1">
        <v>-50.7</v>
      </c>
      <c r="E92" s="1">
        <v>5.8</v>
      </c>
      <c r="F92" s="1">
        <v>1.7</v>
      </c>
      <c r="G92" s="1">
        <v>-30</v>
      </c>
      <c r="H92" s="1">
        <v>-4</v>
      </c>
      <c r="I92" s="1">
        <v>-1</v>
      </c>
      <c r="J92" s="1"/>
      <c r="K92" s="1"/>
      <c r="L92" s="1"/>
      <c r="M92" s="1"/>
      <c r="O92" s="1"/>
      <c r="P92" s="1"/>
    </row>
    <row r="93" spans="1:23" x14ac:dyDescent="0.25">
      <c r="A93" s="1">
        <v>325</v>
      </c>
      <c r="B93" s="1">
        <v>566</v>
      </c>
      <c r="C93" s="1">
        <v>2074</v>
      </c>
      <c r="D93" s="1">
        <v>-64.2</v>
      </c>
      <c r="E93" s="1">
        <v>6.8</v>
      </c>
      <c r="F93" s="1">
        <v>2</v>
      </c>
      <c r="G93" s="1">
        <v>-36</v>
      </c>
      <c r="H93" s="1">
        <v>-4</v>
      </c>
      <c r="I93" s="1">
        <v>-1</v>
      </c>
      <c r="J93" s="1"/>
      <c r="K93" s="1"/>
      <c r="L93" s="1"/>
      <c r="M93" s="1"/>
      <c r="O93" s="1"/>
      <c r="P93" s="1"/>
    </row>
    <row r="94" spans="1:23" x14ac:dyDescent="0.25">
      <c r="A94" s="1">
        <v>350</v>
      </c>
      <c r="B94" s="1">
        <v>546</v>
      </c>
      <c r="C94" s="1">
        <v>1934</v>
      </c>
      <c r="D94" s="1">
        <v>-80.400000000000006</v>
      </c>
      <c r="E94" s="1">
        <v>7.9</v>
      </c>
      <c r="F94" s="1">
        <v>2.2999999999999998</v>
      </c>
      <c r="G94" s="1">
        <v>-43</v>
      </c>
      <c r="H94" s="1">
        <v>-5</v>
      </c>
      <c r="I94" s="1">
        <v>-1</v>
      </c>
      <c r="J94" s="1"/>
      <c r="K94" s="1"/>
      <c r="L94" s="1"/>
      <c r="M94" s="1"/>
      <c r="O94" s="1"/>
      <c r="P94" s="1"/>
    </row>
    <row r="95" spans="1:23" x14ac:dyDescent="0.25">
      <c r="A95" s="1">
        <v>375</v>
      </c>
      <c r="B95" s="1">
        <v>527</v>
      </c>
      <c r="C95" s="1">
        <v>1802</v>
      </c>
      <c r="D95" s="1">
        <v>-98.3</v>
      </c>
      <c r="E95" s="1">
        <v>9</v>
      </c>
      <c r="F95" s="1">
        <v>2.6</v>
      </c>
      <c r="G95" s="1">
        <v>-50</v>
      </c>
      <c r="H95" s="1">
        <v>-5</v>
      </c>
      <c r="I95" s="1">
        <v>-2</v>
      </c>
      <c r="J95" s="1"/>
      <c r="K95" s="1"/>
      <c r="L95" s="1"/>
      <c r="M95" s="1"/>
      <c r="O95" s="1"/>
      <c r="P95" s="1"/>
      <c r="Q95" s="1"/>
      <c r="R95" s="1"/>
      <c r="S95" s="1"/>
      <c r="T95" s="1"/>
      <c r="U95" s="1"/>
      <c r="V95" s="1"/>
      <c r="W95" s="1"/>
    </row>
    <row r="96" spans="1:23" x14ac:dyDescent="0.25">
      <c r="A96" s="1">
        <v>400</v>
      </c>
      <c r="B96" s="1">
        <v>509</v>
      </c>
      <c r="C96" s="1">
        <v>1678</v>
      </c>
      <c r="D96" s="1">
        <v>-118.5</v>
      </c>
      <c r="E96" s="1">
        <v>10.199999999999999</v>
      </c>
      <c r="F96" s="1">
        <v>3</v>
      </c>
      <c r="G96" s="1">
        <v>-58</v>
      </c>
      <c r="H96" s="1">
        <v>-5</v>
      </c>
      <c r="I96" s="1">
        <v>-2</v>
      </c>
      <c r="J96" s="1"/>
      <c r="K96" s="1"/>
      <c r="L96" s="1"/>
      <c r="M96" s="1"/>
      <c r="O96" s="1"/>
      <c r="P96" s="1"/>
      <c r="Q96" s="1"/>
      <c r="R96" s="1"/>
      <c r="S96" s="1"/>
      <c r="T96" s="1"/>
      <c r="U96" s="1"/>
      <c r="V96" s="1"/>
      <c r="W96" s="1"/>
    </row>
    <row r="97" spans="1:23" x14ac:dyDescent="0.25">
      <c r="A97" s="1">
        <v>425</v>
      </c>
      <c r="B97" s="1">
        <v>491</v>
      </c>
      <c r="C97" s="1">
        <v>1563</v>
      </c>
      <c r="D97" s="1">
        <v>-142.19999999999999</v>
      </c>
      <c r="E97" s="1">
        <v>11.5</v>
      </c>
      <c r="F97" s="1">
        <v>3.3</v>
      </c>
      <c r="G97" s="1">
        <v>-66</v>
      </c>
      <c r="H97" s="1">
        <v>-6</v>
      </c>
      <c r="I97" s="1">
        <v>-2</v>
      </c>
      <c r="J97" s="1"/>
      <c r="K97" s="1"/>
      <c r="L97" s="1"/>
      <c r="M97" s="1"/>
      <c r="O97" s="1"/>
      <c r="P97" s="1"/>
      <c r="Q97" s="1"/>
      <c r="R97" s="1"/>
      <c r="S97" s="1"/>
      <c r="T97" s="1"/>
      <c r="U97" s="1"/>
      <c r="V97" s="1"/>
      <c r="W97" s="1"/>
    </row>
    <row r="98" spans="1:23" x14ac:dyDescent="0.25">
      <c r="A98" s="1">
        <v>450</v>
      </c>
      <c r="B98" s="1">
        <v>474</v>
      </c>
      <c r="C98" s="1">
        <v>1454</v>
      </c>
      <c r="D98" s="1">
        <v>-167.9</v>
      </c>
      <c r="E98" s="1">
        <v>12.8</v>
      </c>
      <c r="F98" s="1">
        <v>3.7</v>
      </c>
      <c r="G98" s="1">
        <v>-76</v>
      </c>
      <c r="H98" s="1">
        <v>-6</v>
      </c>
      <c r="I98" s="1">
        <v>-2</v>
      </c>
      <c r="J98" s="1"/>
      <c r="K98" s="1"/>
      <c r="L98" s="1"/>
      <c r="M98" s="1"/>
      <c r="O98" s="1"/>
      <c r="P98" s="1"/>
      <c r="Q98" s="1"/>
      <c r="R98" s="1"/>
      <c r="S98" s="1"/>
      <c r="T98" s="1"/>
      <c r="U98" s="1"/>
      <c r="V98" s="1"/>
      <c r="W98" s="1"/>
    </row>
    <row r="99" spans="1:23" x14ac:dyDescent="0.25">
      <c r="A99" s="1">
        <v>475</v>
      </c>
      <c r="B99" s="1">
        <v>457</v>
      </c>
      <c r="C99" s="1">
        <v>1353</v>
      </c>
      <c r="D99" s="1">
        <v>-196.6</v>
      </c>
      <c r="E99" s="1">
        <v>14.2</v>
      </c>
      <c r="F99" s="1">
        <v>4.0999999999999996</v>
      </c>
      <c r="G99" s="1">
        <v>-86</v>
      </c>
      <c r="H99" s="1">
        <v>-7</v>
      </c>
      <c r="I99" s="1">
        <v>-2</v>
      </c>
      <c r="J99" s="1"/>
      <c r="K99" s="1"/>
      <c r="L99" s="1"/>
      <c r="M99" s="1"/>
      <c r="O99" s="1"/>
      <c r="P99" s="1"/>
      <c r="Q99" s="1"/>
      <c r="R99" s="1"/>
      <c r="S99" s="1"/>
      <c r="T99" s="1"/>
      <c r="U99" s="1"/>
      <c r="V99" s="1"/>
      <c r="W99" s="1"/>
    </row>
    <row r="100" spans="1:23" x14ac:dyDescent="0.25">
      <c r="A100" s="1">
        <v>500</v>
      </c>
      <c r="B100" s="1">
        <v>441</v>
      </c>
      <c r="C100" s="1">
        <v>1263</v>
      </c>
      <c r="D100" s="1">
        <v>-228.6</v>
      </c>
      <c r="E100" s="1">
        <v>15.7</v>
      </c>
      <c r="F100" s="1">
        <v>4.5999999999999996</v>
      </c>
      <c r="G100" s="1">
        <v>-96</v>
      </c>
      <c r="H100" s="1">
        <v>-7</v>
      </c>
      <c r="I100" s="1">
        <v>-2</v>
      </c>
      <c r="J100" s="1"/>
      <c r="K100" s="1"/>
      <c r="L100" s="1"/>
      <c r="M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1:23" x14ac:dyDescent="0.25">
      <c r="Q101" s="1"/>
      <c r="R101" s="1"/>
      <c r="S101" s="1"/>
      <c r="T101" s="1"/>
      <c r="U101" s="1"/>
      <c r="V101" s="1"/>
      <c r="W101" s="1"/>
    </row>
    <row r="102" spans="1:23" x14ac:dyDescent="0.25">
      <c r="A102" t="s">
        <v>85</v>
      </c>
      <c r="Q102" s="1"/>
      <c r="R102" s="1"/>
      <c r="S102" s="1"/>
      <c r="T102" s="1"/>
      <c r="U102" s="1"/>
      <c r="V102" s="1"/>
      <c r="W102" s="1"/>
    </row>
    <row r="103" spans="1:23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39</v>
      </c>
      <c r="H103" t="s">
        <v>40</v>
      </c>
      <c r="I103" t="s">
        <v>41</v>
      </c>
      <c r="Q103" s="1"/>
      <c r="R103" s="1"/>
      <c r="S103" s="1"/>
      <c r="T103" s="1"/>
      <c r="U103" s="1"/>
      <c r="V103" s="1"/>
      <c r="W103" s="1"/>
    </row>
    <row r="104" spans="1:23" x14ac:dyDescent="0.25">
      <c r="A104" s="1">
        <v>0</v>
      </c>
      <c r="B104" s="1">
        <v>857</v>
      </c>
      <c r="C104" s="1">
        <v>4754</v>
      </c>
      <c r="D104" s="1">
        <v>-3.8</v>
      </c>
      <c r="E104" s="1">
        <v>0</v>
      </c>
      <c r="F104" s="1">
        <v>0</v>
      </c>
      <c r="G104">
        <v>0</v>
      </c>
      <c r="H104" s="1">
        <v>0</v>
      </c>
      <c r="I104" s="1">
        <v>0</v>
      </c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1:23" x14ac:dyDescent="0.25">
      <c r="A105" s="1">
        <v>25</v>
      </c>
      <c r="B105" s="1">
        <v>832</v>
      </c>
      <c r="C105" s="1">
        <v>4481</v>
      </c>
      <c r="D105" s="1">
        <v>-1.5</v>
      </c>
      <c r="E105" s="1">
        <v>2</v>
      </c>
      <c r="F105" s="1">
        <v>0.6</v>
      </c>
      <c r="G105">
        <v>0</v>
      </c>
      <c r="H105" s="1">
        <v>0</v>
      </c>
      <c r="I105" s="1">
        <v>0</v>
      </c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</row>
    <row r="106" spans="1:23" x14ac:dyDescent="0.25">
      <c r="A106" s="1">
        <v>50</v>
      </c>
      <c r="B106" s="1">
        <v>807</v>
      </c>
      <c r="C106" s="1">
        <v>4222</v>
      </c>
      <c r="D106" s="1">
        <v>0</v>
      </c>
      <c r="E106" s="1">
        <v>0</v>
      </c>
      <c r="F106" s="1">
        <v>0</v>
      </c>
      <c r="G106">
        <v>-1</v>
      </c>
      <c r="H106" s="1">
        <v>-1</v>
      </c>
      <c r="I106" s="1">
        <v>0</v>
      </c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</row>
    <row r="107" spans="1:23" x14ac:dyDescent="0.25">
      <c r="A107" s="1">
        <v>75</v>
      </c>
      <c r="B107" s="1">
        <v>783</v>
      </c>
      <c r="C107" s="1">
        <v>3975</v>
      </c>
      <c r="D107" s="1">
        <v>0.5</v>
      </c>
      <c r="E107" s="1">
        <v>-0.2</v>
      </c>
      <c r="F107" s="1">
        <v>-0.1</v>
      </c>
      <c r="G107">
        <v>-2</v>
      </c>
      <c r="H107" s="1">
        <v>-1</v>
      </c>
      <c r="I107" s="1">
        <v>0</v>
      </c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</row>
    <row r="108" spans="1:23" x14ac:dyDescent="0.25">
      <c r="A108" s="10">
        <v>100</v>
      </c>
      <c r="B108" s="10">
        <v>760</v>
      </c>
      <c r="C108" s="10">
        <v>3740</v>
      </c>
      <c r="D108" s="10">
        <v>0</v>
      </c>
      <c r="E108" s="10">
        <v>0</v>
      </c>
      <c r="F108" s="10">
        <v>0</v>
      </c>
      <c r="G108">
        <v>-3</v>
      </c>
      <c r="H108" s="1">
        <v>-1</v>
      </c>
      <c r="I108" s="1">
        <v>0</v>
      </c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</row>
    <row r="109" spans="1:23" x14ac:dyDescent="0.25">
      <c r="A109" s="1">
        <v>125</v>
      </c>
      <c r="B109" s="1">
        <v>737</v>
      </c>
      <c r="C109" s="1">
        <v>3516</v>
      </c>
      <c r="D109" s="1">
        <v>-1.6</v>
      </c>
      <c r="E109" s="1">
        <v>0.4</v>
      </c>
      <c r="F109" s="1">
        <v>0.1</v>
      </c>
      <c r="G109">
        <v>-5</v>
      </c>
      <c r="H109" s="1">
        <v>-1</v>
      </c>
      <c r="I109" s="1">
        <v>0</v>
      </c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</row>
    <row r="110" spans="1:23" x14ac:dyDescent="0.25">
      <c r="A110" s="1">
        <v>150</v>
      </c>
      <c r="B110" s="1">
        <v>714</v>
      </c>
      <c r="C110" s="1">
        <v>3302</v>
      </c>
      <c r="D110" s="1">
        <v>-4.4000000000000004</v>
      </c>
      <c r="E110" s="1">
        <v>1</v>
      </c>
      <c r="F110" s="1">
        <v>0.3</v>
      </c>
      <c r="G110">
        <v>-7</v>
      </c>
      <c r="H110" s="1">
        <v>-2</v>
      </c>
      <c r="I110" s="1">
        <v>0</v>
      </c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</row>
    <row r="111" spans="1:23" x14ac:dyDescent="0.25">
      <c r="A111" s="1">
        <v>175</v>
      </c>
      <c r="B111" s="1">
        <v>691</v>
      </c>
      <c r="C111" s="1">
        <v>3098</v>
      </c>
      <c r="D111" s="1">
        <v>-8.3000000000000007</v>
      </c>
      <c r="E111" s="1">
        <v>1.6</v>
      </c>
      <c r="F111" s="1">
        <v>0.5</v>
      </c>
      <c r="G111">
        <v>-10</v>
      </c>
      <c r="H111" s="1">
        <v>-2</v>
      </c>
      <c r="I111" s="1">
        <v>-1</v>
      </c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</row>
    <row r="112" spans="1:23" x14ac:dyDescent="0.25">
      <c r="A112" s="1">
        <v>200</v>
      </c>
      <c r="B112" s="1">
        <v>669</v>
      </c>
      <c r="C112" s="1">
        <v>2905</v>
      </c>
      <c r="D112" s="1">
        <v>-13.8</v>
      </c>
      <c r="E112" s="1">
        <v>2.4</v>
      </c>
      <c r="F112" s="1">
        <v>0.7</v>
      </c>
      <c r="G112">
        <v>-13</v>
      </c>
      <c r="H112" s="1">
        <v>-2</v>
      </c>
      <c r="I112" s="1">
        <v>-1</v>
      </c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1:23" x14ac:dyDescent="0.25">
      <c r="A113" s="1">
        <v>225</v>
      </c>
      <c r="B113" s="1">
        <v>648</v>
      </c>
      <c r="C113" s="1">
        <v>2720</v>
      </c>
      <c r="D113" s="1">
        <v>-20.5</v>
      </c>
      <c r="E113" s="1">
        <v>3.1</v>
      </c>
      <c r="F113" s="1">
        <v>0.9</v>
      </c>
      <c r="G113">
        <v>-16</v>
      </c>
      <c r="H113" s="1">
        <v>-3</v>
      </c>
      <c r="I113" s="1">
        <v>-1</v>
      </c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</row>
    <row r="114" spans="1:23" x14ac:dyDescent="0.25">
      <c r="A114" s="1">
        <v>250</v>
      </c>
      <c r="B114" s="1">
        <v>627</v>
      </c>
      <c r="C114" s="1">
        <v>2546</v>
      </c>
      <c r="D114" s="1">
        <v>-28.7</v>
      </c>
      <c r="E114" s="1">
        <v>4</v>
      </c>
      <c r="F114" s="1">
        <v>1.1000000000000001</v>
      </c>
      <c r="G114">
        <v>-20</v>
      </c>
      <c r="H114" s="1">
        <v>-3</v>
      </c>
      <c r="I114" s="1">
        <v>-1</v>
      </c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</row>
    <row r="115" spans="1:23" x14ac:dyDescent="0.25">
      <c r="A115" s="1">
        <v>275</v>
      </c>
      <c r="B115" s="1">
        <v>606</v>
      </c>
      <c r="C115" s="1">
        <v>2380</v>
      </c>
      <c r="D115" s="1">
        <v>-38.9</v>
      </c>
      <c r="E115" s="1">
        <v>4.9000000000000004</v>
      </c>
      <c r="F115" s="1">
        <v>1.4</v>
      </c>
      <c r="G115">
        <v>-25</v>
      </c>
      <c r="H115" s="1">
        <v>-3</v>
      </c>
      <c r="I115" s="1">
        <v>-1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</row>
    <row r="116" spans="1:23" x14ac:dyDescent="0.25">
      <c r="A116" s="1">
        <v>300</v>
      </c>
      <c r="B116" s="1">
        <v>586</v>
      </c>
      <c r="C116" s="1">
        <v>2223</v>
      </c>
      <c r="D116" s="1">
        <v>-50.6</v>
      </c>
      <c r="E116" s="1">
        <v>5.8</v>
      </c>
      <c r="F116" s="1">
        <v>1.7</v>
      </c>
      <c r="G116">
        <v>-30</v>
      </c>
      <c r="H116" s="1">
        <v>-4</v>
      </c>
      <c r="I116" s="1">
        <v>-1</v>
      </c>
      <c r="J116" s="1"/>
      <c r="K116" s="1"/>
      <c r="L116" s="1"/>
      <c r="M116" s="1"/>
      <c r="N116" s="1"/>
      <c r="O116" s="1"/>
      <c r="P116" s="1"/>
    </row>
    <row r="117" spans="1:23" x14ac:dyDescent="0.25">
      <c r="A117" s="1">
        <v>325</v>
      </c>
      <c r="B117" s="1">
        <v>566</v>
      </c>
      <c r="C117" s="1">
        <v>2074</v>
      </c>
      <c r="D117" s="1">
        <v>-64.099999999999994</v>
      </c>
      <c r="E117" s="1">
        <v>6.8</v>
      </c>
      <c r="F117" s="1">
        <v>2</v>
      </c>
      <c r="G117">
        <v>-36</v>
      </c>
      <c r="H117" s="1">
        <v>-4</v>
      </c>
      <c r="I117" s="1">
        <v>-1</v>
      </c>
      <c r="J117" s="1"/>
      <c r="K117" s="1"/>
      <c r="L117" s="1"/>
      <c r="M117" s="1"/>
      <c r="N117" s="1"/>
      <c r="O117" s="1"/>
      <c r="P117" s="1"/>
    </row>
    <row r="118" spans="1:23" x14ac:dyDescent="0.25">
      <c r="A118" s="1">
        <v>350</v>
      </c>
      <c r="B118" s="1">
        <v>546</v>
      </c>
      <c r="C118" s="1">
        <v>1934</v>
      </c>
      <c r="D118" s="1">
        <v>-80.3</v>
      </c>
      <c r="E118" s="1">
        <v>7.9</v>
      </c>
      <c r="F118" s="1">
        <v>2.2999999999999998</v>
      </c>
      <c r="G118">
        <v>-43</v>
      </c>
      <c r="H118" s="1">
        <v>-5</v>
      </c>
      <c r="I118" s="1">
        <v>-1</v>
      </c>
      <c r="J118" s="1"/>
      <c r="K118" s="1"/>
      <c r="L118" s="1"/>
      <c r="M118" s="1"/>
      <c r="N118" s="1"/>
      <c r="O118" s="1"/>
      <c r="P118" s="1"/>
    </row>
    <row r="119" spans="1:23" x14ac:dyDescent="0.25">
      <c r="A119" s="1">
        <v>375</v>
      </c>
      <c r="B119" s="1">
        <v>527</v>
      </c>
      <c r="C119" s="1">
        <v>1802</v>
      </c>
      <c r="D119" s="1">
        <v>-98.2</v>
      </c>
      <c r="E119" s="1">
        <v>9</v>
      </c>
      <c r="F119" s="1">
        <v>2.6</v>
      </c>
      <c r="G119">
        <v>-50</v>
      </c>
      <c r="H119" s="1">
        <v>-5</v>
      </c>
      <c r="I119" s="1">
        <v>-2</v>
      </c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</row>
    <row r="120" spans="1:23" x14ac:dyDescent="0.25">
      <c r="A120" s="1">
        <v>400</v>
      </c>
      <c r="B120" s="1">
        <v>509</v>
      </c>
      <c r="C120" s="1">
        <v>1678</v>
      </c>
      <c r="D120" s="1">
        <v>-118.4</v>
      </c>
      <c r="E120" s="1">
        <v>10.199999999999999</v>
      </c>
      <c r="F120" s="1">
        <v>3</v>
      </c>
      <c r="G120">
        <v>-58</v>
      </c>
      <c r="H120" s="1">
        <v>-5</v>
      </c>
      <c r="I120" s="1">
        <v>-2</v>
      </c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</row>
    <row r="121" spans="1:23" x14ac:dyDescent="0.25">
      <c r="A121" s="1">
        <v>425</v>
      </c>
      <c r="B121" s="1">
        <v>491</v>
      </c>
      <c r="C121" s="1">
        <v>1563</v>
      </c>
      <c r="D121" s="1">
        <v>-142.1</v>
      </c>
      <c r="E121" s="1">
        <v>11.5</v>
      </c>
      <c r="F121" s="1">
        <v>3.3</v>
      </c>
      <c r="G121">
        <v>-66</v>
      </c>
      <c r="H121" s="1">
        <v>-6</v>
      </c>
      <c r="I121" s="1">
        <v>-2</v>
      </c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</row>
    <row r="122" spans="1:23" x14ac:dyDescent="0.25">
      <c r="A122" s="1">
        <v>450</v>
      </c>
      <c r="B122" s="1">
        <v>474</v>
      </c>
      <c r="C122" s="1">
        <v>1454</v>
      </c>
      <c r="D122" s="1">
        <v>-167.7</v>
      </c>
      <c r="E122" s="1">
        <v>12.8</v>
      </c>
      <c r="F122" s="1">
        <v>3.7</v>
      </c>
      <c r="G122">
        <v>-76</v>
      </c>
      <c r="H122" s="1">
        <v>-6</v>
      </c>
      <c r="I122" s="1">
        <v>-2</v>
      </c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</row>
    <row r="123" spans="1:23" x14ac:dyDescent="0.25">
      <c r="A123" s="1">
        <v>475</v>
      </c>
      <c r="B123" s="1">
        <v>457</v>
      </c>
      <c r="C123" s="1">
        <v>1353</v>
      </c>
      <c r="D123" s="1">
        <v>-196.4</v>
      </c>
      <c r="E123" s="1">
        <v>14.2</v>
      </c>
      <c r="F123" s="1">
        <v>4.0999999999999996</v>
      </c>
      <c r="G123">
        <v>-86</v>
      </c>
      <c r="H123" s="1">
        <v>-7</v>
      </c>
      <c r="I123" s="1">
        <v>-2</v>
      </c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1:23" x14ac:dyDescent="0.25">
      <c r="A124" s="1">
        <v>500</v>
      </c>
      <c r="B124" s="1">
        <v>441</v>
      </c>
      <c r="C124" s="1">
        <v>1263</v>
      </c>
      <c r="D124" s="1">
        <v>-228.4</v>
      </c>
      <c r="E124" s="1">
        <v>15.7</v>
      </c>
      <c r="F124" s="1">
        <v>4.5999999999999996</v>
      </c>
      <c r="G124">
        <v>-96</v>
      </c>
      <c r="H124" s="1">
        <v>-7</v>
      </c>
      <c r="I124" s="1">
        <v>-2</v>
      </c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</row>
    <row r="125" spans="1:23" x14ac:dyDescent="0.25">
      <c r="Q125" s="1"/>
      <c r="R125" s="1"/>
      <c r="S125" s="1"/>
      <c r="T125" s="1"/>
      <c r="U125" s="1"/>
      <c r="V125" s="1"/>
      <c r="W125" s="1"/>
    </row>
    <row r="126" spans="1:23" x14ac:dyDescent="0.25">
      <c r="A126" t="s">
        <v>84</v>
      </c>
      <c r="Q126" s="1"/>
      <c r="R126" s="1"/>
      <c r="S126" s="1"/>
      <c r="T126" s="1"/>
      <c r="U126" s="1"/>
      <c r="V126" s="1"/>
      <c r="W126" s="1"/>
    </row>
    <row r="127" spans="1:23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39</v>
      </c>
      <c r="H127" t="s">
        <v>40</v>
      </c>
      <c r="I127" t="s">
        <v>41</v>
      </c>
      <c r="Q127" s="1"/>
      <c r="R127" s="1"/>
      <c r="S127" s="1"/>
      <c r="T127" s="1"/>
      <c r="U127" s="1"/>
      <c r="V127" s="1"/>
      <c r="W127" s="1"/>
    </row>
    <row r="128" spans="1:23" x14ac:dyDescent="0.25">
      <c r="A128" s="1">
        <v>0</v>
      </c>
      <c r="B128" s="1">
        <v>857</v>
      </c>
      <c r="C128" s="1">
        <v>4754</v>
      </c>
      <c r="D128" s="1">
        <v>-3.8</v>
      </c>
      <c r="E128" s="1">
        <v>0</v>
      </c>
      <c r="F128" s="1">
        <v>0</v>
      </c>
      <c r="G128">
        <v>0</v>
      </c>
      <c r="H128" s="1">
        <v>0</v>
      </c>
      <c r="I128" s="1">
        <v>0</v>
      </c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1:23" x14ac:dyDescent="0.25">
      <c r="A129" s="1">
        <v>25</v>
      </c>
      <c r="B129" s="1">
        <v>832</v>
      </c>
      <c r="C129" s="1">
        <v>4481</v>
      </c>
      <c r="D129" s="1">
        <v>-0.7</v>
      </c>
      <c r="E129" s="1">
        <v>1</v>
      </c>
      <c r="F129" s="1">
        <v>0.3</v>
      </c>
      <c r="G129">
        <v>0</v>
      </c>
      <c r="H129" s="1">
        <v>0</v>
      </c>
      <c r="I129" s="1">
        <v>0</v>
      </c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1:23" x14ac:dyDescent="0.25">
      <c r="A130" s="1">
        <v>50</v>
      </c>
      <c r="B130" s="1">
        <v>807</v>
      </c>
      <c r="C130" s="1">
        <v>4222</v>
      </c>
      <c r="D130" s="1">
        <v>1.5</v>
      </c>
      <c r="E130" s="1">
        <v>-1</v>
      </c>
      <c r="F130" s="1">
        <v>-0.3</v>
      </c>
      <c r="G130">
        <v>-1</v>
      </c>
      <c r="H130" s="1">
        <v>-1</v>
      </c>
      <c r="I130" s="1">
        <v>0</v>
      </c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</row>
    <row r="131" spans="1:23" x14ac:dyDescent="0.25">
      <c r="A131" s="1">
        <v>75</v>
      </c>
      <c r="B131" s="1">
        <v>783</v>
      </c>
      <c r="C131" s="1">
        <v>3975</v>
      </c>
      <c r="D131" s="1">
        <v>2.7</v>
      </c>
      <c r="E131" s="1">
        <v>-1.2</v>
      </c>
      <c r="F131" s="1">
        <v>-0.4</v>
      </c>
      <c r="G131">
        <v>-2</v>
      </c>
      <c r="H131" s="1">
        <v>-1</v>
      </c>
      <c r="I131" s="1">
        <v>0</v>
      </c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1:23" x14ac:dyDescent="0.25">
      <c r="A132" s="1">
        <v>100</v>
      </c>
      <c r="B132" s="1">
        <v>760</v>
      </c>
      <c r="C132" s="1">
        <v>3740</v>
      </c>
      <c r="D132" s="1">
        <v>2.9</v>
      </c>
      <c r="E132" s="1">
        <v>-1</v>
      </c>
      <c r="F132" s="1">
        <v>-0.3</v>
      </c>
      <c r="G132">
        <v>-3</v>
      </c>
      <c r="H132" s="1">
        <v>-1</v>
      </c>
      <c r="I132" s="1">
        <v>0</v>
      </c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</row>
    <row r="133" spans="1:23" x14ac:dyDescent="0.25">
      <c r="A133" s="1">
        <v>125</v>
      </c>
      <c r="B133" s="1">
        <v>737</v>
      </c>
      <c r="C133" s="1">
        <v>3516</v>
      </c>
      <c r="D133" s="1">
        <v>2</v>
      </c>
      <c r="E133" s="1">
        <v>-0.6</v>
      </c>
      <c r="F133" s="1">
        <v>-0.2</v>
      </c>
      <c r="G133">
        <v>-5</v>
      </c>
      <c r="H133" s="1">
        <v>-1</v>
      </c>
      <c r="I133" s="1">
        <v>0</v>
      </c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1:23" x14ac:dyDescent="0.25">
      <c r="A134" s="10">
        <v>150</v>
      </c>
      <c r="B134" s="10">
        <v>714</v>
      </c>
      <c r="C134" s="10">
        <v>3302</v>
      </c>
      <c r="D134" s="10">
        <v>0</v>
      </c>
      <c r="E134" s="10">
        <v>0</v>
      </c>
      <c r="F134" s="10">
        <v>0</v>
      </c>
      <c r="G134">
        <v>-7</v>
      </c>
      <c r="H134" s="1">
        <v>-2</v>
      </c>
      <c r="I134" s="1">
        <v>0</v>
      </c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</row>
    <row r="135" spans="1:23" x14ac:dyDescent="0.25">
      <c r="A135" s="1">
        <v>175</v>
      </c>
      <c r="B135" s="1">
        <v>691</v>
      </c>
      <c r="C135" s="1">
        <v>3098</v>
      </c>
      <c r="D135" s="1">
        <v>-3.2</v>
      </c>
      <c r="E135" s="1">
        <v>0.6</v>
      </c>
      <c r="F135" s="1">
        <v>0.2</v>
      </c>
      <c r="G135">
        <v>-10</v>
      </c>
      <c r="H135" s="1">
        <v>-2</v>
      </c>
      <c r="I135" s="1">
        <v>-1</v>
      </c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</row>
    <row r="136" spans="1:23" x14ac:dyDescent="0.25">
      <c r="A136" s="1">
        <v>200</v>
      </c>
      <c r="B136" s="1">
        <v>669</v>
      </c>
      <c r="C136" s="1">
        <v>2905</v>
      </c>
      <c r="D136" s="1">
        <v>-8</v>
      </c>
      <c r="E136" s="1">
        <v>1.4</v>
      </c>
      <c r="F136" s="1">
        <v>0.4</v>
      </c>
      <c r="G136">
        <v>-13</v>
      </c>
      <c r="H136" s="1">
        <v>-2</v>
      </c>
      <c r="I136" s="1">
        <v>-1</v>
      </c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</row>
    <row r="137" spans="1:23" x14ac:dyDescent="0.25">
      <c r="A137" s="1">
        <v>225</v>
      </c>
      <c r="B137" s="1">
        <v>648</v>
      </c>
      <c r="C137" s="1">
        <v>2720</v>
      </c>
      <c r="D137" s="1">
        <v>-13.9</v>
      </c>
      <c r="E137" s="1">
        <v>2.1</v>
      </c>
      <c r="F137" s="1">
        <v>0.6</v>
      </c>
      <c r="G137">
        <v>-16</v>
      </c>
      <c r="H137" s="1">
        <v>-3</v>
      </c>
      <c r="I137" s="1">
        <v>-1</v>
      </c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1:23" x14ac:dyDescent="0.25">
      <c r="A138" s="1">
        <v>250</v>
      </c>
      <c r="B138" s="1">
        <v>627</v>
      </c>
      <c r="C138" s="1">
        <v>2546</v>
      </c>
      <c r="D138" s="1">
        <v>-21.4</v>
      </c>
      <c r="E138" s="1">
        <v>3</v>
      </c>
      <c r="F138" s="1">
        <v>0.9</v>
      </c>
      <c r="G138">
        <v>-20</v>
      </c>
      <c r="H138" s="1">
        <v>-3</v>
      </c>
      <c r="I138" s="1">
        <v>-1</v>
      </c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1:23" x14ac:dyDescent="0.25">
      <c r="A139" s="1">
        <v>275</v>
      </c>
      <c r="B139" s="1">
        <v>606</v>
      </c>
      <c r="C139" s="1">
        <v>2380</v>
      </c>
      <c r="D139" s="1">
        <v>-30.9</v>
      </c>
      <c r="E139" s="1">
        <v>3.9</v>
      </c>
      <c r="F139" s="1">
        <v>1.1000000000000001</v>
      </c>
      <c r="G139">
        <v>-25</v>
      </c>
      <c r="H139" s="1">
        <v>-3</v>
      </c>
      <c r="I139" s="1">
        <v>-1</v>
      </c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</row>
    <row r="140" spans="1:23" x14ac:dyDescent="0.25">
      <c r="A140" s="1">
        <v>300</v>
      </c>
      <c r="B140" s="1">
        <v>586</v>
      </c>
      <c r="C140" s="1">
        <v>2223</v>
      </c>
      <c r="D140" s="1">
        <v>-41.9</v>
      </c>
      <c r="E140" s="1">
        <v>4.8</v>
      </c>
      <c r="F140" s="1">
        <v>1.4</v>
      </c>
      <c r="G140">
        <v>-30</v>
      </c>
      <c r="H140" s="1">
        <v>-4</v>
      </c>
      <c r="I140" s="1">
        <v>-1</v>
      </c>
      <c r="J140" s="1"/>
      <c r="K140" s="1"/>
      <c r="L140" s="1"/>
      <c r="M140" s="1"/>
      <c r="N140" s="1"/>
      <c r="O140" s="1"/>
      <c r="P140" s="1"/>
    </row>
    <row r="141" spans="1:23" x14ac:dyDescent="0.25">
      <c r="A141" s="1">
        <v>325</v>
      </c>
      <c r="B141" s="1">
        <v>566</v>
      </c>
      <c r="C141" s="1">
        <v>2074</v>
      </c>
      <c r="D141" s="1">
        <v>-54.7</v>
      </c>
      <c r="E141" s="1">
        <v>5.8</v>
      </c>
      <c r="F141" s="1">
        <v>1.7</v>
      </c>
      <c r="G141">
        <v>-36</v>
      </c>
      <c r="H141" s="1">
        <v>-4</v>
      </c>
      <c r="I141" s="1">
        <v>-1</v>
      </c>
      <c r="J141" s="1"/>
      <c r="K141" s="1"/>
      <c r="L141" s="1"/>
      <c r="M141" s="1"/>
      <c r="N141" s="1"/>
      <c r="O141" s="1"/>
      <c r="P141" s="1"/>
    </row>
    <row r="142" spans="1:23" x14ac:dyDescent="0.25">
      <c r="A142" s="1">
        <v>350</v>
      </c>
      <c r="B142" s="1">
        <v>546</v>
      </c>
      <c r="C142" s="1">
        <v>1934</v>
      </c>
      <c r="D142" s="1">
        <v>-70.099999999999994</v>
      </c>
      <c r="E142" s="1">
        <v>6.9</v>
      </c>
      <c r="F142" s="1">
        <v>2</v>
      </c>
      <c r="G142">
        <v>-43</v>
      </c>
      <c r="H142" s="1">
        <v>-5</v>
      </c>
      <c r="I142" s="1">
        <v>-1</v>
      </c>
      <c r="J142" s="1"/>
      <c r="K142" s="1"/>
      <c r="L142" s="1"/>
      <c r="M142" s="1"/>
      <c r="N142" s="1"/>
      <c r="O142" s="1"/>
      <c r="P142" s="1"/>
    </row>
    <row r="143" spans="1:23" x14ac:dyDescent="0.25">
      <c r="A143" s="1">
        <v>375</v>
      </c>
      <c r="B143" s="1">
        <v>527</v>
      </c>
      <c r="C143" s="1">
        <v>1802</v>
      </c>
      <c r="D143" s="1">
        <v>-87.3</v>
      </c>
      <c r="E143" s="1">
        <v>8</v>
      </c>
      <c r="F143" s="1">
        <v>2.2999999999999998</v>
      </c>
      <c r="G143">
        <v>-50</v>
      </c>
      <c r="H143" s="1">
        <v>-5</v>
      </c>
      <c r="I143" s="1">
        <v>-2</v>
      </c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</row>
    <row r="144" spans="1:23" x14ac:dyDescent="0.25">
      <c r="A144" s="1">
        <v>400</v>
      </c>
      <c r="B144" s="1">
        <v>509</v>
      </c>
      <c r="C144" s="1">
        <v>1678</v>
      </c>
      <c r="D144" s="1">
        <v>-106.8</v>
      </c>
      <c r="E144" s="1">
        <v>9.1999999999999993</v>
      </c>
      <c r="F144" s="1">
        <v>2.7</v>
      </c>
      <c r="G144">
        <v>-58</v>
      </c>
      <c r="H144" s="1">
        <v>-5</v>
      </c>
      <c r="I144" s="1">
        <v>-2</v>
      </c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</row>
    <row r="145" spans="1:23" x14ac:dyDescent="0.25">
      <c r="A145" s="1">
        <v>425</v>
      </c>
      <c r="B145" s="1">
        <v>491</v>
      </c>
      <c r="C145" s="1">
        <v>1563</v>
      </c>
      <c r="D145" s="1">
        <v>-129.69999999999999</v>
      </c>
      <c r="E145" s="1">
        <v>10.5</v>
      </c>
      <c r="F145" s="1">
        <v>3</v>
      </c>
      <c r="G145">
        <v>-66</v>
      </c>
      <c r="H145" s="1">
        <v>-6</v>
      </c>
      <c r="I145" s="1">
        <v>-2</v>
      </c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</row>
    <row r="146" spans="1:23" x14ac:dyDescent="0.25">
      <c r="A146" s="1">
        <v>450</v>
      </c>
      <c r="B146" s="1">
        <v>474</v>
      </c>
      <c r="C146" s="1">
        <v>1454</v>
      </c>
      <c r="D146" s="1">
        <v>-154.69999999999999</v>
      </c>
      <c r="E146" s="1">
        <v>11.8</v>
      </c>
      <c r="F146" s="1">
        <v>3.4</v>
      </c>
      <c r="G146">
        <v>-76</v>
      </c>
      <c r="H146" s="1">
        <v>-6</v>
      </c>
      <c r="I146" s="1">
        <v>-2</v>
      </c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</row>
    <row r="147" spans="1:23" x14ac:dyDescent="0.25">
      <c r="A147" s="1">
        <v>475</v>
      </c>
      <c r="B147" s="1">
        <v>457</v>
      </c>
      <c r="C147" s="1">
        <v>1353</v>
      </c>
      <c r="D147" s="1">
        <v>-182.6</v>
      </c>
      <c r="E147" s="1">
        <v>13.2</v>
      </c>
      <c r="F147" s="1">
        <v>3.8</v>
      </c>
      <c r="G147">
        <v>-86</v>
      </c>
      <c r="H147" s="1">
        <v>-7</v>
      </c>
      <c r="I147" s="1">
        <v>-2</v>
      </c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</row>
    <row r="148" spans="1:23" x14ac:dyDescent="0.25">
      <c r="A148" s="1">
        <v>500</v>
      </c>
      <c r="B148" s="1">
        <v>441</v>
      </c>
      <c r="C148" s="1">
        <v>1263</v>
      </c>
      <c r="D148" s="1">
        <v>-213.8</v>
      </c>
      <c r="E148" s="1">
        <v>14.7</v>
      </c>
      <c r="F148" s="1">
        <v>4.3</v>
      </c>
      <c r="G148">
        <v>-96</v>
      </c>
      <c r="H148" s="1">
        <v>-7</v>
      </c>
      <c r="I148" s="1">
        <v>-2</v>
      </c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</row>
    <row r="149" spans="1:23" x14ac:dyDescent="0.25">
      <c r="Q149" s="1"/>
      <c r="R149" s="1"/>
      <c r="S149" s="1"/>
      <c r="T149" s="1"/>
      <c r="U149" s="1"/>
      <c r="V149" s="1"/>
      <c r="W149" s="1"/>
    </row>
    <row r="150" spans="1:23" x14ac:dyDescent="0.25">
      <c r="A150" t="s">
        <v>83</v>
      </c>
      <c r="Q150" s="1"/>
      <c r="R150" s="1"/>
      <c r="S150" s="1"/>
      <c r="T150" s="1"/>
      <c r="U150" s="1"/>
      <c r="V150" s="1"/>
      <c r="W150" s="1"/>
    </row>
    <row r="151" spans="1:23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39</v>
      </c>
      <c r="H151" t="s">
        <v>40</v>
      </c>
      <c r="I151" t="s">
        <v>41</v>
      </c>
      <c r="Q151" s="1"/>
      <c r="R151" s="1"/>
      <c r="S151" s="1"/>
      <c r="T151" s="1"/>
      <c r="U151" s="1"/>
      <c r="V151" s="1"/>
      <c r="W151" s="1"/>
    </row>
    <row r="152" spans="1:23" x14ac:dyDescent="0.25">
      <c r="A152" s="1">
        <v>0</v>
      </c>
      <c r="B152" s="1">
        <v>857</v>
      </c>
      <c r="C152" s="1">
        <v>4754</v>
      </c>
      <c r="D152" s="1">
        <v>-3.8</v>
      </c>
      <c r="E152" s="1">
        <v>0</v>
      </c>
      <c r="F152" s="1">
        <v>0</v>
      </c>
      <c r="G152">
        <v>0</v>
      </c>
      <c r="H152" s="1">
        <v>0</v>
      </c>
      <c r="I152" s="1">
        <v>0</v>
      </c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</row>
    <row r="153" spans="1:23" x14ac:dyDescent="0.25">
      <c r="A153" s="1">
        <v>25</v>
      </c>
      <c r="B153" s="1">
        <v>832</v>
      </c>
      <c r="C153" s="1">
        <v>4481</v>
      </c>
      <c r="D153" s="1">
        <v>0.2</v>
      </c>
      <c r="E153" s="1">
        <v>-0.3</v>
      </c>
      <c r="F153" s="1">
        <v>-0.1</v>
      </c>
      <c r="G153">
        <v>0</v>
      </c>
      <c r="H153" s="1">
        <v>0</v>
      </c>
      <c r="I153" s="1">
        <v>0</v>
      </c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</row>
    <row r="154" spans="1:23" x14ac:dyDescent="0.25">
      <c r="A154" s="1">
        <v>50</v>
      </c>
      <c r="B154" s="1">
        <v>807</v>
      </c>
      <c r="C154" s="1">
        <v>4222</v>
      </c>
      <c r="D154" s="1">
        <v>3.5</v>
      </c>
      <c r="E154" s="1">
        <v>-2.4</v>
      </c>
      <c r="F154" s="1">
        <v>-0.7</v>
      </c>
      <c r="G154">
        <v>-1</v>
      </c>
      <c r="H154" s="1">
        <v>-1</v>
      </c>
      <c r="I154" s="1">
        <v>0</v>
      </c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</row>
    <row r="155" spans="1:23" x14ac:dyDescent="0.25">
      <c r="A155" s="1">
        <v>75</v>
      </c>
      <c r="B155" s="1">
        <v>783</v>
      </c>
      <c r="C155" s="1">
        <v>3975</v>
      </c>
      <c r="D155" s="1">
        <v>5.7</v>
      </c>
      <c r="E155" s="1">
        <v>-2.6</v>
      </c>
      <c r="F155" s="1">
        <v>-0.8</v>
      </c>
      <c r="G155">
        <v>-2</v>
      </c>
      <c r="H155" s="1">
        <v>-1</v>
      </c>
      <c r="I155" s="1">
        <v>0</v>
      </c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</row>
    <row r="156" spans="1:23" x14ac:dyDescent="0.25">
      <c r="A156" s="1">
        <v>100</v>
      </c>
      <c r="B156" s="1">
        <v>760</v>
      </c>
      <c r="C156" s="1">
        <v>3740</v>
      </c>
      <c r="D156" s="1">
        <v>6.9</v>
      </c>
      <c r="E156" s="1">
        <v>-2.4</v>
      </c>
      <c r="F156" s="1">
        <v>-0.7</v>
      </c>
      <c r="G156">
        <v>-3</v>
      </c>
      <c r="H156" s="1">
        <v>-1</v>
      </c>
      <c r="I156" s="1">
        <v>0</v>
      </c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</row>
    <row r="157" spans="1:23" x14ac:dyDescent="0.25">
      <c r="A157" s="1">
        <v>125</v>
      </c>
      <c r="B157" s="1">
        <v>737</v>
      </c>
      <c r="C157" s="1">
        <v>3516</v>
      </c>
      <c r="D157" s="1">
        <v>7</v>
      </c>
      <c r="E157" s="1">
        <v>-1.9</v>
      </c>
      <c r="F157" s="1">
        <v>-0.6</v>
      </c>
      <c r="G157">
        <v>-5</v>
      </c>
      <c r="H157" s="1">
        <v>-1</v>
      </c>
      <c r="I157" s="1">
        <v>0</v>
      </c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</row>
    <row r="158" spans="1:23" x14ac:dyDescent="0.25">
      <c r="A158" s="1">
        <v>150</v>
      </c>
      <c r="B158" s="1">
        <v>714</v>
      </c>
      <c r="C158" s="1">
        <v>3302</v>
      </c>
      <c r="D158" s="1">
        <v>5.9</v>
      </c>
      <c r="E158" s="1">
        <v>-1.4</v>
      </c>
      <c r="F158" s="1">
        <v>-0.4</v>
      </c>
      <c r="G158">
        <v>-7</v>
      </c>
      <c r="H158" s="1">
        <v>-2</v>
      </c>
      <c r="I158" s="1">
        <v>0</v>
      </c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</row>
    <row r="159" spans="1:23" x14ac:dyDescent="0.25">
      <c r="A159" s="1">
        <v>175</v>
      </c>
      <c r="B159" s="1">
        <v>691</v>
      </c>
      <c r="C159" s="1">
        <v>3098</v>
      </c>
      <c r="D159" s="1">
        <v>3.7</v>
      </c>
      <c r="E159" s="1">
        <v>-0.7</v>
      </c>
      <c r="F159" s="1">
        <v>-0.2</v>
      </c>
      <c r="G159">
        <v>-10</v>
      </c>
      <c r="H159" s="1">
        <v>-2</v>
      </c>
      <c r="I159" s="1">
        <v>-1</v>
      </c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</row>
    <row r="160" spans="1:23" x14ac:dyDescent="0.25">
      <c r="A160" s="10">
        <v>200</v>
      </c>
      <c r="B160" s="10">
        <v>669</v>
      </c>
      <c r="C160" s="10">
        <v>2905</v>
      </c>
      <c r="D160" s="10">
        <v>0</v>
      </c>
      <c r="E160" s="10">
        <v>0</v>
      </c>
      <c r="F160" s="10">
        <v>0</v>
      </c>
      <c r="G160">
        <v>-13</v>
      </c>
      <c r="H160" s="1">
        <v>-2</v>
      </c>
      <c r="I160" s="1">
        <v>-1</v>
      </c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</row>
    <row r="161" spans="1:23" x14ac:dyDescent="0.25">
      <c r="A161" s="1">
        <v>225</v>
      </c>
      <c r="B161" s="1">
        <v>648</v>
      </c>
      <c r="C161" s="1">
        <v>2720</v>
      </c>
      <c r="D161" s="1">
        <v>-5.0999999999999996</v>
      </c>
      <c r="E161" s="1">
        <v>0.8</v>
      </c>
      <c r="F161" s="1">
        <v>0.2</v>
      </c>
      <c r="G161">
        <v>-16</v>
      </c>
      <c r="H161" s="1">
        <v>-3</v>
      </c>
      <c r="I161" s="1">
        <v>-1</v>
      </c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</row>
    <row r="162" spans="1:23" x14ac:dyDescent="0.25">
      <c r="A162" s="1">
        <v>250</v>
      </c>
      <c r="B162" s="1">
        <v>627</v>
      </c>
      <c r="C162" s="1">
        <v>2546</v>
      </c>
      <c r="D162" s="1">
        <v>-11.6</v>
      </c>
      <c r="E162" s="1">
        <v>1.6</v>
      </c>
      <c r="F162" s="1">
        <v>0.5</v>
      </c>
      <c r="G162">
        <v>-20</v>
      </c>
      <c r="H162" s="1">
        <v>-3</v>
      </c>
      <c r="I162" s="1">
        <v>-1</v>
      </c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</row>
    <row r="163" spans="1:23" x14ac:dyDescent="0.25">
      <c r="A163" s="1">
        <v>275</v>
      </c>
      <c r="B163" s="1">
        <v>606</v>
      </c>
      <c r="C163" s="1">
        <v>2380</v>
      </c>
      <c r="D163" s="1">
        <v>-20.100000000000001</v>
      </c>
      <c r="E163" s="1">
        <v>2.5</v>
      </c>
      <c r="F163" s="1">
        <v>0.7</v>
      </c>
      <c r="G163">
        <v>-25</v>
      </c>
      <c r="H163" s="1">
        <v>-3</v>
      </c>
      <c r="I163" s="1">
        <v>-1</v>
      </c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</row>
    <row r="164" spans="1:23" x14ac:dyDescent="0.25">
      <c r="A164" s="1">
        <v>300</v>
      </c>
      <c r="B164" s="1">
        <v>586</v>
      </c>
      <c r="C164" s="1">
        <v>2223</v>
      </c>
      <c r="D164" s="1">
        <v>-30</v>
      </c>
      <c r="E164" s="1">
        <v>3.4</v>
      </c>
      <c r="F164" s="1">
        <v>1</v>
      </c>
      <c r="G164">
        <v>-30</v>
      </c>
      <c r="H164" s="1">
        <v>-4</v>
      </c>
      <c r="I164" s="1">
        <v>-1</v>
      </c>
      <c r="J164" s="1"/>
      <c r="K164" s="1"/>
      <c r="L164" s="1"/>
      <c r="M164" s="1"/>
      <c r="N164" s="1"/>
      <c r="O164" s="1"/>
      <c r="P164" s="1"/>
    </row>
    <row r="165" spans="1:23" x14ac:dyDescent="0.25">
      <c r="A165" s="1">
        <v>325</v>
      </c>
      <c r="B165" s="1">
        <v>566</v>
      </c>
      <c r="C165" s="1">
        <v>2074</v>
      </c>
      <c r="D165" s="1">
        <v>-41.8</v>
      </c>
      <c r="E165" s="1">
        <v>4.4000000000000004</v>
      </c>
      <c r="F165" s="1">
        <v>1.3</v>
      </c>
      <c r="G165">
        <v>-36</v>
      </c>
      <c r="H165" s="1">
        <v>-4</v>
      </c>
      <c r="I165" s="1">
        <v>-1</v>
      </c>
      <c r="J165" s="1"/>
      <c r="K165" s="1"/>
      <c r="L165" s="1"/>
      <c r="M165" s="1"/>
      <c r="N165" s="1"/>
      <c r="O165" s="1"/>
      <c r="P165" s="1"/>
    </row>
    <row r="166" spans="1:23" x14ac:dyDescent="0.25">
      <c r="A166" s="1">
        <v>350</v>
      </c>
      <c r="B166" s="1">
        <v>546</v>
      </c>
      <c r="C166" s="1">
        <v>1934</v>
      </c>
      <c r="D166" s="1">
        <v>-56.3</v>
      </c>
      <c r="E166" s="1">
        <v>5.5</v>
      </c>
      <c r="F166" s="1">
        <v>1.6</v>
      </c>
      <c r="G166">
        <v>-43</v>
      </c>
      <c r="H166" s="1">
        <v>-5</v>
      </c>
      <c r="I166" s="1">
        <v>-1</v>
      </c>
      <c r="J166" s="1"/>
      <c r="K166" s="1"/>
      <c r="L166" s="1"/>
      <c r="M166" s="1"/>
      <c r="N166" s="1"/>
      <c r="O166" s="1"/>
      <c r="P166" s="1"/>
    </row>
    <row r="167" spans="1:23" x14ac:dyDescent="0.25">
      <c r="A167" s="1">
        <v>375</v>
      </c>
      <c r="B167" s="1">
        <v>527</v>
      </c>
      <c r="C167" s="1">
        <v>1802</v>
      </c>
      <c r="D167" s="1">
        <v>-72.400000000000006</v>
      </c>
      <c r="E167" s="1">
        <v>6.6</v>
      </c>
      <c r="F167" s="1">
        <v>1.9</v>
      </c>
      <c r="G167">
        <v>-50</v>
      </c>
      <c r="H167" s="1">
        <v>-5</v>
      </c>
      <c r="I167" s="1">
        <v>-2</v>
      </c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</row>
    <row r="168" spans="1:23" x14ac:dyDescent="0.25">
      <c r="A168" s="1">
        <v>400</v>
      </c>
      <c r="B168" s="1">
        <v>509</v>
      </c>
      <c r="C168" s="1">
        <v>1678</v>
      </c>
      <c r="D168" s="1">
        <v>-91</v>
      </c>
      <c r="E168" s="1">
        <v>7.8</v>
      </c>
      <c r="F168" s="1">
        <v>2.2999999999999998</v>
      </c>
      <c r="G168">
        <v>-58</v>
      </c>
      <c r="H168" s="1">
        <v>-5</v>
      </c>
      <c r="I168" s="1">
        <v>-2</v>
      </c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</row>
    <row r="169" spans="1:23" x14ac:dyDescent="0.25">
      <c r="A169" s="1">
        <v>425</v>
      </c>
      <c r="B169" s="1">
        <v>491</v>
      </c>
      <c r="C169" s="1">
        <v>1563</v>
      </c>
      <c r="D169" s="1">
        <v>-112.9</v>
      </c>
      <c r="E169" s="1">
        <v>9.1</v>
      </c>
      <c r="F169" s="1">
        <v>2.7</v>
      </c>
      <c r="G169">
        <v>-66</v>
      </c>
      <c r="H169" s="1">
        <v>-6</v>
      </c>
      <c r="I169" s="1">
        <v>-2</v>
      </c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</row>
    <row r="170" spans="1:23" x14ac:dyDescent="0.25">
      <c r="A170" s="1">
        <v>450</v>
      </c>
      <c r="B170" s="1">
        <v>474</v>
      </c>
      <c r="C170" s="1">
        <v>1454</v>
      </c>
      <c r="D170" s="1">
        <v>-136.9</v>
      </c>
      <c r="E170" s="1">
        <v>10.5</v>
      </c>
      <c r="F170" s="1">
        <v>3</v>
      </c>
      <c r="G170">
        <v>-76</v>
      </c>
      <c r="H170" s="1">
        <v>-6</v>
      </c>
      <c r="I170" s="1">
        <v>-2</v>
      </c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</row>
    <row r="171" spans="1:23" x14ac:dyDescent="0.25">
      <c r="A171" s="1">
        <v>475</v>
      </c>
      <c r="B171" s="1">
        <v>457</v>
      </c>
      <c r="C171" s="1">
        <v>1353</v>
      </c>
      <c r="D171" s="1">
        <v>-163.9</v>
      </c>
      <c r="E171" s="1">
        <v>11.9</v>
      </c>
      <c r="F171" s="1">
        <v>3.5</v>
      </c>
      <c r="G171">
        <v>-86</v>
      </c>
      <c r="H171" s="1">
        <v>-7</v>
      </c>
      <c r="I171" s="1">
        <v>-2</v>
      </c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</row>
    <row r="172" spans="1:23" x14ac:dyDescent="0.25">
      <c r="A172" s="1">
        <v>500</v>
      </c>
      <c r="B172" s="1">
        <v>441</v>
      </c>
      <c r="C172" s="1">
        <v>1263</v>
      </c>
      <c r="D172" s="1">
        <v>-194.1</v>
      </c>
      <c r="E172" s="1">
        <v>13.4</v>
      </c>
      <c r="F172" s="1">
        <v>3.9</v>
      </c>
      <c r="G172">
        <v>-96</v>
      </c>
      <c r="H172" s="1">
        <v>-7</v>
      </c>
      <c r="I172" s="1">
        <v>-2</v>
      </c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</row>
    <row r="173" spans="1:23" x14ac:dyDescent="0.25">
      <c r="Q173" s="1"/>
      <c r="R173" s="1"/>
      <c r="S173" s="1"/>
      <c r="T173" s="1"/>
      <c r="U173" s="1"/>
      <c r="V173" s="1"/>
      <c r="W173" s="1"/>
    </row>
    <row r="174" spans="1:23" x14ac:dyDescent="0.25">
      <c r="A174" t="s">
        <v>82</v>
      </c>
      <c r="Q174" s="1"/>
      <c r="R174" s="1"/>
      <c r="S174" s="1"/>
      <c r="T174" s="1"/>
      <c r="U174" s="1"/>
      <c r="V174" s="1"/>
      <c r="W174" s="1"/>
    </row>
    <row r="175" spans="1:23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39</v>
      </c>
      <c r="H175" t="s">
        <v>40</v>
      </c>
      <c r="I175" t="s">
        <v>41</v>
      </c>
      <c r="Q175" s="1"/>
      <c r="R175" s="1"/>
      <c r="S175" s="1"/>
      <c r="T175" s="1"/>
      <c r="U175" s="1"/>
      <c r="V175" s="1"/>
      <c r="W175" s="1"/>
    </row>
    <row r="176" spans="1:23" x14ac:dyDescent="0.25">
      <c r="A176" s="1">
        <v>0</v>
      </c>
      <c r="B176" s="1">
        <v>857</v>
      </c>
      <c r="C176" s="1">
        <v>4754</v>
      </c>
      <c r="D176" s="1">
        <v>-3.8</v>
      </c>
      <c r="E176" s="1">
        <v>0</v>
      </c>
      <c r="F176" s="1">
        <v>0</v>
      </c>
      <c r="G176">
        <v>0</v>
      </c>
      <c r="H176" s="1">
        <v>0</v>
      </c>
      <c r="I176" s="1">
        <v>0</v>
      </c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</row>
    <row r="177" spans="1:23" x14ac:dyDescent="0.25">
      <c r="A177" s="1">
        <v>25</v>
      </c>
      <c r="B177" s="1">
        <v>832</v>
      </c>
      <c r="C177" s="1">
        <v>4481</v>
      </c>
      <c r="D177" s="1">
        <v>2.7</v>
      </c>
      <c r="E177" s="1">
        <v>-3.8</v>
      </c>
      <c r="F177" s="1">
        <v>-1.1000000000000001</v>
      </c>
      <c r="G177">
        <v>0</v>
      </c>
      <c r="H177" s="1">
        <v>0</v>
      </c>
      <c r="I177" s="1">
        <v>0</v>
      </c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</row>
    <row r="178" spans="1:23" x14ac:dyDescent="0.25">
      <c r="A178" s="1">
        <v>50</v>
      </c>
      <c r="B178" s="1">
        <v>807</v>
      </c>
      <c r="C178" s="1">
        <v>4222</v>
      </c>
      <c r="D178" s="1">
        <v>8.5</v>
      </c>
      <c r="E178" s="1">
        <v>-5.8</v>
      </c>
      <c r="F178" s="1">
        <v>-1.7</v>
      </c>
      <c r="G178">
        <v>-1</v>
      </c>
      <c r="H178" s="1">
        <v>-1</v>
      </c>
      <c r="I178" s="1">
        <v>0</v>
      </c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</row>
    <row r="179" spans="1:23" x14ac:dyDescent="0.25">
      <c r="A179" s="1">
        <v>75</v>
      </c>
      <c r="B179" s="1">
        <v>783</v>
      </c>
      <c r="C179" s="1">
        <v>3975</v>
      </c>
      <c r="D179" s="1">
        <v>13.2</v>
      </c>
      <c r="E179" s="1">
        <v>-6</v>
      </c>
      <c r="F179" s="1">
        <v>-1.8</v>
      </c>
      <c r="G179">
        <v>-2</v>
      </c>
      <c r="H179" s="1">
        <v>-1</v>
      </c>
      <c r="I179" s="1">
        <v>0</v>
      </c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</row>
    <row r="180" spans="1:23" x14ac:dyDescent="0.25">
      <c r="A180" s="1">
        <v>100</v>
      </c>
      <c r="B180" s="1">
        <v>760</v>
      </c>
      <c r="C180" s="1">
        <v>3740</v>
      </c>
      <c r="D180" s="1">
        <v>16.899999999999999</v>
      </c>
      <c r="E180" s="1">
        <v>-5.8</v>
      </c>
      <c r="F180" s="1">
        <v>-1.7</v>
      </c>
      <c r="G180">
        <v>-3</v>
      </c>
      <c r="H180" s="1">
        <v>-1</v>
      </c>
      <c r="I180" s="1">
        <v>0</v>
      </c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</row>
    <row r="181" spans="1:23" x14ac:dyDescent="0.25">
      <c r="A181" s="1">
        <v>125</v>
      </c>
      <c r="B181" s="1">
        <v>737</v>
      </c>
      <c r="C181" s="1">
        <v>3516</v>
      </c>
      <c r="D181" s="1">
        <v>19.600000000000001</v>
      </c>
      <c r="E181" s="1">
        <v>-5.4</v>
      </c>
      <c r="F181" s="1">
        <v>-1.6</v>
      </c>
      <c r="G181">
        <v>-5</v>
      </c>
      <c r="H181" s="1">
        <v>-1</v>
      </c>
      <c r="I181" s="1">
        <v>0</v>
      </c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</row>
    <row r="182" spans="1:23" x14ac:dyDescent="0.25">
      <c r="A182" s="1">
        <v>150</v>
      </c>
      <c r="B182" s="1">
        <v>714</v>
      </c>
      <c r="C182" s="1">
        <v>3302</v>
      </c>
      <c r="D182" s="1">
        <v>21</v>
      </c>
      <c r="E182" s="1">
        <v>-4.8</v>
      </c>
      <c r="F182" s="1">
        <v>-1.4</v>
      </c>
      <c r="G182">
        <v>-7</v>
      </c>
      <c r="H182" s="1">
        <v>-2</v>
      </c>
      <c r="I182" s="1">
        <v>0</v>
      </c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</row>
    <row r="183" spans="1:23" x14ac:dyDescent="0.25">
      <c r="A183" s="1">
        <v>175</v>
      </c>
      <c r="B183" s="1">
        <v>691</v>
      </c>
      <c r="C183" s="1">
        <v>3098</v>
      </c>
      <c r="D183" s="1">
        <v>21.2</v>
      </c>
      <c r="E183" s="1">
        <v>-4.2</v>
      </c>
      <c r="F183" s="1">
        <v>-1.2</v>
      </c>
      <c r="G183">
        <v>-10</v>
      </c>
      <c r="H183" s="1">
        <v>-2</v>
      </c>
      <c r="I183" s="1">
        <v>-1</v>
      </c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</row>
    <row r="184" spans="1:23" x14ac:dyDescent="0.25">
      <c r="A184" s="1">
        <v>200</v>
      </c>
      <c r="B184" s="1">
        <v>669</v>
      </c>
      <c r="C184" s="1">
        <v>2905</v>
      </c>
      <c r="D184" s="1">
        <v>20.100000000000001</v>
      </c>
      <c r="E184" s="1">
        <v>-3.4</v>
      </c>
      <c r="F184" s="1">
        <v>-1</v>
      </c>
      <c r="G184">
        <v>-13</v>
      </c>
      <c r="H184" s="1">
        <v>-2</v>
      </c>
      <c r="I184" s="1">
        <v>-1</v>
      </c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</row>
    <row r="185" spans="1:23" x14ac:dyDescent="0.25">
      <c r="A185" s="1">
        <v>225</v>
      </c>
      <c r="B185" s="1">
        <v>648</v>
      </c>
      <c r="C185" s="1">
        <v>2720</v>
      </c>
      <c r="D185" s="1">
        <v>17.5</v>
      </c>
      <c r="E185" s="1">
        <v>-2.7</v>
      </c>
      <c r="F185" s="1">
        <v>-0.8</v>
      </c>
      <c r="G185">
        <v>-16</v>
      </c>
      <c r="H185" s="1">
        <v>-3</v>
      </c>
      <c r="I185" s="1">
        <v>-1</v>
      </c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</row>
    <row r="186" spans="1:23" x14ac:dyDescent="0.25">
      <c r="A186" s="1">
        <v>250</v>
      </c>
      <c r="B186" s="1">
        <v>627</v>
      </c>
      <c r="C186" s="1">
        <v>2545</v>
      </c>
      <c r="D186" s="1">
        <v>13.5</v>
      </c>
      <c r="E186" s="1">
        <v>-1.9</v>
      </c>
      <c r="F186" s="1">
        <v>-0.5</v>
      </c>
      <c r="G186">
        <v>-20</v>
      </c>
      <c r="H186" s="1">
        <v>-3</v>
      </c>
      <c r="I186" s="1">
        <v>-1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</row>
    <row r="187" spans="1:23" x14ac:dyDescent="0.25">
      <c r="A187" s="1">
        <v>275</v>
      </c>
      <c r="B187" s="1">
        <v>606</v>
      </c>
      <c r="C187" s="1">
        <v>2380</v>
      </c>
      <c r="D187" s="1">
        <v>7.6</v>
      </c>
      <c r="E187" s="1">
        <v>-0.9</v>
      </c>
      <c r="F187" s="1">
        <v>-0.3</v>
      </c>
      <c r="G187">
        <v>-25</v>
      </c>
      <c r="H187" s="1">
        <v>-3</v>
      </c>
      <c r="I187" s="1">
        <v>-1</v>
      </c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</row>
    <row r="188" spans="1:23" x14ac:dyDescent="0.25">
      <c r="A188" s="10">
        <v>300</v>
      </c>
      <c r="B188" s="10">
        <v>586</v>
      </c>
      <c r="C188" s="10">
        <v>2223</v>
      </c>
      <c r="D188" s="10">
        <v>0.1</v>
      </c>
      <c r="E188" s="10">
        <v>0</v>
      </c>
      <c r="F188" s="10">
        <v>0</v>
      </c>
      <c r="G188">
        <v>-30</v>
      </c>
      <c r="H188" s="1">
        <v>-4</v>
      </c>
      <c r="I188" s="1">
        <v>-1</v>
      </c>
      <c r="J188" s="1"/>
      <c r="K188" s="1"/>
      <c r="L188" s="1"/>
      <c r="M188" s="1"/>
      <c r="N188" s="1"/>
      <c r="O188" s="1"/>
      <c r="P188" s="1"/>
    </row>
    <row r="189" spans="1:23" x14ac:dyDescent="0.25">
      <c r="A189" s="1">
        <v>325</v>
      </c>
      <c r="B189" s="1">
        <v>566</v>
      </c>
      <c r="C189" s="1">
        <v>2074</v>
      </c>
      <c r="D189" s="1">
        <v>-9.3000000000000007</v>
      </c>
      <c r="E189" s="1">
        <v>1</v>
      </c>
      <c r="F189" s="1">
        <v>0.3</v>
      </c>
      <c r="G189">
        <v>-36</v>
      </c>
      <c r="H189" s="1">
        <v>-4</v>
      </c>
      <c r="I189" s="1">
        <v>-1</v>
      </c>
      <c r="J189" s="1"/>
      <c r="K189" s="1"/>
      <c r="L189" s="1"/>
      <c r="M189" s="1"/>
      <c r="N189" s="1"/>
      <c r="O189" s="1"/>
      <c r="P189" s="1"/>
    </row>
    <row r="190" spans="1:23" x14ac:dyDescent="0.25">
      <c r="A190" s="1">
        <v>350</v>
      </c>
      <c r="B190" s="1">
        <v>546</v>
      </c>
      <c r="C190" s="1">
        <v>1934</v>
      </c>
      <c r="D190" s="1">
        <v>-21.1</v>
      </c>
      <c r="E190" s="1">
        <v>2.1</v>
      </c>
      <c r="F190" s="1">
        <v>0.6</v>
      </c>
      <c r="G190">
        <v>-43</v>
      </c>
      <c r="H190" s="1">
        <v>-5</v>
      </c>
      <c r="I190" s="1">
        <v>-1</v>
      </c>
      <c r="J190" s="1"/>
      <c r="K190" s="1"/>
      <c r="L190" s="1"/>
      <c r="M190" s="1"/>
      <c r="N190" s="1"/>
      <c r="O190" s="1"/>
      <c r="P190" s="1"/>
    </row>
    <row r="191" spans="1:23" x14ac:dyDescent="0.25">
      <c r="A191" s="1">
        <v>375</v>
      </c>
      <c r="B191" s="1">
        <v>527</v>
      </c>
      <c r="C191" s="1">
        <v>1802</v>
      </c>
      <c r="D191" s="1">
        <v>-34.799999999999997</v>
      </c>
      <c r="E191" s="1">
        <v>3.2</v>
      </c>
      <c r="F191" s="1">
        <v>0.9</v>
      </c>
      <c r="G191">
        <v>-50</v>
      </c>
      <c r="H191" s="1">
        <v>-5</v>
      </c>
      <c r="I191" s="1">
        <v>-2</v>
      </c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</row>
    <row r="192" spans="1:23" x14ac:dyDescent="0.25">
      <c r="A192" s="1">
        <v>400</v>
      </c>
      <c r="B192" s="1">
        <v>509</v>
      </c>
      <c r="C192" s="1">
        <v>1678</v>
      </c>
      <c r="D192" s="1">
        <v>-50.9</v>
      </c>
      <c r="E192" s="1">
        <v>4.4000000000000004</v>
      </c>
      <c r="F192" s="1">
        <v>1.3</v>
      </c>
      <c r="G192">
        <v>-58</v>
      </c>
      <c r="H192" s="1">
        <v>-5</v>
      </c>
      <c r="I192" s="1">
        <v>-2</v>
      </c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</row>
    <row r="193" spans="1:23" x14ac:dyDescent="0.25">
      <c r="A193" s="1">
        <v>425</v>
      </c>
      <c r="B193" s="1">
        <v>491</v>
      </c>
      <c r="C193" s="1">
        <v>1563</v>
      </c>
      <c r="D193" s="1">
        <v>-70.2</v>
      </c>
      <c r="E193" s="1">
        <v>5.7</v>
      </c>
      <c r="F193" s="1">
        <v>1.7</v>
      </c>
      <c r="G193">
        <v>-66</v>
      </c>
      <c r="H193" s="1">
        <v>-6</v>
      </c>
      <c r="I193" s="1">
        <v>-2</v>
      </c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</row>
    <row r="194" spans="1:23" x14ac:dyDescent="0.25">
      <c r="A194" s="1">
        <v>450</v>
      </c>
      <c r="B194" s="1">
        <v>474</v>
      </c>
      <c r="C194" s="1">
        <v>1454</v>
      </c>
      <c r="D194" s="1">
        <v>-91.8</v>
      </c>
      <c r="E194" s="1">
        <v>7</v>
      </c>
      <c r="F194" s="1">
        <v>2</v>
      </c>
      <c r="G194">
        <v>-76</v>
      </c>
      <c r="H194" s="1">
        <v>-6</v>
      </c>
      <c r="I194" s="1">
        <v>-2</v>
      </c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</row>
    <row r="195" spans="1:23" x14ac:dyDescent="0.25">
      <c r="A195" s="1">
        <v>475</v>
      </c>
      <c r="B195" s="1">
        <v>457</v>
      </c>
      <c r="C195" s="1">
        <v>1353</v>
      </c>
      <c r="D195" s="1">
        <v>-116.3</v>
      </c>
      <c r="E195" s="1">
        <v>8.4</v>
      </c>
      <c r="F195" s="1">
        <v>2.4</v>
      </c>
      <c r="G195">
        <v>-86</v>
      </c>
      <c r="H195" s="1">
        <v>-7</v>
      </c>
      <c r="I195" s="1">
        <v>-2</v>
      </c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</row>
    <row r="196" spans="1:23" x14ac:dyDescent="0.25">
      <c r="A196" s="1">
        <v>500</v>
      </c>
      <c r="B196" s="1">
        <v>441</v>
      </c>
      <c r="C196" s="1">
        <v>1263</v>
      </c>
      <c r="D196" s="1">
        <v>-144</v>
      </c>
      <c r="E196" s="1">
        <v>9.9</v>
      </c>
      <c r="F196" s="1">
        <v>2.9</v>
      </c>
      <c r="G196">
        <v>-96</v>
      </c>
      <c r="H196" s="1">
        <v>-7</v>
      </c>
      <c r="I196" s="1">
        <v>-2</v>
      </c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</row>
    <row r="197" spans="1:23" x14ac:dyDescent="0.25">
      <c r="Q197" s="1"/>
      <c r="R197" s="1"/>
      <c r="S197" s="1"/>
      <c r="T197" s="1"/>
      <c r="U197" s="1"/>
      <c r="V197" s="1"/>
      <c r="W197" s="1"/>
    </row>
    <row r="198" spans="1:23" x14ac:dyDescent="0.25">
      <c r="A198" t="s">
        <v>81</v>
      </c>
      <c r="Q198" s="1"/>
      <c r="R198" s="1"/>
      <c r="S198" s="1"/>
      <c r="T198" s="1"/>
      <c r="U198" s="1"/>
      <c r="V198" s="1"/>
      <c r="W198" s="1"/>
    </row>
    <row r="199" spans="1:23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39</v>
      </c>
      <c r="H199" t="s">
        <v>40</v>
      </c>
      <c r="I199" t="s">
        <v>41</v>
      </c>
      <c r="Q199" s="1"/>
      <c r="R199" s="1"/>
      <c r="S199" s="1"/>
      <c r="T199" s="1"/>
      <c r="U199" s="1"/>
      <c r="V199" s="1"/>
      <c r="W199" s="1"/>
    </row>
    <row r="200" spans="1:23" x14ac:dyDescent="0.25">
      <c r="A200" s="1">
        <v>0</v>
      </c>
      <c r="B200" s="1">
        <v>857</v>
      </c>
      <c r="C200" s="1">
        <v>4754</v>
      </c>
      <c r="D200" s="1">
        <v>-3.8</v>
      </c>
      <c r="E200" s="1">
        <v>0</v>
      </c>
      <c r="F200" s="1">
        <v>0</v>
      </c>
      <c r="G200">
        <v>0</v>
      </c>
      <c r="H200" s="1">
        <v>0</v>
      </c>
      <c r="I200" s="1">
        <v>0</v>
      </c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</row>
    <row r="201" spans="1:23" x14ac:dyDescent="0.25">
      <c r="A201" s="1">
        <v>25</v>
      </c>
      <c r="B201" s="1">
        <v>832</v>
      </c>
      <c r="C201" s="1">
        <v>4481</v>
      </c>
      <c r="D201" s="1">
        <v>5.9</v>
      </c>
      <c r="E201" s="1">
        <v>-8.1999999999999993</v>
      </c>
      <c r="F201" s="1">
        <v>-2.4</v>
      </c>
      <c r="G201">
        <v>0</v>
      </c>
      <c r="H201" s="1">
        <v>0</v>
      </c>
      <c r="I201" s="1">
        <v>0</v>
      </c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</row>
    <row r="202" spans="1:23" x14ac:dyDescent="0.25">
      <c r="A202" s="1">
        <v>50</v>
      </c>
      <c r="B202" s="1">
        <v>807</v>
      </c>
      <c r="C202" s="1">
        <v>4222</v>
      </c>
      <c r="D202" s="1">
        <v>15</v>
      </c>
      <c r="E202" s="1">
        <v>-10.199999999999999</v>
      </c>
      <c r="F202" s="1">
        <v>-3</v>
      </c>
      <c r="G202">
        <v>-1</v>
      </c>
      <c r="H202" s="1">
        <v>-1</v>
      </c>
      <c r="I202" s="1">
        <v>0</v>
      </c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</row>
    <row r="203" spans="1:23" x14ac:dyDescent="0.25">
      <c r="A203" s="1">
        <v>75</v>
      </c>
      <c r="B203" s="1">
        <v>783</v>
      </c>
      <c r="C203" s="1">
        <v>3975</v>
      </c>
      <c r="D203" s="1">
        <v>22.8</v>
      </c>
      <c r="E203" s="1">
        <v>-10.4</v>
      </c>
      <c r="F203" s="1">
        <v>-3</v>
      </c>
      <c r="G203">
        <v>-2</v>
      </c>
      <c r="H203" s="1">
        <v>-1</v>
      </c>
      <c r="I203" s="1">
        <v>0</v>
      </c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</row>
    <row r="204" spans="1:23" x14ac:dyDescent="0.25">
      <c r="A204" s="1">
        <v>100</v>
      </c>
      <c r="B204" s="1">
        <v>760</v>
      </c>
      <c r="C204" s="1">
        <v>3740</v>
      </c>
      <c r="D204" s="1">
        <v>29.6</v>
      </c>
      <c r="E204" s="1">
        <v>-10.199999999999999</v>
      </c>
      <c r="F204" s="1">
        <v>-3</v>
      </c>
      <c r="G204">
        <v>-3</v>
      </c>
      <c r="H204" s="1">
        <v>-1</v>
      </c>
      <c r="I204" s="1">
        <v>0</v>
      </c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</row>
    <row r="205" spans="1:23" x14ac:dyDescent="0.25">
      <c r="A205" s="1">
        <v>125</v>
      </c>
      <c r="B205" s="1">
        <v>737</v>
      </c>
      <c r="C205" s="1">
        <v>3516</v>
      </c>
      <c r="D205" s="1">
        <v>35.6</v>
      </c>
      <c r="E205" s="1">
        <v>-9.8000000000000007</v>
      </c>
      <c r="F205" s="1">
        <v>-2.8</v>
      </c>
      <c r="G205">
        <v>-5</v>
      </c>
      <c r="H205" s="1">
        <v>-1</v>
      </c>
      <c r="I205" s="1">
        <v>0</v>
      </c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</row>
    <row r="206" spans="1:23" x14ac:dyDescent="0.25">
      <c r="A206" s="1">
        <v>150</v>
      </c>
      <c r="B206" s="1">
        <v>714</v>
      </c>
      <c r="C206" s="1">
        <v>3302</v>
      </c>
      <c r="D206" s="1">
        <v>40.200000000000003</v>
      </c>
      <c r="E206" s="1">
        <v>-9.1999999999999993</v>
      </c>
      <c r="F206" s="1">
        <v>-2.7</v>
      </c>
      <c r="G206">
        <v>-7</v>
      </c>
      <c r="H206" s="1">
        <v>-2</v>
      </c>
      <c r="I206" s="1">
        <v>0</v>
      </c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</row>
    <row r="207" spans="1:23" x14ac:dyDescent="0.25">
      <c r="A207" s="1">
        <v>175</v>
      </c>
      <c r="B207" s="1">
        <v>691</v>
      </c>
      <c r="C207" s="1">
        <v>3098</v>
      </c>
      <c r="D207" s="1">
        <v>43.6</v>
      </c>
      <c r="E207" s="1">
        <v>-8.6</v>
      </c>
      <c r="F207" s="1">
        <v>-2.5</v>
      </c>
      <c r="G207">
        <v>-10</v>
      </c>
      <c r="H207" s="1">
        <v>-2</v>
      </c>
      <c r="I207" s="1">
        <v>-1</v>
      </c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</row>
    <row r="208" spans="1:23" x14ac:dyDescent="0.25">
      <c r="A208" s="1">
        <v>200</v>
      </c>
      <c r="B208" s="1">
        <v>669</v>
      </c>
      <c r="C208" s="1">
        <v>2905</v>
      </c>
      <c r="D208" s="1">
        <v>45.7</v>
      </c>
      <c r="E208" s="1">
        <v>-7.8</v>
      </c>
      <c r="F208" s="1">
        <v>-2.2999999999999998</v>
      </c>
      <c r="G208">
        <v>-13</v>
      </c>
      <c r="H208" s="1">
        <v>-2</v>
      </c>
      <c r="I208" s="1">
        <v>-1</v>
      </c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</row>
    <row r="209" spans="1:23" x14ac:dyDescent="0.25">
      <c r="A209" s="1">
        <v>225</v>
      </c>
      <c r="B209" s="1">
        <v>648</v>
      </c>
      <c r="C209" s="1">
        <v>2720</v>
      </c>
      <c r="D209" s="1">
        <v>46.3</v>
      </c>
      <c r="E209" s="1">
        <v>-7.1</v>
      </c>
      <c r="F209" s="1">
        <v>-2.1</v>
      </c>
      <c r="G209">
        <v>-16</v>
      </c>
      <c r="H209" s="1">
        <v>-3</v>
      </c>
      <c r="I209" s="1">
        <v>-1</v>
      </c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</row>
    <row r="210" spans="1:23" x14ac:dyDescent="0.25">
      <c r="A210" s="1">
        <v>250</v>
      </c>
      <c r="B210" s="1">
        <v>627</v>
      </c>
      <c r="C210" s="1">
        <v>2545</v>
      </c>
      <c r="D210" s="1">
        <v>45.4</v>
      </c>
      <c r="E210" s="1">
        <v>-6.3</v>
      </c>
      <c r="F210" s="1">
        <v>-1.8</v>
      </c>
      <c r="G210">
        <v>-20</v>
      </c>
      <c r="H210" s="1">
        <v>-3</v>
      </c>
      <c r="I210" s="1">
        <v>-1</v>
      </c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</row>
    <row r="211" spans="1:23" x14ac:dyDescent="0.25">
      <c r="A211" s="1">
        <v>275</v>
      </c>
      <c r="B211" s="1">
        <v>606</v>
      </c>
      <c r="C211" s="1">
        <v>2380</v>
      </c>
      <c r="D211" s="1">
        <v>42.8</v>
      </c>
      <c r="E211" s="1">
        <v>-5.3</v>
      </c>
      <c r="F211" s="1">
        <v>-1.6</v>
      </c>
      <c r="G211">
        <v>-25</v>
      </c>
      <c r="H211" s="1">
        <v>-3</v>
      </c>
      <c r="I211" s="1">
        <v>-1</v>
      </c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</row>
    <row r="212" spans="1:23" x14ac:dyDescent="0.25">
      <c r="A212" s="1">
        <v>300</v>
      </c>
      <c r="B212" s="1">
        <v>586</v>
      </c>
      <c r="C212" s="1">
        <v>2222</v>
      </c>
      <c r="D212" s="1">
        <v>38.5</v>
      </c>
      <c r="E212" s="1">
        <v>-4.4000000000000004</v>
      </c>
      <c r="F212" s="1">
        <v>-1.3</v>
      </c>
      <c r="G212">
        <v>-30</v>
      </c>
      <c r="H212" s="1">
        <v>-4</v>
      </c>
      <c r="I212" s="1">
        <v>-1</v>
      </c>
      <c r="J212" s="1"/>
      <c r="K212" s="1"/>
      <c r="L212" s="1"/>
      <c r="M212" s="1"/>
      <c r="N212" s="1"/>
      <c r="O212" s="1"/>
      <c r="P212" s="1"/>
    </row>
    <row r="213" spans="1:23" x14ac:dyDescent="0.25">
      <c r="A213" s="1">
        <v>325</v>
      </c>
      <c r="B213" s="1">
        <v>566</v>
      </c>
      <c r="C213" s="1">
        <v>2074</v>
      </c>
      <c r="D213" s="1">
        <v>32.200000000000003</v>
      </c>
      <c r="E213" s="1">
        <v>-3.4</v>
      </c>
      <c r="F213" s="1">
        <v>-1</v>
      </c>
      <c r="G213">
        <v>-36</v>
      </c>
      <c r="H213" s="1">
        <v>-4</v>
      </c>
      <c r="I213" s="1">
        <v>-1</v>
      </c>
      <c r="J213" s="1"/>
      <c r="K213" s="1"/>
      <c r="L213" s="1"/>
      <c r="M213" s="1"/>
      <c r="N213" s="1"/>
      <c r="O213" s="1"/>
      <c r="P213" s="1"/>
    </row>
    <row r="214" spans="1:23" x14ac:dyDescent="0.25">
      <c r="A214" s="1">
        <v>350</v>
      </c>
      <c r="B214" s="1">
        <v>546</v>
      </c>
      <c r="C214" s="1">
        <v>1934</v>
      </c>
      <c r="D214" s="1">
        <v>23.7</v>
      </c>
      <c r="E214" s="1">
        <v>-2.2999999999999998</v>
      </c>
      <c r="F214" s="1">
        <v>-0.7</v>
      </c>
      <c r="G214">
        <v>-43</v>
      </c>
      <c r="H214" s="1">
        <v>-5</v>
      </c>
      <c r="I214" s="1">
        <v>-1</v>
      </c>
      <c r="J214" s="1"/>
      <c r="K214" s="1"/>
      <c r="L214" s="1"/>
      <c r="M214" s="1"/>
      <c r="N214" s="1"/>
      <c r="O214" s="1"/>
      <c r="P214" s="1"/>
    </row>
    <row r="215" spans="1:23" x14ac:dyDescent="0.25">
      <c r="A215" s="1">
        <v>375</v>
      </c>
      <c r="B215" s="1">
        <v>527</v>
      </c>
      <c r="C215" s="1">
        <v>1802</v>
      </c>
      <c r="D215" s="1">
        <v>13.1</v>
      </c>
      <c r="E215" s="1">
        <v>-1.2</v>
      </c>
      <c r="F215" s="1">
        <v>-0.4</v>
      </c>
      <c r="G215">
        <v>-50</v>
      </c>
      <c r="H215" s="1">
        <v>-5</v>
      </c>
      <c r="I215" s="1">
        <v>-2</v>
      </c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</row>
    <row r="216" spans="1:23" x14ac:dyDescent="0.25">
      <c r="A216" s="10">
        <v>400</v>
      </c>
      <c r="B216" s="10">
        <v>509</v>
      </c>
      <c r="C216" s="10">
        <v>1678</v>
      </c>
      <c r="D216" s="10">
        <v>0.2</v>
      </c>
      <c r="E216" s="10">
        <v>0</v>
      </c>
      <c r="F216" s="10">
        <v>0</v>
      </c>
      <c r="G216">
        <v>-58</v>
      </c>
      <c r="H216" s="1">
        <v>-5</v>
      </c>
      <c r="I216" s="1">
        <v>-2</v>
      </c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</row>
    <row r="217" spans="1:23" x14ac:dyDescent="0.25">
      <c r="A217" s="1">
        <v>425</v>
      </c>
      <c r="B217" s="1">
        <v>491</v>
      </c>
      <c r="C217" s="1">
        <v>1562</v>
      </c>
      <c r="D217" s="1">
        <v>-15.9</v>
      </c>
      <c r="E217" s="1">
        <v>1.3</v>
      </c>
      <c r="F217" s="1">
        <v>0.4</v>
      </c>
      <c r="G217">
        <v>-66</v>
      </c>
      <c r="H217" s="1">
        <v>-6</v>
      </c>
      <c r="I217" s="1">
        <v>-2</v>
      </c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</row>
    <row r="218" spans="1:23" x14ac:dyDescent="0.25">
      <c r="A218" s="1">
        <v>450</v>
      </c>
      <c r="B218" s="1">
        <v>474</v>
      </c>
      <c r="C218" s="1">
        <v>1454</v>
      </c>
      <c r="D218" s="1">
        <v>-34.200000000000003</v>
      </c>
      <c r="E218" s="1">
        <v>2.6</v>
      </c>
      <c r="F218" s="1">
        <v>0.8</v>
      </c>
      <c r="G218">
        <v>-76</v>
      </c>
      <c r="H218" s="1">
        <v>-6</v>
      </c>
      <c r="I218" s="1">
        <v>-2</v>
      </c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</row>
    <row r="219" spans="1:23" x14ac:dyDescent="0.25">
      <c r="A219" s="1">
        <v>475</v>
      </c>
      <c r="B219" s="1">
        <v>457</v>
      </c>
      <c r="C219" s="1">
        <v>1353</v>
      </c>
      <c r="D219" s="1">
        <v>-55.6</v>
      </c>
      <c r="E219" s="1">
        <v>4</v>
      </c>
      <c r="F219" s="1">
        <v>1.2</v>
      </c>
      <c r="G219">
        <v>-86</v>
      </c>
      <c r="H219" s="1">
        <v>-7</v>
      </c>
      <c r="I219" s="1">
        <v>-2</v>
      </c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</row>
    <row r="220" spans="1:23" x14ac:dyDescent="0.25">
      <c r="A220" s="1">
        <v>500</v>
      </c>
      <c r="B220" s="1">
        <v>441</v>
      </c>
      <c r="C220" s="1">
        <v>1263</v>
      </c>
      <c r="D220" s="1">
        <v>-80.2</v>
      </c>
      <c r="E220" s="1">
        <v>5.5</v>
      </c>
      <c r="F220" s="1">
        <v>1.6</v>
      </c>
      <c r="G220">
        <v>-96</v>
      </c>
      <c r="H220" s="1">
        <v>-7</v>
      </c>
      <c r="I220" s="1">
        <v>-2</v>
      </c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</row>
    <row r="221" spans="1:23" x14ac:dyDescent="0.25">
      <c r="Q221" s="1"/>
      <c r="R221" s="1"/>
      <c r="S221" s="1"/>
      <c r="T221" s="1"/>
      <c r="U221" s="1"/>
      <c r="V221" s="1"/>
      <c r="W221" s="1"/>
    </row>
    <row r="222" spans="1:23" x14ac:dyDescent="0.25">
      <c r="A222" t="s">
        <v>80</v>
      </c>
      <c r="Q222" s="1"/>
      <c r="R222" s="1"/>
      <c r="S222" s="1"/>
      <c r="T222" s="1"/>
      <c r="U222" s="1"/>
      <c r="V222" s="1"/>
      <c r="W222" s="1"/>
    </row>
    <row r="223" spans="1:23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39</v>
      </c>
      <c r="H223" t="s">
        <v>40</v>
      </c>
      <c r="I223" t="s">
        <v>41</v>
      </c>
      <c r="Q223" s="1"/>
      <c r="R223" s="1"/>
      <c r="S223" s="1"/>
      <c r="T223" s="1"/>
      <c r="U223" s="1"/>
      <c r="V223" s="1"/>
      <c r="W223" s="1"/>
    </row>
    <row r="224" spans="1:23" x14ac:dyDescent="0.25">
      <c r="A224" s="1">
        <v>0</v>
      </c>
      <c r="B224" s="1">
        <v>857</v>
      </c>
      <c r="C224" s="1">
        <v>4754</v>
      </c>
      <c r="D224" s="1">
        <v>-3.8</v>
      </c>
      <c r="E224" s="1">
        <v>0</v>
      </c>
      <c r="F224" s="1">
        <v>0</v>
      </c>
      <c r="G224">
        <v>0</v>
      </c>
      <c r="H224" s="1">
        <v>0</v>
      </c>
      <c r="I224" s="1">
        <v>0</v>
      </c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</row>
    <row r="225" spans="1:23" x14ac:dyDescent="0.25">
      <c r="A225" s="1">
        <v>25</v>
      </c>
      <c r="B225" s="1">
        <v>832</v>
      </c>
      <c r="C225" s="1">
        <v>4481</v>
      </c>
      <c r="D225" s="1">
        <v>9.9</v>
      </c>
      <c r="E225" s="1">
        <v>-13.7</v>
      </c>
      <c r="F225" s="1">
        <v>-4</v>
      </c>
      <c r="G225">
        <v>0</v>
      </c>
      <c r="H225" s="1">
        <v>0</v>
      </c>
      <c r="I225" s="1">
        <v>0</v>
      </c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</row>
    <row r="226" spans="1:23" x14ac:dyDescent="0.25">
      <c r="A226" s="1">
        <v>50</v>
      </c>
      <c r="B226" s="1">
        <v>807</v>
      </c>
      <c r="C226" s="1">
        <v>4222</v>
      </c>
      <c r="D226" s="1">
        <v>23.2</v>
      </c>
      <c r="E226" s="1">
        <v>-15.8</v>
      </c>
      <c r="F226" s="1">
        <v>-4.5999999999999996</v>
      </c>
      <c r="G226">
        <v>-1</v>
      </c>
      <c r="H226" s="1">
        <v>-1</v>
      </c>
      <c r="I226" s="1">
        <v>0</v>
      </c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</row>
    <row r="227" spans="1:23" x14ac:dyDescent="0.25">
      <c r="A227" s="1">
        <v>75</v>
      </c>
      <c r="B227" s="1">
        <v>783</v>
      </c>
      <c r="C227" s="1">
        <v>3975</v>
      </c>
      <c r="D227" s="1">
        <v>35</v>
      </c>
      <c r="E227" s="1">
        <v>-16</v>
      </c>
      <c r="F227" s="1">
        <v>-4.7</v>
      </c>
      <c r="G227">
        <v>-2</v>
      </c>
      <c r="H227" s="1">
        <v>-1</v>
      </c>
      <c r="I227" s="1">
        <v>0</v>
      </c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</row>
    <row r="228" spans="1:23" x14ac:dyDescent="0.25">
      <c r="A228" s="1">
        <v>100</v>
      </c>
      <c r="B228" s="1">
        <v>760</v>
      </c>
      <c r="C228" s="1">
        <v>3740</v>
      </c>
      <c r="D228" s="1">
        <v>45.8</v>
      </c>
      <c r="E228" s="1">
        <v>-15.8</v>
      </c>
      <c r="F228" s="1">
        <v>-4.5999999999999996</v>
      </c>
      <c r="G228">
        <v>-3</v>
      </c>
      <c r="H228" s="1">
        <v>-1</v>
      </c>
      <c r="I228" s="1">
        <v>0</v>
      </c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</row>
    <row r="229" spans="1:23" x14ac:dyDescent="0.25">
      <c r="A229" s="1">
        <v>125</v>
      </c>
      <c r="B229" s="1">
        <v>737</v>
      </c>
      <c r="C229" s="1">
        <v>3516</v>
      </c>
      <c r="D229" s="1">
        <v>55.9</v>
      </c>
      <c r="E229" s="1">
        <v>-15.3</v>
      </c>
      <c r="F229" s="1">
        <v>-4.5</v>
      </c>
      <c r="G229">
        <v>-5</v>
      </c>
      <c r="H229" s="1">
        <v>-1</v>
      </c>
      <c r="I229" s="1">
        <v>0</v>
      </c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</row>
    <row r="230" spans="1:23" x14ac:dyDescent="0.25">
      <c r="A230" s="1">
        <v>150</v>
      </c>
      <c r="B230" s="1">
        <v>714</v>
      </c>
      <c r="C230" s="1">
        <v>3302</v>
      </c>
      <c r="D230" s="1">
        <v>64.5</v>
      </c>
      <c r="E230" s="1">
        <v>-14.8</v>
      </c>
      <c r="F230" s="1">
        <v>-4.3</v>
      </c>
      <c r="G230">
        <v>-7</v>
      </c>
      <c r="H230" s="1">
        <v>-2</v>
      </c>
      <c r="I230" s="1">
        <v>0</v>
      </c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</row>
    <row r="231" spans="1:23" x14ac:dyDescent="0.25">
      <c r="A231" s="1">
        <v>175</v>
      </c>
      <c r="B231" s="1">
        <v>691</v>
      </c>
      <c r="C231" s="1">
        <v>3098</v>
      </c>
      <c r="D231" s="1">
        <v>71.900000000000006</v>
      </c>
      <c r="E231" s="1">
        <v>-14.1</v>
      </c>
      <c r="F231" s="1">
        <v>-4.0999999999999996</v>
      </c>
      <c r="G231">
        <v>-10</v>
      </c>
      <c r="H231" s="1">
        <v>-2</v>
      </c>
      <c r="I231" s="1">
        <v>-1</v>
      </c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</row>
    <row r="232" spans="1:23" x14ac:dyDescent="0.25">
      <c r="A232" s="1">
        <v>200</v>
      </c>
      <c r="B232" s="1">
        <v>669</v>
      </c>
      <c r="C232" s="1">
        <v>2904</v>
      </c>
      <c r="D232" s="1">
        <v>78.099999999999994</v>
      </c>
      <c r="E232" s="1">
        <v>-13.4</v>
      </c>
      <c r="F232" s="1">
        <v>-3.9</v>
      </c>
      <c r="G232">
        <v>-13</v>
      </c>
      <c r="H232" s="1">
        <v>-2</v>
      </c>
      <c r="I232" s="1">
        <v>-1</v>
      </c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</row>
    <row r="233" spans="1:23" x14ac:dyDescent="0.25">
      <c r="A233" s="1">
        <v>225</v>
      </c>
      <c r="B233" s="1">
        <v>648</v>
      </c>
      <c r="C233" s="1">
        <v>2720</v>
      </c>
      <c r="D233" s="1">
        <v>82.7</v>
      </c>
      <c r="E233" s="1">
        <v>-12.6</v>
      </c>
      <c r="F233" s="1">
        <v>-3.7</v>
      </c>
      <c r="G233">
        <v>-16</v>
      </c>
      <c r="H233" s="1">
        <v>-3</v>
      </c>
      <c r="I233" s="1">
        <v>-1</v>
      </c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</row>
    <row r="234" spans="1:23" x14ac:dyDescent="0.25">
      <c r="A234" s="1">
        <v>250</v>
      </c>
      <c r="B234" s="1">
        <v>627</v>
      </c>
      <c r="C234" s="1">
        <v>2545</v>
      </c>
      <c r="D234" s="1">
        <v>85.8</v>
      </c>
      <c r="E234" s="1">
        <v>-11.8</v>
      </c>
      <c r="F234" s="1">
        <v>-3.4</v>
      </c>
      <c r="G234">
        <v>-20</v>
      </c>
      <c r="H234" s="1">
        <v>-3</v>
      </c>
      <c r="I234" s="1">
        <v>-1</v>
      </c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</row>
    <row r="235" spans="1:23" x14ac:dyDescent="0.25">
      <c r="A235" s="1">
        <v>275</v>
      </c>
      <c r="B235" s="1">
        <v>606</v>
      </c>
      <c r="C235" s="1">
        <v>2379</v>
      </c>
      <c r="D235" s="1">
        <v>87.3</v>
      </c>
      <c r="E235" s="1">
        <v>-10.9</v>
      </c>
      <c r="F235" s="1">
        <v>-3.2</v>
      </c>
      <c r="G235">
        <v>-25</v>
      </c>
      <c r="H235" s="1">
        <v>-3</v>
      </c>
      <c r="I235" s="1">
        <v>-1</v>
      </c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</row>
    <row r="236" spans="1:23" x14ac:dyDescent="0.25">
      <c r="A236" s="1">
        <v>300</v>
      </c>
      <c r="B236" s="1">
        <v>586</v>
      </c>
      <c r="C236" s="1">
        <v>2222</v>
      </c>
      <c r="D236" s="1">
        <v>87</v>
      </c>
      <c r="E236" s="1">
        <v>-10</v>
      </c>
      <c r="F236" s="1">
        <v>-2.9</v>
      </c>
      <c r="G236">
        <v>-30</v>
      </c>
      <c r="H236" s="1">
        <v>-4</v>
      </c>
      <c r="I236" s="1">
        <v>-1</v>
      </c>
      <c r="J236" s="1"/>
      <c r="K236" s="1"/>
      <c r="L236" s="1"/>
      <c r="M236" s="1"/>
      <c r="N236" s="1"/>
      <c r="O236" s="1"/>
      <c r="P236" s="1"/>
    </row>
    <row r="237" spans="1:23" x14ac:dyDescent="0.25">
      <c r="A237" s="1">
        <v>325</v>
      </c>
      <c r="B237" s="1">
        <v>566</v>
      </c>
      <c r="C237" s="1">
        <v>2074</v>
      </c>
      <c r="D237" s="1">
        <v>84.8</v>
      </c>
      <c r="E237" s="1">
        <v>-9</v>
      </c>
      <c r="F237" s="1">
        <v>-2.6</v>
      </c>
      <c r="G237">
        <v>-36</v>
      </c>
      <c r="H237" s="1">
        <v>-4</v>
      </c>
      <c r="I237" s="1">
        <v>-1</v>
      </c>
      <c r="J237" s="1"/>
      <c r="K237" s="1"/>
      <c r="L237" s="1"/>
      <c r="M237" s="1"/>
      <c r="N237" s="1"/>
      <c r="O237" s="1"/>
      <c r="P237" s="1"/>
    </row>
    <row r="238" spans="1:23" x14ac:dyDescent="0.25">
      <c r="A238" s="1">
        <v>350</v>
      </c>
      <c r="B238" s="1">
        <v>546</v>
      </c>
      <c r="C238" s="1">
        <v>1934</v>
      </c>
      <c r="D238" s="1">
        <v>80.3</v>
      </c>
      <c r="E238" s="1">
        <v>-7.9</v>
      </c>
      <c r="F238" s="1">
        <v>-2.2999999999999998</v>
      </c>
      <c r="G238">
        <v>-43</v>
      </c>
      <c r="H238" s="1">
        <v>-5</v>
      </c>
      <c r="I238" s="1">
        <v>-1</v>
      </c>
      <c r="J238" s="1"/>
      <c r="K238" s="1"/>
      <c r="L238" s="1"/>
      <c r="M238" s="1"/>
      <c r="N238" s="1"/>
      <c r="O238" s="1"/>
      <c r="P238" s="1"/>
    </row>
    <row r="239" spans="1:23" x14ac:dyDescent="0.25">
      <c r="A239" s="1">
        <v>375</v>
      </c>
      <c r="B239" s="1">
        <v>527</v>
      </c>
      <c r="C239" s="1">
        <v>1802</v>
      </c>
      <c r="D239" s="1">
        <v>73.8</v>
      </c>
      <c r="E239" s="1">
        <v>-6.8</v>
      </c>
      <c r="F239" s="1">
        <v>-2</v>
      </c>
      <c r="G239">
        <v>-50</v>
      </c>
      <c r="H239" s="1">
        <v>-5</v>
      </c>
      <c r="I239" s="1">
        <v>-2</v>
      </c>
      <c r="J239" s="1"/>
      <c r="K239" s="1"/>
      <c r="L239" s="1"/>
      <c r="M239" s="1"/>
      <c r="N239" s="1"/>
      <c r="O239" s="1"/>
      <c r="P239" s="1"/>
    </row>
    <row r="240" spans="1:23" x14ac:dyDescent="0.25">
      <c r="A240" s="1">
        <v>400</v>
      </c>
      <c r="B240" s="1">
        <v>509</v>
      </c>
      <c r="C240" s="1">
        <v>1678</v>
      </c>
      <c r="D240" s="1">
        <v>64.900000000000006</v>
      </c>
      <c r="E240" s="1">
        <v>-5.6</v>
      </c>
      <c r="F240" s="1">
        <v>-1.6</v>
      </c>
      <c r="G240">
        <v>-58</v>
      </c>
      <c r="H240" s="1">
        <v>-5</v>
      </c>
      <c r="I240" s="1">
        <v>-2</v>
      </c>
      <c r="J240" s="1"/>
      <c r="K240" s="1"/>
      <c r="L240" s="1"/>
      <c r="M240" s="1"/>
      <c r="N240" s="1"/>
      <c r="O240" s="1"/>
      <c r="P240" s="1"/>
    </row>
    <row r="241" spans="1:16" x14ac:dyDescent="0.25">
      <c r="A241" s="1">
        <v>425</v>
      </c>
      <c r="B241" s="1">
        <v>491</v>
      </c>
      <c r="C241" s="1">
        <v>1562</v>
      </c>
      <c r="D241" s="1">
        <v>53</v>
      </c>
      <c r="E241" s="1">
        <v>-4.3</v>
      </c>
      <c r="F241" s="1">
        <v>-1.2</v>
      </c>
      <c r="G241">
        <v>-66</v>
      </c>
      <c r="H241" s="1">
        <v>-6</v>
      </c>
      <c r="I241" s="1">
        <v>-2</v>
      </c>
      <c r="J241" s="1"/>
      <c r="K241" s="1"/>
      <c r="L241" s="1"/>
      <c r="M241" s="1"/>
      <c r="N241" s="1"/>
      <c r="O241" s="1"/>
      <c r="P241" s="1"/>
    </row>
    <row r="242" spans="1:16" x14ac:dyDescent="0.25">
      <c r="A242" s="1">
        <v>450</v>
      </c>
      <c r="B242" s="1">
        <v>474</v>
      </c>
      <c r="C242" s="1">
        <v>1454</v>
      </c>
      <c r="D242" s="1">
        <v>38.6</v>
      </c>
      <c r="E242" s="1">
        <v>-2.9</v>
      </c>
      <c r="F242" s="1">
        <v>-0.9</v>
      </c>
      <c r="G242">
        <v>-76</v>
      </c>
      <c r="H242" s="1">
        <v>-6</v>
      </c>
      <c r="I242" s="1">
        <v>-2</v>
      </c>
      <c r="J242" s="1"/>
      <c r="K242" s="1"/>
      <c r="L242" s="1"/>
      <c r="M242" s="1"/>
      <c r="N242" s="1"/>
      <c r="O242" s="1"/>
      <c r="P242" s="1"/>
    </row>
    <row r="243" spans="1:16" x14ac:dyDescent="0.25">
      <c r="A243" s="1">
        <v>475</v>
      </c>
      <c r="B243" s="1">
        <v>457</v>
      </c>
      <c r="C243" s="1">
        <v>1353</v>
      </c>
      <c r="D243" s="1">
        <v>21.2</v>
      </c>
      <c r="E243" s="1">
        <v>-1.5</v>
      </c>
      <c r="F243" s="1">
        <v>-0.4</v>
      </c>
      <c r="G243">
        <v>-86</v>
      </c>
      <c r="H243" s="1">
        <v>-7</v>
      </c>
      <c r="I243" s="1">
        <v>-2</v>
      </c>
      <c r="J243" s="1"/>
      <c r="K243" s="1"/>
      <c r="L243" s="1"/>
      <c r="M243" s="1"/>
      <c r="N243" s="1"/>
      <c r="O243" s="1"/>
      <c r="P243" s="1"/>
    </row>
    <row r="244" spans="1:16" x14ac:dyDescent="0.25">
      <c r="A244" s="1">
        <v>500</v>
      </c>
      <c r="B244" s="1">
        <v>441</v>
      </c>
      <c r="C244" s="1">
        <v>1263</v>
      </c>
      <c r="D244" s="1">
        <v>0.6</v>
      </c>
      <c r="E244" s="1">
        <v>0</v>
      </c>
      <c r="F244" s="1">
        <v>0</v>
      </c>
      <c r="G244">
        <v>-96</v>
      </c>
      <c r="H244" s="1">
        <v>-7</v>
      </c>
      <c r="I244" s="1">
        <v>-2</v>
      </c>
      <c r="J244" s="1"/>
      <c r="K244" s="1"/>
      <c r="L244" s="1"/>
      <c r="M244" s="1"/>
      <c r="N244" s="1"/>
      <c r="O244" s="1"/>
      <c r="P244" s="1"/>
    </row>
    <row r="246" spans="1:16" ht="30" x14ac:dyDescent="0.25">
      <c r="A246" s="26" t="s">
        <v>44</v>
      </c>
      <c r="B246" s="27" t="s">
        <v>6</v>
      </c>
      <c r="C246" s="27" t="s">
        <v>7</v>
      </c>
      <c r="D246" s="27" t="s">
        <v>8</v>
      </c>
      <c r="E246" s="27" t="s">
        <v>9</v>
      </c>
      <c r="F246" s="27" t="s">
        <v>10</v>
      </c>
      <c r="G246" s="27" t="s">
        <v>34</v>
      </c>
      <c r="H246" s="27" t="s">
        <v>35</v>
      </c>
      <c r="I246" s="28" t="s">
        <v>45</v>
      </c>
      <c r="J246" s="28" t="s">
        <v>101</v>
      </c>
      <c r="K246" s="28"/>
    </row>
    <row r="247" spans="1:16" x14ac:dyDescent="0.25">
      <c r="A247" t="s">
        <v>46</v>
      </c>
      <c r="B247" s="22" cm="1">
        <f t="array" ref="B247">INDEX(LINEST(J$22:J$35,$A$22:$A$35^{1,2,3}), 1,4)</f>
        <v>-5.4610674535573906</v>
      </c>
      <c r="C247" s="22" cm="1">
        <f t="array" ref="C247">INDEX(LINEST(K$22:K$35,$A$22:$A$35^{1,2,3}), 1,4)</f>
        <v>-6.5788116426250198</v>
      </c>
      <c r="D247" s="23" cm="1">
        <f t="array" ref="D247">INDEX(LINEST(L$22:L$35,$A$22:$A$35^{1,2,3}), 1,4)</f>
        <v>-4.646908646934186</v>
      </c>
      <c r="E247" s="23" cm="1">
        <f t="array" ref="E247">INDEX(LINEST(M$22:M$35,$A$22:$A$35^{1,2,3}), 1,4)</f>
        <v>-4.7521993464997934</v>
      </c>
      <c r="F247" s="23" cm="1">
        <f t="array" ref="F247">INDEX(LINEST(N$22:N$35,$A$22:$A$35^{1,2,3}), 1,4)</f>
        <v>-4.815221663533876</v>
      </c>
      <c r="G247" s="23" cm="1">
        <f t="array" ref="G247">INDEX(LINEST(O$22:O$35,$A$22:$A$35^{1,2,3}), 1,4)</f>
        <v>-4.1207272791062763</v>
      </c>
      <c r="H247" s="23" cm="1">
        <f t="array" ref="H247">INDEX(LINEST(P$22:P$35,$A$22:$A$35^{1,2,3}), 1,4)</f>
        <v>-4.2528708045401089</v>
      </c>
      <c r="I247" s="23" cm="1">
        <f t="array" ref="I247">INDEX(LINEST(B$22:B$35,$A$22:$A$35^{1,2,3}), 1,4)</f>
        <v>4774.9441281645422</v>
      </c>
      <c r="J247" s="23" cm="1">
        <f t="array" ref="J247">INDEX(LINEST($C$80:$C$100,$A$80:$A$100^{1,2,3}), 1,4)</f>
        <v>4751.0505364201017</v>
      </c>
      <c r="K247" s="23"/>
    </row>
    <row r="248" spans="1:16" x14ac:dyDescent="0.25">
      <c r="A248" t="s">
        <v>47</v>
      </c>
      <c r="B248" s="23" cm="1">
        <f t="array" ref="B248">INDEX(LINEST(J$22:J$35,$A$22:$A$35^{1,2,3}), 1,3)</f>
        <v>0.16291588622605732</v>
      </c>
      <c r="C248" s="22" cm="1">
        <f t="array" ref="C248">INDEX(LINEST(K$22:K$35,$A$22:$A$35^{1,2,3}), 1,3)</f>
        <v>0.17304446335327145</v>
      </c>
      <c r="D248" s="23" cm="1">
        <f t="array" ref="D248">INDEX(LINEST(L$22:L$35,$A$22:$A$35^{1,2,3}), 1,3)</f>
        <v>0.13557549625032858</v>
      </c>
      <c r="E248" s="23" cm="1">
        <f t="array" ref="E248">INDEX(LINEST(M$22:M$35,$A$22:$A$35^{1,2,3}), 1,3)</f>
        <v>0.16975075425222785</v>
      </c>
      <c r="F248" s="23" cm="1">
        <f t="array" ref="F248">INDEX(LINEST(N$22:N$35,$A$22:$A$35^{1,2,3}), 1,3)</f>
        <v>0.26583084147668545</v>
      </c>
      <c r="G248" s="23" cm="1">
        <f t="array" ref="G248">INDEX(LINEST(O$22:O$35,$A$22:$A$35^{1,2,3}), 1,3)</f>
        <v>0.35835398829225501</v>
      </c>
      <c r="H248" s="23" cm="1">
        <f t="array" ref="H248">INDEX(LINEST(P$22:P$35,$A$22:$A$35^{1,2,3}), 1,3)</f>
        <v>0.53036549398644517</v>
      </c>
      <c r="I248" s="23" cm="1">
        <f t="array" ref="I248">INDEX(LINEST(B$22:B$35,$A$22:$A$35^{1,2,3}), 1,3)</f>
        <v>-10.925473793859048</v>
      </c>
      <c r="J248" s="23" cm="1">
        <f t="array" ref="J248">INDEX(LINEST($C$80:$C$100,$A$80:$A$100^{1,2,3}), 1,3)</f>
        <v>-11.01330972358431</v>
      </c>
      <c r="K248" s="23"/>
    </row>
    <row r="249" spans="1:16" x14ac:dyDescent="0.25">
      <c r="A249" t="s">
        <v>48</v>
      </c>
      <c r="B249" s="23" cm="1">
        <f t="array" ref="B249">INDEX(LINEST(J$22:J$35,$A$22:$A$35^{1,2,3}), 1,2)</f>
        <v>-5.4259684591586883E-4</v>
      </c>
      <c r="C249" s="23" cm="1">
        <f t="array" ref="C249">INDEX(LINEST(K$22:K$35,$A$22:$A$35^{1,2,3}), 1,2)</f>
        <v>-8.8037046934721257E-4</v>
      </c>
      <c r="D249" s="23" cm="1">
        <f t="array" ref="D249">INDEX(LINEST(L$22:L$35,$A$22:$A$35^{1,2,3}), 1,2)</f>
        <v>-4.7642520918766078E-4</v>
      </c>
      <c r="E249" s="23" cm="1">
        <f t="array" ref="E249">INDEX(LINEST(M$22:M$35,$A$22:$A$35^{1,2,3}), 1,2)</f>
        <v>-4.5548811927820503E-4</v>
      </c>
      <c r="F249" s="23" cm="1">
        <f t="array" ref="F249">INDEX(LINEST(N$22:N$35,$A$22:$A$35^{1,2,3}), 1,2)</f>
        <v>-4.4493519745738018E-4</v>
      </c>
      <c r="G249" s="23" cm="1">
        <f t="array" ref="G249">INDEX(LINEST(O$22:O$35,$A$22:$A$35^{1,2,3}), 1,2)</f>
        <v>-2.3196761106222005E-4</v>
      </c>
      <c r="H249" s="23" cm="1">
        <f t="array" ref="H249">INDEX(LINEST(P$22:P$35,$A$22:$A$35^{1,2,3}), 1,2)</f>
        <v>-2.762538402243968E-4</v>
      </c>
      <c r="I249" s="23" cm="1">
        <f t="array" ref="I249">INDEX(LINEST(B$22:B$35,$A$22:$A$35^{1,2,3}), 1,2)</f>
        <v>8.4821686133662432E-3</v>
      </c>
      <c r="J249" s="23" cm="1">
        <f t="array" ref="J249">INDEX(LINEST($C$80:$C$100,$A$80:$A$100^{1,2,3}), 1,2)</f>
        <v>9.4315710224176404E-3</v>
      </c>
      <c r="K249" s="23"/>
    </row>
    <row r="250" spans="1:16" x14ac:dyDescent="0.25">
      <c r="A250" t="s">
        <v>49</v>
      </c>
      <c r="B250" s="22" cm="1">
        <f t="array" ref="B250">INDEX(LINEST(J$22:J$35,$A$22:$A$35^{1,2,3}), 1)</f>
        <v>-1.3296743059706638E-6</v>
      </c>
      <c r="C250" s="22" cm="1">
        <f t="array" ref="C250">INDEX(LINEST(K$22:K$35,$A$22:$A$35^{1,2,3}), 1)</f>
        <v>-7.7887117560696784E-7</v>
      </c>
      <c r="D250" s="23" cm="1">
        <f t="array" ref="D250">INDEX(LINEST(L$22:L$35,$A$22:$A$35^{1,2,3}), 1)</f>
        <v>-1.2935183197562347E-6</v>
      </c>
      <c r="E250" s="23" cm="1">
        <f t="array" ref="E250">INDEX(LINEST(M$22:M$35,$A$22:$A$35^{1,2,3}), 1)</f>
        <v>-1.2500225256204088E-6</v>
      </c>
      <c r="F250" s="23" cm="1">
        <f t="array" ref="F250">INDEX(LINEST(N$22:N$35,$A$22:$A$35^{1,2,3}), 1)</f>
        <v>-1.2570338333424262E-6</v>
      </c>
      <c r="G250" s="23" cm="1">
        <f t="array" ref="G250">INDEX(LINEST(O$22:O$35,$A$22:$A$35^{1,2,3}), 1)</f>
        <v>-1.585951694450283E-6</v>
      </c>
      <c r="H250" s="23" cm="1">
        <f t="array" ref="H250">INDEX(LINEST(P$22:P$35,$A$22:$A$35^{1,2,3}), 1)</f>
        <v>-1.5411643875232491E-6</v>
      </c>
      <c r="I250" s="23" cm="1">
        <f t="array" ref="I250">INDEX(LINEST(B$22:B$35,$A$22:$A$35^{1,2,3}), 1)</f>
        <v>-1.4889480198226076E-6</v>
      </c>
      <c r="J250" s="23" cm="1">
        <f t="array" ref="J250">INDEX(LINEST($C$80:$C$100,$A$80:$A$100^{1,2,3}), 1)</f>
        <v>-2.7385988026719487E-6</v>
      </c>
      <c r="K250" s="23"/>
    </row>
    <row r="251" spans="1:16" x14ac:dyDescent="0.25">
      <c r="A251" t="s">
        <v>50</v>
      </c>
      <c r="B251" s="22"/>
      <c r="C251" s="22"/>
      <c r="D251" s="23"/>
      <c r="E251" s="23"/>
      <c r="F251" s="23"/>
      <c r="G251" s="23"/>
      <c r="H251" s="23"/>
      <c r="I251" s="23"/>
    </row>
    <row r="252" spans="1:16" x14ac:dyDescent="0.25">
      <c r="A252" t="s">
        <v>51</v>
      </c>
      <c r="B252" s="22"/>
      <c r="C252" s="22"/>
      <c r="D252" s="23"/>
      <c r="E252" s="23"/>
      <c r="F252" s="23"/>
      <c r="G252" s="23"/>
      <c r="H252" s="23"/>
      <c r="I252" s="23"/>
    </row>
    <row r="253" spans="1:16" x14ac:dyDescent="0.25">
      <c r="A253" t="s">
        <v>52</v>
      </c>
      <c r="B253" s="22"/>
      <c r="C253" s="22"/>
      <c r="D253" s="23"/>
      <c r="E253" s="23"/>
      <c r="F253" s="23"/>
      <c r="G253" s="23"/>
      <c r="H253" s="23"/>
      <c r="I253" s="23"/>
    </row>
    <row r="254" spans="1:16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6" x14ac:dyDescent="0.25">
      <c r="A255" s="29"/>
      <c r="B255" s="62"/>
      <c r="C255" s="62"/>
      <c r="D255" s="62"/>
      <c r="E255" s="62"/>
      <c r="F255" s="62"/>
      <c r="G255" s="62"/>
      <c r="H255" s="62"/>
      <c r="L255" s="60" t="s">
        <v>104</v>
      </c>
      <c r="M255" s="60"/>
      <c r="N255" s="60"/>
      <c r="O255" s="60"/>
    </row>
    <row r="256" spans="1:16" x14ac:dyDescent="0.25">
      <c r="A256" s="30" t="s">
        <v>4</v>
      </c>
      <c r="B256" s="60" t="s">
        <v>54</v>
      </c>
      <c r="C256" s="60"/>
      <c r="D256" s="60"/>
      <c r="E256" s="60"/>
      <c r="F256" s="60"/>
      <c r="G256" s="60"/>
      <c r="H256" s="60"/>
      <c r="I256" s="60" t="s">
        <v>55</v>
      </c>
      <c r="J256" s="60"/>
      <c r="K256" s="59"/>
      <c r="L256" s="43" t="s">
        <v>103</v>
      </c>
      <c r="M256" s="43" t="s">
        <v>108</v>
      </c>
      <c r="N256" s="41" t="s">
        <v>105</v>
      </c>
      <c r="O256" s="1">
        <f>AVERAGE($L257:$L284)</f>
        <v>5.3982360808677106</v>
      </c>
    </row>
    <row r="257" spans="1:15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4774.9441281645422</v>
      </c>
      <c r="J257" s="2" cm="1">
        <f t="array" ref="J257">EvaluatePolynomial(J$247:J$250,$A257)</f>
        <v>4751.0505364201017</v>
      </c>
      <c r="K257" s="1"/>
      <c r="L257" s="1">
        <f>($I257-$J257)</f>
        <v>23.893591744440528</v>
      </c>
      <c r="M257" s="42">
        <f>$L257/AVERAGE($I257:$J257)</f>
        <v>5.0165032809164076E-3</v>
      </c>
      <c r="N257" s="41" t="s">
        <v>106</v>
      </c>
      <c r="O257" s="1">
        <f>_xlfn.STDEV.S($L257:$L284)</f>
        <v>14.952484169717451</v>
      </c>
    </row>
    <row r="258" spans="1:15" x14ac:dyDescent="0.25">
      <c r="A258" s="1">
        <v>25</v>
      </c>
      <c r="B258" s="2" cm="1">
        <f t="array" ref="B258">TrajectoryToComeUp(B$247:B$250,$A258)</f>
        <v>0.69922779505366695</v>
      </c>
      <c r="C258" s="2" cm="1">
        <f t="array" ref="C258">TrajectoryToComeUp(C$247:C$250,$A258)</f>
        <v>1.1260405857016402</v>
      </c>
      <c r="D258" s="2" cm="1">
        <f t="array" ref="D258">TrajectoryToComeUp(D$247:D$250,$A258)</f>
        <v>0.63019928806578029</v>
      </c>
      <c r="E258" s="2" cm="1">
        <f t="array" ref="E258">TrajectoryToComeUp(E$247:E$250,$A258)</f>
        <v>0.32505686668231748</v>
      </c>
      <c r="F258" s="2" cm="1">
        <f t="array" ref="F258">TrajectoryToComeUp(F$247:F$250,$A258)</f>
        <v>-0.61312948853056914</v>
      </c>
      <c r="G258" s="2" cm="1">
        <f t="array" ref="G258">TrajectoryToComeUp(G$247:G$250,$A258)</f>
        <v>-1.86734487042417</v>
      </c>
      <c r="H258" s="2" cm="1">
        <f t="array" ref="H258">TrajectoryToComeUp(H$247:H$250,$A258)</f>
        <v>-3.5238108805702884</v>
      </c>
      <c r="I258" s="2" cm="1">
        <f t="array" ref="I258">EvaluatePolynomial(I$247:I$250,$A258)</f>
        <v>4507.0853738886099</v>
      </c>
      <c r="J258" s="2" cm="1">
        <f t="array" ref="J258">EvaluatePolynomial(J$247:J$250,$A258)</f>
        <v>4481.5697346132129</v>
      </c>
      <c r="K258" s="1"/>
      <c r="L258" s="1">
        <f t="shared" ref="L258:L300" si="2">($I258-$J258)</f>
        <v>25.515639275397007</v>
      </c>
      <c r="M258" s="42">
        <f t="shared" ref="M258:M300" si="3">$L258/AVERAGE($I258:$J258)</f>
        <v>5.6772985429740909E-3</v>
      </c>
      <c r="N258" s="41" t="s">
        <v>107</v>
      </c>
      <c r="O258" s="44">
        <f>_xlfn.VAR.S($L257:$L284)</f>
        <v>223.57678284565097</v>
      </c>
    </row>
    <row r="259" spans="1:15" x14ac:dyDescent="0.25">
      <c r="A259" s="1">
        <v>50</v>
      </c>
      <c r="B259" s="2" cm="1">
        <f t="array" ref="B259">TrajectoryToComeUp(B$247:B$250,$A259)</f>
        <v>-0.23240509094189415</v>
      </c>
      <c r="C259" s="2" cm="1">
        <f t="array" ref="C259">TrajectoryToComeUp(C$247:C$250,$A259)</f>
        <v>4.4974709056069873E-2</v>
      </c>
      <c r="D259" s="2" cm="1">
        <f t="array" ref="D259">TrajectoryToComeUp(D$247:D$250,$A259)</f>
        <v>-0.1558226705287124</v>
      </c>
      <c r="E259" s="2" cm="1">
        <f t="array" ref="E259">TrajectoryToComeUp(E$247:E$250,$A259)</f>
        <v>-0.4880730504427071</v>
      </c>
      <c r="F259" s="2" cm="1">
        <f t="array" ref="F259">TrajectoryToComeUp(F$247:F$250,$A259)</f>
        <v>-1.4413706374978286</v>
      </c>
      <c r="G259" s="2" cm="1">
        <f t="array" ref="G259">TrajectoryToComeUp(G$247:G$250,$A259)</f>
        <v>-2.6037618292089277</v>
      </c>
      <c r="H259" s="2" cm="1">
        <f t="array" ref="H259">TrajectoryToComeUp(H$247:H$250,$A259)</f>
        <v>-4.2764247491561509</v>
      </c>
      <c r="I259" s="2" cm="1">
        <f t="array" ref="I259">EvaluatePolynomial(I$247:I$250,$A259)</f>
        <v>4249.6897415025278</v>
      </c>
      <c r="J259" s="2" cm="1">
        <f t="array" ref="J259">EvaluatePolynomial(J$247:J$250,$A259)</f>
        <v>4223.6216529465964</v>
      </c>
      <c r="K259" s="1"/>
      <c r="L259" s="1">
        <f t="shared" si="2"/>
        <v>26.068088555931354</v>
      </c>
      <c r="M259" s="42">
        <f t="shared" si="3"/>
        <v>6.1529872661138336E-3</v>
      </c>
      <c r="N259" s="41" t="s">
        <v>109</v>
      </c>
      <c r="O259" s="45">
        <f>AVERAGE($M257:$M284)</f>
        <v>-4.2973279332365801E-5</v>
      </c>
    </row>
    <row r="260" spans="1:15" x14ac:dyDescent="0.25">
      <c r="A260" s="1">
        <v>75</v>
      </c>
      <c r="B260" s="2" cm="1">
        <f t="array" ref="B260">TrajectoryToComeUp(B$247:B$250,$A260)</f>
        <v>-0.41927472097183627</v>
      </c>
      <c r="C260" s="2" cm="1">
        <f t="array" ref="C260">TrajectoryToComeUp(C$247:C$250,$A260)</f>
        <v>-0.14918039221107723</v>
      </c>
      <c r="D260" s="2" cm="1">
        <f t="array" ref="D260">TrajectoryToComeUp(D$247:D$250,$A260)</f>
        <v>-0.30608783053502719</v>
      </c>
      <c r="E260" s="2" cm="1">
        <f t="array" ref="E260">TrajectoryToComeUp(E$247:E$250,$A260)</f>
        <v>-0.65195110646417109</v>
      </c>
      <c r="F260" s="2" cm="1">
        <f t="array" ref="F260">TrajectoryToComeUp(F$247:F$250,$A260)</f>
        <v>-1.6118693084104578</v>
      </c>
      <c r="G260" s="2" cm="1">
        <f t="array" ref="G260">TrajectoryToComeUp(G$247:G$250,$A260)</f>
        <v>-2.7709240879322197</v>
      </c>
      <c r="H260" s="2" cm="1">
        <f t="array" ref="H260">TrajectoryToComeUp(H$247:H$250,$A260)</f>
        <v>-4.4427246222926238</v>
      </c>
      <c r="I260" s="2" cm="1">
        <f t="array" ref="I260">EvaluatePolynomial(I$247:I$250,$A260)</f>
        <v>4002.6176421294363</v>
      </c>
      <c r="J260" s="2" cm="1">
        <f t="array" ref="J260">EvaluatePolynomial(J$247:J$250,$A260)</f>
        <v>3976.9495477825003</v>
      </c>
      <c r="K260" s="1"/>
      <c r="L260" s="1">
        <f t="shared" si="2"/>
        <v>25.668094346935959</v>
      </c>
      <c r="M260" s="42">
        <f t="shared" si="3"/>
        <v>6.4334552829848997E-3</v>
      </c>
      <c r="N260" s="41"/>
      <c r="O260" s="1"/>
    </row>
    <row r="261" spans="1:15" x14ac:dyDescent="0.25">
      <c r="A261" s="1">
        <v>100</v>
      </c>
      <c r="B261" s="2" cm="1">
        <f t="array" ref="B261">TrajectoryToComeUp(B$247:B$250,$A261)</f>
        <v>-0.40748784039189889</v>
      </c>
      <c r="C261" s="2" cm="1">
        <f t="array" ref="C261">TrajectoryToComeUp(C$247:C$250,$A261)</f>
        <v>-0.11430588236230316</v>
      </c>
      <c r="D261" s="2" cm="1">
        <f t="array" ref="D261">TrajectoryToComeUp(D$247:D$250,$A261)</f>
        <v>-0.28528705664658305</v>
      </c>
      <c r="E261" s="2" cm="1">
        <f t="array" ref="E261">TrajectoryToComeUp(E$247:E$250,$A261)</f>
        <v>-0.6417972360320533</v>
      </c>
      <c r="F261" s="2" cm="1">
        <f t="array" ref="F261">TrajectoryToComeUp(F$247:F$250,$A261)</f>
        <v>-1.606147667621844</v>
      </c>
      <c r="G261" s="2" cm="1">
        <f t="array" ref="G261">TrajectoryToComeUp(G$247:G$250,$A261)</f>
        <v>-2.780904374504674</v>
      </c>
      <c r="H261" s="2" cm="1">
        <f t="array" ref="H261">TrajectoryToComeUp(H$247:H$250,$A261)</f>
        <v>-4.4479975804337197</v>
      </c>
      <c r="I261" s="2" cm="1">
        <f t="array" ref="I261">EvaluatePolynomial(I$247:I$250,$A261)</f>
        <v>3765.7294868924773</v>
      </c>
      <c r="J261" s="2" cm="1">
        <f t="array" ref="J261">EvaluatePolynomial(J$247:J$250,$A261)</f>
        <v>3741.296675483175</v>
      </c>
      <c r="K261" s="1"/>
      <c r="L261" s="1">
        <f t="shared" si="2"/>
        <v>24.432811409302303</v>
      </c>
      <c r="M261" s="42">
        <f t="shared" si="3"/>
        <v>6.5093183054980496E-3</v>
      </c>
      <c r="N261" s="41"/>
      <c r="O261" s="1"/>
    </row>
    <row r="262" spans="1:15" x14ac:dyDescent="0.25">
      <c r="A262" s="1">
        <v>125</v>
      </c>
      <c r="B262" s="2" cm="1">
        <f t="array" ref="B262">TrajectoryToComeUp(B$247:B$250,$A262)</f>
        <v>-0.30626579827322969</v>
      </c>
      <c r="C262" s="2" cm="1">
        <f t="array" ref="C262">TrajectoryToComeUp(C$247:C$250,$A262)</f>
        <v>1.8022005749891525E-2</v>
      </c>
      <c r="D262" s="2" cm="1">
        <f t="array" ref="D262">TrajectoryToComeUp(D$247:D$250,$A262)</f>
        <v>-0.18635852180206328</v>
      </c>
      <c r="E262" s="2" cm="1">
        <f t="array" ref="E262">TrajectoryToComeUp(E$247:E$250,$A262)</f>
        <v>-0.55265542607634977</v>
      </c>
      <c r="F262" s="2" cm="1">
        <f t="array" ref="F262">TrajectoryToComeUp(F$247:F$250,$A262)</f>
        <v>-1.5205101484026651</v>
      </c>
      <c r="G262" s="2" cm="1">
        <f t="array" ref="G262">TrajectoryToComeUp(G$247:G$250,$A262)</f>
        <v>-2.7161172345084164</v>
      </c>
      <c r="H262" s="2" cm="1">
        <f t="array" ref="H262">TrajectoryToComeUp(H$247:H$250,$A262)</f>
        <v>-4.3773010396702396</v>
      </c>
      <c r="I262" s="2" cm="1">
        <f t="array" ref="I262">EvaluatePolynomial(I$247:I$250,$A262)</f>
        <v>3538.8856869147926</v>
      </c>
      <c r="J262" s="2" cm="1">
        <f t="array" ref="J262">EvaluatePolynomial(J$247:J$250,$A262)</f>
        <v>3516.4062924108698</v>
      </c>
      <c r="K262" s="1"/>
      <c r="L262" s="1">
        <f t="shared" si="2"/>
        <v>22.479394503922776</v>
      </c>
      <c r="M262" s="42">
        <f t="shared" si="3"/>
        <v>6.3723498814208775E-3</v>
      </c>
      <c r="N262" s="41"/>
      <c r="O262" s="1"/>
    </row>
    <row r="263" spans="1:15" x14ac:dyDescent="0.25">
      <c r="A263" s="1">
        <v>145</v>
      </c>
      <c r="B263" s="2" cm="1">
        <f t="array" ref="B263">TrajectoryToComeUp(B$247:B$250,$A263)</f>
        <v>-0.1862040712275837</v>
      </c>
      <c r="C263" s="2" cm="1">
        <f t="array" ref="C263">TrajectoryToComeUp(C$247:C$250,$A263)</f>
        <v>0.16356135945935141</v>
      </c>
      <c r="D263" s="2" cm="1">
        <f t="array" ref="D263">TrajectoryToComeUp(D$247:D$250,$A263)</f>
        <v>-7.249972404317509E-2</v>
      </c>
      <c r="E263" s="2" cm="1">
        <f t="array" ref="E263">TrajectoryToComeUp(E$247:E$250,$A263)</f>
        <v>-0.44649464759168722</v>
      </c>
      <c r="F263" s="2" cm="1">
        <f t="array" ref="F263">TrajectoryToComeUp(F$247:F$250,$A263)</f>
        <v>-1.4167767623358993</v>
      </c>
      <c r="G263" s="2" cm="1">
        <f t="array" ref="G263">TrajectoryToComeUp(G$247:G$250,$A263)</f>
        <v>-2.6295524149099334</v>
      </c>
      <c r="H263" s="2" cm="1">
        <f t="array" ref="H263">TrajectoryToComeUp(H$247:H$250,$A263)</f>
        <v>-4.2857556242664439</v>
      </c>
      <c r="I263" s="2" cm="1">
        <f t="array" ref="I263">EvaluatePolynomial(I$247:I$250,$A263)</f>
        <v>3364.5487789940739</v>
      </c>
      <c r="J263" s="2" cm="1">
        <f t="array" ref="J263">EvaluatePolynomial(J$247:J$250,$A263)</f>
        <v>3344.070446471912</v>
      </c>
      <c r="K263" s="1"/>
      <c r="L263" s="1">
        <f t="shared" si="2"/>
        <v>20.478332522161963</v>
      </c>
      <c r="M263" s="42">
        <f t="shared" si="3"/>
        <v>6.1050811900088204E-3</v>
      </c>
      <c r="N263" s="41"/>
      <c r="O263" s="1"/>
    </row>
    <row r="264" spans="1:15" x14ac:dyDescent="0.25">
      <c r="A264" s="1">
        <v>150</v>
      </c>
      <c r="B264" s="2" cm="1">
        <f t="array" ref="B264">TrajectoryToComeUp(B$247:B$250,$A264)</f>
        <v>-0.15201571097287797</v>
      </c>
      <c r="C264" s="2" cm="1">
        <f t="array" ref="C264">TrajectoryToComeUp(C$247:C$250,$A264)</f>
        <v>0.20394452784134015</v>
      </c>
      <c r="D264" s="2" cm="1">
        <f t="array" ref="D264">TrajectoryToComeUp(D$247:D$250,$A264)</f>
        <v>-4.0281616981029389E-2</v>
      </c>
      <c r="E264" s="2" cm="1">
        <f t="array" ref="E264">TrajectoryToComeUp(E$247:E$250,$A264)</f>
        <v>-0.41620700557372614</v>
      </c>
      <c r="F264" s="2" cm="1">
        <f t="array" ref="F264">TrajectoryToComeUp(F$247:F$250,$A264)</f>
        <v>-1.3870582285098134</v>
      </c>
      <c r="G264" s="2" cm="1">
        <f t="array" ref="G264">TrajectoryToComeUp(G$247:G$250,$A264)</f>
        <v>-2.6040341831374878</v>
      </c>
      <c r="H264" s="2" cm="1">
        <f t="array" ref="H264">TrajectoryToComeUp(H$247:H$250,$A264)</f>
        <v>-4.2589874720324508</v>
      </c>
      <c r="I264" s="2" cm="1">
        <f t="array" ref="I264">EvaluatePolynomial(I$247:I$250,$A264)</f>
        <v>3321.9466533195241</v>
      </c>
      <c r="J264" s="2" cm="1">
        <f t="array" ref="J264">EvaluatePolynomial(J$247:J$250,$A264)</f>
        <v>3302.0216549278343</v>
      </c>
      <c r="K264" s="1"/>
      <c r="L264" s="1">
        <f t="shared" si="2"/>
        <v>19.924998391689769</v>
      </c>
      <c r="M264" s="42">
        <f t="shared" si="3"/>
        <v>6.0160307128527737E-3</v>
      </c>
      <c r="N264" s="41"/>
      <c r="O264" s="1"/>
    </row>
    <row r="265" spans="1:15" x14ac:dyDescent="0.25">
      <c r="A265" s="1">
        <v>163.4</v>
      </c>
      <c r="B265" s="2" cm="1">
        <f t="array" ref="B265">TrajectoryToComeUp(B$247:B$250,$A265)</f>
        <v>-5.3323772466345808E-2</v>
      </c>
      <c r="C265" s="2" cm="1">
        <f t="array" ref="C265">TrajectoryToComeUp(C$247:C$250,$A265)</f>
        <v>0.31865594180275736</v>
      </c>
      <c r="D265" s="2" cm="1">
        <f t="array" ref="D265">TrajectoryToComeUp(D$247:D$250,$A265)</f>
        <v>5.2476063287759202E-2</v>
      </c>
      <c r="E265" s="2" cm="1">
        <f t="array" ref="E265">TrajectoryToComeUp(E$247:E$250,$A265)</f>
        <v>-0.32865716803255446</v>
      </c>
      <c r="F265" s="2" cm="1">
        <f t="array" ref="F265">TrajectoryToComeUp(F$247:F$250,$A265)</f>
        <v>-1.3009725912733274</v>
      </c>
      <c r="G265" s="2" cm="1">
        <f t="array" ref="G265">TrajectoryToComeUp(G$247:G$250,$A265)</f>
        <v>-2.5288761902267445</v>
      </c>
      <c r="H265" s="2" cm="1">
        <f t="array" ref="H265">TrajectoryToComeUp(H$247:H$250,$A265)</f>
        <v>-4.180498443543418</v>
      </c>
      <c r="I265" s="2" cm="1">
        <f t="array" ref="I265">EvaluatePolynomial(I$247:I$250,$A265)</f>
        <v>3209.6960344781478</v>
      </c>
      <c r="J265" s="2" cm="1">
        <f t="array" ref="J265">EvaluatePolynomial(J$247:J$250,$A265)</f>
        <v>3191.3468168037048</v>
      </c>
      <c r="K265" s="1"/>
      <c r="L265" s="1">
        <f t="shared" si="2"/>
        <v>18.349217674443025</v>
      </c>
      <c r="M265" s="42">
        <f t="shared" si="3"/>
        <v>5.7331963246484031E-3</v>
      </c>
      <c r="O265" s="1"/>
    </row>
    <row r="266" spans="1:15" x14ac:dyDescent="0.25">
      <c r="A266" s="1">
        <v>175</v>
      </c>
      <c r="B266" s="2" cm="1">
        <f t="array" ref="B266">TrajectoryToComeUp(B$247:B$250,$A266)</f>
        <v>3.9659371641849656E-2</v>
      </c>
      <c r="C266" s="2" cm="1">
        <f t="array" ref="C266">TrajectoryToComeUp(C$247:C$250,$A266)</f>
        <v>0.42466507921882835</v>
      </c>
      <c r="D266" s="2" cm="1">
        <f t="array" ref="D266">TrajectoryToComeUp(D$247:D$250,$A266)</f>
        <v>0.13966677596813529</v>
      </c>
      <c r="E266" s="2" cm="1">
        <f t="array" ref="E266">TrajectoryToComeUp(E$247:E$250,$A266)</f>
        <v>-0.24602968694275268</v>
      </c>
      <c r="F266" s="2" cm="1">
        <f t="array" ref="F266">TrajectoryToComeUp(F$247:F$250,$A266)</f>
        <v>-1.2195496841248141</v>
      </c>
      <c r="G266" s="2" cm="1">
        <f t="array" ref="G266">TrajectoryToComeUp(G$247:G$250,$A266)</f>
        <v>-2.4564287269036216</v>
      </c>
      <c r="H266" s="2" cm="1">
        <f t="array" ref="H266">TrajectoryToComeUp(H$247:H$250,$A266)</f>
        <v>-4.1052079369618992</v>
      </c>
      <c r="I266" s="2" cm="1">
        <f t="array" ref="I266">EvaluatePolynomial(I$247:I$250,$A266)</f>
        <v>3114.7727972298135</v>
      </c>
      <c r="J266" s="2" cm="1">
        <f t="array" ref="J266">EvaluatePolynomial(J$247:J$250,$A266)</f>
        <v>3097.8860193963178</v>
      </c>
      <c r="K266" s="1"/>
      <c r="L266" s="1">
        <f t="shared" si="2"/>
        <v>16.886777833495671</v>
      </c>
      <c r="M266" s="42">
        <f t="shared" si="3"/>
        <v>5.4362482576071234E-3</v>
      </c>
      <c r="O266" s="1"/>
    </row>
    <row r="267" spans="1:15" x14ac:dyDescent="0.25">
      <c r="A267" s="1">
        <v>200</v>
      </c>
      <c r="B267" s="2" cm="1">
        <f t="array" ref="B267">TrajectoryToComeUp(B$247:B$250,$A267)</f>
        <v>0.26095792463729939</v>
      </c>
      <c r="C267" s="2" cm="1">
        <f t="array" ref="C267">TrajectoryToComeUp(C$247:C$250,$A267)</f>
        <v>0.67078535753574897</v>
      </c>
      <c r="D267" s="2" cm="1">
        <f t="array" ref="D267">TrajectoryToComeUp(D$247:D$250,$A267)</f>
        <v>0.34684821612123884</v>
      </c>
      <c r="E267" s="2" cm="1">
        <f t="array" ref="E267">TrajectoryToComeUp(E$247:E$250,$A267)</f>
        <v>-4.8912326392715345E-2</v>
      </c>
      <c r="F267" s="2" cm="1">
        <f t="array" ref="F267">TrajectoryToComeUp(F$247:F$250,$A267)</f>
        <v>-1.0248634033384298</v>
      </c>
      <c r="G267" s="2" cm="1">
        <f t="array" ref="G267">TrajectoryToComeUp(G$247:G$250,$A267)</f>
        <v>-2.2791876190626832</v>
      </c>
      <c r="H267" s="2" cm="1">
        <f t="array" ref="H267">TrajectoryToComeUp(H$247:H$250,$A267)</f>
        <v>-3.9220379641793528</v>
      </c>
      <c r="I267" s="2" cm="1">
        <f t="array" ref="I267">EvaluatePolynomial(I$247:I$250,$A267)</f>
        <v>2917.2245297688014</v>
      </c>
      <c r="J267" s="2" cm="1">
        <f t="array" ref="J267">EvaluatePolynomial(J$247:J$250,$A267)</f>
        <v>2903.7426421785699</v>
      </c>
      <c r="K267" s="1"/>
      <c r="L267" s="1">
        <f t="shared" si="2"/>
        <v>13.481887590231509</v>
      </c>
      <c r="M267" s="42">
        <f t="shared" si="3"/>
        <v>4.6321812825895802E-3</v>
      </c>
      <c r="O267" s="1"/>
    </row>
    <row r="268" spans="1:15" x14ac:dyDescent="0.25">
      <c r="A268" s="48">
        <v>225</v>
      </c>
      <c r="B268" s="49" cm="1">
        <f t="array" ref="B268">TrajectoryToComeUp(B$247:B$250,$A268)</f>
        <v>0.50754576749477531</v>
      </c>
      <c r="C268" s="49" cm="1">
        <f t="array" ref="C268">TrajectoryToComeUp(C$247:C$250,$A268)</f>
        <v>0.93708408371065333</v>
      </c>
      <c r="D268" s="49" cm="1">
        <f t="array" ref="D268">TrajectoryToComeUp(D$247:D$250,$A268)</f>
        <v>0.57757468074261964</v>
      </c>
      <c r="E268" s="49" cm="1">
        <f t="array" ref="E268">TrajectoryToComeUp(E$247:E$250,$A268)</f>
        <v>0.17137348929345006</v>
      </c>
      <c r="F268" s="49" cm="1">
        <f t="array" ref="F268">TrajectoryToComeUp(F$247:F$250,$A268)</f>
        <v>-0.80682099064552926</v>
      </c>
      <c r="G268" s="49" cm="1">
        <f t="array" ref="G268">TrajectoryToComeUp(G$247:G$250,$A268)</f>
        <v>-2.0755812780901537</v>
      </c>
      <c r="H268" s="49" cm="1">
        <f t="array" ref="H268">TrajectoryToComeUp(H$247:H$250,$A268)</f>
        <v>-3.7128528479741316</v>
      </c>
      <c r="I268" s="49" cm="1">
        <f t="array" ref="I268">EvaluatePolynomial(I$247:I$250,$A268)</f>
        <v>2729.1622620596304</v>
      </c>
      <c r="J268" s="49" cm="1">
        <f t="array" ref="J268">EvaluatePolynomial(J$247:J$250,$A268)</f>
        <v>2719.3347796368398</v>
      </c>
      <c r="K268" s="1"/>
      <c r="L268" s="1">
        <f t="shared" si="2"/>
        <v>9.827482422790581</v>
      </c>
      <c r="M268" s="42">
        <f t="shared" si="3"/>
        <v>3.6074103913730491E-3</v>
      </c>
      <c r="O268" s="1"/>
    </row>
    <row r="269" spans="1:15" x14ac:dyDescent="0.25">
      <c r="A269" s="48">
        <v>247.4</v>
      </c>
      <c r="B269" s="49" cm="1">
        <f t="array" ref="B269">TrajectoryToComeUp(B$247:B$250,$A269)</f>
        <v>0.74781467303827687</v>
      </c>
      <c r="C269" s="49" cm="1">
        <f t="array" ref="C269">TrajectoryToComeUp(C$247:C$250,$A269)</f>
        <v>1.190231731835848</v>
      </c>
      <c r="D269" s="49" cm="1">
        <f t="array" ref="D269">TrajectoryToComeUp(D$247:D$250,$A269)</f>
        <v>0.80247143409923283</v>
      </c>
      <c r="E269" s="49" cm="1">
        <f t="array" ref="E269">TrajectoryToComeUp(E$247:E$250,$A269)</f>
        <v>0.38655401654806043</v>
      </c>
      <c r="F269" s="49" cm="1">
        <f t="array" ref="F269">TrajectoryToComeUp(F$247:F$250,$A269)</f>
        <v>-0.59351600450049558</v>
      </c>
      <c r="G269" s="49" cm="1">
        <f t="array" ref="G269">TrajectoryToComeUp(G$247:G$250,$A269)</f>
        <v>-1.8723810368307972</v>
      </c>
      <c r="H269" s="49" cm="1">
        <f t="array" ref="H269">TrajectoryToComeUp(H$247:H$250,$A269)</f>
        <v>-3.505003531848859</v>
      </c>
      <c r="I269" s="49" cm="1">
        <f t="array" ref="I269">EvaluatePolynomial(I$247:I$250,$A269)</f>
        <v>2568.6014967148794</v>
      </c>
      <c r="J269" s="49" cm="1">
        <f t="array" ref="J269">EvaluatePolynomial(J$247:J$250,$A269)</f>
        <v>2562.1642388596506</v>
      </c>
      <c r="K269" s="1"/>
      <c r="L269" s="1">
        <f t="shared" si="2"/>
        <v>6.437257855228836</v>
      </c>
      <c r="M269" s="42">
        <f t="shared" si="3"/>
        <v>2.5092776349524785E-3</v>
      </c>
      <c r="O269" s="1"/>
    </row>
    <row r="270" spans="1:15" x14ac:dyDescent="0.25">
      <c r="A270" s="1">
        <v>250</v>
      </c>
      <c r="B270" s="2" cm="1">
        <f t="array" ref="B270">TrajectoryToComeUp(B$247:B$250,$A270)</f>
        <v>0.77682239190305924</v>
      </c>
      <c r="C270" s="2" cm="1">
        <f t="array" ref="C270">TrajectoryToComeUp(C$247:C$250,$A270)</f>
        <v>1.2204284902946729</v>
      </c>
      <c r="D270" s="2" cm="1">
        <f t="array" ref="D270">TrajectoryToComeUp(D$247:D$250,$A270)</f>
        <v>0.8296333561908803</v>
      </c>
      <c r="E270" s="2" cm="1">
        <f t="array" ref="E270">TrajectoryToComeUp(E$247:E$250,$A270)</f>
        <v>0.41256480804598117</v>
      </c>
      <c r="F270" s="2" cm="1">
        <f t="array" ref="F270">TrajectoryToComeUp(F$247:F$250,$A270)</f>
        <v>-0.56771540874303261</v>
      </c>
      <c r="G270" s="2" cm="1">
        <f t="array" ref="G270">TrajectoryToComeUp(G$247:G$250,$A270)</f>
        <v>-1.8475719550713223</v>
      </c>
      <c r="H270" s="2" cm="1">
        <f t="array" ref="H270">TrajectoryToComeUp(H$247:H$250,$A270)</f>
        <v>-3.4796777649198249</v>
      </c>
      <c r="I270" s="2" cm="1">
        <f t="array" ref="I270">EvaluatePolynomial(I$247:I$250,$A270)</f>
        <v>2550.446405225442</v>
      </c>
      <c r="J270" s="2" cm="1">
        <f t="array" ref="J270">EvaluatePolynomial(J$247:J$250,$A270)</f>
        <v>2544.4056881333777</v>
      </c>
      <c r="K270" s="1"/>
      <c r="L270" s="1">
        <f t="shared" si="2"/>
        <v>6.0407170920643694</v>
      </c>
      <c r="M270" s="42">
        <f t="shared" si="3"/>
        <v>2.3713022405256836E-3</v>
      </c>
      <c r="O270" s="1"/>
    </row>
    <row r="271" spans="1:15" x14ac:dyDescent="0.25">
      <c r="A271" s="1">
        <v>275</v>
      </c>
      <c r="B271" s="2" cm="1">
        <f t="array" ref="B271">TrajectoryToComeUp(B$247:B$250,$A271)</f>
        <v>1.0671329289368312</v>
      </c>
      <c r="C271" s="2" cm="1">
        <f t="array" ref="C271">TrajectoryToComeUp(C$247:C$250,$A271)</f>
        <v>1.5188249980021629</v>
      </c>
      <c r="D271" s="2" cm="1">
        <f t="array" ref="D271">TrajectoryToComeUp(D$247:D$250,$A271)</f>
        <v>1.1016160883305861</v>
      </c>
      <c r="E271" s="2" cm="1">
        <f t="array" ref="E271">TrajectoryToComeUp(E$247:E$250,$A271)</f>
        <v>0.6732215694568483</v>
      </c>
      <c r="F271" s="2" cm="1">
        <f t="array" ref="F271">TrajectoryToComeUp(F$247:F$250,$A271)</f>
        <v>-0.30900581571079921</v>
      </c>
      <c r="G271" s="2" cm="1">
        <f t="array" ref="G271">TrajectoryToComeUp(G$247:G$250,$A271)</f>
        <v>-1.5964083552422812</v>
      </c>
      <c r="H271" s="2" cm="1">
        <f t="array" ref="H271">TrajectoryToComeUp(H$247:H$250,$A271)</f>
        <v>-3.2238014637450814</v>
      </c>
      <c r="I271" s="2" cm="1">
        <f t="array" ref="I271">EvaluatePolynomial(I$247:I$250,$A271)</f>
        <v>2380.937370389378</v>
      </c>
      <c r="J271" s="2" cm="1">
        <f t="array" ref="J271">EvaluatePolynomial(J$247:J$250,$A271)</f>
        <v>2378.6986240304323</v>
      </c>
      <c r="K271" s="1"/>
      <c r="L271" s="1">
        <f t="shared" si="2"/>
        <v>2.2387463589457184</v>
      </c>
      <c r="M271" s="42">
        <f t="shared" si="3"/>
        <v>9.4072166929169416E-4</v>
      </c>
      <c r="O271" s="1"/>
    </row>
    <row r="272" spans="1:15" x14ac:dyDescent="0.25">
      <c r="A272" s="1">
        <v>300</v>
      </c>
      <c r="B272" s="2" cm="1">
        <f t="array" ref="B272">TrajectoryToComeUp(B$247:B$250,$A272)</f>
        <v>1.3773741326458768</v>
      </c>
      <c r="C272" s="2" cm="1">
        <f t="array" ref="C272">TrajectoryToComeUp(C$247:C$250,$A272)</f>
        <v>1.8309445539760278</v>
      </c>
      <c r="D272" s="2" cm="1">
        <f t="array" ref="D272">TrajectoryToComeUp(D$247:D$250,$A272)</f>
        <v>1.3925841077381138</v>
      </c>
      <c r="E272" s="2" cm="1">
        <f t="array" ref="E272">TrajectoryToComeUp(E$247:E$250,$A272)</f>
        <v>0.95238373325403081</v>
      </c>
      <c r="F272" s="2" cm="1">
        <f t="array" ref="F272">TrajectoryToComeUp(F$247:F$250,$A272)</f>
        <v>-3.1664983602067764E-2</v>
      </c>
      <c r="G272" s="2" cm="1">
        <f t="array" ref="G272">TrajectoryToComeUp(G$247:G$250,$A272)</f>
        <v>-1.3229229487604259</v>
      </c>
      <c r="H272" s="2" cm="1">
        <f t="array" ref="H272">TrajectoryToComeUp(H$247:H$250,$A272)</f>
        <v>-2.9460831102689999</v>
      </c>
      <c r="I272" s="2" cm="1">
        <f t="array" ref="I272">EvaluatePolynomial(I$247:I$250,$A272)</f>
        <v>2220.4955686745793</v>
      </c>
      <c r="J272" s="2" cm="1">
        <f t="array" ref="J272">EvaluatePolynomial(J$247:J$250,$A272)</f>
        <v>2221.9568436902537</v>
      </c>
      <c r="K272" s="1"/>
      <c r="L272" s="1">
        <f t="shared" si="2"/>
        <v>-1.4612750156743459</v>
      </c>
      <c r="M272" s="42">
        <f t="shared" si="3"/>
        <v>-6.5786861851671293E-4</v>
      </c>
      <c r="O272" s="1"/>
    </row>
    <row r="273" spans="1:15" x14ac:dyDescent="0.25">
      <c r="A273" s="56">
        <v>325</v>
      </c>
      <c r="B273" s="57" cm="1">
        <f t="array" ref="B273">TrajectoryToComeUp(B$247:B$250,$A273)</f>
        <v>1.7067822173723568</v>
      </c>
      <c r="C273" s="57" cm="1">
        <f t="array" ref="C273">TrajectoryToComeUp(C$247:C$250,$A273)</f>
        <v>2.1558670446998174</v>
      </c>
      <c r="D273" s="57" cm="1">
        <f t="array" ref="D273">TrajectoryToComeUp(D$247:D$250,$A273)</f>
        <v>1.7018874971201865</v>
      </c>
      <c r="E273" s="57" cm="1">
        <f t="array" ref="E273">TrajectoryToComeUp(E$247:E$250,$A273)</f>
        <v>1.2493866561722846</v>
      </c>
      <c r="F273" s="57" cm="1">
        <f t="array" ref="F273">TrajectoryToComeUp(F$247:F$250,$A273)</f>
        <v>0.26363363000784179</v>
      </c>
      <c r="G273" s="57" cm="1">
        <f t="array" ref="G273">TrajectoryToComeUp(G$247:G$250,$A273)</f>
        <v>-1.0276920611193379</v>
      </c>
      <c r="H273" s="57" cm="1">
        <f t="array" ref="H273">TrajectoryToComeUp(H$247:H$250,$A273)</f>
        <v>-2.6471175115971115</v>
      </c>
      <c r="I273" s="57" cm="1">
        <f t="array" ref="I273">EvaluatePolynomial(I$247:I$250,$A273)</f>
        <v>2068.9814112041881</v>
      </c>
      <c r="J273" s="57" cm="1">
        <f t="array" ref="J273">EvaluatePolynomial(J$247:J$250,$A273)</f>
        <v>2073.9236034750911</v>
      </c>
      <c r="K273" s="1"/>
      <c r="L273" s="1">
        <f t="shared" si="2"/>
        <v>-4.9421922709029786</v>
      </c>
      <c r="M273" s="42">
        <f t="shared" si="3"/>
        <v>-2.3858583546529006E-3</v>
      </c>
      <c r="O273" s="1"/>
    </row>
    <row r="274" spans="1:15" x14ac:dyDescent="0.25">
      <c r="A274" s="56">
        <v>350</v>
      </c>
      <c r="B274" s="57" cm="1">
        <f t="array" ref="B274">TrajectoryToComeUp(B$247:B$250,$A274)</f>
        <v>2.0548116219320995</v>
      </c>
      <c r="C274" s="57" cm="1">
        <f t="array" ref="C274">TrajectoryToComeUp(C$247:C$250,$A274)</f>
        <v>2.4929352462332082</v>
      </c>
      <c r="D274" s="57" cm="1">
        <f t="array" ref="D274">TrajectoryToComeUp(D$247:D$250,$A274)</f>
        <v>2.0290620298387481</v>
      </c>
      <c r="E274" s="57" cm="1">
        <f t="array" ref="E274">TrajectoryToComeUp(E$247:E$250,$A274)</f>
        <v>1.5637555930221483</v>
      </c>
      <c r="F274" s="57" cm="1">
        <f t="array" ref="F274">TrajectoryToComeUp(F$247:F$250,$A274)</f>
        <v>0.57640898399370188</v>
      </c>
      <c r="G274" s="57" cm="1">
        <f t="array" ref="G274">TrajectoryToComeUp(G$247:G$250,$A274)</f>
        <v>-0.7111273533858613</v>
      </c>
      <c r="H274" s="57" cm="1">
        <f t="array" ref="H274">TrajectoryToComeUp(H$247:H$250,$A274)</f>
        <v>-2.3273295299476509</v>
      </c>
      <c r="I274" s="57" cm="1">
        <f t="array" ref="I274">EvaluatePolynomial(I$247:I$250,$A274)</f>
        <v>1926.255309101346</v>
      </c>
      <c r="J274" s="57" cm="1">
        <f t="array" ref="J274">EvaluatePolynomial(J$247:J$250,$A274)</f>
        <v>1934.3421597471945</v>
      </c>
      <c r="K274" s="1"/>
      <c r="L274" s="1">
        <f t="shared" si="2"/>
        <v>-8.0868506458484717</v>
      </c>
      <c r="M274" s="42">
        <f t="shared" si="3"/>
        <v>-4.1894295953421173E-3</v>
      </c>
      <c r="O274" s="1"/>
    </row>
    <row r="275" spans="1:15" x14ac:dyDescent="0.25">
      <c r="A275" s="1">
        <v>375</v>
      </c>
      <c r="B275" s="2" cm="1">
        <f t="array" ref="B275">TrajectoryToComeUp(B$247:B$250,$A275)</f>
        <v>2.4210622681233782</v>
      </c>
      <c r="C275" s="2" cm="1">
        <f t="array" ref="C275">TrajectoryToComeUp(C$247:C$250,$A275)</f>
        <v>2.8416671943532985</v>
      </c>
      <c r="D275" s="2" cm="1">
        <f t="array" ref="D275">TrajectoryToComeUp(D$247:D$250,$A275)</f>
        <v>2.3737672730258921</v>
      </c>
      <c r="E275" s="2" cm="1">
        <f t="array" ref="E275">TrajectoryToComeUp(E$247:E$250,$A275)</f>
        <v>1.8951423973313515</v>
      </c>
      <c r="F275" s="2" cm="1">
        <f t="array" ref="F275">TrajectoryToComeUp(F$247:F$250,$A275)</f>
        <v>0.90630831486367791</v>
      </c>
      <c r="G275" s="2" cm="1">
        <f t="array" ref="G275">TrajectoryToComeUp(G$247:G$250,$A275)</f>
        <v>-0.37353071034234714</v>
      </c>
      <c r="H275" s="2" cm="1">
        <f t="array" ref="H275">TrajectoryToComeUp(H$247:H$250,$A275)</f>
        <v>-1.987030730947325</v>
      </c>
      <c r="I275" s="2" cm="1">
        <f t="array" ref="I275">EvaluatePolynomial(I$247:I$250,$A275)</f>
        <v>1792.1776734891944</v>
      </c>
      <c r="J275" s="2" cm="1">
        <f t="array" ref="J275">EvaluatePolynomial(J$247:J$250,$A275)</f>
        <v>1802.9557688688126</v>
      </c>
      <c r="K275" s="1"/>
      <c r="L275" s="1">
        <f t="shared" si="2"/>
        <v>-10.778095379618208</v>
      </c>
      <c r="M275" s="42">
        <f t="shared" si="3"/>
        <v>-5.995936202328544E-3</v>
      </c>
      <c r="O275" s="1"/>
    </row>
    <row r="276" spans="1:15" x14ac:dyDescent="0.25">
      <c r="A276" s="1">
        <v>400</v>
      </c>
      <c r="B276" s="2" cm="1">
        <f t="array" ref="B276">TrajectoryToComeUp(B$247:B$250,$A276)</f>
        <v>2.8052340972948988</v>
      </c>
      <c r="C276" s="2" cm="1">
        <f t="array" ref="C276">TrajectoryToComeUp(C$247:C$250,$A276)</f>
        <v>3.2017014158929102</v>
      </c>
      <c r="D276" s="2" cm="1">
        <f t="array" ref="D276">TrajectoryToComeUp(D$247:D$250,$A276)</f>
        <v>2.7357479020306874</v>
      </c>
      <c r="E276" s="2" cm="1">
        <f t="array" ref="E276">TrajectoryToComeUp(E$247:E$250,$A276)</f>
        <v>2.2432859592456906</v>
      </c>
      <c r="F276" s="2" cm="1">
        <f t="array" ref="F276">TrajectoryToComeUp(F$247:F$250,$A276)</f>
        <v>1.253067049998895</v>
      </c>
      <c r="G276" s="2" cm="1">
        <f t="array" ref="G276">TrajectoryToComeUp(G$247:G$250,$A276)</f>
        <v>-1.5128545575560136E-2</v>
      </c>
      <c r="H276" s="2" cm="1">
        <f t="array" ref="H276">TrajectoryToComeUp(H$247:H$250,$A276)</f>
        <v>-1.6264547888161633</v>
      </c>
      <c r="I276" s="2" cm="1">
        <f t="array" ref="I276">EvaluatePolynomial(I$247:I$250,$A276)</f>
        <v>1666.6089154908752</v>
      </c>
      <c r="J276" s="2" cm="1">
        <f t="array" ref="J276">EvaluatePolynomial(J$247:J$250,$A276)</f>
        <v>1679.5076872021953</v>
      </c>
      <c r="K276" s="1"/>
      <c r="L276" s="1">
        <f t="shared" si="2"/>
        <v>-12.898771711320023</v>
      </c>
      <c r="M276" s="42">
        <f t="shared" si="3"/>
        <v>-7.7096964887228645E-3</v>
      </c>
      <c r="O276" s="1"/>
    </row>
    <row r="277" spans="1:15" x14ac:dyDescent="0.25">
      <c r="A277" s="1">
        <v>425</v>
      </c>
      <c r="B277" s="2" cm="1">
        <f t="array" ref="B277">TrajectoryToComeUp(B$247:B$250,$A277)</f>
        <v>3.2070976528309667</v>
      </c>
      <c r="C277" s="2" cm="1">
        <f t="array" ref="C277">TrajectoryToComeUp(C$247:C$250,$A277)</f>
        <v>3.5727614901947895</v>
      </c>
      <c r="D277" s="2" cm="1">
        <f t="array" ref="D277">TrajectoryToComeUp(D$247:D$250,$A277)</f>
        <v>3.114808668590658</v>
      </c>
      <c r="E277" s="2" cm="1">
        <f t="array" ref="E277">TrajectoryToComeUp(E$247:E$250,$A277)</f>
        <v>2.6079866065237165</v>
      </c>
      <c r="F277" s="2" cm="1">
        <f t="array" ref="F277">TrajectoryToComeUp(F$247:F$250,$A277)</f>
        <v>1.6164828691613897</v>
      </c>
      <c r="G277" s="2" cm="1">
        <f t="array" ref="G277">TrajectoryToComeUp(G$247:G$250,$A277)</f>
        <v>0.36390600111285665</v>
      </c>
      <c r="H277" s="2" cm="1">
        <f t="array" ref="H277">TrajectoryToComeUp(H$247:H$250,$A277)</f>
        <v>-1.2457803956047762</v>
      </c>
      <c r="I277" s="2" cm="1">
        <f t="array" ref="I277">EvaluatePolynomial(I$247:I$250,$A277)</f>
        <v>1549.4094462295297</v>
      </c>
      <c r="J277" s="2" cm="1">
        <f t="array" ref="J277">EvaluatePolynomial(J$247:J$250,$A277)</f>
        <v>1563.7411711095922</v>
      </c>
      <c r="K277" s="1"/>
      <c r="L277" s="1">
        <f t="shared" si="2"/>
        <v>-14.331724880062438</v>
      </c>
      <c r="M277" s="42">
        <f t="shared" si="3"/>
        <v>-9.2072158669355211E-3</v>
      </c>
      <c r="O277" s="1"/>
    </row>
    <row r="278" spans="1:15" x14ac:dyDescent="0.25">
      <c r="A278" s="1">
        <v>450</v>
      </c>
      <c r="B278" s="2" cm="1">
        <f t="array" ref="B278">TrajectoryToComeUp(B$247:B$250,$A278)</f>
        <v>3.6264744684749282</v>
      </c>
      <c r="C278" s="2" cm="1">
        <f t="array" ref="C278">TrajectoryToComeUp(C$247:C$250,$A278)</f>
        <v>3.9546324234144086</v>
      </c>
      <c r="D278" s="2" cm="1">
        <f t="array" ref="D278">TrajectoryToComeUp(D$247:D$250,$A278)</f>
        <v>3.5107977129460997</v>
      </c>
      <c r="E278" s="2" cm="1">
        <f t="array" ref="E278">TrajectoryToComeUp(E$247:E$250,$A278)</f>
        <v>2.989089038533189</v>
      </c>
      <c r="F278" s="2" cm="1">
        <f t="array" ref="F278">TrajectoryToComeUp(F$247:F$250,$A278)</f>
        <v>1.9963984121660778</v>
      </c>
      <c r="G278" s="2" cm="1">
        <f t="array" ref="G278">TrajectoryToComeUp(G$247:G$250,$A278)</f>
        <v>0.76343826543273574</v>
      </c>
      <c r="H278" s="2" cm="1">
        <f t="array" ref="H278">TrajectoryToComeUp(H$247:H$250,$A278)</f>
        <v>-0.84514653401919515</v>
      </c>
      <c r="I278" s="2" cm="1">
        <f t="array" ref="I278">EvaluatePolynomial(I$247:I$250,$A278)</f>
        <v>1440.4396768282998</v>
      </c>
      <c r="J278" s="2" cm="1">
        <f t="array" ref="J278">EvaluatePolynomial(J$247:J$250,$A278)</f>
        <v>1455.3994769532528</v>
      </c>
      <c r="K278" s="1"/>
      <c r="L278" s="1">
        <f t="shared" si="2"/>
        <v>-14.959800124953063</v>
      </c>
      <c r="M278" s="42">
        <f t="shared" si="3"/>
        <v>-1.0331927521193779E-2</v>
      </c>
      <c r="O278" s="1"/>
    </row>
    <row r="279" spans="1:15" x14ac:dyDescent="0.25">
      <c r="A279" s="1">
        <v>475</v>
      </c>
      <c r="B279" s="2" cm="1">
        <f t="array" ref="B279">TrajectoryToComeUp(B$247:B$250,$A279)</f>
        <v>4.0632236498136374</v>
      </c>
      <c r="C279" s="2" cm="1">
        <f t="array" ref="C279">TrajectoryToComeUp(C$247:C$250,$A279)</f>
        <v>4.3471444835692408</v>
      </c>
      <c r="D279" s="2" cm="1">
        <f t="array" ref="D279">TrajectoryToComeUp(D$247:D$250,$A279)</f>
        <v>3.9235951458130374</v>
      </c>
      <c r="E279" s="2" cm="1">
        <f t="array" ref="E279">TrajectoryToComeUp(E$247:E$250,$A279)</f>
        <v>3.3864706495118182</v>
      </c>
      <c r="F279" s="2" cm="1">
        <f t="array" ref="F279">TrajectoryToComeUp(F$247:F$250,$A279)</f>
        <v>2.392689447287895</v>
      </c>
      <c r="G279" s="2" cm="1">
        <f t="array" ref="G279">TrajectoryToComeUp(G$247:G$250,$A279)</f>
        <v>1.1833619334707888</v>
      </c>
      <c r="H279" s="2" cm="1">
        <f t="array" ref="H279">TrajectoryToComeUp(H$247:H$250,$A279)</f>
        <v>-0.42466292724839177</v>
      </c>
      <c r="I279" s="2" cm="1">
        <f t="array" ref="I279">EvaluatePolynomial(I$247:I$250,$A279)</f>
        <v>1339.5600184103273</v>
      </c>
      <c r="J279" s="2" cm="1">
        <f t="array" ref="J279">EvaluatePolynomial(J$247:J$250,$A279)</f>
        <v>1354.2258610954266</v>
      </c>
      <c r="K279" s="1"/>
      <c r="L279" s="1">
        <f t="shared" si="2"/>
        <v>-14.665842685099278</v>
      </c>
      <c r="M279" s="42">
        <f t="shared" si="3"/>
        <v>-1.0888647681077099E-2</v>
      </c>
      <c r="O279" s="1"/>
    </row>
    <row r="280" spans="1:15" x14ac:dyDescent="0.25">
      <c r="A280" s="1">
        <v>500</v>
      </c>
      <c r="B280" s="2" cm="1">
        <f t="array" ref="B280">TrajectoryToComeUp(B$247:B$250,$A280)</f>
        <v>4.5172324813165776</v>
      </c>
      <c r="C280" s="2" cm="1">
        <f t="array" ref="C280">TrajectoryToComeUp(C$247:C$250,$A280)</f>
        <v>4.7501618850732692</v>
      </c>
      <c r="D280" s="2" cm="1">
        <f t="array" ref="D280">TrajectoryToComeUp(D$247:D$250,$A280)</f>
        <v>4.3531050557642876</v>
      </c>
      <c r="E280" s="2" cm="1">
        <f t="array" ref="E280">TrajectoryToComeUp(E$247:E$250,$A280)</f>
        <v>3.8000333548497647</v>
      </c>
      <c r="F280" s="2" cm="1">
        <f t="array" ref="F280">TrajectoryToComeUp(F$247:F$250,$A280)</f>
        <v>2.8052565891467891</v>
      </c>
      <c r="G280" s="2" cm="1">
        <f t="array" ref="G280">TrajectoryToComeUp(G$247:G$250,$A280)</f>
        <v>1.6235919540963832</v>
      </c>
      <c r="H280" s="2" cm="1">
        <f t="array" ref="H280">TrajectoryToComeUp(H$247:H$250,$A280)</f>
        <v>1.5582646156457753E-2</v>
      </c>
      <c r="I280" s="2" cm="1">
        <f t="array" ref="I280">EvaluatePolynomial(I$247:I$250,$A280)</f>
        <v>1246.6308820987529</v>
      </c>
      <c r="J280" s="2" cm="1">
        <f t="array" ref="J280">EvaluatePolynomial(J$247:J$250,$A280)</f>
        <v>1259.9635798983634</v>
      </c>
      <c r="K280" s="1"/>
      <c r="L280" s="1">
        <f t="shared" si="2"/>
        <v>-13.332697799610514</v>
      </c>
      <c r="M280" s="42">
        <f t="shared" si="3"/>
        <v>-1.0638097228530345E-2</v>
      </c>
      <c r="O280" s="1"/>
    </row>
    <row r="281" spans="1:15" x14ac:dyDescent="0.25">
      <c r="A281" s="1">
        <v>525</v>
      </c>
      <c r="B281" s="2" cm="1">
        <f t="array" ref="B281">TrajectoryToComeUp(B$247:B$250,$A281)</f>
        <v>4.9884097170780937</v>
      </c>
      <c r="C281" s="2" cm="1">
        <f t="array" ref="C281">TrajectoryToComeUp(C$247:C$250,$A281)</f>
        <v>5.1635747062616195</v>
      </c>
      <c r="D281" s="2" cm="1">
        <f t="array" ref="D281">TrajectoryToComeUp(D$247:D$250,$A281)</f>
        <v>4.7992498002159438</v>
      </c>
      <c r="E281" s="2" cm="1">
        <f t="array" ref="E281">TrajectoryToComeUp(E$247:E$250,$A281)</f>
        <v>4.2296977527200221</v>
      </c>
      <c r="F281" s="2" cm="1">
        <f t="array" ref="F281">TrajectoryToComeUp(F$247:F$250,$A281)</f>
        <v>3.2340193829112893</v>
      </c>
      <c r="G281" s="2" cm="1">
        <f t="array" ref="G281">TrajectoryToComeUp(G$247:G$250,$A281)</f>
        <v>2.0840594763942462</v>
      </c>
      <c r="H281" s="2" cm="1">
        <f t="array" ref="H281">TrajectoryToComeUp(H$247:H$250,$A281)</f>
        <v>0.47551912736820801</v>
      </c>
      <c r="I281" s="2" cm="1">
        <f t="array" ref="I281">EvaluatePolynomial(I$247:I$250,$A281)</f>
        <v>1161.5126790167194</v>
      </c>
      <c r="J281" s="2" cm="1">
        <f t="array" ref="J281">EvaluatePolynomial(J$247:J$250,$A281)</f>
        <v>1172.355889724312</v>
      </c>
      <c r="K281" s="1"/>
      <c r="L281" s="1">
        <f t="shared" si="2"/>
        <v>-10.843210707592561</v>
      </c>
      <c r="M281" s="42">
        <f t="shared" si="3"/>
        <v>-9.2920491349191611E-3</v>
      </c>
    </row>
    <row r="282" spans="1:15" x14ac:dyDescent="0.25">
      <c r="A282" s="1">
        <v>550</v>
      </c>
      <c r="B282" s="2" cm="1">
        <f t="array" ref="B282">TrajectoryToComeUp(B$247:B$250,$A282)</f>
        <v>5.4766807013571892</v>
      </c>
      <c r="C282" s="2" cm="1">
        <f t="array" ref="C282">TrajectoryToComeUp(C$247:C$250,$A282)</f>
        <v>5.5872930112266692</v>
      </c>
      <c r="D282" s="2" cm="1">
        <f t="array" ref="D282">TrajectoryToComeUp(D$247:D$250,$A282)</f>
        <v>5.2619658534175358</v>
      </c>
      <c r="E282" s="2" cm="1">
        <f t="array" ref="E282">TrajectoryToComeUp(E$247:E$250,$A282)</f>
        <v>4.6753988779913991</v>
      </c>
      <c r="F282" s="2" cm="1">
        <f t="array" ref="F282">TrajectoryToComeUp(F$247:F$250,$A282)</f>
        <v>3.678912001901101</v>
      </c>
      <c r="G282" s="2" cm="1">
        <f t="array" ref="G282">TrajectoryToComeUp(G$247:G$250,$A282)</f>
        <v>2.5647081677973351</v>
      </c>
      <c r="H282" s="2" cm="1">
        <f t="array" ref="H282">TrajectoryToComeUp(H$247:H$250,$A282)</f>
        <v>0.9550883773464699</v>
      </c>
      <c r="I282" s="2" cm="1">
        <f t="array" ref="I282">EvaluatePolynomial(I$247:I$250,$A282)</f>
        <v>1084.0658202873681</v>
      </c>
      <c r="J282" s="2" cm="1">
        <f t="array" ref="J282">EvaluatePolynomial(J$247:J$250,$A282)</f>
        <v>1091.1460469355216</v>
      </c>
      <c r="K282" s="1"/>
      <c r="L282" s="1">
        <f t="shared" si="2"/>
        <v>-7.0802266481534843</v>
      </c>
      <c r="M282" s="42">
        <f t="shared" si="3"/>
        <v>-6.5099191070457571E-3</v>
      </c>
    </row>
    <row r="283" spans="1:15" x14ac:dyDescent="0.25">
      <c r="A283" s="21">
        <v>575</v>
      </c>
      <c r="B283" s="54" cm="1">
        <f t="array" ref="B283">TrajectoryToComeUp(B$247:B$250,$A283)</f>
        <v>5.9819837620200031</v>
      </c>
      <c r="C283" s="54" cm="1">
        <f t="array" ref="C283">TrajectoryToComeUp(C$247:C$250,$A283)</f>
        <v>6.0212425050882086</v>
      </c>
      <c r="D283" s="54" cm="1">
        <f t="array" ref="D283">TrajectoryToComeUp(D$247:D$250,$A283)</f>
        <v>5.7412007375751921</v>
      </c>
      <c r="E283" s="54" cm="1">
        <f t="array" ref="E283">TrajectoryToComeUp(E$247:E$250,$A283)</f>
        <v>5.1370830638163953</v>
      </c>
      <c r="F283" s="54" cm="1">
        <f t="array" ref="F283">TrajectoryToComeUp(F$247:F$250,$A283)</f>
        <v>4.1398800675542411</v>
      </c>
      <c r="G283" s="54" cm="1">
        <f t="array" ref="G283">TrajectoryToComeUp(G$247:G$250,$A283)</f>
        <v>3.0654914927067893</v>
      </c>
      <c r="H283" s="54" cm="1">
        <f t="array" ref="H283">TrajectoryToComeUp(H$247:H$250,$A283)</f>
        <v>1.4542423681883136</v>
      </c>
      <c r="I283" s="54" cm="1">
        <f t="array" ref="I283">EvaluatePolynomial(I$247:I$250,$A283)</f>
        <v>1014.1507170338405</v>
      </c>
      <c r="J283" s="54" cm="1">
        <f t="array" ref="J283">EvaluatePolynomial(J$247:J$250,$A283)</f>
        <v>1016.0773078942431</v>
      </c>
      <c r="K283" s="1"/>
      <c r="L283" s="1">
        <f t="shared" si="2"/>
        <v>-1.9265908604025981</v>
      </c>
      <c r="M283" s="42">
        <f t="shared" si="3"/>
        <v>-1.8979058871683573E-3</v>
      </c>
    </row>
    <row r="284" spans="1:15" x14ac:dyDescent="0.25">
      <c r="A284" s="21">
        <v>600</v>
      </c>
      <c r="B284" s="54" cm="1">
        <f t="array" ref="B284">TrajectoryToComeUp(B$247:B$250,$A284)</f>
        <v>6.5042675056216526</v>
      </c>
      <c r="C284" s="54" cm="1">
        <f t="array" ref="C284">TrajectoryToComeUp(C$247:C$250,$A284)</f>
        <v>6.4653612754460612</v>
      </c>
      <c r="D284" s="54" cm="1">
        <f t="array" ref="D284">TrajectoryToComeUp(D$247:D$250,$A284)</f>
        <v>6.2369107211940271</v>
      </c>
      <c r="E284" s="54" cm="1">
        <f t="array" ref="E284">TrajectoryToComeUp(E$247:E$250,$A284)</f>
        <v>5.614705587822086</v>
      </c>
      <c r="F284" s="54" cm="1">
        <f t="array" ref="F284">TrajectoryToComeUp(F$247:F$250,$A284)</f>
        <v>4.6168782644023914</v>
      </c>
      <c r="G284" s="54" cm="1">
        <f t="array" ref="G284">TrajectoryToComeUp(G$247:G$250,$A284)</f>
        <v>3.5863706714568933</v>
      </c>
      <c r="H284" s="54" cm="1">
        <f t="array" ref="H284">TrajectoryToComeUp(H$247:H$250,$A284)</f>
        <v>1.9729410766412943</v>
      </c>
      <c r="I284" s="54" cm="1">
        <f t="array" ref="I284">EvaluatePolynomial(I$247:I$250,$A284)</f>
        <v>951.62778037927751</v>
      </c>
      <c r="J284" s="54" cm="1">
        <f t="array" ref="J284">EvaluatePolynomial(J$247:J$250,$A284)</f>
        <v>946.89292896272502</v>
      </c>
      <c r="K284" s="1"/>
      <c r="L284" s="1">
        <f t="shared" si="2"/>
        <v>4.7348514165524875</v>
      </c>
      <c r="M284" s="42">
        <f t="shared" si="3"/>
        <v>4.9879376013691338E-3</v>
      </c>
    </row>
    <row r="285" spans="1:15" x14ac:dyDescent="0.25">
      <c r="A285" s="1">
        <v>625</v>
      </c>
      <c r="B285" s="2" cm="1">
        <f t="array" ref="B285">TrajectoryToComeUp(B$247:B$250,$A285)</f>
        <v>7.0434887616684323</v>
      </c>
      <c r="C285" s="2" cm="1">
        <f t="array" ref="C285">TrajectoryToComeUp(C$247:C$250,$A285)</f>
        <v>6.9195973158840829</v>
      </c>
      <c r="D285" s="2" cm="1">
        <f t="array" ref="D285">TrajectoryToComeUp(D$247:D$250,$A285)</f>
        <v>6.7490590698183315</v>
      </c>
      <c r="E285" s="2" cm="1">
        <f t="array" ref="E285">TrajectoryToComeUp(E$247:E$250,$A285)</f>
        <v>6.1082288832152214</v>
      </c>
      <c r="F285" s="2" cm="1">
        <f t="array" ref="F285">TrajectoryToComeUp(F$247:F$250,$A285)</f>
        <v>5.109868527452166</v>
      </c>
      <c r="G285" s="2" cm="1">
        <f t="array" ref="G285">TrajectoryToComeUp(G$247:G$250,$A285)</f>
        <v>4.1273131291284439</v>
      </c>
      <c r="H285" s="2" cm="1">
        <f t="array" ref="H285">TrajectoryToComeUp(H$247:H$250,$A285)</f>
        <v>2.5111508831733627</v>
      </c>
      <c r="I285" s="2" cm="1">
        <f t="array" ref="I285">EvaluatePolynomial(I$247:I$250,$A285)</f>
        <v>896.3574214468224</v>
      </c>
      <c r="J285" s="2" cm="1">
        <f t="array" ref="J285">EvaluatePolynomial(J$247:J$250,$A285)</f>
        <v>883.33616650321744</v>
      </c>
      <c r="K285" s="1"/>
      <c r="L285" s="1">
        <f t="shared" si="2"/>
        <v>13.021254943604958</v>
      </c>
      <c r="M285" s="42">
        <f t="shared" si="3"/>
        <v>1.4633142504720309E-2</v>
      </c>
    </row>
    <row r="286" spans="1:15" x14ac:dyDescent="0.25">
      <c r="A286" s="1">
        <v>650</v>
      </c>
      <c r="B286" s="2" cm="1">
        <f t="array" ref="B286">TrajectoryToComeUp(B$247:B$250,$A286)</f>
        <v>7.5996110012810494</v>
      </c>
      <c r="C286" s="2" cm="1">
        <f t="array" ref="C286">TrajectoryToComeUp(C$247:C$250,$A286)</f>
        <v>7.3839066209732218</v>
      </c>
      <c r="D286" s="2" cm="1">
        <f t="array" ref="D286">TrajectoryToComeUp(D$247:D$250,$A286)</f>
        <v>7.2776147004471268</v>
      </c>
      <c r="E286" s="2" cm="1">
        <f t="array" ref="E286">TrajectoryToComeUp(E$247:E$250,$A286)</f>
        <v>6.6176211627092005</v>
      </c>
      <c r="F286" s="2" cm="1">
        <f t="array" ref="F286">TrajectoryToComeUp(F$247:F$250,$A286)</f>
        <v>5.6188186478630033</v>
      </c>
      <c r="G286" s="2" cm="1">
        <f t="array" ref="G286">TrajectoryToComeUp(G$247:G$250,$A286)</f>
        <v>4.6882913023282686</v>
      </c>
      <c r="H286" s="2" cm="1">
        <f t="array" ref="H286">TrajectoryToComeUp(H$247:H$250,$A286)</f>
        <v>3.0688433404881641</v>
      </c>
      <c r="I286" s="2" cm="1">
        <f t="array" ref="I286">EvaluatePolynomial(I$247:I$250,$A286)</f>
        <v>848.20005135961514</v>
      </c>
      <c r="J286" s="2" cm="1">
        <f t="array" ref="J286">EvaluatePolynomial(J$247:J$250,$A286)</f>
        <v>825.15027687796942</v>
      </c>
      <c r="K286" s="1"/>
      <c r="L286" s="1">
        <f t="shared" si="2"/>
        <v>23.049774481645727</v>
      </c>
      <c r="M286" s="42">
        <f t="shared" si="3"/>
        <v>2.7549251454024381E-2</v>
      </c>
    </row>
    <row r="287" spans="1:15" x14ac:dyDescent="0.25">
      <c r="A287" s="1">
        <v>675</v>
      </c>
      <c r="B287" s="2" cm="1">
        <f t="array" ref="B287">TrajectoryToComeUp(B$247:B$250,$A287)</f>
        <v>8.1726031072660437</v>
      </c>
      <c r="C287" s="2" cm="1">
        <f t="array" ref="C287">TrajectoryToComeUp(C$247:C$250,$A287)</f>
        <v>7.8582517046072544</v>
      </c>
      <c r="D287" s="2" cm="1">
        <f t="array" ref="D287">TrajectoryToComeUp(D$247:D$250,$A287)</f>
        <v>7.8225511349684602</v>
      </c>
      <c r="E287" s="2" cm="1">
        <f t="array" ref="E287">TrajectoryToComeUp(E$247:E$250,$A287)</f>
        <v>7.1428553482450718</v>
      </c>
      <c r="F287" s="2" cm="1">
        <f t="array" ref="F287">TrajectoryToComeUp(F$247:F$250,$A287)</f>
        <v>6.1437011884744308</v>
      </c>
      <c r="G287" s="2" cm="1">
        <f t="array" ref="G287">TrajectoryToComeUp(G$247:G$250,$A287)</f>
        <v>5.269281711128853</v>
      </c>
      <c r="H287" s="2" cm="1">
        <f t="array" ref="H287">TrajectoryToComeUp(H$247:H$250,$A287)</f>
        <v>3.6459942157036256</v>
      </c>
      <c r="I287" s="2" cm="1">
        <f t="array" ref="I287">EvaluatePolynomial(I$247:I$250,$A287)</f>
        <v>807.01608124079848</v>
      </c>
      <c r="J287" s="2" cm="1">
        <f t="array" ref="J287">EvaluatePolynomial(J$247:J$250,$A287)</f>
        <v>772.07851644923028</v>
      </c>
      <c r="K287" s="1"/>
      <c r="L287" s="1">
        <f t="shared" si="2"/>
        <v>34.937564791568207</v>
      </c>
      <c r="M287" s="42">
        <f t="shared" si="3"/>
        <v>4.4250122624289207E-2</v>
      </c>
    </row>
    <row r="288" spans="1:15" x14ac:dyDescent="0.25">
      <c r="A288" s="1">
        <v>700</v>
      </c>
      <c r="B288" s="2" cm="1">
        <f t="array" ref="B288">TrajectoryToComeUp(B$247:B$250,$A288)</f>
        <v>8.7624384077432964</v>
      </c>
      <c r="C288" s="2" cm="1">
        <f t="array" ref="C288">TrajectoryToComeUp(C$247:C$250,$A288)</f>
        <v>8.342600435837987</v>
      </c>
      <c r="D288" s="2" cm="1">
        <f t="array" ref="D288">TrajectoryToComeUp(D$247:D$250,$A288)</f>
        <v>8.3838456778578081</v>
      </c>
      <c r="E288" s="2" cm="1">
        <f t="array" ref="E288">TrajectoryToComeUp(E$247:E$250,$A288)</f>
        <v>7.683908230058015</v>
      </c>
      <c r="F288" s="2" cm="1">
        <f t="array" ref="F288">TrajectoryToComeUp(F$247:F$250,$A288)</f>
        <v>6.6844926317203219</v>
      </c>
      <c r="G288" s="2" cm="1">
        <f t="array" ref="G288">TrajectoryToComeUp(G$247:G$250,$A288)</f>
        <v>5.8702642298780381</v>
      </c>
      <c r="H288" s="2" cm="1">
        <f t="array" ref="H288">TrajectoryToComeUp(H$247:H$250,$A288)</f>
        <v>4.2425827377779628</v>
      </c>
      <c r="I288" s="2" cm="1">
        <f t="array" ref="I288">EvaluatePolynomial(I$247:I$250,$A288)</f>
        <v>772.66592221351345</v>
      </c>
      <c r="J288" s="2" cm="1">
        <f t="array" ref="J288">EvaluatePolynomial(J$247:J$250,$A288)</f>
        <v>723.86414157925014</v>
      </c>
      <c r="K288" s="1"/>
      <c r="L288" s="1">
        <f t="shared" si="2"/>
        <v>48.801780634263309</v>
      </c>
      <c r="M288" s="42">
        <f t="shared" si="3"/>
        <v>6.5219913471810192E-2</v>
      </c>
    </row>
    <row r="289" spans="1:13" x14ac:dyDescent="0.25">
      <c r="A289" s="1">
        <v>725</v>
      </c>
      <c r="B289" s="2" cm="1">
        <f t="array" ref="B289">TrajectoryToComeUp(B$247:B$250,$A289)</f>
        <v>9.3690939097127064</v>
      </c>
      <c r="C289" s="2" cm="1">
        <f t="array" ref="C289">TrajectoryToComeUp(C$247:C$250,$A289)</f>
        <v>8.83692511557215</v>
      </c>
      <c r="D289" s="2" cm="1">
        <f t="array" ref="D289">TrajectoryToComeUp(D$247:D$250,$A289)</f>
        <v>8.9614787640078131</v>
      </c>
      <c r="E289" s="2" cm="1">
        <f t="array" ref="E289">TrajectoryToComeUp(E$247:E$250,$A289)</f>
        <v>8.2407597997300819</v>
      </c>
      <c r="F289" s="2" cm="1">
        <f t="array" ref="F289">TrajectoryToComeUp(F$247:F$250,$A289)</f>
        <v>7.2411727038367824</v>
      </c>
      <c r="G289" s="2" cm="1">
        <f t="array" ref="G289">TrajectoryToComeUp(G$247:G$250,$A289)</f>
        <v>6.4912215088756904</v>
      </c>
      <c r="H289" s="2" cm="1">
        <f t="array" ref="H289">TrajectoryToComeUp(H$247:H$250,$A289)</f>
        <v>4.8585910006406765</v>
      </c>
      <c r="I289" s="2" cm="1">
        <f t="array" ref="I289">EvaluatePolynomial(I$247:I$250,$A289)</f>
        <v>745.00998540090177</v>
      </c>
      <c r="J289" s="2" cm="1">
        <f t="array" ref="J289">EvaluatePolynomial(J$247:J$250,$A289)</f>
        <v>680.25040863027789</v>
      </c>
      <c r="K289" s="1"/>
      <c r="L289" s="1">
        <f t="shared" si="2"/>
        <v>64.75957677062388</v>
      </c>
      <c r="M289" s="42">
        <f t="shared" si="3"/>
        <v>9.0874028411691302E-2</v>
      </c>
    </row>
    <row r="290" spans="1:13" x14ac:dyDescent="0.25">
      <c r="A290" s="1">
        <v>750</v>
      </c>
      <c r="B290" s="2" cm="1">
        <f t="array" ref="B290">TrajectoryToComeUp(B$247:B$250,$A290)</f>
        <v>9.9925496859075249</v>
      </c>
      <c r="C290" s="2" cm="1">
        <f t="array" ref="C290">TrajectoryToComeUp(C$247:C$250,$A290)</f>
        <v>9.3412017379289072</v>
      </c>
      <c r="D290" s="2" cm="1">
        <f t="array" ref="D290">TrajectoryToComeUp(D$247:D$250,$A290)</f>
        <v>9.5554334369921126</v>
      </c>
      <c r="E290" s="2" cm="1">
        <f t="array" ref="E290">TrajectoryToComeUp(E$247:E$250,$A290)</f>
        <v>8.8133927166323875</v>
      </c>
      <c r="F290" s="2" cm="1">
        <f t="array" ref="F290">TrajectoryToComeUp(F$247:F$250,$A290)</f>
        <v>7.8137238342284299</v>
      </c>
      <c r="G290" s="2" cm="1">
        <f t="array" ref="G290">TrajectoryToComeUp(G$247:G$250,$A290)</f>
        <v>7.1321385117150262</v>
      </c>
      <c r="H290" s="2" cm="1">
        <f t="array" ref="H290">TrajectoryToComeUp(H$247:H$250,$A290)</f>
        <v>5.4940034856973368</v>
      </c>
      <c r="I290" s="2" cm="1">
        <f t="array" ref="I290">EvaluatePolynomial(I$247:I$250,$A290)</f>
        <v>723.90868192610503</v>
      </c>
      <c r="J290" s="2" cm="1">
        <f t="array" ref="J290">EvaluatePolynomial(J$247:J$250,$A290)</f>
        <v>640.98057396456318</v>
      </c>
      <c r="K290" s="1"/>
      <c r="L290" s="1">
        <f t="shared" si="2"/>
        <v>82.928107961541855</v>
      </c>
      <c r="M290" s="42">
        <f t="shared" si="3"/>
        <v>0.12151624405223489</v>
      </c>
    </row>
    <row r="291" spans="1:13" x14ac:dyDescent="0.25">
      <c r="A291" s="1">
        <v>775</v>
      </c>
      <c r="B291" s="2" cm="1">
        <f t="array" ref="B291">TrajectoryToComeUp(B$247:B$250,$A291)</f>
        <v>10.632788380321225</v>
      </c>
      <c r="C291" s="2" cm="1">
        <f t="array" ref="C291">TrajectoryToComeUp(C$247:C$250,$A291)</f>
        <v>9.8554093945604375</v>
      </c>
      <c r="D291" s="2" cm="1">
        <f t="array" ref="D291">TrajectoryToComeUp(D$247:D$250,$A291)</f>
        <v>10.165694928310314</v>
      </c>
      <c r="E291" s="2" cm="1">
        <f t="array" ref="E291">TrajectoryToComeUp(E$247:E$250,$A291)</f>
        <v>9.4017918776365494</v>
      </c>
      <c r="F291" s="2" cm="1">
        <f t="array" ref="F291">TrajectoryToComeUp(F$247:F$250,$A291)</f>
        <v>8.4021307194734831</v>
      </c>
      <c r="G291" s="2" cm="1">
        <f t="array" ref="G291">TrajectoryToComeUp(G$247:G$250,$A291)</f>
        <v>7.7930021421707787</v>
      </c>
      <c r="H291" s="2" cm="1">
        <f t="array" ref="H291">TrajectoryToComeUp(H$247:H$250,$A291)</f>
        <v>6.1488066767527858</v>
      </c>
      <c r="I291" s="2" cm="1">
        <f t="array" ref="I291">EvaluatePolynomial(I$247:I$250,$A291)</f>
        <v>709.2224229122661</v>
      </c>
      <c r="J291" s="2" cm="1">
        <f t="array" ref="J291">EvaluatePolynomial(J$247:J$250,$A291)</f>
        <v>605.79789394435591</v>
      </c>
      <c r="K291" s="1"/>
      <c r="L291" s="1">
        <f t="shared" si="2"/>
        <v>103.42452896791019</v>
      </c>
      <c r="M291" s="42">
        <f t="shared" si="3"/>
        <v>0.15729723357450862</v>
      </c>
    </row>
    <row r="292" spans="1:13" x14ac:dyDescent="0.25">
      <c r="A292" s="1">
        <v>800</v>
      </c>
      <c r="B292" s="2" cm="1">
        <f t="array" ref="B292">TrajectoryToComeUp(B$247:B$250,$A292)</f>
        <v>11.289794806448095</v>
      </c>
      <c r="C292" s="2" cm="1">
        <f t="array" ref="C292">TrajectoryToComeUp(C$247:C$250,$A292)</f>
        <v>10.379529790662394</v>
      </c>
      <c r="D292" s="2" cm="1">
        <f t="array" ref="D292">TrajectoryToComeUp(D$247:D$250,$A292)</f>
        <v>10.792250315524578</v>
      </c>
      <c r="E292" s="2" cm="1">
        <f t="array" ref="E292">TrajectoryToComeUp(E$247:E$250,$A292)</f>
        <v>10.005944067505226</v>
      </c>
      <c r="F292" s="2" cm="1">
        <f t="array" ref="F292">TrajectoryToComeUp(F$247:F$250,$A292)</f>
        <v>9.0063799690778872</v>
      </c>
      <c r="G292" s="2" cm="1">
        <f t="array" ref="G292">TrajectoryToComeUp(G$247:G$250,$A292)</f>
        <v>8.4738009410458499</v>
      </c>
      <c r="H292" s="2" cm="1">
        <f t="array" ref="H292">TrajectoryToComeUp(H$247:H$250,$A292)</f>
        <v>6.8229887471362707</v>
      </c>
      <c r="I292" s="2" cm="1">
        <f t="array" ref="I292">EvaluatePolynomial(I$247:I$250,$A292)</f>
        <v>700.81161948252463</v>
      </c>
      <c r="J292" s="2" cm="1">
        <f t="array" ref="J292">EvaluatePolynomial(J$247:J$250,$A292)</f>
        <v>574.44562493190585</v>
      </c>
      <c r="K292" s="1"/>
      <c r="L292" s="1">
        <f t="shared" si="2"/>
        <v>126.36599455061878</v>
      </c>
      <c r="M292" s="42">
        <f t="shared" si="3"/>
        <v>0.19818118282267544</v>
      </c>
    </row>
    <row r="293" spans="1:13" x14ac:dyDescent="0.25">
      <c r="A293" s="1">
        <v>825</v>
      </c>
      <c r="B293" s="2" cm="1">
        <f t="array" ref="B293">TrajectoryToComeUp(B$247:B$250,$A293)</f>
        <v>11.963555618570993</v>
      </c>
      <c r="C293" s="2" cm="1">
        <f t="array" ref="C293">TrajectoryToComeUp(C$247:C$250,$A293)</f>
        <v>10.91354684898247</v>
      </c>
      <c r="D293" s="2" cm="1">
        <f t="array" ref="D293">TrajectoryToComeUp(D$247:D$250,$A293)</f>
        <v>11.435088242553173</v>
      </c>
      <c r="E293" s="2" cm="1">
        <f t="array" ref="E293">TrajectoryToComeUp(E$247:E$250,$A293)</f>
        <v>10.62583767284803</v>
      </c>
      <c r="F293" s="2" cm="1">
        <f t="array" ref="F293">TrajectoryToComeUp(F$247:F$250,$A293)</f>
        <v>9.6264598156377712</v>
      </c>
      <c r="G293" s="2" cm="1">
        <f t="array" ref="G293">TrajectoryToComeUp(G$247:G$250,$A293)</f>
        <v>9.1745248381367155</v>
      </c>
      <c r="H293" s="2" cm="1">
        <f t="array" ref="H293">TrajectoryToComeUp(H$247:H$250,$A293)</f>
        <v>7.5165393037128778</v>
      </c>
      <c r="I293" s="2" cm="1">
        <f t="array" ref="I293">EvaluatePolynomial(I$247:I$250,$A293)</f>
        <v>698.53668276002304</v>
      </c>
      <c r="J293" s="2" cm="1">
        <f t="array" ref="J293">EvaluatePolynomial(J$247:J$250,$A293)</f>
        <v>546.66702328946087</v>
      </c>
      <c r="K293" s="1"/>
      <c r="L293" s="1">
        <f t="shared" si="2"/>
        <v>151.86965947056217</v>
      </c>
      <c r="M293" s="42">
        <f t="shared" si="3"/>
        <v>0.24392741321399009</v>
      </c>
    </row>
    <row r="294" spans="1:13" x14ac:dyDescent="0.25">
      <c r="A294" s="1">
        <v>850</v>
      </c>
      <c r="B294" s="2" cm="1">
        <f t="array" ref="B294">TrajectoryToComeUp(B$247:B$250,$A294)</f>
        <v>12.654059041057149</v>
      </c>
      <c r="C294" s="2" cm="1">
        <f t="array" ref="C294">TrajectoryToComeUp(C$247:C$250,$A294)</f>
        <v>11.457446383709817</v>
      </c>
      <c r="D294" s="2" cm="1">
        <f t="array" ref="D294">TrajectoryToComeUp(D$247:D$250,$A294)</f>
        <v>12.094198689323967</v>
      </c>
      <c r="E294" s="2" cm="1">
        <f t="array" ref="E294">TrajectoryToComeUp(E$247:E$250,$A294)</f>
        <v>11.261462446555797</v>
      </c>
      <c r="F294" s="2" cm="1">
        <f t="array" ref="F294">TrajectoryToComeUp(F$247:F$250,$A294)</f>
        <v>10.262359876149718</v>
      </c>
      <c r="G294" s="2" cm="1">
        <f t="array" ref="G294">TrajectoryToComeUp(G$247:G$250,$A294)</f>
        <v>9.8951649479696879</v>
      </c>
      <c r="H294" s="2" cm="1">
        <f t="array" ref="H294">TrajectoryToComeUp(H$247:H$250,$A294)</f>
        <v>8.2294491760694566</v>
      </c>
      <c r="I294" s="2" cm="1">
        <f t="array" ref="I294">EvaluatePolynomial(I$247:I$250,$A294)</f>
        <v>702.2580238679036</v>
      </c>
      <c r="J294" s="2" cm="1">
        <f t="array" ref="J294">EvaluatePolynomial(J$247:J$250,$A294)</f>
        <v>522.2053453792729</v>
      </c>
      <c r="K294" s="1"/>
      <c r="L294" s="1">
        <f t="shared" si="2"/>
        <v>180.0526784886307</v>
      </c>
      <c r="M294" s="42">
        <f t="shared" si="3"/>
        <v>0.29409238856909298</v>
      </c>
    </row>
    <row r="295" spans="1:13" x14ac:dyDescent="0.25">
      <c r="A295" s="1">
        <v>875</v>
      </c>
      <c r="B295" s="2" cm="1">
        <f t="array" ref="B295">TrajectoryToComeUp(B$247:B$250,$A295)</f>
        <v>13.361294644060402</v>
      </c>
      <c r="C295" s="2" cm="1">
        <f t="array" ref="C295">TrajectoryToComeUp(C$247:C$250,$A295)</f>
        <v>12.0112158302691</v>
      </c>
      <c r="D295" s="2" cm="1">
        <f t="array" ref="D295">TrajectoryToComeUp(D$247:D$250,$A295)</f>
        <v>12.769572780915951</v>
      </c>
      <c r="E295" s="2" cm="1">
        <f t="array" ref="E295">TrajectoryToComeUp(E$247:E$250,$A295)</f>
        <v>11.912809312617552</v>
      </c>
      <c r="F295" s="2" cm="1">
        <f t="array" ref="F295">TrajectoryToComeUp(F$247:F$250,$A295)</f>
        <v>10.914070954239275</v>
      </c>
      <c r="G295" s="2" cm="1">
        <f t="array" ref="G295">TrajectoryToComeUp(G$247:G$250,$A295)</f>
        <v>10.635713400553783</v>
      </c>
      <c r="H295" s="2" cm="1">
        <f t="array" ref="H295">TrajectoryToComeUp(H$247:H$250,$A295)</f>
        <v>8.961710241840068</v>
      </c>
      <c r="I295" s="2" cm="1">
        <f t="array" ref="I295">EvaluatePolynomial(I$247:I$250,$A295)</f>
        <v>711.83605392930633</v>
      </c>
      <c r="J295" s="2" cm="1">
        <f t="array" ref="J295">EvaluatePolynomial(J$247:J$250,$A295)</f>
        <v>500.80384756358904</v>
      </c>
      <c r="K295" s="1"/>
      <c r="L295" s="1">
        <f t="shared" si="2"/>
        <v>211.03220636571729</v>
      </c>
      <c r="M295" s="42">
        <f t="shared" si="3"/>
        <v>0.34805420159094719</v>
      </c>
    </row>
    <row r="296" spans="1:13" x14ac:dyDescent="0.25">
      <c r="A296" s="1">
        <v>900</v>
      </c>
      <c r="B296" s="2" cm="1">
        <f t="array" ref="B296">TrajectoryToComeUp(B$247:B$250,$A296)</f>
        <v>14.08525315660637</v>
      </c>
      <c r="C296" s="2" cm="1">
        <f t="array" ref="C296">TrajectoryToComeUp(C$247:C$250,$A296)</f>
        <v>12.574844020148916</v>
      </c>
      <c r="D296" s="2" cm="1">
        <f t="array" ref="D296">TrajectoryToComeUp(D$247:D$250,$A296)</f>
        <v>13.461202628510431</v>
      </c>
      <c r="E296" s="2" cm="1">
        <f t="array" ref="E296">TrajectoryToComeUp(E$247:E$250,$A296)</f>
        <v>12.579870203467985</v>
      </c>
      <c r="F296" s="2" cm="1">
        <f t="array" ref="F296">TrajectoryToComeUp(F$247:F$250,$A296)</f>
        <v>11.581584875351375</v>
      </c>
      <c r="G296" s="2" cm="1">
        <f t="array" ref="G296">TrajectoryToComeUp(G$247:G$250,$A296)</f>
        <v>11.396163200341462</v>
      </c>
      <c r="H296" s="2" cm="1">
        <f t="array" ref="H296">TrajectoryToComeUp(H$247:H$250,$A296)</f>
        <v>9.713315281143883</v>
      </c>
      <c r="I296" s="2" cm="1">
        <f t="array" ref="I296">EvaluatePolynomial(I$247:I$250,$A296)</f>
        <v>727.13118406737453</v>
      </c>
      <c r="J296" s="2" cm="1">
        <f t="array" ref="J296">EvaluatePolynomial(J$247:J$250,$A296)</f>
        <v>482.20578620466108</v>
      </c>
      <c r="K296" s="1"/>
      <c r="L296" s="1">
        <f t="shared" si="2"/>
        <v>244.92539786271345</v>
      </c>
      <c r="M296" s="42">
        <f t="shared" si="3"/>
        <v>0.40505732295212715</v>
      </c>
    </row>
    <row r="297" spans="1:13" x14ac:dyDescent="0.25">
      <c r="A297" s="1">
        <v>925</v>
      </c>
      <c r="B297" s="2" cm="1">
        <f t="array" ref="B297">TrajectoryToComeUp(B$247:B$250,$A297)</f>
        <v>14.825926309988191</v>
      </c>
      <c r="C297" s="2" cm="1">
        <f t="array" ref="C297">TrajectoryToComeUp(C$247:C$250,$A297)</f>
        <v>13.148320992244498</v>
      </c>
      <c r="D297" s="2" cm="1">
        <f t="array" ref="D297">TrajectoryToComeUp(D$247:D$250,$A297)</f>
        <v>14.169081196133986</v>
      </c>
      <c r="E297" s="2" cm="1">
        <f t="array" ref="E297">TrajectoryToComeUp(E$247:E$250,$A297)</f>
        <v>13.26263792371101</v>
      </c>
      <c r="F297" s="2" cm="1">
        <f t="array" ref="F297">TrajectoryToComeUp(F$247:F$250,$A297)</f>
        <v>12.264894348666628</v>
      </c>
      <c r="G297" s="2" cm="1">
        <f t="array" ref="G297">TrajectoryToComeUp(G$247:G$250,$A297)</f>
        <v>12.176508108060586</v>
      </c>
      <c r="H297" s="2" cm="1">
        <f t="array" ref="H297">TrajectoryToComeUp(H$247:H$250,$A297)</f>
        <v>10.484257854627725</v>
      </c>
      <c r="I297" s="2" cm="1">
        <f t="array" ref="I297">EvaluatePolynomial(I$247:I$250,$A297)</f>
        <v>748.00382540524981</v>
      </c>
      <c r="J297" s="2" cm="1">
        <f t="array" ref="J297">EvaluatePolynomial(J$247:J$250,$A297)</f>
        <v>466.15441766473629</v>
      </c>
      <c r="K297" s="1"/>
      <c r="L297" s="1">
        <f t="shared" si="2"/>
        <v>281.84940774051353</v>
      </c>
      <c r="M297" s="42">
        <f t="shared" si="3"/>
        <v>0.46427129140574019</v>
      </c>
    </row>
    <row r="298" spans="1:13" x14ac:dyDescent="0.25">
      <c r="A298" s="1">
        <v>950</v>
      </c>
      <c r="B298" s="2" cm="1">
        <f t="array" ref="B298">TrajectoryToComeUp(B$247:B$250,$A298)</f>
        <v>15.583306705889182</v>
      </c>
      <c r="C298" s="2" cm="1">
        <f t="array" ref="C298">TrajectoryToComeUp(C$247:C$250,$A298)</f>
        <v>13.731637833988424</v>
      </c>
      <c r="D298" s="2" cm="1">
        <f t="array" ref="D298">TrajectoryToComeUp(D$247:D$250,$A298)</f>
        <v>14.893202188441977</v>
      </c>
      <c r="E298" s="2" cm="1">
        <f t="array" ref="E298">TrajectoryToComeUp(E$247:E$250,$A298)</f>
        <v>13.961106035360647</v>
      </c>
      <c r="F298" s="2" cm="1">
        <f t="array" ref="F298">TrajectoryToComeUp(F$247:F$250,$A298)</f>
        <v>12.963992850820325</v>
      </c>
      <c r="G298" s="2" cm="1">
        <f t="array" ref="G298">TrajectoryToComeUp(G$247:G$250,$A298)</f>
        <v>12.976742541204514</v>
      </c>
      <c r="H298" s="2" cm="1">
        <f t="array" ref="H298">TrajectoryToComeUp(H$247:H$250,$A298)</f>
        <v>11.274532200765062</v>
      </c>
      <c r="I298" s="2" cm="1">
        <f t="array" ref="I298">EvaluatePolynomial(I$247:I$250,$A298)</f>
        <v>774.31438906607309</v>
      </c>
      <c r="J298" s="2" cm="1">
        <f t="array" ref="J298">EvaluatePolynomial(J$247:J$250,$A298)</f>
        <v>452.39299830606569</v>
      </c>
      <c r="K298" s="1"/>
      <c r="L298" s="1">
        <f t="shared" si="2"/>
        <v>321.9213907600074</v>
      </c>
      <c r="M298" s="42">
        <f t="shared" si="3"/>
        <v>0.52485440957460883</v>
      </c>
    </row>
    <row r="299" spans="1:13" x14ac:dyDescent="0.25">
      <c r="A299" s="1">
        <v>975</v>
      </c>
      <c r="B299" s="2" cm="1">
        <f t="array" ref="B299">TrajectoryToComeUp(B$247:B$250,$A299)</f>
        <v>16.357387704794387</v>
      </c>
      <c r="C299" s="2" cm="1">
        <f t="array" ref="C299">TrajectoryToComeUp(C$247:C$250,$A299)</f>
        <v>14.324786546922756</v>
      </c>
      <c r="D299" s="2" cm="1">
        <f t="array" ref="D299">TrajectoryToComeUp(D$247:D$250,$A299)</f>
        <v>15.633559955766133</v>
      </c>
      <c r="E299" s="2" cm="1">
        <f t="array" ref="E299">TrajectoryToComeUp(E$247:E$250,$A299)</f>
        <v>14.675268760737179</v>
      </c>
      <c r="F299" s="2" cm="1">
        <f t="array" ref="F299">TrajectoryToComeUp(F$247:F$250,$A299)</f>
        <v>13.678874527510798</v>
      </c>
      <c r="G299" s="2" cm="1">
        <f t="array" ref="G299">TrajectoryToComeUp(G$247:G$250,$A299)</f>
        <v>13.796861489831393</v>
      </c>
      <c r="H299" s="2" cm="1">
        <f t="array" ref="H299">TrajectoryToComeUp(H$247:H$250,$A299)</f>
        <v>12.084133148955177</v>
      </c>
      <c r="I299" s="2" cm="1">
        <f t="array" ref="I299">EvaluatePolynomial(I$247:I$250,$A299)</f>
        <v>805.92328617298585</v>
      </c>
      <c r="J299" s="2" cm="1">
        <f t="array" ref="J299">EvaluatePolynomial(J$247:J$250,$A299)</f>
        <v>440.66478449089794</v>
      </c>
      <c r="K299" s="1"/>
      <c r="L299" s="1">
        <f t="shared" si="2"/>
        <v>365.25850168208791</v>
      </c>
      <c r="M299" s="42">
        <f t="shared" si="3"/>
        <v>0.58601315106050322</v>
      </c>
    </row>
    <row r="300" spans="1:13" x14ac:dyDescent="0.25">
      <c r="A300" s="1">
        <v>1000</v>
      </c>
      <c r="B300" s="2" cm="1">
        <f t="array" ref="B300">TrajectoryToComeUp(B$247:B$250,$A300)</f>
        <v>17.148163331140328</v>
      </c>
      <c r="C300" s="2" cm="1">
        <f t="array" ref="C300">TrajectoryToComeUp(C$247:C$250,$A300)</f>
        <v>14.92775993243534</v>
      </c>
      <c r="D300" s="2" cm="1">
        <f t="array" ref="D300">TrajectoryToComeUp(D$247:D$250,$A300)</f>
        <v>16.390149413405013</v>
      </c>
      <c r="E300" s="2" cm="1">
        <f t="array" ref="E300">TrajectoryToComeUp(E$247:E$250,$A300)</f>
        <v>15.405120899928859</v>
      </c>
      <c r="F300" s="2" cm="1">
        <f t="array" ref="F300">TrajectoryToComeUp(F$247:F$250,$A300)</f>
        <v>14.409534109866547</v>
      </c>
      <c r="G300" s="2" cm="1">
        <f t="array" ref="G300">TrajectoryToComeUp(G$247:G$250,$A300)</f>
        <v>14.636860444993543</v>
      </c>
      <c r="H300" s="2" cm="1">
        <f t="array" ref="H300">TrajectoryToComeUp(H$247:H$250,$A300)</f>
        <v>12.913056045657408</v>
      </c>
      <c r="I300" s="2" cm="1">
        <f t="array" ref="I300">EvaluatePolynomial(I$247:I$250,$A300)</f>
        <v>842.69092784912971</v>
      </c>
      <c r="J300" s="2" cm="1">
        <f t="array" ref="J300">EvaluatePolynomial(J$247:J$250,$A300)</f>
        <v>430.71303258148259</v>
      </c>
      <c r="K300" s="1"/>
      <c r="L300" s="1">
        <f t="shared" si="2"/>
        <v>411.97789526764711</v>
      </c>
      <c r="M300" s="42">
        <f t="shared" si="3"/>
        <v>0.64704980991002004</v>
      </c>
    </row>
  </sheetData>
  <mergeCells count="8">
    <mergeCell ref="Q16:R16"/>
    <mergeCell ref="B256:H256"/>
    <mergeCell ref="I256:K256"/>
    <mergeCell ref="F1:I1"/>
    <mergeCell ref="C20:G20"/>
    <mergeCell ref="J20:N20"/>
    <mergeCell ref="B255:H255"/>
    <mergeCell ref="L255:O255"/>
  </mergeCells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74D47-F432-4863-9EF4-99AB69591884}">
  <sheetPr codeName="Sheet2"/>
  <dimension ref="A1:S280"/>
  <sheetViews>
    <sheetView topLeftCell="C1" workbookViewId="0">
      <selection activeCell="Q16" sqref="Q16:R18"/>
    </sheetView>
  </sheetViews>
  <sheetFormatPr defaultRowHeight="15" x14ac:dyDescent="0.25"/>
  <cols>
    <col min="1" max="1" width="34.5703125" customWidth="1"/>
    <col min="2" max="2" width="26.28515625" customWidth="1"/>
    <col min="3" max="3" width="21.5703125" customWidth="1"/>
    <col min="4" max="4" width="16.42578125" customWidth="1"/>
    <col min="5" max="5" width="15.140625" customWidth="1"/>
    <col min="6" max="6" width="22.4257812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5" width="16.140625" customWidth="1"/>
    <col min="16" max="16" width="22.5703125" customWidth="1"/>
    <col min="17" max="17" width="19.5703125" customWidth="1"/>
    <col min="18" max="18" width="14.28515625" customWidth="1"/>
    <col min="19" max="19" width="15.140625" customWidth="1"/>
    <col min="20" max="20" width="17" customWidth="1"/>
  </cols>
  <sheetData>
    <row r="1" spans="1:18" x14ac:dyDescent="0.25">
      <c r="A1" t="s">
        <v>18</v>
      </c>
      <c r="B1" t="s">
        <v>32</v>
      </c>
      <c r="C1" t="s">
        <v>38</v>
      </c>
      <c r="D1" t="s">
        <v>29</v>
      </c>
      <c r="F1" s="59" t="s">
        <v>68</v>
      </c>
      <c r="G1" s="59"/>
      <c r="H1" s="59"/>
      <c r="I1" s="59"/>
    </row>
    <row r="2" spans="1:18" x14ac:dyDescent="0.25">
      <c r="A2" t="s">
        <v>20</v>
      </c>
      <c r="B2" s="2">
        <v>150</v>
      </c>
      <c r="C2" s="2">
        <f>CONVERT($B$2,"grain","g")</f>
        <v>9.7198364999999995</v>
      </c>
      <c r="F2" t="s">
        <v>69</v>
      </c>
      <c r="G2" s="2">
        <v>150</v>
      </c>
      <c r="H2" s="2">
        <f>CONVERT($G$2,"grain","g")</f>
        <v>9.7198364999999995</v>
      </c>
    </row>
    <row r="3" spans="1:18" x14ac:dyDescent="0.25">
      <c r="A3" t="s">
        <v>0</v>
      </c>
      <c r="B3" s="2">
        <v>0.308</v>
      </c>
      <c r="C3" s="2">
        <f>CONVERT($B$3,"in","cm")</f>
        <v>0.78232000000000002</v>
      </c>
      <c r="F3" t="s">
        <v>70</v>
      </c>
      <c r="G3" s="2">
        <v>0.26400000000000001</v>
      </c>
      <c r="H3" s="2">
        <f>CONVERT($G$3,"in","mm")</f>
        <v>6.7055999999999996</v>
      </c>
    </row>
    <row r="4" spans="1:18" x14ac:dyDescent="0.25">
      <c r="A4" t="s">
        <v>11</v>
      </c>
      <c r="B4" s="2">
        <v>0.38900000000000001</v>
      </c>
      <c r="C4" s="2"/>
      <c r="F4" t="s">
        <v>11</v>
      </c>
      <c r="G4" s="2"/>
      <c r="H4" s="2"/>
    </row>
    <row r="5" spans="1:18" x14ac:dyDescent="0.25">
      <c r="A5" t="s">
        <v>21</v>
      </c>
      <c r="B5" s="2">
        <v>0.38900000000000001</v>
      </c>
      <c r="C5" s="2"/>
      <c r="F5" t="s">
        <v>21</v>
      </c>
      <c r="G5" s="2">
        <v>0.38900000000000001</v>
      </c>
      <c r="H5" s="2"/>
    </row>
    <row r="6" spans="1:18" x14ac:dyDescent="0.25">
      <c r="A6" t="s">
        <v>22</v>
      </c>
      <c r="B6" s="2">
        <v>4481</v>
      </c>
      <c r="C6" s="2">
        <f>CONVERT($B$6,"J","flb")</f>
        <v>3305.0159909114263</v>
      </c>
      <c r="F6" t="s">
        <v>72</v>
      </c>
      <c r="G6" s="2">
        <f>CONVERT($H$6,"J","flb")</f>
        <v>2723.8900716787653</v>
      </c>
      <c r="H6" s="2">
        <f>($C$2/1000)*$H$7*$H$7/2</f>
        <v>3693.099048463775</v>
      </c>
    </row>
    <row r="7" spans="1:18" x14ac:dyDescent="0.25">
      <c r="A7" t="s">
        <v>19</v>
      </c>
      <c r="B7" s="2">
        <f xml:space="preserve"> SQRT(2*$B$6/(CONVERT($B$2,"grain","g")/1000))</f>
        <v>960.22495822267649</v>
      </c>
      <c r="C7" s="2">
        <f>CONVERT($B$7,"m","ft")</f>
        <v>3150.3443511242667</v>
      </c>
      <c r="F7" t="s">
        <v>73</v>
      </c>
      <c r="G7" s="2">
        <v>2860</v>
      </c>
      <c r="H7" s="2">
        <f>CONVERT($G$7,"ft","m")</f>
        <v>871.72799999999995</v>
      </c>
    </row>
    <row r="8" spans="1:18" x14ac:dyDescent="0.25">
      <c r="A8" t="s">
        <v>1</v>
      </c>
      <c r="B8" s="2">
        <v>0</v>
      </c>
      <c r="C8" s="2"/>
    </row>
    <row r="9" spans="1:18" x14ac:dyDescent="0.25">
      <c r="A9" t="s">
        <v>2</v>
      </c>
      <c r="B9" s="2">
        <v>8.8000000000000007</v>
      </c>
      <c r="C9" s="2">
        <f>CONVERT($B$9,"m/sec","km/hr")</f>
        <v>31.680000000000003</v>
      </c>
    </row>
    <row r="10" spans="1:18" x14ac:dyDescent="0.25">
      <c r="A10" t="s">
        <v>3</v>
      </c>
      <c r="B10" s="2">
        <v>200</v>
      </c>
      <c r="C10" s="2"/>
    </row>
    <row r="11" spans="1:18" x14ac:dyDescent="0.25">
      <c r="A11" s="32" t="s">
        <v>56</v>
      </c>
      <c r="B11" s="2">
        <v>0.5</v>
      </c>
      <c r="C11" s="33"/>
    </row>
    <row r="12" spans="1:18" x14ac:dyDescent="0.25">
      <c r="A12" s="32" t="s">
        <v>57</v>
      </c>
      <c r="B12" s="2" cm="1">
        <f t="array" ref="B12">MOAToMRAD($B$11)</f>
        <v>0.14544410433286079</v>
      </c>
      <c r="C12" s="33">
        <f>$B$12/2</f>
        <v>7.2722052166430393E-2</v>
      </c>
    </row>
    <row r="13" spans="1:18" x14ac:dyDescent="0.25">
      <c r="A13" s="32" t="s">
        <v>26</v>
      </c>
      <c r="B13" s="2">
        <f>CONVERT(1.5,"in","cm")</f>
        <v>3.81</v>
      </c>
      <c r="D13" s="2">
        <f>CONVERT($B$13,"cm","in")</f>
        <v>1.5</v>
      </c>
    </row>
    <row r="14" spans="1:18" x14ac:dyDescent="0.25">
      <c r="A14" s="32" t="s">
        <v>5</v>
      </c>
      <c r="B14" t="s">
        <v>58</v>
      </c>
    </row>
    <row r="15" spans="1:18" x14ac:dyDescent="0.25">
      <c r="A15" t="s">
        <v>59</v>
      </c>
      <c r="B15" s="31" t="s">
        <v>60</v>
      </c>
      <c r="C15" s="31" t="s">
        <v>61</v>
      </c>
      <c r="D15" s="31" t="s">
        <v>62</v>
      </c>
      <c r="E15" s="31" t="s">
        <v>63</v>
      </c>
    </row>
    <row r="16" spans="1:18" x14ac:dyDescent="0.25">
      <c r="A16" s="32" t="s">
        <v>64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  <c r="Q16" s="58" t="s">
        <v>116</v>
      </c>
      <c r="R16" s="58"/>
    </row>
    <row r="17" spans="1:18" x14ac:dyDescent="0.25">
      <c r="A17" s="32" t="s">
        <v>65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  <c r="Q17" s="43" t="s">
        <v>117</v>
      </c>
      <c r="R17" s="43" t="s">
        <v>118</v>
      </c>
    </row>
    <row r="18" spans="1:18" x14ac:dyDescent="0.25">
      <c r="A18" s="11" t="s">
        <v>66</v>
      </c>
      <c r="B18" s="12">
        <f>$B$12/$B$17</f>
        <v>0.58177641733144314</v>
      </c>
      <c r="C18" s="2"/>
      <c r="J18" s="2">
        <v>4.25</v>
      </c>
      <c r="K18" s="2">
        <v>4</v>
      </c>
      <c r="L18" s="2">
        <v>4.25</v>
      </c>
      <c r="M18" s="2">
        <v>4</v>
      </c>
      <c r="N18" s="2">
        <v>4</v>
      </c>
      <c r="O18" s="2">
        <v>4</v>
      </c>
      <c r="P18" s="2">
        <v>4</v>
      </c>
      <c r="Q18" s="2">
        <f>AVERAGE(J18:P18)</f>
        <v>4.0714285714285712</v>
      </c>
      <c r="R18" s="2">
        <f>_xlfn.STDEV.S(J18:P18)</f>
        <v>0.12198750911856665</v>
      </c>
    </row>
    <row r="19" spans="1:18" x14ac:dyDescent="0.25">
      <c r="A19" s="34" t="s">
        <v>67</v>
      </c>
      <c r="B19" s="35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18" x14ac:dyDescent="0.25">
      <c r="C20" s="61" t="s">
        <v>24</v>
      </c>
      <c r="D20" s="61"/>
      <c r="E20" s="61"/>
      <c r="F20" s="61"/>
      <c r="G20" s="61"/>
      <c r="H20" s="13"/>
      <c r="I20" s="13"/>
      <c r="J20" s="61" t="s">
        <v>25</v>
      </c>
      <c r="K20" s="61"/>
      <c r="L20" s="61"/>
      <c r="M20" s="61"/>
      <c r="N20" s="61"/>
      <c r="O20" s="13"/>
      <c r="P20" s="13"/>
      <c r="Q20" s="36" t="s">
        <v>30</v>
      </c>
    </row>
    <row r="21" spans="1:18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34</v>
      </c>
      <c r="I21" t="s">
        <v>35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34</v>
      </c>
      <c r="P21" s="37" t="s">
        <v>35</v>
      </c>
      <c r="Q21" s="36" t="s">
        <v>31</v>
      </c>
    </row>
    <row r="22" spans="1:18" x14ac:dyDescent="0.25">
      <c r="A22" s="1">
        <v>0</v>
      </c>
      <c r="B22" s="1">
        <v>4480.1000000000004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8">
        <f t="shared" si="1"/>
        <v>-3.81</v>
      </c>
      <c r="Q22" s="39">
        <v>0</v>
      </c>
    </row>
    <row r="23" spans="1:18" x14ac:dyDescent="0.25">
      <c r="A23" s="1">
        <v>25</v>
      </c>
      <c r="B23" s="1">
        <v>4396.7</v>
      </c>
      <c r="C23" s="6">
        <v>-0.25</v>
      </c>
      <c r="D23" s="6">
        <v>-0.375</v>
      </c>
      <c r="E23" s="6">
        <v>-0.3</v>
      </c>
      <c r="F23" s="6">
        <v>-0.27500000000000002</v>
      </c>
      <c r="G23" s="6">
        <v>-0.17499999999999999</v>
      </c>
      <c r="H23" s="6">
        <v>0</v>
      </c>
      <c r="I23" s="14">
        <v>0.1875</v>
      </c>
      <c r="J23" s="9" cm="1">
        <f t="array" ref="J23">TrajectoryDropInCM(C23,$A23,J$18)</f>
        <v>-2.65625099955286</v>
      </c>
      <c r="K23" s="9" cm="1">
        <f t="array" ref="K23">TrajectoryDropInCM(D23,$A23,K$18)</f>
        <v>-3.7500028125025313</v>
      </c>
      <c r="L23" s="9" cm="1">
        <f t="array" ref="L23">TrajectoryDropInCM(E23,$A23,L$18)</f>
        <v>-3.1875017272276853</v>
      </c>
      <c r="M23" s="9" cm="1">
        <f t="array" ref="M23">TrajectoryDropInCM(F23,$A23,M$18)</f>
        <v>-2.7500011091672039</v>
      </c>
      <c r="N23" s="9" cm="1">
        <f t="array" ref="N23">TrajectoryDropInCM(G23,$A23,N$18)</f>
        <v>-1.7500002858333894</v>
      </c>
      <c r="O23" s="9" cm="1">
        <f t="array" ref="O23">TrajectoryDropInCM(H23,$A23,O$18)</f>
        <v>0</v>
      </c>
      <c r="P23" s="40" cm="1">
        <f t="array" ref="P23">TrajectoryDropInCM(I23,$A23,P$18)</f>
        <v>1.8750003515625793</v>
      </c>
      <c r="Q23" s="39" cm="1">
        <f t="array" ref="Q23">TrajectoryErrorCM($E$19,1,$A23)</f>
        <v>0.37561137059069255</v>
      </c>
    </row>
    <row r="24" spans="1:18" x14ac:dyDescent="0.25">
      <c r="A24" s="1">
        <v>50</v>
      </c>
      <c r="B24" s="1">
        <v>4306.3</v>
      </c>
      <c r="C24" s="7">
        <v>0</v>
      </c>
      <c r="D24" s="6">
        <v>-7.4999999999999997E-2</v>
      </c>
      <c r="E24" s="6">
        <v>-6.25E-2</v>
      </c>
      <c r="F24" s="6">
        <v>0</v>
      </c>
      <c r="G24" s="6">
        <v>0.125</v>
      </c>
      <c r="H24" s="6">
        <v>0.26500000000000001</v>
      </c>
      <c r="I24" s="14">
        <v>0.48499999999999999</v>
      </c>
      <c r="J24" s="9" cm="1">
        <f t="array" ref="J24">TrajectoryDropInCM(C24,$A24,J$18)</f>
        <v>0</v>
      </c>
      <c r="K24" s="9" cm="1">
        <f t="array" ref="K24">TrajectoryDropInCM(D24,$A24,K$18)</f>
        <v>-1.5000000450000013</v>
      </c>
      <c r="L24" s="9" cm="1">
        <f t="array" ref="L24">TrajectoryDropInCM(E24,$A24,L$18)</f>
        <v>-1.3281250312360138</v>
      </c>
      <c r="M24" s="9" cm="1">
        <f t="array" ref="M24">TrajectoryDropInCM(F24,$A24,M$18)</f>
        <v>0</v>
      </c>
      <c r="N24" s="9" cm="1">
        <f t="array" ref="N24">TrajectoryDropInCM(G24,$A24,N$18)</f>
        <v>2.5000002083333537</v>
      </c>
      <c r="O24" s="9" cm="1">
        <f t="array" ref="O24">TrajectoryDropInCM(H24,$A24,O$18)</f>
        <v>5.300001985027559</v>
      </c>
      <c r="P24" s="40" cm="1">
        <f t="array" ref="P24">TrajectoryDropInCM(I24,$A24,P$18)</f>
        <v>9.7000121689916519</v>
      </c>
      <c r="Q24" s="39" cm="1">
        <f t="array" ref="Q24">TrajectoryErrorCM($E$19,1,$A24)</f>
        <v>0.7512227411813851</v>
      </c>
    </row>
    <row r="25" spans="1:18" x14ac:dyDescent="0.25">
      <c r="A25" s="1">
        <v>75</v>
      </c>
      <c r="B25" s="1">
        <v>4218.5</v>
      </c>
      <c r="C25" s="6">
        <v>0.1</v>
      </c>
      <c r="D25" s="6">
        <v>0</v>
      </c>
      <c r="E25" s="6">
        <v>0</v>
      </c>
      <c r="F25" s="6">
        <v>0.1</v>
      </c>
      <c r="G25" s="6">
        <v>0.24</v>
      </c>
      <c r="H25" s="6">
        <v>0.375</v>
      </c>
      <c r="I25" s="14">
        <v>0.55000000000000004</v>
      </c>
      <c r="J25" s="9" cm="1">
        <f t="array" ref="J25">TrajectoryDropInCM(C25,$A25,J$18)</f>
        <v>3.1875001919140762</v>
      </c>
      <c r="K25" s="9" cm="1">
        <f t="array" ref="K25">TrajectoryDropInCM(D25,$A25,K$18)</f>
        <v>0</v>
      </c>
      <c r="L25" s="9" cm="1">
        <f t="array" ref="L25">TrajectoryDropInCM(E25,$A25,L$18)</f>
        <v>0</v>
      </c>
      <c r="M25" s="9" cm="1">
        <f t="array" ref="M25">TrajectoryDropInCM(F25,$A25,M$18)</f>
        <v>3.0000001600000106</v>
      </c>
      <c r="N25" s="9" cm="1">
        <f t="array" ref="N25">TrajectoryDropInCM(G25,$A25,N$18)</f>
        <v>7.2000022118408156</v>
      </c>
      <c r="O25" s="9" cm="1">
        <f t="array" ref="O25">TrajectoryDropInCM(H25,$A25,O$18)</f>
        <v>11.250008437507594</v>
      </c>
      <c r="P25" s="40" cm="1">
        <f t="array" ref="P25">TrajectoryDropInCM(I25,$A25,P$18)</f>
        <v>16.500026620051539</v>
      </c>
      <c r="Q25" s="39" cm="1">
        <f t="array" ref="Q25">TrajectoryErrorCM($E$19,1,$A25)</f>
        <v>1.1268341117720777</v>
      </c>
    </row>
    <row r="26" spans="1:18" x14ac:dyDescent="0.25">
      <c r="A26" s="1">
        <v>100</v>
      </c>
      <c r="B26" s="1">
        <v>4115.8999999999996</v>
      </c>
      <c r="C26" s="6">
        <v>0.125</v>
      </c>
      <c r="D26" s="7">
        <v>0</v>
      </c>
      <c r="E26" s="6">
        <v>6.25E-2</v>
      </c>
      <c r="F26" s="6">
        <v>0.125</v>
      </c>
      <c r="G26" s="6">
        <v>0.2485</v>
      </c>
      <c r="H26" s="6">
        <v>0.375</v>
      </c>
      <c r="I26" s="14">
        <v>0.62549999999999994</v>
      </c>
      <c r="J26" s="9" cm="1">
        <f t="array" ref="J26">TrajectoryDropInCM(C26,$A26,J$18)</f>
        <v>5.3125004997762613</v>
      </c>
      <c r="K26" s="9" cm="1">
        <f t="array" ref="K26">TrajectoryDropInCM(D26,$A26,K$18)</f>
        <v>0</v>
      </c>
      <c r="L26" s="9" cm="1">
        <f t="array" ref="L26">TrajectoryDropInCM(E26,$A26,L$18)</f>
        <v>2.6562500624720276</v>
      </c>
      <c r="M26" s="9" cm="1">
        <f t="array" ref="M26">TrajectoryDropInCM(F26,$A26,M$18)</f>
        <v>5.0000004166667074</v>
      </c>
      <c r="N26" s="9" cm="1">
        <f t="array" ref="N26">TrajectoryDropInCM(G26,$A26,N$18)</f>
        <v>9.9400032736939075</v>
      </c>
      <c r="O26" s="9" cm="1">
        <f t="array" ref="O26">TrajectoryDropInCM(H26,$A26,O$18)</f>
        <v>15.000011250010125</v>
      </c>
      <c r="P26" s="40" cm="1">
        <f t="array" ref="P26">TrajectoryDropInCM(I26,$A26,P$18)</f>
        <v>25.020052208564092</v>
      </c>
      <c r="Q26" s="39" cm="1">
        <f t="array" ref="Q26">TrajectoryErrorCM($E$19,1,$A26)</f>
        <v>1.5024454823627702</v>
      </c>
    </row>
    <row r="27" spans="1:18" x14ac:dyDescent="0.25">
      <c r="A27" s="1">
        <v>125</v>
      </c>
      <c r="B27" s="1">
        <v>4032.6</v>
      </c>
      <c r="C27" s="6">
        <v>0.125</v>
      </c>
      <c r="D27" s="6">
        <v>0</v>
      </c>
      <c r="E27" s="6">
        <v>0.05</v>
      </c>
      <c r="F27" s="6">
        <v>0.1</v>
      </c>
      <c r="G27" s="6">
        <v>0.25</v>
      </c>
      <c r="H27" s="6">
        <v>0.375</v>
      </c>
      <c r="I27" s="14">
        <v>0.57499999999999996</v>
      </c>
      <c r="J27" s="9" cm="1">
        <f t="array" ref="J27">TrajectoryDropInCM(C27,$A27,J$18)</f>
        <v>6.640625624720327</v>
      </c>
      <c r="K27" s="9" cm="1">
        <f t="array" ref="K27">TrajectoryDropInCM(D27,$A27,K$18)</f>
        <v>0</v>
      </c>
      <c r="L27" s="9" cm="1">
        <f t="array" ref="L27">TrajectoryDropInCM(E27,$A27,L$18)</f>
        <v>2.6562500399820976</v>
      </c>
      <c r="M27" s="9" cm="1">
        <f t="array" ref="M27">TrajectoryDropInCM(F27,$A27,M$18)</f>
        <v>5.0000002666666834</v>
      </c>
      <c r="N27" s="9" cm="1">
        <f t="array" ref="N27">TrajectoryDropInCM(G27,$A27,N$18)</f>
        <v>12.500004166668335</v>
      </c>
      <c r="O27" s="9" cm="1">
        <f t="array" ref="O27">TrajectoryDropInCM(H27,$A27,O$18)</f>
        <v>18.750014062512658</v>
      </c>
      <c r="P27" s="40" cm="1">
        <f t="array" ref="P27">TrajectoryDropInCM(I27,$A27,P$18)</f>
        <v>28.750050695940605</v>
      </c>
      <c r="Q27" s="39" cm="1">
        <f t="array" ref="Q27">TrajectoryErrorCM($E$19,1,$A27)</f>
        <v>1.8780568529534629</v>
      </c>
    </row>
    <row r="28" spans="1:18" x14ac:dyDescent="0.25">
      <c r="A28" s="1">
        <v>150</v>
      </c>
      <c r="B28" s="1">
        <v>3935.5</v>
      </c>
      <c r="C28" s="6">
        <v>0.125</v>
      </c>
      <c r="D28" s="6">
        <v>0</v>
      </c>
      <c r="E28" s="7">
        <v>0</v>
      </c>
      <c r="F28" s="6">
        <v>0.115</v>
      </c>
      <c r="G28" s="6">
        <v>0.245</v>
      </c>
      <c r="H28" s="6">
        <v>0.36499999999999999</v>
      </c>
      <c r="I28" s="14">
        <v>0.5</v>
      </c>
      <c r="J28" s="9" cm="1">
        <f t="array" ref="J28">TrajectoryDropInCM(C28,$A28,J$18)</f>
        <v>7.9687507496643928</v>
      </c>
      <c r="K28" s="9" cm="1">
        <f t="array" ref="K28">TrajectoryDropInCM(D28,$A28,K$18)</f>
        <v>0</v>
      </c>
      <c r="L28" s="9" cm="1">
        <f t="array" ref="L28">TrajectoryDropInCM(E28,$A28,L$18)</f>
        <v>0</v>
      </c>
      <c r="M28" s="9" cm="1">
        <f t="array" ref="M28">TrajectoryDropInCM(F28,$A28,M$18)</f>
        <v>6.9000004866800415</v>
      </c>
      <c r="N28" s="9" cm="1">
        <f t="array" ref="N28">TrajectoryDropInCM(G28,$A28,N$18)</f>
        <v>14.700004705961808</v>
      </c>
      <c r="O28" s="9" cm="1">
        <f t="array" ref="O28">TrajectoryDropInCM(H28,$A28,O$18)</f>
        <v>21.900015560693266</v>
      </c>
      <c r="P28" s="40" cm="1">
        <f t="array" ref="P28">TrajectoryDropInCM(I28,$A28,P$18)</f>
        <v>30.000040000063997</v>
      </c>
      <c r="Q28" s="39" cm="1">
        <f t="array" ref="Q28">TrajectoryErrorCM($E$19,1,$A28)</f>
        <v>2.2536682235441554</v>
      </c>
    </row>
    <row r="29" spans="1:18" x14ac:dyDescent="0.25">
      <c r="A29" s="1">
        <v>200</v>
      </c>
      <c r="B29" s="1">
        <v>3765.3</v>
      </c>
      <c r="C29" s="6">
        <v>0.1</v>
      </c>
      <c r="D29" s="6">
        <v>-0.1</v>
      </c>
      <c r="E29" s="6">
        <v>-6.25E-2</v>
      </c>
      <c r="F29" s="7">
        <v>0</v>
      </c>
      <c r="G29" s="6">
        <v>0.13500000000000001</v>
      </c>
      <c r="H29" s="6">
        <v>0.26</v>
      </c>
      <c r="I29" s="14">
        <v>0.5</v>
      </c>
      <c r="J29" s="9" cm="1">
        <f t="array" ref="J29">TrajectoryDropInCM(C29,$A29,J$18)</f>
        <v>8.500000511770871</v>
      </c>
      <c r="K29" s="9" cm="1">
        <f t="array" ref="K29">TrajectoryDropInCM(D29,$A29,K$18)</f>
        <v>-8.0000004266666931</v>
      </c>
      <c r="L29" s="9" cm="1">
        <f t="array" ref="L29">TrajectoryDropInCM(E29,$A29,L$18)</f>
        <v>-5.3125001249440551</v>
      </c>
      <c r="M29" s="9" cm="1">
        <f t="array" ref="M29">TrajectoryDropInCM(F29,$A29,M$18)</f>
        <v>0</v>
      </c>
      <c r="N29" s="9" cm="1">
        <f t="array" ref="N29">TrajectoryDropInCM(G29,$A29,N$18)</f>
        <v>10.800001049760123</v>
      </c>
      <c r="O29" s="9" cm="1">
        <f t="array" ref="O29">TrajectoryDropInCM(H29,$A29,O$18)</f>
        <v>20.80000749909658</v>
      </c>
      <c r="P29" s="40" cm="1">
        <f t="array" ref="P29">TrajectoryDropInCM(I29,$A29,P$18)</f>
        <v>40.000053333418663</v>
      </c>
      <c r="Q29" s="39" cm="1">
        <f t="array" ref="Q29">TrajectoryErrorCM($E$19,1,$A29)</f>
        <v>3.0048909647255404</v>
      </c>
    </row>
    <row r="30" spans="1:18" x14ac:dyDescent="0.25">
      <c r="A30" s="1">
        <v>250</v>
      </c>
      <c r="B30" s="1">
        <v>3589.5</v>
      </c>
      <c r="C30" s="6">
        <v>-2.5000000000000001E-2</v>
      </c>
      <c r="D30" s="6">
        <v>-0.1875</v>
      </c>
      <c r="E30" s="6">
        <v>-0.125</v>
      </c>
      <c r="F30" s="6">
        <v>-6.25E-2</v>
      </c>
      <c r="G30" s="6">
        <v>0.125</v>
      </c>
      <c r="H30" s="6">
        <v>0.25</v>
      </c>
      <c r="I30" s="14">
        <v>0.42499999999999999</v>
      </c>
      <c r="J30" s="9" cm="1">
        <f t="array" ref="J30">TrajectoryDropInCM(C30,$A30,J$18)</f>
        <v>-2.656250009995524</v>
      </c>
      <c r="K30" s="9" cm="1">
        <f t="array" ref="K30">TrajectoryDropInCM(D30,$A30,K$18)</f>
        <v>-18.750003515625792</v>
      </c>
      <c r="L30" s="9" cm="1">
        <f t="array" ref="L30">TrajectoryDropInCM(E30,$A30,L$18)</f>
        <v>-13.281251249440654</v>
      </c>
      <c r="M30" s="9" cm="1">
        <f t="array" ref="M30">TrajectoryDropInCM(F30,$A30,M$18)</f>
        <v>-6.2500001302083357</v>
      </c>
      <c r="N30" s="9" cm="1">
        <f t="array" ref="N30">TrajectoryDropInCM(G30,$A30,N$18)</f>
        <v>12.500001041666769</v>
      </c>
      <c r="O30" s="9" cm="1">
        <f t="array" ref="O30">TrajectoryDropInCM(H30,$A30,O$18)</f>
        <v>25.00000833333667</v>
      </c>
      <c r="P30" s="40" cm="1">
        <f t="array" ref="P30">TrajectoryDropInCM(I30,$A30,P$18)</f>
        <v>42.500040941713998</v>
      </c>
      <c r="Q30" s="39" cm="1">
        <f t="array" ref="Q30">TrajectoryErrorCM($E$19,1,$A30)</f>
        <v>3.7561137059069258</v>
      </c>
    </row>
    <row r="31" spans="1:18" x14ac:dyDescent="0.25">
      <c r="A31" s="1">
        <v>300</v>
      </c>
      <c r="B31" s="1">
        <v>3437.3</v>
      </c>
      <c r="C31" s="6">
        <v>-0.125</v>
      </c>
      <c r="D31" s="6">
        <v>-0.1875</v>
      </c>
      <c r="E31" s="6">
        <v>-0.15</v>
      </c>
      <c r="F31" s="6">
        <v>-0.125</v>
      </c>
      <c r="G31" s="7">
        <v>0</v>
      </c>
      <c r="H31" s="17">
        <v>0.1875</v>
      </c>
      <c r="I31" s="18">
        <v>0.32500000000000001</v>
      </c>
      <c r="J31" s="9" cm="1">
        <f t="array" ref="J31">TrajectoryDropInCM(C31,$A31,J$18)</f>
        <v>-15.937501499328786</v>
      </c>
      <c r="K31" s="9" cm="1">
        <f t="array" ref="K31">TrajectoryDropInCM(D31,$A31,K$18)</f>
        <v>-22.500004218750952</v>
      </c>
      <c r="L31" s="9" cm="1">
        <f t="array" ref="L31">TrajectoryDropInCM(E31,$A31,L$18)</f>
        <v>-19.125002590840264</v>
      </c>
      <c r="M31" s="9" cm="1">
        <f t="array" ref="M31">TrajectoryDropInCM(F31,$A31,M$18)</f>
        <v>-15.000001250000123</v>
      </c>
      <c r="N31" s="9" cm="1">
        <f t="array" ref="N31">TrajectoryDropInCM(G31,$A31,N$18)</f>
        <v>0</v>
      </c>
      <c r="O31" s="9" cm="1">
        <f t="array" ref="O31">TrajectoryDropInCM(H31,$A31,O$18)</f>
        <v>22.500004218750952</v>
      </c>
      <c r="P31" s="40" cm="1">
        <f t="array" ref="P31">TrajectoryDropInCM(I31,$A31,P$18)</f>
        <v>39.000021970014849</v>
      </c>
      <c r="Q31" s="39" cm="1">
        <f t="array" ref="Q31">TrajectoryErrorCM($E$19,1,$A31)</f>
        <v>4.5073364470883108</v>
      </c>
    </row>
    <row r="32" spans="1:18" x14ac:dyDescent="0.25">
      <c r="A32" s="1">
        <v>350</v>
      </c>
      <c r="B32" s="1">
        <v>3280.5</v>
      </c>
      <c r="C32" s="6">
        <v>-0.1875</v>
      </c>
      <c r="D32" s="6">
        <v>-0.26</v>
      </c>
      <c r="E32" s="6">
        <v>-0.25</v>
      </c>
      <c r="F32" s="6">
        <v>-0.185</v>
      </c>
      <c r="G32" s="6">
        <v>-0.12</v>
      </c>
      <c r="H32" s="6">
        <v>0.12</v>
      </c>
      <c r="I32" s="14">
        <v>0.25</v>
      </c>
      <c r="J32" s="9" cm="1">
        <f t="array" ref="J32">TrajectoryDropInCM(C32,$A32,J$18)</f>
        <v>-27.890630903607917</v>
      </c>
      <c r="K32" s="9" cm="1">
        <f t="array" ref="K32">TrajectoryDropInCM(D32,$A32,K$18)</f>
        <v>-36.400013123419015</v>
      </c>
      <c r="L32" s="9" cm="1">
        <f t="array" ref="L32">TrajectoryDropInCM(E32,$A32,L$18)</f>
        <v>-37.187513993740048</v>
      </c>
      <c r="M32" s="9" cm="1">
        <f t="array" ref="M32">TrajectoryDropInCM(F32,$A32,M$18)</f>
        <v>-25.900004727614366</v>
      </c>
      <c r="N32" s="9" cm="1">
        <f t="array" ref="N32">TrajectoryDropInCM(G32,$A32,N$18)</f>
        <v>-16.800001290240115</v>
      </c>
      <c r="O32" s="9" cm="1">
        <f t="array" ref="O32">TrajectoryDropInCM(H32,$A32,O$18)</f>
        <v>16.800001290240115</v>
      </c>
      <c r="P32" s="40" cm="1">
        <f t="array" ref="P32">TrajectoryDropInCM(I32,$A32,P$18)</f>
        <v>35.000011666671341</v>
      </c>
      <c r="Q32" s="39" cm="1">
        <f t="array" ref="Q32">TrajectoryErrorCM($E$19,1,$A32)</f>
        <v>5.2585591882696958</v>
      </c>
    </row>
    <row r="33" spans="1:17" x14ac:dyDescent="0.25">
      <c r="A33" s="1">
        <v>400</v>
      </c>
      <c r="B33" s="1">
        <v>3120.8</v>
      </c>
      <c r="C33" s="6">
        <v>-0.25</v>
      </c>
      <c r="D33" s="6">
        <v>-0.375</v>
      </c>
      <c r="E33" s="6">
        <v>-0.27500000000000002</v>
      </c>
      <c r="F33" s="6">
        <v>-0.26500000000000001</v>
      </c>
      <c r="G33" s="6">
        <v>-0.1875</v>
      </c>
      <c r="H33" s="7">
        <v>0</v>
      </c>
      <c r="I33" s="14">
        <v>0.1875</v>
      </c>
      <c r="J33" s="9" cm="1">
        <f t="array" ref="J33">TrajectoryDropInCM(C33,$A33,J$18)</f>
        <v>-42.500015992845761</v>
      </c>
      <c r="K33" s="9" cm="1">
        <f t="array" ref="K33">TrajectoryDropInCM(D33,$A33,K$18)</f>
        <v>-60.000045000040501</v>
      </c>
      <c r="L33" s="9" cm="1">
        <f t="array" ref="L33">TrajectoryDropInCM(E33,$A33,L$18)</f>
        <v>-46.750021286479736</v>
      </c>
      <c r="M33" s="9" cm="1">
        <f t="array" ref="M33">TrajectoryDropInCM(F33,$A33,M$18)</f>
        <v>-42.400015880220472</v>
      </c>
      <c r="N33" s="9" cm="1">
        <f t="array" ref="N33">TrajectoryDropInCM(G33,$A33,N$18)</f>
        <v>-30.000005625001268</v>
      </c>
      <c r="O33" s="9" cm="1">
        <f t="array" ref="O33">TrajectoryDropInCM(H33,$A33,O$18)</f>
        <v>0</v>
      </c>
      <c r="P33" s="40" cm="1">
        <f t="array" ref="P33">TrajectoryDropInCM(I33,$A33,P$18)</f>
        <v>30.000005625001268</v>
      </c>
      <c r="Q33" s="39" cm="1">
        <f t="array" ref="Q33">TrajectoryErrorCM($E$19,1,$A33)</f>
        <v>6.0097819294510808</v>
      </c>
    </row>
    <row r="34" spans="1:17" x14ac:dyDescent="0.25">
      <c r="A34" s="1">
        <v>450</v>
      </c>
      <c r="B34" s="1">
        <v>2982.4</v>
      </c>
      <c r="C34" s="6">
        <v>-0.375</v>
      </c>
      <c r="D34" s="6">
        <v>-0.47499999999999998</v>
      </c>
      <c r="E34" s="6">
        <v>-0.4</v>
      </c>
      <c r="F34" s="6">
        <v>-0.375</v>
      </c>
      <c r="G34" s="6">
        <v>-0.25</v>
      </c>
      <c r="H34" s="6">
        <v>-0.1</v>
      </c>
      <c r="I34" s="14">
        <v>0.125</v>
      </c>
      <c r="J34" s="9" cm="1">
        <f t="array" ref="J34">TrajectoryDropInCM(C34,$A34,J$18)</f>
        <v>-71.718810722870529</v>
      </c>
      <c r="K34" s="9" cm="1">
        <f t="array" ref="K34">TrajectoryDropInCM(D34,$A34,K$18)</f>
        <v>-85.500102885148564</v>
      </c>
      <c r="L34" s="9" cm="1">
        <f t="array" ref="L34">TrajectoryDropInCM(E34,$A34,L$18)</f>
        <v>-76.500073695085206</v>
      </c>
      <c r="M34" s="9" cm="1">
        <f t="array" ref="M34">TrajectoryDropInCM(F34,$A34,M$18)</f>
        <v>-67.50005062504556</v>
      </c>
      <c r="N34" s="9" cm="1">
        <f t="array" ref="N34">TrajectoryDropInCM(G34,$A34,N$18)</f>
        <v>-45.000015000006002</v>
      </c>
      <c r="O34" s="9" cm="1">
        <f t="array" ref="O34">TrajectoryDropInCM(H34,$A34,O$18)</f>
        <v>-18.000000960000062</v>
      </c>
      <c r="P34" s="40" cm="1">
        <f t="array" ref="P34">TrajectoryDropInCM(I34,$A34,P$18)</f>
        <v>22.500001875000187</v>
      </c>
      <c r="Q34" s="39" cm="1">
        <f t="array" ref="Q34">TrajectoryErrorCM($E$19,1,$A34)</f>
        <v>6.7610046706324667</v>
      </c>
    </row>
    <row r="35" spans="1:17" x14ac:dyDescent="0.25">
      <c r="A35" s="1">
        <v>500</v>
      </c>
      <c r="B35" s="1">
        <v>2841.5</v>
      </c>
      <c r="C35" s="6">
        <v>-0.45</v>
      </c>
      <c r="D35" s="6">
        <v>-0.55000000000000004</v>
      </c>
      <c r="E35" s="6">
        <v>-0.5</v>
      </c>
      <c r="F35" s="6">
        <v>-0.49</v>
      </c>
      <c r="G35" s="6">
        <v>-0.32500000000000001</v>
      </c>
      <c r="H35" s="6">
        <v>-0.1875</v>
      </c>
      <c r="I35" s="15">
        <v>0</v>
      </c>
      <c r="J35" s="9" cm="1">
        <f t="array" ref="J35">TrajectoryDropInCM(C35,$A35,J$18)</f>
        <v>-95.625116587963561</v>
      </c>
      <c r="K35" s="9" cm="1">
        <f t="array" ref="K35">TrajectoryDropInCM(D35,$A35,K$18)</f>
        <v>-110.00017746701025</v>
      </c>
      <c r="L35" s="9" cm="1">
        <f t="array" ref="L35">TrajectoryDropInCM(E35,$A35,L$18)</f>
        <v>-106.25015992867431</v>
      </c>
      <c r="M35" s="9" cm="1">
        <f t="array" ref="M35">TrajectoryDropInCM(F35,$A35,M$18)</f>
        <v>-98.000125492459503</v>
      </c>
      <c r="N35" s="9" cm="1">
        <f t="array" ref="N35">TrajectoryDropInCM(G35,$A35,N$18)</f>
        <v>-65.000036616691418</v>
      </c>
      <c r="O35" s="9" cm="1">
        <f t="array" ref="O35">TrajectoryDropInCM(H35,$A35,O$18)</f>
        <v>-37.500007031251585</v>
      </c>
      <c r="P35" s="40" cm="1">
        <f t="array" ref="P35">TrajectoryDropInCM(I35,$A35,P$18)</f>
        <v>0</v>
      </c>
      <c r="Q35" s="39" cm="1">
        <f t="array" ref="Q35">TrajectoryErrorCM($E$19,1,$A35)</f>
        <v>7.5122274118138517</v>
      </c>
    </row>
    <row r="77" spans="1:19" x14ac:dyDescent="0.25">
      <c r="A77" t="s">
        <v>27</v>
      </c>
    </row>
    <row r="78" spans="1:19" x14ac:dyDescent="0.25">
      <c r="A78" t="s">
        <v>36</v>
      </c>
      <c r="K78" t="s">
        <v>74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39</v>
      </c>
      <c r="H79" t="s">
        <v>40</v>
      </c>
      <c r="I79" t="s">
        <v>41</v>
      </c>
      <c r="K79" t="s">
        <v>12</v>
      </c>
      <c r="L79" t="s">
        <v>13</v>
      </c>
      <c r="M79" t="s">
        <v>14</v>
      </c>
      <c r="N79" t="s">
        <v>15</v>
      </c>
      <c r="O79" t="s">
        <v>16</v>
      </c>
      <c r="P79" t="s">
        <v>17</v>
      </c>
      <c r="Q79" t="s">
        <v>39</v>
      </c>
      <c r="R79" t="s">
        <v>40</v>
      </c>
      <c r="S79" t="s">
        <v>41</v>
      </c>
    </row>
    <row r="80" spans="1:19" x14ac:dyDescent="0.25">
      <c r="A80" s="1">
        <v>0</v>
      </c>
      <c r="B80" s="1">
        <v>960</v>
      </c>
      <c r="C80" s="1">
        <v>4482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>
        <v>0</v>
      </c>
      <c r="L80" s="1">
        <v>960</v>
      </c>
      <c r="M80" s="1">
        <v>4482</v>
      </c>
      <c r="N80" s="1">
        <v>-3.8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1:19" x14ac:dyDescent="0.25">
      <c r="A81" s="1">
        <v>25</v>
      </c>
      <c r="B81" s="1">
        <v>939</v>
      </c>
      <c r="C81" s="1">
        <v>4282</v>
      </c>
      <c r="D81" s="1">
        <v>-1.6</v>
      </c>
      <c r="E81" s="1">
        <v>2.2000000000000002</v>
      </c>
      <c r="F81" s="1">
        <v>0.6</v>
      </c>
      <c r="G81" s="1">
        <v>0</v>
      </c>
      <c r="H81" s="1">
        <v>0</v>
      </c>
      <c r="I81" s="1">
        <v>0</v>
      </c>
      <c r="J81" s="1"/>
      <c r="K81" s="1">
        <v>25</v>
      </c>
      <c r="L81" s="1">
        <v>950</v>
      </c>
      <c r="M81" s="1">
        <v>4384</v>
      </c>
      <c r="N81" s="1">
        <v>-1.6</v>
      </c>
      <c r="O81" s="1">
        <v>2.2000000000000002</v>
      </c>
      <c r="P81" s="1">
        <v>0.6</v>
      </c>
      <c r="Q81" s="1">
        <v>0</v>
      </c>
      <c r="R81" s="1">
        <v>0</v>
      </c>
      <c r="S81" s="1">
        <v>0</v>
      </c>
    </row>
    <row r="82" spans="1:19" x14ac:dyDescent="0.25">
      <c r="A82" s="10">
        <v>50</v>
      </c>
      <c r="B82" s="10">
        <v>918</v>
      </c>
      <c r="C82" s="10">
        <v>4092</v>
      </c>
      <c r="D82" s="10">
        <v>0</v>
      </c>
      <c r="E82" s="10">
        <v>0</v>
      </c>
      <c r="F82" s="10">
        <v>0</v>
      </c>
      <c r="G82" s="1">
        <v>0</v>
      </c>
      <c r="H82" s="10">
        <v>0</v>
      </c>
      <c r="I82" s="10">
        <v>0</v>
      </c>
      <c r="J82" s="10"/>
      <c r="K82" s="10">
        <v>50</v>
      </c>
      <c r="L82" s="10">
        <v>939</v>
      </c>
      <c r="M82" s="10">
        <v>4288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1:19" x14ac:dyDescent="0.25">
      <c r="A83" s="1">
        <v>75</v>
      </c>
      <c r="B83" s="1">
        <v>897</v>
      </c>
      <c r="C83" s="1">
        <v>3909</v>
      </c>
      <c r="D83" s="1">
        <v>0.8</v>
      </c>
      <c r="E83" s="1">
        <v>-0.4</v>
      </c>
      <c r="F83" s="1">
        <v>-0.1</v>
      </c>
      <c r="G83" s="1">
        <v>0</v>
      </c>
      <c r="H83" s="1">
        <v>0</v>
      </c>
      <c r="I83" s="1">
        <v>0</v>
      </c>
      <c r="J83" s="1"/>
      <c r="K83" s="1">
        <v>75</v>
      </c>
      <c r="L83" s="1">
        <v>929</v>
      </c>
      <c r="M83" s="1">
        <v>4194</v>
      </c>
      <c r="N83" s="1">
        <v>0.9</v>
      </c>
      <c r="O83" s="1">
        <v>-0.4</v>
      </c>
      <c r="P83" s="1">
        <v>-0.1</v>
      </c>
      <c r="Q83" s="1">
        <v>0</v>
      </c>
      <c r="R83" s="1">
        <v>0</v>
      </c>
      <c r="S83" s="1">
        <v>0</v>
      </c>
    </row>
    <row r="84" spans="1:19" x14ac:dyDescent="0.25">
      <c r="A84" s="1">
        <v>100</v>
      </c>
      <c r="B84" s="1">
        <v>876</v>
      </c>
      <c r="C84" s="1">
        <v>3733</v>
      </c>
      <c r="D84" s="1">
        <v>0.8</v>
      </c>
      <c r="E84" s="1">
        <v>-0.3</v>
      </c>
      <c r="F84" s="1">
        <v>-0.1</v>
      </c>
      <c r="G84" s="1">
        <v>0</v>
      </c>
      <c r="H84" s="1">
        <v>0</v>
      </c>
      <c r="I84" s="1">
        <v>0</v>
      </c>
      <c r="J84" s="1"/>
      <c r="K84" s="1">
        <v>100</v>
      </c>
      <c r="L84" s="1">
        <v>919</v>
      </c>
      <c r="M84" s="1">
        <v>4101</v>
      </c>
      <c r="N84" s="1">
        <v>1</v>
      </c>
      <c r="O84" s="1">
        <v>-0.3</v>
      </c>
      <c r="P84" s="1">
        <v>-0.1</v>
      </c>
      <c r="Q84" s="1">
        <v>0</v>
      </c>
      <c r="R84" s="1">
        <v>0</v>
      </c>
      <c r="S84" s="1">
        <v>0</v>
      </c>
    </row>
    <row r="85" spans="1:19" x14ac:dyDescent="0.25">
      <c r="A85" s="1">
        <v>125</v>
      </c>
      <c r="B85" s="1">
        <v>856</v>
      </c>
      <c r="C85" s="1">
        <v>3564</v>
      </c>
      <c r="D85" s="1">
        <v>0.1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/>
      <c r="K85" s="1">
        <v>125</v>
      </c>
      <c r="L85" s="1">
        <v>908</v>
      </c>
      <c r="M85" s="1">
        <v>4010</v>
      </c>
      <c r="N85" s="1">
        <v>0.4</v>
      </c>
      <c r="O85" s="1">
        <v>-0.1</v>
      </c>
      <c r="P85" s="1">
        <v>0</v>
      </c>
      <c r="Q85" s="1">
        <v>0</v>
      </c>
      <c r="R85" s="1">
        <v>0</v>
      </c>
      <c r="S85" s="1">
        <v>0</v>
      </c>
    </row>
    <row r="86" spans="1:19" x14ac:dyDescent="0.25">
      <c r="A86" s="1">
        <v>150</v>
      </c>
      <c r="B86" s="1">
        <v>836</v>
      </c>
      <c r="C86" s="1">
        <v>3401</v>
      </c>
      <c r="D86" s="1">
        <v>-1.6</v>
      </c>
      <c r="E86" s="1">
        <v>0.4</v>
      </c>
      <c r="F86" s="1">
        <v>0.1</v>
      </c>
      <c r="G86" s="1">
        <v>0</v>
      </c>
      <c r="H86" s="1">
        <v>0</v>
      </c>
      <c r="I86" s="1">
        <v>0</v>
      </c>
      <c r="J86" s="1"/>
      <c r="K86" s="1">
        <v>150</v>
      </c>
      <c r="L86" s="1">
        <v>898</v>
      </c>
      <c r="M86" s="1">
        <v>3920</v>
      </c>
      <c r="N86" s="1">
        <v>-0.9</v>
      </c>
      <c r="O86" s="1">
        <v>0.2</v>
      </c>
      <c r="P86" s="1">
        <v>0.1</v>
      </c>
      <c r="Q86" s="1">
        <v>0</v>
      </c>
      <c r="R86" s="1">
        <v>0</v>
      </c>
      <c r="S86" s="1">
        <v>0</v>
      </c>
    </row>
    <row r="87" spans="1:19" x14ac:dyDescent="0.25">
      <c r="A87" s="1">
        <v>175</v>
      </c>
      <c r="B87" s="1">
        <v>817</v>
      </c>
      <c r="C87" s="1">
        <v>3244</v>
      </c>
      <c r="D87" s="1">
        <v>-4.0999999999999996</v>
      </c>
      <c r="E87" s="1">
        <v>0.8</v>
      </c>
      <c r="F87" s="1">
        <v>0.2</v>
      </c>
      <c r="G87" s="1">
        <v>0</v>
      </c>
      <c r="H87" s="1">
        <v>0</v>
      </c>
      <c r="I87" s="1">
        <v>0</v>
      </c>
      <c r="J87" s="1"/>
      <c r="K87" s="1">
        <v>175</v>
      </c>
      <c r="L87" s="1">
        <v>888</v>
      </c>
      <c r="M87" s="1">
        <v>3833</v>
      </c>
      <c r="N87" s="1">
        <v>-3</v>
      </c>
      <c r="O87" s="1">
        <v>0.6</v>
      </c>
      <c r="P87" s="1">
        <v>0.2</v>
      </c>
      <c r="Q87" s="1">
        <v>0</v>
      </c>
      <c r="R87" s="1">
        <v>0</v>
      </c>
      <c r="S87" s="1">
        <v>0</v>
      </c>
    </row>
    <row r="88" spans="1:19" x14ac:dyDescent="0.25">
      <c r="A88" s="1">
        <v>200</v>
      </c>
      <c r="B88" s="1">
        <v>798</v>
      </c>
      <c r="C88" s="1">
        <v>3093</v>
      </c>
      <c r="D88" s="1">
        <v>-7.6</v>
      </c>
      <c r="E88" s="1">
        <v>1.3</v>
      </c>
      <c r="F88" s="1">
        <v>0.4</v>
      </c>
      <c r="G88" s="1">
        <v>0</v>
      </c>
      <c r="H88" s="1">
        <v>0</v>
      </c>
      <c r="I88" s="1">
        <v>0</v>
      </c>
      <c r="J88" s="1"/>
      <c r="K88" s="1">
        <v>200</v>
      </c>
      <c r="L88" s="1">
        <v>878</v>
      </c>
      <c r="M88" s="1">
        <v>3746</v>
      </c>
      <c r="N88" s="1">
        <v>-6</v>
      </c>
      <c r="O88" s="1">
        <v>1</v>
      </c>
      <c r="P88" s="1">
        <v>0.3</v>
      </c>
      <c r="Q88" s="1">
        <v>0</v>
      </c>
      <c r="R88" s="1">
        <v>0</v>
      </c>
      <c r="S88" s="1">
        <v>0</v>
      </c>
    </row>
    <row r="89" spans="1:19" x14ac:dyDescent="0.25">
      <c r="A89" s="1">
        <v>225</v>
      </c>
      <c r="B89" s="1">
        <v>779</v>
      </c>
      <c r="C89" s="1">
        <v>2947</v>
      </c>
      <c r="D89" s="1">
        <v>-12</v>
      </c>
      <c r="E89" s="1">
        <v>1.8</v>
      </c>
      <c r="F89" s="1">
        <v>0.5</v>
      </c>
      <c r="G89" s="1">
        <v>0</v>
      </c>
      <c r="H89" s="1">
        <v>0</v>
      </c>
      <c r="I89" s="1">
        <v>0</v>
      </c>
      <c r="J89" s="1"/>
      <c r="K89" s="1">
        <v>225</v>
      </c>
      <c r="L89" s="1">
        <v>868</v>
      </c>
      <c r="M89" s="1">
        <v>3662</v>
      </c>
      <c r="N89" s="1">
        <v>-9.6</v>
      </c>
      <c r="O89" s="1">
        <v>1.5</v>
      </c>
      <c r="P89" s="1">
        <v>0.4</v>
      </c>
      <c r="Q89" s="1">
        <v>0</v>
      </c>
      <c r="R89" s="1">
        <v>0</v>
      </c>
      <c r="S89" s="1">
        <v>0</v>
      </c>
    </row>
    <row r="90" spans="1:19" x14ac:dyDescent="0.25">
      <c r="A90" s="1">
        <v>250</v>
      </c>
      <c r="B90" s="1">
        <v>760</v>
      </c>
      <c r="C90" s="1">
        <v>2807</v>
      </c>
      <c r="D90" s="1">
        <v>-17.5</v>
      </c>
      <c r="E90" s="1">
        <v>2.4</v>
      </c>
      <c r="F90" s="1">
        <v>0.7</v>
      </c>
      <c r="G90" s="1">
        <v>0</v>
      </c>
      <c r="H90" s="1">
        <v>0</v>
      </c>
      <c r="I90" s="1">
        <v>0</v>
      </c>
      <c r="J90" s="1"/>
      <c r="K90" s="1">
        <v>250</v>
      </c>
      <c r="L90" s="1">
        <v>858</v>
      </c>
      <c r="M90" s="1">
        <v>3578</v>
      </c>
      <c r="N90" s="1">
        <v>-14.1</v>
      </c>
      <c r="O90" s="1">
        <v>1.9</v>
      </c>
      <c r="P90" s="1">
        <v>0.6</v>
      </c>
      <c r="Q90" s="1">
        <v>0</v>
      </c>
      <c r="R90" s="1">
        <v>0</v>
      </c>
      <c r="S90" s="1">
        <v>0</v>
      </c>
    </row>
    <row r="91" spans="1:19" x14ac:dyDescent="0.25">
      <c r="A91" s="1">
        <v>275</v>
      </c>
      <c r="B91" s="1">
        <v>741</v>
      </c>
      <c r="C91" s="1">
        <v>2672</v>
      </c>
      <c r="D91" s="1">
        <v>-24.3</v>
      </c>
      <c r="E91" s="1">
        <v>3</v>
      </c>
      <c r="F91" s="1">
        <v>0.9</v>
      </c>
      <c r="G91" s="1">
        <v>0</v>
      </c>
      <c r="H91" s="1">
        <v>0</v>
      </c>
      <c r="I91" s="1">
        <v>0</v>
      </c>
      <c r="J91" s="1"/>
      <c r="K91" s="1">
        <v>275</v>
      </c>
      <c r="L91" s="1">
        <v>848</v>
      </c>
      <c r="M91" s="1">
        <v>3497</v>
      </c>
      <c r="N91" s="1">
        <v>-19.600000000000001</v>
      </c>
      <c r="O91" s="1">
        <v>2.5</v>
      </c>
      <c r="P91" s="1">
        <v>0.7</v>
      </c>
      <c r="Q91" s="1">
        <v>0</v>
      </c>
      <c r="R91" s="1">
        <v>0</v>
      </c>
      <c r="S91" s="1">
        <v>0</v>
      </c>
    </row>
    <row r="92" spans="1:19" x14ac:dyDescent="0.25">
      <c r="A92" s="1">
        <v>300</v>
      </c>
      <c r="B92" s="1">
        <v>723</v>
      </c>
      <c r="C92" s="1">
        <v>2543</v>
      </c>
      <c r="D92" s="1">
        <v>-32</v>
      </c>
      <c r="E92" s="1">
        <v>3.7</v>
      </c>
      <c r="F92" s="1">
        <v>1.1000000000000001</v>
      </c>
      <c r="G92" s="1">
        <v>0</v>
      </c>
      <c r="H92" s="1">
        <v>0</v>
      </c>
      <c r="I92" s="1">
        <v>0</v>
      </c>
      <c r="J92" s="1"/>
      <c r="K92" s="1">
        <v>300</v>
      </c>
      <c r="L92" s="1">
        <v>838</v>
      </c>
      <c r="M92" s="1">
        <v>3416</v>
      </c>
      <c r="N92" s="1">
        <v>-25.8</v>
      </c>
      <c r="O92" s="1">
        <v>3</v>
      </c>
      <c r="P92" s="1">
        <v>0.9</v>
      </c>
      <c r="Q92" s="1">
        <v>0</v>
      </c>
      <c r="R92" s="1">
        <v>0</v>
      </c>
      <c r="S92" s="1">
        <v>0</v>
      </c>
    </row>
    <row r="93" spans="1:19" x14ac:dyDescent="0.25">
      <c r="A93" s="1">
        <v>325</v>
      </c>
      <c r="B93" s="1">
        <v>705</v>
      </c>
      <c r="C93" s="1">
        <v>2418</v>
      </c>
      <c r="D93" s="1">
        <v>-41</v>
      </c>
      <c r="E93" s="1">
        <v>4.3</v>
      </c>
      <c r="F93" s="1">
        <v>1.3</v>
      </c>
      <c r="G93" s="1">
        <v>0</v>
      </c>
      <c r="H93" s="1">
        <v>0</v>
      </c>
      <c r="I93" s="1">
        <v>0</v>
      </c>
      <c r="J93" s="1"/>
      <c r="K93" s="1">
        <v>325</v>
      </c>
      <c r="L93" s="1">
        <v>829</v>
      </c>
      <c r="M93" s="1">
        <v>3337</v>
      </c>
      <c r="N93" s="1">
        <v>-32.9</v>
      </c>
      <c r="O93" s="1">
        <v>3.5</v>
      </c>
      <c r="P93" s="1">
        <v>1</v>
      </c>
      <c r="Q93" s="1">
        <v>0</v>
      </c>
      <c r="R93" s="1">
        <v>0</v>
      </c>
      <c r="S93" s="1">
        <v>0</v>
      </c>
    </row>
    <row r="94" spans="1:19" x14ac:dyDescent="0.25">
      <c r="A94" s="1">
        <v>350</v>
      </c>
      <c r="B94" s="1">
        <v>688</v>
      </c>
      <c r="C94" s="1">
        <v>2298</v>
      </c>
      <c r="D94" s="1">
        <v>-51.6</v>
      </c>
      <c r="E94" s="1">
        <v>5.0999999999999996</v>
      </c>
      <c r="F94" s="1">
        <v>1.5</v>
      </c>
      <c r="G94" s="1">
        <v>0</v>
      </c>
      <c r="H94" s="1">
        <v>0</v>
      </c>
      <c r="I94" s="1">
        <v>0</v>
      </c>
      <c r="J94" s="1"/>
      <c r="K94" s="1">
        <v>350</v>
      </c>
      <c r="L94" s="1">
        <v>819</v>
      </c>
      <c r="M94" s="1">
        <v>3260</v>
      </c>
      <c r="N94" s="1">
        <v>-41.2</v>
      </c>
      <c r="O94" s="1">
        <v>4</v>
      </c>
      <c r="P94" s="1">
        <v>1.2</v>
      </c>
      <c r="Q94" s="1">
        <v>0</v>
      </c>
      <c r="R94" s="1">
        <v>0</v>
      </c>
      <c r="S94" s="1">
        <v>0</v>
      </c>
    </row>
    <row r="95" spans="1:19" x14ac:dyDescent="0.25">
      <c r="A95" s="1">
        <v>375</v>
      </c>
      <c r="B95" s="1">
        <v>670</v>
      </c>
      <c r="C95" s="1">
        <v>2182</v>
      </c>
      <c r="D95" s="1">
        <v>-63.2</v>
      </c>
      <c r="E95" s="1">
        <v>5.8</v>
      </c>
      <c r="F95" s="1">
        <v>1.7</v>
      </c>
      <c r="G95" s="1">
        <v>0</v>
      </c>
      <c r="H95" s="1">
        <v>0</v>
      </c>
      <c r="I95" s="1">
        <v>0</v>
      </c>
      <c r="J95" s="1"/>
      <c r="K95" s="1">
        <v>375</v>
      </c>
      <c r="L95" s="1">
        <v>809</v>
      </c>
      <c r="M95" s="1">
        <v>3184</v>
      </c>
      <c r="N95" s="1">
        <v>-50.1</v>
      </c>
      <c r="O95" s="1">
        <v>4.5999999999999996</v>
      </c>
      <c r="P95" s="1">
        <v>1.3</v>
      </c>
      <c r="Q95" s="1">
        <v>0</v>
      </c>
      <c r="R95" s="1">
        <v>0</v>
      </c>
      <c r="S95" s="1">
        <v>0</v>
      </c>
    </row>
    <row r="96" spans="1:19" x14ac:dyDescent="0.25">
      <c r="A96" s="1">
        <v>400</v>
      </c>
      <c r="B96" s="1">
        <v>653</v>
      </c>
      <c r="C96" s="1">
        <v>2072</v>
      </c>
      <c r="D96" s="1">
        <v>-76.2</v>
      </c>
      <c r="E96" s="1">
        <v>6.6</v>
      </c>
      <c r="F96" s="1">
        <v>1.9</v>
      </c>
      <c r="G96" s="1">
        <v>0</v>
      </c>
      <c r="H96" s="1">
        <v>0</v>
      </c>
      <c r="I96" s="1">
        <v>0</v>
      </c>
      <c r="J96" s="1"/>
      <c r="K96" s="1">
        <v>400</v>
      </c>
      <c r="L96" s="1">
        <v>800</v>
      </c>
      <c r="M96" s="1">
        <v>3109</v>
      </c>
      <c r="N96" s="1">
        <v>-59.9</v>
      </c>
      <c r="O96" s="1">
        <v>5.2</v>
      </c>
      <c r="P96" s="1">
        <v>1.5</v>
      </c>
      <c r="Q96" s="1">
        <v>0</v>
      </c>
      <c r="R96" s="1">
        <v>0</v>
      </c>
      <c r="S96" s="1">
        <v>0</v>
      </c>
    </row>
    <row r="97" spans="1:19" x14ac:dyDescent="0.25">
      <c r="A97" s="1">
        <v>425</v>
      </c>
      <c r="B97" s="1">
        <v>636</v>
      </c>
      <c r="C97" s="1">
        <v>1965</v>
      </c>
      <c r="D97" s="1">
        <v>-91.4</v>
      </c>
      <c r="E97" s="1">
        <v>7.4</v>
      </c>
      <c r="F97" s="1">
        <v>2.1</v>
      </c>
      <c r="G97" s="1">
        <v>0</v>
      </c>
      <c r="H97" s="1">
        <v>0</v>
      </c>
      <c r="I97" s="1">
        <v>0</v>
      </c>
      <c r="J97" s="1"/>
      <c r="K97" s="1">
        <v>425</v>
      </c>
      <c r="L97" s="1">
        <v>790</v>
      </c>
      <c r="M97" s="1">
        <v>3035</v>
      </c>
      <c r="N97" s="1">
        <v>-71.2</v>
      </c>
      <c r="O97" s="1">
        <v>5.8</v>
      </c>
      <c r="P97" s="1">
        <v>1.7</v>
      </c>
      <c r="Q97" s="1">
        <v>0</v>
      </c>
      <c r="R97" s="1">
        <v>0</v>
      </c>
      <c r="S97" s="1">
        <v>0</v>
      </c>
    </row>
    <row r="98" spans="1:19" x14ac:dyDescent="0.25">
      <c r="A98" s="1">
        <v>450</v>
      </c>
      <c r="B98" s="1">
        <v>619</v>
      </c>
      <c r="C98" s="1">
        <v>1863</v>
      </c>
      <c r="D98" s="1">
        <v>-107.6</v>
      </c>
      <c r="E98" s="1">
        <v>8.1999999999999993</v>
      </c>
      <c r="F98" s="1">
        <v>2.4</v>
      </c>
      <c r="G98" s="1">
        <v>0</v>
      </c>
      <c r="H98" s="1">
        <v>0</v>
      </c>
      <c r="I98" s="1">
        <v>0</v>
      </c>
      <c r="J98" s="1"/>
      <c r="K98" s="1">
        <v>450</v>
      </c>
      <c r="L98" s="1">
        <v>781</v>
      </c>
      <c r="M98" s="1">
        <v>2963</v>
      </c>
      <c r="N98" s="1">
        <v>-83</v>
      </c>
      <c r="O98" s="1">
        <v>6.3</v>
      </c>
      <c r="P98" s="1">
        <v>1.8</v>
      </c>
      <c r="Q98" s="1">
        <v>0</v>
      </c>
      <c r="R98" s="1">
        <v>0</v>
      </c>
      <c r="S98" s="1">
        <v>0</v>
      </c>
    </row>
    <row r="99" spans="1:19" x14ac:dyDescent="0.25">
      <c r="A99" s="1">
        <v>475</v>
      </c>
      <c r="B99" s="1">
        <v>603</v>
      </c>
      <c r="C99" s="1">
        <v>1765</v>
      </c>
      <c r="D99" s="1">
        <v>-125.6</v>
      </c>
      <c r="E99" s="1">
        <v>9.1</v>
      </c>
      <c r="F99" s="1">
        <v>2.6</v>
      </c>
      <c r="G99" s="1">
        <v>0</v>
      </c>
      <c r="H99" s="1">
        <v>0</v>
      </c>
      <c r="I99" s="1">
        <v>0</v>
      </c>
      <c r="J99" s="1"/>
      <c r="K99" s="1">
        <v>475</v>
      </c>
      <c r="L99" s="1">
        <v>771</v>
      </c>
      <c r="M99" s="1">
        <v>2892</v>
      </c>
      <c r="N99" s="1">
        <v>-95.9</v>
      </c>
      <c r="O99" s="1">
        <v>6.9</v>
      </c>
      <c r="P99" s="1">
        <v>2</v>
      </c>
      <c r="Q99" s="1">
        <v>0</v>
      </c>
      <c r="R99" s="1">
        <v>0</v>
      </c>
      <c r="S99" s="1">
        <v>0</v>
      </c>
    </row>
    <row r="100" spans="1:19" x14ac:dyDescent="0.25">
      <c r="A100" s="1">
        <v>500</v>
      </c>
      <c r="B100" s="1">
        <v>587</v>
      </c>
      <c r="C100" s="1">
        <v>1676</v>
      </c>
      <c r="D100" s="1">
        <v>-145.30000000000001</v>
      </c>
      <c r="E100" s="1">
        <v>10</v>
      </c>
      <c r="F100" s="1">
        <v>2.9</v>
      </c>
      <c r="G100" s="1">
        <v>0</v>
      </c>
      <c r="H100" s="1">
        <v>0</v>
      </c>
      <c r="I100" s="1">
        <v>0</v>
      </c>
      <c r="J100" s="1"/>
      <c r="K100" s="1">
        <v>500</v>
      </c>
      <c r="L100" s="1">
        <v>762</v>
      </c>
      <c r="M100" s="1">
        <v>2826</v>
      </c>
      <c r="N100" s="1">
        <v>-109.8</v>
      </c>
      <c r="O100" s="1">
        <v>7.6</v>
      </c>
      <c r="P100" s="1">
        <v>2.2000000000000002</v>
      </c>
      <c r="Q100" s="1">
        <v>0</v>
      </c>
      <c r="R100" s="1">
        <v>0</v>
      </c>
      <c r="S100" s="1">
        <v>0</v>
      </c>
    </row>
    <row r="102" spans="1:19" x14ac:dyDescent="0.25">
      <c r="A102" t="s">
        <v>85</v>
      </c>
      <c r="K102" t="s">
        <v>75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39</v>
      </c>
      <c r="H103" t="s">
        <v>40</v>
      </c>
      <c r="I103" t="s">
        <v>41</v>
      </c>
      <c r="K103" t="s">
        <v>12</v>
      </c>
      <c r="L103" t="s">
        <v>13</v>
      </c>
      <c r="M103" t="s">
        <v>14</v>
      </c>
      <c r="N103" t="s">
        <v>15</v>
      </c>
      <c r="O103" t="s">
        <v>16</v>
      </c>
      <c r="P103" t="s">
        <v>17</v>
      </c>
      <c r="Q103" t="s">
        <v>39</v>
      </c>
      <c r="R103" t="s">
        <v>40</v>
      </c>
      <c r="S103" t="s">
        <v>41</v>
      </c>
    </row>
    <row r="104" spans="1:19" x14ac:dyDescent="0.25">
      <c r="A104" s="1">
        <v>0</v>
      </c>
      <c r="B104" s="1">
        <v>960</v>
      </c>
      <c r="C104" s="1">
        <v>4482</v>
      </c>
      <c r="D104" s="1">
        <v>-3.8</v>
      </c>
      <c r="E104" s="1">
        <v>0</v>
      </c>
      <c r="F104" s="1">
        <v>0</v>
      </c>
      <c r="G104">
        <v>0</v>
      </c>
      <c r="H104" s="1">
        <v>0</v>
      </c>
      <c r="I104" s="1">
        <v>0</v>
      </c>
      <c r="J104" s="1"/>
      <c r="K104" s="1">
        <v>0</v>
      </c>
      <c r="L104" s="1">
        <v>960</v>
      </c>
      <c r="M104" s="1">
        <v>4482</v>
      </c>
      <c r="N104" s="1">
        <v>-3.8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</row>
    <row r="105" spans="1:19" x14ac:dyDescent="0.25">
      <c r="A105" s="1">
        <v>25</v>
      </c>
      <c r="B105" s="1">
        <v>939</v>
      </c>
      <c r="C105" s="1">
        <v>4282</v>
      </c>
      <c r="D105" s="1">
        <v>-1.8</v>
      </c>
      <c r="E105" s="1">
        <v>2.5</v>
      </c>
      <c r="F105" s="1">
        <v>0.7</v>
      </c>
      <c r="G105">
        <v>0</v>
      </c>
      <c r="H105" s="1">
        <v>0</v>
      </c>
      <c r="I105" s="1">
        <v>0</v>
      </c>
      <c r="J105" s="1"/>
      <c r="K105" s="1">
        <v>25</v>
      </c>
      <c r="L105" s="1">
        <v>950</v>
      </c>
      <c r="M105" s="1">
        <v>4384</v>
      </c>
      <c r="N105" s="1">
        <v>-1.8</v>
      </c>
      <c r="O105" s="1">
        <v>2.5</v>
      </c>
      <c r="P105" s="1">
        <v>0.7</v>
      </c>
      <c r="Q105" s="1">
        <v>0</v>
      </c>
      <c r="R105" s="1">
        <v>0</v>
      </c>
      <c r="S105" s="1">
        <v>0</v>
      </c>
    </row>
    <row r="106" spans="1:19" x14ac:dyDescent="0.25">
      <c r="A106" s="1">
        <v>50</v>
      </c>
      <c r="B106" s="1">
        <v>918</v>
      </c>
      <c r="C106" s="1">
        <v>4092</v>
      </c>
      <c r="D106" s="1">
        <v>-0.4</v>
      </c>
      <c r="E106" s="1">
        <v>0.3</v>
      </c>
      <c r="F106" s="1">
        <v>0.1</v>
      </c>
      <c r="G106">
        <v>0</v>
      </c>
      <c r="H106" s="1">
        <v>0</v>
      </c>
      <c r="I106" s="1">
        <v>0</v>
      </c>
      <c r="J106" s="1"/>
      <c r="K106" s="1">
        <v>50</v>
      </c>
      <c r="L106" s="1">
        <v>939</v>
      </c>
      <c r="M106" s="1">
        <v>4288</v>
      </c>
      <c r="N106" s="1">
        <v>-0.5</v>
      </c>
      <c r="O106" s="1">
        <v>0.3</v>
      </c>
      <c r="P106" s="1">
        <v>0.1</v>
      </c>
      <c r="Q106" s="1">
        <v>0</v>
      </c>
      <c r="R106" s="1">
        <v>0</v>
      </c>
      <c r="S106" s="1">
        <v>0</v>
      </c>
    </row>
    <row r="107" spans="1:19" x14ac:dyDescent="0.25">
      <c r="A107" s="1">
        <v>75</v>
      </c>
      <c r="B107" s="1">
        <v>897</v>
      </c>
      <c r="C107" s="1">
        <v>3909</v>
      </c>
      <c r="D107" s="1">
        <v>0.2</v>
      </c>
      <c r="E107" s="1">
        <v>-0.1</v>
      </c>
      <c r="F107" s="1">
        <v>0</v>
      </c>
      <c r="G107">
        <v>0</v>
      </c>
      <c r="H107" s="1">
        <v>0</v>
      </c>
      <c r="I107" s="1">
        <v>0</v>
      </c>
      <c r="J107" s="1"/>
      <c r="K107" s="1">
        <v>75</v>
      </c>
      <c r="L107" s="1">
        <v>929</v>
      </c>
      <c r="M107" s="1">
        <v>4194</v>
      </c>
      <c r="N107" s="1">
        <v>0.1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</row>
    <row r="108" spans="1:19" x14ac:dyDescent="0.25">
      <c r="A108" s="10">
        <v>100</v>
      </c>
      <c r="B108" s="10">
        <v>876</v>
      </c>
      <c r="C108" s="10">
        <v>3733</v>
      </c>
      <c r="D108" s="10">
        <v>0</v>
      </c>
      <c r="E108" s="10">
        <v>0</v>
      </c>
      <c r="F108" s="10">
        <v>0</v>
      </c>
      <c r="G108">
        <v>0</v>
      </c>
      <c r="H108" s="1">
        <v>0</v>
      </c>
      <c r="I108" s="1">
        <v>0</v>
      </c>
      <c r="J108" s="1"/>
      <c r="K108" s="1">
        <v>100</v>
      </c>
      <c r="L108" s="1">
        <v>919</v>
      </c>
      <c r="M108" s="1">
        <v>4101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1:19" x14ac:dyDescent="0.25">
      <c r="A109" s="1">
        <v>125</v>
      </c>
      <c r="B109" s="1">
        <v>856</v>
      </c>
      <c r="C109" s="1">
        <v>3564</v>
      </c>
      <c r="D109" s="1">
        <v>-1</v>
      </c>
      <c r="E109" s="1">
        <v>0.3</v>
      </c>
      <c r="F109" s="1">
        <v>0.1</v>
      </c>
      <c r="G109">
        <v>0</v>
      </c>
      <c r="H109" s="1">
        <v>0</v>
      </c>
      <c r="I109" s="1">
        <v>0</v>
      </c>
      <c r="J109" s="1"/>
      <c r="K109" s="1">
        <v>125</v>
      </c>
      <c r="L109" s="1">
        <v>908</v>
      </c>
      <c r="M109" s="1">
        <v>4010</v>
      </c>
      <c r="N109" s="1">
        <v>-0.9</v>
      </c>
      <c r="O109" s="1">
        <v>0.2</v>
      </c>
      <c r="P109" s="1">
        <v>0.1</v>
      </c>
      <c r="Q109" s="1">
        <v>0</v>
      </c>
      <c r="R109" s="1">
        <v>0</v>
      </c>
      <c r="S109" s="1">
        <v>0</v>
      </c>
    </row>
    <row r="110" spans="1:19" x14ac:dyDescent="0.25">
      <c r="A110" s="1">
        <v>150</v>
      </c>
      <c r="B110" s="1">
        <v>836</v>
      </c>
      <c r="C110" s="1">
        <v>3401</v>
      </c>
      <c r="D110" s="1">
        <v>-2.8</v>
      </c>
      <c r="E110" s="1">
        <v>0.6</v>
      </c>
      <c r="F110" s="1">
        <v>0.2</v>
      </c>
      <c r="G110">
        <v>0</v>
      </c>
      <c r="H110" s="1">
        <v>0</v>
      </c>
      <c r="I110" s="1">
        <v>0</v>
      </c>
      <c r="J110" s="1"/>
      <c r="K110" s="1">
        <v>150</v>
      </c>
      <c r="L110" s="1">
        <v>898</v>
      </c>
      <c r="M110" s="1">
        <v>3920</v>
      </c>
      <c r="N110" s="1">
        <v>-2.4</v>
      </c>
      <c r="O110" s="1">
        <v>0.6</v>
      </c>
      <c r="P110" s="1">
        <v>0.2</v>
      </c>
      <c r="Q110" s="1">
        <v>0</v>
      </c>
      <c r="R110" s="1">
        <v>0</v>
      </c>
      <c r="S110" s="1">
        <v>0</v>
      </c>
    </row>
    <row r="111" spans="1:19" x14ac:dyDescent="0.25">
      <c r="A111" s="1">
        <v>175</v>
      </c>
      <c r="B111" s="1">
        <v>817</v>
      </c>
      <c r="C111" s="1">
        <v>3244</v>
      </c>
      <c r="D111" s="1">
        <v>-5.5</v>
      </c>
      <c r="E111" s="1">
        <v>1.1000000000000001</v>
      </c>
      <c r="F111" s="1">
        <v>0.3</v>
      </c>
      <c r="G111">
        <v>0</v>
      </c>
      <c r="H111" s="1">
        <v>0</v>
      </c>
      <c r="I111" s="1">
        <v>0</v>
      </c>
      <c r="J111" s="1"/>
      <c r="K111" s="1">
        <v>175</v>
      </c>
      <c r="L111" s="1">
        <v>888</v>
      </c>
      <c r="M111" s="1">
        <v>3833</v>
      </c>
      <c r="N111" s="1">
        <v>-4.8</v>
      </c>
      <c r="O111" s="1">
        <v>0.9</v>
      </c>
      <c r="P111" s="1">
        <v>0.3</v>
      </c>
      <c r="Q111" s="1">
        <v>0</v>
      </c>
      <c r="R111" s="1">
        <v>0</v>
      </c>
      <c r="S111" s="1">
        <v>0</v>
      </c>
    </row>
    <row r="112" spans="1:19" x14ac:dyDescent="0.25">
      <c r="A112" s="1">
        <v>200</v>
      </c>
      <c r="B112" s="1">
        <v>798</v>
      </c>
      <c r="C112" s="1">
        <v>3093</v>
      </c>
      <c r="D112" s="1">
        <v>-9.3000000000000007</v>
      </c>
      <c r="E112" s="1">
        <v>1.6</v>
      </c>
      <c r="F112" s="1">
        <v>0.5</v>
      </c>
      <c r="G112">
        <v>0</v>
      </c>
      <c r="H112" s="1">
        <v>0</v>
      </c>
      <c r="I112" s="1">
        <v>0</v>
      </c>
      <c r="J112" s="1"/>
      <c r="K112" s="1">
        <v>200</v>
      </c>
      <c r="L112" s="1">
        <v>878</v>
      </c>
      <c r="M112" s="1">
        <v>3746</v>
      </c>
      <c r="N112" s="1">
        <v>-8</v>
      </c>
      <c r="O112" s="1">
        <v>1.4</v>
      </c>
      <c r="P112" s="1">
        <v>0.4</v>
      </c>
      <c r="Q112" s="1">
        <v>0</v>
      </c>
      <c r="R112" s="1">
        <v>0</v>
      </c>
      <c r="S112" s="1">
        <v>0</v>
      </c>
    </row>
    <row r="113" spans="1:19" x14ac:dyDescent="0.25">
      <c r="A113" s="1">
        <v>225</v>
      </c>
      <c r="B113" s="1">
        <v>779</v>
      </c>
      <c r="C113" s="1">
        <v>2947</v>
      </c>
      <c r="D113" s="1">
        <v>-13.9</v>
      </c>
      <c r="E113" s="1">
        <v>2.1</v>
      </c>
      <c r="F113" s="1">
        <v>0.6</v>
      </c>
      <c r="G113">
        <v>0</v>
      </c>
      <c r="H113" s="1">
        <v>0</v>
      </c>
      <c r="I113" s="1">
        <v>0</v>
      </c>
      <c r="J113" s="1"/>
      <c r="K113" s="1">
        <v>225</v>
      </c>
      <c r="L113" s="1">
        <v>868</v>
      </c>
      <c r="M113" s="1">
        <v>3662</v>
      </c>
      <c r="N113" s="1">
        <v>-11.9</v>
      </c>
      <c r="O113" s="1">
        <v>1.8</v>
      </c>
      <c r="P113" s="1">
        <v>0.5</v>
      </c>
      <c r="Q113" s="1">
        <v>0</v>
      </c>
      <c r="R113" s="1">
        <v>0</v>
      </c>
      <c r="S113" s="1">
        <v>0</v>
      </c>
    </row>
    <row r="114" spans="1:19" x14ac:dyDescent="0.25">
      <c r="A114" s="1">
        <v>250</v>
      </c>
      <c r="B114" s="1">
        <v>760</v>
      </c>
      <c r="C114" s="1">
        <v>2807</v>
      </c>
      <c r="D114" s="1">
        <v>-19.5</v>
      </c>
      <c r="E114" s="1">
        <v>2.7</v>
      </c>
      <c r="F114" s="1">
        <v>0.8</v>
      </c>
      <c r="G114">
        <v>0</v>
      </c>
      <c r="H114" s="1">
        <v>0</v>
      </c>
      <c r="I114" s="1">
        <v>0</v>
      </c>
      <c r="J114" s="1"/>
      <c r="K114" s="1">
        <v>250</v>
      </c>
      <c r="L114" s="1">
        <v>858</v>
      </c>
      <c r="M114" s="1">
        <v>3578</v>
      </c>
      <c r="N114" s="1">
        <v>-16.600000000000001</v>
      </c>
      <c r="O114" s="1">
        <v>2.2999999999999998</v>
      </c>
      <c r="P114" s="1">
        <v>0.7</v>
      </c>
      <c r="Q114" s="1">
        <v>0</v>
      </c>
      <c r="R114" s="1">
        <v>0</v>
      </c>
      <c r="S114" s="1">
        <v>0</v>
      </c>
    </row>
    <row r="115" spans="1:19" x14ac:dyDescent="0.25">
      <c r="A115" s="1">
        <v>275</v>
      </c>
      <c r="B115" s="1">
        <v>741</v>
      </c>
      <c r="C115" s="1">
        <v>2672</v>
      </c>
      <c r="D115" s="1">
        <v>-26.6</v>
      </c>
      <c r="E115" s="1">
        <v>3.3</v>
      </c>
      <c r="F115" s="1">
        <v>1</v>
      </c>
      <c r="G115">
        <v>0</v>
      </c>
      <c r="H115" s="1">
        <v>0</v>
      </c>
      <c r="I115" s="1">
        <v>0</v>
      </c>
      <c r="J115" s="1"/>
      <c r="K115" s="1">
        <v>275</v>
      </c>
      <c r="L115" s="1">
        <v>848</v>
      </c>
      <c r="M115" s="1">
        <v>3497</v>
      </c>
      <c r="N115" s="1">
        <v>-22.4</v>
      </c>
      <c r="O115" s="1">
        <v>2.8</v>
      </c>
      <c r="P115" s="1">
        <v>0.8</v>
      </c>
      <c r="Q115" s="1">
        <v>0</v>
      </c>
      <c r="R115" s="1">
        <v>0</v>
      </c>
      <c r="S115" s="1">
        <v>0</v>
      </c>
    </row>
    <row r="116" spans="1:19" x14ac:dyDescent="0.25">
      <c r="A116" s="1">
        <v>300</v>
      </c>
      <c r="B116" s="1">
        <v>723</v>
      </c>
      <c r="C116" s="1">
        <v>2543</v>
      </c>
      <c r="D116" s="1">
        <v>-34.5</v>
      </c>
      <c r="E116" s="1">
        <v>4</v>
      </c>
      <c r="F116" s="1">
        <v>1.1000000000000001</v>
      </c>
      <c r="G116">
        <v>0</v>
      </c>
      <c r="H116" s="1">
        <v>0</v>
      </c>
      <c r="I116" s="1">
        <v>0</v>
      </c>
      <c r="J116" s="1"/>
      <c r="K116" s="1">
        <v>300</v>
      </c>
      <c r="L116" s="1">
        <v>838</v>
      </c>
      <c r="M116" s="1">
        <v>3416</v>
      </c>
      <c r="N116" s="1">
        <v>-28.8</v>
      </c>
      <c r="O116" s="1">
        <v>3.3</v>
      </c>
      <c r="P116" s="1">
        <v>1</v>
      </c>
      <c r="Q116" s="1">
        <v>0</v>
      </c>
      <c r="R116" s="1">
        <v>0</v>
      </c>
      <c r="S116" s="1">
        <v>0</v>
      </c>
    </row>
    <row r="117" spans="1:19" x14ac:dyDescent="0.25">
      <c r="A117" s="1">
        <v>325</v>
      </c>
      <c r="B117" s="1">
        <v>705</v>
      </c>
      <c r="C117" s="1">
        <v>2418</v>
      </c>
      <c r="D117" s="1">
        <v>-43.6</v>
      </c>
      <c r="E117" s="1">
        <v>4.5999999999999996</v>
      </c>
      <c r="F117" s="1">
        <v>1.3</v>
      </c>
      <c r="G117">
        <v>0</v>
      </c>
      <c r="H117" s="1">
        <v>0</v>
      </c>
      <c r="I117" s="1">
        <v>0</v>
      </c>
      <c r="J117" s="1"/>
      <c r="K117" s="1">
        <v>325</v>
      </c>
      <c r="L117" s="1">
        <v>829</v>
      </c>
      <c r="M117" s="1">
        <v>3337</v>
      </c>
      <c r="N117" s="1">
        <v>-36.200000000000003</v>
      </c>
      <c r="O117" s="1">
        <v>3.8</v>
      </c>
      <c r="P117" s="1">
        <v>1.1000000000000001</v>
      </c>
      <c r="Q117" s="1">
        <v>0</v>
      </c>
      <c r="R117" s="1">
        <v>0</v>
      </c>
      <c r="S117" s="1">
        <v>0</v>
      </c>
    </row>
    <row r="118" spans="1:19" x14ac:dyDescent="0.25">
      <c r="A118" s="1">
        <v>350</v>
      </c>
      <c r="B118" s="1">
        <v>688</v>
      </c>
      <c r="C118" s="1">
        <v>2298</v>
      </c>
      <c r="D118" s="1">
        <v>-54.4</v>
      </c>
      <c r="E118" s="1">
        <v>5.3</v>
      </c>
      <c r="F118" s="1">
        <v>1.6</v>
      </c>
      <c r="G118">
        <v>0</v>
      </c>
      <c r="H118" s="1">
        <v>0</v>
      </c>
      <c r="I118" s="1">
        <v>0</v>
      </c>
      <c r="J118" s="1"/>
      <c r="K118" s="1">
        <v>350</v>
      </c>
      <c r="L118" s="1">
        <v>819</v>
      </c>
      <c r="M118" s="1">
        <v>3260</v>
      </c>
      <c r="N118" s="1">
        <v>-44.7</v>
      </c>
      <c r="O118" s="1">
        <v>4.4000000000000004</v>
      </c>
      <c r="P118" s="1">
        <v>1.3</v>
      </c>
      <c r="Q118" s="1">
        <v>0</v>
      </c>
      <c r="R118" s="1">
        <v>0</v>
      </c>
      <c r="S118" s="1">
        <v>0</v>
      </c>
    </row>
    <row r="119" spans="1:19" x14ac:dyDescent="0.25">
      <c r="A119" s="1">
        <v>375</v>
      </c>
      <c r="B119" s="1">
        <v>670</v>
      </c>
      <c r="C119" s="1">
        <v>2182</v>
      </c>
      <c r="D119" s="1">
        <v>-66.3</v>
      </c>
      <c r="E119" s="1">
        <v>6.1</v>
      </c>
      <c r="F119" s="1">
        <v>1.8</v>
      </c>
      <c r="G119">
        <v>0</v>
      </c>
      <c r="H119" s="1">
        <v>0</v>
      </c>
      <c r="I119" s="1">
        <v>0</v>
      </c>
      <c r="J119" s="1"/>
      <c r="K119" s="1">
        <v>375</v>
      </c>
      <c r="L119" s="1">
        <v>809</v>
      </c>
      <c r="M119" s="1">
        <v>3184</v>
      </c>
      <c r="N119" s="1">
        <v>-53.9</v>
      </c>
      <c r="O119" s="1">
        <v>4.9000000000000004</v>
      </c>
      <c r="P119" s="1">
        <v>1.4</v>
      </c>
      <c r="Q119" s="1">
        <v>0</v>
      </c>
      <c r="R119" s="1">
        <v>0</v>
      </c>
      <c r="S119" s="1">
        <v>0</v>
      </c>
    </row>
    <row r="120" spans="1:19" x14ac:dyDescent="0.25">
      <c r="A120" s="1">
        <v>400</v>
      </c>
      <c r="B120" s="1">
        <v>653</v>
      </c>
      <c r="C120" s="1">
        <v>2072</v>
      </c>
      <c r="D120" s="1">
        <v>-79.5</v>
      </c>
      <c r="E120" s="1">
        <v>6.8</v>
      </c>
      <c r="F120" s="1">
        <v>2</v>
      </c>
      <c r="G120">
        <v>0</v>
      </c>
      <c r="H120" s="1">
        <v>0</v>
      </c>
      <c r="I120" s="1">
        <v>0</v>
      </c>
      <c r="J120" s="1"/>
      <c r="K120" s="1">
        <v>400</v>
      </c>
      <c r="L120" s="1">
        <v>800</v>
      </c>
      <c r="M120" s="1">
        <v>3109</v>
      </c>
      <c r="N120" s="1">
        <v>-64</v>
      </c>
      <c r="O120" s="1">
        <v>5.5</v>
      </c>
      <c r="P120" s="1">
        <v>1.6</v>
      </c>
      <c r="Q120" s="1">
        <v>0</v>
      </c>
      <c r="R120" s="1">
        <v>0</v>
      </c>
      <c r="S120" s="1">
        <v>0</v>
      </c>
    </row>
    <row r="121" spans="1:19" x14ac:dyDescent="0.25">
      <c r="A121" s="1">
        <v>425</v>
      </c>
      <c r="B121" s="1">
        <v>636</v>
      </c>
      <c r="C121" s="1">
        <v>1965</v>
      </c>
      <c r="D121" s="1">
        <v>-94.9</v>
      </c>
      <c r="E121" s="1">
        <v>7.7</v>
      </c>
      <c r="F121" s="1">
        <v>2.2000000000000002</v>
      </c>
      <c r="G121">
        <v>0</v>
      </c>
      <c r="H121" s="1">
        <v>0</v>
      </c>
      <c r="I121" s="1">
        <v>0</v>
      </c>
      <c r="J121" s="1"/>
      <c r="K121" s="1">
        <v>425</v>
      </c>
      <c r="L121" s="1">
        <v>790</v>
      </c>
      <c r="M121" s="1">
        <v>3035</v>
      </c>
      <c r="N121" s="1">
        <v>-75.5</v>
      </c>
      <c r="O121" s="1">
        <v>6.1</v>
      </c>
      <c r="P121" s="1">
        <v>1.8</v>
      </c>
      <c r="Q121" s="1">
        <v>0</v>
      </c>
      <c r="R121" s="1">
        <v>0</v>
      </c>
      <c r="S121" s="1">
        <v>0</v>
      </c>
    </row>
    <row r="122" spans="1:19" x14ac:dyDescent="0.25">
      <c r="A122" s="1">
        <v>450</v>
      </c>
      <c r="B122" s="1">
        <v>619</v>
      </c>
      <c r="C122" s="1">
        <v>1863</v>
      </c>
      <c r="D122" s="1">
        <v>-111.3</v>
      </c>
      <c r="E122" s="1">
        <v>8.5</v>
      </c>
      <c r="F122" s="1">
        <v>2.5</v>
      </c>
      <c r="G122">
        <v>0</v>
      </c>
      <c r="H122" s="1">
        <v>0</v>
      </c>
      <c r="I122" s="1">
        <v>0</v>
      </c>
      <c r="J122" s="1"/>
      <c r="K122" s="1">
        <v>450</v>
      </c>
      <c r="L122" s="1">
        <v>781</v>
      </c>
      <c r="M122" s="1">
        <v>2963</v>
      </c>
      <c r="N122" s="1">
        <v>-87.6</v>
      </c>
      <c r="O122" s="1">
        <v>6.7</v>
      </c>
      <c r="P122" s="1">
        <v>1.9</v>
      </c>
      <c r="Q122" s="1">
        <v>0</v>
      </c>
      <c r="R122" s="1">
        <v>0</v>
      </c>
      <c r="S122" s="1">
        <v>0</v>
      </c>
    </row>
    <row r="123" spans="1:19" x14ac:dyDescent="0.25">
      <c r="A123" s="1">
        <v>475</v>
      </c>
      <c r="B123" s="1">
        <v>603</v>
      </c>
      <c r="C123" s="1">
        <v>1765</v>
      </c>
      <c r="D123" s="1">
        <v>-129.5</v>
      </c>
      <c r="E123" s="1">
        <v>9.4</v>
      </c>
      <c r="F123" s="1">
        <v>2.7</v>
      </c>
      <c r="G123">
        <v>0</v>
      </c>
      <c r="H123" s="1">
        <v>0</v>
      </c>
      <c r="I123" s="1">
        <v>0</v>
      </c>
      <c r="J123" s="1"/>
      <c r="K123" s="1">
        <v>475</v>
      </c>
      <c r="L123" s="1">
        <v>771</v>
      </c>
      <c r="M123" s="1">
        <v>2892</v>
      </c>
      <c r="N123" s="1">
        <v>-100.7</v>
      </c>
      <c r="O123" s="1">
        <v>7.3</v>
      </c>
      <c r="P123" s="1">
        <v>2.1</v>
      </c>
      <c r="Q123" s="1">
        <v>0</v>
      </c>
      <c r="R123" s="1">
        <v>0</v>
      </c>
      <c r="S123" s="1">
        <v>0</v>
      </c>
    </row>
    <row r="124" spans="1:19" x14ac:dyDescent="0.25">
      <c r="A124" s="1">
        <v>500</v>
      </c>
      <c r="B124" s="1">
        <v>587</v>
      </c>
      <c r="C124" s="1">
        <v>1676</v>
      </c>
      <c r="D124" s="1">
        <v>-149.4</v>
      </c>
      <c r="E124" s="1">
        <v>10.3</v>
      </c>
      <c r="F124" s="1">
        <v>3</v>
      </c>
      <c r="G124">
        <v>0</v>
      </c>
      <c r="H124" s="1">
        <v>0</v>
      </c>
      <c r="I124" s="1">
        <v>0</v>
      </c>
      <c r="J124" s="1"/>
      <c r="K124" s="1">
        <v>500</v>
      </c>
      <c r="L124" s="1">
        <v>762</v>
      </c>
      <c r="M124" s="1">
        <v>2826</v>
      </c>
      <c r="N124" s="1">
        <v>-114.9</v>
      </c>
      <c r="O124" s="1">
        <v>7.9</v>
      </c>
      <c r="P124" s="1">
        <v>2.2999999999999998</v>
      </c>
      <c r="Q124" s="1">
        <v>0</v>
      </c>
      <c r="R124" s="1">
        <v>0</v>
      </c>
      <c r="S124" s="1">
        <v>0</v>
      </c>
    </row>
    <row r="126" spans="1:19" x14ac:dyDescent="0.25">
      <c r="A126" t="s">
        <v>84</v>
      </c>
      <c r="K126" t="s">
        <v>76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39</v>
      </c>
      <c r="H127" t="s">
        <v>40</v>
      </c>
      <c r="I127" t="s">
        <v>41</v>
      </c>
      <c r="K127" t="s">
        <v>12</v>
      </c>
      <c r="L127" t="s">
        <v>13</v>
      </c>
      <c r="M127" t="s">
        <v>14</v>
      </c>
      <c r="N127" t="s">
        <v>15</v>
      </c>
      <c r="O127" t="s">
        <v>16</v>
      </c>
      <c r="P127" t="s">
        <v>17</v>
      </c>
      <c r="Q127" t="s">
        <v>39</v>
      </c>
      <c r="R127" t="s">
        <v>40</v>
      </c>
      <c r="S127" t="s">
        <v>41</v>
      </c>
    </row>
    <row r="128" spans="1:19" x14ac:dyDescent="0.25">
      <c r="A128" s="1">
        <v>0</v>
      </c>
      <c r="B128" s="1">
        <v>960</v>
      </c>
      <c r="C128" s="1">
        <v>4482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960</v>
      </c>
      <c r="M128" s="1">
        <v>4482</v>
      </c>
      <c r="N128" s="1">
        <v>-3.8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</row>
    <row r="129" spans="1:19" x14ac:dyDescent="0.25">
      <c r="A129" s="1">
        <v>25</v>
      </c>
      <c r="B129" s="1">
        <v>939</v>
      </c>
      <c r="C129" s="1">
        <v>4282</v>
      </c>
      <c r="D129" s="1">
        <v>-0.6</v>
      </c>
      <c r="E129" s="1">
        <v>0.9</v>
      </c>
      <c r="F129" s="1">
        <v>0.3</v>
      </c>
      <c r="G129">
        <v>0</v>
      </c>
      <c r="H129">
        <v>0</v>
      </c>
      <c r="I129">
        <v>0</v>
      </c>
      <c r="K129" s="1">
        <v>25</v>
      </c>
      <c r="L129" s="1">
        <v>950</v>
      </c>
      <c r="M129" s="1">
        <v>4384</v>
      </c>
      <c r="N129" s="1">
        <v>-1.4</v>
      </c>
      <c r="O129" s="1">
        <v>2</v>
      </c>
      <c r="P129" s="1">
        <v>0.6</v>
      </c>
      <c r="Q129" s="1">
        <v>0</v>
      </c>
      <c r="R129" s="1">
        <v>0</v>
      </c>
      <c r="S129" s="1">
        <v>0</v>
      </c>
    </row>
    <row r="130" spans="1:19" x14ac:dyDescent="0.25">
      <c r="A130" s="1">
        <v>50</v>
      </c>
      <c r="B130" s="1">
        <v>918</v>
      </c>
      <c r="C130" s="1">
        <v>4092</v>
      </c>
      <c r="D130" s="1">
        <v>1.9</v>
      </c>
      <c r="E130" s="1">
        <v>-1.3</v>
      </c>
      <c r="F130" s="1">
        <v>-0.4</v>
      </c>
      <c r="G130">
        <v>0</v>
      </c>
      <c r="H130">
        <v>0</v>
      </c>
      <c r="I130">
        <v>0</v>
      </c>
      <c r="K130" s="1">
        <v>50</v>
      </c>
      <c r="L130" s="1">
        <v>939</v>
      </c>
      <c r="M130" s="1">
        <v>4288</v>
      </c>
      <c r="N130" s="1">
        <v>0.3</v>
      </c>
      <c r="O130" s="1">
        <v>-0.2</v>
      </c>
      <c r="P130" s="1">
        <v>-0.1</v>
      </c>
      <c r="Q130" s="1">
        <v>0</v>
      </c>
      <c r="R130" s="1">
        <v>0</v>
      </c>
      <c r="S130" s="1">
        <v>0</v>
      </c>
    </row>
    <row r="131" spans="1:19" x14ac:dyDescent="0.25">
      <c r="A131" s="1">
        <v>75</v>
      </c>
      <c r="B131" s="1">
        <v>897</v>
      </c>
      <c r="C131" s="1">
        <v>3909</v>
      </c>
      <c r="D131" s="1">
        <v>3.7</v>
      </c>
      <c r="E131" s="1">
        <v>-1.7</v>
      </c>
      <c r="F131" s="1">
        <v>-0.5</v>
      </c>
      <c r="G131">
        <v>0</v>
      </c>
      <c r="H131">
        <v>0</v>
      </c>
      <c r="I131">
        <v>0</v>
      </c>
      <c r="K131" s="1">
        <v>75</v>
      </c>
      <c r="L131" s="1">
        <v>929</v>
      </c>
      <c r="M131" s="1">
        <v>4194</v>
      </c>
      <c r="N131" s="1">
        <v>1.3</v>
      </c>
      <c r="O131" s="1">
        <v>-0.6</v>
      </c>
      <c r="P131" s="1">
        <v>-0.2</v>
      </c>
      <c r="Q131" s="1">
        <v>0</v>
      </c>
      <c r="R131" s="1">
        <v>0</v>
      </c>
      <c r="S131" s="1">
        <v>0</v>
      </c>
    </row>
    <row r="132" spans="1:19" x14ac:dyDescent="0.25">
      <c r="A132" s="1">
        <v>100</v>
      </c>
      <c r="B132" s="1">
        <v>876</v>
      </c>
      <c r="C132" s="1">
        <v>3733</v>
      </c>
      <c r="D132" s="1">
        <v>4.5999999999999996</v>
      </c>
      <c r="E132" s="1">
        <v>-1.6</v>
      </c>
      <c r="F132" s="1">
        <v>-0.5</v>
      </c>
      <c r="G132">
        <v>0</v>
      </c>
      <c r="H132">
        <v>0</v>
      </c>
      <c r="I132">
        <v>0</v>
      </c>
      <c r="K132" s="1">
        <v>100</v>
      </c>
      <c r="L132" s="1">
        <v>919</v>
      </c>
      <c r="M132" s="1">
        <v>4101</v>
      </c>
      <c r="N132" s="1">
        <v>1.6</v>
      </c>
      <c r="O132" s="1">
        <v>-0.6</v>
      </c>
      <c r="P132" s="1">
        <v>-0.2</v>
      </c>
      <c r="Q132" s="1">
        <v>0</v>
      </c>
      <c r="R132" s="1">
        <v>0</v>
      </c>
      <c r="S132" s="1">
        <v>0</v>
      </c>
    </row>
    <row r="133" spans="1:19" x14ac:dyDescent="0.25">
      <c r="A133" s="1">
        <v>125</v>
      </c>
      <c r="B133" s="1">
        <v>856</v>
      </c>
      <c r="C133" s="1">
        <v>3564</v>
      </c>
      <c r="D133" s="1">
        <v>4.8</v>
      </c>
      <c r="E133" s="1">
        <v>-1.3</v>
      </c>
      <c r="F133" s="1">
        <v>-0.4</v>
      </c>
      <c r="G133">
        <v>0</v>
      </c>
      <c r="H133">
        <v>0</v>
      </c>
      <c r="I133">
        <v>0</v>
      </c>
      <c r="K133" s="1">
        <v>125</v>
      </c>
      <c r="L133" s="1">
        <v>908</v>
      </c>
      <c r="M133" s="1">
        <v>4010</v>
      </c>
      <c r="N133" s="1">
        <v>1.2</v>
      </c>
      <c r="O133" s="1">
        <v>-0.3</v>
      </c>
      <c r="P133" s="1">
        <v>-0.1</v>
      </c>
      <c r="Q133" s="1">
        <v>0</v>
      </c>
      <c r="R133" s="1">
        <v>0</v>
      </c>
      <c r="S133" s="1">
        <v>0</v>
      </c>
    </row>
    <row r="134" spans="1:19" x14ac:dyDescent="0.25">
      <c r="A134" s="10">
        <v>150</v>
      </c>
      <c r="B134" s="10">
        <v>836</v>
      </c>
      <c r="C134" s="10">
        <v>3401</v>
      </c>
      <c r="D134" s="10">
        <v>4.0999999999999996</v>
      </c>
      <c r="E134" s="10">
        <v>-1</v>
      </c>
      <c r="F134" s="10">
        <v>-0.3</v>
      </c>
      <c r="G134">
        <v>0</v>
      </c>
      <c r="H134">
        <v>0</v>
      </c>
      <c r="I134">
        <v>0</v>
      </c>
      <c r="K134" s="1">
        <v>150</v>
      </c>
      <c r="L134" s="1">
        <v>898</v>
      </c>
      <c r="M134" s="1">
        <v>3920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1:19" x14ac:dyDescent="0.25">
      <c r="A135" s="1">
        <v>175</v>
      </c>
      <c r="B135" s="1">
        <v>817</v>
      </c>
      <c r="C135" s="1">
        <v>3244</v>
      </c>
      <c r="D135" s="1">
        <v>2.6</v>
      </c>
      <c r="E135" s="1">
        <v>-0.5</v>
      </c>
      <c r="F135" s="1">
        <v>-0.1</v>
      </c>
      <c r="G135">
        <v>0</v>
      </c>
      <c r="H135">
        <v>0</v>
      </c>
      <c r="I135">
        <v>0</v>
      </c>
      <c r="K135" s="1">
        <v>175</v>
      </c>
      <c r="L135" s="1">
        <v>888</v>
      </c>
      <c r="M135" s="1">
        <v>3833</v>
      </c>
      <c r="N135" s="1">
        <v>-1.9</v>
      </c>
      <c r="O135" s="1">
        <v>0.4</v>
      </c>
      <c r="P135" s="1">
        <v>0.1</v>
      </c>
      <c r="Q135" s="1">
        <v>0</v>
      </c>
      <c r="R135" s="1">
        <v>0</v>
      </c>
      <c r="S135" s="1">
        <v>0</v>
      </c>
    </row>
    <row r="136" spans="1:19" x14ac:dyDescent="0.25">
      <c r="A136" s="1">
        <v>200</v>
      </c>
      <c r="B136" s="1">
        <v>798</v>
      </c>
      <c r="C136" s="1">
        <v>3093</v>
      </c>
      <c r="D136" s="1">
        <v>0</v>
      </c>
      <c r="E136" s="1">
        <v>0</v>
      </c>
      <c r="F136" s="1">
        <v>0</v>
      </c>
      <c r="G136">
        <v>0</v>
      </c>
      <c r="H136">
        <v>0</v>
      </c>
      <c r="I136">
        <v>0</v>
      </c>
      <c r="K136" s="1">
        <v>200</v>
      </c>
      <c r="L136" s="1">
        <v>878</v>
      </c>
      <c r="M136" s="1">
        <v>3746</v>
      </c>
      <c r="N136" s="1">
        <v>-4.7</v>
      </c>
      <c r="O136" s="1">
        <v>0.8</v>
      </c>
      <c r="P136" s="1">
        <v>0.2</v>
      </c>
      <c r="Q136" s="1">
        <v>0</v>
      </c>
      <c r="R136" s="1">
        <v>0</v>
      </c>
      <c r="S136" s="1">
        <v>0</v>
      </c>
    </row>
    <row r="137" spans="1:19" x14ac:dyDescent="0.25">
      <c r="A137" s="1">
        <v>225</v>
      </c>
      <c r="B137" s="1">
        <v>779</v>
      </c>
      <c r="C137" s="1">
        <v>2947</v>
      </c>
      <c r="D137" s="1">
        <v>-3.5</v>
      </c>
      <c r="E137" s="1">
        <v>0.5</v>
      </c>
      <c r="F137" s="1">
        <v>0.2</v>
      </c>
      <c r="G137">
        <v>0</v>
      </c>
      <c r="H137">
        <v>0</v>
      </c>
      <c r="I137">
        <v>0</v>
      </c>
      <c r="K137" s="1">
        <v>225</v>
      </c>
      <c r="L137" s="1">
        <v>868</v>
      </c>
      <c r="M137" s="1">
        <v>3662</v>
      </c>
      <c r="N137" s="1">
        <v>-8.1999999999999993</v>
      </c>
      <c r="O137" s="1">
        <v>1.3</v>
      </c>
      <c r="P137" s="1">
        <v>0.4</v>
      </c>
      <c r="Q137" s="1">
        <v>0</v>
      </c>
      <c r="R137" s="1">
        <v>0</v>
      </c>
      <c r="S137" s="1">
        <v>0</v>
      </c>
    </row>
    <row r="138" spans="1:19" x14ac:dyDescent="0.25">
      <c r="A138" s="1">
        <v>250</v>
      </c>
      <c r="B138" s="1">
        <v>760</v>
      </c>
      <c r="C138" s="1">
        <v>2807</v>
      </c>
      <c r="D138" s="1">
        <v>-8</v>
      </c>
      <c r="E138" s="1">
        <v>1.1000000000000001</v>
      </c>
      <c r="F138" s="1">
        <v>0.3</v>
      </c>
      <c r="G138">
        <v>0</v>
      </c>
      <c r="H138">
        <v>0</v>
      </c>
      <c r="I138">
        <v>0</v>
      </c>
      <c r="K138" s="1">
        <v>250</v>
      </c>
      <c r="L138" s="1">
        <v>858</v>
      </c>
      <c r="M138" s="1">
        <v>3578</v>
      </c>
      <c r="N138" s="1">
        <v>-12.5</v>
      </c>
      <c r="O138" s="1">
        <v>1.7</v>
      </c>
      <c r="P138" s="1">
        <v>0.5</v>
      </c>
      <c r="Q138" s="1">
        <v>0</v>
      </c>
      <c r="R138" s="1">
        <v>0</v>
      </c>
      <c r="S138" s="1">
        <v>0</v>
      </c>
    </row>
    <row r="139" spans="1:19" x14ac:dyDescent="0.25">
      <c r="A139" s="1">
        <v>275</v>
      </c>
      <c r="B139" s="1">
        <v>741</v>
      </c>
      <c r="C139" s="1">
        <v>2672</v>
      </c>
      <c r="D139" s="1">
        <v>-13.8</v>
      </c>
      <c r="E139" s="1">
        <v>1.7</v>
      </c>
      <c r="F139" s="1">
        <v>0.5</v>
      </c>
      <c r="G139">
        <v>0</v>
      </c>
      <c r="H139">
        <v>0</v>
      </c>
      <c r="I139">
        <v>0</v>
      </c>
      <c r="K139" s="1">
        <v>275</v>
      </c>
      <c r="L139" s="1">
        <v>848</v>
      </c>
      <c r="M139" s="1">
        <v>3497</v>
      </c>
      <c r="N139" s="1">
        <v>-17.899999999999999</v>
      </c>
      <c r="O139" s="1">
        <v>2.2000000000000002</v>
      </c>
      <c r="P139" s="1">
        <v>0.6</v>
      </c>
      <c r="Q139" s="1">
        <v>0</v>
      </c>
      <c r="R139" s="1">
        <v>0</v>
      </c>
      <c r="S139" s="1">
        <v>0</v>
      </c>
    </row>
    <row r="140" spans="1:19" x14ac:dyDescent="0.25">
      <c r="A140" s="1">
        <v>300</v>
      </c>
      <c r="B140" s="1">
        <v>723</v>
      </c>
      <c r="C140" s="1">
        <v>2543</v>
      </c>
      <c r="D140" s="1">
        <v>-20.6</v>
      </c>
      <c r="E140" s="1">
        <v>2.4</v>
      </c>
      <c r="F140" s="1">
        <v>0.7</v>
      </c>
      <c r="G140">
        <v>0</v>
      </c>
      <c r="H140">
        <v>0</v>
      </c>
      <c r="I140">
        <v>0</v>
      </c>
      <c r="K140" s="1">
        <v>300</v>
      </c>
      <c r="L140" s="1">
        <v>838</v>
      </c>
      <c r="M140" s="1">
        <v>3416</v>
      </c>
      <c r="N140" s="1">
        <v>-23.9</v>
      </c>
      <c r="O140" s="1">
        <v>2.7</v>
      </c>
      <c r="P140" s="1">
        <v>0.8</v>
      </c>
      <c r="Q140" s="1">
        <v>0</v>
      </c>
      <c r="R140" s="1">
        <v>0</v>
      </c>
      <c r="S140" s="1">
        <v>0</v>
      </c>
    </row>
    <row r="141" spans="1:19" x14ac:dyDescent="0.25">
      <c r="A141" s="1">
        <v>325</v>
      </c>
      <c r="B141" s="1">
        <v>705</v>
      </c>
      <c r="C141" s="1">
        <v>2418</v>
      </c>
      <c r="D141" s="1">
        <v>-28.6</v>
      </c>
      <c r="E141" s="1">
        <v>3</v>
      </c>
      <c r="F141" s="1">
        <v>0.9</v>
      </c>
      <c r="G141">
        <v>0</v>
      </c>
      <c r="H141">
        <v>0</v>
      </c>
      <c r="I141">
        <v>0</v>
      </c>
      <c r="K141" s="1">
        <v>325</v>
      </c>
      <c r="L141" s="1">
        <v>829</v>
      </c>
      <c r="M141" s="1">
        <v>3337</v>
      </c>
      <c r="N141" s="1">
        <v>-30.8</v>
      </c>
      <c r="O141" s="1">
        <v>3.3</v>
      </c>
      <c r="P141" s="1">
        <v>0.9</v>
      </c>
      <c r="Q141" s="1">
        <v>0</v>
      </c>
      <c r="R141" s="1">
        <v>0</v>
      </c>
      <c r="S141" s="1">
        <v>0</v>
      </c>
    </row>
    <row r="142" spans="1:19" x14ac:dyDescent="0.25">
      <c r="A142" s="1">
        <v>350</v>
      </c>
      <c r="B142" s="1">
        <v>688</v>
      </c>
      <c r="C142" s="1">
        <v>2298</v>
      </c>
      <c r="D142" s="1">
        <v>-38.299999999999997</v>
      </c>
      <c r="E142" s="1">
        <v>3.8</v>
      </c>
      <c r="F142" s="1">
        <v>1.1000000000000001</v>
      </c>
      <c r="G142">
        <v>0</v>
      </c>
      <c r="H142">
        <v>0</v>
      </c>
      <c r="I142">
        <v>0</v>
      </c>
      <c r="K142" s="1">
        <v>350</v>
      </c>
      <c r="L142" s="1">
        <v>819</v>
      </c>
      <c r="M142" s="1">
        <v>3260</v>
      </c>
      <c r="N142" s="1">
        <v>-38.9</v>
      </c>
      <c r="O142" s="1">
        <v>3.8</v>
      </c>
      <c r="P142" s="1">
        <v>1.1000000000000001</v>
      </c>
      <c r="Q142" s="1">
        <v>0</v>
      </c>
      <c r="R142" s="1">
        <v>0</v>
      </c>
      <c r="S142" s="1">
        <v>0</v>
      </c>
    </row>
    <row r="143" spans="1:19" x14ac:dyDescent="0.25">
      <c r="A143" s="1">
        <v>375</v>
      </c>
      <c r="B143" s="1">
        <v>670</v>
      </c>
      <c r="C143" s="1">
        <v>2182</v>
      </c>
      <c r="D143" s="1">
        <v>-48.9</v>
      </c>
      <c r="E143" s="1">
        <v>4.5</v>
      </c>
      <c r="F143" s="1">
        <v>1.3</v>
      </c>
      <c r="G143">
        <v>0</v>
      </c>
      <c r="H143">
        <v>0</v>
      </c>
      <c r="I143">
        <v>0</v>
      </c>
      <c r="K143" s="1">
        <v>375</v>
      </c>
      <c r="L143" s="1">
        <v>809</v>
      </c>
      <c r="M143" s="1">
        <v>3184</v>
      </c>
      <c r="N143" s="1">
        <v>-47.7</v>
      </c>
      <c r="O143" s="1">
        <v>4.4000000000000004</v>
      </c>
      <c r="P143" s="1">
        <v>1.3</v>
      </c>
      <c r="Q143" s="1">
        <v>0</v>
      </c>
      <c r="R143" s="1">
        <v>0</v>
      </c>
      <c r="S143" s="1">
        <v>0</v>
      </c>
    </row>
    <row r="144" spans="1:19" x14ac:dyDescent="0.25">
      <c r="A144" s="1">
        <v>400</v>
      </c>
      <c r="B144" s="1">
        <v>653</v>
      </c>
      <c r="C144" s="1">
        <v>2072</v>
      </c>
      <c r="D144" s="1">
        <v>-61</v>
      </c>
      <c r="E144" s="1">
        <v>5.2</v>
      </c>
      <c r="F144" s="1">
        <v>1.5</v>
      </c>
      <c r="G144">
        <v>0</v>
      </c>
      <c r="H144">
        <v>0</v>
      </c>
      <c r="I144">
        <v>0</v>
      </c>
      <c r="K144" s="1">
        <v>400</v>
      </c>
      <c r="L144" s="1">
        <v>800</v>
      </c>
      <c r="M144" s="1">
        <v>3109</v>
      </c>
      <c r="N144" s="1">
        <v>-57.4</v>
      </c>
      <c r="O144" s="1">
        <v>4.9000000000000004</v>
      </c>
      <c r="P144" s="1">
        <v>1.4</v>
      </c>
      <c r="Q144" s="1">
        <v>0</v>
      </c>
      <c r="R144" s="1">
        <v>0</v>
      </c>
      <c r="S144" s="1">
        <v>0</v>
      </c>
    </row>
    <row r="145" spans="1:19" x14ac:dyDescent="0.25">
      <c r="A145" s="1">
        <v>425</v>
      </c>
      <c r="B145" s="1">
        <v>636</v>
      </c>
      <c r="C145" s="1">
        <v>1965</v>
      </c>
      <c r="D145" s="1">
        <v>-75.2</v>
      </c>
      <c r="E145" s="1">
        <v>6.1</v>
      </c>
      <c r="F145" s="1">
        <v>1.8</v>
      </c>
      <c r="G145">
        <v>0</v>
      </c>
      <c r="H145">
        <v>0</v>
      </c>
      <c r="I145">
        <v>0</v>
      </c>
      <c r="K145" s="1">
        <v>425</v>
      </c>
      <c r="L145" s="1">
        <v>790</v>
      </c>
      <c r="M145" s="1">
        <v>3035</v>
      </c>
      <c r="N145" s="1">
        <v>-68.5</v>
      </c>
      <c r="O145" s="1">
        <v>5.5</v>
      </c>
      <c r="P145" s="1">
        <v>1.6</v>
      </c>
      <c r="Q145" s="1">
        <v>0</v>
      </c>
      <c r="R145" s="1">
        <v>0</v>
      </c>
      <c r="S145" s="1">
        <v>0</v>
      </c>
    </row>
    <row r="146" spans="1:19" x14ac:dyDescent="0.25">
      <c r="A146" s="1">
        <v>450</v>
      </c>
      <c r="B146" s="1">
        <v>619</v>
      </c>
      <c r="C146" s="1">
        <v>1863</v>
      </c>
      <c r="D146" s="1">
        <v>-90.5</v>
      </c>
      <c r="E146" s="1">
        <v>6.9</v>
      </c>
      <c r="F146" s="1">
        <v>2</v>
      </c>
      <c r="G146">
        <v>0</v>
      </c>
      <c r="H146">
        <v>0</v>
      </c>
      <c r="I146">
        <v>0</v>
      </c>
      <c r="K146" s="1">
        <v>450</v>
      </c>
      <c r="L146" s="1">
        <v>781</v>
      </c>
      <c r="M146" s="1">
        <v>2963</v>
      </c>
      <c r="N146" s="1">
        <v>-80.2</v>
      </c>
      <c r="O146" s="1">
        <v>6.1</v>
      </c>
      <c r="P146" s="1">
        <v>1.8</v>
      </c>
      <c r="Q146" s="1">
        <v>0</v>
      </c>
      <c r="R146" s="1">
        <v>0</v>
      </c>
      <c r="S146" s="1">
        <v>0</v>
      </c>
    </row>
    <row r="147" spans="1:19" x14ac:dyDescent="0.25">
      <c r="A147" s="1">
        <v>475</v>
      </c>
      <c r="B147" s="1">
        <v>603</v>
      </c>
      <c r="C147" s="1">
        <v>1765</v>
      </c>
      <c r="D147" s="1">
        <v>-107.5</v>
      </c>
      <c r="E147" s="1">
        <v>7.8</v>
      </c>
      <c r="F147" s="1">
        <v>2.2999999999999998</v>
      </c>
      <c r="G147">
        <v>0</v>
      </c>
      <c r="H147">
        <v>0</v>
      </c>
      <c r="I147">
        <v>0</v>
      </c>
      <c r="K147" s="1">
        <v>475</v>
      </c>
      <c r="L147" s="1">
        <v>771</v>
      </c>
      <c r="M147" s="1">
        <v>2892</v>
      </c>
      <c r="N147" s="1">
        <v>-92.9</v>
      </c>
      <c r="O147" s="1">
        <v>6.7</v>
      </c>
      <c r="P147" s="1">
        <v>2</v>
      </c>
      <c r="Q147" s="1">
        <v>0</v>
      </c>
      <c r="R147" s="1">
        <v>0</v>
      </c>
      <c r="S147" s="1">
        <v>0</v>
      </c>
    </row>
    <row r="148" spans="1:19" x14ac:dyDescent="0.25">
      <c r="A148" s="1">
        <v>500</v>
      </c>
      <c r="B148" s="1">
        <v>587</v>
      </c>
      <c r="C148" s="1">
        <v>1676</v>
      </c>
      <c r="D148" s="1">
        <v>-126.3</v>
      </c>
      <c r="E148" s="1">
        <v>8.6999999999999993</v>
      </c>
      <c r="F148" s="1">
        <v>2.5</v>
      </c>
      <c r="G148">
        <v>0</v>
      </c>
      <c r="H148">
        <v>0</v>
      </c>
      <c r="I148">
        <v>0</v>
      </c>
      <c r="K148" s="1">
        <v>500</v>
      </c>
      <c r="L148" s="1">
        <v>762</v>
      </c>
      <c r="M148" s="1">
        <v>2826</v>
      </c>
      <c r="N148" s="1">
        <v>-106.7</v>
      </c>
      <c r="O148" s="1">
        <v>7.3</v>
      </c>
      <c r="P148" s="1">
        <v>2.1</v>
      </c>
      <c r="Q148" s="1">
        <v>0</v>
      </c>
      <c r="R148" s="1">
        <v>0</v>
      </c>
      <c r="S148" s="1">
        <v>0</v>
      </c>
    </row>
    <row r="150" spans="1:19" x14ac:dyDescent="0.25">
      <c r="A150" t="s">
        <v>83</v>
      </c>
      <c r="K150" t="s">
        <v>77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39</v>
      </c>
      <c r="H151" t="s">
        <v>40</v>
      </c>
      <c r="I151" t="s">
        <v>41</v>
      </c>
      <c r="K151" t="s">
        <v>12</v>
      </c>
      <c r="L151" t="s">
        <v>13</v>
      </c>
      <c r="M151" t="s">
        <v>14</v>
      </c>
      <c r="N151" t="s">
        <v>15</v>
      </c>
      <c r="O151" t="s">
        <v>16</v>
      </c>
      <c r="P151" t="s">
        <v>17</v>
      </c>
      <c r="Q151" t="s">
        <v>39</v>
      </c>
      <c r="R151" t="s">
        <v>40</v>
      </c>
      <c r="S151" t="s">
        <v>41</v>
      </c>
    </row>
    <row r="152" spans="1:19" x14ac:dyDescent="0.25">
      <c r="A152" s="1">
        <v>0</v>
      </c>
      <c r="B152" s="1">
        <v>960</v>
      </c>
      <c r="C152" s="1">
        <v>4482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960</v>
      </c>
      <c r="M152" s="1">
        <v>4482</v>
      </c>
      <c r="N152" s="1">
        <v>-3.8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1:19" x14ac:dyDescent="0.25">
      <c r="A153" s="1">
        <v>25</v>
      </c>
      <c r="B153" s="1">
        <v>939</v>
      </c>
      <c r="C153" s="1">
        <v>4282</v>
      </c>
      <c r="D153" s="1">
        <v>-0.6</v>
      </c>
      <c r="E153" s="1">
        <v>0.9</v>
      </c>
      <c r="F153" s="1">
        <v>0.3</v>
      </c>
      <c r="G153">
        <v>0</v>
      </c>
      <c r="H153">
        <v>0</v>
      </c>
      <c r="I153">
        <v>0</v>
      </c>
      <c r="K153" s="1">
        <v>25</v>
      </c>
      <c r="L153" s="1">
        <v>950</v>
      </c>
      <c r="M153" s="1">
        <v>4384</v>
      </c>
      <c r="N153" s="1">
        <v>-0.8</v>
      </c>
      <c r="O153" s="1">
        <v>1.2</v>
      </c>
      <c r="P153" s="1">
        <v>0.3</v>
      </c>
      <c r="Q153" s="1">
        <v>0</v>
      </c>
      <c r="R153" s="1">
        <v>0</v>
      </c>
      <c r="S153" s="1">
        <v>0</v>
      </c>
    </row>
    <row r="154" spans="1:19" x14ac:dyDescent="0.25">
      <c r="A154" s="1">
        <v>50</v>
      </c>
      <c r="B154" s="1">
        <v>918</v>
      </c>
      <c r="C154" s="1">
        <v>4092</v>
      </c>
      <c r="D154" s="1">
        <v>1.9</v>
      </c>
      <c r="E154" s="1">
        <v>-1.3</v>
      </c>
      <c r="F154" s="1">
        <v>-0.4</v>
      </c>
      <c r="G154">
        <v>0</v>
      </c>
      <c r="H154">
        <v>0</v>
      </c>
      <c r="I154">
        <v>0</v>
      </c>
      <c r="K154" s="1">
        <v>50</v>
      </c>
      <c r="L154" s="1">
        <v>939</v>
      </c>
      <c r="M154" s="1">
        <v>4288</v>
      </c>
      <c r="N154" s="1">
        <v>1.5</v>
      </c>
      <c r="O154" s="1">
        <v>-1</v>
      </c>
      <c r="P154" s="1">
        <v>-0.3</v>
      </c>
      <c r="Q154" s="1">
        <v>0</v>
      </c>
      <c r="R154" s="1">
        <v>0</v>
      </c>
      <c r="S154" s="1">
        <v>0</v>
      </c>
    </row>
    <row r="155" spans="1:19" x14ac:dyDescent="0.25">
      <c r="A155" s="1">
        <v>75</v>
      </c>
      <c r="B155" s="1">
        <v>897</v>
      </c>
      <c r="C155" s="1">
        <v>3909</v>
      </c>
      <c r="D155" s="1">
        <v>3.7</v>
      </c>
      <c r="E155" s="1">
        <v>-1.7</v>
      </c>
      <c r="F155" s="1">
        <v>-0.5</v>
      </c>
      <c r="G155">
        <v>0</v>
      </c>
      <c r="H155">
        <v>0</v>
      </c>
      <c r="I155">
        <v>0</v>
      </c>
      <c r="K155" s="1">
        <v>75</v>
      </c>
      <c r="L155" s="1">
        <v>929</v>
      </c>
      <c r="M155" s="1">
        <v>4194</v>
      </c>
      <c r="N155" s="1">
        <v>3.1</v>
      </c>
      <c r="O155" s="1">
        <v>-1.4</v>
      </c>
      <c r="P155" s="1">
        <v>-0.4</v>
      </c>
      <c r="Q155" s="1">
        <v>0</v>
      </c>
      <c r="R155" s="1">
        <v>0</v>
      </c>
      <c r="S155" s="1">
        <v>0</v>
      </c>
    </row>
    <row r="156" spans="1:19" x14ac:dyDescent="0.25">
      <c r="A156" s="1">
        <v>100</v>
      </c>
      <c r="B156" s="1">
        <v>876</v>
      </c>
      <c r="C156" s="1">
        <v>3733</v>
      </c>
      <c r="D156" s="1">
        <v>4.5999999999999996</v>
      </c>
      <c r="E156" s="1">
        <v>-1.6</v>
      </c>
      <c r="F156" s="1">
        <v>-0.5</v>
      </c>
      <c r="G156">
        <v>0</v>
      </c>
      <c r="H156">
        <v>0</v>
      </c>
      <c r="I156">
        <v>0</v>
      </c>
      <c r="K156" s="1">
        <v>100</v>
      </c>
      <c r="L156" s="1">
        <v>919</v>
      </c>
      <c r="M156" s="1">
        <v>4101</v>
      </c>
      <c r="N156" s="1">
        <v>4</v>
      </c>
      <c r="O156" s="1">
        <v>-1.4</v>
      </c>
      <c r="P156" s="1">
        <v>-0.4</v>
      </c>
      <c r="Q156" s="1">
        <v>0</v>
      </c>
      <c r="R156" s="1">
        <v>0</v>
      </c>
      <c r="S156" s="1">
        <v>0</v>
      </c>
    </row>
    <row r="157" spans="1:19" x14ac:dyDescent="0.25">
      <c r="A157" s="1">
        <v>125</v>
      </c>
      <c r="B157" s="1">
        <v>856</v>
      </c>
      <c r="C157" s="1">
        <v>3564</v>
      </c>
      <c r="D157" s="1">
        <v>4.8</v>
      </c>
      <c r="E157" s="1">
        <v>-1.3</v>
      </c>
      <c r="F157" s="1">
        <v>-0.4</v>
      </c>
      <c r="G157">
        <v>0</v>
      </c>
      <c r="H157">
        <v>0</v>
      </c>
      <c r="I157">
        <v>0</v>
      </c>
      <c r="K157" s="1">
        <v>125</v>
      </c>
      <c r="L157" s="1">
        <v>908</v>
      </c>
      <c r="M157" s="1">
        <v>4010</v>
      </c>
      <c r="N157" s="1">
        <v>4.0999999999999996</v>
      </c>
      <c r="O157" s="1">
        <v>-1.1000000000000001</v>
      </c>
      <c r="P157" s="1">
        <v>-0.3</v>
      </c>
      <c r="Q157" s="1">
        <v>0</v>
      </c>
      <c r="R157" s="1">
        <v>0</v>
      </c>
      <c r="S157" s="1">
        <v>0</v>
      </c>
    </row>
    <row r="158" spans="1:19" x14ac:dyDescent="0.25">
      <c r="A158" s="1">
        <v>150</v>
      </c>
      <c r="B158" s="1">
        <v>836</v>
      </c>
      <c r="C158" s="1">
        <v>3401</v>
      </c>
      <c r="D158" s="1">
        <v>4.0999999999999996</v>
      </c>
      <c r="E158" s="1">
        <v>-1</v>
      </c>
      <c r="F158" s="1">
        <v>-0.3</v>
      </c>
      <c r="G158">
        <v>0</v>
      </c>
      <c r="H158">
        <v>0</v>
      </c>
      <c r="I158">
        <v>0</v>
      </c>
      <c r="K158" s="1">
        <v>150</v>
      </c>
      <c r="L158" s="1">
        <v>898</v>
      </c>
      <c r="M158" s="1">
        <v>3920</v>
      </c>
      <c r="N158" s="1">
        <v>3.6</v>
      </c>
      <c r="O158" s="1">
        <v>-0.8</v>
      </c>
      <c r="P158" s="1">
        <v>-0.2</v>
      </c>
      <c r="Q158" s="1">
        <v>0</v>
      </c>
      <c r="R158" s="1">
        <v>0</v>
      </c>
      <c r="S158" s="1">
        <v>0</v>
      </c>
    </row>
    <row r="159" spans="1:19" x14ac:dyDescent="0.25">
      <c r="A159" s="1">
        <v>175</v>
      </c>
      <c r="B159" s="1">
        <v>817</v>
      </c>
      <c r="C159" s="1">
        <v>3244</v>
      </c>
      <c r="D159" s="1">
        <v>2.6</v>
      </c>
      <c r="E159" s="1">
        <v>-0.5</v>
      </c>
      <c r="F159" s="1">
        <v>-0.1</v>
      </c>
      <c r="G159">
        <v>0</v>
      </c>
      <c r="H159">
        <v>0</v>
      </c>
      <c r="I159">
        <v>0</v>
      </c>
      <c r="K159" s="1">
        <v>175</v>
      </c>
      <c r="L159" s="1">
        <v>888</v>
      </c>
      <c r="M159" s="1">
        <v>3833</v>
      </c>
      <c r="N159" s="1">
        <v>2.2000000000000002</v>
      </c>
      <c r="O159" s="1">
        <v>-0.4</v>
      </c>
      <c r="P159" s="1">
        <v>-0.1</v>
      </c>
      <c r="Q159" s="1">
        <v>0</v>
      </c>
      <c r="R159" s="1">
        <v>0</v>
      </c>
      <c r="S159" s="1">
        <v>0</v>
      </c>
    </row>
    <row r="160" spans="1:19" x14ac:dyDescent="0.25">
      <c r="A160" s="10">
        <v>200</v>
      </c>
      <c r="B160" s="10">
        <v>798</v>
      </c>
      <c r="C160" s="10">
        <v>3093</v>
      </c>
      <c r="D160" s="10">
        <v>0</v>
      </c>
      <c r="E160" s="10">
        <v>0</v>
      </c>
      <c r="F160" s="10">
        <v>0</v>
      </c>
      <c r="G160">
        <v>0</v>
      </c>
      <c r="H160">
        <v>0</v>
      </c>
      <c r="I160">
        <v>0</v>
      </c>
      <c r="K160" s="1">
        <v>200</v>
      </c>
      <c r="L160" s="1">
        <v>878</v>
      </c>
      <c r="M160" s="1">
        <v>3746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1:19" x14ac:dyDescent="0.25">
      <c r="A161" s="1">
        <v>225</v>
      </c>
      <c r="B161" s="1">
        <v>779</v>
      </c>
      <c r="C161" s="1">
        <v>2947</v>
      </c>
      <c r="D161" s="1">
        <v>-3.5</v>
      </c>
      <c r="E161" s="1">
        <v>0.5</v>
      </c>
      <c r="F161" s="1">
        <v>0.2</v>
      </c>
      <c r="G161">
        <v>0</v>
      </c>
      <c r="H161">
        <v>0</v>
      </c>
      <c r="I161">
        <v>0</v>
      </c>
      <c r="K161" s="1">
        <v>225</v>
      </c>
      <c r="L161" s="1">
        <v>868</v>
      </c>
      <c r="M161" s="1">
        <v>3662</v>
      </c>
      <c r="N161" s="1">
        <v>-2.9</v>
      </c>
      <c r="O161" s="1">
        <v>0.4</v>
      </c>
      <c r="P161" s="1">
        <v>0.1</v>
      </c>
      <c r="Q161" s="1">
        <v>0</v>
      </c>
      <c r="R161" s="1">
        <v>0</v>
      </c>
      <c r="S161" s="1">
        <v>0</v>
      </c>
    </row>
    <row r="162" spans="1:19" x14ac:dyDescent="0.25">
      <c r="A162" s="1">
        <v>250</v>
      </c>
      <c r="B162" s="1">
        <v>760</v>
      </c>
      <c r="C162" s="1">
        <v>2807</v>
      </c>
      <c r="D162" s="1">
        <v>-8</v>
      </c>
      <c r="E162" s="1">
        <v>1.1000000000000001</v>
      </c>
      <c r="F162" s="1">
        <v>0.3</v>
      </c>
      <c r="G162">
        <v>0</v>
      </c>
      <c r="H162">
        <v>0</v>
      </c>
      <c r="I162">
        <v>0</v>
      </c>
      <c r="K162" s="1">
        <v>250</v>
      </c>
      <c r="L162" s="1">
        <v>858</v>
      </c>
      <c r="M162" s="1">
        <v>3578</v>
      </c>
      <c r="N162" s="1">
        <v>-6.7</v>
      </c>
      <c r="O162" s="1">
        <v>0.9</v>
      </c>
      <c r="P162" s="1">
        <v>0.3</v>
      </c>
      <c r="Q162" s="1">
        <v>0</v>
      </c>
      <c r="R162" s="1">
        <v>0</v>
      </c>
      <c r="S162" s="1">
        <v>0</v>
      </c>
    </row>
    <row r="163" spans="1:19" x14ac:dyDescent="0.25">
      <c r="A163" s="1">
        <v>275</v>
      </c>
      <c r="B163" s="1">
        <v>741</v>
      </c>
      <c r="C163" s="1">
        <v>2672</v>
      </c>
      <c r="D163" s="1">
        <v>-13.8</v>
      </c>
      <c r="E163" s="1">
        <v>1.7</v>
      </c>
      <c r="F163" s="1">
        <v>0.5</v>
      </c>
      <c r="G163">
        <v>0</v>
      </c>
      <c r="H163">
        <v>0</v>
      </c>
      <c r="I163">
        <v>0</v>
      </c>
      <c r="K163" s="1">
        <v>275</v>
      </c>
      <c r="L163" s="1">
        <v>848</v>
      </c>
      <c r="M163" s="1">
        <v>3497</v>
      </c>
      <c r="N163" s="1">
        <v>-11.4</v>
      </c>
      <c r="O163" s="1">
        <v>1.4</v>
      </c>
      <c r="P163" s="1">
        <v>0.4</v>
      </c>
      <c r="Q163" s="1">
        <v>0</v>
      </c>
      <c r="R163" s="1">
        <v>0</v>
      </c>
      <c r="S163" s="1">
        <v>0</v>
      </c>
    </row>
    <row r="164" spans="1:19" x14ac:dyDescent="0.25">
      <c r="A164" s="1">
        <v>300</v>
      </c>
      <c r="B164" s="1">
        <v>723</v>
      </c>
      <c r="C164" s="1">
        <v>2543</v>
      </c>
      <c r="D164" s="1">
        <v>-20.6</v>
      </c>
      <c r="E164" s="1">
        <v>2.4</v>
      </c>
      <c r="F164" s="1">
        <v>0.7</v>
      </c>
      <c r="G164">
        <v>0</v>
      </c>
      <c r="H164">
        <v>0</v>
      </c>
      <c r="I164">
        <v>0</v>
      </c>
      <c r="K164" s="1">
        <v>300</v>
      </c>
      <c r="L164" s="1">
        <v>838</v>
      </c>
      <c r="M164" s="1">
        <v>3416</v>
      </c>
      <c r="N164" s="1">
        <v>-16.899999999999999</v>
      </c>
      <c r="O164" s="1">
        <v>1.9</v>
      </c>
      <c r="P164" s="1">
        <v>0.6</v>
      </c>
      <c r="Q164" s="1">
        <v>0</v>
      </c>
      <c r="R164" s="1">
        <v>0</v>
      </c>
      <c r="S164" s="1">
        <v>0</v>
      </c>
    </row>
    <row r="165" spans="1:19" x14ac:dyDescent="0.25">
      <c r="A165" s="1">
        <v>325</v>
      </c>
      <c r="B165" s="1">
        <v>705</v>
      </c>
      <c r="C165" s="1">
        <v>2418</v>
      </c>
      <c r="D165" s="1">
        <v>-28.6</v>
      </c>
      <c r="E165" s="1">
        <v>3</v>
      </c>
      <c r="F165" s="1">
        <v>0.9</v>
      </c>
      <c r="G165">
        <v>0</v>
      </c>
      <c r="H165">
        <v>0</v>
      </c>
      <c r="I165">
        <v>0</v>
      </c>
      <c r="K165" s="1">
        <v>325</v>
      </c>
      <c r="L165" s="1">
        <v>829</v>
      </c>
      <c r="M165" s="1">
        <v>3337</v>
      </c>
      <c r="N165" s="1">
        <v>-23.2</v>
      </c>
      <c r="O165" s="1">
        <v>2.5</v>
      </c>
      <c r="P165" s="1">
        <v>0.7</v>
      </c>
      <c r="Q165" s="1">
        <v>0</v>
      </c>
      <c r="R165" s="1">
        <v>0</v>
      </c>
      <c r="S165" s="1">
        <v>0</v>
      </c>
    </row>
    <row r="166" spans="1:19" x14ac:dyDescent="0.25">
      <c r="A166" s="1">
        <v>350</v>
      </c>
      <c r="B166" s="1">
        <v>688</v>
      </c>
      <c r="C166" s="1">
        <v>2298</v>
      </c>
      <c r="D166" s="1">
        <v>-38.299999999999997</v>
      </c>
      <c r="E166" s="1">
        <v>3.8</v>
      </c>
      <c r="F166" s="1">
        <v>1.1000000000000001</v>
      </c>
      <c r="G166">
        <v>0</v>
      </c>
      <c r="H166">
        <v>0</v>
      </c>
      <c r="I166">
        <v>0</v>
      </c>
      <c r="K166" s="1">
        <v>350</v>
      </c>
      <c r="L166" s="1">
        <v>819</v>
      </c>
      <c r="M166" s="1">
        <v>3260</v>
      </c>
      <c r="N166" s="1">
        <v>-30.7</v>
      </c>
      <c r="O166" s="1">
        <v>3</v>
      </c>
      <c r="P166" s="1">
        <v>0.9</v>
      </c>
      <c r="Q166" s="1">
        <v>0</v>
      </c>
      <c r="R166" s="1">
        <v>0</v>
      </c>
      <c r="S166" s="1">
        <v>0</v>
      </c>
    </row>
    <row r="167" spans="1:19" x14ac:dyDescent="0.25">
      <c r="A167" s="1">
        <v>375</v>
      </c>
      <c r="B167" s="1">
        <v>670</v>
      </c>
      <c r="C167" s="1">
        <v>2182</v>
      </c>
      <c r="D167" s="1">
        <v>-48.9</v>
      </c>
      <c r="E167" s="1">
        <v>4.5</v>
      </c>
      <c r="F167" s="1">
        <v>1.3</v>
      </c>
      <c r="G167">
        <v>0</v>
      </c>
      <c r="H167">
        <v>0</v>
      </c>
      <c r="I167">
        <v>0</v>
      </c>
      <c r="K167" s="1">
        <v>375</v>
      </c>
      <c r="L167" s="1">
        <v>809</v>
      </c>
      <c r="M167" s="1">
        <v>3184</v>
      </c>
      <c r="N167" s="1">
        <v>-38.9</v>
      </c>
      <c r="O167" s="1">
        <v>3.6</v>
      </c>
      <c r="P167" s="1">
        <v>1</v>
      </c>
      <c r="Q167" s="1">
        <v>0</v>
      </c>
      <c r="R167" s="1">
        <v>0</v>
      </c>
      <c r="S167" s="1">
        <v>0</v>
      </c>
    </row>
    <row r="168" spans="1:19" x14ac:dyDescent="0.25">
      <c r="A168" s="1">
        <v>400</v>
      </c>
      <c r="B168" s="1">
        <v>653</v>
      </c>
      <c r="C168" s="1">
        <v>2072</v>
      </c>
      <c r="D168" s="1">
        <v>-61</v>
      </c>
      <c r="E168" s="1">
        <v>5.2</v>
      </c>
      <c r="F168" s="1">
        <v>1.5</v>
      </c>
      <c r="G168">
        <v>0</v>
      </c>
      <c r="H168">
        <v>0</v>
      </c>
      <c r="I168">
        <v>0</v>
      </c>
      <c r="K168" s="1">
        <v>400</v>
      </c>
      <c r="L168" s="1">
        <v>800</v>
      </c>
      <c r="M168" s="1">
        <v>3109</v>
      </c>
      <c r="N168" s="1">
        <v>-48</v>
      </c>
      <c r="O168" s="1">
        <v>4.0999999999999996</v>
      </c>
      <c r="P168" s="1">
        <v>1.2</v>
      </c>
      <c r="Q168" s="1">
        <v>0</v>
      </c>
      <c r="R168" s="1">
        <v>0</v>
      </c>
      <c r="S168" s="1">
        <v>0</v>
      </c>
    </row>
    <row r="169" spans="1:19" x14ac:dyDescent="0.25">
      <c r="A169" s="1">
        <v>425</v>
      </c>
      <c r="B169" s="1">
        <v>636</v>
      </c>
      <c r="C169" s="1">
        <v>1965</v>
      </c>
      <c r="D169" s="1">
        <v>-75.2</v>
      </c>
      <c r="E169" s="1">
        <v>6.1</v>
      </c>
      <c r="F169" s="1">
        <v>1.8</v>
      </c>
      <c r="G169">
        <v>0</v>
      </c>
      <c r="H169">
        <v>0</v>
      </c>
      <c r="I169">
        <v>0</v>
      </c>
      <c r="K169" s="1">
        <v>425</v>
      </c>
      <c r="L169" s="1">
        <v>790</v>
      </c>
      <c r="M169" s="1">
        <v>3035</v>
      </c>
      <c r="N169" s="1">
        <v>-58.5</v>
      </c>
      <c r="O169" s="1">
        <v>4.7</v>
      </c>
      <c r="P169" s="1">
        <v>1.4</v>
      </c>
      <c r="Q169" s="1">
        <v>0</v>
      </c>
      <c r="R169" s="1">
        <v>0</v>
      </c>
      <c r="S169" s="1">
        <v>0</v>
      </c>
    </row>
    <row r="170" spans="1:19" x14ac:dyDescent="0.25">
      <c r="A170" s="1">
        <v>450</v>
      </c>
      <c r="B170" s="1">
        <v>619</v>
      </c>
      <c r="C170" s="1">
        <v>1863</v>
      </c>
      <c r="D170" s="1">
        <v>-90.5</v>
      </c>
      <c r="E170" s="1">
        <v>6.9</v>
      </c>
      <c r="F170" s="1">
        <v>2</v>
      </c>
      <c r="G170">
        <v>0</v>
      </c>
      <c r="H170">
        <v>0</v>
      </c>
      <c r="I170">
        <v>0</v>
      </c>
      <c r="K170" s="1">
        <v>450</v>
      </c>
      <c r="L170" s="1">
        <v>781</v>
      </c>
      <c r="M170" s="1">
        <v>2963</v>
      </c>
      <c r="N170" s="1">
        <v>-69.599999999999994</v>
      </c>
      <c r="O170" s="1">
        <v>5.3</v>
      </c>
      <c r="P170" s="1">
        <v>1.5</v>
      </c>
      <c r="Q170" s="1">
        <v>0</v>
      </c>
      <c r="R170" s="1">
        <v>0</v>
      </c>
      <c r="S170" s="1">
        <v>0</v>
      </c>
    </row>
    <row r="171" spans="1:19" x14ac:dyDescent="0.25">
      <c r="A171" s="1">
        <v>475</v>
      </c>
      <c r="B171" s="1">
        <v>603</v>
      </c>
      <c r="C171" s="1">
        <v>1765</v>
      </c>
      <c r="D171" s="1">
        <v>-107.5</v>
      </c>
      <c r="E171" s="1">
        <v>7.8</v>
      </c>
      <c r="F171" s="1">
        <v>2.2999999999999998</v>
      </c>
      <c r="G171">
        <v>0</v>
      </c>
      <c r="H171">
        <v>0</v>
      </c>
      <c r="I171">
        <v>0</v>
      </c>
      <c r="K171" s="1">
        <v>475</v>
      </c>
      <c r="L171" s="1">
        <v>771</v>
      </c>
      <c r="M171" s="1">
        <v>2892</v>
      </c>
      <c r="N171" s="1">
        <v>-81.8</v>
      </c>
      <c r="O171" s="1">
        <v>5.9</v>
      </c>
      <c r="P171" s="1">
        <v>1.7</v>
      </c>
      <c r="Q171" s="1">
        <v>0</v>
      </c>
      <c r="R171" s="1">
        <v>0</v>
      </c>
      <c r="S171" s="1">
        <v>0</v>
      </c>
    </row>
    <row r="172" spans="1:19" x14ac:dyDescent="0.25">
      <c r="A172" s="1">
        <v>500</v>
      </c>
      <c r="B172" s="1">
        <v>587</v>
      </c>
      <c r="C172" s="1">
        <v>1676</v>
      </c>
      <c r="D172" s="1">
        <v>-126.3</v>
      </c>
      <c r="E172" s="1">
        <v>8.6999999999999993</v>
      </c>
      <c r="F172" s="1">
        <v>2.5</v>
      </c>
      <c r="G172">
        <v>0</v>
      </c>
      <c r="H172">
        <v>0</v>
      </c>
      <c r="I172">
        <v>0</v>
      </c>
      <c r="K172" s="1">
        <v>500</v>
      </c>
      <c r="L172" s="1">
        <v>762</v>
      </c>
      <c r="M172" s="1">
        <v>2826</v>
      </c>
      <c r="N172" s="1">
        <v>-95</v>
      </c>
      <c r="O172" s="1">
        <v>6.5</v>
      </c>
      <c r="P172" s="1">
        <v>1.9</v>
      </c>
      <c r="Q172" s="1">
        <v>0</v>
      </c>
      <c r="R172" s="1">
        <v>0</v>
      </c>
      <c r="S172" s="1">
        <v>0</v>
      </c>
    </row>
    <row r="174" spans="1:19" x14ac:dyDescent="0.25">
      <c r="A174" t="s">
        <v>82</v>
      </c>
      <c r="K174" t="s">
        <v>78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39</v>
      </c>
      <c r="H175" t="s">
        <v>40</v>
      </c>
      <c r="I175" t="s">
        <v>41</v>
      </c>
      <c r="K175" t="s">
        <v>12</v>
      </c>
      <c r="L175" t="s">
        <v>13</v>
      </c>
      <c r="M175" t="s">
        <v>14</v>
      </c>
      <c r="N175" t="s">
        <v>15</v>
      </c>
      <c r="O175" t="s">
        <v>16</v>
      </c>
      <c r="P175" t="s">
        <v>17</v>
      </c>
      <c r="Q175" t="s">
        <v>39</v>
      </c>
      <c r="R175" t="s">
        <v>40</v>
      </c>
      <c r="S175" t="s">
        <v>41</v>
      </c>
    </row>
    <row r="176" spans="1:19" x14ac:dyDescent="0.25">
      <c r="A176" s="1">
        <v>0</v>
      </c>
      <c r="B176" s="1">
        <v>960</v>
      </c>
      <c r="C176" s="1">
        <v>4482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960</v>
      </c>
      <c r="M176" s="1">
        <v>4482</v>
      </c>
      <c r="N176" s="1">
        <v>-3.8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1:19" x14ac:dyDescent="0.25">
      <c r="A177" s="1">
        <v>25</v>
      </c>
      <c r="B177" s="1">
        <v>939</v>
      </c>
      <c r="C177" s="1">
        <v>4282</v>
      </c>
      <c r="D177" s="1">
        <v>1.1000000000000001</v>
      </c>
      <c r="E177" s="1">
        <v>-1.5</v>
      </c>
      <c r="F177" s="1">
        <v>-0.4</v>
      </c>
      <c r="G177">
        <v>0</v>
      </c>
      <c r="H177">
        <v>0</v>
      </c>
      <c r="I177">
        <v>0</v>
      </c>
      <c r="K177" s="1">
        <v>25</v>
      </c>
      <c r="L177" s="1">
        <v>950</v>
      </c>
      <c r="M177" s="1">
        <v>4384</v>
      </c>
      <c r="N177" s="1">
        <v>0.6</v>
      </c>
      <c r="O177" s="1">
        <v>-0.8</v>
      </c>
      <c r="P177" s="1">
        <v>-0.2</v>
      </c>
      <c r="Q177" s="1">
        <v>0</v>
      </c>
      <c r="R177" s="1">
        <v>0</v>
      </c>
      <c r="S177" s="1">
        <v>0</v>
      </c>
    </row>
    <row r="178" spans="1:19" x14ac:dyDescent="0.25">
      <c r="A178" s="1">
        <v>50</v>
      </c>
      <c r="B178" s="1">
        <v>918</v>
      </c>
      <c r="C178" s="1">
        <v>4092</v>
      </c>
      <c r="D178" s="1">
        <v>5.4</v>
      </c>
      <c r="E178" s="1">
        <v>-3.7</v>
      </c>
      <c r="F178" s="1">
        <v>-1.1000000000000001</v>
      </c>
      <c r="G178">
        <v>0</v>
      </c>
      <c r="H178">
        <v>0</v>
      </c>
      <c r="I178">
        <v>0</v>
      </c>
      <c r="K178" s="1">
        <v>50</v>
      </c>
      <c r="L178" s="1">
        <v>939</v>
      </c>
      <c r="M178" s="1">
        <v>4288</v>
      </c>
      <c r="N178" s="1">
        <v>4.4000000000000004</v>
      </c>
      <c r="O178" s="1">
        <v>-3</v>
      </c>
      <c r="P178" s="1">
        <v>-0.9</v>
      </c>
      <c r="Q178" s="1">
        <v>0</v>
      </c>
      <c r="R178" s="1">
        <v>0</v>
      </c>
      <c r="S178" s="1">
        <v>0</v>
      </c>
    </row>
    <row r="179" spans="1:19" x14ac:dyDescent="0.25">
      <c r="A179" s="1">
        <v>75</v>
      </c>
      <c r="B179" s="1">
        <v>897</v>
      </c>
      <c r="C179" s="1">
        <v>3909</v>
      </c>
      <c r="D179" s="1">
        <v>8.8000000000000007</v>
      </c>
      <c r="E179" s="1">
        <v>-4</v>
      </c>
      <c r="F179" s="1">
        <v>-1.2</v>
      </c>
      <c r="G179">
        <v>0</v>
      </c>
      <c r="H179">
        <v>0</v>
      </c>
      <c r="I179">
        <v>0</v>
      </c>
      <c r="K179" s="1">
        <v>75</v>
      </c>
      <c r="L179" s="1">
        <v>929</v>
      </c>
      <c r="M179" s="1">
        <v>4194</v>
      </c>
      <c r="N179" s="1">
        <v>7.3</v>
      </c>
      <c r="O179" s="1">
        <v>-3.4</v>
      </c>
      <c r="P179" s="1">
        <v>-1</v>
      </c>
      <c r="Q179" s="1">
        <v>0</v>
      </c>
      <c r="R179" s="1">
        <v>0</v>
      </c>
      <c r="S179" s="1">
        <v>0</v>
      </c>
    </row>
    <row r="180" spans="1:19" x14ac:dyDescent="0.25">
      <c r="A180" s="1">
        <v>100</v>
      </c>
      <c r="B180" s="1">
        <v>876</v>
      </c>
      <c r="C180" s="1">
        <v>3733</v>
      </c>
      <c r="D180" s="1">
        <v>11.5</v>
      </c>
      <c r="E180" s="1">
        <v>-4</v>
      </c>
      <c r="F180" s="1">
        <v>-1.2</v>
      </c>
      <c r="G180">
        <v>0</v>
      </c>
      <c r="H180">
        <v>0</v>
      </c>
      <c r="I180">
        <v>0</v>
      </c>
      <c r="K180" s="1">
        <v>100</v>
      </c>
      <c r="L180" s="1">
        <v>919</v>
      </c>
      <c r="M180" s="1">
        <v>4101</v>
      </c>
      <c r="N180" s="1">
        <v>9.6</v>
      </c>
      <c r="O180" s="1">
        <v>-3.3</v>
      </c>
      <c r="P180" s="1">
        <v>-1</v>
      </c>
      <c r="Q180" s="1">
        <v>0</v>
      </c>
      <c r="R180" s="1">
        <v>0</v>
      </c>
      <c r="S180" s="1">
        <v>0</v>
      </c>
    </row>
    <row r="181" spans="1:19" x14ac:dyDescent="0.25">
      <c r="A181" s="1">
        <v>125</v>
      </c>
      <c r="B181" s="1">
        <v>856</v>
      </c>
      <c r="C181" s="1">
        <v>3564</v>
      </c>
      <c r="D181" s="1">
        <v>13.5</v>
      </c>
      <c r="E181" s="1">
        <v>-3.7</v>
      </c>
      <c r="F181" s="1">
        <v>-1.1000000000000001</v>
      </c>
      <c r="G181">
        <v>0</v>
      </c>
      <c r="H181">
        <v>0</v>
      </c>
      <c r="I181">
        <v>0</v>
      </c>
      <c r="K181" s="1">
        <v>125</v>
      </c>
      <c r="L181" s="1">
        <v>908</v>
      </c>
      <c r="M181" s="1">
        <v>4010</v>
      </c>
      <c r="N181" s="1">
        <v>11.2</v>
      </c>
      <c r="O181" s="1">
        <v>-3.1</v>
      </c>
      <c r="P181" s="1">
        <v>-0.9</v>
      </c>
      <c r="Q181" s="1">
        <v>0</v>
      </c>
      <c r="R181" s="1">
        <v>0</v>
      </c>
      <c r="S181" s="1">
        <v>0</v>
      </c>
    </row>
    <row r="182" spans="1:19" x14ac:dyDescent="0.25">
      <c r="A182" s="1">
        <v>150</v>
      </c>
      <c r="B182" s="1">
        <v>836</v>
      </c>
      <c r="C182" s="1">
        <v>3400</v>
      </c>
      <c r="D182" s="1">
        <v>14.5</v>
      </c>
      <c r="E182" s="1">
        <v>-3.3</v>
      </c>
      <c r="F182" s="1">
        <v>-1</v>
      </c>
      <c r="G182">
        <v>0</v>
      </c>
      <c r="H182">
        <v>0</v>
      </c>
      <c r="I182">
        <v>0</v>
      </c>
      <c r="K182" s="1">
        <v>150</v>
      </c>
      <c r="L182" s="1">
        <v>898</v>
      </c>
      <c r="M182" s="1">
        <v>3920</v>
      </c>
      <c r="N182" s="1">
        <v>12</v>
      </c>
      <c r="O182" s="1">
        <v>-2.7</v>
      </c>
      <c r="P182" s="1">
        <v>-0.8</v>
      </c>
      <c r="Q182" s="1">
        <v>0</v>
      </c>
      <c r="R182" s="1">
        <v>0</v>
      </c>
      <c r="S182" s="1">
        <v>0</v>
      </c>
    </row>
    <row r="183" spans="1:19" x14ac:dyDescent="0.25">
      <c r="A183" s="1">
        <v>175</v>
      </c>
      <c r="B183" s="1">
        <v>817</v>
      </c>
      <c r="C183" s="1">
        <v>3244</v>
      </c>
      <c r="D183" s="1">
        <v>14.7</v>
      </c>
      <c r="E183" s="1">
        <v>-2.9</v>
      </c>
      <c r="F183" s="1">
        <v>-0.8</v>
      </c>
      <c r="G183">
        <v>0</v>
      </c>
      <c r="H183">
        <v>0</v>
      </c>
      <c r="I183">
        <v>0</v>
      </c>
      <c r="K183" s="1">
        <v>175</v>
      </c>
      <c r="L183" s="1">
        <v>888</v>
      </c>
      <c r="M183" s="1">
        <v>3833</v>
      </c>
      <c r="N183" s="1">
        <v>12</v>
      </c>
      <c r="O183" s="1">
        <v>-2.4</v>
      </c>
      <c r="P183" s="1">
        <v>-0.7</v>
      </c>
      <c r="Q183" s="1">
        <v>0</v>
      </c>
      <c r="R183" s="1">
        <v>0</v>
      </c>
      <c r="S183" s="1">
        <v>0</v>
      </c>
    </row>
    <row r="184" spans="1:19" x14ac:dyDescent="0.25">
      <c r="A184" s="1">
        <v>200</v>
      </c>
      <c r="B184" s="1">
        <v>798</v>
      </c>
      <c r="C184" s="1">
        <v>3093</v>
      </c>
      <c r="D184" s="1">
        <v>13.8</v>
      </c>
      <c r="E184" s="1">
        <v>-2.4</v>
      </c>
      <c r="F184" s="1">
        <v>-0.7</v>
      </c>
      <c r="G184">
        <v>0</v>
      </c>
      <c r="H184">
        <v>0</v>
      </c>
      <c r="I184">
        <v>0</v>
      </c>
      <c r="K184" s="1">
        <v>200</v>
      </c>
      <c r="L184" s="1">
        <v>878</v>
      </c>
      <c r="M184" s="1">
        <v>3746</v>
      </c>
      <c r="N184" s="1">
        <v>11.3</v>
      </c>
      <c r="O184" s="1">
        <v>-1.9</v>
      </c>
      <c r="P184" s="1">
        <v>-0.6</v>
      </c>
      <c r="Q184" s="1">
        <v>0</v>
      </c>
      <c r="R184" s="1">
        <v>0</v>
      </c>
      <c r="S184" s="1">
        <v>0</v>
      </c>
    </row>
    <row r="185" spans="1:19" x14ac:dyDescent="0.25">
      <c r="A185" s="1">
        <v>225</v>
      </c>
      <c r="B185" s="1">
        <v>779</v>
      </c>
      <c r="C185" s="1">
        <v>2947</v>
      </c>
      <c r="D185" s="1">
        <v>12</v>
      </c>
      <c r="E185" s="1">
        <v>-1.8</v>
      </c>
      <c r="F185" s="1">
        <v>-0.5</v>
      </c>
      <c r="G185">
        <v>0</v>
      </c>
      <c r="H185">
        <v>0</v>
      </c>
      <c r="I185">
        <v>0</v>
      </c>
      <c r="K185" s="1">
        <v>225</v>
      </c>
      <c r="L185" s="1">
        <v>868</v>
      </c>
      <c r="M185" s="1">
        <v>3662</v>
      </c>
      <c r="N185" s="1">
        <v>9.6999999999999993</v>
      </c>
      <c r="O185" s="1">
        <v>-1.5</v>
      </c>
      <c r="P185" s="1">
        <v>-0.4</v>
      </c>
      <c r="Q185" s="1">
        <v>0</v>
      </c>
      <c r="R185" s="1">
        <v>0</v>
      </c>
      <c r="S185" s="1">
        <v>0</v>
      </c>
    </row>
    <row r="186" spans="1:19" x14ac:dyDescent="0.25">
      <c r="A186" s="1">
        <v>250</v>
      </c>
      <c r="B186" s="1">
        <v>760</v>
      </c>
      <c r="C186" s="1">
        <v>2807</v>
      </c>
      <c r="D186" s="1">
        <v>9.1999999999999993</v>
      </c>
      <c r="E186" s="1">
        <v>-1.3</v>
      </c>
      <c r="F186" s="1">
        <v>-0.4</v>
      </c>
      <c r="G186">
        <v>0</v>
      </c>
      <c r="H186">
        <v>0</v>
      </c>
      <c r="I186">
        <v>0</v>
      </c>
      <c r="K186" s="1">
        <v>250</v>
      </c>
      <c r="L186" s="1">
        <v>858</v>
      </c>
      <c r="M186" s="1">
        <v>3578</v>
      </c>
      <c r="N186" s="1">
        <v>7.4</v>
      </c>
      <c r="O186" s="1">
        <v>-1</v>
      </c>
      <c r="P186" s="1">
        <v>-0.3</v>
      </c>
      <c r="Q186" s="1">
        <v>0</v>
      </c>
      <c r="R186" s="1">
        <v>0</v>
      </c>
      <c r="S186" s="1">
        <v>0</v>
      </c>
    </row>
    <row r="187" spans="1:19" x14ac:dyDescent="0.25">
      <c r="A187" s="1">
        <v>275</v>
      </c>
      <c r="B187" s="1">
        <v>741</v>
      </c>
      <c r="C187" s="1">
        <v>2672</v>
      </c>
      <c r="D187" s="1">
        <v>5.2</v>
      </c>
      <c r="E187" s="1">
        <v>-0.6</v>
      </c>
      <c r="F187" s="1">
        <v>-0.2</v>
      </c>
      <c r="G187">
        <v>0</v>
      </c>
      <c r="H187">
        <v>0</v>
      </c>
      <c r="I187">
        <v>0</v>
      </c>
      <c r="K187" s="1">
        <v>275</v>
      </c>
      <c r="L187" s="1">
        <v>848</v>
      </c>
      <c r="M187" s="1">
        <v>3497</v>
      </c>
      <c r="N187" s="1">
        <v>4.0999999999999996</v>
      </c>
      <c r="O187" s="1">
        <v>-0.5</v>
      </c>
      <c r="P187" s="1">
        <v>-0.1</v>
      </c>
      <c r="Q187" s="1">
        <v>0</v>
      </c>
      <c r="R187" s="1">
        <v>0</v>
      </c>
      <c r="S187" s="1">
        <v>0</v>
      </c>
    </row>
    <row r="188" spans="1:19" x14ac:dyDescent="0.25">
      <c r="A188" s="10">
        <v>300</v>
      </c>
      <c r="B188" s="10">
        <v>723</v>
      </c>
      <c r="C188" s="10">
        <v>2543</v>
      </c>
      <c r="D188" s="10">
        <v>0.1</v>
      </c>
      <c r="E188" s="10">
        <v>0</v>
      </c>
      <c r="F188" s="10">
        <v>0</v>
      </c>
      <c r="G188">
        <v>0</v>
      </c>
      <c r="H188">
        <v>0</v>
      </c>
      <c r="I188">
        <v>0</v>
      </c>
      <c r="K188" s="1">
        <v>300</v>
      </c>
      <c r="L188" s="1">
        <v>838</v>
      </c>
      <c r="M188" s="1">
        <v>3416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19" x14ac:dyDescent="0.25">
      <c r="A189" s="1">
        <v>325</v>
      </c>
      <c r="B189" s="1">
        <v>705</v>
      </c>
      <c r="C189" s="1">
        <v>2418</v>
      </c>
      <c r="D189" s="1">
        <v>-6.2</v>
      </c>
      <c r="E189" s="1">
        <v>0.7</v>
      </c>
      <c r="F189" s="1">
        <v>0.2</v>
      </c>
      <c r="G189">
        <v>0</v>
      </c>
      <c r="H189">
        <v>0</v>
      </c>
      <c r="I189">
        <v>0</v>
      </c>
      <c r="K189" s="1">
        <v>325</v>
      </c>
      <c r="L189" s="1">
        <v>829</v>
      </c>
      <c r="M189" s="1">
        <v>3337</v>
      </c>
      <c r="N189" s="1">
        <v>-4.9000000000000004</v>
      </c>
      <c r="O189" s="1">
        <v>0.5</v>
      </c>
      <c r="P189" s="1">
        <v>0.2</v>
      </c>
      <c r="Q189" s="1">
        <v>0</v>
      </c>
      <c r="R189" s="1">
        <v>0</v>
      </c>
      <c r="S189" s="1">
        <v>0</v>
      </c>
    </row>
    <row r="190" spans="1:19" x14ac:dyDescent="0.25">
      <c r="A190" s="1">
        <v>350</v>
      </c>
      <c r="B190" s="1">
        <v>688</v>
      </c>
      <c r="C190" s="1">
        <v>2298</v>
      </c>
      <c r="D190" s="1">
        <v>-14.1</v>
      </c>
      <c r="E190" s="1">
        <v>1.4</v>
      </c>
      <c r="F190" s="1">
        <v>0.4</v>
      </c>
      <c r="G190">
        <v>0</v>
      </c>
      <c r="H190">
        <v>0</v>
      </c>
      <c r="I190">
        <v>0</v>
      </c>
      <c r="K190" s="1">
        <v>350</v>
      </c>
      <c r="L190" s="1">
        <v>819</v>
      </c>
      <c r="M190" s="1">
        <v>3260</v>
      </c>
      <c r="N190" s="1">
        <v>-11</v>
      </c>
      <c r="O190" s="1">
        <v>1.1000000000000001</v>
      </c>
      <c r="P190" s="1">
        <v>0.3</v>
      </c>
      <c r="Q190" s="1">
        <v>0</v>
      </c>
      <c r="R190" s="1">
        <v>0</v>
      </c>
      <c r="S190" s="1">
        <v>0</v>
      </c>
    </row>
    <row r="191" spans="1:19" x14ac:dyDescent="0.25">
      <c r="A191" s="1">
        <v>375</v>
      </c>
      <c r="B191" s="1">
        <v>670</v>
      </c>
      <c r="C191" s="1">
        <v>2182</v>
      </c>
      <c r="D191" s="1">
        <v>-23.1</v>
      </c>
      <c r="E191" s="1">
        <v>2.1</v>
      </c>
      <c r="F191" s="1">
        <v>0.6</v>
      </c>
      <c r="G191">
        <v>0</v>
      </c>
      <c r="H191">
        <v>0</v>
      </c>
      <c r="I191">
        <v>0</v>
      </c>
      <c r="K191" s="1">
        <v>375</v>
      </c>
      <c r="L191" s="1">
        <v>809</v>
      </c>
      <c r="M191" s="1">
        <v>3184</v>
      </c>
      <c r="N191" s="1">
        <v>-17.8</v>
      </c>
      <c r="O191" s="1">
        <v>1.6</v>
      </c>
      <c r="P191" s="1">
        <v>0.5</v>
      </c>
      <c r="Q191" s="1">
        <v>0</v>
      </c>
      <c r="R191" s="1">
        <v>0</v>
      </c>
      <c r="S191" s="1">
        <v>0</v>
      </c>
    </row>
    <row r="192" spans="1:19" x14ac:dyDescent="0.25">
      <c r="A192" s="1">
        <v>400</v>
      </c>
      <c r="B192" s="1">
        <v>653</v>
      </c>
      <c r="C192" s="1">
        <v>2071</v>
      </c>
      <c r="D192" s="1">
        <v>-33.5</v>
      </c>
      <c r="E192" s="1">
        <v>2.9</v>
      </c>
      <c r="F192" s="1">
        <v>0.8</v>
      </c>
      <c r="G192">
        <v>0</v>
      </c>
      <c r="H192">
        <v>0</v>
      </c>
      <c r="I192">
        <v>0</v>
      </c>
      <c r="K192" s="1">
        <v>400</v>
      </c>
      <c r="L192" s="1">
        <v>800</v>
      </c>
      <c r="M192" s="1">
        <v>3109</v>
      </c>
      <c r="N192" s="1">
        <v>-25.5</v>
      </c>
      <c r="O192" s="1">
        <v>2.2000000000000002</v>
      </c>
      <c r="P192" s="1">
        <v>0.6</v>
      </c>
      <c r="Q192" s="1">
        <v>0</v>
      </c>
      <c r="R192" s="1">
        <v>0</v>
      </c>
      <c r="S192" s="1">
        <v>0</v>
      </c>
    </row>
    <row r="193" spans="1:19" x14ac:dyDescent="0.25">
      <c r="A193" s="1">
        <v>425</v>
      </c>
      <c r="B193" s="1">
        <v>636</v>
      </c>
      <c r="C193" s="1">
        <v>1965</v>
      </c>
      <c r="D193" s="1">
        <v>-45.9</v>
      </c>
      <c r="E193" s="1">
        <v>3.7</v>
      </c>
      <c r="F193" s="1">
        <v>1.1000000000000001</v>
      </c>
      <c r="G193">
        <v>0</v>
      </c>
      <c r="H193">
        <v>0</v>
      </c>
      <c r="I193">
        <v>0</v>
      </c>
      <c r="K193" s="1">
        <v>425</v>
      </c>
      <c r="L193" s="1">
        <v>790</v>
      </c>
      <c r="M193" s="1">
        <v>3035</v>
      </c>
      <c r="N193" s="1">
        <v>-34.5</v>
      </c>
      <c r="O193" s="1">
        <v>2.8</v>
      </c>
      <c r="P193" s="1">
        <v>0.8</v>
      </c>
      <c r="Q193" s="1">
        <v>0</v>
      </c>
      <c r="R193" s="1">
        <v>0</v>
      </c>
      <c r="S193" s="1">
        <v>0</v>
      </c>
    </row>
    <row r="194" spans="1:19" x14ac:dyDescent="0.25">
      <c r="A194" s="1">
        <v>450</v>
      </c>
      <c r="B194" s="1">
        <v>619</v>
      </c>
      <c r="C194" s="1">
        <v>1863</v>
      </c>
      <c r="D194" s="1">
        <v>-59.5</v>
      </c>
      <c r="E194" s="1">
        <v>4.5</v>
      </c>
      <c r="F194" s="1">
        <v>1.3</v>
      </c>
      <c r="G194">
        <v>0</v>
      </c>
      <c r="H194">
        <v>0</v>
      </c>
      <c r="I194">
        <v>0</v>
      </c>
      <c r="K194" s="1">
        <v>450</v>
      </c>
      <c r="L194" s="1">
        <v>781</v>
      </c>
      <c r="M194" s="1">
        <v>2963</v>
      </c>
      <c r="N194" s="1">
        <v>-44.3</v>
      </c>
      <c r="O194" s="1">
        <v>3.4</v>
      </c>
      <c r="P194" s="1">
        <v>1</v>
      </c>
      <c r="Q194" s="1">
        <v>0</v>
      </c>
      <c r="R194" s="1">
        <v>0</v>
      </c>
      <c r="S194" s="1">
        <v>0</v>
      </c>
    </row>
    <row r="195" spans="1:19" x14ac:dyDescent="0.25">
      <c r="A195" s="1">
        <v>475</v>
      </c>
      <c r="B195" s="1">
        <v>603</v>
      </c>
      <c r="C195" s="1">
        <v>1765</v>
      </c>
      <c r="D195" s="1">
        <v>-74.8</v>
      </c>
      <c r="E195" s="1">
        <v>5.4</v>
      </c>
      <c r="F195" s="1">
        <v>1.6</v>
      </c>
      <c r="G195">
        <v>0</v>
      </c>
      <c r="H195">
        <v>0</v>
      </c>
      <c r="I195">
        <v>0</v>
      </c>
      <c r="K195" s="1">
        <v>475</v>
      </c>
      <c r="L195" s="1">
        <v>771</v>
      </c>
      <c r="M195" s="1">
        <v>2892</v>
      </c>
      <c r="N195" s="1">
        <v>-55</v>
      </c>
      <c r="O195" s="1">
        <v>4</v>
      </c>
      <c r="P195" s="1">
        <v>1.2</v>
      </c>
      <c r="Q195" s="1">
        <v>0</v>
      </c>
      <c r="R195" s="1">
        <v>0</v>
      </c>
      <c r="S195" s="1">
        <v>0</v>
      </c>
    </row>
    <row r="196" spans="1:19" x14ac:dyDescent="0.25">
      <c r="A196" s="1">
        <v>500</v>
      </c>
      <c r="B196" s="1">
        <v>587</v>
      </c>
      <c r="C196" s="1">
        <v>1676</v>
      </c>
      <c r="D196" s="1">
        <v>-91.9</v>
      </c>
      <c r="E196" s="1">
        <v>6.3</v>
      </c>
      <c r="F196" s="1">
        <v>1.8</v>
      </c>
      <c r="G196">
        <v>0</v>
      </c>
      <c r="H196">
        <v>0</v>
      </c>
      <c r="I196">
        <v>0</v>
      </c>
      <c r="K196" s="1">
        <v>500</v>
      </c>
      <c r="L196" s="1">
        <v>762</v>
      </c>
      <c r="M196" s="1">
        <v>2826</v>
      </c>
      <c r="N196" s="1">
        <v>-66.8</v>
      </c>
      <c r="O196" s="1">
        <v>4.5999999999999996</v>
      </c>
      <c r="P196" s="1">
        <v>1.3</v>
      </c>
      <c r="Q196" s="1">
        <v>0</v>
      </c>
      <c r="R196" s="1">
        <v>0</v>
      </c>
      <c r="S196" s="1">
        <v>0</v>
      </c>
    </row>
    <row r="198" spans="1:19" x14ac:dyDescent="0.25">
      <c r="A198" t="s">
        <v>81</v>
      </c>
      <c r="K198" t="s">
        <v>86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39</v>
      </c>
      <c r="H199" t="s">
        <v>40</v>
      </c>
      <c r="I199" t="s">
        <v>41</v>
      </c>
      <c r="K199" t="s">
        <v>12</v>
      </c>
      <c r="L199" t="s">
        <v>13</v>
      </c>
      <c r="M199" t="s">
        <v>14</v>
      </c>
      <c r="N199" t="s">
        <v>15</v>
      </c>
      <c r="O199" t="s">
        <v>16</v>
      </c>
      <c r="P199" t="s">
        <v>17</v>
      </c>
      <c r="Q199" t="s">
        <v>39</v>
      </c>
      <c r="R199" t="s">
        <v>40</v>
      </c>
      <c r="S199" t="s">
        <v>41</v>
      </c>
    </row>
    <row r="200" spans="1:19" x14ac:dyDescent="0.25">
      <c r="A200" s="1">
        <v>0</v>
      </c>
      <c r="B200" s="1">
        <v>960</v>
      </c>
      <c r="C200" s="1">
        <v>4482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960</v>
      </c>
      <c r="M200" s="1">
        <v>4482</v>
      </c>
      <c r="N200" s="1">
        <v>-3.8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</row>
    <row r="201" spans="1:19" x14ac:dyDescent="0.25">
      <c r="A201" s="1">
        <v>25</v>
      </c>
      <c r="B201" s="1">
        <v>939</v>
      </c>
      <c r="C201" s="1">
        <v>4282</v>
      </c>
      <c r="D201" s="1">
        <v>3.2</v>
      </c>
      <c r="E201" s="1">
        <v>-4.4000000000000004</v>
      </c>
      <c r="F201" s="1">
        <v>-1.3</v>
      </c>
      <c r="G201">
        <v>0</v>
      </c>
      <c r="H201">
        <v>0</v>
      </c>
      <c r="I201">
        <v>0</v>
      </c>
      <c r="K201" s="1">
        <v>25</v>
      </c>
      <c r="L201" s="1">
        <v>950</v>
      </c>
      <c r="M201" s="1">
        <v>4384</v>
      </c>
      <c r="N201" s="1">
        <v>2.2000000000000002</v>
      </c>
      <c r="O201" s="1">
        <v>-3</v>
      </c>
      <c r="P201" s="1">
        <v>-0.9</v>
      </c>
      <c r="Q201" s="1">
        <v>0</v>
      </c>
      <c r="R201" s="1">
        <v>0</v>
      </c>
      <c r="S201" s="1">
        <v>0</v>
      </c>
    </row>
    <row r="202" spans="1:19" x14ac:dyDescent="0.25">
      <c r="A202" s="1">
        <v>50</v>
      </c>
      <c r="B202" s="1">
        <v>918</v>
      </c>
      <c r="C202" s="1">
        <v>4092</v>
      </c>
      <c r="D202" s="1">
        <v>9.6999999999999993</v>
      </c>
      <c r="E202" s="1">
        <v>-6.6</v>
      </c>
      <c r="F202" s="1">
        <v>-1.9</v>
      </c>
      <c r="G202">
        <v>0</v>
      </c>
      <c r="H202">
        <v>0</v>
      </c>
      <c r="I202">
        <v>0</v>
      </c>
      <c r="K202" s="1">
        <v>50</v>
      </c>
      <c r="L202" s="1">
        <v>939</v>
      </c>
      <c r="M202" s="1">
        <v>4288</v>
      </c>
      <c r="N202" s="1">
        <v>7.6</v>
      </c>
      <c r="O202" s="1">
        <v>-5.2</v>
      </c>
      <c r="P202" s="1">
        <v>-1.5</v>
      </c>
      <c r="Q202" s="1">
        <v>0</v>
      </c>
      <c r="R202" s="1">
        <v>0</v>
      </c>
      <c r="S202" s="1">
        <v>0</v>
      </c>
    </row>
    <row r="203" spans="1:19" x14ac:dyDescent="0.25">
      <c r="A203" s="1">
        <v>75</v>
      </c>
      <c r="B203" s="1">
        <v>897</v>
      </c>
      <c r="C203" s="1">
        <v>3909</v>
      </c>
      <c r="D203" s="1">
        <v>15.2</v>
      </c>
      <c r="E203" s="1">
        <v>-6.9</v>
      </c>
      <c r="F203" s="1">
        <v>-2</v>
      </c>
      <c r="G203">
        <v>0</v>
      </c>
      <c r="H203">
        <v>0</v>
      </c>
      <c r="I203">
        <v>0</v>
      </c>
      <c r="K203" s="1">
        <v>75</v>
      </c>
      <c r="L203" s="1">
        <v>929</v>
      </c>
      <c r="M203" s="1">
        <v>4194</v>
      </c>
      <c r="N203" s="1">
        <v>12.1</v>
      </c>
      <c r="O203" s="1">
        <v>-5.6</v>
      </c>
      <c r="P203" s="1">
        <v>-1.6</v>
      </c>
      <c r="Q203" s="1">
        <v>0</v>
      </c>
      <c r="R203" s="1">
        <v>0</v>
      </c>
      <c r="S203" s="1">
        <v>0</v>
      </c>
    </row>
    <row r="204" spans="1:19" x14ac:dyDescent="0.25">
      <c r="A204" s="1">
        <v>100</v>
      </c>
      <c r="B204" s="1">
        <v>876</v>
      </c>
      <c r="C204" s="1">
        <v>3733</v>
      </c>
      <c r="D204" s="1">
        <v>19.899999999999999</v>
      </c>
      <c r="E204" s="1">
        <v>-6.9</v>
      </c>
      <c r="F204" s="1">
        <v>-2</v>
      </c>
      <c r="G204">
        <v>0</v>
      </c>
      <c r="H204">
        <v>0</v>
      </c>
      <c r="I204">
        <v>0</v>
      </c>
      <c r="K204" s="1">
        <v>100</v>
      </c>
      <c r="L204" s="1">
        <v>919</v>
      </c>
      <c r="M204" s="1">
        <v>4101</v>
      </c>
      <c r="N204" s="1">
        <v>16</v>
      </c>
      <c r="O204" s="1">
        <v>-5.5</v>
      </c>
      <c r="P204" s="1">
        <v>-1.6</v>
      </c>
      <c r="Q204" s="1">
        <v>0</v>
      </c>
      <c r="R204" s="1">
        <v>0</v>
      </c>
      <c r="S204" s="1">
        <v>0</v>
      </c>
    </row>
    <row r="205" spans="1:19" x14ac:dyDescent="0.25">
      <c r="A205" s="1">
        <v>125</v>
      </c>
      <c r="B205" s="1">
        <v>856</v>
      </c>
      <c r="C205" s="1">
        <v>3563</v>
      </c>
      <c r="D205" s="1">
        <v>24</v>
      </c>
      <c r="E205" s="1">
        <v>-6.6</v>
      </c>
      <c r="F205" s="1">
        <v>-1.9</v>
      </c>
      <c r="G205">
        <v>0</v>
      </c>
      <c r="H205">
        <v>0</v>
      </c>
      <c r="I205">
        <v>0</v>
      </c>
      <c r="K205" s="1">
        <v>125</v>
      </c>
      <c r="L205" s="1">
        <v>908</v>
      </c>
      <c r="M205" s="1">
        <v>4010</v>
      </c>
      <c r="N205" s="1">
        <v>19.2</v>
      </c>
      <c r="O205" s="1">
        <v>-5.3</v>
      </c>
      <c r="P205" s="1">
        <v>-1.5</v>
      </c>
      <c r="Q205" s="1">
        <v>0</v>
      </c>
      <c r="R205" s="1">
        <v>0</v>
      </c>
      <c r="S205" s="1">
        <v>0</v>
      </c>
    </row>
    <row r="206" spans="1:19" x14ac:dyDescent="0.25">
      <c r="A206" s="1">
        <v>150</v>
      </c>
      <c r="B206" s="1">
        <v>836</v>
      </c>
      <c r="C206" s="1">
        <v>3400</v>
      </c>
      <c r="D206" s="1">
        <v>27.2</v>
      </c>
      <c r="E206" s="1">
        <v>-6.2</v>
      </c>
      <c r="F206" s="1">
        <v>-1.8</v>
      </c>
      <c r="G206">
        <v>0</v>
      </c>
      <c r="H206">
        <v>0</v>
      </c>
      <c r="I206">
        <v>0</v>
      </c>
      <c r="K206" s="1">
        <v>150</v>
      </c>
      <c r="L206" s="1">
        <v>898</v>
      </c>
      <c r="M206" s="1">
        <v>3920</v>
      </c>
      <c r="N206" s="1">
        <v>21.6</v>
      </c>
      <c r="O206" s="1">
        <v>-5</v>
      </c>
      <c r="P206" s="1">
        <v>-1.4</v>
      </c>
      <c r="Q206" s="1">
        <v>0</v>
      </c>
      <c r="R206" s="1">
        <v>0</v>
      </c>
      <c r="S206" s="1">
        <v>0</v>
      </c>
    </row>
    <row r="207" spans="1:19" x14ac:dyDescent="0.25">
      <c r="A207" s="1">
        <v>175</v>
      </c>
      <c r="B207" s="1">
        <v>817</v>
      </c>
      <c r="C207" s="1">
        <v>3244</v>
      </c>
      <c r="D207" s="1">
        <v>29.4</v>
      </c>
      <c r="E207" s="1">
        <v>-5.8</v>
      </c>
      <c r="F207" s="1">
        <v>-1.7</v>
      </c>
      <c r="G207">
        <v>0</v>
      </c>
      <c r="H207">
        <v>0</v>
      </c>
      <c r="I207">
        <v>0</v>
      </c>
      <c r="K207" s="1">
        <v>175</v>
      </c>
      <c r="L207" s="1">
        <v>888</v>
      </c>
      <c r="M207" s="1">
        <v>3833</v>
      </c>
      <c r="N207" s="1">
        <v>23.3</v>
      </c>
      <c r="O207" s="1">
        <v>-4.5999999999999996</v>
      </c>
      <c r="P207" s="1">
        <v>-1.3</v>
      </c>
      <c r="Q207" s="1">
        <v>0</v>
      </c>
      <c r="R207" s="1">
        <v>0</v>
      </c>
      <c r="S207" s="1">
        <v>0</v>
      </c>
    </row>
    <row r="208" spans="1:19" x14ac:dyDescent="0.25">
      <c r="A208" s="1">
        <v>200</v>
      </c>
      <c r="B208" s="1">
        <v>798</v>
      </c>
      <c r="C208" s="1">
        <v>3093</v>
      </c>
      <c r="D208" s="1">
        <v>30.7</v>
      </c>
      <c r="E208" s="1">
        <v>-5.3</v>
      </c>
      <c r="F208" s="1">
        <v>-1.5</v>
      </c>
      <c r="G208">
        <v>0</v>
      </c>
      <c r="H208">
        <v>0</v>
      </c>
      <c r="I208">
        <v>0</v>
      </c>
      <c r="K208" s="1">
        <v>200</v>
      </c>
      <c r="L208" s="1">
        <v>878</v>
      </c>
      <c r="M208" s="1">
        <v>3746</v>
      </c>
      <c r="N208" s="1">
        <v>24.1</v>
      </c>
      <c r="O208" s="1">
        <v>-4.0999999999999996</v>
      </c>
      <c r="P208" s="1">
        <v>-1.2</v>
      </c>
      <c r="Q208" s="1">
        <v>0</v>
      </c>
      <c r="R208" s="1">
        <v>0</v>
      </c>
      <c r="S208" s="1">
        <v>0</v>
      </c>
    </row>
    <row r="209" spans="1:19" x14ac:dyDescent="0.25">
      <c r="A209" s="1">
        <v>225</v>
      </c>
      <c r="B209" s="1">
        <v>779</v>
      </c>
      <c r="C209" s="1">
        <v>2947</v>
      </c>
      <c r="D209" s="1">
        <v>31</v>
      </c>
      <c r="E209" s="1">
        <v>-4.7</v>
      </c>
      <c r="F209" s="1">
        <v>-1.4</v>
      </c>
      <c r="G209">
        <v>0</v>
      </c>
      <c r="H209">
        <v>0</v>
      </c>
      <c r="I209">
        <v>0</v>
      </c>
      <c r="K209" s="1">
        <v>225</v>
      </c>
      <c r="L209" s="1">
        <v>868</v>
      </c>
      <c r="M209" s="1">
        <v>3662</v>
      </c>
      <c r="N209" s="1">
        <v>24.2</v>
      </c>
      <c r="O209" s="1">
        <v>-3.7</v>
      </c>
      <c r="P209" s="1">
        <v>-1.1000000000000001</v>
      </c>
      <c r="Q209" s="1">
        <v>0</v>
      </c>
      <c r="R209" s="1">
        <v>0</v>
      </c>
      <c r="S209" s="1">
        <v>0</v>
      </c>
    </row>
    <row r="210" spans="1:19" x14ac:dyDescent="0.25">
      <c r="A210" s="1">
        <v>250</v>
      </c>
      <c r="B210" s="1">
        <v>760</v>
      </c>
      <c r="C210" s="1">
        <v>2807</v>
      </c>
      <c r="D210" s="1">
        <v>30.3</v>
      </c>
      <c r="E210" s="1">
        <v>-4.2</v>
      </c>
      <c r="F210" s="1">
        <v>-1.2</v>
      </c>
      <c r="G210">
        <v>0</v>
      </c>
      <c r="H210">
        <v>0</v>
      </c>
      <c r="I210">
        <v>0</v>
      </c>
      <c r="K210" s="1">
        <v>250</v>
      </c>
      <c r="L210" s="1">
        <v>858</v>
      </c>
      <c r="M210" s="1">
        <v>3578</v>
      </c>
      <c r="N210" s="1">
        <v>23.4</v>
      </c>
      <c r="O210" s="1">
        <v>-3.2</v>
      </c>
      <c r="P210" s="1">
        <v>-0.9</v>
      </c>
      <c r="Q210" s="1">
        <v>0</v>
      </c>
      <c r="R210" s="1">
        <v>0</v>
      </c>
      <c r="S210" s="1">
        <v>0</v>
      </c>
    </row>
    <row r="211" spans="1:19" x14ac:dyDescent="0.25">
      <c r="A211" s="1">
        <v>275</v>
      </c>
      <c r="B211" s="1">
        <v>741</v>
      </c>
      <c r="C211" s="1">
        <v>2672</v>
      </c>
      <c r="D211" s="1">
        <v>28.4</v>
      </c>
      <c r="E211" s="1">
        <v>-3.5</v>
      </c>
      <c r="F211" s="1">
        <v>-1</v>
      </c>
      <c r="G211">
        <v>0</v>
      </c>
      <c r="H211">
        <v>0</v>
      </c>
      <c r="I211">
        <v>0</v>
      </c>
      <c r="K211" s="1">
        <v>275</v>
      </c>
      <c r="L211" s="1">
        <v>848</v>
      </c>
      <c r="M211" s="1">
        <v>3497</v>
      </c>
      <c r="N211" s="1">
        <v>21.7</v>
      </c>
      <c r="O211" s="1">
        <v>-2.7</v>
      </c>
      <c r="P211" s="1">
        <v>-0.8</v>
      </c>
      <c r="Q211" s="1">
        <v>0</v>
      </c>
      <c r="R211" s="1">
        <v>0</v>
      </c>
      <c r="S211" s="1">
        <v>0</v>
      </c>
    </row>
    <row r="212" spans="1:19" x14ac:dyDescent="0.25">
      <c r="A212" s="1">
        <v>300</v>
      </c>
      <c r="B212" s="1">
        <v>723</v>
      </c>
      <c r="C212" s="1">
        <v>2542</v>
      </c>
      <c r="D212" s="1">
        <v>25.4</v>
      </c>
      <c r="E212" s="1">
        <v>-2.9</v>
      </c>
      <c r="F212" s="1">
        <v>-0.8</v>
      </c>
      <c r="G212">
        <v>0</v>
      </c>
      <c r="H212">
        <v>0</v>
      </c>
      <c r="I212">
        <v>0</v>
      </c>
      <c r="K212" s="1">
        <v>300</v>
      </c>
      <c r="L212" s="1">
        <v>838</v>
      </c>
      <c r="M212" s="1">
        <v>3416</v>
      </c>
      <c r="N212" s="1">
        <v>19.3</v>
      </c>
      <c r="O212" s="1">
        <v>-2.2000000000000002</v>
      </c>
      <c r="P212" s="1">
        <v>-0.6</v>
      </c>
      <c r="Q212" s="1">
        <v>0</v>
      </c>
      <c r="R212" s="1">
        <v>0</v>
      </c>
      <c r="S212" s="1">
        <v>0</v>
      </c>
    </row>
    <row r="213" spans="1:19" x14ac:dyDescent="0.25">
      <c r="A213" s="1">
        <v>325</v>
      </c>
      <c r="B213" s="1">
        <v>705</v>
      </c>
      <c r="C213" s="1">
        <v>2418</v>
      </c>
      <c r="D213" s="1">
        <v>21.2</v>
      </c>
      <c r="E213" s="1">
        <v>-2.2000000000000002</v>
      </c>
      <c r="F213" s="1">
        <v>-0.7</v>
      </c>
      <c r="G213">
        <v>0</v>
      </c>
      <c r="H213">
        <v>0</v>
      </c>
      <c r="I213">
        <v>0</v>
      </c>
      <c r="K213" s="1">
        <v>325</v>
      </c>
      <c r="L213" s="1">
        <v>829</v>
      </c>
      <c r="M213" s="1">
        <v>3337</v>
      </c>
      <c r="N213" s="1">
        <v>15.9</v>
      </c>
      <c r="O213" s="1">
        <v>-1.7</v>
      </c>
      <c r="P213" s="1">
        <v>-0.5</v>
      </c>
      <c r="Q213" s="1">
        <v>0</v>
      </c>
      <c r="R213" s="1">
        <v>0</v>
      </c>
      <c r="S213" s="1">
        <v>0</v>
      </c>
    </row>
    <row r="214" spans="1:19" x14ac:dyDescent="0.25">
      <c r="A214" s="1">
        <v>350</v>
      </c>
      <c r="B214" s="1">
        <v>688</v>
      </c>
      <c r="C214" s="1">
        <v>2298</v>
      </c>
      <c r="D214" s="1">
        <v>15.4</v>
      </c>
      <c r="E214" s="1">
        <v>-1.5</v>
      </c>
      <c r="F214" s="1">
        <v>-0.4</v>
      </c>
      <c r="G214">
        <v>0</v>
      </c>
      <c r="H214">
        <v>0</v>
      </c>
      <c r="I214">
        <v>0</v>
      </c>
      <c r="K214" s="1">
        <v>350</v>
      </c>
      <c r="L214" s="1">
        <v>819</v>
      </c>
      <c r="M214" s="1">
        <v>3260</v>
      </c>
      <c r="N214" s="1">
        <v>11.5</v>
      </c>
      <c r="O214" s="1">
        <v>-1.1000000000000001</v>
      </c>
      <c r="P214" s="1">
        <v>-0.3</v>
      </c>
      <c r="Q214" s="1">
        <v>0</v>
      </c>
      <c r="R214" s="1">
        <v>0</v>
      </c>
      <c r="S214" s="1">
        <v>0</v>
      </c>
    </row>
    <row r="215" spans="1:19" x14ac:dyDescent="0.25">
      <c r="A215" s="1">
        <v>375</v>
      </c>
      <c r="B215" s="1">
        <v>670</v>
      </c>
      <c r="C215" s="1">
        <v>2182</v>
      </c>
      <c r="D215" s="1">
        <v>8.5</v>
      </c>
      <c r="E215" s="1">
        <v>-0.8</v>
      </c>
      <c r="F215" s="1">
        <v>-0.2</v>
      </c>
      <c r="G215">
        <v>0</v>
      </c>
      <c r="H215">
        <v>0</v>
      </c>
      <c r="I215">
        <v>0</v>
      </c>
      <c r="K215" s="1">
        <v>375</v>
      </c>
      <c r="L215" s="1">
        <v>809</v>
      </c>
      <c r="M215" s="1">
        <v>3183</v>
      </c>
      <c r="N215" s="1">
        <v>6.3</v>
      </c>
      <c r="O215" s="1">
        <v>-0.6</v>
      </c>
      <c r="P215" s="1">
        <v>-0.2</v>
      </c>
      <c r="Q215" s="1">
        <v>0</v>
      </c>
      <c r="R215" s="1">
        <v>0</v>
      </c>
      <c r="S215" s="1">
        <v>0</v>
      </c>
    </row>
    <row r="216" spans="1:19" x14ac:dyDescent="0.25">
      <c r="A216" s="10">
        <v>400</v>
      </c>
      <c r="B216" s="10">
        <v>653</v>
      </c>
      <c r="C216" s="10">
        <v>2071</v>
      </c>
      <c r="D216" s="10">
        <v>0.2</v>
      </c>
      <c r="E216" s="10">
        <v>0</v>
      </c>
      <c r="F216" s="10">
        <v>0</v>
      </c>
      <c r="G216">
        <v>0</v>
      </c>
      <c r="H216">
        <v>0</v>
      </c>
      <c r="I216">
        <v>0</v>
      </c>
      <c r="K216" s="1">
        <v>400</v>
      </c>
      <c r="L216" s="1">
        <v>800</v>
      </c>
      <c r="M216" s="1">
        <v>3109</v>
      </c>
      <c r="N216" s="1">
        <v>0.1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</row>
    <row r="217" spans="1:19" x14ac:dyDescent="0.25">
      <c r="A217" s="1">
        <v>425</v>
      </c>
      <c r="B217" s="1">
        <v>636</v>
      </c>
      <c r="C217" s="1">
        <v>1965</v>
      </c>
      <c r="D217" s="1">
        <v>-10</v>
      </c>
      <c r="E217" s="1">
        <v>0.8</v>
      </c>
      <c r="F217" s="1">
        <v>0.2</v>
      </c>
      <c r="G217">
        <v>0</v>
      </c>
      <c r="H217">
        <v>0</v>
      </c>
      <c r="I217">
        <v>0</v>
      </c>
      <c r="K217" s="1">
        <v>425</v>
      </c>
      <c r="L217" s="1">
        <v>790</v>
      </c>
      <c r="M217" s="1">
        <v>3035</v>
      </c>
      <c r="N217" s="1">
        <v>-7.3</v>
      </c>
      <c r="O217" s="1">
        <v>0.6</v>
      </c>
      <c r="P217" s="1">
        <v>0.2</v>
      </c>
      <c r="Q217" s="1">
        <v>0</v>
      </c>
      <c r="R217" s="1">
        <v>0</v>
      </c>
      <c r="S217" s="1">
        <v>0</v>
      </c>
    </row>
    <row r="218" spans="1:19" x14ac:dyDescent="0.25">
      <c r="A218" s="1">
        <v>450</v>
      </c>
      <c r="B218" s="1">
        <v>619</v>
      </c>
      <c r="C218" s="1">
        <v>1863</v>
      </c>
      <c r="D218" s="1">
        <v>-21.6</v>
      </c>
      <c r="E218" s="1">
        <v>1.6</v>
      </c>
      <c r="F218" s="1">
        <v>0.5</v>
      </c>
      <c r="G218">
        <v>0</v>
      </c>
      <c r="H218">
        <v>0</v>
      </c>
      <c r="I218">
        <v>0</v>
      </c>
      <c r="K218" s="1">
        <v>450</v>
      </c>
      <c r="L218" s="1">
        <v>781</v>
      </c>
      <c r="M218" s="1">
        <v>2963</v>
      </c>
      <c r="N218" s="1">
        <v>-15.4</v>
      </c>
      <c r="O218" s="1">
        <v>1.2</v>
      </c>
      <c r="P218" s="1">
        <v>0.3</v>
      </c>
      <c r="Q218" s="1">
        <v>0</v>
      </c>
      <c r="R218" s="1">
        <v>0</v>
      </c>
      <c r="S218" s="1">
        <v>0</v>
      </c>
    </row>
    <row r="219" spans="1:19" x14ac:dyDescent="0.25">
      <c r="A219" s="1">
        <v>475</v>
      </c>
      <c r="B219" s="1">
        <v>603</v>
      </c>
      <c r="C219" s="1">
        <v>1765</v>
      </c>
      <c r="D219" s="1">
        <v>-34.799999999999997</v>
      </c>
      <c r="E219" s="1">
        <v>2.5</v>
      </c>
      <c r="F219" s="1">
        <v>0.7</v>
      </c>
      <c r="G219">
        <v>0</v>
      </c>
      <c r="H219">
        <v>0</v>
      </c>
      <c r="I219">
        <v>0</v>
      </c>
      <c r="K219" s="1">
        <v>475</v>
      </c>
      <c r="L219" s="1">
        <v>771</v>
      </c>
      <c r="M219" s="1">
        <v>2892</v>
      </c>
      <c r="N219" s="1">
        <v>-24.6</v>
      </c>
      <c r="O219" s="1">
        <v>1.8</v>
      </c>
      <c r="P219" s="1">
        <v>0.5</v>
      </c>
      <c r="Q219" s="1">
        <v>0</v>
      </c>
      <c r="R219" s="1">
        <v>0</v>
      </c>
      <c r="S219" s="1">
        <v>0</v>
      </c>
    </row>
    <row r="220" spans="1:19" x14ac:dyDescent="0.25">
      <c r="A220" s="1">
        <v>500</v>
      </c>
      <c r="B220" s="1">
        <v>587</v>
      </c>
      <c r="C220" s="1">
        <v>1675</v>
      </c>
      <c r="D220" s="1">
        <v>-49.8</v>
      </c>
      <c r="E220" s="1">
        <v>3.4</v>
      </c>
      <c r="F220" s="1">
        <v>1</v>
      </c>
      <c r="G220">
        <v>0</v>
      </c>
      <c r="H220">
        <v>0</v>
      </c>
      <c r="I220">
        <v>0</v>
      </c>
      <c r="K220" s="1">
        <v>500</v>
      </c>
      <c r="L220" s="1">
        <v>762</v>
      </c>
      <c r="M220" s="1">
        <v>2826</v>
      </c>
      <c r="N220" s="1">
        <v>-34.799999999999997</v>
      </c>
      <c r="O220" s="1">
        <v>2.4</v>
      </c>
      <c r="P220" s="1">
        <v>0.7</v>
      </c>
      <c r="Q220" s="1">
        <v>0</v>
      </c>
      <c r="R220" s="1">
        <v>0</v>
      </c>
      <c r="S220" s="1">
        <v>0</v>
      </c>
    </row>
    <row r="222" spans="1:19" x14ac:dyDescent="0.25">
      <c r="A222" t="s">
        <v>80</v>
      </c>
      <c r="K222" t="s">
        <v>79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39</v>
      </c>
      <c r="H223" t="s">
        <v>40</v>
      </c>
      <c r="I223" t="s">
        <v>41</v>
      </c>
      <c r="K223" t="s">
        <v>12</v>
      </c>
      <c r="L223" t="s">
        <v>13</v>
      </c>
      <c r="M223" t="s">
        <v>14</v>
      </c>
      <c r="N223" t="s">
        <v>15</v>
      </c>
      <c r="O223" t="s">
        <v>16</v>
      </c>
      <c r="P223" t="s">
        <v>17</v>
      </c>
      <c r="Q223" t="s">
        <v>39</v>
      </c>
      <c r="R223" t="s">
        <v>40</v>
      </c>
      <c r="S223" t="s">
        <v>41</v>
      </c>
    </row>
    <row r="224" spans="1:19" x14ac:dyDescent="0.25">
      <c r="A224" s="1">
        <v>0</v>
      </c>
      <c r="B224" s="1">
        <v>960</v>
      </c>
      <c r="C224" s="1">
        <v>4482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>
        <v>0</v>
      </c>
      <c r="L224" s="1">
        <v>960</v>
      </c>
      <c r="M224" s="1">
        <v>4482</v>
      </c>
      <c r="N224" s="1">
        <v>-3.8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</row>
    <row r="225" spans="1:19" x14ac:dyDescent="0.25">
      <c r="A225" s="1">
        <v>25</v>
      </c>
      <c r="B225" s="1">
        <v>939</v>
      </c>
      <c r="C225" s="1">
        <v>4282</v>
      </c>
      <c r="D225" s="1">
        <v>5.7</v>
      </c>
      <c r="E225" s="1">
        <v>-7.9</v>
      </c>
      <c r="F225" s="1">
        <v>-2.2999999999999998</v>
      </c>
      <c r="G225" s="2">
        <v>0</v>
      </c>
      <c r="H225" s="2">
        <v>0</v>
      </c>
      <c r="I225" s="2">
        <v>0</v>
      </c>
      <c r="K225" s="1">
        <v>25</v>
      </c>
      <c r="L225" s="1">
        <v>950</v>
      </c>
      <c r="M225" s="1">
        <v>4384</v>
      </c>
      <c r="N225" s="1">
        <v>3.9</v>
      </c>
      <c r="O225" s="1">
        <v>-5.4</v>
      </c>
      <c r="P225" s="1">
        <v>-1.6</v>
      </c>
      <c r="Q225" s="1">
        <v>0</v>
      </c>
      <c r="R225" s="1">
        <v>0</v>
      </c>
      <c r="S225" s="1">
        <v>0</v>
      </c>
    </row>
    <row r="226" spans="1:19" x14ac:dyDescent="0.25">
      <c r="A226" s="1">
        <v>50</v>
      </c>
      <c r="B226" s="1">
        <v>918</v>
      </c>
      <c r="C226" s="1">
        <v>4092</v>
      </c>
      <c r="D226" s="1">
        <v>14.7</v>
      </c>
      <c r="E226" s="1">
        <v>-10</v>
      </c>
      <c r="F226" s="1">
        <v>-2.9</v>
      </c>
      <c r="G226" s="2">
        <v>0</v>
      </c>
      <c r="H226" s="2">
        <v>0</v>
      </c>
      <c r="I226" s="2">
        <v>0</v>
      </c>
      <c r="K226" s="1">
        <v>50</v>
      </c>
      <c r="L226" s="1">
        <v>939</v>
      </c>
      <c r="M226" s="1">
        <v>4288</v>
      </c>
      <c r="N226" s="1">
        <v>11.1</v>
      </c>
      <c r="O226" s="1">
        <v>-7.6</v>
      </c>
      <c r="P226" s="1">
        <v>-2.2000000000000002</v>
      </c>
      <c r="Q226" s="1">
        <v>0</v>
      </c>
      <c r="R226" s="1">
        <v>0</v>
      </c>
      <c r="S226" s="1">
        <v>0</v>
      </c>
    </row>
    <row r="227" spans="1:19" x14ac:dyDescent="0.25">
      <c r="A227" s="1">
        <v>75</v>
      </c>
      <c r="B227" s="1">
        <v>897</v>
      </c>
      <c r="C227" s="1">
        <v>3909</v>
      </c>
      <c r="D227" s="1">
        <v>22.7</v>
      </c>
      <c r="E227" s="1">
        <v>-10.4</v>
      </c>
      <c r="F227" s="1">
        <v>-3</v>
      </c>
      <c r="G227" s="2">
        <v>0</v>
      </c>
      <c r="H227" s="2">
        <v>0</v>
      </c>
      <c r="I227" s="2">
        <v>0</v>
      </c>
      <c r="K227" s="1">
        <v>75</v>
      </c>
      <c r="L227" s="1">
        <v>929</v>
      </c>
      <c r="M227" s="1">
        <v>4194</v>
      </c>
      <c r="N227" s="1">
        <v>17.399999999999999</v>
      </c>
      <c r="O227" s="1">
        <v>-8</v>
      </c>
      <c r="P227" s="1">
        <v>-2.2999999999999998</v>
      </c>
      <c r="Q227" s="1">
        <v>0</v>
      </c>
      <c r="R227" s="1">
        <v>0</v>
      </c>
      <c r="S227" s="1">
        <v>0</v>
      </c>
    </row>
    <row r="228" spans="1:19" x14ac:dyDescent="0.25">
      <c r="A228" s="1">
        <v>100</v>
      </c>
      <c r="B228" s="1">
        <v>876</v>
      </c>
      <c r="C228" s="1">
        <v>3733</v>
      </c>
      <c r="D228" s="1">
        <v>30</v>
      </c>
      <c r="E228" s="1">
        <v>-10.3</v>
      </c>
      <c r="F228" s="1">
        <v>-3</v>
      </c>
      <c r="G228" s="2">
        <v>0</v>
      </c>
      <c r="H228" s="2">
        <v>0</v>
      </c>
      <c r="I228" s="2">
        <v>0</v>
      </c>
      <c r="K228" s="1">
        <v>100</v>
      </c>
      <c r="L228" s="1">
        <v>919</v>
      </c>
      <c r="M228" s="1">
        <v>4101</v>
      </c>
      <c r="N228" s="1">
        <v>23</v>
      </c>
      <c r="O228" s="1">
        <v>-7.9</v>
      </c>
      <c r="P228" s="1">
        <v>-2.2999999999999998</v>
      </c>
      <c r="Q228" s="1">
        <v>0</v>
      </c>
      <c r="R228" s="1">
        <v>0</v>
      </c>
      <c r="S228" s="1">
        <v>0</v>
      </c>
    </row>
    <row r="229" spans="1:19" x14ac:dyDescent="0.25">
      <c r="A229" s="1">
        <v>125</v>
      </c>
      <c r="B229" s="1">
        <v>856</v>
      </c>
      <c r="C229" s="1">
        <v>3563</v>
      </c>
      <c r="D229" s="1">
        <v>36.700000000000003</v>
      </c>
      <c r="E229" s="1">
        <v>-10.1</v>
      </c>
      <c r="F229" s="1">
        <v>-2.9</v>
      </c>
      <c r="G229" s="2">
        <v>0</v>
      </c>
      <c r="H229" s="2">
        <v>0</v>
      </c>
      <c r="I229" s="2">
        <v>0</v>
      </c>
      <c r="K229" s="1">
        <v>125</v>
      </c>
      <c r="L229" s="1">
        <v>908</v>
      </c>
      <c r="M229" s="1">
        <v>4010</v>
      </c>
      <c r="N229" s="1">
        <v>28</v>
      </c>
      <c r="O229" s="1">
        <v>-7.7</v>
      </c>
      <c r="P229" s="1">
        <v>-2.2000000000000002</v>
      </c>
      <c r="Q229" s="1">
        <v>0</v>
      </c>
      <c r="R229" s="1">
        <v>0</v>
      </c>
      <c r="S229" s="1">
        <v>0</v>
      </c>
    </row>
    <row r="230" spans="1:19" x14ac:dyDescent="0.25">
      <c r="A230" s="1">
        <v>150</v>
      </c>
      <c r="B230" s="1">
        <v>836</v>
      </c>
      <c r="C230" s="1">
        <v>3400</v>
      </c>
      <c r="D230" s="1">
        <v>42.3</v>
      </c>
      <c r="E230" s="1">
        <v>-9.6999999999999993</v>
      </c>
      <c r="F230" s="1">
        <v>-2.8</v>
      </c>
      <c r="G230" s="2">
        <v>0</v>
      </c>
      <c r="H230" s="2">
        <v>0</v>
      </c>
      <c r="I230" s="2">
        <v>0</v>
      </c>
      <c r="K230" s="1">
        <v>150</v>
      </c>
      <c r="L230" s="1">
        <v>898</v>
      </c>
      <c r="M230" s="1">
        <v>3920</v>
      </c>
      <c r="N230" s="1">
        <v>32.1</v>
      </c>
      <c r="O230" s="1">
        <v>-7.4</v>
      </c>
      <c r="P230" s="1">
        <v>-2.1</v>
      </c>
      <c r="Q230" s="1">
        <v>0</v>
      </c>
      <c r="R230" s="1">
        <v>0</v>
      </c>
      <c r="S230" s="1">
        <v>0</v>
      </c>
    </row>
    <row r="231" spans="1:19" x14ac:dyDescent="0.25">
      <c r="A231" s="1">
        <v>175</v>
      </c>
      <c r="B231" s="1">
        <v>817</v>
      </c>
      <c r="C231" s="1">
        <v>3244</v>
      </c>
      <c r="D231" s="1">
        <v>47</v>
      </c>
      <c r="E231" s="1">
        <v>-9.1999999999999993</v>
      </c>
      <c r="F231" s="1">
        <v>-2.7</v>
      </c>
      <c r="G231" s="2">
        <v>0</v>
      </c>
      <c r="H231" s="2">
        <v>0</v>
      </c>
      <c r="I231" s="2">
        <v>0</v>
      </c>
      <c r="K231" s="1">
        <v>175</v>
      </c>
      <c r="L231" s="1">
        <v>888</v>
      </c>
      <c r="M231" s="1">
        <v>3833</v>
      </c>
      <c r="N231" s="1">
        <v>35.5</v>
      </c>
      <c r="O231" s="1">
        <v>-7</v>
      </c>
      <c r="P231" s="1">
        <v>-2</v>
      </c>
      <c r="Q231" s="1">
        <v>0</v>
      </c>
      <c r="R231" s="1">
        <v>0</v>
      </c>
      <c r="S231" s="1">
        <v>0</v>
      </c>
    </row>
    <row r="232" spans="1:19" x14ac:dyDescent="0.25">
      <c r="A232" s="1">
        <v>200</v>
      </c>
      <c r="B232" s="1">
        <v>798</v>
      </c>
      <c r="C232" s="1">
        <v>3092</v>
      </c>
      <c r="D232" s="1">
        <v>50.9</v>
      </c>
      <c r="E232" s="1">
        <v>-8.6999999999999993</v>
      </c>
      <c r="F232" s="1">
        <v>-2.5</v>
      </c>
      <c r="G232" s="2">
        <v>0</v>
      </c>
      <c r="H232" s="2">
        <v>0</v>
      </c>
      <c r="I232" s="2">
        <v>0</v>
      </c>
      <c r="K232" s="1">
        <v>200</v>
      </c>
      <c r="L232" s="1">
        <v>878</v>
      </c>
      <c r="M232" s="1">
        <v>3746</v>
      </c>
      <c r="N232" s="1">
        <v>38.200000000000003</v>
      </c>
      <c r="O232" s="1">
        <v>-6.5</v>
      </c>
      <c r="P232" s="1">
        <v>-1.9</v>
      </c>
      <c r="Q232" s="1">
        <v>0</v>
      </c>
      <c r="R232" s="1">
        <v>0</v>
      </c>
      <c r="S232" s="1">
        <v>0</v>
      </c>
    </row>
    <row r="233" spans="1:19" x14ac:dyDescent="0.25">
      <c r="A233" s="1">
        <v>225</v>
      </c>
      <c r="B233" s="1">
        <v>779</v>
      </c>
      <c r="C233" s="1">
        <v>2947</v>
      </c>
      <c r="D233" s="1">
        <v>53.7</v>
      </c>
      <c r="E233" s="1">
        <v>-8.1999999999999993</v>
      </c>
      <c r="F233" s="1">
        <v>-2.4</v>
      </c>
      <c r="G233" s="2">
        <v>0</v>
      </c>
      <c r="H233" s="2">
        <v>0</v>
      </c>
      <c r="I233" s="2">
        <v>0</v>
      </c>
      <c r="K233" s="1">
        <v>225</v>
      </c>
      <c r="L233" s="1">
        <v>868</v>
      </c>
      <c r="M233" s="1">
        <v>3662</v>
      </c>
      <c r="N233" s="1">
        <v>40</v>
      </c>
      <c r="O233" s="1">
        <v>-6.1</v>
      </c>
      <c r="P233" s="1">
        <v>-1.8</v>
      </c>
      <c r="Q233" s="1">
        <v>0</v>
      </c>
      <c r="R233" s="1">
        <v>0</v>
      </c>
      <c r="S233" s="1">
        <v>0</v>
      </c>
    </row>
    <row r="234" spans="1:19" x14ac:dyDescent="0.25">
      <c r="A234" s="1">
        <v>250</v>
      </c>
      <c r="B234" s="1">
        <v>760</v>
      </c>
      <c r="C234" s="1">
        <v>2807</v>
      </c>
      <c r="D234" s="1">
        <v>55.4</v>
      </c>
      <c r="E234" s="1">
        <v>-7.6</v>
      </c>
      <c r="F234" s="1">
        <v>-2.2000000000000002</v>
      </c>
      <c r="G234" s="2">
        <v>0</v>
      </c>
      <c r="H234" s="2">
        <v>0</v>
      </c>
      <c r="I234" s="2">
        <v>0</v>
      </c>
      <c r="K234" s="1">
        <v>250</v>
      </c>
      <c r="L234" s="1">
        <v>858</v>
      </c>
      <c r="M234" s="1">
        <v>3578</v>
      </c>
      <c r="N234" s="1">
        <v>40.9</v>
      </c>
      <c r="O234" s="1">
        <v>-5.6</v>
      </c>
      <c r="P234" s="1">
        <v>-1.6</v>
      </c>
      <c r="Q234" s="1">
        <v>0</v>
      </c>
      <c r="R234" s="1">
        <v>0</v>
      </c>
      <c r="S234" s="1">
        <v>0</v>
      </c>
    </row>
    <row r="235" spans="1:19" x14ac:dyDescent="0.25">
      <c r="A235" s="1">
        <v>275</v>
      </c>
      <c r="B235" s="1">
        <v>741</v>
      </c>
      <c r="C235" s="1">
        <v>2672</v>
      </c>
      <c r="D235" s="1">
        <v>56.1</v>
      </c>
      <c r="E235" s="1">
        <v>-7</v>
      </c>
      <c r="F235" s="1">
        <v>-2</v>
      </c>
      <c r="G235" s="2">
        <v>0</v>
      </c>
      <c r="H235" s="2">
        <v>0</v>
      </c>
      <c r="I235" s="2">
        <v>0</v>
      </c>
      <c r="K235" s="1">
        <v>275</v>
      </c>
      <c r="L235" s="1">
        <v>848</v>
      </c>
      <c r="M235" s="1">
        <v>3497</v>
      </c>
      <c r="N235" s="1">
        <v>41</v>
      </c>
      <c r="O235" s="1">
        <v>-5.0999999999999996</v>
      </c>
      <c r="P235" s="1">
        <v>-1.5</v>
      </c>
      <c r="Q235" s="1">
        <v>0</v>
      </c>
      <c r="R235" s="1">
        <v>0</v>
      </c>
      <c r="S235" s="1">
        <v>0</v>
      </c>
    </row>
    <row r="236" spans="1:19" x14ac:dyDescent="0.25">
      <c r="A236" s="1">
        <v>300</v>
      </c>
      <c r="B236" s="1">
        <v>723</v>
      </c>
      <c r="C236" s="1">
        <v>2542</v>
      </c>
      <c r="D236" s="1">
        <v>55.6</v>
      </c>
      <c r="E236" s="1">
        <v>-6.4</v>
      </c>
      <c r="F236" s="1">
        <v>-1.9</v>
      </c>
      <c r="G236" s="2">
        <v>0</v>
      </c>
      <c r="H236" s="2">
        <v>0</v>
      </c>
      <c r="I236" s="2">
        <v>0</v>
      </c>
      <c r="K236" s="1">
        <v>300</v>
      </c>
      <c r="L236" s="1">
        <v>838</v>
      </c>
      <c r="M236" s="1">
        <v>3416</v>
      </c>
      <c r="N236" s="1">
        <v>40.299999999999997</v>
      </c>
      <c r="O236" s="1">
        <v>-4.5999999999999996</v>
      </c>
      <c r="P236" s="1">
        <v>-1.3</v>
      </c>
      <c r="Q236" s="1">
        <v>0</v>
      </c>
      <c r="R236" s="1">
        <v>0</v>
      </c>
      <c r="S236" s="1">
        <v>0</v>
      </c>
    </row>
    <row r="237" spans="1:19" x14ac:dyDescent="0.25">
      <c r="A237" s="1">
        <v>325</v>
      </c>
      <c r="B237" s="1">
        <v>705</v>
      </c>
      <c r="C237" s="1">
        <v>2418</v>
      </c>
      <c r="D237" s="1">
        <v>53.8</v>
      </c>
      <c r="E237" s="1">
        <v>-5.7</v>
      </c>
      <c r="F237" s="1">
        <v>-1.7</v>
      </c>
      <c r="G237" s="2">
        <v>0</v>
      </c>
      <c r="H237" s="2">
        <v>0</v>
      </c>
      <c r="I237" s="2">
        <v>0</v>
      </c>
      <c r="K237" s="1">
        <v>325</v>
      </c>
      <c r="L237" s="1">
        <v>829</v>
      </c>
      <c r="M237" s="1">
        <v>3337</v>
      </c>
      <c r="N237" s="1">
        <v>38.700000000000003</v>
      </c>
      <c r="O237" s="1">
        <v>-4.0999999999999996</v>
      </c>
      <c r="P237" s="1">
        <v>-1.2</v>
      </c>
      <c r="Q237" s="1">
        <v>0</v>
      </c>
      <c r="R237" s="1">
        <v>0</v>
      </c>
      <c r="S237" s="1">
        <v>0</v>
      </c>
    </row>
    <row r="238" spans="1:19" x14ac:dyDescent="0.25">
      <c r="A238" s="1">
        <v>350</v>
      </c>
      <c r="B238" s="1">
        <v>688</v>
      </c>
      <c r="C238" s="1">
        <v>2298</v>
      </c>
      <c r="D238" s="1">
        <v>50.7</v>
      </c>
      <c r="E238" s="1">
        <v>-5</v>
      </c>
      <c r="F238" s="1">
        <v>-1.4</v>
      </c>
      <c r="G238" s="2">
        <v>0</v>
      </c>
      <c r="H238" s="2">
        <v>0</v>
      </c>
      <c r="I238" s="2">
        <v>0</v>
      </c>
      <c r="K238" s="1">
        <v>350</v>
      </c>
      <c r="L238" s="1">
        <v>819</v>
      </c>
      <c r="M238" s="1">
        <v>3260</v>
      </c>
      <c r="N238" s="1">
        <v>36</v>
      </c>
      <c r="O238" s="1">
        <v>-3.5</v>
      </c>
      <c r="P238" s="1">
        <v>-1</v>
      </c>
      <c r="Q238" s="1">
        <v>0</v>
      </c>
      <c r="R238" s="1">
        <v>0</v>
      </c>
      <c r="S238" s="1">
        <v>0</v>
      </c>
    </row>
    <row r="239" spans="1:19" x14ac:dyDescent="0.25">
      <c r="A239" s="1">
        <v>375</v>
      </c>
      <c r="B239" s="1">
        <v>670</v>
      </c>
      <c r="C239" s="1">
        <v>2182</v>
      </c>
      <c r="D239" s="1">
        <v>46.3</v>
      </c>
      <c r="E239" s="1">
        <v>-4.2</v>
      </c>
      <c r="F239" s="1">
        <v>-1.2</v>
      </c>
      <c r="G239" s="2">
        <v>0</v>
      </c>
      <c r="H239" s="2">
        <v>0</v>
      </c>
      <c r="I239" s="2">
        <v>0</v>
      </c>
      <c r="K239" s="1">
        <v>375</v>
      </c>
      <c r="L239" s="1">
        <v>809</v>
      </c>
      <c r="M239" s="1">
        <v>3183</v>
      </c>
      <c r="N239" s="1">
        <v>32.6</v>
      </c>
      <c r="O239" s="1">
        <v>-3</v>
      </c>
      <c r="P239" s="1">
        <v>-0.9</v>
      </c>
      <c r="Q239" s="1">
        <v>0</v>
      </c>
      <c r="R239" s="1">
        <v>0</v>
      </c>
      <c r="S239" s="1">
        <v>0</v>
      </c>
    </row>
    <row r="240" spans="1:19" x14ac:dyDescent="0.25">
      <c r="A240" s="1">
        <v>400</v>
      </c>
      <c r="B240" s="1">
        <v>653</v>
      </c>
      <c r="C240" s="1">
        <v>2071</v>
      </c>
      <c r="D240" s="1">
        <v>40.4</v>
      </c>
      <c r="E240" s="1">
        <v>-3.5</v>
      </c>
      <c r="F240" s="1">
        <v>-1</v>
      </c>
      <c r="G240" s="2">
        <v>0</v>
      </c>
      <c r="H240" s="2">
        <v>0</v>
      </c>
      <c r="I240" s="2">
        <v>0</v>
      </c>
      <c r="K240" s="1">
        <v>400</v>
      </c>
      <c r="L240" s="1">
        <v>800</v>
      </c>
      <c r="M240" s="1">
        <v>3109</v>
      </c>
      <c r="N240" s="1">
        <v>28.1</v>
      </c>
      <c r="O240" s="1">
        <v>-2.4</v>
      </c>
      <c r="P240" s="1">
        <v>-0.7</v>
      </c>
      <c r="Q240" s="1">
        <v>0</v>
      </c>
      <c r="R240" s="1">
        <v>0</v>
      </c>
      <c r="S240" s="1">
        <v>0</v>
      </c>
    </row>
    <row r="241" spans="1:19" x14ac:dyDescent="0.25">
      <c r="A241" s="1">
        <v>425</v>
      </c>
      <c r="B241" s="1">
        <v>636</v>
      </c>
      <c r="C241" s="1">
        <v>1965</v>
      </c>
      <c r="D241" s="1">
        <v>32.799999999999997</v>
      </c>
      <c r="E241" s="1">
        <v>-2.6</v>
      </c>
      <c r="F241" s="1">
        <v>-0.8</v>
      </c>
      <c r="G241" s="2">
        <v>0</v>
      </c>
      <c r="H241" s="2">
        <v>0</v>
      </c>
      <c r="I241" s="2">
        <v>0</v>
      </c>
      <c r="K241" s="1">
        <v>425</v>
      </c>
      <c r="L241" s="1">
        <v>790</v>
      </c>
      <c r="M241" s="1">
        <v>3035</v>
      </c>
      <c r="N241" s="1">
        <v>22.5</v>
      </c>
      <c r="O241" s="1">
        <v>-1.8</v>
      </c>
      <c r="P241" s="1">
        <v>-0.5</v>
      </c>
      <c r="Q241" s="1">
        <v>0</v>
      </c>
      <c r="R241" s="1">
        <v>0</v>
      </c>
      <c r="S241" s="1">
        <v>0</v>
      </c>
    </row>
    <row r="242" spans="1:19" x14ac:dyDescent="0.25">
      <c r="A242" s="1">
        <v>450</v>
      </c>
      <c r="B242" s="1">
        <v>619</v>
      </c>
      <c r="C242" s="1">
        <v>1863</v>
      </c>
      <c r="D242" s="1">
        <v>23.7</v>
      </c>
      <c r="E242" s="1">
        <v>-1.8</v>
      </c>
      <c r="F242" s="1">
        <v>-0.5</v>
      </c>
      <c r="G242" s="2">
        <v>0</v>
      </c>
      <c r="H242" s="2">
        <v>0</v>
      </c>
      <c r="I242" s="2">
        <v>0</v>
      </c>
      <c r="K242" s="1">
        <v>450</v>
      </c>
      <c r="L242" s="1">
        <v>781</v>
      </c>
      <c r="M242" s="1">
        <v>2963</v>
      </c>
      <c r="N242" s="1">
        <v>16.100000000000001</v>
      </c>
      <c r="O242" s="1">
        <v>-1.2</v>
      </c>
      <c r="P242" s="1">
        <v>-0.4</v>
      </c>
      <c r="Q242" s="1">
        <v>0</v>
      </c>
      <c r="R242" s="1">
        <v>0</v>
      </c>
      <c r="S242" s="1">
        <v>0</v>
      </c>
    </row>
    <row r="243" spans="1:19" x14ac:dyDescent="0.25">
      <c r="A243" s="1">
        <v>475</v>
      </c>
      <c r="B243" s="1">
        <v>603</v>
      </c>
      <c r="C243" s="1">
        <v>1765</v>
      </c>
      <c r="D243" s="1">
        <v>13</v>
      </c>
      <c r="E243" s="1">
        <v>-0.9</v>
      </c>
      <c r="F243" s="1">
        <v>-0.3</v>
      </c>
      <c r="G243" s="2">
        <v>0</v>
      </c>
      <c r="H243" s="2">
        <v>0</v>
      </c>
      <c r="I243" s="2">
        <v>0</v>
      </c>
      <c r="K243" s="1">
        <v>475</v>
      </c>
      <c r="L243" s="1">
        <v>771</v>
      </c>
      <c r="M243" s="1">
        <v>2892</v>
      </c>
      <c r="N243" s="1">
        <v>8.6999999999999993</v>
      </c>
      <c r="O243" s="1">
        <v>-0.6</v>
      </c>
      <c r="P243" s="1">
        <v>-0.2</v>
      </c>
      <c r="Q243" s="1">
        <v>0</v>
      </c>
      <c r="R243" s="1">
        <v>0</v>
      </c>
      <c r="S243" s="1">
        <v>0</v>
      </c>
    </row>
    <row r="244" spans="1:19" x14ac:dyDescent="0.25">
      <c r="A244" s="1">
        <v>500</v>
      </c>
      <c r="B244" s="1">
        <v>587</v>
      </c>
      <c r="C244" s="1">
        <v>1675</v>
      </c>
      <c r="D244" s="1">
        <v>0.5</v>
      </c>
      <c r="E244" s="1">
        <v>0</v>
      </c>
      <c r="F244" s="1">
        <v>0</v>
      </c>
      <c r="G244" s="2">
        <v>0</v>
      </c>
      <c r="H244" s="2">
        <v>0</v>
      </c>
      <c r="I244" s="2">
        <v>0</v>
      </c>
      <c r="K244" s="1">
        <v>500</v>
      </c>
      <c r="L244" s="1">
        <v>762</v>
      </c>
      <c r="M244" s="1">
        <v>2826</v>
      </c>
      <c r="N244" s="1">
        <v>0.2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6" spans="1:19" ht="30" x14ac:dyDescent="0.25">
      <c r="A246" s="26" t="s">
        <v>44</v>
      </c>
      <c r="B246" s="27" t="s">
        <v>6</v>
      </c>
      <c r="C246" s="27" t="s">
        <v>7</v>
      </c>
      <c r="D246" s="27" t="s">
        <v>8</v>
      </c>
      <c r="E246" s="27" t="s">
        <v>9</v>
      </c>
      <c r="F246" s="27" t="s">
        <v>10</v>
      </c>
      <c r="G246" s="27" t="s">
        <v>34</v>
      </c>
      <c r="H246" s="27" t="s">
        <v>35</v>
      </c>
      <c r="I246" s="28" t="s">
        <v>45</v>
      </c>
      <c r="J246" s="28" t="s">
        <v>53</v>
      </c>
      <c r="K246" s="25"/>
    </row>
    <row r="247" spans="1:19" x14ac:dyDescent="0.25">
      <c r="A247" t="s">
        <v>46</v>
      </c>
      <c r="B247" s="22" cm="1">
        <f t="array" ref="B247">INDEX(LINEST(J$22:J$35,$A$22:$A$35^{1,2,3}), 1,4)</f>
        <v>-6.0318920770410269</v>
      </c>
      <c r="C247" s="22" cm="1">
        <f t="array" ref="C247">INDEX(LINEST(K$22:K$35,$A$22:$A$35^{1,2,3}), 1,4)</f>
        <v>-4.3194896366976536</v>
      </c>
      <c r="D247" s="23" cm="1">
        <f t="array" ref="D247">INDEX(LINEST(L$22:L$35,$A$22:$A$35^{1,2,3}), 1,4)</f>
        <v>-3.6631820131104575</v>
      </c>
      <c r="E247" s="23" cm="1">
        <f t="array" ref="E247">INDEX(LINEST(M$22:M$35,$A$22:$A$35^{1,2,3}), 1,4)</f>
        <v>-4.0818760568981673</v>
      </c>
      <c r="F247" s="23" cm="1">
        <f t="array" ref="F247">INDEX(LINEST(N$22:N$35,$A$22:$A$35^{1,2,3}), 1,4)</f>
        <v>-6.6936956311288842</v>
      </c>
      <c r="G247" s="23" cm="1">
        <f t="array" ref="G247">INDEX(LINEST(O$22:O$35,$A$22:$A$35^{1,2,3}), 1,4)</f>
        <v>-4.4439706471346483</v>
      </c>
      <c r="H247" s="23" cm="1">
        <f t="array" ref="H247">INDEX(LINEST(P$22:P$35,$A$22:$A$35^{1,2,3}), 1,4)</f>
        <v>-4.6259935907389513</v>
      </c>
      <c r="I247" s="23" cm="1">
        <f t="array" ref="I247">INDEX(LINEST(B$22:B$35,$A$22:$A$35^{1,2,3}), 1,4)</f>
        <v>4487.1573315037358</v>
      </c>
      <c r="J247" s="23" cm="1">
        <f t="array" ref="J247">INDEX(LINEST($C$80:$C$100,$A$80:$A$100^{1,2,3}), 1,4)</f>
        <v>4479.3848108413331</v>
      </c>
    </row>
    <row r="248" spans="1:19" x14ac:dyDescent="0.25">
      <c r="A248" t="s">
        <v>47</v>
      </c>
      <c r="B248" s="23" cm="1">
        <f t="array" ref="B248">INDEX(LINEST(J$22:J$35,$A$22:$A$35^{1,2,3}), 1,3)</f>
        <v>0.1870891211497657</v>
      </c>
      <c r="C248" s="22" cm="1">
        <f t="array" ref="C248">INDEX(LINEST(K$22:K$35,$A$22:$A$35^{1,2,3}), 1,3)</f>
        <v>8.1469157953536611E-2</v>
      </c>
      <c r="D248" s="23" cm="1">
        <f t="array" ref="D248">INDEX(LINEST(L$22:L$35,$A$22:$A$35^{1,2,3}), 1,3)</f>
        <v>6.9347988451131493E-2</v>
      </c>
      <c r="E248" s="23" cm="1">
        <f t="array" ref="E248">INDEX(LINEST(M$22:M$35,$A$22:$A$35^{1,2,3}), 1,3)</f>
        <v>0.11430411571714931</v>
      </c>
      <c r="F248" s="23" cm="1">
        <f t="array" ref="F248">INDEX(LINEST(N$22:N$35,$A$22:$A$35^{1,2,3}), 1,3)</f>
        <v>0.26586220042140274</v>
      </c>
      <c r="G248" s="23" cm="1">
        <f t="array" ref="G248">INDEX(LINEST(O$22:O$35,$A$22:$A$35^{1,2,3}), 1,3)</f>
        <v>0.22303904678765396</v>
      </c>
      <c r="H248" s="23" cm="1">
        <f t="array" ref="H248">INDEX(LINEST(P$22:P$35,$A$22:$A$35^{1,2,3}), 1,3)</f>
        <v>0.32708965075751184</v>
      </c>
      <c r="I248" s="23" cm="1">
        <f t="array" ref="I248">INDEX(LINEST(B$22:B$35,$A$22:$A$35^{1,2,3}), 1,3)</f>
        <v>-3.7331585619725263</v>
      </c>
      <c r="J248" s="23" cm="1">
        <f t="array" ref="J248">INDEX(LINEST($C$80:$C$100,$A$80:$A$100^{1,2,3}), 1,3)</f>
        <v>-8.0041958321363484</v>
      </c>
    </row>
    <row r="249" spans="1:19" x14ac:dyDescent="0.25">
      <c r="A249" t="s">
        <v>48</v>
      </c>
      <c r="B249" s="23" cm="1">
        <f t="array" ref="B249">INDEX(LINEST(J$22:J$35,$A$22:$A$35^{1,2,3}), 1,2)</f>
        <v>-6.4034778442680193E-4</v>
      </c>
      <c r="C249" s="23" cm="1">
        <f t="array" ref="C249">INDEX(LINEST(K$22:K$35,$A$22:$A$35^{1,2,3}), 1,2)</f>
        <v>-3.7012567415928093E-4</v>
      </c>
      <c r="D249" s="23" cm="1">
        <f t="array" ref="D249">INDEX(LINEST(L$22:L$35,$A$22:$A$35^{1,2,3}), 1,2)</f>
        <v>-2.1670914874534771E-4</v>
      </c>
      <c r="E249" s="23" cm="1">
        <f t="array" ref="E249">INDEX(LINEST(M$22:M$35,$A$22:$A$35^{1,2,3}), 1,2)</f>
        <v>-3.0717441384706356E-4</v>
      </c>
      <c r="F249" s="23" cm="1">
        <f t="array" ref="F249">INDEX(LINEST(N$22:N$35,$A$22:$A$35^{1,2,3}), 1,2)</f>
        <v>-9.1639907596198879E-4</v>
      </c>
      <c r="G249" s="23" cm="1">
        <f t="array" ref="G249">INDEX(LINEST(O$22:O$35,$A$22:$A$35^{1,2,3}), 1,2)</f>
        <v>-2.6501257386121068E-4</v>
      </c>
      <c r="H249" s="23" cm="1">
        <f t="array" ref="H249">INDEX(LINEST(P$22:P$35,$A$22:$A$35^{1,2,3}), 1,2)</f>
        <v>-5.139498945060558E-4</v>
      </c>
      <c r="I249" s="23" cm="1">
        <f t="array" ref="I249">INDEX(LINEST(B$22:B$35,$A$22:$A$35^{1,2,3}), 1,2)</f>
        <v>4.9382461343673004E-4</v>
      </c>
      <c r="J249" s="23" cm="1">
        <f t="array" ref="J249">INDEX(LINEST($C$80:$C$100,$A$80:$A$100^{1,2,3}), 1,2)</f>
        <v>5.7103787135824357E-3</v>
      </c>
    </row>
    <row r="250" spans="1:19" x14ac:dyDescent="0.25">
      <c r="A250" t="s">
        <v>49</v>
      </c>
      <c r="B250" s="22" cm="1">
        <f t="array" ref="B250">INDEX(LINEST(J$22:J$35,$A$22:$A$35^{1,2,3}), 1)</f>
        <v>-1.918094564058032E-7</v>
      </c>
      <c r="C250" s="22" cm="1">
        <f t="array" ref="C250">INDEX(LINEST(K$22:K$35,$A$22:$A$35^{1,2,3}), 1)</f>
        <v>-4.4089064408754952E-7</v>
      </c>
      <c r="D250" s="23" cm="1">
        <f t="array" ref="D250">INDEX(LINEST(L$22:L$35,$A$22:$A$35^{1,2,3}), 1)</f>
        <v>-6.5469663351559342E-7</v>
      </c>
      <c r="E250" s="23" cm="1">
        <f t="array" ref="E250">INDEX(LINEST(M$22:M$35,$A$22:$A$35^{1,2,3}), 1)</f>
        <v>-5.8405975764055339E-7</v>
      </c>
      <c r="F250" s="23" cm="1">
        <f t="array" ref="F250">INDEX(LINEST(N$22:N$35,$A$22:$A$35^{1,2,3}), 1)</f>
        <v>2.9599833337295156E-7</v>
      </c>
      <c r="G250" s="23" cm="1">
        <f t="array" ref="G250">INDEX(LINEST(O$22:O$35,$A$22:$A$35^{1,2,3}), 1)</f>
        <v>-6.3719790243260675E-7</v>
      </c>
      <c r="H250" s="23" cm="1">
        <f t="array" ref="H250">INDEX(LINEST(P$22:P$35,$A$22:$A$35^{1,2,3}), 1)</f>
        <v>-2.2436149861614509E-7</v>
      </c>
      <c r="I250" s="23" cm="1">
        <f t="array" ref="I250">INDEX(LINEST(B$22:B$35,$A$22:$A$35^{1,2,3}), 1)</f>
        <v>7.9559276170117149E-7</v>
      </c>
      <c r="J250" s="23" cm="1">
        <f t="array" ref="J250">INDEX(LINEST($C$80:$C$100,$A$80:$A$100^{1,2,3}), 1)</f>
        <v>-1.8576612810023184E-6</v>
      </c>
    </row>
    <row r="251" spans="1:19" x14ac:dyDescent="0.25">
      <c r="A251" t="s">
        <v>50</v>
      </c>
      <c r="B251" s="22"/>
      <c r="C251" s="22"/>
      <c r="D251" s="23"/>
      <c r="E251" s="23"/>
      <c r="F251" s="23"/>
      <c r="G251" s="23"/>
      <c r="H251" s="23"/>
      <c r="I251" s="23"/>
    </row>
    <row r="252" spans="1:19" x14ac:dyDescent="0.25">
      <c r="A252" t="s">
        <v>51</v>
      </c>
      <c r="B252" s="22"/>
      <c r="C252" s="22"/>
      <c r="D252" s="23"/>
      <c r="E252" s="23"/>
      <c r="F252" s="23"/>
      <c r="G252" s="23"/>
      <c r="H252" s="23"/>
      <c r="I252" s="23"/>
    </row>
    <row r="253" spans="1:19" x14ac:dyDescent="0.25">
      <c r="A253" t="s">
        <v>52</v>
      </c>
      <c r="B253" s="22"/>
      <c r="C253" s="22"/>
      <c r="D253" s="23"/>
      <c r="E253" s="23"/>
      <c r="F253" s="23"/>
      <c r="G253" s="23"/>
      <c r="H253" s="23"/>
      <c r="I253" s="23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s="29"/>
      <c r="B255" s="62"/>
      <c r="C255" s="62"/>
      <c r="D255" s="62"/>
      <c r="E255" s="62"/>
      <c r="F255" s="62"/>
      <c r="G255" s="62"/>
      <c r="H255" s="62"/>
    </row>
    <row r="256" spans="1:19" x14ac:dyDescent="0.25">
      <c r="A256" s="30" t="s">
        <v>4</v>
      </c>
      <c r="B256" s="60" t="s">
        <v>54</v>
      </c>
      <c r="C256" s="60"/>
      <c r="D256" s="60"/>
      <c r="E256" s="60"/>
      <c r="F256" s="60"/>
      <c r="G256" s="60"/>
      <c r="H256" s="60"/>
      <c r="I256" s="60" t="s">
        <v>55</v>
      </c>
      <c r="J256" s="60"/>
    </row>
    <row r="257" spans="1:10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4487.1573315037358</v>
      </c>
      <c r="J257" s="2" cm="1">
        <f t="array" ref="J257">EvaluatePolynomial(J$247:J$250,$A257)</f>
        <v>4479.3848108413331</v>
      </c>
    </row>
    <row r="258" spans="1:10" x14ac:dyDescent="0.25">
      <c r="A258" s="1">
        <v>25</v>
      </c>
      <c r="B258" s="2" cm="1">
        <f t="array" ref="B258">TrajectoryToComeUp(B$247:B$250,$A258)</f>
        <v>0.70315137452799048</v>
      </c>
      <c r="C258" s="2" cm="1">
        <f t="array" ref="C258">TrajectoryToComeUp(C$247:C$250,$A258)</f>
        <v>1.0083912602090628</v>
      </c>
      <c r="D258" s="24" cm="1">
        <f t="array" ref="D258">TrajectoryToComeUp(D$247:D$250,$A258)</f>
        <v>0.83006206187867748</v>
      </c>
      <c r="E258" s="24" cm="1">
        <f t="array" ref="E258">TrajectoryToComeUp(E$247:E$250,$A258)</f>
        <v>0.57015324253479316</v>
      </c>
      <c r="F258" s="24" cm="1">
        <f t="array" ref="F258">TrajectoryToComeUp(F$247:F$250,$A258)</f>
        <v>0.24610602764444245</v>
      </c>
      <c r="G258" s="24" cm="1">
        <f t="array" ref="G258">TrajectoryToComeUp(G$247:G$250,$A258)</f>
        <v>-0.3825665786671737</v>
      </c>
      <c r="H258" s="24" cm="1">
        <f t="array" ref="H258">TrajectoryToComeUp(H$247:H$250,$A258)</f>
        <v>-1.2906093382866728</v>
      </c>
      <c r="I258" s="2" cm="1">
        <f t="array" ref="I258">EvaluatePolynomial(I$247:I$250,$A258)</f>
        <v>4394.1494389747222</v>
      </c>
      <c r="J258" s="2" cm="1">
        <f t="array" ref="J258">EvaluatePolynomial(J$247:J$250,$A258)</f>
        <v>4282.8198757763976</v>
      </c>
    </row>
    <row r="259" spans="1:10" x14ac:dyDescent="0.25">
      <c r="A259" s="1">
        <v>50</v>
      </c>
      <c r="B259" s="2" cm="1">
        <f t="array" ref="B259">TrajectoryToComeUp(B$247:B$250,$A259)</f>
        <v>-0.3395436674659057</v>
      </c>
      <c r="C259" s="2" cm="1">
        <f t="array" ref="C259">TrajectoryToComeUp(C$247:C$250,$A259)</f>
        <v>0.24529145098599381</v>
      </c>
      <c r="D259" s="24" cm="1">
        <f t="array" ref="D259">TrajectoryToComeUp(D$247:D$250,$A259)</f>
        <v>0.16387850832134027</v>
      </c>
      <c r="E259" s="24" cm="1">
        <f t="array" ref="E259">TrajectoryToComeUp(E$247:E$250,$A259)</f>
        <v>-0.15847724492731396</v>
      </c>
      <c r="F259" s="24" cm="1">
        <f t="array" ref="F259">TrajectoryToComeUp(F$247:F$250,$A259)</f>
        <v>-0.86908329834157982</v>
      </c>
      <c r="G259" s="24" cm="1">
        <f t="array" ref="G259">TrajectoryToComeUp(G$247:G$250,$A259)</f>
        <v>-1.1931601039581894</v>
      </c>
      <c r="H259" s="24" cm="1">
        <f t="array" ref="H259">TrajectoryToComeUp(H$247:H$250,$A259)</f>
        <v>-2.0831138047088968</v>
      </c>
      <c r="I259" s="2" cm="1">
        <f t="array" ref="I259">EvaluatePolynomial(I$247:I$250,$A259)</f>
        <v>4301.8334140339139</v>
      </c>
      <c r="J259" s="2" cm="1">
        <f t="array" ref="J259">EvaluatePolynomial(J$247:J$250,$A259)</f>
        <v>4093.2187583583463</v>
      </c>
    </row>
    <row r="260" spans="1:10" x14ac:dyDescent="0.25">
      <c r="A260" s="1">
        <v>75</v>
      </c>
      <c r="B260" s="2" cm="1">
        <f t="array" ref="B260">TrajectoryToComeUp(B$247:B$250,$A260)</f>
        <v>-0.57558881431592535</v>
      </c>
      <c r="C260" s="2" cm="1">
        <f t="array" ref="C260">TrajectoryToComeUp(C$247:C$250,$A260)</f>
        <v>6.3634726373706346E-2</v>
      </c>
      <c r="D260" s="24" cm="1">
        <f t="array" ref="D260">TrajectoryToComeUp(D$247:D$250,$A260)</f>
        <v>-5.6970689023243303E-3</v>
      </c>
      <c r="E260" s="24" cm="1">
        <f t="array" ref="E260">TrajectoryToComeUp(E$247:E$250,$A260)</f>
        <v>-0.33555684449915868</v>
      </c>
      <c r="F260" s="24" cm="1">
        <f t="array" ref="F260">TrajectoryToComeUp(F$247:F$250,$A260)</f>
        <v>-1.0954798526775795</v>
      </c>
      <c r="G260" s="24" cm="1">
        <f t="array" ref="G260">TrajectoryToComeUp(G$247:G$250,$A260)</f>
        <v>-1.4032592358508444</v>
      </c>
      <c r="H260" s="24" cm="1">
        <f t="array" ref="H260">TrajectoryToComeUp(H$247:H$250,$A260)</f>
        <v>-2.2560146069665574</v>
      </c>
      <c r="I260" s="2" cm="1">
        <f t="array" ref="I260">EvaluatePolynomial(I$247:I$250,$A260)</f>
        <v>4210.2838435027206</v>
      </c>
      <c r="J260" s="2" cm="1">
        <f t="array" ref="J260">EvaluatePolynomial(J$247:J$250,$A260)</f>
        <v>3910.4073028420853</v>
      </c>
    </row>
    <row r="261" spans="1:10" x14ac:dyDescent="0.25">
      <c r="A261" s="1">
        <v>100</v>
      </c>
      <c r="B261" s="2" cm="1">
        <f t="array" ref="B261">TrajectoryToComeUp(B$247:B$250,$A261)</f>
        <v>-0.60817327372617203</v>
      </c>
      <c r="C261" s="2" cm="1">
        <f t="array" ref="C261">TrajectoryToComeUp(C$247:C$250,$A261)</f>
        <v>3.1472122702435122E-2</v>
      </c>
      <c r="D261" s="24" cm="1">
        <f t="array" ref="D261">TrajectoryToComeUp(D$247:D$250,$A261)</f>
        <v>-4.4982871103362146E-2</v>
      </c>
      <c r="E261" s="24" cm="1">
        <f t="array" ref="E261">TrajectoryToComeUp(E$247:E$250,$A261)</f>
        <v>-0.36927316187055736</v>
      </c>
      <c r="F261" s="24" cm="1">
        <f t="array" ref="F261">TrajectoryToComeUp(F$247:F$250,$A261)</f>
        <v>-1.1024531984764454</v>
      </c>
      <c r="G261" s="24" cm="1">
        <f t="array" ref="G261">TrajectoryToComeUp(G$247:G$250,$A261)</f>
        <v>-1.4572610390586034</v>
      </c>
      <c r="H261" s="24" cm="1">
        <f t="array" ref="H261">TrajectoryToComeUp(H$247:H$250,$A261)</f>
        <v>-2.2719111041335527</v>
      </c>
      <c r="I261" s="2" cm="1">
        <f t="array" ref="I261">EvaluatePolynomial(I$247:I$250,$A261)</f>
        <v>4119.5753142025515</v>
      </c>
      <c r="J261" s="2" cm="1">
        <f t="array" ref="J261">EvaluatePolynomial(J$247:J$250,$A261)</f>
        <v>3734.2113534825203</v>
      </c>
    </row>
    <row r="262" spans="1:10" x14ac:dyDescent="0.25">
      <c r="A262" s="1">
        <v>125</v>
      </c>
      <c r="B262" s="2" cm="1">
        <f t="array" ref="B262">TrajectoryToComeUp(B$247:B$250,$A262)</f>
        <v>-0.55793488723746565</v>
      </c>
      <c r="C262" s="2" cm="1">
        <f t="array" ref="C262">TrajectoryToComeUp(C$247:C$250,$A262)</f>
        <v>6.241384723822696E-2</v>
      </c>
      <c r="D262" s="24" cm="1">
        <f t="array" ref="D262">TrajectoryToComeUp(D$247:D$250,$A262)</f>
        <v>-2.7242538543982259E-2</v>
      </c>
      <c r="E262" s="24" cm="1">
        <f t="array" ref="E262">TrajectoryToComeUp(E$247:E$250,$A262)</f>
        <v>-0.34126371817947387</v>
      </c>
      <c r="F262" s="24" cm="1">
        <f t="array" ref="F262">TrajectoryToComeUp(F$247:F$250,$A262)</f>
        <v>-1.0238772483607541</v>
      </c>
      <c r="G262" s="24" cm="1">
        <f t="array" ref="G262">TrajectoryToComeUp(G$247:G$250,$A262)</f>
        <v>-1.4440449265241597</v>
      </c>
      <c r="H262" s="24" cm="1">
        <f t="array" ref="H262">TrajectoryToComeUp(H$247:H$250,$A262)</f>
        <v>-2.2233231680246597</v>
      </c>
      <c r="I262" s="2" cm="1">
        <f t="array" ref="I262">EvaluatePolynomial(I$247:I$250,$A262)</f>
        <v>4029.7824129548167</v>
      </c>
      <c r="J262" s="2" cm="1">
        <f t="array" ref="J262">EvaluatePolynomial(J$247:J$250,$A262)</f>
        <v>3564.4567545345576</v>
      </c>
    </row>
    <row r="263" spans="1:10" x14ac:dyDescent="0.25">
      <c r="A263" s="1">
        <v>145</v>
      </c>
      <c r="B263" s="2" cm="1">
        <f t="array" ref="B263">TrajectoryToComeUp(B$247:B$250,$A263)</f>
        <v>-0.48606642883216189</v>
      </c>
      <c r="C263" s="2" cm="1">
        <f t="array" ref="C263">TrajectoryToComeUp(C$247:C$250,$A263)</f>
        <v>0.11258374292862983</v>
      </c>
      <c r="D263" s="24" cm="1">
        <f t="array" ref="D263">TrajectoryToComeUp(D$247:D$250,$A263)</f>
        <v>1.1031590649572612E-2</v>
      </c>
      <c r="E263" s="24" cm="1">
        <f t="array" ref="E263">TrajectoryToComeUp(E$247:E$250,$A263)</f>
        <v>-0.29333099947014063</v>
      </c>
      <c r="F263" s="24" cm="1">
        <f t="array" ref="F263">TrajectoryToComeUp(F$247:F$250,$A263)</f>
        <v>-0.93044281220364222</v>
      </c>
      <c r="G263" s="24" cm="1">
        <f t="array" ref="G263">TrajectoryToComeUp(G$247:G$250,$A263)</f>
        <v>-1.4056706425061805</v>
      </c>
      <c r="H263" s="24" cm="1">
        <f t="array" ref="H263">TrajectoryToComeUp(H$247:H$250,$A263)</f>
        <v>-2.1594631147166754</v>
      </c>
      <c r="I263" s="2" cm="1">
        <f t="array" ref="I263">EvaluatePolynomial(I$247:I$250,$A263)</f>
        <v>3958.6574664983677</v>
      </c>
      <c r="J263" s="2" cm="1">
        <f t="array" ref="J263">EvaluatePolynomial(J$247:J$250,$A263)</f>
        <v>3433.1738150118376</v>
      </c>
    </row>
    <row r="264" spans="1:10" x14ac:dyDescent="0.25">
      <c r="A264" s="1">
        <v>150</v>
      </c>
      <c r="B264" s="2" cm="1">
        <f t="array" ref="B264">TrajectoryToComeUp(B$247:B$250,$A264)</f>
        <v>-0.46508626869674663</v>
      </c>
      <c r="C264" s="2" cm="1">
        <f t="array" ref="C264">TrajectoryToComeUp(C$247:C$250,$A264)</f>
        <v>0.12766330240309753</v>
      </c>
      <c r="D264" s="24" cm="1">
        <f t="array" ref="D264">TrajectoryToComeUp(D$247:D$250,$A264)</f>
        <v>2.3102715355079011E-2</v>
      </c>
      <c r="E264" s="24" cm="1">
        <f t="array" ref="E264">TrajectoryToComeUp(E$247:E$250,$A264)</f>
        <v>-0.27874102047189547</v>
      </c>
      <c r="F264" s="24" cm="1">
        <f t="array" ref="F264">TrajectoryToComeUp(F$247:F$250,$A264)</f>
        <v>-0.90437663987136618</v>
      </c>
      <c r="G264" s="24" cm="1">
        <f t="array" ref="G264">TrajectoryToComeUp(G$247:G$250,$A264)</f>
        <v>-1.3932373692284108</v>
      </c>
      <c r="H264" s="24" cm="1">
        <f t="array" ref="H264">TrajectoryToComeUp(H$247:H$250,$A264)</f>
        <v>-2.1410907559114718</v>
      </c>
      <c r="I264" s="2" cm="1">
        <f t="array" ref="I264">EvaluatePolynomial(I$247:I$250,$A264)</f>
        <v>3940.9797265809248</v>
      </c>
      <c r="J264" s="2" cm="1">
        <f t="array" ref="J264">EvaluatePolynomial(J$247:J$250,$A264)</f>
        <v>3400.9693502531027</v>
      </c>
    </row>
    <row r="265" spans="1:10" x14ac:dyDescent="0.25">
      <c r="A265" s="1">
        <v>163.4</v>
      </c>
      <c r="B265" s="2" cm="1">
        <f t="array" ref="B265">TrajectoryToComeUp(B$247:B$250,$A265)</f>
        <v>-0.40420180892134577</v>
      </c>
      <c r="C265" s="2" cm="1">
        <f t="array" ref="C265">TrajectoryToComeUp(C$247:C$250,$A265)</f>
        <v>0.17216028505412942</v>
      </c>
      <c r="D265" s="24" cm="1">
        <f t="array" ref="D265">TrajectoryToComeUp(D$247:D$250,$A265)</f>
        <v>5.9608930744853454E-2</v>
      </c>
      <c r="E265" s="24" cm="1">
        <f t="array" ref="E265">TrajectoryToComeUp(E$247:E$250,$A265)</f>
        <v>-0.23536796330665896</v>
      </c>
      <c r="F265" s="24" cm="1">
        <f t="array" ref="F265">TrajectoryToComeUp(F$247:F$250,$A265)</f>
        <v>-0.83060527129212447</v>
      </c>
      <c r="G265" s="24" cm="1">
        <f t="array" ref="G265">TrajectoryToComeUp(G$247:G$250,$A265)</f>
        <v>-1.3552620580545685</v>
      </c>
      <c r="H265" s="24" cm="1">
        <f t="array" ref="H265">TrajectoryToComeUp(H$247:H$250,$A265)</f>
        <v>-2.0880903041274257</v>
      </c>
      <c r="I265" s="2" cm="1">
        <f t="array" ref="I265">EvaluatePolynomial(I$247:I$250,$A265)</f>
        <v>3893.8150613623134</v>
      </c>
      <c r="J265" s="2" cm="1">
        <f t="array" ref="J265">EvaluatePolynomial(J$247:J$250,$A265)</f>
        <v>3315.859377031155</v>
      </c>
    </row>
    <row r="266" spans="1:10" x14ac:dyDescent="0.25">
      <c r="A266" s="1">
        <v>175</v>
      </c>
      <c r="B266" s="2" cm="1">
        <f t="array" ref="B266">TrajectoryToComeUp(B$247:B$250,$A266)</f>
        <v>-0.34686139546698919</v>
      </c>
      <c r="C266" s="2" cm="1">
        <f t="array" ref="C266">TrajectoryToComeUp(C$247:C$250,$A266)</f>
        <v>0.21487908923505344</v>
      </c>
      <c r="D266" s="24" cm="1">
        <f t="array" ref="D266">TrajectoryToComeUp(D$247:D$250,$A266)</f>
        <v>9.5586656270648801E-2</v>
      </c>
      <c r="E266" s="24" cm="1">
        <f t="array" ref="E266">TrajectoryToComeUp(E$247:E$250,$A266)</f>
        <v>-0.19336757176753139</v>
      </c>
      <c r="F266" s="24" cm="1">
        <f t="array" ref="F266">TrajectoryToComeUp(F$247:F$250,$A266)</f>
        <v>-0.76307621766864853</v>
      </c>
      <c r="G266" s="24" cm="1">
        <f t="array" ref="G266">TrajectoryToComeUp(G$247:G$250,$A266)</f>
        <v>-1.3175354261631693</v>
      </c>
      <c r="H266" s="24" cm="1">
        <f t="array" ref="H266">TrajectoryToComeUp(H$247:H$250,$A266)</f>
        <v>-2.0384309923389576</v>
      </c>
      <c r="I266" s="2" cm="1">
        <f t="array" ref="I266">EvaluatePolynomial(I$247:I$250,$A266)</f>
        <v>3853.2418419022856</v>
      </c>
      <c r="J266" s="2" cm="1">
        <f t="array" ref="J266">EvaluatePolynomial(J$247:J$250,$A266)</f>
        <v>3243.5749848930623</v>
      </c>
    </row>
    <row r="267" spans="1:10" x14ac:dyDescent="0.25">
      <c r="A267" s="1">
        <v>200</v>
      </c>
      <c r="B267" s="2" cm="1">
        <f t="array" ref="B267">TrajectoryToComeUp(B$247:B$250,$A267)</f>
        <v>-0.21187725622968054</v>
      </c>
      <c r="C267" s="2" cm="1">
        <f t="array" ref="C267">TrajectoryToComeUp(C$247:C$250,$A267)</f>
        <v>0.31789050825309817</v>
      </c>
      <c r="D267" s="24" cm="1">
        <f t="array" ref="D267">TrajectoryToComeUp(D$247:D$250,$A267)</f>
        <v>0.18497616704114073</v>
      </c>
      <c r="E267" s="24" cm="1">
        <f t="array" ref="E267">TrajectoryToComeUp(E$247:E$250,$A267)</f>
        <v>-9.0974623576236271E-2</v>
      </c>
      <c r="F267" s="24" cm="1">
        <f t="array" ref="F267">TrajectoryToComeUp(F$247:F$250,$A267)</f>
        <v>-0.60953840408278626</v>
      </c>
      <c r="G267" s="24" cm="1">
        <f t="array" ref="G267">TrajectoryToComeUp(G$247:G$250,$A267)</f>
        <v>-1.2232876268243433</v>
      </c>
      <c r="H267" s="24" cm="1">
        <f t="array" ref="H267">TrajectoryToComeUp(H$247:H$250,$A267)</f>
        <v>-1.9219524395796013</v>
      </c>
      <c r="I267" s="2" cm="1">
        <f t="array" ref="I267">EvaluatePolynomial(I$247:I$250,$A267)</f>
        <v>3766.6433457403091</v>
      </c>
      <c r="J267" s="2" cm="1">
        <f t="array" ref="J267">EvaluatePolynomial(J$247:J$250,$A267)</f>
        <v>3092.0995027093422</v>
      </c>
    </row>
    <row r="268" spans="1:10" x14ac:dyDescent="0.25">
      <c r="A268" s="1">
        <v>225</v>
      </c>
      <c r="B268" s="2" cm="1">
        <f t="array" ref="B268">TrajectoryToComeUp(B$247:B$250,$A268)</f>
        <v>-6.4921066918980239E-2</v>
      </c>
      <c r="C268" s="2" cm="1">
        <f t="array" ref="C268">TrajectoryToComeUp(C$247:C$250,$A268)</f>
        <v>0.43326939307890039</v>
      </c>
      <c r="D268" s="24" cm="1">
        <f t="array" ref="D268">TrajectoryToComeUp(D$247:D$250,$A268)</f>
        <v>0.28836396035456247</v>
      </c>
      <c r="E268" s="24" cm="1">
        <f t="array" ref="E268">TrajectoryToComeUp(E$247:E$250,$A268)</f>
        <v>2.5198239929848629E-2</v>
      </c>
      <c r="F268" s="24" cm="1">
        <f t="array" ref="F268">TrajectoryToComeUp(F$247:F$250,$A268)</f>
        <v>-0.44907565596388099</v>
      </c>
      <c r="G268" s="24" cm="1">
        <f t="array" ref="G268">TrajectoryToComeUp(G$247:G$250,$A268)</f>
        <v>-1.114020932042991</v>
      </c>
      <c r="H268" s="24" cm="1">
        <f t="array" ref="H268">TrajectoryToComeUp(H$247:H$250,$A268)</f>
        <v>-1.7953265211181162</v>
      </c>
      <c r="I268" s="2" cm="1">
        <f t="array" ref="I268">EvaluatePolynomial(I$247:I$250,$A268)</f>
        <v>3681.2588249164041</v>
      </c>
      <c r="J268" s="2" cm="1">
        <f t="array" ref="J268">EvaluatePolynomial(J$247:J$250,$A268)</f>
        <v>2946.3687479568484</v>
      </c>
    </row>
    <row r="269" spans="1:10" x14ac:dyDescent="0.25">
      <c r="A269" s="1">
        <v>247.4</v>
      </c>
      <c r="B269" s="2" cm="1">
        <f t="array" ref="B269">TrajectoryToComeUp(B$247:B$250,$A269)</f>
        <v>7.4540881632005382E-2</v>
      </c>
      <c r="C269" s="2" cm="1">
        <f t="array" ref="C269">TrajectoryToComeUp(C$247:C$250,$A269)</f>
        <v>0.54544959411660676</v>
      </c>
      <c r="D269" s="24" cm="1">
        <f t="array" ref="D269">TrajectoryToComeUp(D$247:D$250,$A269)</f>
        <v>0.39144432587661743</v>
      </c>
      <c r="E269" s="24" cm="1">
        <f t="array" ref="E269">TrajectoryToComeUp(E$247:E$250,$A269)</f>
        <v>0.13938334493832416</v>
      </c>
      <c r="F269" s="24" cm="1">
        <f t="array" ref="F269">TrajectoryToComeUp(F$247:F$250,$A269)</f>
        <v>-0.30206001321808745</v>
      </c>
      <c r="G269" s="24" cm="1">
        <f t="array" ref="G269">TrajectoryToComeUp(G$247:G$250,$A269)</f>
        <v>-1.0051142231518579</v>
      </c>
      <c r="H269" s="24" cm="1">
        <f t="array" ref="H269">TrajectoryToComeUp(H$247:H$250,$A269)</f>
        <v>-1.6750756833827736</v>
      </c>
      <c r="I269" s="2" cm="1">
        <f t="array" ref="I269">EvaluatePolynomial(I$247:I$250,$A269)</f>
        <v>3605.8466129706626</v>
      </c>
      <c r="J269" s="2" cm="1">
        <f t="array" ref="J269">EvaluatePolynomial(J$247:J$250,$A269)</f>
        <v>2820.5308080685368</v>
      </c>
    </row>
    <row r="270" spans="1:10" x14ac:dyDescent="0.25">
      <c r="A270" s="1">
        <v>250</v>
      </c>
      <c r="B270" s="2" cm="1">
        <f t="array" ref="B270">TrajectoryToComeUp(B$247:B$250,$A270)</f>
        <v>9.1134842904615904E-2</v>
      </c>
      <c r="C270" s="2" cm="1">
        <f t="array" ref="C270">TrajectoryToComeUp(C$247:C$250,$A270)</f>
        <v>0.5589588438854608</v>
      </c>
      <c r="D270" s="24" cm="1">
        <f t="array" ref="D270">TrajectoryToComeUp(D$247:D$250,$A270)</f>
        <v>0.4040056638237185</v>
      </c>
      <c r="E270" s="24" cm="1">
        <f t="array" ref="E270">TrajectoryToComeUp(E$247:E$250,$A270)</f>
        <v>0.15320726824743841</v>
      </c>
      <c r="F270" s="24" cm="1">
        <f t="array" ref="F270">TrajectoryToComeUp(F$247:F$250,$A270)</f>
        <v>-0.28487544742199483</v>
      </c>
      <c r="G270" s="24" cm="1">
        <f t="array" ref="G270">TrajectoryToComeUp(G$247:G$250,$A270)</f>
        <v>-0.99185151831774776</v>
      </c>
      <c r="H270" s="24" cm="1">
        <f t="array" ref="H270">TrajectoryToComeUp(H$247:H$250,$A270)</f>
        <v>-1.6607560910453301</v>
      </c>
      <c r="I270" s="2" cm="1">
        <f t="array" ref="I270">EvaluatePolynomial(I$247:I$250,$A270)</f>
        <v>3597.1628662519806</v>
      </c>
      <c r="J270" s="2" cm="1">
        <f t="array" ref="J270">EvaluatePolynomial(J$247:J$250,$A270)</f>
        <v>2806.2085648904867</v>
      </c>
    </row>
    <row r="271" spans="1:10" x14ac:dyDescent="0.25">
      <c r="A271" s="1">
        <v>275</v>
      </c>
      <c r="B271" s="2" cm="1">
        <f t="array" ref="B271">TrajectoryToComeUp(B$247:B$250,$A271)</f>
        <v>0.25446262715715617</v>
      </c>
      <c r="C271" s="2" cm="1">
        <f t="array" ref="C271">TrajectoryToComeUp(C$247:C$250,$A271)</f>
        <v>0.69364992441923501</v>
      </c>
      <c r="D271" s="24" cm="1">
        <f t="array" ref="D271">TrajectoryToComeUp(D$247:D$250,$A271)</f>
        <v>0.53079122229312081</v>
      </c>
      <c r="E271" s="24" cm="1">
        <f t="array" ref="E271">TrajectoryToComeUp(E$247:E$250,$A271)</f>
        <v>0.29181552923807902</v>
      </c>
      <c r="F271" s="24" cm="1">
        <f t="array" ref="F271">TrajectoryToComeUp(F$247:F$250,$A271)</f>
        <v>-0.11896617107262061</v>
      </c>
      <c r="G271" s="24" cm="1">
        <f t="array" ref="G271">TrajectoryToComeUp(G$247:G$250,$A271)</f>
        <v>-0.85812604342047316</v>
      </c>
      <c r="H271" s="24" cm="1">
        <f t="array" ref="H271">TrajectoryToComeUp(H$247:H$250,$A271)</f>
        <v>-1.5196429656008614</v>
      </c>
      <c r="I271" s="2" cm="1">
        <f t="array" ref="I271">EvaluatePolynomial(I$247:I$250,$A271)</f>
        <v>3514.430056568448</v>
      </c>
      <c r="J271" s="2" cm="1">
        <f t="array" ref="J271">EvaluatePolynomial(J$247:J$250,$A271)</f>
        <v>2671.4447977651639</v>
      </c>
    </row>
    <row r="272" spans="1:10" x14ac:dyDescent="0.25">
      <c r="A272" s="1">
        <v>300</v>
      </c>
      <c r="B272" s="2" cm="1">
        <f t="array" ref="B272">TrajectoryToComeUp(B$247:B$250,$A272)</f>
        <v>0.42384372178267254</v>
      </c>
      <c r="C272" s="2" cm="1">
        <f t="array" ref="C272">TrajectoryToComeUp(C$247:C$250,$A272)</f>
        <v>0.83647001051119307</v>
      </c>
      <c r="D272" s="24" cm="1">
        <f t="array" ref="D272">TrajectoryToComeUp(D$247:D$250,$A272)</f>
        <v>0.66798059899244433</v>
      </c>
      <c r="E272" s="24" cm="1">
        <f t="array" ref="E272">TrajectoryToComeUp(E$247:E$250,$A272)</f>
        <v>0.44019840147613465</v>
      </c>
      <c r="F272" s="24" cm="1">
        <f t="array" ref="F272">TrajectoryToComeUp(F$247:F$250,$A272)</f>
        <v>4.7299911340578656E-2</v>
      </c>
      <c r="G272" s="24" cm="1">
        <f t="array" ref="G272">TrajectoryToComeUp(G$247:G$250,$A272)</f>
        <v>-0.71374227919907318</v>
      </c>
      <c r="H272" s="24" cm="1">
        <f t="array" ref="H272">TrajectoryToComeUp(H$247:H$250,$A272)</f>
        <v>-1.3729216889444553</v>
      </c>
      <c r="I272" s="2" cm="1">
        <f t="array" ref="I272">EvaluatePolynomial(I$247:I$250,$A272)</f>
        <v>3433.1349826872151</v>
      </c>
      <c r="J272" s="2" cm="1">
        <f t="array" ref="J272">EvaluatePolynomial(J$247:J$250,$A272)</f>
        <v>2541.9032908357854</v>
      </c>
    </row>
    <row r="273" spans="1:10" x14ac:dyDescent="0.25">
      <c r="A273" s="1">
        <v>325</v>
      </c>
      <c r="B273" s="2" cm="1">
        <f t="array" ref="B273">TrajectoryToComeUp(B$247:B$250,$A273)</f>
        <v>0.5984345055116489</v>
      </c>
      <c r="C273" s="2" cm="1">
        <f t="array" ref="C273">TrajectoryToComeUp(C$247:C$250,$A273)</f>
        <v>0.98681497773662208</v>
      </c>
      <c r="D273" s="24" cm="1">
        <f t="array" ref="D273">TrajectoryToComeUp(D$247:D$250,$A273)</f>
        <v>0.81506146077300168</v>
      </c>
      <c r="E273" s="24" cm="1">
        <f t="array" ref="E273">TrajectoryToComeUp(E$247:E$250,$A273)</f>
        <v>0.59778499320539535</v>
      </c>
      <c r="F273" s="24" cm="1">
        <f t="array" ref="F273">TrajectoryToComeUp(F$247:F$250,$A273)</f>
        <v>0.21298661861045262</v>
      </c>
      <c r="G273" s="24" cm="1">
        <f t="array" ref="G273">TrajectoryToComeUp(G$247:G$250,$A273)</f>
        <v>-0.55932176000979017</v>
      </c>
      <c r="H273" s="24" cm="1">
        <f t="array" ref="H273">TrajectoryToComeUp(H$247:H$250,$A273)</f>
        <v>-1.2212392531867045</v>
      </c>
      <c r="I273" s="2" cm="1">
        <f t="array" ref="I273">EvaluatePolynomial(I$247:I$250,$A273)</f>
        <v>3353.3522314296924</v>
      </c>
      <c r="J273" s="2" cm="1">
        <f t="array" ref="J273">EvaluatePolynomial(J$247:J$250,$A273)</f>
        <v>2417.4098883572569</v>
      </c>
    </row>
    <row r="274" spans="1:10" x14ac:dyDescent="0.25">
      <c r="A274" s="1">
        <v>350</v>
      </c>
      <c r="B274" s="2" cm="1">
        <f t="array" ref="B274">TrajectoryToComeUp(B$247:B$250,$A274)</f>
        <v>0.77763239172300225</v>
      </c>
      <c r="C274" s="2" cm="1">
        <f t="array" ref="C274">TrajectoryToComeUp(C$247:C$250,$A274)</f>
        <v>1.1442533086492981</v>
      </c>
      <c r="D274" s="24" cm="1">
        <f t="array" ref="D274">TrajectoryToComeUp(D$247:D$250,$A274)</f>
        <v>0.9716678553857313</v>
      </c>
      <c r="E274" s="24" cm="1">
        <f t="array" ref="E274">TrajectoryToComeUp(E$247:E$250,$A274)</f>
        <v>0.76416752459999782</v>
      </c>
      <c r="F274" s="24" cm="1">
        <f t="array" ref="F274">TrajectoryToComeUp(F$247:F$250,$A274)</f>
        <v>0.37742524987475007</v>
      </c>
      <c r="G274" s="24" cm="1">
        <f t="array" ref="G274">TrajectoryToComeUp(G$247:G$250,$A274)</f>
        <v>-0.39530843896422618</v>
      </c>
      <c r="H274" s="24" cm="1">
        <f t="array" ref="H274">TrajectoryToComeUp(H$247:H$250,$A274)</f>
        <v>-1.0650577955494611</v>
      </c>
      <c r="I274" s="2" cm="1">
        <f t="array" ref="I274">EvaluatePolynomial(I$247:I$250,$A274)</f>
        <v>3275.1563896172888</v>
      </c>
      <c r="J274" s="2" cm="1">
        <f t="array" ref="J274">EvaluatePolynomial(J$247:J$250,$A274)</f>
        <v>2297.790434584485</v>
      </c>
    </row>
    <row r="275" spans="1:10" x14ac:dyDescent="0.25">
      <c r="A275" s="1">
        <v>375</v>
      </c>
      <c r="B275" s="2" cm="1">
        <f t="array" ref="B275">TrajectoryToComeUp(B$247:B$250,$A275)</f>
        <v>0.96099548356127151</v>
      </c>
      <c r="C275" s="2" cm="1">
        <f t="array" ref="C275">TrajectoryToComeUp(C$247:C$250,$A275)</f>
        <v>1.3084685571219912</v>
      </c>
      <c r="D275" s="24" cm="1">
        <f t="array" ref="D275">TrajectoryToComeUp(D$247:D$250,$A275)</f>
        <v>1.1375314178479876</v>
      </c>
      <c r="E275" s="24" cm="1">
        <f t="array" ref="E275">TrajectoryToComeUp(E$247:E$250,$A275)</f>
        <v>0.93904695712097441</v>
      </c>
      <c r="F275" s="24" cm="1">
        <f t="array" ref="F275">TrajectoryToComeUp(F$247:F$250,$A275)</f>
        <v>0.54012542450115442</v>
      </c>
      <c r="G275" s="24" cm="1">
        <f t="array" ref="G275">TrajectoryToComeUp(G$247:G$250,$A275)</f>
        <v>-0.22202788167755572</v>
      </c>
      <c r="H275" s="24" cm="1">
        <f t="array" ref="H275">TrajectoryToComeUp(H$247:H$250,$A275)</f>
        <v>-0.90471621666208302</v>
      </c>
      <c r="I275" s="2" cm="1">
        <f t="array" ref="I275">EvaluatePolynomial(I$247:I$250,$A275)</f>
        <v>3198.6220440714137</v>
      </c>
      <c r="J275" s="2" cm="1">
        <f t="array" ref="J275">EvaluatePolynomial(J$247:J$250,$A275)</f>
        <v>2182.8707737723757</v>
      </c>
    </row>
    <row r="276" spans="1:10" x14ac:dyDescent="0.25">
      <c r="A276" s="1">
        <v>400</v>
      </c>
      <c r="B276" s="2" cm="1">
        <f t="array" ref="B276">TrajectoryToComeUp(B$247:B$250,$A276)</f>
        <v>1.1481923583848612</v>
      </c>
      <c r="C276" s="2" cm="1">
        <f t="array" ref="C276">TrajectoryToComeUp(C$247:C$250,$A276)</f>
        <v>1.4792233885592778</v>
      </c>
      <c r="D276" s="24" cm="1">
        <f t="array" ref="D276">TrajectoryToComeUp(D$247:D$250,$A276)</f>
        <v>1.3124508744227867</v>
      </c>
      <c r="E276" s="24" cm="1">
        <f t="array" ref="E276">TrajectoryToComeUp(E$247:E$250,$A276)</f>
        <v>1.122199011864101</v>
      </c>
      <c r="F276" s="24" cm="1">
        <f t="array" ref="F276">TrajectoryToComeUp(F$247:F$250,$A276)</f>
        <v>0.70071935701542731</v>
      </c>
      <c r="G276" s="24" cm="1">
        <f t="array" ref="G276">TrajectoryToComeUp(G$247:G$250,$A276)</f>
        <v>-3.972426236115971E-2</v>
      </c>
      <c r="H276" s="24" cm="1">
        <f t="array" ref="H276">TrajectoryToComeUp(H$247:H$250,$A276)</f>
        <v>-0.74046869199658916</v>
      </c>
      <c r="I276" s="2" cm="1">
        <f t="array" ref="I276">EvaluatePolynomial(I$247:I$250,$A276)</f>
        <v>3123.823781613477</v>
      </c>
      <c r="J276" s="2" cm="1">
        <f t="array" ref="J276">EvaluatePolynomial(J$247:J$250,$A276)</f>
        <v>2072.4767501758347</v>
      </c>
    </row>
    <row r="277" spans="1:10" x14ac:dyDescent="0.25">
      <c r="A277" s="1">
        <v>425</v>
      </c>
      <c r="B277" s="2" cm="1">
        <f t="array" ref="B277">TrajectoryToComeUp(B$247:B$250,$A277)</f>
        <v>1.3389695753501987</v>
      </c>
      <c r="C277" s="2" cm="1">
        <f t="array" ref="C277">TrajectoryToComeUp(C$247:C$250,$A277)</f>
        <v>1.6563363117999528</v>
      </c>
      <c r="D277" s="24" cm="1">
        <f t="array" ref="D277">TrajectoryToComeUp(D$247:D$250,$A277)</f>
        <v>1.4962723098994939</v>
      </c>
      <c r="E277" s="24" cm="1">
        <f t="array" ref="E277">TrajectoryToComeUp(E$247:E$250,$A277)</f>
        <v>1.3134521814320277</v>
      </c>
      <c r="F277" s="24" cm="1">
        <f t="array" ref="F277">TrajectoryToComeUp(F$247:F$250,$A277)</f>
        <v>0.85892579970197569</v>
      </c>
      <c r="G277" s="24" cm="1">
        <f t="array" ref="G277">TrajectoryToComeUp(G$247:G$250,$A277)</f>
        <v>0.15141569752919926</v>
      </c>
      <c r="H277" s="24" cm="1">
        <f t="array" ref="H277">TrajectoryToComeUp(H$247:H$250,$A277)</f>
        <v>-0.57250959103158217</v>
      </c>
      <c r="I277" s="2" cm="1">
        <f t="array" ref="I277">EvaluatePolynomial(I$247:I$250,$A277)</f>
        <v>3050.836189064888</v>
      </c>
      <c r="J277" s="2" cm="1">
        <f t="array" ref="J277">EvaluatePolynomial(J$247:J$250,$A277)</f>
        <v>1966.4342080497688</v>
      </c>
    </row>
    <row r="278" spans="1:10" x14ac:dyDescent="0.25">
      <c r="A278" s="1">
        <v>450</v>
      </c>
      <c r="B278" s="2" cm="1">
        <f t="array" ref="B278">TrajectoryToComeUp(B$247:B$250,$A278)</f>
        <v>1.5331300138011703</v>
      </c>
      <c r="C278" s="2" cm="1">
        <f t="array" ref="C278">TrajectoryToComeUp(C$247:C$250,$A278)</f>
        <v>1.8396661670519672</v>
      </c>
      <c r="D278" s="24" cm="1">
        <f t="array" ref="D278">TrajectoryToComeUp(D$247:D$250,$A278)</f>
        <v>1.6888760124476145</v>
      </c>
      <c r="E278" s="24" cm="1">
        <f t="array" ref="E278">TrajectoryToComeUp(E$247:E$250,$A278)</f>
        <v>1.5126730711823728</v>
      </c>
      <c r="F278" s="24" cm="1">
        <f t="array" ref="F278">TrajectoryToComeUp(F$247:F$250,$A278)</f>
        <v>1.014526004337559</v>
      </c>
      <c r="G278" s="24" cm="1">
        <f t="array" ref="G278">TrajectoryToComeUp(G$247:G$250,$A278)</f>
        <v>0.3512467701945961</v>
      </c>
      <c r="H278" s="24" cm="1">
        <f t="array" ref="H278">TrajectoryToComeUp(H$247:H$250,$A278)</f>
        <v>-0.40099009002819674</v>
      </c>
      <c r="I278" s="2" cm="1">
        <f t="array" ref="I278">EvaluatePolynomial(I$247:I$250,$A278)</f>
        <v>2979.7338532470562</v>
      </c>
      <c r="J278" s="2" cm="1">
        <f t="array" ref="J278">EvaluatePolynomial(J$247:J$250,$A278)</f>
        <v>1864.5689916490833</v>
      </c>
    </row>
    <row r="279" spans="1:10" x14ac:dyDescent="0.25">
      <c r="A279" s="1">
        <v>475</v>
      </c>
      <c r="B279" s="2" cm="1">
        <f t="array" ref="B279">TrajectoryToComeUp(B$247:B$250,$A279)</f>
        <v>1.7305180521671619</v>
      </c>
      <c r="C279" s="2" cm="1">
        <f t="array" ref="C279">TrajectoryToComeUp(C$247:C$250,$A279)</f>
        <v>2.0291015123742286</v>
      </c>
      <c r="D279" s="24" cm="1">
        <f t="array" ref="D279">TrajectoryToComeUp(D$247:D$250,$A279)</f>
        <v>1.8901674727272857</v>
      </c>
      <c r="E279" s="24" cm="1">
        <f t="array" ref="E279">TrajectoryToComeUp(E$247:E$250,$A279)</f>
        <v>1.719756369555361</v>
      </c>
      <c r="F279" s="24" cm="1">
        <f t="array" ref="F279">TrajectoryToComeUp(F$247:F$250,$A279)</f>
        <v>1.1673472749564635</v>
      </c>
      <c r="G279" s="24" cm="1">
        <f t="array" ref="G279">TrajectoryToComeUp(G$247:G$250,$A279)</f>
        <v>0.55965430210956202</v>
      </c>
      <c r="H279" s="24" cm="1">
        <f t="array" ref="H279">TrajectoryToComeUp(H$247:H$250,$A279)</f>
        <v>-0.22602953866627726</v>
      </c>
      <c r="I279" s="2" cm="1">
        <f t="array" ref="I279">EvaluatePolynomial(I$247:I$250,$A279)</f>
        <v>2910.5913609813906</v>
      </c>
      <c r="J279" s="2" cm="1">
        <f t="array" ref="J279">EvaluatePolynomial(J$247:J$250,$A279)</f>
        <v>1766.7069452286844</v>
      </c>
    </row>
    <row r="280" spans="1:10" x14ac:dyDescent="0.25">
      <c r="A280" s="1">
        <v>500</v>
      </c>
      <c r="B280" s="2" cm="1">
        <f t="array" ref="B280">TrajectoryToComeUp(B$247:B$250,$A280)</f>
        <v>1.9310091931916811</v>
      </c>
      <c r="C280" s="2" cm="1">
        <f t="array" ref="C280">TrajectoryToComeUp(C$247:C$250,$A280)</f>
        <v>2.2245531942138657</v>
      </c>
      <c r="D280" s="24" cm="1">
        <f t="array" ref="D280">TrajectoryToComeUp(D$247:D$250,$A280)</f>
        <v>2.1000710832666165</v>
      </c>
      <c r="E280" s="24" cm="1">
        <f t="array" ref="E280">TrajectoryToComeUp(E$247:E$250,$A280)</f>
        <v>1.9346178273031713</v>
      </c>
      <c r="F280" s="24" cm="1">
        <f t="array" ref="F280">TrajectoryToComeUp(F$247:F$250,$A280)</f>
        <v>1.3172514547861152</v>
      </c>
      <c r="G280" s="24" cm="1">
        <f t="array" ref="G280">TrajectoryToComeUp(G$247:G$250,$A280)</f>
        <v>0.77654657045372377</v>
      </c>
      <c r="H280" s="24" cm="1">
        <f t="array" ref="H280">TrajectoryToComeUp(H$247:H$250,$A280)</f>
        <v>-4.7723416689697699E-2</v>
      </c>
      <c r="I280" s="2" cm="1">
        <f t="array" ref="I280">EvaluatePolynomial(I$247:I$250,$A280)</f>
        <v>2843.4832990893019</v>
      </c>
      <c r="J280" s="2" cm="1">
        <f t="array" ref="J280">EvaluatePolynomial(J$247:J$250,$A280)</f>
        <v>1672.673913043478</v>
      </c>
    </row>
  </sheetData>
  <mergeCells count="7">
    <mergeCell ref="B256:H256"/>
    <mergeCell ref="I256:J256"/>
    <mergeCell ref="Q16:R16"/>
    <mergeCell ref="F1:I1"/>
    <mergeCell ref="C20:G20"/>
    <mergeCell ref="J20:N20"/>
    <mergeCell ref="B255:H255"/>
  </mergeCells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769C9-65BC-4D50-9BD8-A810FDF3624D}">
  <sheetPr codeName="Sheet6"/>
  <dimension ref="A1:S280"/>
  <sheetViews>
    <sheetView workbookViewId="0">
      <selection activeCell="Q16" sqref="Q16:R18"/>
    </sheetView>
  </sheetViews>
  <sheetFormatPr defaultRowHeight="15" x14ac:dyDescent="0.25"/>
  <cols>
    <col min="1" max="1" width="34.5703125" customWidth="1"/>
    <col min="2" max="2" width="26.28515625" customWidth="1"/>
    <col min="3" max="3" width="21.5703125" customWidth="1"/>
    <col min="4" max="4" width="16.42578125" customWidth="1"/>
    <col min="5" max="5" width="15.140625" customWidth="1"/>
    <col min="6" max="6" width="22.4257812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5" width="16.140625" customWidth="1"/>
    <col min="16" max="16" width="22.5703125" customWidth="1"/>
    <col min="17" max="17" width="19.5703125" customWidth="1"/>
    <col min="18" max="18" width="14.28515625" customWidth="1"/>
    <col min="19" max="19" width="15.140625" customWidth="1"/>
    <col min="20" max="20" width="17" customWidth="1"/>
  </cols>
  <sheetData>
    <row r="1" spans="1:18" x14ac:dyDescent="0.25">
      <c r="A1" t="s">
        <v>18</v>
      </c>
      <c r="B1" t="s">
        <v>32</v>
      </c>
      <c r="C1" t="s">
        <v>38</v>
      </c>
      <c r="D1" t="s">
        <v>111</v>
      </c>
      <c r="F1" s="59" t="s">
        <v>68</v>
      </c>
      <c r="G1" s="59"/>
      <c r="H1" s="59"/>
      <c r="I1" s="59"/>
    </row>
    <row r="2" spans="1:18" x14ac:dyDescent="0.25">
      <c r="A2" t="s">
        <v>20</v>
      </c>
      <c r="B2" s="2">
        <v>150</v>
      </c>
      <c r="C2" s="2">
        <f>CONVERT($B$2,"grain","g")</f>
        <v>9.7198364999999995</v>
      </c>
      <c r="F2" t="s">
        <v>69</v>
      </c>
      <c r="G2" s="2">
        <v>150</v>
      </c>
      <c r="H2" s="2">
        <f>CONVERT($G$2,"grain","g")</f>
        <v>9.7198364999999995</v>
      </c>
    </row>
    <row r="3" spans="1:18" x14ac:dyDescent="0.25">
      <c r="A3" t="s">
        <v>0</v>
      </c>
      <c r="B3" s="2">
        <v>0.308</v>
      </c>
      <c r="C3" s="2">
        <f>CONVERT($B$3,"in","cm")</f>
        <v>0.78232000000000002</v>
      </c>
      <c r="F3" t="s">
        <v>70</v>
      </c>
      <c r="G3" s="2">
        <v>0.26400000000000001</v>
      </c>
      <c r="H3" s="2">
        <f>CONVERT($G$3,"in","mm")</f>
        <v>6.7055999999999996</v>
      </c>
    </row>
    <row r="4" spans="1:18" x14ac:dyDescent="0.25">
      <c r="A4" t="s">
        <v>11</v>
      </c>
      <c r="B4" s="2" t="s">
        <v>71</v>
      </c>
      <c r="C4" s="2"/>
      <c r="F4" t="s">
        <v>11</v>
      </c>
      <c r="G4" s="2"/>
      <c r="H4" s="2"/>
    </row>
    <row r="5" spans="1:18" x14ac:dyDescent="0.25">
      <c r="A5" t="s">
        <v>21</v>
      </c>
      <c r="B5" s="2">
        <v>0.38900000000000001</v>
      </c>
      <c r="C5" s="2"/>
      <c r="F5" t="s">
        <v>21</v>
      </c>
      <c r="G5" s="2">
        <v>0.38900000000000001</v>
      </c>
      <c r="H5" s="2"/>
    </row>
    <row r="6" spans="1:18" x14ac:dyDescent="0.25">
      <c r="A6" t="s">
        <v>22</v>
      </c>
      <c r="B6" s="2">
        <v>4481</v>
      </c>
      <c r="C6" s="2">
        <f>CONVERT($B$6,"J","flb")</f>
        <v>3305.0159909114263</v>
      </c>
      <c r="F6" t="s">
        <v>72</v>
      </c>
      <c r="G6" s="2">
        <f>CONVERT($H$6,"J","flb")</f>
        <v>2723.8900716787653</v>
      </c>
      <c r="H6" s="2">
        <f>($C$2/1000)*$H$7*$H$7/2</f>
        <v>3693.099048463775</v>
      </c>
    </row>
    <row r="7" spans="1:18" x14ac:dyDescent="0.25">
      <c r="A7" t="s">
        <v>19</v>
      </c>
      <c r="B7" s="2">
        <f xml:space="preserve"> SQRT(2*$B$6/(CONVERT($B$2,"grain","g")/1000))</f>
        <v>960.22495822267649</v>
      </c>
      <c r="C7" s="2">
        <f>CONVERT($B$7,"m","ft")</f>
        <v>3150.3443511242667</v>
      </c>
      <c r="F7" t="s">
        <v>73</v>
      </c>
      <c r="G7" s="2">
        <v>2860</v>
      </c>
      <c r="H7" s="2">
        <f>CONVERT($G$7,"ft","m")</f>
        <v>871.72799999999995</v>
      </c>
    </row>
    <row r="8" spans="1:18" x14ac:dyDescent="0.25">
      <c r="A8" t="s">
        <v>1</v>
      </c>
      <c r="B8" s="2">
        <v>0</v>
      </c>
      <c r="C8" s="2"/>
    </row>
    <row r="9" spans="1:18" x14ac:dyDescent="0.25">
      <c r="A9" t="s">
        <v>2</v>
      </c>
      <c r="B9" s="2">
        <v>4.5</v>
      </c>
      <c r="C9" s="2">
        <f>CONVERT($B$9,"m/sec","km/hr")</f>
        <v>16.2</v>
      </c>
    </row>
    <row r="10" spans="1:18" x14ac:dyDescent="0.25">
      <c r="A10" t="s">
        <v>3</v>
      </c>
      <c r="B10" s="2">
        <v>270</v>
      </c>
      <c r="C10" s="2"/>
    </row>
    <row r="11" spans="1:18" x14ac:dyDescent="0.25">
      <c r="A11" s="32" t="s">
        <v>56</v>
      </c>
      <c r="B11" s="2">
        <v>0.5</v>
      </c>
      <c r="C11" s="33"/>
    </row>
    <row r="12" spans="1:18" x14ac:dyDescent="0.25">
      <c r="A12" s="32" t="s">
        <v>57</v>
      </c>
      <c r="B12" s="2" cm="1">
        <f t="array" ref="B12">MOAToMRAD($B$11)</f>
        <v>0.14544410433286079</v>
      </c>
      <c r="C12" s="33">
        <f>$B$12/2</f>
        <v>7.2722052166430393E-2</v>
      </c>
    </row>
    <row r="13" spans="1:18" x14ac:dyDescent="0.25">
      <c r="A13" s="32" t="s">
        <v>26</v>
      </c>
      <c r="B13" s="2">
        <f>CONVERT(1.5,"in","cm")</f>
        <v>3.81</v>
      </c>
      <c r="D13" s="2">
        <f>CONVERT($B$13,"cm","in")</f>
        <v>1.5</v>
      </c>
    </row>
    <row r="14" spans="1:18" x14ac:dyDescent="0.25">
      <c r="A14" s="32" t="s">
        <v>5</v>
      </c>
      <c r="B14" t="s">
        <v>58</v>
      </c>
    </row>
    <row r="15" spans="1:18" x14ac:dyDescent="0.25">
      <c r="A15" t="s">
        <v>59</v>
      </c>
      <c r="B15" s="31" t="s">
        <v>60</v>
      </c>
      <c r="C15" s="31" t="s">
        <v>61</v>
      </c>
      <c r="D15" s="31" t="s">
        <v>62</v>
      </c>
      <c r="E15" s="31" t="s">
        <v>63</v>
      </c>
    </row>
    <row r="16" spans="1:18" x14ac:dyDescent="0.25">
      <c r="A16" s="32" t="s">
        <v>64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  <c r="Q16" s="58" t="s">
        <v>116</v>
      </c>
      <c r="R16" s="58"/>
    </row>
    <row r="17" spans="1:18" x14ac:dyDescent="0.25">
      <c r="A17" s="32" t="s">
        <v>65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  <c r="Q17" s="43" t="s">
        <v>117</v>
      </c>
      <c r="R17" s="43" t="s">
        <v>118</v>
      </c>
    </row>
    <row r="18" spans="1:18" x14ac:dyDescent="0.25">
      <c r="A18" s="11" t="s">
        <v>66</v>
      </c>
      <c r="B18" s="12">
        <f>$B$12/$B$17</f>
        <v>0.58177641733144314</v>
      </c>
      <c r="C18" s="2"/>
      <c r="J18" s="2">
        <v>4.75</v>
      </c>
      <c r="K18" s="2">
        <v>4</v>
      </c>
      <c r="L18" s="2">
        <v>4.25</v>
      </c>
      <c r="M18" s="2">
        <v>4</v>
      </c>
      <c r="N18" s="2">
        <v>4</v>
      </c>
      <c r="O18" s="2">
        <v>4</v>
      </c>
      <c r="P18" s="2">
        <v>4</v>
      </c>
      <c r="Q18" s="2">
        <f>AVERAGE(J18:P18)</f>
        <v>4.1428571428571432</v>
      </c>
      <c r="R18" s="2">
        <f>_xlfn.STDEV.S(J18:P18)</f>
        <v>0.28347335475692048</v>
      </c>
    </row>
    <row r="19" spans="1:18" x14ac:dyDescent="0.25">
      <c r="A19" s="34" t="s">
        <v>67</v>
      </c>
      <c r="B19" s="35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18" x14ac:dyDescent="0.25">
      <c r="C20" s="61" t="s">
        <v>24</v>
      </c>
      <c r="D20" s="61"/>
      <c r="E20" s="61"/>
      <c r="F20" s="61"/>
      <c r="G20" s="61"/>
      <c r="H20" s="13"/>
      <c r="I20" s="13"/>
      <c r="J20" s="61" t="s">
        <v>25</v>
      </c>
      <c r="K20" s="61"/>
      <c r="L20" s="61"/>
      <c r="M20" s="61"/>
      <c r="N20" s="61"/>
      <c r="O20" s="13"/>
      <c r="P20" s="13"/>
      <c r="Q20" s="36" t="s">
        <v>30</v>
      </c>
    </row>
    <row r="21" spans="1:18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34</v>
      </c>
      <c r="I21" t="s">
        <v>35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34</v>
      </c>
      <c r="P21" s="37" t="s">
        <v>35</v>
      </c>
      <c r="Q21" s="36" t="s">
        <v>31</v>
      </c>
    </row>
    <row r="22" spans="1:18" x14ac:dyDescent="0.25">
      <c r="A22" s="1">
        <v>0</v>
      </c>
      <c r="B22" s="1">
        <v>4480.1000000000004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8">
        <f t="shared" si="1"/>
        <v>-3.81</v>
      </c>
      <c r="Q22" s="39">
        <v>0</v>
      </c>
    </row>
    <row r="23" spans="1:18" x14ac:dyDescent="0.25">
      <c r="A23" s="1">
        <v>25</v>
      </c>
      <c r="B23" s="1">
        <v>4311.5</v>
      </c>
      <c r="C23" s="6">
        <v>-0.25</v>
      </c>
      <c r="D23" s="6">
        <v>-0.375</v>
      </c>
      <c r="E23" s="6">
        <v>-0.33300000000000002</v>
      </c>
      <c r="F23" s="6">
        <v>-0.3</v>
      </c>
      <c r="G23" s="6">
        <v>-0.125</v>
      </c>
      <c r="H23" s="6">
        <v>0.125</v>
      </c>
      <c r="I23" s="14">
        <v>0.33300000000000002</v>
      </c>
      <c r="J23" s="9" cm="1">
        <f t="array" ref="J23">TrajectoryDropInCM(C23,$A23,J$18)</f>
        <v>-2.9687513954679097</v>
      </c>
      <c r="K23" s="9" cm="1">
        <f t="array" ref="K23">TrajectoryDropInCM(D23,$A23,K$18)</f>
        <v>-3.7500028125025313</v>
      </c>
      <c r="L23" s="9" cm="1">
        <f t="array" ref="L23">TrajectoryDropInCM(E23,$A23,L$18)</f>
        <v>-3.5381273622104836</v>
      </c>
      <c r="M23" s="9" cm="1">
        <f t="array" ref="M23">TrajectoryDropInCM(F23,$A23,M$18)</f>
        <v>-3.0000014400008288</v>
      </c>
      <c r="N23" s="9" cm="1">
        <f t="array" ref="N23">TrajectoryDropInCM(G23,$A23,N$18)</f>
        <v>-1.2500001041666768</v>
      </c>
      <c r="O23" s="9" cm="1">
        <f t="array" ref="O23">TrajectoryDropInCM(H23,$A23,O$18)</f>
        <v>1.2500001041666768</v>
      </c>
      <c r="P23" s="40" cm="1">
        <f t="array" ref="P23">TrajectoryDropInCM(I23,$A23,P$18)</f>
        <v>3.3300019693900382</v>
      </c>
      <c r="Q23" s="39" cm="1">
        <f t="array" ref="Q23">TrajectoryErrorCM($E$19,1,$A23)</f>
        <v>0.37561137059069255</v>
      </c>
    </row>
    <row r="24" spans="1:18" x14ac:dyDescent="0.25">
      <c r="A24" s="1">
        <v>50</v>
      </c>
      <c r="B24" s="1">
        <v>4132.1000000000004</v>
      </c>
      <c r="C24" s="7">
        <v>0</v>
      </c>
      <c r="D24" s="6">
        <v>-0.1</v>
      </c>
      <c r="E24" s="6">
        <v>-8.3000000000000004E-2</v>
      </c>
      <c r="F24" s="6">
        <v>0</v>
      </c>
      <c r="G24" s="6">
        <v>0.16700000000000001</v>
      </c>
      <c r="H24" s="6">
        <v>0.375</v>
      </c>
      <c r="I24" s="14">
        <v>0.625</v>
      </c>
      <c r="J24" s="9" cm="1">
        <f t="array" ref="J24">TrajectoryDropInCM(C24,$A24,J$18)</f>
        <v>0</v>
      </c>
      <c r="K24" s="9" cm="1">
        <f t="array" ref="K24">TrajectoryDropInCM(D24,$A24,K$18)</f>
        <v>-2.0000001066666733</v>
      </c>
      <c r="L24" s="9" cm="1">
        <f t="array" ref="L24">TrajectoryDropInCM(E24,$A24,L$18)</f>
        <v>-1.763750073155981</v>
      </c>
      <c r="M24" s="9" cm="1">
        <f t="array" ref="M24">TrajectoryDropInCM(F24,$A24,M$18)</f>
        <v>0</v>
      </c>
      <c r="N24" s="9" cm="1">
        <f t="array" ref="N24">TrajectoryDropInCM(G24,$A24,N$18)</f>
        <v>3.3400004967961423</v>
      </c>
      <c r="O24" s="9" cm="1">
        <f t="array" ref="O24">TrajectoryDropInCM(H24,$A24,O$18)</f>
        <v>7.5000056250050626</v>
      </c>
      <c r="P24" s="40" cm="1">
        <f t="array" ref="P24">TrajectoryDropInCM(I24,$A24,P$18)</f>
        <v>12.500026041731772</v>
      </c>
      <c r="Q24" s="39" cm="1">
        <f t="array" ref="Q24">TrajectoryErrorCM($E$19,1,$A24)</f>
        <v>0.7512227411813851</v>
      </c>
    </row>
    <row r="25" spans="1:18" x14ac:dyDescent="0.25">
      <c r="A25" s="1">
        <v>75</v>
      </c>
      <c r="B25" s="1">
        <v>3930.6</v>
      </c>
      <c r="C25" s="6">
        <v>8.3000000000000004E-2</v>
      </c>
      <c r="D25" s="6">
        <v>0</v>
      </c>
      <c r="E25" s="6">
        <v>3.1199999999999999E-2</v>
      </c>
      <c r="F25" s="6">
        <v>8.3000000000000004E-2</v>
      </c>
      <c r="G25" s="6">
        <v>0.25</v>
      </c>
      <c r="H25" s="6">
        <v>0.45</v>
      </c>
      <c r="I25" s="14">
        <v>0.6875</v>
      </c>
      <c r="J25" s="9" cm="1">
        <f t="array" ref="J25">TrajectoryDropInCM(C25,$A25,J$18)</f>
        <v>2.9568751531987223</v>
      </c>
      <c r="K25" s="9" cm="1">
        <f t="array" ref="K25">TrajectoryDropInCM(D25,$A25,K$18)</f>
        <v>0</v>
      </c>
      <c r="L25" s="9" cm="1">
        <f t="array" ref="L25">TrajectoryDropInCM(E25,$A25,L$18)</f>
        <v>0.99450000582868481</v>
      </c>
      <c r="M25" s="9" cm="1">
        <f t="array" ref="M25">TrajectoryDropInCM(F25,$A25,M$18)</f>
        <v>2.4900000914859239</v>
      </c>
      <c r="N25" s="9" cm="1">
        <f t="array" ref="N25">TrajectoryDropInCM(G25,$A25,N$18)</f>
        <v>7.500002500001</v>
      </c>
      <c r="O25" s="9" cm="1">
        <f t="array" ref="O25">TrajectoryDropInCM(H25,$A25,O$18)</f>
        <v>13.500014580018894</v>
      </c>
      <c r="P25" s="40" cm="1">
        <f t="array" ref="P25">TrajectoryDropInCM(I25,$A25,P$18)</f>
        <v>20.625051992344773</v>
      </c>
      <c r="Q25" s="39" cm="1">
        <f t="array" ref="Q25">TrajectoryErrorCM($E$19,1,$A25)</f>
        <v>1.1268341117720777</v>
      </c>
    </row>
    <row r="26" spans="1:18" x14ac:dyDescent="0.25">
      <c r="A26" s="1">
        <v>100</v>
      </c>
      <c r="B26" s="1">
        <v>3772</v>
      </c>
      <c r="C26" s="6">
        <v>0.1</v>
      </c>
      <c r="D26" s="7">
        <v>0</v>
      </c>
      <c r="E26" s="6">
        <v>3.1199999999999999E-2</v>
      </c>
      <c r="F26" s="6">
        <v>8.3000000000000004E-2</v>
      </c>
      <c r="G26" s="6">
        <v>0.25</v>
      </c>
      <c r="H26" s="6">
        <v>0.45</v>
      </c>
      <c r="I26" s="14">
        <v>0.74</v>
      </c>
      <c r="J26" s="9" cm="1">
        <f t="array" ref="J26">TrajectoryDropInCM(C26,$A26,J$18)</f>
        <v>4.7500003572396157</v>
      </c>
      <c r="K26" s="9" cm="1">
        <f t="array" ref="K26">TrajectoryDropInCM(D26,$A26,K$18)</f>
        <v>0</v>
      </c>
      <c r="L26" s="9" cm="1">
        <f t="array" ref="L26">TrajectoryDropInCM(E26,$A26,L$18)</f>
        <v>1.3260000077715799</v>
      </c>
      <c r="M26" s="9" cm="1">
        <f t="array" ref="M26">TrajectoryDropInCM(F26,$A26,M$18)</f>
        <v>3.3200001219812321</v>
      </c>
      <c r="N26" s="9" cm="1">
        <f t="array" ref="N26">TrajectoryDropInCM(G26,$A26,N$18)</f>
        <v>10.000003333334668</v>
      </c>
      <c r="O26" s="9" cm="1">
        <f t="array" ref="O26">TrajectoryDropInCM(H26,$A26,O$18)</f>
        <v>18.000019440025191</v>
      </c>
      <c r="P26" s="40" cm="1">
        <f t="array" ref="P26">TrajectoryDropInCM(I26,$A26,P$18)</f>
        <v>29.600086448089634</v>
      </c>
      <c r="Q26" s="39" cm="1">
        <f t="array" ref="Q26">TrajectoryErrorCM($E$19,1,$A26)</f>
        <v>1.5024454823627702</v>
      </c>
    </row>
    <row r="27" spans="1:18" x14ac:dyDescent="0.25">
      <c r="A27" s="1">
        <v>125</v>
      </c>
      <c r="B27" s="1">
        <v>3592.8</v>
      </c>
      <c r="C27" s="6">
        <v>0.1</v>
      </c>
      <c r="D27" s="6">
        <v>0</v>
      </c>
      <c r="E27" s="6">
        <v>3.1199999999999999E-2</v>
      </c>
      <c r="F27" s="6">
        <v>8.3000000000000004E-2</v>
      </c>
      <c r="G27" s="6">
        <v>0.25</v>
      </c>
      <c r="H27" s="6">
        <v>0.45</v>
      </c>
      <c r="I27" s="14">
        <v>0.74</v>
      </c>
      <c r="J27" s="9" cm="1">
        <f t="array" ref="J27">TrajectoryDropInCM(C27,$A27,J$18)</f>
        <v>5.93750044654952</v>
      </c>
      <c r="K27" s="9" cm="1">
        <f t="array" ref="K27">TrajectoryDropInCM(D27,$A27,K$18)</f>
        <v>0</v>
      </c>
      <c r="L27" s="9" cm="1">
        <f t="array" ref="L27">TrajectoryDropInCM(E27,$A27,L$18)</f>
        <v>1.6575000097144748</v>
      </c>
      <c r="M27" s="9" cm="1">
        <f t="array" ref="M27">TrajectoryDropInCM(F27,$A27,M$18)</f>
        <v>4.1500001524765402</v>
      </c>
      <c r="N27" s="9" cm="1">
        <f t="array" ref="N27">TrajectoryDropInCM(G27,$A27,N$18)</f>
        <v>12.500004166668335</v>
      </c>
      <c r="O27" s="9" cm="1">
        <f t="array" ref="O27">TrajectoryDropInCM(H27,$A27,O$18)</f>
        <v>22.500024300031491</v>
      </c>
      <c r="P27" s="40" cm="1">
        <f t="array" ref="P27">TrajectoryDropInCM(I27,$A27,P$18)</f>
        <v>37.000108060112048</v>
      </c>
      <c r="Q27" s="39" cm="1">
        <f t="array" ref="Q27">TrajectoryErrorCM($E$19,1,$A27)</f>
        <v>1.8780568529534629</v>
      </c>
    </row>
    <row r="28" spans="1:18" x14ac:dyDescent="0.25">
      <c r="A28" s="1">
        <v>150</v>
      </c>
      <c r="B28" s="1">
        <v>3423.9</v>
      </c>
      <c r="C28" s="6">
        <v>8.3000000000000004E-2</v>
      </c>
      <c r="D28" s="6">
        <v>-0.03</v>
      </c>
      <c r="E28" s="7">
        <v>0</v>
      </c>
      <c r="F28" s="6">
        <v>8.3000000000000004E-2</v>
      </c>
      <c r="G28" s="6">
        <v>0.25</v>
      </c>
      <c r="H28" s="6">
        <v>0.4</v>
      </c>
      <c r="I28" s="14">
        <v>0.6875</v>
      </c>
      <c r="J28" s="9" cm="1">
        <f t="array" ref="J28">TrajectoryDropInCM(C28,$A28,J$18)</f>
        <v>5.9137503063974446</v>
      </c>
      <c r="K28" s="9" cm="1">
        <f t="array" ref="K28">TrajectoryDropInCM(D28,$A28,K$18)</f>
        <v>-1.8000000086400001</v>
      </c>
      <c r="L28" s="9" cm="1">
        <f t="array" ref="L28">TrajectoryDropInCM(E28,$A28,L$18)</f>
        <v>0</v>
      </c>
      <c r="M28" s="9" cm="1">
        <f t="array" ref="M28">TrajectoryDropInCM(F28,$A28,M$18)</f>
        <v>4.9800001829718479</v>
      </c>
      <c r="N28" s="9" cm="1">
        <f t="array" ref="N28">TrajectoryDropInCM(G28,$A28,N$18)</f>
        <v>15.000005000002</v>
      </c>
      <c r="O28" s="9" cm="1">
        <f t="array" ref="O28">TrajectoryDropInCM(H28,$A28,O$18)</f>
        <v>24.000020480020975</v>
      </c>
      <c r="P28" s="40" cm="1">
        <f t="array" ref="P28">TrajectoryDropInCM(I28,$A28,P$18)</f>
        <v>41.250103984689545</v>
      </c>
      <c r="Q28" s="39" cm="1">
        <f t="array" ref="Q28">TrajectoryErrorCM($E$19,1,$A28)</f>
        <v>2.2536682235441554</v>
      </c>
    </row>
    <row r="29" spans="1:18" x14ac:dyDescent="0.25">
      <c r="A29" s="1">
        <v>200</v>
      </c>
      <c r="B29" s="1">
        <v>3115.5</v>
      </c>
      <c r="C29" s="6">
        <v>0</v>
      </c>
      <c r="D29" s="6">
        <v>-8.3000000000000004E-2</v>
      </c>
      <c r="E29" s="6">
        <v>-6.25E-2</v>
      </c>
      <c r="F29" s="7">
        <v>0</v>
      </c>
      <c r="G29" s="6">
        <v>0.16700000000000001</v>
      </c>
      <c r="H29" s="6">
        <v>0.375</v>
      </c>
      <c r="I29" s="14">
        <v>0.625</v>
      </c>
      <c r="J29" s="9" cm="1">
        <f t="array" ref="J29">TrajectoryDropInCM(C29,$A29,J$18)</f>
        <v>0</v>
      </c>
      <c r="K29" s="9" cm="1">
        <f t="array" ref="K29">TrajectoryDropInCM(D29,$A29,K$18)</f>
        <v>-6.6400002439624641</v>
      </c>
      <c r="L29" s="9" cm="1">
        <f t="array" ref="L29">TrajectoryDropInCM(E29,$A29,L$18)</f>
        <v>-5.3125001249440551</v>
      </c>
      <c r="M29" s="9" cm="1">
        <f t="array" ref="M29">TrajectoryDropInCM(F29,$A29,M$18)</f>
        <v>0</v>
      </c>
      <c r="N29" s="9" cm="1">
        <f t="array" ref="N29">TrajectoryDropInCM(G29,$A29,N$18)</f>
        <v>13.360001987184569</v>
      </c>
      <c r="O29" s="9" cm="1">
        <f t="array" ref="O29">TrajectoryDropInCM(H29,$A29,O$18)</f>
        <v>30.000022500020251</v>
      </c>
      <c r="P29" s="40" cm="1">
        <f t="array" ref="P29">TrajectoryDropInCM(I29,$A29,P$18)</f>
        <v>50.000104166927088</v>
      </c>
      <c r="Q29" s="39" cm="1">
        <f t="array" ref="Q29">TrajectoryErrorCM($E$19,1,$A29)</f>
        <v>3.0048909647255404</v>
      </c>
    </row>
    <row r="30" spans="1:18" x14ac:dyDescent="0.25">
      <c r="A30" s="1">
        <v>250</v>
      </c>
      <c r="B30" s="1">
        <v>2821.9</v>
      </c>
      <c r="C30" s="6">
        <v>-8.3000000000000004E-2</v>
      </c>
      <c r="D30" s="6">
        <v>-0.15</v>
      </c>
      <c r="E30" s="6">
        <v>-0.125</v>
      </c>
      <c r="F30" s="6">
        <v>-8.3000000000000004E-2</v>
      </c>
      <c r="G30" s="6">
        <v>0.1</v>
      </c>
      <c r="H30" s="6">
        <v>0.3125</v>
      </c>
      <c r="I30" s="14">
        <v>0.5625</v>
      </c>
      <c r="J30" s="9" cm="1">
        <f t="array" ref="J30">TrajectoryDropInCM(C30,$A30,J$18)</f>
        <v>-9.8562505106624059</v>
      </c>
      <c r="K30" s="9" cm="1">
        <f t="array" ref="K30">TrajectoryDropInCM(D30,$A30,K$18)</f>
        <v>-15.000001800000257</v>
      </c>
      <c r="L30" s="9" cm="1">
        <f t="array" ref="L30">TrajectoryDropInCM(E30,$A30,L$18)</f>
        <v>-13.281251249440654</v>
      </c>
      <c r="M30" s="9" cm="1">
        <f t="array" ref="M30">TrajectoryDropInCM(F30,$A30,M$18)</f>
        <v>-8.3000003049530804</v>
      </c>
      <c r="N30" s="9" cm="1">
        <f t="array" ref="N30">TrajectoryDropInCM(G30,$A30,N$18)</f>
        <v>10.000000533333367</v>
      </c>
      <c r="O30" s="9" cm="1">
        <f t="array" ref="O30">TrajectoryDropInCM(H30,$A30,O$18)</f>
        <v>31.250016276051838</v>
      </c>
      <c r="P30" s="40" cm="1">
        <f t="array" ref="P30">TrajectoryDropInCM(I30,$A30,P$18)</f>
        <v>56.250094922067206</v>
      </c>
      <c r="Q30" s="39" cm="1">
        <f t="array" ref="Q30">TrajectoryErrorCM($E$19,1,$A30)</f>
        <v>3.7561137059069258</v>
      </c>
    </row>
    <row r="31" spans="1:18" x14ac:dyDescent="0.25">
      <c r="A31" s="1">
        <v>300</v>
      </c>
      <c r="B31" s="1">
        <v>2562.4</v>
      </c>
      <c r="C31" s="6">
        <v>-0.16700000000000001</v>
      </c>
      <c r="D31" s="6">
        <v>-0.25</v>
      </c>
      <c r="E31" s="6">
        <v>-0.1875</v>
      </c>
      <c r="F31" s="6">
        <v>-0.16700000000000001</v>
      </c>
      <c r="G31" s="7">
        <v>0</v>
      </c>
      <c r="H31" s="17">
        <v>0.2</v>
      </c>
      <c r="I31" s="18">
        <v>0.45</v>
      </c>
      <c r="J31" s="9" cm="1">
        <f t="array" ref="J31">TrajectoryDropInCM(C31,$A31,J$18)</f>
        <v>-23.797504991491682</v>
      </c>
      <c r="K31" s="9" cm="1">
        <f t="array" ref="K31">TrajectoryDropInCM(D31,$A31,K$18)</f>
        <v>-30.000010000004</v>
      </c>
      <c r="L31" s="9" cm="1">
        <f t="array" ref="L31">TrajectoryDropInCM(E31,$A31,L$18)</f>
        <v>-23.906255060235353</v>
      </c>
      <c r="M31" s="9" cm="1">
        <f t="array" ref="M31">TrajectoryDropInCM(F31,$A31,M$18)</f>
        <v>-20.040002980776855</v>
      </c>
      <c r="N31" s="9" cm="1">
        <f t="array" ref="N31">TrajectoryDropInCM(G31,$A31,N$18)</f>
        <v>0</v>
      </c>
      <c r="O31" s="9" cm="1">
        <f t="array" ref="O31">TrajectoryDropInCM(H31,$A31,O$18)</f>
        <v>24.000005120001312</v>
      </c>
      <c r="P31" s="40" cm="1">
        <f t="array" ref="P31">TrajectoryDropInCM(I31,$A31,P$18)</f>
        <v>54.000058320075574</v>
      </c>
      <c r="Q31" s="39" cm="1">
        <f t="array" ref="Q31">TrajectoryErrorCM($E$19,1,$A31)</f>
        <v>4.5073364470883108</v>
      </c>
    </row>
    <row r="32" spans="1:18" x14ac:dyDescent="0.25">
      <c r="A32" s="1">
        <v>350</v>
      </c>
      <c r="B32" s="1">
        <v>2299.5</v>
      </c>
      <c r="C32" s="6">
        <v>-0.25</v>
      </c>
      <c r="D32" s="6">
        <v>-0.33300000000000002</v>
      </c>
      <c r="E32" s="6">
        <v>-0.3125</v>
      </c>
      <c r="F32" s="6">
        <v>-0.25</v>
      </c>
      <c r="G32" s="6">
        <v>-8.3000000000000004E-2</v>
      </c>
      <c r="H32" s="6">
        <v>0.125</v>
      </c>
      <c r="I32" s="14">
        <v>0.35</v>
      </c>
      <c r="J32" s="9" cm="1">
        <f t="array" ref="J32">TrajectoryDropInCM(C32,$A32,J$18)</f>
        <v>-41.562519536550738</v>
      </c>
      <c r="K32" s="9" cm="1">
        <f t="array" ref="K32">TrajectoryDropInCM(D32,$A32,K$18)</f>
        <v>-46.620027571460533</v>
      </c>
      <c r="L32" s="9" cm="1">
        <f t="array" ref="L32">TrajectoryDropInCM(E32,$A32,L$18)</f>
        <v>-46.484402331530461</v>
      </c>
      <c r="M32" s="9" cm="1">
        <f t="array" ref="M32">TrajectoryDropInCM(F32,$A32,M$18)</f>
        <v>-35.000011666671341</v>
      </c>
      <c r="N32" s="9" cm="1">
        <f t="array" ref="N32">TrajectoryDropInCM(G32,$A32,N$18)</f>
        <v>-11.620000426934313</v>
      </c>
      <c r="O32" s="9" cm="1">
        <f t="array" ref="O32">TrajectoryDropInCM(H32,$A32,O$18)</f>
        <v>17.500001458333479</v>
      </c>
      <c r="P32" s="40" cm="1">
        <f t="array" ref="P32">TrajectoryDropInCM(I32,$A32,P$18)</f>
        <v>49.000032013358435</v>
      </c>
      <c r="Q32" s="39" cm="1">
        <f t="array" ref="Q32">TrajectoryErrorCM($E$19,1,$A32)</f>
        <v>5.2585591882696958</v>
      </c>
    </row>
    <row r="33" spans="1:17" x14ac:dyDescent="0.25">
      <c r="A33" s="1">
        <v>400</v>
      </c>
      <c r="B33" s="1">
        <v>2068.5</v>
      </c>
      <c r="C33" s="6">
        <v>-0.35</v>
      </c>
      <c r="D33" s="6">
        <v>-0.45</v>
      </c>
      <c r="E33" s="6">
        <v>-0.4</v>
      </c>
      <c r="F33" s="6">
        <v>-0.375</v>
      </c>
      <c r="G33" s="6">
        <v>-0.1875</v>
      </c>
      <c r="H33" s="7">
        <v>0</v>
      </c>
      <c r="I33" s="14">
        <v>0.25</v>
      </c>
      <c r="J33" s="9" cm="1">
        <f t="array" ref="J33">TrajectoryDropInCM(C33,$A33,J$18)</f>
        <v>-66.500061266656274</v>
      </c>
      <c r="K33" s="9" cm="1">
        <f t="array" ref="K33">TrajectoryDropInCM(D33,$A33,K$18)</f>
        <v>-72.000077760100766</v>
      </c>
      <c r="L33" s="9" cm="1">
        <f t="array" ref="L33">TrajectoryDropInCM(E33,$A33,L$18)</f>
        <v>-68.000065506742402</v>
      </c>
      <c r="M33" s="9" cm="1">
        <f t="array" ref="M33">TrajectoryDropInCM(F33,$A33,M$18)</f>
        <v>-60.000045000040501</v>
      </c>
      <c r="N33" s="9" cm="1">
        <f t="array" ref="N33">TrajectoryDropInCM(G33,$A33,N$18)</f>
        <v>-30.000005625001268</v>
      </c>
      <c r="O33" s="9" cm="1">
        <f t="array" ref="O33">TrajectoryDropInCM(H33,$A33,O$18)</f>
        <v>0</v>
      </c>
      <c r="P33" s="40" cm="1">
        <f t="array" ref="P33">TrajectoryDropInCM(I33,$A33,P$18)</f>
        <v>40.000013333338671</v>
      </c>
      <c r="Q33" s="39" cm="1">
        <f t="array" ref="Q33">TrajectoryErrorCM($E$19,1,$A33)</f>
        <v>6.0097819294510808</v>
      </c>
    </row>
    <row r="34" spans="1:17" x14ac:dyDescent="0.25">
      <c r="A34" s="1">
        <v>450</v>
      </c>
      <c r="B34" s="1">
        <v>1867.9</v>
      </c>
      <c r="C34" s="6">
        <v>-0.5</v>
      </c>
      <c r="D34" s="6">
        <v>-0.58299999999999996</v>
      </c>
      <c r="E34" s="6">
        <v>-0.5625</v>
      </c>
      <c r="F34" s="6">
        <v>-0.5</v>
      </c>
      <c r="G34" s="6">
        <v>-0.33300000000000002</v>
      </c>
      <c r="H34" s="6">
        <v>-0.1</v>
      </c>
      <c r="I34" s="14">
        <v>0.16700000000000001</v>
      </c>
      <c r="J34" s="9" cm="1">
        <f t="array" ref="J34">TrajectoryDropInCM(C34,$A34,J$18)</f>
        <v>-106.87520094771901</v>
      </c>
      <c r="K34" s="9" cm="1">
        <f t="array" ref="K34">TrajectoryDropInCM(D34,$A34,K$18)</f>
        <v>-104.94019022948933</v>
      </c>
      <c r="L34" s="9" cm="1">
        <f t="array" ref="L34">TrajectoryDropInCM(E34,$A34,L$18)</f>
        <v>-107.57832993994833</v>
      </c>
      <c r="M34" s="9" cm="1">
        <f t="array" ref="M34">TrajectoryDropInCM(F34,$A34,M$18)</f>
        <v>-90.000120000191998</v>
      </c>
      <c r="N34" s="9" cm="1">
        <f t="array" ref="N34">TrajectoryDropInCM(G34,$A34,N$18)</f>
        <v>-59.940035449020691</v>
      </c>
      <c r="O34" s="9" cm="1">
        <f t="array" ref="O34">TrajectoryDropInCM(H34,$A34,O$18)</f>
        <v>-18.000000960000062</v>
      </c>
      <c r="P34" s="40" cm="1">
        <f t="array" ref="P34">TrajectoryDropInCM(I34,$A34,P$18)</f>
        <v>30.060004471165279</v>
      </c>
      <c r="Q34" s="39" cm="1">
        <f t="array" ref="Q34">TrajectoryErrorCM($E$19,1,$A34)</f>
        <v>6.7610046706324667</v>
      </c>
    </row>
    <row r="35" spans="1:17" x14ac:dyDescent="0.25">
      <c r="A35" s="1">
        <v>500</v>
      </c>
      <c r="B35" s="1">
        <v>1671.5</v>
      </c>
      <c r="C35" s="6">
        <v>-0.58299999999999996</v>
      </c>
      <c r="D35" s="6">
        <v>-0.74</v>
      </c>
      <c r="E35" s="6">
        <v>-0.61699999999999999</v>
      </c>
      <c r="F35" s="6">
        <v>-0.58299999999999996</v>
      </c>
      <c r="G35" s="6">
        <v>-0.45</v>
      </c>
      <c r="H35" s="6">
        <v>-0.25</v>
      </c>
      <c r="I35" s="15">
        <v>0</v>
      </c>
      <c r="J35" s="9" cm="1">
        <f t="array" ref="J35">TrajectoryDropInCM(C35,$A35,J$18)</f>
        <v>-138.46285394564651</v>
      </c>
      <c r="K35" s="9" cm="1">
        <f t="array" ref="K35">TrajectoryDropInCM(D35,$A35,K$18)</f>
        <v>-148.00043224044819</v>
      </c>
      <c r="L35" s="9" cm="1">
        <f t="array" ref="L35">TrajectoryDropInCM(E35,$A35,L$18)</f>
        <v>-131.11280051920161</v>
      </c>
      <c r="M35" s="9" cm="1">
        <f t="array" ref="M35">TrajectoryDropInCM(F35,$A35,M$18)</f>
        <v>-116.60021136609924</v>
      </c>
      <c r="N35" s="9" cm="1">
        <f t="array" ref="N35">TrajectoryDropInCM(G35,$A35,N$18)</f>
        <v>-90.000097200125964</v>
      </c>
      <c r="O35" s="9" cm="1">
        <f t="array" ref="O35">TrajectoryDropInCM(H35,$A35,O$18)</f>
        <v>-50.000016666673339</v>
      </c>
      <c r="P35" s="40" cm="1">
        <f t="array" ref="P35">TrajectoryDropInCM(I35,$A35,P$18)</f>
        <v>0</v>
      </c>
      <c r="Q35" s="39" cm="1">
        <f t="array" ref="Q35">TrajectoryErrorCM($E$19,1,$A35)</f>
        <v>7.5122274118138517</v>
      </c>
    </row>
    <row r="77" spans="1:19" x14ac:dyDescent="0.25">
      <c r="A77" t="s">
        <v>27</v>
      </c>
    </row>
    <row r="78" spans="1:19" x14ac:dyDescent="0.25">
      <c r="A78" t="s">
        <v>36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39</v>
      </c>
      <c r="H79" t="s">
        <v>40</v>
      </c>
      <c r="I79" t="s">
        <v>41</v>
      </c>
    </row>
    <row r="80" spans="1:19" x14ac:dyDescent="0.25">
      <c r="A80" s="1">
        <v>0</v>
      </c>
      <c r="B80" s="1">
        <v>960</v>
      </c>
      <c r="C80" s="1">
        <v>4482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/>
      <c r="L80" s="1"/>
      <c r="M80" s="1"/>
      <c r="N80" s="1"/>
      <c r="O80" s="1"/>
      <c r="P80" s="1"/>
      <c r="Q80" s="1"/>
      <c r="R80" s="1"/>
      <c r="S80" s="1"/>
    </row>
    <row r="81" spans="1:19" x14ac:dyDescent="0.25">
      <c r="A81" s="1">
        <v>25</v>
      </c>
      <c r="B81" s="1">
        <v>939</v>
      </c>
      <c r="C81" s="1">
        <v>4282</v>
      </c>
      <c r="D81" s="1">
        <v>-1.6</v>
      </c>
      <c r="E81" s="1">
        <v>2.2000000000000002</v>
      </c>
      <c r="F81" s="1">
        <v>0.6</v>
      </c>
      <c r="G81" s="1">
        <v>0</v>
      </c>
      <c r="H81" s="1">
        <v>0</v>
      </c>
      <c r="I81" s="1">
        <v>0</v>
      </c>
      <c r="J81" s="1"/>
      <c r="K81" s="1"/>
      <c r="L81" s="1"/>
      <c r="M81" s="1"/>
      <c r="N81" s="1"/>
      <c r="O81" s="1"/>
      <c r="P81" s="1"/>
      <c r="Q81" s="1"/>
      <c r="R81" s="1"/>
      <c r="S81" s="1"/>
    </row>
    <row r="82" spans="1:19" x14ac:dyDescent="0.25">
      <c r="A82" s="10">
        <v>50</v>
      </c>
      <c r="B82" s="10">
        <v>918</v>
      </c>
      <c r="C82" s="10">
        <v>4092</v>
      </c>
      <c r="D82" s="10">
        <v>0</v>
      </c>
      <c r="E82" s="10">
        <v>0</v>
      </c>
      <c r="F82" s="10">
        <v>0</v>
      </c>
      <c r="G82" s="1">
        <v>-1</v>
      </c>
      <c r="H82" s="10">
        <v>0</v>
      </c>
      <c r="I82" s="10">
        <v>0</v>
      </c>
      <c r="J82" s="10"/>
      <c r="K82" s="10"/>
      <c r="L82" s="10"/>
      <c r="M82" s="10"/>
      <c r="N82" s="1"/>
      <c r="O82" s="1"/>
      <c r="P82" s="1"/>
      <c r="Q82" s="1"/>
      <c r="R82" s="1"/>
      <c r="S82" s="1"/>
    </row>
    <row r="83" spans="1:19" x14ac:dyDescent="0.25">
      <c r="A83" s="1">
        <v>75</v>
      </c>
      <c r="B83" s="1">
        <v>897</v>
      </c>
      <c r="C83" s="1">
        <v>3909</v>
      </c>
      <c r="D83" s="1">
        <v>0.8</v>
      </c>
      <c r="E83" s="1">
        <v>-0.4</v>
      </c>
      <c r="F83" s="1">
        <v>-0.1</v>
      </c>
      <c r="G83" s="1">
        <v>-1</v>
      </c>
      <c r="H83" s="1">
        <v>-1</v>
      </c>
      <c r="I83" s="1">
        <v>0</v>
      </c>
      <c r="J83" s="1"/>
      <c r="K83" s="1"/>
      <c r="L83" s="1"/>
      <c r="M83" s="1"/>
      <c r="N83" s="1"/>
      <c r="O83" s="1"/>
      <c r="P83" s="1"/>
      <c r="Q83" s="1"/>
      <c r="R83" s="1"/>
      <c r="S83" s="1"/>
    </row>
    <row r="84" spans="1:19" x14ac:dyDescent="0.25">
      <c r="A84" s="1">
        <v>100</v>
      </c>
      <c r="B84" s="1">
        <v>876</v>
      </c>
      <c r="C84" s="1">
        <v>3733</v>
      </c>
      <c r="D84" s="1">
        <v>0.8</v>
      </c>
      <c r="E84" s="1">
        <v>-0.3</v>
      </c>
      <c r="F84" s="1">
        <v>-0.1</v>
      </c>
      <c r="G84" s="1">
        <v>-2</v>
      </c>
      <c r="H84" s="1">
        <v>-1</v>
      </c>
      <c r="I84" s="1">
        <v>0</v>
      </c>
      <c r="J84" s="1"/>
      <c r="K84" s="1"/>
      <c r="L84" s="1"/>
      <c r="M84" s="1"/>
      <c r="N84" s="1"/>
      <c r="O84" s="1"/>
      <c r="P84" s="1"/>
      <c r="Q84" s="1"/>
      <c r="R84" s="1"/>
      <c r="S84" s="1"/>
    </row>
    <row r="85" spans="1:19" x14ac:dyDescent="0.25">
      <c r="A85" s="1">
        <v>125</v>
      </c>
      <c r="B85" s="1">
        <v>856</v>
      </c>
      <c r="C85" s="1">
        <v>3564</v>
      </c>
      <c r="D85" s="1">
        <v>0.1</v>
      </c>
      <c r="E85" s="1">
        <v>0</v>
      </c>
      <c r="F85" s="1">
        <v>0</v>
      </c>
      <c r="G85" s="1">
        <v>-3</v>
      </c>
      <c r="H85" s="1">
        <v>-1</v>
      </c>
      <c r="I85" s="1">
        <v>0</v>
      </c>
      <c r="J85" s="1"/>
      <c r="K85" s="1"/>
      <c r="L85" s="1"/>
      <c r="M85" s="1"/>
      <c r="N85" s="1"/>
      <c r="O85" s="1"/>
      <c r="P85" s="1"/>
      <c r="Q85" s="1"/>
      <c r="R85" s="1"/>
      <c r="S85" s="1"/>
    </row>
    <row r="86" spans="1:19" x14ac:dyDescent="0.25">
      <c r="A86" s="1">
        <v>150</v>
      </c>
      <c r="B86" s="1">
        <v>836</v>
      </c>
      <c r="C86" s="1">
        <v>3401</v>
      </c>
      <c r="D86" s="1">
        <v>-1.6</v>
      </c>
      <c r="E86" s="1">
        <v>0.4</v>
      </c>
      <c r="F86" s="1">
        <v>0.1</v>
      </c>
      <c r="G86" s="1">
        <v>-5</v>
      </c>
      <c r="H86" s="1">
        <v>-1</v>
      </c>
      <c r="I86" s="1">
        <v>0</v>
      </c>
      <c r="J86" s="1"/>
      <c r="K86" s="1"/>
      <c r="L86" s="1"/>
      <c r="M86" s="1"/>
      <c r="N86" s="1"/>
      <c r="O86" s="1"/>
      <c r="P86" s="1"/>
      <c r="Q86" s="1"/>
      <c r="R86" s="1"/>
      <c r="S86" s="1"/>
    </row>
    <row r="87" spans="1:19" x14ac:dyDescent="0.25">
      <c r="A87" s="1">
        <v>175</v>
      </c>
      <c r="B87" s="1">
        <v>817</v>
      </c>
      <c r="C87" s="1">
        <v>3244</v>
      </c>
      <c r="D87" s="1">
        <v>-4.0999999999999996</v>
      </c>
      <c r="E87" s="1">
        <v>0.8</v>
      </c>
      <c r="F87" s="1">
        <v>0.2</v>
      </c>
      <c r="G87" s="1">
        <v>-6</v>
      </c>
      <c r="H87" s="1">
        <v>-1</v>
      </c>
      <c r="I87" s="1">
        <v>0</v>
      </c>
      <c r="J87" s="1"/>
      <c r="K87" s="1"/>
      <c r="L87" s="1"/>
      <c r="M87" s="1"/>
      <c r="N87" s="1"/>
      <c r="O87" s="1"/>
      <c r="P87" s="1"/>
      <c r="Q87" s="1"/>
      <c r="R87" s="1"/>
      <c r="S87" s="1"/>
    </row>
    <row r="88" spans="1:19" x14ac:dyDescent="0.25">
      <c r="A88" s="1">
        <v>200</v>
      </c>
      <c r="B88" s="1">
        <v>798</v>
      </c>
      <c r="C88" s="1">
        <v>3093</v>
      </c>
      <c r="D88" s="1">
        <v>-7.6</v>
      </c>
      <c r="E88" s="1">
        <v>1.3</v>
      </c>
      <c r="F88" s="1">
        <v>0.4</v>
      </c>
      <c r="G88" s="1">
        <v>-8</v>
      </c>
      <c r="H88" s="1">
        <v>-2</v>
      </c>
      <c r="I88" s="1">
        <v>0</v>
      </c>
      <c r="J88" s="1"/>
      <c r="K88" s="1"/>
      <c r="L88" s="1"/>
      <c r="M88" s="1"/>
      <c r="N88" s="1"/>
      <c r="O88" s="1"/>
      <c r="P88" s="1"/>
      <c r="Q88" s="1"/>
      <c r="R88" s="1"/>
      <c r="S88" s="1"/>
    </row>
    <row r="89" spans="1:19" x14ac:dyDescent="0.25">
      <c r="A89" s="1">
        <v>225</v>
      </c>
      <c r="B89" s="1">
        <v>779</v>
      </c>
      <c r="C89" s="1">
        <v>2947</v>
      </c>
      <c r="D89" s="1">
        <v>-12</v>
      </c>
      <c r="E89" s="1">
        <v>1.8</v>
      </c>
      <c r="F89" s="1">
        <v>0.5</v>
      </c>
      <c r="G89" s="1">
        <v>-11</v>
      </c>
      <c r="H89" s="1">
        <v>-2</v>
      </c>
      <c r="I89" s="1">
        <v>0</v>
      </c>
      <c r="J89" s="1"/>
      <c r="K89" s="1"/>
      <c r="L89" s="1"/>
      <c r="M89" s="1"/>
      <c r="N89" s="1"/>
      <c r="O89" s="1"/>
      <c r="P89" s="1"/>
      <c r="Q89" s="1"/>
      <c r="R89" s="1"/>
      <c r="S89" s="1"/>
    </row>
    <row r="90" spans="1:19" x14ac:dyDescent="0.25">
      <c r="A90" s="1">
        <v>250</v>
      </c>
      <c r="B90" s="1">
        <v>760</v>
      </c>
      <c r="C90" s="1">
        <v>2807</v>
      </c>
      <c r="D90" s="1">
        <v>-17.5</v>
      </c>
      <c r="E90" s="1">
        <v>2.4</v>
      </c>
      <c r="F90" s="1">
        <v>0.7</v>
      </c>
      <c r="G90" s="1">
        <v>-14</v>
      </c>
      <c r="H90" s="1">
        <v>-2</v>
      </c>
      <c r="I90" s="1">
        <v>-1</v>
      </c>
      <c r="J90" s="1"/>
      <c r="K90" s="1"/>
      <c r="L90" s="1"/>
      <c r="M90" s="1"/>
      <c r="N90" s="1"/>
      <c r="O90" s="1"/>
      <c r="P90" s="1"/>
      <c r="Q90" s="1"/>
      <c r="R90" s="1"/>
      <c r="S90" s="1"/>
    </row>
    <row r="91" spans="1:19" x14ac:dyDescent="0.25">
      <c r="A91" s="1">
        <v>275</v>
      </c>
      <c r="B91" s="1">
        <v>741</v>
      </c>
      <c r="C91" s="1">
        <v>2672</v>
      </c>
      <c r="D91" s="1">
        <v>-24.3</v>
      </c>
      <c r="E91" s="1">
        <v>3</v>
      </c>
      <c r="F91" s="1">
        <v>0.9</v>
      </c>
      <c r="G91" s="1">
        <v>-16</v>
      </c>
      <c r="H91" s="1">
        <v>-2</v>
      </c>
      <c r="I91" s="1">
        <v>-1</v>
      </c>
      <c r="J91" s="1"/>
      <c r="K91" s="1"/>
      <c r="L91" s="1"/>
      <c r="M91" s="1"/>
      <c r="N91" s="1"/>
      <c r="O91" s="1"/>
      <c r="P91" s="1"/>
      <c r="Q91" s="1"/>
      <c r="R91" s="1"/>
      <c r="S91" s="1"/>
    </row>
    <row r="92" spans="1:19" x14ac:dyDescent="0.25">
      <c r="A92" s="1">
        <v>300</v>
      </c>
      <c r="B92" s="1">
        <v>723</v>
      </c>
      <c r="C92" s="1">
        <v>2543</v>
      </c>
      <c r="D92" s="1">
        <v>-32</v>
      </c>
      <c r="E92" s="1">
        <v>3.7</v>
      </c>
      <c r="F92" s="1">
        <v>1.1000000000000001</v>
      </c>
      <c r="G92" s="1">
        <v>-20</v>
      </c>
      <c r="H92" s="1">
        <v>-2</v>
      </c>
      <c r="I92" s="1">
        <v>-1</v>
      </c>
      <c r="J92" s="1"/>
      <c r="K92" s="1"/>
      <c r="L92" s="1"/>
      <c r="M92" s="1"/>
      <c r="N92" s="1"/>
      <c r="O92" s="1"/>
      <c r="P92" s="1"/>
      <c r="Q92" s="1"/>
      <c r="R92" s="1"/>
      <c r="S92" s="1"/>
    </row>
    <row r="93" spans="1:19" x14ac:dyDescent="0.25">
      <c r="A93" s="1">
        <v>325</v>
      </c>
      <c r="B93" s="1">
        <v>705</v>
      </c>
      <c r="C93" s="1">
        <v>2418</v>
      </c>
      <c r="D93" s="1">
        <v>-41</v>
      </c>
      <c r="E93" s="1">
        <v>4.3</v>
      </c>
      <c r="F93" s="1">
        <v>1.3</v>
      </c>
      <c r="G93" s="1">
        <v>-24</v>
      </c>
      <c r="H93" s="1">
        <v>-3</v>
      </c>
      <c r="I93" s="1">
        <v>-1</v>
      </c>
      <c r="J93" s="1"/>
      <c r="K93" s="1"/>
      <c r="L93" s="1"/>
      <c r="M93" s="1"/>
      <c r="N93" s="1"/>
      <c r="O93" s="1"/>
      <c r="P93" s="1"/>
      <c r="Q93" s="1"/>
      <c r="R93" s="1"/>
      <c r="S93" s="1"/>
    </row>
    <row r="94" spans="1:19" x14ac:dyDescent="0.25">
      <c r="A94" s="1">
        <v>350</v>
      </c>
      <c r="B94" s="1">
        <v>688</v>
      </c>
      <c r="C94" s="1">
        <v>2298</v>
      </c>
      <c r="D94" s="1">
        <v>-51.6</v>
      </c>
      <c r="E94" s="1">
        <v>5.0999999999999996</v>
      </c>
      <c r="F94" s="1">
        <v>1.5</v>
      </c>
      <c r="G94" s="1">
        <v>-28</v>
      </c>
      <c r="H94" s="1">
        <v>-3</v>
      </c>
      <c r="I94" s="1">
        <v>-1</v>
      </c>
      <c r="J94" s="1"/>
      <c r="K94" s="1"/>
      <c r="L94" s="1"/>
      <c r="M94" s="1"/>
      <c r="N94" s="1"/>
      <c r="O94" s="1"/>
      <c r="P94" s="1"/>
      <c r="Q94" s="1"/>
      <c r="R94" s="1"/>
      <c r="S94" s="1"/>
    </row>
    <row r="95" spans="1:19" x14ac:dyDescent="0.25">
      <c r="A95" s="1">
        <v>375</v>
      </c>
      <c r="B95" s="1">
        <v>670</v>
      </c>
      <c r="C95" s="1">
        <v>2182</v>
      </c>
      <c r="D95" s="1">
        <v>-63.2</v>
      </c>
      <c r="E95" s="1">
        <v>5.8</v>
      </c>
      <c r="F95" s="1">
        <v>1.7</v>
      </c>
      <c r="G95" s="1">
        <v>-32</v>
      </c>
      <c r="H95" s="1">
        <v>-3</v>
      </c>
      <c r="I95" s="1">
        <v>-1</v>
      </c>
      <c r="J95" s="1"/>
      <c r="K95" s="1"/>
      <c r="L95" s="1"/>
      <c r="M95" s="1"/>
      <c r="N95" s="1"/>
      <c r="O95" s="1"/>
      <c r="P95" s="1"/>
      <c r="Q95" s="1"/>
      <c r="R95" s="1"/>
      <c r="S95" s="1"/>
    </row>
    <row r="96" spans="1:19" x14ac:dyDescent="0.25">
      <c r="A96" s="1">
        <v>400</v>
      </c>
      <c r="B96" s="1">
        <v>653</v>
      </c>
      <c r="C96" s="1">
        <v>2072</v>
      </c>
      <c r="D96" s="1">
        <v>-76.2</v>
      </c>
      <c r="E96" s="1">
        <v>6.6</v>
      </c>
      <c r="F96" s="1">
        <v>1.9</v>
      </c>
      <c r="G96" s="1">
        <v>-37</v>
      </c>
      <c r="H96" s="1">
        <v>-4</v>
      </c>
      <c r="I96" s="1">
        <v>-1</v>
      </c>
      <c r="J96" s="1"/>
      <c r="K96" s="1"/>
      <c r="L96" s="1"/>
      <c r="M96" s="1"/>
      <c r="N96" s="1"/>
      <c r="O96" s="1"/>
      <c r="P96" s="1"/>
      <c r="Q96" s="1"/>
      <c r="R96" s="1"/>
      <c r="S96" s="1"/>
    </row>
    <row r="97" spans="1:19" x14ac:dyDescent="0.25">
      <c r="A97" s="1">
        <v>425</v>
      </c>
      <c r="B97" s="1">
        <v>636</v>
      </c>
      <c r="C97" s="1">
        <v>1965</v>
      </c>
      <c r="D97" s="1">
        <v>-91.4</v>
      </c>
      <c r="E97" s="1">
        <v>7.4</v>
      </c>
      <c r="F97" s="1">
        <v>2.1</v>
      </c>
      <c r="G97" s="1">
        <v>-42</v>
      </c>
      <c r="H97" s="1">
        <v>-4</v>
      </c>
      <c r="I97" s="1">
        <v>-1</v>
      </c>
      <c r="J97" s="1"/>
      <c r="K97" s="1"/>
      <c r="L97" s="1"/>
      <c r="M97" s="1"/>
      <c r="N97" s="1"/>
      <c r="O97" s="1"/>
      <c r="P97" s="1"/>
      <c r="Q97" s="1"/>
      <c r="R97" s="1"/>
      <c r="S97" s="1"/>
    </row>
    <row r="98" spans="1:19" x14ac:dyDescent="0.25">
      <c r="A98" s="1">
        <v>450</v>
      </c>
      <c r="B98" s="1">
        <v>619</v>
      </c>
      <c r="C98" s="1">
        <v>1863</v>
      </c>
      <c r="D98" s="1">
        <v>-107.6</v>
      </c>
      <c r="E98" s="1">
        <v>8.1999999999999993</v>
      </c>
      <c r="F98" s="1">
        <v>2.4</v>
      </c>
      <c r="G98" s="1">
        <v>-48</v>
      </c>
      <c r="H98" s="1">
        <v>-4</v>
      </c>
      <c r="I98" s="1">
        <v>-1</v>
      </c>
      <c r="J98" s="1"/>
      <c r="K98" s="1"/>
      <c r="L98" s="1"/>
      <c r="M98" s="1"/>
      <c r="N98" s="1"/>
      <c r="O98" s="1"/>
      <c r="P98" s="1"/>
      <c r="Q98" s="1"/>
      <c r="R98" s="1"/>
      <c r="S98" s="1"/>
    </row>
    <row r="99" spans="1:19" x14ac:dyDescent="0.25">
      <c r="A99" s="1">
        <v>475</v>
      </c>
      <c r="B99" s="1">
        <v>603</v>
      </c>
      <c r="C99" s="1">
        <v>1765</v>
      </c>
      <c r="D99" s="1">
        <v>-125.6</v>
      </c>
      <c r="E99" s="1">
        <v>9.1</v>
      </c>
      <c r="F99" s="1">
        <v>2.6</v>
      </c>
      <c r="G99" s="1">
        <v>-54</v>
      </c>
      <c r="H99" s="1">
        <v>-4</v>
      </c>
      <c r="I99" s="1">
        <v>-1</v>
      </c>
      <c r="J99" s="1"/>
      <c r="K99" s="1"/>
      <c r="L99" s="1"/>
      <c r="M99" s="1"/>
      <c r="N99" s="1"/>
      <c r="O99" s="1"/>
      <c r="P99" s="1"/>
      <c r="Q99" s="1"/>
      <c r="R99" s="1"/>
      <c r="S99" s="1"/>
    </row>
    <row r="100" spans="1:19" x14ac:dyDescent="0.25">
      <c r="A100" s="1">
        <v>500</v>
      </c>
      <c r="B100" s="1">
        <v>587</v>
      </c>
      <c r="C100" s="1">
        <v>1676</v>
      </c>
      <c r="D100" s="1">
        <v>-145.30000000000001</v>
      </c>
      <c r="E100" s="1">
        <v>10</v>
      </c>
      <c r="F100" s="1">
        <v>2.9</v>
      </c>
      <c r="G100" s="1">
        <v>-60</v>
      </c>
      <c r="H100" s="1">
        <v>-4</v>
      </c>
      <c r="I100" s="1">
        <v>-1</v>
      </c>
      <c r="J100" s="1"/>
      <c r="K100" s="1"/>
      <c r="L100" s="1"/>
      <c r="M100" s="1"/>
      <c r="N100" s="1"/>
      <c r="O100" s="1"/>
      <c r="P100" s="1"/>
      <c r="Q100" s="1"/>
      <c r="R100" s="1"/>
      <c r="S100" s="1"/>
    </row>
    <row r="102" spans="1:19" x14ac:dyDescent="0.25">
      <c r="A102" t="s">
        <v>85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39</v>
      </c>
      <c r="H103" t="s">
        <v>40</v>
      </c>
      <c r="I103" t="s">
        <v>41</v>
      </c>
    </row>
    <row r="104" spans="1:19" x14ac:dyDescent="0.25">
      <c r="A104" s="1">
        <v>0</v>
      </c>
      <c r="B104" s="1">
        <v>960</v>
      </c>
      <c r="C104" s="1">
        <v>4482</v>
      </c>
      <c r="D104" s="1">
        <v>-3.8</v>
      </c>
      <c r="E104" s="1">
        <v>0</v>
      </c>
      <c r="F104" s="1">
        <v>0</v>
      </c>
      <c r="G104">
        <v>0</v>
      </c>
      <c r="H104" s="1">
        <v>0</v>
      </c>
      <c r="I104" s="1">
        <v>0</v>
      </c>
      <c r="J104" s="1"/>
      <c r="K104" s="1"/>
      <c r="L104" s="1"/>
      <c r="M104" s="1"/>
      <c r="N104" s="1"/>
      <c r="O104" s="1"/>
      <c r="P104" s="1"/>
      <c r="Q104" s="1"/>
      <c r="R104" s="1"/>
      <c r="S104" s="1"/>
    </row>
    <row r="105" spans="1:19" x14ac:dyDescent="0.25">
      <c r="A105" s="1">
        <v>25</v>
      </c>
      <c r="B105" s="1">
        <v>939</v>
      </c>
      <c r="C105" s="1">
        <v>4282</v>
      </c>
      <c r="D105" s="1">
        <v>-1.8</v>
      </c>
      <c r="E105" s="1">
        <v>2.5</v>
      </c>
      <c r="F105" s="1">
        <v>0.7</v>
      </c>
      <c r="G105">
        <v>0</v>
      </c>
      <c r="H105" s="1">
        <v>0</v>
      </c>
      <c r="I105" s="1">
        <v>0</v>
      </c>
      <c r="J105" s="1"/>
      <c r="K105" s="1"/>
      <c r="L105" s="1"/>
      <c r="M105" s="1"/>
      <c r="N105" s="1"/>
      <c r="O105" s="1"/>
      <c r="P105" s="1"/>
      <c r="Q105" s="1"/>
      <c r="R105" s="1"/>
      <c r="S105" s="1"/>
    </row>
    <row r="106" spans="1:19" x14ac:dyDescent="0.25">
      <c r="A106" s="1">
        <v>50</v>
      </c>
      <c r="B106" s="1">
        <v>918</v>
      </c>
      <c r="C106" s="1">
        <v>4092</v>
      </c>
      <c r="D106" s="1">
        <v>-0.4</v>
      </c>
      <c r="E106" s="1">
        <v>0.3</v>
      </c>
      <c r="F106" s="1">
        <v>0.1</v>
      </c>
      <c r="G106">
        <v>-1</v>
      </c>
      <c r="H106" s="1">
        <v>0</v>
      </c>
      <c r="I106" s="1">
        <v>0</v>
      </c>
      <c r="J106" s="1"/>
      <c r="K106" s="1"/>
      <c r="L106" s="1"/>
      <c r="M106" s="1"/>
      <c r="N106" s="1"/>
      <c r="O106" s="1"/>
      <c r="P106" s="1"/>
      <c r="Q106" s="1"/>
      <c r="R106" s="1"/>
      <c r="S106" s="1"/>
    </row>
    <row r="107" spans="1:19" x14ac:dyDescent="0.25">
      <c r="A107" s="1">
        <v>75</v>
      </c>
      <c r="B107" s="1">
        <v>897</v>
      </c>
      <c r="C107" s="1">
        <v>3909</v>
      </c>
      <c r="D107" s="1">
        <v>0.2</v>
      </c>
      <c r="E107" s="1">
        <v>-0.1</v>
      </c>
      <c r="F107" s="1">
        <v>0</v>
      </c>
      <c r="G107">
        <v>-1</v>
      </c>
      <c r="H107" s="1">
        <v>-1</v>
      </c>
      <c r="I107" s="1">
        <v>0</v>
      </c>
      <c r="J107" s="1"/>
      <c r="K107" s="1"/>
      <c r="L107" s="1"/>
      <c r="M107" s="1"/>
      <c r="N107" s="1"/>
      <c r="O107" s="1"/>
      <c r="P107" s="1"/>
      <c r="Q107" s="1"/>
      <c r="R107" s="1"/>
      <c r="S107" s="1"/>
    </row>
    <row r="108" spans="1:19" x14ac:dyDescent="0.25">
      <c r="A108" s="10">
        <v>100</v>
      </c>
      <c r="B108" s="10">
        <v>876</v>
      </c>
      <c r="C108" s="10">
        <v>3733</v>
      </c>
      <c r="D108" s="10">
        <v>0</v>
      </c>
      <c r="E108" s="10">
        <v>0</v>
      </c>
      <c r="F108" s="10">
        <v>0</v>
      </c>
      <c r="G108">
        <v>-2</v>
      </c>
      <c r="H108" s="1">
        <v>-1</v>
      </c>
      <c r="I108" s="1">
        <v>0</v>
      </c>
      <c r="J108" s="1"/>
      <c r="K108" s="1"/>
      <c r="L108" s="1"/>
      <c r="M108" s="1"/>
      <c r="N108" s="1"/>
      <c r="O108" s="1"/>
      <c r="P108" s="1"/>
      <c r="Q108" s="1"/>
      <c r="R108" s="1"/>
      <c r="S108" s="1"/>
    </row>
    <row r="109" spans="1:19" x14ac:dyDescent="0.25">
      <c r="A109" s="1">
        <v>125</v>
      </c>
      <c r="B109" s="1">
        <v>856</v>
      </c>
      <c r="C109" s="1">
        <v>3564</v>
      </c>
      <c r="D109" s="1">
        <v>-1</v>
      </c>
      <c r="E109" s="1">
        <v>0.3</v>
      </c>
      <c r="F109" s="1">
        <v>0.1</v>
      </c>
      <c r="G109">
        <v>-3</v>
      </c>
      <c r="H109" s="1">
        <v>-1</v>
      </c>
      <c r="I109" s="1">
        <v>0</v>
      </c>
      <c r="J109" s="1"/>
      <c r="K109" s="1"/>
      <c r="L109" s="1"/>
      <c r="M109" s="1"/>
      <c r="N109" s="1"/>
      <c r="O109" s="1"/>
      <c r="P109" s="1"/>
      <c r="Q109" s="1"/>
      <c r="R109" s="1"/>
      <c r="S109" s="1"/>
    </row>
    <row r="110" spans="1:19" x14ac:dyDescent="0.25">
      <c r="A110" s="1">
        <v>150</v>
      </c>
      <c r="B110" s="1">
        <v>836</v>
      </c>
      <c r="C110" s="1">
        <v>3401</v>
      </c>
      <c r="D110" s="1">
        <v>-2.8</v>
      </c>
      <c r="E110" s="1">
        <v>0.6</v>
      </c>
      <c r="F110" s="1">
        <v>0.2</v>
      </c>
      <c r="G110">
        <v>-5</v>
      </c>
      <c r="H110" s="1">
        <v>-1</v>
      </c>
      <c r="I110" s="1">
        <v>0</v>
      </c>
      <c r="J110" s="1"/>
      <c r="K110" s="1"/>
      <c r="L110" s="1"/>
      <c r="M110" s="1"/>
      <c r="N110" s="1"/>
      <c r="O110" s="1"/>
      <c r="P110" s="1"/>
      <c r="Q110" s="1"/>
      <c r="R110" s="1"/>
      <c r="S110" s="1"/>
    </row>
    <row r="111" spans="1:19" x14ac:dyDescent="0.25">
      <c r="A111" s="1">
        <v>175</v>
      </c>
      <c r="B111" s="1">
        <v>817</v>
      </c>
      <c r="C111" s="1">
        <v>3244</v>
      </c>
      <c r="D111" s="1">
        <v>-5.5</v>
      </c>
      <c r="E111" s="1">
        <v>1.1000000000000001</v>
      </c>
      <c r="F111" s="1">
        <v>0.3</v>
      </c>
      <c r="G111">
        <v>-6</v>
      </c>
      <c r="H111" s="1">
        <v>-1</v>
      </c>
      <c r="I111" s="1">
        <v>0</v>
      </c>
      <c r="J111" s="1"/>
      <c r="K111" s="1"/>
      <c r="L111" s="1"/>
      <c r="M111" s="1"/>
      <c r="N111" s="1"/>
      <c r="O111" s="1"/>
      <c r="P111" s="1"/>
      <c r="Q111" s="1"/>
      <c r="R111" s="1"/>
      <c r="S111" s="1"/>
    </row>
    <row r="112" spans="1:19" x14ac:dyDescent="0.25">
      <c r="A112" s="1">
        <v>200</v>
      </c>
      <c r="B112" s="1">
        <v>798</v>
      </c>
      <c r="C112" s="1">
        <v>3093</v>
      </c>
      <c r="D112" s="1">
        <v>-9.3000000000000007</v>
      </c>
      <c r="E112" s="1">
        <v>1.6</v>
      </c>
      <c r="F112" s="1">
        <v>0.5</v>
      </c>
      <c r="G112">
        <v>-8</v>
      </c>
      <c r="H112" s="1">
        <v>-2</v>
      </c>
      <c r="I112" s="1">
        <v>0</v>
      </c>
      <c r="J112" s="1"/>
      <c r="K112" s="1"/>
      <c r="L112" s="1"/>
      <c r="M112" s="1"/>
      <c r="N112" s="1"/>
      <c r="O112" s="1"/>
      <c r="P112" s="1"/>
      <c r="Q112" s="1"/>
      <c r="R112" s="1"/>
      <c r="S112" s="1"/>
    </row>
    <row r="113" spans="1:19" x14ac:dyDescent="0.25">
      <c r="A113" s="1">
        <v>225</v>
      </c>
      <c r="B113" s="1">
        <v>779</v>
      </c>
      <c r="C113" s="1">
        <v>2947</v>
      </c>
      <c r="D113" s="1">
        <v>-13.9</v>
      </c>
      <c r="E113" s="1">
        <v>2.1</v>
      </c>
      <c r="F113" s="1">
        <v>0.6</v>
      </c>
      <c r="G113">
        <v>-11</v>
      </c>
      <c r="H113" s="1">
        <v>-2</v>
      </c>
      <c r="I113" s="1">
        <v>0</v>
      </c>
      <c r="J113" s="1"/>
      <c r="K113" s="1"/>
      <c r="L113" s="1"/>
      <c r="M113" s="1"/>
      <c r="N113" s="1"/>
      <c r="O113" s="1"/>
      <c r="P113" s="1"/>
      <c r="Q113" s="1"/>
      <c r="R113" s="1"/>
      <c r="S113" s="1"/>
    </row>
    <row r="114" spans="1:19" x14ac:dyDescent="0.25">
      <c r="A114" s="1">
        <v>250</v>
      </c>
      <c r="B114" s="1">
        <v>760</v>
      </c>
      <c r="C114" s="1">
        <v>2807</v>
      </c>
      <c r="D114" s="1">
        <v>-19.5</v>
      </c>
      <c r="E114" s="1">
        <v>2.7</v>
      </c>
      <c r="F114" s="1">
        <v>0.8</v>
      </c>
      <c r="G114">
        <v>-14</v>
      </c>
      <c r="H114" s="1">
        <v>-2</v>
      </c>
      <c r="I114" s="1">
        <v>-1</v>
      </c>
      <c r="J114" s="1"/>
      <c r="K114" s="1"/>
      <c r="L114" s="1"/>
      <c r="M114" s="1"/>
      <c r="N114" s="1"/>
      <c r="O114" s="1"/>
      <c r="P114" s="1"/>
      <c r="Q114" s="1"/>
      <c r="R114" s="1"/>
      <c r="S114" s="1"/>
    </row>
    <row r="115" spans="1:19" x14ac:dyDescent="0.25">
      <c r="A115" s="1">
        <v>275</v>
      </c>
      <c r="B115" s="1">
        <v>741</v>
      </c>
      <c r="C115" s="1">
        <v>2672</v>
      </c>
      <c r="D115" s="1">
        <v>-26.6</v>
      </c>
      <c r="E115" s="1">
        <v>3.3</v>
      </c>
      <c r="F115" s="1">
        <v>1</v>
      </c>
      <c r="G115">
        <v>-16</v>
      </c>
      <c r="H115" s="1">
        <v>-2</v>
      </c>
      <c r="I115" s="1">
        <v>-1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</row>
    <row r="116" spans="1:19" x14ac:dyDescent="0.25">
      <c r="A116" s="1">
        <v>300</v>
      </c>
      <c r="B116" s="1">
        <v>723</v>
      </c>
      <c r="C116" s="1">
        <v>2543</v>
      </c>
      <c r="D116" s="1">
        <v>-34.5</v>
      </c>
      <c r="E116" s="1">
        <v>4</v>
      </c>
      <c r="F116" s="1">
        <v>1.1000000000000001</v>
      </c>
      <c r="G116">
        <v>-20</v>
      </c>
      <c r="H116" s="1">
        <v>-2</v>
      </c>
      <c r="I116" s="1">
        <v>-1</v>
      </c>
      <c r="J116" s="1"/>
      <c r="K116" s="1"/>
      <c r="L116" s="1"/>
      <c r="M116" s="1"/>
      <c r="N116" s="1"/>
      <c r="O116" s="1"/>
      <c r="P116" s="1"/>
      <c r="Q116" s="1"/>
      <c r="R116" s="1"/>
      <c r="S116" s="1"/>
    </row>
    <row r="117" spans="1:19" x14ac:dyDescent="0.25">
      <c r="A117" s="1">
        <v>325</v>
      </c>
      <c r="B117" s="1">
        <v>705</v>
      </c>
      <c r="C117" s="1">
        <v>2418</v>
      </c>
      <c r="D117" s="1">
        <v>-43.6</v>
      </c>
      <c r="E117" s="1">
        <v>4.5999999999999996</v>
      </c>
      <c r="F117" s="1">
        <v>1.3</v>
      </c>
      <c r="G117">
        <v>-24</v>
      </c>
      <c r="H117" s="1">
        <v>-3</v>
      </c>
      <c r="I117" s="1">
        <v>-1</v>
      </c>
      <c r="J117" s="1"/>
      <c r="K117" s="1"/>
      <c r="L117" s="1"/>
      <c r="M117" s="1"/>
      <c r="N117" s="1"/>
      <c r="O117" s="1"/>
      <c r="P117" s="1"/>
      <c r="Q117" s="1"/>
      <c r="R117" s="1"/>
      <c r="S117" s="1"/>
    </row>
    <row r="118" spans="1:19" x14ac:dyDescent="0.25">
      <c r="A118" s="1">
        <v>350</v>
      </c>
      <c r="B118" s="1">
        <v>688</v>
      </c>
      <c r="C118" s="1">
        <v>2298</v>
      </c>
      <c r="D118" s="1">
        <v>-54.4</v>
      </c>
      <c r="E118" s="1">
        <v>5.3</v>
      </c>
      <c r="F118" s="1">
        <v>1.6</v>
      </c>
      <c r="G118">
        <v>-28</v>
      </c>
      <c r="H118" s="1">
        <v>-3</v>
      </c>
      <c r="I118" s="1">
        <v>-1</v>
      </c>
      <c r="J118" s="1"/>
      <c r="K118" s="1"/>
      <c r="L118" s="1"/>
      <c r="M118" s="1"/>
      <c r="N118" s="1"/>
      <c r="O118" s="1"/>
      <c r="P118" s="1"/>
      <c r="Q118" s="1"/>
      <c r="R118" s="1"/>
      <c r="S118" s="1"/>
    </row>
    <row r="119" spans="1:19" x14ac:dyDescent="0.25">
      <c r="A119" s="1">
        <v>375</v>
      </c>
      <c r="B119" s="1">
        <v>670</v>
      </c>
      <c r="C119" s="1">
        <v>2182</v>
      </c>
      <c r="D119" s="1">
        <v>-66.3</v>
      </c>
      <c r="E119" s="1">
        <v>6.1</v>
      </c>
      <c r="F119" s="1">
        <v>1.8</v>
      </c>
      <c r="G119">
        <v>-32</v>
      </c>
      <c r="H119" s="1">
        <v>-3</v>
      </c>
      <c r="I119" s="1">
        <v>-1</v>
      </c>
      <c r="J119" s="1"/>
      <c r="K119" s="1"/>
      <c r="L119" s="1"/>
      <c r="M119" s="1"/>
      <c r="N119" s="1"/>
      <c r="O119" s="1"/>
      <c r="P119" s="1"/>
      <c r="Q119" s="1"/>
      <c r="R119" s="1"/>
      <c r="S119" s="1"/>
    </row>
    <row r="120" spans="1:19" x14ac:dyDescent="0.25">
      <c r="A120" s="1">
        <v>400</v>
      </c>
      <c r="B120" s="1">
        <v>653</v>
      </c>
      <c r="C120" s="1">
        <v>2072</v>
      </c>
      <c r="D120" s="1">
        <v>-79.5</v>
      </c>
      <c r="E120" s="1">
        <v>6.8</v>
      </c>
      <c r="F120" s="1">
        <v>2</v>
      </c>
      <c r="G120">
        <v>-37</v>
      </c>
      <c r="H120" s="1">
        <v>-4</v>
      </c>
      <c r="I120" s="1">
        <v>-1</v>
      </c>
      <c r="J120" s="1"/>
      <c r="K120" s="1"/>
      <c r="L120" s="1"/>
      <c r="M120" s="1"/>
      <c r="N120" s="1"/>
      <c r="O120" s="1"/>
      <c r="P120" s="1"/>
      <c r="Q120" s="1"/>
      <c r="R120" s="1"/>
      <c r="S120" s="1"/>
    </row>
    <row r="121" spans="1:19" x14ac:dyDescent="0.25">
      <c r="A121" s="1">
        <v>425</v>
      </c>
      <c r="B121" s="1">
        <v>636</v>
      </c>
      <c r="C121" s="1">
        <v>1965</v>
      </c>
      <c r="D121" s="1">
        <v>-94.9</v>
      </c>
      <c r="E121" s="1">
        <v>7.7</v>
      </c>
      <c r="F121" s="1">
        <v>2.2000000000000002</v>
      </c>
      <c r="G121">
        <v>-42</v>
      </c>
      <c r="H121" s="1">
        <v>-4</v>
      </c>
      <c r="I121" s="1">
        <v>-1</v>
      </c>
      <c r="J121" s="1"/>
      <c r="K121" s="1"/>
      <c r="L121" s="1"/>
      <c r="M121" s="1"/>
      <c r="N121" s="1"/>
      <c r="O121" s="1"/>
      <c r="P121" s="1"/>
      <c r="Q121" s="1"/>
      <c r="R121" s="1"/>
      <c r="S121" s="1"/>
    </row>
    <row r="122" spans="1:19" x14ac:dyDescent="0.25">
      <c r="A122" s="1">
        <v>450</v>
      </c>
      <c r="B122" s="1">
        <v>619</v>
      </c>
      <c r="C122" s="1">
        <v>1863</v>
      </c>
      <c r="D122" s="1">
        <v>-111.3</v>
      </c>
      <c r="E122" s="1">
        <v>8.5</v>
      </c>
      <c r="F122" s="1">
        <v>2.5</v>
      </c>
      <c r="G122">
        <v>-48</v>
      </c>
      <c r="H122" s="1">
        <v>-4</v>
      </c>
      <c r="I122" s="1">
        <v>-1</v>
      </c>
      <c r="J122" s="1"/>
      <c r="K122" s="1"/>
      <c r="L122" s="1"/>
      <c r="M122" s="1"/>
      <c r="N122" s="1"/>
      <c r="O122" s="1"/>
      <c r="P122" s="1"/>
      <c r="Q122" s="1"/>
      <c r="R122" s="1"/>
      <c r="S122" s="1"/>
    </row>
    <row r="123" spans="1:19" x14ac:dyDescent="0.25">
      <c r="A123" s="1">
        <v>475</v>
      </c>
      <c r="B123" s="1">
        <v>603</v>
      </c>
      <c r="C123" s="1">
        <v>1765</v>
      </c>
      <c r="D123" s="1">
        <v>-129.5</v>
      </c>
      <c r="E123" s="1">
        <v>9.4</v>
      </c>
      <c r="F123" s="1">
        <v>2.7</v>
      </c>
      <c r="G123">
        <v>-54</v>
      </c>
      <c r="H123" s="1">
        <v>-4</v>
      </c>
      <c r="I123" s="1">
        <v>-1</v>
      </c>
      <c r="J123" s="1"/>
      <c r="K123" s="1"/>
      <c r="L123" s="1"/>
      <c r="M123" s="1"/>
      <c r="N123" s="1"/>
      <c r="O123" s="1"/>
      <c r="P123" s="1"/>
      <c r="Q123" s="1"/>
      <c r="R123" s="1"/>
      <c r="S123" s="1"/>
    </row>
    <row r="124" spans="1:19" x14ac:dyDescent="0.25">
      <c r="A124" s="1">
        <v>500</v>
      </c>
      <c r="B124" s="1">
        <v>587</v>
      </c>
      <c r="C124" s="1">
        <v>1676</v>
      </c>
      <c r="D124" s="1">
        <v>-149.4</v>
      </c>
      <c r="E124" s="1">
        <v>10.3</v>
      </c>
      <c r="F124" s="1">
        <v>3</v>
      </c>
      <c r="G124">
        <v>-60</v>
      </c>
      <c r="H124" s="1">
        <v>-4</v>
      </c>
      <c r="I124" s="1">
        <v>-1</v>
      </c>
      <c r="J124" s="1"/>
      <c r="K124" s="1"/>
      <c r="L124" s="1"/>
      <c r="M124" s="1"/>
      <c r="N124" s="1"/>
      <c r="O124" s="1"/>
      <c r="P124" s="1"/>
      <c r="Q124" s="1"/>
      <c r="R124" s="1"/>
      <c r="S124" s="1"/>
    </row>
    <row r="126" spans="1:19" x14ac:dyDescent="0.25">
      <c r="A126" t="s">
        <v>84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39</v>
      </c>
      <c r="H127" t="s">
        <v>40</v>
      </c>
      <c r="I127" t="s">
        <v>41</v>
      </c>
    </row>
    <row r="128" spans="1:19" x14ac:dyDescent="0.25">
      <c r="A128" s="1">
        <v>0</v>
      </c>
      <c r="B128" s="1">
        <v>960</v>
      </c>
      <c r="C128" s="1">
        <v>4482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/>
      <c r="L128" s="1"/>
      <c r="M128" s="1"/>
      <c r="N128" s="1"/>
      <c r="O128" s="1"/>
      <c r="P128" s="1"/>
      <c r="Q128" s="1"/>
      <c r="R128" s="1"/>
      <c r="S128" s="1"/>
    </row>
    <row r="129" spans="1:19" x14ac:dyDescent="0.25">
      <c r="A129" s="1">
        <v>25</v>
      </c>
      <c r="B129" s="1">
        <v>939</v>
      </c>
      <c r="C129" s="1">
        <v>4282</v>
      </c>
      <c r="D129" s="1">
        <v>-1.3</v>
      </c>
      <c r="E129" s="1">
        <v>1.8</v>
      </c>
      <c r="F129" s="1">
        <v>0.5</v>
      </c>
      <c r="G129">
        <v>0</v>
      </c>
      <c r="H129">
        <v>0</v>
      </c>
      <c r="I129">
        <v>0</v>
      </c>
      <c r="K129" s="1"/>
      <c r="L129" s="1"/>
      <c r="M129" s="1"/>
      <c r="N129" s="1"/>
      <c r="O129" s="1"/>
      <c r="P129" s="1"/>
      <c r="Q129" s="1"/>
      <c r="R129" s="1"/>
      <c r="S129" s="1"/>
    </row>
    <row r="130" spans="1:19" x14ac:dyDescent="0.25">
      <c r="A130" s="1">
        <v>50</v>
      </c>
      <c r="B130" s="1">
        <v>918</v>
      </c>
      <c r="C130" s="1">
        <v>4092</v>
      </c>
      <c r="D130" s="1">
        <v>0.5</v>
      </c>
      <c r="E130" s="1">
        <v>-0.4</v>
      </c>
      <c r="F130" s="1">
        <v>-0.1</v>
      </c>
      <c r="G130">
        <v>-1</v>
      </c>
      <c r="H130">
        <v>0</v>
      </c>
      <c r="I130">
        <v>0</v>
      </c>
      <c r="K130" s="1"/>
      <c r="L130" s="1"/>
      <c r="M130" s="1"/>
      <c r="N130" s="1"/>
      <c r="O130" s="1"/>
      <c r="P130" s="1"/>
      <c r="Q130" s="1"/>
      <c r="R130" s="1"/>
      <c r="S130" s="1"/>
    </row>
    <row r="131" spans="1:19" x14ac:dyDescent="0.25">
      <c r="A131" s="1">
        <v>75</v>
      </c>
      <c r="B131" s="1">
        <v>897</v>
      </c>
      <c r="C131" s="1">
        <v>3909</v>
      </c>
      <c r="D131" s="1">
        <v>1.6</v>
      </c>
      <c r="E131" s="1">
        <v>-0.7</v>
      </c>
      <c r="F131" s="1">
        <v>-0.2</v>
      </c>
      <c r="G131">
        <v>-1</v>
      </c>
      <c r="H131">
        <v>-1</v>
      </c>
      <c r="I131">
        <v>0</v>
      </c>
      <c r="K131" s="1"/>
      <c r="L131" s="1"/>
      <c r="M131" s="1"/>
      <c r="N131" s="1"/>
      <c r="O131" s="1"/>
      <c r="P131" s="1"/>
      <c r="Q131" s="1"/>
      <c r="R131" s="1"/>
      <c r="S131" s="1"/>
    </row>
    <row r="132" spans="1:19" x14ac:dyDescent="0.25">
      <c r="A132" s="1">
        <v>100</v>
      </c>
      <c r="B132" s="1">
        <v>876</v>
      </c>
      <c r="C132" s="1">
        <v>3733</v>
      </c>
      <c r="D132" s="1">
        <v>1.9</v>
      </c>
      <c r="E132" s="1">
        <v>-0.7</v>
      </c>
      <c r="F132" s="1">
        <v>-0.2</v>
      </c>
      <c r="G132">
        <v>-2</v>
      </c>
      <c r="H132">
        <v>-1</v>
      </c>
      <c r="I132">
        <v>0</v>
      </c>
      <c r="K132" s="1"/>
      <c r="L132" s="1"/>
      <c r="M132" s="1"/>
      <c r="N132" s="1"/>
      <c r="O132" s="1"/>
      <c r="P132" s="1"/>
      <c r="Q132" s="1"/>
      <c r="R132" s="1"/>
      <c r="S132" s="1"/>
    </row>
    <row r="133" spans="1:19" x14ac:dyDescent="0.25">
      <c r="A133" s="1">
        <v>125</v>
      </c>
      <c r="B133" s="1">
        <v>856</v>
      </c>
      <c r="C133" s="1">
        <v>3564</v>
      </c>
      <c r="D133" s="1">
        <v>1.4</v>
      </c>
      <c r="E133" s="1">
        <v>-0.4</v>
      </c>
      <c r="F133" s="1">
        <v>-0.1</v>
      </c>
      <c r="G133">
        <v>-3</v>
      </c>
      <c r="H133">
        <v>-1</v>
      </c>
      <c r="I133">
        <v>0</v>
      </c>
      <c r="K133" s="1"/>
      <c r="L133" s="1"/>
      <c r="M133" s="1"/>
      <c r="N133" s="1"/>
      <c r="O133" s="1"/>
      <c r="P133" s="1"/>
      <c r="Q133" s="1"/>
      <c r="R133" s="1"/>
      <c r="S133" s="1"/>
    </row>
    <row r="134" spans="1:19" x14ac:dyDescent="0.25">
      <c r="A134" s="10">
        <v>150</v>
      </c>
      <c r="B134" s="10">
        <v>836</v>
      </c>
      <c r="C134" s="10">
        <v>3401</v>
      </c>
      <c r="D134" s="10">
        <v>0</v>
      </c>
      <c r="E134" s="10">
        <v>0</v>
      </c>
      <c r="F134" s="10">
        <v>0</v>
      </c>
      <c r="G134">
        <v>-5</v>
      </c>
      <c r="H134">
        <v>-1</v>
      </c>
      <c r="I134">
        <v>0</v>
      </c>
      <c r="K134" s="1"/>
      <c r="L134" s="1"/>
      <c r="M134" s="1"/>
      <c r="N134" s="1"/>
      <c r="O134" s="1"/>
      <c r="P134" s="1"/>
      <c r="Q134" s="1"/>
      <c r="R134" s="1"/>
      <c r="S134" s="1"/>
    </row>
    <row r="135" spans="1:19" x14ac:dyDescent="0.25">
      <c r="A135" s="1">
        <v>175</v>
      </c>
      <c r="B135" s="1">
        <v>817</v>
      </c>
      <c r="C135" s="1">
        <v>3244</v>
      </c>
      <c r="D135" s="1">
        <v>-2.2000000000000002</v>
      </c>
      <c r="E135" s="1">
        <v>0.4</v>
      </c>
      <c r="F135" s="1">
        <v>0.1</v>
      </c>
      <c r="G135">
        <v>-6</v>
      </c>
      <c r="H135">
        <v>-1</v>
      </c>
      <c r="I135">
        <v>0</v>
      </c>
      <c r="K135" s="1"/>
      <c r="L135" s="1"/>
      <c r="M135" s="1"/>
      <c r="N135" s="1"/>
      <c r="O135" s="1"/>
      <c r="P135" s="1"/>
      <c r="Q135" s="1"/>
      <c r="R135" s="1"/>
      <c r="S135" s="1"/>
    </row>
    <row r="136" spans="1:19" x14ac:dyDescent="0.25">
      <c r="A136" s="1">
        <v>200</v>
      </c>
      <c r="B136" s="1">
        <v>798</v>
      </c>
      <c r="C136" s="1">
        <v>3093</v>
      </c>
      <c r="D136" s="1">
        <v>-5.5</v>
      </c>
      <c r="E136" s="1">
        <v>0.9</v>
      </c>
      <c r="F136" s="1">
        <v>0.3</v>
      </c>
      <c r="G136">
        <v>-8</v>
      </c>
      <c r="H136">
        <v>-2</v>
      </c>
      <c r="I136">
        <v>0</v>
      </c>
      <c r="K136" s="1"/>
      <c r="L136" s="1"/>
      <c r="M136" s="1"/>
      <c r="N136" s="1"/>
      <c r="O136" s="1"/>
      <c r="P136" s="1"/>
      <c r="Q136" s="1"/>
      <c r="R136" s="1"/>
      <c r="S136" s="1"/>
    </row>
    <row r="137" spans="1:19" x14ac:dyDescent="0.25">
      <c r="A137" s="1">
        <v>225</v>
      </c>
      <c r="B137" s="1">
        <v>779</v>
      </c>
      <c r="C137" s="1">
        <v>2947</v>
      </c>
      <c r="D137" s="1">
        <v>-9.6999999999999993</v>
      </c>
      <c r="E137" s="1">
        <v>1.5</v>
      </c>
      <c r="F137" s="1">
        <v>0.4</v>
      </c>
      <c r="G137">
        <v>-11</v>
      </c>
      <c r="H137">
        <v>-2</v>
      </c>
      <c r="I137">
        <v>0</v>
      </c>
      <c r="K137" s="1"/>
      <c r="L137" s="1"/>
      <c r="M137" s="1"/>
      <c r="N137" s="1"/>
      <c r="O137" s="1"/>
      <c r="P137" s="1"/>
      <c r="Q137" s="1"/>
      <c r="R137" s="1"/>
      <c r="S137" s="1"/>
    </row>
    <row r="138" spans="1:19" x14ac:dyDescent="0.25">
      <c r="A138" s="1">
        <v>250</v>
      </c>
      <c r="B138" s="1">
        <v>760</v>
      </c>
      <c r="C138" s="1">
        <v>2807</v>
      </c>
      <c r="D138" s="1">
        <v>-14.9</v>
      </c>
      <c r="E138" s="1">
        <v>2</v>
      </c>
      <c r="F138" s="1">
        <v>0.6</v>
      </c>
      <c r="G138">
        <v>-14</v>
      </c>
      <c r="H138">
        <v>-2</v>
      </c>
      <c r="I138">
        <v>-1</v>
      </c>
      <c r="K138" s="1"/>
      <c r="L138" s="1"/>
      <c r="M138" s="1"/>
      <c r="N138" s="1"/>
      <c r="O138" s="1"/>
      <c r="P138" s="1"/>
      <c r="Q138" s="1"/>
      <c r="R138" s="1"/>
      <c r="S138" s="1"/>
    </row>
    <row r="139" spans="1:19" x14ac:dyDescent="0.25">
      <c r="A139" s="1">
        <v>275</v>
      </c>
      <c r="B139" s="1">
        <v>741</v>
      </c>
      <c r="C139" s="1">
        <v>2672</v>
      </c>
      <c r="D139" s="1">
        <v>-21.4</v>
      </c>
      <c r="E139" s="1">
        <v>2.7</v>
      </c>
      <c r="F139" s="1">
        <v>0.8</v>
      </c>
      <c r="G139">
        <v>-16</v>
      </c>
      <c r="H139">
        <v>-2</v>
      </c>
      <c r="I139">
        <v>-1</v>
      </c>
      <c r="K139" s="1"/>
      <c r="L139" s="1"/>
      <c r="M139" s="1"/>
      <c r="N139" s="1"/>
      <c r="O139" s="1"/>
      <c r="P139" s="1"/>
      <c r="Q139" s="1"/>
      <c r="R139" s="1"/>
      <c r="S139" s="1"/>
    </row>
    <row r="140" spans="1:19" x14ac:dyDescent="0.25">
      <c r="A140" s="1">
        <v>300</v>
      </c>
      <c r="B140" s="1">
        <v>723</v>
      </c>
      <c r="C140" s="1">
        <v>2543</v>
      </c>
      <c r="D140" s="1">
        <v>-28.9</v>
      </c>
      <c r="E140" s="1">
        <v>3.3</v>
      </c>
      <c r="F140" s="1">
        <v>1</v>
      </c>
      <c r="G140">
        <v>-20</v>
      </c>
      <c r="H140">
        <v>-2</v>
      </c>
      <c r="I140">
        <v>-1</v>
      </c>
      <c r="K140" s="1"/>
      <c r="L140" s="1"/>
      <c r="M140" s="1"/>
      <c r="N140" s="1"/>
      <c r="O140" s="1"/>
      <c r="P140" s="1"/>
      <c r="Q140" s="1"/>
      <c r="R140" s="1"/>
      <c r="S140" s="1"/>
    </row>
    <row r="141" spans="1:19" x14ac:dyDescent="0.25">
      <c r="A141" s="1">
        <v>325</v>
      </c>
      <c r="B141" s="1">
        <v>705</v>
      </c>
      <c r="C141" s="1">
        <v>2418</v>
      </c>
      <c r="D141" s="1">
        <v>-37.6</v>
      </c>
      <c r="E141" s="1">
        <v>4</v>
      </c>
      <c r="F141" s="1">
        <v>1.2</v>
      </c>
      <c r="G141">
        <v>-24</v>
      </c>
      <c r="H141">
        <v>-3</v>
      </c>
      <c r="I141">
        <v>-1</v>
      </c>
      <c r="K141" s="1"/>
      <c r="L141" s="1"/>
      <c r="M141" s="1"/>
      <c r="N141" s="1"/>
      <c r="O141" s="1"/>
      <c r="P141" s="1"/>
      <c r="Q141" s="1"/>
      <c r="R141" s="1"/>
      <c r="S141" s="1"/>
    </row>
    <row r="142" spans="1:19" x14ac:dyDescent="0.25">
      <c r="A142" s="1">
        <v>350</v>
      </c>
      <c r="B142" s="1">
        <v>688</v>
      </c>
      <c r="C142" s="1">
        <v>2298</v>
      </c>
      <c r="D142" s="1">
        <v>-47.9</v>
      </c>
      <c r="E142" s="1">
        <v>4.7</v>
      </c>
      <c r="F142" s="1">
        <v>1.4</v>
      </c>
      <c r="G142">
        <v>-28</v>
      </c>
      <c r="H142">
        <v>-3</v>
      </c>
      <c r="I142">
        <v>-1</v>
      </c>
      <c r="K142" s="1"/>
      <c r="L142" s="1"/>
      <c r="M142" s="1"/>
      <c r="N142" s="1"/>
      <c r="O142" s="1"/>
      <c r="P142" s="1"/>
      <c r="Q142" s="1"/>
      <c r="R142" s="1"/>
      <c r="S142" s="1"/>
    </row>
    <row r="143" spans="1:19" x14ac:dyDescent="0.25">
      <c r="A143" s="1">
        <v>375</v>
      </c>
      <c r="B143" s="1">
        <v>670</v>
      </c>
      <c r="C143" s="1">
        <v>2182</v>
      </c>
      <c r="D143" s="1">
        <v>-59.3</v>
      </c>
      <c r="E143" s="1">
        <v>5.4</v>
      </c>
      <c r="F143" s="1">
        <v>1.6</v>
      </c>
      <c r="G143">
        <v>-32</v>
      </c>
      <c r="H143">
        <v>-3</v>
      </c>
      <c r="I143">
        <v>-1</v>
      </c>
      <c r="K143" s="1"/>
      <c r="L143" s="1"/>
      <c r="M143" s="1"/>
      <c r="N143" s="1"/>
      <c r="O143" s="1"/>
      <c r="P143" s="1"/>
      <c r="Q143" s="1"/>
      <c r="R143" s="1"/>
      <c r="S143" s="1"/>
    </row>
    <row r="144" spans="1:19" x14ac:dyDescent="0.25">
      <c r="A144" s="1">
        <v>400</v>
      </c>
      <c r="B144" s="1">
        <v>653</v>
      </c>
      <c r="C144" s="1">
        <v>2072</v>
      </c>
      <c r="D144" s="1">
        <v>-72.099999999999994</v>
      </c>
      <c r="E144" s="1">
        <v>6.2</v>
      </c>
      <c r="F144" s="1">
        <v>1.8</v>
      </c>
      <c r="G144">
        <v>-37</v>
      </c>
      <c r="H144">
        <v>-4</v>
      </c>
      <c r="I144">
        <v>-1</v>
      </c>
      <c r="K144" s="1"/>
      <c r="L144" s="1"/>
      <c r="M144" s="1"/>
      <c r="N144" s="1"/>
      <c r="O144" s="1"/>
      <c r="P144" s="1"/>
      <c r="Q144" s="1"/>
      <c r="R144" s="1"/>
      <c r="S144" s="1"/>
    </row>
    <row r="145" spans="1:19" x14ac:dyDescent="0.25">
      <c r="A145" s="1">
        <v>425</v>
      </c>
      <c r="B145" s="1">
        <v>636</v>
      </c>
      <c r="C145" s="1">
        <v>1965</v>
      </c>
      <c r="D145" s="1">
        <v>-86.9</v>
      </c>
      <c r="E145" s="1">
        <v>7</v>
      </c>
      <c r="F145" s="1">
        <v>2</v>
      </c>
      <c r="G145">
        <v>-42</v>
      </c>
      <c r="H145">
        <v>-4</v>
      </c>
      <c r="I145">
        <v>-1</v>
      </c>
      <c r="K145" s="1"/>
      <c r="L145" s="1"/>
      <c r="M145" s="1"/>
      <c r="N145" s="1"/>
      <c r="O145" s="1"/>
      <c r="P145" s="1"/>
      <c r="Q145" s="1"/>
      <c r="R145" s="1"/>
      <c r="S145" s="1"/>
    </row>
    <row r="146" spans="1:19" x14ac:dyDescent="0.25">
      <c r="A146" s="1">
        <v>450</v>
      </c>
      <c r="B146" s="1">
        <v>619</v>
      </c>
      <c r="C146" s="1">
        <v>1863</v>
      </c>
      <c r="D146" s="1">
        <v>-102.9</v>
      </c>
      <c r="E146" s="1">
        <v>7.9</v>
      </c>
      <c r="F146" s="1">
        <v>2.2999999999999998</v>
      </c>
      <c r="G146">
        <v>-48</v>
      </c>
      <c r="H146">
        <v>-4</v>
      </c>
      <c r="I146">
        <v>-1</v>
      </c>
      <c r="K146" s="1"/>
      <c r="L146" s="1"/>
      <c r="M146" s="1"/>
      <c r="N146" s="1"/>
      <c r="O146" s="1"/>
      <c r="P146" s="1"/>
      <c r="Q146" s="1"/>
      <c r="R146" s="1"/>
      <c r="S146" s="1"/>
    </row>
    <row r="147" spans="1:19" x14ac:dyDescent="0.25">
      <c r="A147" s="1">
        <v>475</v>
      </c>
      <c r="B147" s="1">
        <v>603</v>
      </c>
      <c r="C147" s="1">
        <v>1765</v>
      </c>
      <c r="D147" s="1">
        <v>-120.6</v>
      </c>
      <c r="E147" s="1">
        <v>8.6999999999999993</v>
      </c>
      <c r="F147" s="1">
        <v>2.5</v>
      </c>
      <c r="G147">
        <v>-54</v>
      </c>
      <c r="H147">
        <v>-4</v>
      </c>
      <c r="I147">
        <v>-1</v>
      </c>
      <c r="K147" s="1"/>
      <c r="L147" s="1"/>
      <c r="M147" s="1"/>
      <c r="N147" s="1"/>
      <c r="O147" s="1"/>
      <c r="P147" s="1"/>
      <c r="Q147" s="1"/>
      <c r="R147" s="1"/>
      <c r="S147" s="1"/>
    </row>
    <row r="148" spans="1:19" x14ac:dyDescent="0.25">
      <c r="A148" s="1">
        <v>500</v>
      </c>
      <c r="B148" s="1">
        <v>587</v>
      </c>
      <c r="C148" s="1">
        <v>1676</v>
      </c>
      <c r="D148" s="1">
        <v>-140.1</v>
      </c>
      <c r="E148" s="1">
        <v>9.6</v>
      </c>
      <c r="F148" s="1">
        <v>2.8</v>
      </c>
      <c r="G148">
        <v>-60</v>
      </c>
      <c r="H148">
        <v>-4</v>
      </c>
      <c r="I148">
        <v>-1</v>
      </c>
      <c r="K148" s="1"/>
      <c r="L148" s="1"/>
      <c r="M148" s="1"/>
      <c r="N148" s="1"/>
      <c r="O148" s="1"/>
      <c r="P148" s="1"/>
      <c r="Q148" s="1"/>
      <c r="R148" s="1"/>
      <c r="S148" s="1"/>
    </row>
    <row r="150" spans="1:19" x14ac:dyDescent="0.25">
      <c r="A150" t="s">
        <v>83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39</v>
      </c>
      <c r="H151" t="s">
        <v>40</v>
      </c>
      <c r="I151" t="s">
        <v>41</v>
      </c>
    </row>
    <row r="152" spans="1:19" x14ac:dyDescent="0.25">
      <c r="A152" s="1">
        <v>0</v>
      </c>
      <c r="B152" s="1">
        <v>960</v>
      </c>
      <c r="C152" s="1">
        <v>4482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/>
      <c r="L152" s="1"/>
      <c r="M152" s="1"/>
      <c r="N152" s="1"/>
      <c r="O152" s="1"/>
      <c r="P152" s="1"/>
      <c r="Q152" s="1"/>
      <c r="R152" s="1"/>
      <c r="S152" s="1"/>
    </row>
    <row r="153" spans="1:19" x14ac:dyDescent="0.25">
      <c r="A153" s="1">
        <v>25</v>
      </c>
      <c r="B153" s="1">
        <v>939</v>
      </c>
      <c r="C153" s="1">
        <v>4282</v>
      </c>
      <c r="D153" s="1">
        <v>-0.6</v>
      </c>
      <c r="E153" s="1">
        <v>0.9</v>
      </c>
      <c r="F153" s="1">
        <v>0.3</v>
      </c>
      <c r="G153">
        <v>0</v>
      </c>
      <c r="H153">
        <v>0</v>
      </c>
      <c r="I153">
        <v>0</v>
      </c>
      <c r="K153" s="1"/>
      <c r="L153" s="1"/>
      <c r="M153" s="1"/>
      <c r="N153" s="1"/>
      <c r="O153" s="1"/>
      <c r="P153" s="1"/>
      <c r="Q153" s="1"/>
      <c r="R153" s="1"/>
      <c r="S153" s="1"/>
    </row>
    <row r="154" spans="1:19" x14ac:dyDescent="0.25">
      <c r="A154" s="1">
        <v>50</v>
      </c>
      <c r="B154" s="1">
        <v>918</v>
      </c>
      <c r="C154" s="1">
        <v>4092</v>
      </c>
      <c r="D154" s="1">
        <v>1.9</v>
      </c>
      <c r="E154" s="1">
        <v>-1.3</v>
      </c>
      <c r="F154" s="1">
        <v>-0.4</v>
      </c>
      <c r="G154">
        <v>-1</v>
      </c>
      <c r="H154">
        <v>0</v>
      </c>
      <c r="I154">
        <v>0</v>
      </c>
      <c r="K154" s="1"/>
      <c r="L154" s="1"/>
      <c r="M154" s="1"/>
      <c r="N154" s="1"/>
      <c r="O154" s="1"/>
      <c r="P154" s="1"/>
      <c r="Q154" s="1"/>
      <c r="R154" s="1"/>
      <c r="S154" s="1"/>
    </row>
    <row r="155" spans="1:19" x14ac:dyDescent="0.25">
      <c r="A155" s="1">
        <v>75</v>
      </c>
      <c r="B155" s="1">
        <v>897</v>
      </c>
      <c r="C155" s="1">
        <v>3909</v>
      </c>
      <c r="D155" s="1">
        <v>3.7</v>
      </c>
      <c r="E155" s="1">
        <v>-1.7</v>
      </c>
      <c r="F155" s="1">
        <v>-0.5</v>
      </c>
      <c r="G155">
        <v>-1</v>
      </c>
      <c r="H155">
        <v>-1</v>
      </c>
      <c r="I155">
        <v>0</v>
      </c>
      <c r="K155" s="1"/>
      <c r="L155" s="1"/>
      <c r="M155" s="1"/>
      <c r="N155" s="1"/>
      <c r="O155" s="1"/>
      <c r="P155" s="1"/>
      <c r="Q155" s="1"/>
      <c r="R155" s="1"/>
      <c r="S155" s="1"/>
    </row>
    <row r="156" spans="1:19" x14ac:dyDescent="0.25">
      <c r="A156" s="1">
        <v>100</v>
      </c>
      <c r="B156" s="1">
        <v>876</v>
      </c>
      <c r="C156" s="1">
        <v>3733</v>
      </c>
      <c r="D156" s="1">
        <v>4.5999999999999996</v>
      </c>
      <c r="E156" s="1">
        <v>-1.6</v>
      </c>
      <c r="F156" s="1">
        <v>-0.5</v>
      </c>
      <c r="G156">
        <v>-2</v>
      </c>
      <c r="H156">
        <v>-1</v>
      </c>
      <c r="I156">
        <v>0</v>
      </c>
      <c r="K156" s="1"/>
      <c r="L156" s="1"/>
      <c r="M156" s="1"/>
      <c r="N156" s="1"/>
      <c r="O156" s="1"/>
      <c r="P156" s="1"/>
      <c r="Q156" s="1"/>
      <c r="R156" s="1"/>
      <c r="S156" s="1"/>
    </row>
    <row r="157" spans="1:19" x14ac:dyDescent="0.25">
      <c r="A157" s="1">
        <v>125</v>
      </c>
      <c r="B157" s="1">
        <v>856</v>
      </c>
      <c r="C157" s="1">
        <v>3564</v>
      </c>
      <c r="D157" s="1">
        <v>4.8</v>
      </c>
      <c r="E157" s="1">
        <v>-1.3</v>
      </c>
      <c r="F157" s="1">
        <v>-0.4</v>
      </c>
      <c r="G157">
        <v>-3</v>
      </c>
      <c r="H157">
        <v>-1</v>
      </c>
      <c r="I157">
        <v>0</v>
      </c>
      <c r="K157" s="1"/>
      <c r="L157" s="1"/>
      <c r="M157" s="1"/>
      <c r="N157" s="1"/>
      <c r="O157" s="1"/>
      <c r="P157" s="1"/>
      <c r="Q157" s="1"/>
      <c r="R157" s="1"/>
      <c r="S157" s="1"/>
    </row>
    <row r="158" spans="1:19" x14ac:dyDescent="0.25">
      <c r="A158" s="1">
        <v>150</v>
      </c>
      <c r="B158" s="1">
        <v>836</v>
      </c>
      <c r="C158" s="1">
        <v>3401</v>
      </c>
      <c r="D158" s="1">
        <v>4.0999999999999996</v>
      </c>
      <c r="E158" s="1">
        <v>-1</v>
      </c>
      <c r="F158" s="1">
        <v>-0.3</v>
      </c>
      <c r="G158">
        <v>-5</v>
      </c>
      <c r="H158">
        <v>-1</v>
      </c>
      <c r="I158">
        <v>0</v>
      </c>
      <c r="K158" s="1"/>
      <c r="L158" s="1"/>
      <c r="M158" s="1"/>
      <c r="N158" s="1"/>
      <c r="O158" s="1"/>
      <c r="P158" s="1"/>
      <c r="Q158" s="1"/>
      <c r="R158" s="1"/>
      <c r="S158" s="1"/>
    </row>
    <row r="159" spans="1:19" x14ac:dyDescent="0.25">
      <c r="A159" s="1">
        <v>175</v>
      </c>
      <c r="B159" s="1">
        <v>817</v>
      </c>
      <c r="C159" s="1">
        <v>3244</v>
      </c>
      <c r="D159" s="1">
        <v>2.6</v>
      </c>
      <c r="E159" s="1">
        <v>-0.5</v>
      </c>
      <c r="F159" s="1">
        <v>-0.1</v>
      </c>
      <c r="G159">
        <v>-6</v>
      </c>
      <c r="H159">
        <v>-1</v>
      </c>
      <c r="I159">
        <v>0</v>
      </c>
      <c r="K159" s="1"/>
      <c r="L159" s="1"/>
      <c r="M159" s="1"/>
      <c r="N159" s="1"/>
      <c r="O159" s="1"/>
      <c r="P159" s="1"/>
      <c r="Q159" s="1"/>
      <c r="R159" s="1"/>
      <c r="S159" s="1"/>
    </row>
    <row r="160" spans="1:19" x14ac:dyDescent="0.25">
      <c r="A160" s="10">
        <v>200</v>
      </c>
      <c r="B160" s="10">
        <v>798</v>
      </c>
      <c r="C160" s="10">
        <v>3093</v>
      </c>
      <c r="D160" s="10">
        <v>0</v>
      </c>
      <c r="E160" s="10">
        <v>0</v>
      </c>
      <c r="F160" s="10">
        <v>0</v>
      </c>
      <c r="G160">
        <v>-8</v>
      </c>
      <c r="H160">
        <v>-2</v>
      </c>
      <c r="I160">
        <v>0</v>
      </c>
      <c r="K160" s="1"/>
      <c r="L160" s="1"/>
      <c r="M160" s="1"/>
      <c r="N160" s="1"/>
      <c r="O160" s="1"/>
      <c r="P160" s="1"/>
      <c r="Q160" s="1"/>
      <c r="R160" s="1"/>
      <c r="S160" s="1"/>
    </row>
    <row r="161" spans="1:19" x14ac:dyDescent="0.25">
      <c r="A161" s="1">
        <v>225</v>
      </c>
      <c r="B161" s="1">
        <v>779</v>
      </c>
      <c r="C161" s="1">
        <v>2947</v>
      </c>
      <c r="D161" s="1">
        <v>-3.5</v>
      </c>
      <c r="E161" s="1">
        <v>0.5</v>
      </c>
      <c r="F161" s="1">
        <v>0.2</v>
      </c>
      <c r="G161">
        <v>-11</v>
      </c>
      <c r="H161">
        <v>-2</v>
      </c>
      <c r="I161">
        <v>0</v>
      </c>
      <c r="K161" s="1"/>
      <c r="L161" s="1"/>
      <c r="M161" s="1"/>
      <c r="N161" s="1"/>
      <c r="O161" s="1"/>
      <c r="P161" s="1"/>
      <c r="Q161" s="1"/>
      <c r="R161" s="1"/>
      <c r="S161" s="1"/>
    </row>
    <row r="162" spans="1:19" x14ac:dyDescent="0.25">
      <c r="A162" s="1">
        <v>250</v>
      </c>
      <c r="B162" s="1">
        <v>760</v>
      </c>
      <c r="C162" s="1">
        <v>2807</v>
      </c>
      <c r="D162" s="1">
        <v>-8</v>
      </c>
      <c r="E162" s="1">
        <v>1.1000000000000001</v>
      </c>
      <c r="F162" s="1">
        <v>0.3</v>
      </c>
      <c r="G162">
        <v>-14</v>
      </c>
      <c r="H162">
        <v>-2</v>
      </c>
      <c r="I162">
        <v>-1</v>
      </c>
      <c r="K162" s="1"/>
      <c r="L162" s="1"/>
      <c r="M162" s="1"/>
      <c r="N162" s="1"/>
      <c r="O162" s="1"/>
      <c r="P162" s="1"/>
      <c r="Q162" s="1"/>
      <c r="R162" s="1"/>
      <c r="S162" s="1"/>
    </row>
    <row r="163" spans="1:19" x14ac:dyDescent="0.25">
      <c r="A163" s="1">
        <v>275</v>
      </c>
      <c r="B163" s="1">
        <v>741</v>
      </c>
      <c r="C163" s="1">
        <v>2672</v>
      </c>
      <c r="D163" s="1">
        <v>-13.8</v>
      </c>
      <c r="E163" s="1">
        <v>1.7</v>
      </c>
      <c r="F163" s="1">
        <v>0.5</v>
      </c>
      <c r="G163">
        <v>-16</v>
      </c>
      <c r="H163">
        <v>-2</v>
      </c>
      <c r="I163">
        <v>-1</v>
      </c>
      <c r="K163" s="1"/>
      <c r="L163" s="1"/>
      <c r="M163" s="1"/>
      <c r="N163" s="1"/>
      <c r="O163" s="1"/>
      <c r="P163" s="1"/>
      <c r="Q163" s="1"/>
      <c r="R163" s="1"/>
      <c r="S163" s="1"/>
    </row>
    <row r="164" spans="1:19" x14ac:dyDescent="0.25">
      <c r="A164" s="1">
        <v>300</v>
      </c>
      <c r="B164" s="1">
        <v>723</v>
      </c>
      <c r="C164" s="1">
        <v>2543</v>
      </c>
      <c r="D164" s="1">
        <v>-20.6</v>
      </c>
      <c r="E164" s="1">
        <v>2.4</v>
      </c>
      <c r="F164" s="1">
        <v>0.7</v>
      </c>
      <c r="G164">
        <v>-20</v>
      </c>
      <c r="H164">
        <v>-2</v>
      </c>
      <c r="I164">
        <v>-1</v>
      </c>
      <c r="K164" s="1"/>
      <c r="L164" s="1"/>
      <c r="M164" s="1"/>
      <c r="N164" s="1"/>
      <c r="O164" s="1"/>
      <c r="P164" s="1"/>
      <c r="Q164" s="1"/>
      <c r="R164" s="1"/>
      <c r="S164" s="1"/>
    </row>
    <row r="165" spans="1:19" x14ac:dyDescent="0.25">
      <c r="A165" s="1">
        <v>325</v>
      </c>
      <c r="B165" s="1">
        <v>705</v>
      </c>
      <c r="C165" s="1">
        <v>2418</v>
      </c>
      <c r="D165" s="1">
        <v>-28.6</v>
      </c>
      <c r="E165" s="1">
        <v>3</v>
      </c>
      <c r="F165" s="1">
        <v>0.9</v>
      </c>
      <c r="G165">
        <v>-24</v>
      </c>
      <c r="H165">
        <v>-3</v>
      </c>
      <c r="I165">
        <v>-1</v>
      </c>
      <c r="K165" s="1"/>
      <c r="L165" s="1"/>
      <c r="M165" s="1"/>
      <c r="N165" s="1"/>
      <c r="O165" s="1"/>
      <c r="P165" s="1"/>
      <c r="Q165" s="1"/>
      <c r="R165" s="1"/>
      <c r="S165" s="1"/>
    </row>
    <row r="166" spans="1:19" x14ac:dyDescent="0.25">
      <c r="A166" s="1">
        <v>350</v>
      </c>
      <c r="B166" s="1">
        <v>688</v>
      </c>
      <c r="C166" s="1">
        <v>2298</v>
      </c>
      <c r="D166" s="1">
        <v>-38.299999999999997</v>
      </c>
      <c r="E166" s="1">
        <v>3.8</v>
      </c>
      <c r="F166" s="1">
        <v>1.1000000000000001</v>
      </c>
      <c r="G166">
        <v>-28</v>
      </c>
      <c r="H166">
        <v>-3</v>
      </c>
      <c r="I166">
        <v>-1</v>
      </c>
      <c r="K166" s="1"/>
      <c r="L166" s="1"/>
      <c r="M166" s="1"/>
      <c r="N166" s="1"/>
      <c r="O166" s="1"/>
      <c r="P166" s="1"/>
      <c r="Q166" s="1"/>
      <c r="R166" s="1"/>
      <c r="S166" s="1"/>
    </row>
    <row r="167" spans="1:19" x14ac:dyDescent="0.25">
      <c r="A167" s="1">
        <v>375</v>
      </c>
      <c r="B167" s="1">
        <v>670</v>
      </c>
      <c r="C167" s="1">
        <v>2182</v>
      </c>
      <c r="D167" s="1">
        <v>-48.9</v>
      </c>
      <c r="E167" s="1">
        <v>4.5</v>
      </c>
      <c r="F167" s="1">
        <v>1.3</v>
      </c>
      <c r="G167">
        <v>-32</v>
      </c>
      <c r="H167">
        <v>-3</v>
      </c>
      <c r="I167">
        <v>-1</v>
      </c>
      <c r="K167" s="1"/>
      <c r="L167" s="1"/>
      <c r="M167" s="1"/>
      <c r="N167" s="1"/>
      <c r="O167" s="1"/>
      <c r="P167" s="1"/>
      <c r="Q167" s="1"/>
      <c r="R167" s="1"/>
      <c r="S167" s="1"/>
    </row>
    <row r="168" spans="1:19" x14ac:dyDescent="0.25">
      <c r="A168" s="1">
        <v>400</v>
      </c>
      <c r="B168" s="1">
        <v>653</v>
      </c>
      <c r="C168" s="1">
        <v>2072</v>
      </c>
      <c r="D168" s="1">
        <v>-61</v>
      </c>
      <c r="E168" s="1">
        <v>5.2</v>
      </c>
      <c r="F168" s="1">
        <v>1.5</v>
      </c>
      <c r="G168">
        <v>-37</v>
      </c>
      <c r="H168">
        <v>-4</v>
      </c>
      <c r="I168">
        <v>-1</v>
      </c>
      <c r="K168" s="1"/>
      <c r="L168" s="1"/>
      <c r="M168" s="1"/>
      <c r="N168" s="1"/>
      <c r="O168" s="1"/>
      <c r="P168" s="1"/>
      <c r="Q168" s="1"/>
      <c r="R168" s="1"/>
      <c r="S168" s="1"/>
    </row>
    <row r="169" spans="1:19" x14ac:dyDescent="0.25">
      <c r="A169" s="1">
        <v>425</v>
      </c>
      <c r="B169" s="1">
        <v>636</v>
      </c>
      <c r="C169" s="1">
        <v>1965</v>
      </c>
      <c r="D169" s="1">
        <v>-75.2</v>
      </c>
      <c r="E169" s="1">
        <v>6.1</v>
      </c>
      <c r="F169" s="1">
        <v>1.8</v>
      </c>
      <c r="G169">
        <v>-42</v>
      </c>
      <c r="H169">
        <v>-4</v>
      </c>
      <c r="I169">
        <v>-1</v>
      </c>
      <c r="K169" s="1"/>
      <c r="L169" s="1"/>
      <c r="M169" s="1"/>
      <c r="N169" s="1"/>
      <c r="O169" s="1"/>
      <c r="P169" s="1"/>
      <c r="Q169" s="1"/>
      <c r="R169" s="1"/>
      <c r="S169" s="1"/>
    </row>
    <row r="170" spans="1:19" x14ac:dyDescent="0.25">
      <c r="A170" s="1">
        <v>450</v>
      </c>
      <c r="B170" s="1">
        <v>619</v>
      </c>
      <c r="C170" s="1">
        <v>1863</v>
      </c>
      <c r="D170" s="1">
        <v>-90.5</v>
      </c>
      <c r="E170" s="1">
        <v>6.9</v>
      </c>
      <c r="F170" s="1">
        <v>2</v>
      </c>
      <c r="G170">
        <v>-48</v>
      </c>
      <c r="H170">
        <v>-4</v>
      </c>
      <c r="I170">
        <v>-1</v>
      </c>
      <c r="K170" s="1"/>
      <c r="L170" s="1"/>
      <c r="M170" s="1"/>
      <c r="N170" s="1"/>
      <c r="O170" s="1"/>
      <c r="P170" s="1"/>
      <c r="Q170" s="1"/>
      <c r="R170" s="1"/>
      <c r="S170" s="1"/>
    </row>
    <row r="171" spans="1:19" x14ac:dyDescent="0.25">
      <c r="A171" s="1">
        <v>475</v>
      </c>
      <c r="B171" s="1">
        <v>603</v>
      </c>
      <c r="C171" s="1">
        <v>1765</v>
      </c>
      <c r="D171" s="1">
        <v>-107.5</v>
      </c>
      <c r="E171" s="1">
        <v>7.8</v>
      </c>
      <c r="F171" s="1">
        <v>2.2999999999999998</v>
      </c>
      <c r="G171">
        <v>-54</v>
      </c>
      <c r="H171">
        <v>-4</v>
      </c>
      <c r="I171">
        <v>-1</v>
      </c>
      <c r="K171" s="1"/>
      <c r="L171" s="1"/>
      <c r="M171" s="1"/>
      <c r="N171" s="1"/>
      <c r="O171" s="1"/>
      <c r="P171" s="1"/>
      <c r="Q171" s="1"/>
      <c r="R171" s="1"/>
      <c r="S171" s="1"/>
    </row>
    <row r="172" spans="1:19" x14ac:dyDescent="0.25">
      <c r="A172" s="1">
        <v>500</v>
      </c>
      <c r="B172" s="1">
        <v>587</v>
      </c>
      <c r="C172" s="1">
        <v>1676</v>
      </c>
      <c r="D172" s="1">
        <v>-126.3</v>
      </c>
      <c r="E172" s="1">
        <v>8.6999999999999993</v>
      </c>
      <c r="F172" s="1">
        <v>2.5</v>
      </c>
      <c r="G172">
        <v>-60</v>
      </c>
      <c r="H172">
        <v>-4</v>
      </c>
      <c r="I172">
        <v>-1</v>
      </c>
      <c r="K172" s="1"/>
      <c r="L172" s="1"/>
      <c r="M172" s="1"/>
      <c r="N172" s="1"/>
      <c r="O172" s="1"/>
      <c r="P172" s="1"/>
      <c r="Q172" s="1"/>
      <c r="R172" s="1"/>
      <c r="S172" s="1"/>
    </row>
    <row r="174" spans="1:19" x14ac:dyDescent="0.25">
      <c r="A174" t="s">
        <v>82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39</v>
      </c>
      <c r="H175" t="s">
        <v>40</v>
      </c>
      <c r="I175" t="s">
        <v>41</v>
      </c>
    </row>
    <row r="176" spans="1:19" x14ac:dyDescent="0.25">
      <c r="A176" s="1">
        <v>0</v>
      </c>
      <c r="B176" s="1">
        <v>960</v>
      </c>
      <c r="C176" s="1">
        <v>4482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/>
      <c r="L176" s="1"/>
      <c r="M176" s="1"/>
      <c r="N176" s="1"/>
      <c r="O176" s="1"/>
      <c r="P176" s="1"/>
      <c r="Q176" s="1"/>
      <c r="R176" s="1"/>
      <c r="S176" s="1"/>
    </row>
    <row r="177" spans="1:19" x14ac:dyDescent="0.25">
      <c r="A177" s="1">
        <v>25</v>
      </c>
      <c r="B177" s="1">
        <v>939</v>
      </c>
      <c r="C177" s="1">
        <v>4282</v>
      </c>
      <c r="D177" s="1">
        <v>1.1000000000000001</v>
      </c>
      <c r="E177" s="1">
        <v>-1.5</v>
      </c>
      <c r="F177" s="1">
        <v>-0.4</v>
      </c>
      <c r="G177">
        <v>0</v>
      </c>
      <c r="H177">
        <v>0</v>
      </c>
      <c r="I177">
        <v>0</v>
      </c>
      <c r="K177" s="1"/>
      <c r="L177" s="1"/>
      <c r="M177" s="1"/>
      <c r="N177" s="1"/>
      <c r="O177" s="1"/>
      <c r="P177" s="1"/>
      <c r="Q177" s="1"/>
      <c r="R177" s="1"/>
      <c r="S177" s="1"/>
    </row>
    <row r="178" spans="1:19" x14ac:dyDescent="0.25">
      <c r="A178" s="1">
        <v>50</v>
      </c>
      <c r="B178" s="1">
        <v>918</v>
      </c>
      <c r="C178" s="1">
        <v>4092</v>
      </c>
      <c r="D178" s="1">
        <v>5.4</v>
      </c>
      <c r="E178" s="1">
        <v>-3.7</v>
      </c>
      <c r="F178" s="1">
        <v>-1.1000000000000001</v>
      </c>
      <c r="G178">
        <v>-1</v>
      </c>
      <c r="H178">
        <v>0</v>
      </c>
      <c r="I178">
        <v>0</v>
      </c>
      <c r="K178" s="1"/>
      <c r="L178" s="1"/>
      <c r="M178" s="1"/>
      <c r="N178" s="1"/>
      <c r="O178" s="1"/>
      <c r="P178" s="1"/>
      <c r="Q178" s="1"/>
      <c r="R178" s="1"/>
      <c r="S178" s="1"/>
    </row>
    <row r="179" spans="1:19" x14ac:dyDescent="0.25">
      <c r="A179" s="1">
        <v>75</v>
      </c>
      <c r="B179" s="1">
        <v>897</v>
      </c>
      <c r="C179" s="1">
        <v>3909</v>
      </c>
      <c r="D179" s="1">
        <v>8.8000000000000007</v>
      </c>
      <c r="E179" s="1">
        <v>-4</v>
      </c>
      <c r="F179" s="1">
        <v>-1.2</v>
      </c>
      <c r="G179">
        <v>-1</v>
      </c>
      <c r="H179">
        <v>-1</v>
      </c>
      <c r="I179">
        <v>0</v>
      </c>
      <c r="K179" s="1"/>
      <c r="L179" s="1"/>
      <c r="M179" s="1"/>
      <c r="N179" s="1"/>
      <c r="O179" s="1"/>
      <c r="P179" s="1"/>
      <c r="Q179" s="1"/>
      <c r="R179" s="1"/>
      <c r="S179" s="1"/>
    </row>
    <row r="180" spans="1:19" x14ac:dyDescent="0.25">
      <c r="A180" s="1">
        <v>100</v>
      </c>
      <c r="B180" s="1">
        <v>876</v>
      </c>
      <c r="C180" s="1">
        <v>3733</v>
      </c>
      <c r="D180" s="1">
        <v>11.5</v>
      </c>
      <c r="E180" s="1">
        <v>-4</v>
      </c>
      <c r="F180" s="1">
        <v>-1.2</v>
      </c>
      <c r="G180">
        <v>-2</v>
      </c>
      <c r="H180">
        <v>-1</v>
      </c>
      <c r="I180">
        <v>0</v>
      </c>
      <c r="K180" s="1"/>
      <c r="L180" s="1"/>
      <c r="M180" s="1"/>
      <c r="N180" s="1"/>
      <c r="O180" s="1"/>
      <c r="P180" s="1"/>
      <c r="Q180" s="1"/>
      <c r="R180" s="1"/>
      <c r="S180" s="1"/>
    </row>
    <row r="181" spans="1:19" x14ac:dyDescent="0.25">
      <c r="A181" s="1">
        <v>125</v>
      </c>
      <c r="B181" s="1">
        <v>856</v>
      </c>
      <c r="C181" s="1">
        <v>3564</v>
      </c>
      <c r="D181" s="1">
        <v>13.5</v>
      </c>
      <c r="E181" s="1">
        <v>-3.7</v>
      </c>
      <c r="F181" s="1">
        <v>-1.1000000000000001</v>
      </c>
      <c r="G181">
        <v>-3</v>
      </c>
      <c r="H181">
        <v>-1</v>
      </c>
      <c r="I181">
        <v>0</v>
      </c>
      <c r="K181" s="1"/>
      <c r="L181" s="1"/>
      <c r="M181" s="1"/>
      <c r="N181" s="1"/>
      <c r="O181" s="1"/>
      <c r="P181" s="1"/>
      <c r="Q181" s="1"/>
      <c r="R181" s="1"/>
      <c r="S181" s="1"/>
    </row>
    <row r="182" spans="1:19" x14ac:dyDescent="0.25">
      <c r="A182" s="1">
        <v>150</v>
      </c>
      <c r="B182" s="1">
        <v>836</v>
      </c>
      <c r="C182" s="1">
        <v>3400</v>
      </c>
      <c r="D182" s="1">
        <v>14.5</v>
      </c>
      <c r="E182" s="1">
        <v>-3.3</v>
      </c>
      <c r="F182" s="1">
        <v>-1</v>
      </c>
      <c r="G182">
        <v>-5</v>
      </c>
      <c r="H182">
        <v>-1</v>
      </c>
      <c r="I182">
        <v>0</v>
      </c>
      <c r="K182" s="1"/>
      <c r="L182" s="1"/>
      <c r="M182" s="1"/>
      <c r="N182" s="1"/>
      <c r="O182" s="1"/>
      <c r="P182" s="1"/>
      <c r="Q182" s="1"/>
      <c r="R182" s="1"/>
      <c r="S182" s="1"/>
    </row>
    <row r="183" spans="1:19" x14ac:dyDescent="0.25">
      <c r="A183" s="1">
        <v>175</v>
      </c>
      <c r="B183" s="1">
        <v>817</v>
      </c>
      <c r="C183" s="1">
        <v>3244</v>
      </c>
      <c r="D183" s="1">
        <v>14.7</v>
      </c>
      <c r="E183" s="1">
        <v>-2.9</v>
      </c>
      <c r="F183" s="1">
        <v>-0.8</v>
      </c>
      <c r="G183">
        <v>-6</v>
      </c>
      <c r="H183">
        <v>-1</v>
      </c>
      <c r="I183">
        <v>0</v>
      </c>
      <c r="K183" s="1"/>
      <c r="L183" s="1"/>
      <c r="M183" s="1"/>
      <c r="N183" s="1"/>
      <c r="O183" s="1"/>
      <c r="P183" s="1"/>
      <c r="Q183" s="1"/>
      <c r="R183" s="1"/>
      <c r="S183" s="1"/>
    </row>
    <row r="184" spans="1:19" x14ac:dyDescent="0.25">
      <c r="A184" s="1">
        <v>200</v>
      </c>
      <c r="B184" s="1">
        <v>798</v>
      </c>
      <c r="C184" s="1">
        <v>3093</v>
      </c>
      <c r="D184" s="1">
        <v>13.8</v>
      </c>
      <c r="E184" s="1">
        <v>-2.4</v>
      </c>
      <c r="F184" s="1">
        <v>-0.7</v>
      </c>
      <c r="G184">
        <v>-8</v>
      </c>
      <c r="H184">
        <v>-2</v>
      </c>
      <c r="I184">
        <v>0</v>
      </c>
      <c r="K184" s="1"/>
      <c r="L184" s="1"/>
      <c r="M184" s="1"/>
      <c r="N184" s="1"/>
      <c r="O184" s="1"/>
      <c r="P184" s="1"/>
      <c r="Q184" s="1"/>
      <c r="R184" s="1"/>
      <c r="S184" s="1"/>
    </row>
    <row r="185" spans="1:19" x14ac:dyDescent="0.25">
      <c r="A185" s="1">
        <v>225</v>
      </c>
      <c r="B185" s="1">
        <v>779</v>
      </c>
      <c r="C185" s="1">
        <v>2947</v>
      </c>
      <c r="D185" s="1">
        <v>12</v>
      </c>
      <c r="E185" s="1">
        <v>-1.8</v>
      </c>
      <c r="F185" s="1">
        <v>-0.5</v>
      </c>
      <c r="G185">
        <v>-11</v>
      </c>
      <c r="H185">
        <v>-2</v>
      </c>
      <c r="I185">
        <v>0</v>
      </c>
      <c r="K185" s="1"/>
      <c r="L185" s="1"/>
      <c r="M185" s="1"/>
      <c r="N185" s="1"/>
      <c r="O185" s="1"/>
      <c r="P185" s="1"/>
      <c r="Q185" s="1"/>
      <c r="R185" s="1"/>
      <c r="S185" s="1"/>
    </row>
    <row r="186" spans="1:19" x14ac:dyDescent="0.25">
      <c r="A186" s="1">
        <v>250</v>
      </c>
      <c r="B186" s="1">
        <v>760</v>
      </c>
      <c r="C186" s="1">
        <v>2807</v>
      </c>
      <c r="D186" s="1">
        <v>9.1999999999999993</v>
      </c>
      <c r="E186" s="1">
        <v>-1.3</v>
      </c>
      <c r="F186" s="1">
        <v>-0.4</v>
      </c>
      <c r="G186">
        <v>-14</v>
      </c>
      <c r="H186">
        <v>-2</v>
      </c>
      <c r="I186">
        <v>-1</v>
      </c>
      <c r="K186" s="1"/>
      <c r="L186" s="1"/>
      <c r="M186" s="1"/>
      <c r="N186" s="1"/>
      <c r="O186" s="1"/>
      <c r="P186" s="1"/>
      <c r="Q186" s="1"/>
      <c r="R186" s="1"/>
      <c r="S186" s="1"/>
    </row>
    <row r="187" spans="1:19" x14ac:dyDescent="0.25">
      <c r="A187" s="1">
        <v>275</v>
      </c>
      <c r="B187" s="1">
        <v>741</v>
      </c>
      <c r="C187" s="1">
        <v>2672</v>
      </c>
      <c r="D187" s="1">
        <v>5.2</v>
      </c>
      <c r="E187" s="1">
        <v>-0.6</v>
      </c>
      <c r="F187" s="1">
        <v>-0.2</v>
      </c>
      <c r="G187">
        <v>-16</v>
      </c>
      <c r="H187">
        <v>-2</v>
      </c>
      <c r="I187">
        <v>-1</v>
      </c>
      <c r="K187" s="1"/>
      <c r="L187" s="1"/>
      <c r="M187" s="1"/>
      <c r="N187" s="1"/>
      <c r="O187" s="1"/>
      <c r="P187" s="1"/>
      <c r="Q187" s="1"/>
      <c r="R187" s="1"/>
      <c r="S187" s="1"/>
    </row>
    <row r="188" spans="1:19" x14ac:dyDescent="0.25">
      <c r="A188" s="10">
        <v>300</v>
      </c>
      <c r="B188" s="10">
        <v>723</v>
      </c>
      <c r="C188" s="10">
        <v>2543</v>
      </c>
      <c r="D188" s="10">
        <v>0.1</v>
      </c>
      <c r="E188" s="10">
        <v>0</v>
      </c>
      <c r="F188" s="10">
        <v>0</v>
      </c>
      <c r="G188">
        <v>-20</v>
      </c>
      <c r="H188">
        <v>-2</v>
      </c>
      <c r="I188">
        <v>-1</v>
      </c>
      <c r="K188" s="1"/>
      <c r="L188" s="1"/>
      <c r="M188" s="1"/>
      <c r="N188" s="1"/>
      <c r="O188" s="1"/>
      <c r="P188" s="1"/>
      <c r="Q188" s="1"/>
      <c r="R188" s="1"/>
      <c r="S188" s="1"/>
    </row>
    <row r="189" spans="1:19" x14ac:dyDescent="0.25">
      <c r="A189" s="1">
        <v>325</v>
      </c>
      <c r="B189" s="1">
        <v>705</v>
      </c>
      <c r="C189" s="1">
        <v>2418</v>
      </c>
      <c r="D189" s="1">
        <v>-6.2</v>
      </c>
      <c r="E189" s="1">
        <v>0.7</v>
      </c>
      <c r="F189" s="1">
        <v>0.2</v>
      </c>
      <c r="G189">
        <v>-24</v>
      </c>
      <c r="H189">
        <v>-3</v>
      </c>
      <c r="I189">
        <v>-1</v>
      </c>
      <c r="K189" s="1"/>
      <c r="L189" s="1"/>
      <c r="M189" s="1"/>
      <c r="N189" s="1"/>
      <c r="O189" s="1"/>
      <c r="P189" s="1"/>
      <c r="Q189" s="1"/>
      <c r="R189" s="1"/>
      <c r="S189" s="1"/>
    </row>
    <row r="190" spans="1:19" x14ac:dyDescent="0.25">
      <c r="A190" s="1">
        <v>350</v>
      </c>
      <c r="B190" s="1">
        <v>688</v>
      </c>
      <c r="C190" s="1">
        <v>2298</v>
      </c>
      <c r="D190" s="1">
        <v>-14.1</v>
      </c>
      <c r="E190" s="1">
        <v>1.4</v>
      </c>
      <c r="F190" s="1">
        <v>0.4</v>
      </c>
      <c r="G190">
        <v>-28</v>
      </c>
      <c r="H190">
        <v>-3</v>
      </c>
      <c r="I190">
        <v>-1</v>
      </c>
      <c r="K190" s="1"/>
      <c r="L190" s="1"/>
      <c r="M190" s="1"/>
      <c r="N190" s="1"/>
      <c r="O190" s="1"/>
      <c r="P190" s="1"/>
      <c r="Q190" s="1"/>
      <c r="R190" s="1"/>
      <c r="S190" s="1"/>
    </row>
    <row r="191" spans="1:19" x14ac:dyDescent="0.25">
      <c r="A191" s="1">
        <v>375</v>
      </c>
      <c r="B191" s="1">
        <v>670</v>
      </c>
      <c r="C191" s="1">
        <v>2182</v>
      </c>
      <c r="D191" s="1">
        <v>-23.1</v>
      </c>
      <c r="E191" s="1">
        <v>2.1</v>
      </c>
      <c r="F191" s="1">
        <v>0.6</v>
      </c>
      <c r="G191">
        <v>-32</v>
      </c>
      <c r="H191">
        <v>-3</v>
      </c>
      <c r="I191">
        <v>-1</v>
      </c>
      <c r="K191" s="1"/>
      <c r="L191" s="1"/>
      <c r="M191" s="1"/>
      <c r="N191" s="1"/>
      <c r="O191" s="1"/>
      <c r="P191" s="1"/>
      <c r="Q191" s="1"/>
      <c r="R191" s="1"/>
      <c r="S191" s="1"/>
    </row>
    <row r="192" spans="1:19" x14ac:dyDescent="0.25">
      <c r="A192" s="1">
        <v>400</v>
      </c>
      <c r="B192" s="1">
        <v>653</v>
      </c>
      <c r="C192" s="1">
        <v>2071</v>
      </c>
      <c r="D192" s="1">
        <v>-33.5</v>
      </c>
      <c r="E192" s="1">
        <v>2.9</v>
      </c>
      <c r="F192" s="1">
        <v>0.8</v>
      </c>
      <c r="G192">
        <v>-37</v>
      </c>
      <c r="H192">
        <v>-4</v>
      </c>
      <c r="I192">
        <v>-1</v>
      </c>
      <c r="K192" s="1"/>
      <c r="L192" s="1"/>
      <c r="M192" s="1"/>
      <c r="N192" s="1"/>
      <c r="O192" s="1"/>
      <c r="P192" s="1"/>
      <c r="Q192" s="1"/>
      <c r="R192" s="1"/>
      <c r="S192" s="1"/>
    </row>
    <row r="193" spans="1:19" x14ac:dyDescent="0.25">
      <c r="A193" s="1">
        <v>425</v>
      </c>
      <c r="B193" s="1">
        <v>636</v>
      </c>
      <c r="C193" s="1">
        <v>1965</v>
      </c>
      <c r="D193" s="1">
        <v>-45.9</v>
      </c>
      <c r="E193" s="1">
        <v>3.7</v>
      </c>
      <c r="F193" s="1">
        <v>1.1000000000000001</v>
      </c>
      <c r="G193">
        <v>-42</v>
      </c>
      <c r="H193">
        <v>-4</v>
      </c>
      <c r="I193">
        <v>-1</v>
      </c>
      <c r="K193" s="1"/>
      <c r="L193" s="1"/>
      <c r="M193" s="1"/>
      <c r="N193" s="1"/>
      <c r="O193" s="1"/>
      <c r="P193" s="1"/>
      <c r="Q193" s="1"/>
      <c r="R193" s="1"/>
      <c r="S193" s="1"/>
    </row>
    <row r="194" spans="1:19" x14ac:dyDescent="0.25">
      <c r="A194" s="1">
        <v>450</v>
      </c>
      <c r="B194" s="1">
        <v>619</v>
      </c>
      <c r="C194" s="1">
        <v>1863</v>
      </c>
      <c r="D194" s="1">
        <v>-59.5</v>
      </c>
      <c r="E194" s="1">
        <v>4.5</v>
      </c>
      <c r="F194" s="1">
        <v>1.3</v>
      </c>
      <c r="G194">
        <v>-48</v>
      </c>
      <c r="H194">
        <v>-4</v>
      </c>
      <c r="I194">
        <v>-1</v>
      </c>
      <c r="K194" s="1"/>
      <c r="L194" s="1"/>
      <c r="M194" s="1"/>
      <c r="N194" s="1"/>
      <c r="O194" s="1"/>
      <c r="P194" s="1"/>
      <c r="Q194" s="1"/>
      <c r="R194" s="1"/>
      <c r="S194" s="1"/>
    </row>
    <row r="195" spans="1:19" x14ac:dyDescent="0.25">
      <c r="A195" s="1">
        <v>475</v>
      </c>
      <c r="B195" s="1">
        <v>603</v>
      </c>
      <c r="C195" s="1">
        <v>1765</v>
      </c>
      <c r="D195" s="1">
        <v>-74.8</v>
      </c>
      <c r="E195" s="1">
        <v>5.4</v>
      </c>
      <c r="F195" s="1">
        <v>1.6</v>
      </c>
      <c r="G195">
        <v>-54</v>
      </c>
      <c r="H195">
        <v>-4</v>
      </c>
      <c r="I195">
        <v>-1</v>
      </c>
      <c r="K195" s="1"/>
      <c r="L195" s="1"/>
      <c r="M195" s="1"/>
      <c r="N195" s="1"/>
      <c r="O195" s="1"/>
      <c r="P195" s="1"/>
      <c r="Q195" s="1"/>
      <c r="R195" s="1"/>
      <c r="S195" s="1"/>
    </row>
    <row r="196" spans="1:19" x14ac:dyDescent="0.25">
      <c r="A196" s="1">
        <v>500</v>
      </c>
      <c r="B196" s="1">
        <v>587</v>
      </c>
      <c r="C196" s="1">
        <v>1676</v>
      </c>
      <c r="D196" s="1">
        <v>-91.9</v>
      </c>
      <c r="E196" s="1">
        <v>6.3</v>
      </c>
      <c r="F196" s="1">
        <v>1.8</v>
      </c>
      <c r="G196">
        <v>-60</v>
      </c>
      <c r="H196">
        <v>-4</v>
      </c>
      <c r="I196">
        <v>-1</v>
      </c>
      <c r="K196" s="1"/>
      <c r="L196" s="1"/>
      <c r="M196" s="1"/>
      <c r="N196" s="1"/>
      <c r="O196" s="1"/>
      <c r="P196" s="1"/>
      <c r="Q196" s="1"/>
      <c r="R196" s="1"/>
      <c r="S196" s="1"/>
    </row>
    <row r="198" spans="1:19" x14ac:dyDescent="0.25">
      <c r="A198" t="s">
        <v>81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39</v>
      </c>
      <c r="H199" t="s">
        <v>40</v>
      </c>
      <c r="I199" t="s">
        <v>41</v>
      </c>
    </row>
    <row r="200" spans="1:19" x14ac:dyDescent="0.25">
      <c r="A200" s="1">
        <v>0</v>
      </c>
      <c r="B200" s="1">
        <v>960</v>
      </c>
      <c r="C200" s="1">
        <v>4482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/>
      <c r="L200" s="1"/>
      <c r="M200" s="1"/>
      <c r="N200" s="1"/>
      <c r="O200" s="1"/>
      <c r="P200" s="1"/>
      <c r="Q200" s="1"/>
      <c r="R200" s="1"/>
      <c r="S200" s="1"/>
    </row>
    <row r="201" spans="1:19" x14ac:dyDescent="0.25">
      <c r="A201" s="1">
        <v>25</v>
      </c>
      <c r="B201" s="1">
        <v>939</v>
      </c>
      <c r="C201" s="1">
        <v>4282</v>
      </c>
      <c r="D201" s="1">
        <v>3.2</v>
      </c>
      <c r="E201" s="1">
        <v>-4.4000000000000004</v>
      </c>
      <c r="F201" s="1">
        <v>-1.3</v>
      </c>
      <c r="G201">
        <v>0</v>
      </c>
      <c r="H201">
        <v>0</v>
      </c>
      <c r="I201">
        <v>0</v>
      </c>
      <c r="K201" s="1"/>
      <c r="L201" s="1"/>
      <c r="M201" s="1"/>
      <c r="N201" s="1"/>
      <c r="O201" s="1"/>
      <c r="P201" s="1"/>
      <c r="Q201" s="1"/>
      <c r="R201" s="1"/>
      <c r="S201" s="1"/>
    </row>
    <row r="202" spans="1:19" x14ac:dyDescent="0.25">
      <c r="A202" s="1">
        <v>50</v>
      </c>
      <c r="B202" s="1">
        <v>918</v>
      </c>
      <c r="C202" s="1">
        <v>4092</v>
      </c>
      <c r="D202" s="1">
        <v>9.6999999999999993</v>
      </c>
      <c r="E202" s="1">
        <v>-6.6</v>
      </c>
      <c r="F202" s="1">
        <v>-1.9</v>
      </c>
      <c r="G202">
        <v>-1</v>
      </c>
      <c r="H202">
        <v>0</v>
      </c>
      <c r="I202">
        <v>0</v>
      </c>
      <c r="K202" s="1"/>
      <c r="L202" s="1"/>
      <c r="M202" s="1"/>
      <c r="N202" s="1"/>
      <c r="O202" s="1"/>
      <c r="P202" s="1"/>
      <c r="Q202" s="1"/>
      <c r="R202" s="1"/>
      <c r="S202" s="1"/>
    </row>
    <row r="203" spans="1:19" x14ac:dyDescent="0.25">
      <c r="A203" s="1">
        <v>75</v>
      </c>
      <c r="B203" s="1">
        <v>897</v>
      </c>
      <c r="C203" s="1">
        <v>3909</v>
      </c>
      <c r="D203" s="1">
        <v>15.2</v>
      </c>
      <c r="E203" s="1">
        <v>-6.9</v>
      </c>
      <c r="F203" s="1">
        <v>-2</v>
      </c>
      <c r="G203">
        <v>-1</v>
      </c>
      <c r="H203">
        <v>-1</v>
      </c>
      <c r="I203">
        <v>0</v>
      </c>
      <c r="K203" s="1"/>
      <c r="L203" s="1"/>
      <c r="M203" s="1"/>
      <c r="N203" s="1"/>
      <c r="O203" s="1"/>
      <c r="P203" s="1"/>
      <c r="Q203" s="1"/>
      <c r="R203" s="1"/>
      <c r="S203" s="1"/>
    </row>
    <row r="204" spans="1:19" x14ac:dyDescent="0.25">
      <c r="A204" s="1">
        <v>100</v>
      </c>
      <c r="B204" s="1">
        <v>876</v>
      </c>
      <c r="C204" s="1">
        <v>3733</v>
      </c>
      <c r="D204" s="1">
        <v>19.899999999999999</v>
      </c>
      <c r="E204" s="1">
        <v>-6.9</v>
      </c>
      <c r="F204" s="1">
        <v>-2</v>
      </c>
      <c r="G204">
        <v>-2</v>
      </c>
      <c r="H204">
        <v>-1</v>
      </c>
      <c r="I204">
        <v>0</v>
      </c>
      <c r="K204" s="1"/>
      <c r="L204" s="1"/>
      <c r="M204" s="1"/>
      <c r="N204" s="1"/>
      <c r="O204" s="1"/>
      <c r="P204" s="1"/>
      <c r="Q204" s="1"/>
      <c r="R204" s="1"/>
      <c r="S204" s="1"/>
    </row>
    <row r="205" spans="1:19" x14ac:dyDescent="0.25">
      <c r="A205" s="1">
        <v>125</v>
      </c>
      <c r="B205" s="1">
        <v>856</v>
      </c>
      <c r="C205" s="1">
        <v>3563</v>
      </c>
      <c r="D205" s="1">
        <v>24</v>
      </c>
      <c r="E205" s="1">
        <v>-6.6</v>
      </c>
      <c r="F205" s="1">
        <v>-1.9</v>
      </c>
      <c r="G205">
        <v>-3</v>
      </c>
      <c r="H205">
        <v>-1</v>
      </c>
      <c r="I205">
        <v>0</v>
      </c>
      <c r="K205" s="1"/>
      <c r="L205" s="1"/>
      <c r="M205" s="1"/>
      <c r="N205" s="1"/>
      <c r="O205" s="1"/>
      <c r="P205" s="1"/>
      <c r="Q205" s="1"/>
      <c r="R205" s="1"/>
      <c r="S205" s="1"/>
    </row>
    <row r="206" spans="1:19" x14ac:dyDescent="0.25">
      <c r="A206" s="1">
        <v>150</v>
      </c>
      <c r="B206" s="1">
        <v>836</v>
      </c>
      <c r="C206" s="1">
        <v>3400</v>
      </c>
      <c r="D206" s="1">
        <v>27.2</v>
      </c>
      <c r="E206" s="1">
        <v>-6.2</v>
      </c>
      <c r="F206" s="1">
        <v>-1.8</v>
      </c>
      <c r="G206">
        <v>-5</v>
      </c>
      <c r="H206">
        <v>-1</v>
      </c>
      <c r="I206">
        <v>0</v>
      </c>
      <c r="K206" s="1"/>
      <c r="L206" s="1"/>
      <c r="M206" s="1"/>
      <c r="N206" s="1"/>
      <c r="O206" s="1"/>
      <c r="P206" s="1"/>
      <c r="Q206" s="1"/>
      <c r="R206" s="1"/>
      <c r="S206" s="1"/>
    </row>
    <row r="207" spans="1:19" x14ac:dyDescent="0.25">
      <c r="A207" s="1">
        <v>175</v>
      </c>
      <c r="B207" s="1">
        <v>817</v>
      </c>
      <c r="C207" s="1">
        <v>3244</v>
      </c>
      <c r="D207" s="1">
        <v>29.4</v>
      </c>
      <c r="E207" s="1">
        <v>-5.8</v>
      </c>
      <c r="F207" s="1">
        <v>-1.7</v>
      </c>
      <c r="G207">
        <v>-6</v>
      </c>
      <c r="H207">
        <v>-1</v>
      </c>
      <c r="I207">
        <v>0</v>
      </c>
      <c r="K207" s="1"/>
      <c r="L207" s="1"/>
      <c r="M207" s="1"/>
      <c r="N207" s="1"/>
      <c r="O207" s="1"/>
      <c r="P207" s="1"/>
      <c r="Q207" s="1"/>
      <c r="R207" s="1"/>
      <c r="S207" s="1"/>
    </row>
    <row r="208" spans="1:19" x14ac:dyDescent="0.25">
      <c r="A208" s="1">
        <v>200</v>
      </c>
      <c r="B208" s="1">
        <v>798</v>
      </c>
      <c r="C208" s="1">
        <v>3093</v>
      </c>
      <c r="D208" s="1">
        <v>30.7</v>
      </c>
      <c r="E208" s="1">
        <v>-5.3</v>
      </c>
      <c r="F208" s="1">
        <v>-1.5</v>
      </c>
      <c r="G208">
        <v>-8</v>
      </c>
      <c r="H208">
        <v>-2</v>
      </c>
      <c r="I208">
        <v>0</v>
      </c>
      <c r="K208" s="1"/>
      <c r="L208" s="1"/>
      <c r="M208" s="1"/>
      <c r="N208" s="1"/>
      <c r="O208" s="1"/>
      <c r="P208" s="1"/>
      <c r="Q208" s="1"/>
      <c r="R208" s="1"/>
      <c r="S208" s="1"/>
    </row>
    <row r="209" spans="1:19" x14ac:dyDescent="0.25">
      <c r="A209" s="1">
        <v>225</v>
      </c>
      <c r="B209" s="1">
        <v>779</v>
      </c>
      <c r="C209" s="1">
        <v>2947</v>
      </c>
      <c r="D209" s="1">
        <v>31</v>
      </c>
      <c r="E209" s="1">
        <v>-4.7</v>
      </c>
      <c r="F209" s="1">
        <v>-1.4</v>
      </c>
      <c r="G209">
        <v>-11</v>
      </c>
      <c r="H209">
        <v>-2</v>
      </c>
      <c r="I209">
        <v>0</v>
      </c>
      <c r="K209" s="1"/>
      <c r="L209" s="1"/>
      <c r="M209" s="1"/>
      <c r="N209" s="1"/>
      <c r="O209" s="1"/>
      <c r="P209" s="1"/>
      <c r="Q209" s="1"/>
      <c r="R209" s="1"/>
      <c r="S209" s="1"/>
    </row>
    <row r="210" spans="1:19" x14ac:dyDescent="0.25">
      <c r="A210" s="1">
        <v>250</v>
      </c>
      <c r="B210" s="1">
        <v>760</v>
      </c>
      <c r="C210" s="1">
        <v>2807</v>
      </c>
      <c r="D210" s="1">
        <v>30.3</v>
      </c>
      <c r="E210" s="1">
        <v>-4.2</v>
      </c>
      <c r="F210" s="1">
        <v>-1.2</v>
      </c>
      <c r="G210">
        <v>-14</v>
      </c>
      <c r="H210">
        <v>-2</v>
      </c>
      <c r="I210">
        <v>-1</v>
      </c>
      <c r="K210" s="1"/>
      <c r="L210" s="1"/>
      <c r="M210" s="1"/>
      <c r="N210" s="1"/>
      <c r="O210" s="1"/>
      <c r="P210" s="1"/>
      <c r="Q210" s="1"/>
      <c r="R210" s="1"/>
      <c r="S210" s="1"/>
    </row>
    <row r="211" spans="1:19" x14ac:dyDescent="0.25">
      <c r="A211" s="1">
        <v>275</v>
      </c>
      <c r="B211" s="1">
        <v>741</v>
      </c>
      <c r="C211" s="1">
        <v>2672</v>
      </c>
      <c r="D211" s="1">
        <v>28.4</v>
      </c>
      <c r="E211" s="1">
        <v>-3.5</v>
      </c>
      <c r="F211" s="1">
        <v>-1</v>
      </c>
      <c r="G211">
        <v>-16</v>
      </c>
      <c r="H211">
        <v>-2</v>
      </c>
      <c r="I211">
        <v>-1</v>
      </c>
      <c r="K211" s="1"/>
      <c r="L211" s="1"/>
      <c r="M211" s="1"/>
      <c r="N211" s="1"/>
      <c r="O211" s="1"/>
      <c r="P211" s="1"/>
      <c r="Q211" s="1"/>
      <c r="R211" s="1"/>
      <c r="S211" s="1"/>
    </row>
    <row r="212" spans="1:19" x14ac:dyDescent="0.25">
      <c r="A212" s="1">
        <v>300</v>
      </c>
      <c r="B212" s="1">
        <v>723</v>
      </c>
      <c r="C212" s="1">
        <v>2542</v>
      </c>
      <c r="D212" s="1">
        <v>25.4</v>
      </c>
      <c r="E212" s="1">
        <v>-2.9</v>
      </c>
      <c r="F212" s="1">
        <v>-0.8</v>
      </c>
      <c r="G212">
        <v>-20</v>
      </c>
      <c r="H212">
        <v>-2</v>
      </c>
      <c r="I212">
        <v>-1</v>
      </c>
      <c r="K212" s="1"/>
      <c r="L212" s="1"/>
      <c r="M212" s="1"/>
      <c r="N212" s="1"/>
      <c r="O212" s="1"/>
      <c r="P212" s="1"/>
      <c r="Q212" s="1"/>
      <c r="R212" s="1"/>
      <c r="S212" s="1"/>
    </row>
    <row r="213" spans="1:19" x14ac:dyDescent="0.25">
      <c r="A213" s="1">
        <v>325</v>
      </c>
      <c r="B213" s="1">
        <v>705</v>
      </c>
      <c r="C213" s="1">
        <v>2418</v>
      </c>
      <c r="D213" s="1">
        <v>21.2</v>
      </c>
      <c r="E213" s="1">
        <v>-2.2000000000000002</v>
      </c>
      <c r="F213" s="1">
        <v>-0.7</v>
      </c>
      <c r="G213">
        <v>-24</v>
      </c>
      <c r="H213">
        <v>-3</v>
      </c>
      <c r="I213">
        <v>-1</v>
      </c>
      <c r="K213" s="1"/>
      <c r="L213" s="1"/>
      <c r="M213" s="1"/>
      <c r="N213" s="1"/>
      <c r="O213" s="1"/>
      <c r="P213" s="1"/>
      <c r="Q213" s="1"/>
      <c r="R213" s="1"/>
      <c r="S213" s="1"/>
    </row>
    <row r="214" spans="1:19" x14ac:dyDescent="0.25">
      <c r="A214" s="1">
        <v>350</v>
      </c>
      <c r="B214" s="1">
        <v>688</v>
      </c>
      <c r="C214" s="1">
        <v>2298</v>
      </c>
      <c r="D214" s="1">
        <v>15.4</v>
      </c>
      <c r="E214" s="1">
        <v>-1.5</v>
      </c>
      <c r="F214" s="1">
        <v>-0.4</v>
      </c>
      <c r="G214">
        <v>-28</v>
      </c>
      <c r="H214">
        <v>-3</v>
      </c>
      <c r="I214">
        <v>-1</v>
      </c>
      <c r="K214" s="1"/>
      <c r="L214" s="1"/>
      <c r="M214" s="1"/>
      <c r="N214" s="1"/>
      <c r="O214" s="1"/>
      <c r="P214" s="1"/>
      <c r="Q214" s="1"/>
      <c r="R214" s="1"/>
      <c r="S214" s="1"/>
    </row>
    <row r="215" spans="1:19" x14ac:dyDescent="0.25">
      <c r="A215" s="1">
        <v>375</v>
      </c>
      <c r="B215" s="1">
        <v>670</v>
      </c>
      <c r="C215" s="1">
        <v>2182</v>
      </c>
      <c r="D215" s="1">
        <v>8.5</v>
      </c>
      <c r="E215" s="1">
        <v>-0.8</v>
      </c>
      <c r="F215" s="1">
        <v>-0.2</v>
      </c>
      <c r="G215">
        <v>-32</v>
      </c>
      <c r="H215">
        <v>-3</v>
      </c>
      <c r="I215">
        <v>-1</v>
      </c>
      <c r="K215" s="1"/>
      <c r="L215" s="1"/>
      <c r="M215" s="1"/>
      <c r="N215" s="1"/>
      <c r="O215" s="1"/>
      <c r="P215" s="1"/>
      <c r="Q215" s="1"/>
      <c r="R215" s="1"/>
      <c r="S215" s="1"/>
    </row>
    <row r="216" spans="1:19" x14ac:dyDescent="0.25">
      <c r="A216" s="10">
        <v>400</v>
      </c>
      <c r="B216" s="10">
        <v>653</v>
      </c>
      <c r="C216" s="10">
        <v>2071</v>
      </c>
      <c r="D216" s="10">
        <v>0.2</v>
      </c>
      <c r="E216" s="10">
        <v>0</v>
      </c>
      <c r="F216" s="10">
        <v>0</v>
      </c>
      <c r="G216">
        <v>-37</v>
      </c>
      <c r="H216">
        <v>-4</v>
      </c>
      <c r="I216">
        <v>-1</v>
      </c>
      <c r="K216" s="1"/>
      <c r="L216" s="1"/>
      <c r="M216" s="1"/>
      <c r="N216" s="1"/>
      <c r="O216" s="1"/>
      <c r="P216" s="1"/>
      <c r="Q216" s="1"/>
      <c r="R216" s="1"/>
      <c r="S216" s="1"/>
    </row>
    <row r="217" spans="1:19" x14ac:dyDescent="0.25">
      <c r="A217" s="1">
        <v>425</v>
      </c>
      <c r="B217" s="1">
        <v>636</v>
      </c>
      <c r="C217" s="1">
        <v>1965</v>
      </c>
      <c r="D217" s="1">
        <v>-10</v>
      </c>
      <c r="E217" s="1">
        <v>0.8</v>
      </c>
      <c r="F217" s="1">
        <v>0.2</v>
      </c>
      <c r="G217">
        <v>-42</v>
      </c>
      <c r="H217">
        <v>-4</v>
      </c>
      <c r="I217">
        <v>-1</v>
      </c>
      <c r="K217" s="1"/>
      <c r="L217" s="1"/>
      <c r="M217" s="1"/>
      <c r="N217" s="1"/>
      <c r="O217" s="1"/>
      <c r="P217" s="1"/>
      <c r="Q217" s="1"/>
      <c r="R217" s="1"/>
      <c r="S217" s="1"/>
    </row>
    <row r="218" spans="1:19" x14ac:dyDescent="0.25">
      <c r="A218" s="1">
        <v>450</v>
      </c>
      <c r="B218" s="1">
        <v>619</v>
      </c>
      <c r="C218" s="1">
        <v>1863</v>
      </c>
      <c r="D218" s="1">
        <v>-21.6</v>
      </c>
      <c r="E218" s="1">
        <v>1.6</v>
      </c>
      <c r="F218" s="1">
        <v>0.5</v>
      </c>
      <c r="G218">
        <v>-48</v>
      </c>
      <c r="H218">
        <v>-4</v>
      </c>
      <c r="I218">
        <v>-1</v>
      </c>
      <c r="K218" s="1"/>
      <c r="L218" s="1"/>
      <c r="M218" s="1"/>
      <c r="N218" s="1"/>
      <c r="O218" s="1"/>
      <c r="P218" s="1"/>
      <c r="Q218" s="1"/>
      <c r="R218" s="1"/>
      <c r="S218" s="1"/>
    </row>
    <row r="219" spans="1:19" x14ac:dyDescent="0.25">
      <c r="A219" s="1">
        <v>475</v>
      </c>
      <c r="B219" s="1">
        <v>603</v>
      </c>
      <c r="C219" s="1">
        <v>1765</v>
      </c>
      <c r="D219" s="1">
        <v>-34.799999999999997</v>
      </c>
      <c r="E219" s="1">
        <v>2.5</v>
      </c>
      <c r="F219" s="1">
        <v>0.7</v>
      </c>
      <c r="G219">
        <v>-54</v>
      </c>
      <c r="H219">
        <v>-4</v>
      </c>
      <c r="I219">
        <v>-1</v>
      </c>
      <c r="K219" s="1"/>
      <c r="L219" s="1"/>
      <c r="M219" s="1"/>
      <c r="N219" s="1"/>
      <c r="O219" s="1"/>
      <c r="P219" s="1"/>
      <c r="Q219" s="1"/>
      <c r="R219" s="1"/>
      <c r="S219" s="1"/>
    </row>
    <row r="220" spans="1:19" x14ac:dyDescent="0.25">
      <c r="A220" s="1">
        <v>500</v>
      </c>
      <c r="B220" s="1">
        <v>587</v>
      </c>
      <c r="C220" s="1">
        <v>1675</v>
      </c>
      <c r="D220" s="1">
        <v>-49.8</v>
      </c>
      <c r="E220" s="1">
        <v>3.4</v>
      </c>
      <c r="F220" s="1">
        <v>1</v>
      </c>
      <c r="G220">
        <v>-60</v>
      </c>
      <c r="H220">
        <v>-4</v>
      </c>
      <c r="I220">
        <v>-1</v>
      </c>
      <c r="K220" s="1"/>
      <c r="L220" s="1"/>
      <c r="M220" s="1"/>
      <c r="N220" s="1"/>
      <c r="O220" s="1"/>
      <c r="P220" s="1"/>
      <c r="Q220" s="1"/>
      <c r="R220" s="1"/>
      <c r="S220" s="1"/>
    </row>
    <row r="222" spans="1:19" x14ac:dyDescent="0.25">
      <c r="A222" t="s">
        <v>80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39</v>
      </c>
      <c r="H223" t="s">
        <v>40</v>
      </c>
      <c r="I223" t="s">
        <v>41</v>
      </c>
    </row>
    <row r="224" spans="1:19" x14ac:dyDescent="0.25">
      <c r="A224" s="1">
        <v>0</v>
      </c>
      <c r="B224" s="1">
        <v>960</v>
      </c>
      <c r="C224" s="1">
        <v>4482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/>
      <c r="L224" s="1"/>
      <c r="M224" s="1"/>
      <c r="N224" s="1"/>
      <c r="O224" s="1"/>
      <c r="P224" s="1"/>
      <c r="Q224" s="1"/>
      <c r="R224" s="1"/>
      <c r="S224" s="1"/>
    </row>
    <row r="225" spans="1:19" x14ac:dyDescent="0.25">
      <c r="A225" s="1">
        <v>25</v>
      </c>
      <c r="B225" s="1">
        <v>939</v>
      </c>
      <c r="C225" s="1">
        <v>4282</v>
      </c>
      <c r="D225" s="1">
        <v>5.7</v>
      </c>
      <c r="E225" s="1">
        <v>-7.9</v>
      </c>
      <c r="F225" s="1">
        <v>-2.2999999999999998</v>
      </c>
      <c r="G225" s="2">
        <v>0</v>
      </c>
      <c r="H225" s="2">
        <v>0</v>
      </c>
      <c r="I225" s="2">
        <v>0</v>
      </c>
      <c r="K225" s="1"/>
      <c r="L225" s="1"/>
      <c r="M225" s="1"/>
      <c r="N225" s="1"/>
      <c r="O225" s="1"/>
      <c r="P225" s="1"/>
      <c r="Q225" s="1"/>
      <c r="R225" s="1"/>
      <c r="S225" s="1"/>
    </row>
    <row r="226" spans="1:19" x14ac:dyDescent="0.25">
      <c r="A226" s="1">
        <v>50</v>
      </c>
      <c r="B226" s="1">
        <v>918</v>
      </c>
      <c r="C226" s="1">
        <v>4092</v>
      </c>
      <c r="D226" s="1">
        <v>14.7</v>
      </c>
      <c r="E226" s="1">
        <v>-10</v>
      </c>
      <c r="F226" s="1">
        <v>-2.9</v>
      </c>
      <c r="G226" s="2">
        <v>-1</v>
      </c>
      <c r="H226" s="2">
        <v>0</v>
      </c>
      <c r="I226" s="2">
        <v>0</v>
      </c>
      <c r="K226" s="1"/>
      <c r="L226" s="1"/>
      <c r="M226" s="1"/>
      <c r="N226" s="1"/>
      <c r="O226" s="1"/>
      <c r="P226" s="1"/>
      <c r="Q226" s="1"/>
      <c r="R226" s="1"/>
      <c r="S226" s="1"/>
    </row>
    <row r="227" spans="1:19" x14ac:dyDescent="0.25">
      <c r="A227" s="1">
        <v>75</v>
      </c>
      <c r="B227" s="1">
        <v>897</v>
      </c>
      <c r="C227" s="1">
        <v>3909</v>
      </c>
      <c r="D227" s="1">
        <v>22.7</v>
      </c>
      <c r="E227" s="1">
        <v>-10.4</v>
      </c>
      <c r="F227" s="1">
        <v>-3</v>
      </c>
      <c r="G227" s="2">
        <v>-1</v>
      </c>
      <c r="H227" s="2">
        <v>-1</v>
      </c>
      <c r="I227" s="2">
        <v>0</v>
      </c>
      <c r="K227" s="1"/>
      <c r="L227" s="1"/>
      <c r="M227" s="1"/>
      <c r="N227" s="1"/>
      <c r="O227" s="1"/>
      <c r="P227" s="1"/>
      <c r="Q227" s="1"/>
      <c r="R227" s="1"/>
      <c r="S227" s="1"/>
    </row>
    <row r="228" spans="1:19" x14ac:dyDescent="0.25">
      <c r="A228" s="1">
        <v>100</v>
      </c>
      <c r="B228" s="1">
        <v>876</v>
      </c>
      <c r="C228" s="1">
        <v>3733</v>
      </c>
      <c r="D228" s="1">
        <v>30</v>
      </c>
      <c r="E228" s="1">
        <v>-10.3</v>
      </c>
      <c r="F228" s="1">
        <v>-3</v>
      </c>
      <c r="G228" s="2">
        <v>-2</v>
      </c>
      <c r="H228" s="2">
        <v>-1</v>
      </c>
      <c r="I228" s="2">
        <v>0</v>
      </c>
      <c r="K228" s="1"/>
      <c r="L228" s="1"/>
      <c r="M228" s="1"/>
      <c r="N228" s="1"/>
      <c r="O228" s="1"/>
      <c r="P228" s="1"/>
      <c r="Q228" s="1"/>
      <c r="R228" s="1"/>
      <c r="S228" s="1"/>
    </row>
    <row r="229" spans="1:19" x14ac:dyDescent="0.25">
      <c r="A229" s="1">
        <v>125</v>
      </c>
      <c r="B229" s="1">
        <v>856</v>
      </c>
      <c r="C229" s="1">
        <v>3563</v>
      </c>
      <c r="D229" s="1">
        <v>36.700000000000003</v>
      </c>
      <c r="E229" s="1">
        <v>-10.1</v>
      </c>
      <c r="F229" s="1">
        <v>-2.9</v>
      </c>
      <c r="G229" s="2">
        <v>-3</v>
      </c>
      <c r="H229" s="2">
        <v>-1</v>
      </c>
      <c r="I229" s="2">
        <v>0</v>
      </c>
      <c r="K229" s="1"/>
      <c r="L229" s="1"/>
      <c r="M229" s="1"/>
      <c r="N229" s="1"/>
      <c r="O229" s="1"/>
      <c r="P229" s="1"/>
      <c r="Q229" s="1"/>
      <c r="R229" s="1"/>
      <c r="S229" s="1"/>
    </row>
    <row r="230" spans="1:19" x14ac:dyDescent="0.25">
      <c r="A230" s="1">
        <v>150</v>
      </c>
      <c r="B230" s="1">
        <v>836</v>
      </c>
      <c r="C230" s="1">
        <v>3400</v>
      </c>
      <c r="D230" s="1">
        <v>42.3</v>
      </c>
      <c r="E230" s="1">
        <v>-9.6999999999999993</v>
      </c>
      <c r="F230" s="1">
        <v>-2.8</v>
      </c>
      <c r="G230" s="2">
        <v>-5</v>
      </c>
      <c r="H230" s="2">
        <v>-1</v>
      </c>
      <c r="I230" s="2">
        <v>0</v>
      </c>
      <c r="K230" s="1"/>
      <c r="L230" s="1"/>
      <c r="M230" s="1"/>
      <c r="N230" s="1"/>
      <c r="O230" s="1"/>
      <c r="P230" s="1"/>
      <c r="Q230" s="1"/>
      <c r="R230" s="1"/>
      <c r="S230" s="1"/>
    </row>
    <row r="231" spans="1:19" x14ac:dyDescent="0.25">
      <c r="A231" s="1">
        <v>175</v>
      </c>
      <c r="B231" s="1">
        <v>817</v>
      </c>
      <c r="C231" s="1">
        <v>3244</v>
      </c>
      <c r="D231" s="1">
        <v>47</v>
      </c>
      <c r="E231" s="1">
        <v>-9.1999999999999993</v>
      </c>
      <c r="F231" s="1">
        <v>-2.7</v>
      </c>
      <c r="G231" s="2">
        <v>-6</v>
      </c>
      <c r="H231" s="2">
        <v>-1</v>
      </c>
      <c r="I231" s="2">
        <v>0</v>
      </c>
      <c r="K231" s="1"/>
      <c r="L231" s="1"/>
      <c r="M231" s="1"/>
      <c r="N231" s="1"/>
      <c r="O231" s="1"/>
      <c r="P231" s="1"/>
      <c r="Q231" s="1"/>
      <c r="R231" s="1"/>
      <c r="S231" s="1"/>
    </row>
    <row r="232" spans="1:19" x14ac:dyDescent="0.25">
      <c r="A232" s="1">
        <v>200</v>
      </c>
      <c r="B232" s="1">
        <v>798</v>
      </c>
      <c r="C232" s="1">
        <v>3092</v>
      </c>
      <c r="D232" s="1">
        <v>50.9</v>
      </c>
      <c r="E232" s="1">
        <v>-8.6999999999999993</v>
      </c>
      <c r="F232" s="1">
        <v>-2.5</v>
      </c>
      <c r="G232" s="2">
        <v>-8</v>
      </c>
      <c r="H232" s="2">
        <v>-2</v>
      </c>
      <c r="I232" s="2">
        <v>0</v>
      </c>
      <c r="K232" s="1"/>
      <c r="L232" s="1"/>
      <c r="M232" s="1"/>
      <c r="N232" s="1"/>
      <c r="O232" s="1"/>
      <c r="P232" s="1"/>
      <c r="Q232" s="1"/>
      <c r="R232" s="1"/>
      <c r="S232" s="1"/>
    </row>
    <row r="233" spans="1:19" x14ac:dyDescent="0.25">
      <c r="A233" s="1">
        <v>225</v>
      </c>
      <c r="B233" s="1">
        <v>779</v>
      </c>
      <c r="C233" s="1">
        <v>2947</v>
      </c>
      <c r="D233" s="1">
        <v>53.7</v>
      </c>
      <c r="E233" s="1">
        <v>-8.1999999999999993</v>
      </c>
      <c r="F233" s="1">
        <v>-2.4</v>
      </c>
      <c r="G233" s="2">
        <v>-11</v>
      </c>
      <c r="H233" s="2">
        <v>-2</v>
      </c>
      <c r="I233" s="2">
        <v>0</v>
      </c>
      <c r="K233" s="1"/>
      <c r="L233" s="1"/>
      <c r="M233" s="1"/>
      <c r="N233" s="1"/>
      <c r="O233" s="1"/>
      <c r="P233" s="1"/>
      <c r="Q233" s="1"/>
      <c r="R233" s="1"/>
      <c r="S233" s="1"/>
    </row>
    <row r="234" spans="1:19" x14ac:dyDescent="0.25">
      <c r="A234" s="1">
        <v>250</v>
      </c>
      <c r="B234" s="1">
        <v>760</v>
      </c>
      <c r="C234" s="1">
        <v>2807</v>
      </c>
      <c r="D234" s="1">
        <v>55.4</v>
      </c>
      <c r="E234" s="1">
        <v>-7.6</v>
      </c>
      <c r="F234" s="1">
        <v>-2.2000000000000002</v>
      </c>
      <c r="G234" s="2">
        <v>-14</v>
      </c>
      <c r="H234" s="2">
        <v>-2</v>
      </c>
      <c r="I234" s="2">
        <v>-1</v>
      </c>
      <c r="K234" s="1"/>
      <c r="L234" s="1"/>
      <c r="M234" s="1"/>
      <c r="N234" s="1"/>
      <c r="O234" s="1"/>
      <c r="P234" s="1"/>
      <c r="Q234" s="1"/>
      <c r="R234" s="1"/>
      <c r="S234" s="1"/>
    </row>
    <row r="235" spans="1:19" x14ac:dyDescent="0.25">
      <c r="A235" s="1">
        <v>275</v>
      </c>
      <c r="B235" s="1">
        <v>741</v>
      </c>
      <c r="C235" s="1">
        <v>2672</v>
      </c>
      <c r="D235" s="1">
        <v>56.1</v>
      </c>
      <c r="E235" s="1">
        <v>-7</v>
      </c>
      <c r="F235" s="1">
        <v>-2</v>
      </c>
      <c r="G235" s="2">
        <v>-16</v>
      </c>
      <c r="H235" s="2">
        <v>-2</v>
      </c>
      <c r="I235" s="2">
        <v>-1</v>
      </c>
      <c r="K235" s="1"/>
      <c r="L235" s="1"/>
      <c r="M235" s="1"/>
      <c r="N235" s="1"/>
      <c r="O235" s="1"/>
      <c r="P235" s="1"/>
      <c r="Q235" s="1"/>
      <c r="R235" s="1"/>
      <c r="S235" s="1"/>
    </row>
    <row r="236" spans="1:19" x14ac:dyDescent="0.25">
      <c r="A236" s="1">
        <v>300</v>
      </c>
      <c r="B236" s="1">
        <v>723</v>
      </c>
      <c r="C236" s="1">
        <v>2542</v>
      </c>
      <c r="D236" s="1">
        <v>55.6</v>
      </c>
      <c r="E236" s="1">
        <v>-6.4</v>
      </c>
      <c r="F236" s="1">
        <v>-1.9</v>
      </c>
      <c r="G236" s="2">
        <v>-20</v>
      </c>
      <c r="H236" s="2">
        <v>-2</v>
      </c>
      <c r="I236" s="2">
        <v>-1</v>
      </c>
      <c r="K236" s="1"/>
      <c r="L236" s="1"/>
      <c r="M236" s="1"/>
      <c r="N236" s="1"/>
      <c r="O236" s="1"/>
      <c r="P236" s="1"/>
      <c r="Q236" s="1"/>
      <c r="R236" s="1"/>
      <c r="S236" s="1"/>
    </row>
    <row r="237" spans="1:19" x14ac:dyDescent="0.25">
      <c r="A237" s="1">
        <v>325</v>
      </c>
      <c r="B237" s="1">
        <v>705</v>
      </c>
      <c r="C237" s="1">
        <v>2418</v>
      </c>
      <c r="D237" s="1">
        <v>53.8</v>
      </c>
      <c r="E237" s="1">
        <v>-5.7</v>
      </c>
      <c r="F237" s="1">
        <v>-1.7</v>
      </c>
      <c r="G237" s="2">
        <v>-24</v>
      </c>
      <c r="H237" s="2">
        <v>-3</v>
      </c>
      <c r="I237" s="2">
        <v>-1</v>
      </c>
      <c r="K237" s="1"/>
      <c r="L237" s="1"/>
      <c r="M237" s="1"/>
      <c r="N237" s="1"/>
      <c r="O237" s="1"/>
      <c r="P237" s="1"/>
      <c r="Q237" s="1"/>
      <c r="R237" s="1"/>
      <c r="S237" s="1"/>
    </row>
    <row r="238" spans="1:19" x14ac:dyDescent="0.25">
      <c r="A238" s="1">
        <v>350</v>
      </c>
      <c r="B238" s="1">
        <v>688</v>
      </c>
      <c r="C238" s="1">
        <v>2298</v>
      </c>
      <c r="D238" s="1">
        <v>50.7</v>
      </c>
      <c r="E238" s="1">
        <v>-5</v>
      </c>
      <c r="F238" s="1">
        <v>-1.4</v>
      </c>
      <c r="G238" s="2">
        <v>-28</v>
      </c>
      <c r="H238" s="2">
        <v>-3</v>
      </c>
      <c r="I238" s="2">
        <v>-1</v>
      </c>
      <c r="K238" s="1"/>
      <c r="L238" s="1"/>
      <c r="M238" s="1"/>
      <c r="N238" s="1"/>
      <c r="O238" s="1"/>
      <c r="P238" s="1"/>
      <c r="Q238" s="1"/>
      <c r="R238" s="1"/>
      <c r="S238" s="1"/>
    </row>
    <row r="239" spans="1:19" x14ac:dyDescent="0.25">
      <c r="A239" s="1">
        <v>375</v>
      </c>
      <c r="B239" s="1">
        <v>670</v>
      </c>
      <c r="C239" s="1">
        <v>2182</v>
      </c>
      <c r="D239" s="1">
        <v>46.3</v>
      </c>
      <c r="E239" s="1">
        <v>-4.2</v>
      </c>
      <c r="F239" s="1">
        <v>-1.2</v>
      </c>
      <c r="G239" s="2">
        <v>-32</v>
      </c>
      <c r="H239" s="2">
        <v>-3</v>
      </c>
      <c r="I239" s="2">
        <v>-1</v>
      </c>
      <c r="K239" s="1"/>
      <c r="L239" s="1"/>
      <c r="M239" s="1"/>
      <c r="N239" s="1"/>
      <c r="O239" s="1"/>
      <c r="P239" s="1"/>
      <c r="Q239" s="1"/>
      <c r="R239" s="1"/>
      <c r="S239" s="1"/>
    </row>
    <row r="240" spans="1:19" x14ac:dyDescent="0.25">
      <c r="A240" s="1">
        <v>400</v>
      </c>
      <c r="B240" s="1">
        <v>653</v>
      </c>
      <c r="C240" s="1">
        <v>2071</v>
      </c>
      <c r="D240" s="1">
        <v>40.4</v>
      </c>
      <c r="E240" s="1">
        <v>-3.5</v>
      </c>
      <c r="F240" s="1">
        <v>-1</v>
      </c>
      <c r="G240" s="2">
        <v>-37</v>
      </c>
      <c r="H240" s="2">
        <v>-4</v>
      </c>
      <c r="I240" s="2">
        <v>-1</v>
      </c>
      <c r="K240" s="1"/>
      <c r="L240" s="1"/>
      <c r="M240" s="1"/>
      <c r="N240" s="1"/>
      <c r="O240" s="1"/>
      <c r="P240" s="1"/>
      <c r="Q240" s="1"/>
      <c r="R240" s="1"/>
      <c r="S240" s="1"/>
    </row>
    <row r="241" spans="1:19" x14ac:dyDescent="0.25">
      <c r="A241" s="1">
        <v>425</v>
      </c>
      <c r="B241" s="1">
        <v>636</v>
      </c>
      <c r="C241" s="1">
        <v>1965</v>
      </c>
      <c r="D241" s="1">
        <v>32.799999999999997</v>
      </c>
      <c r="E241" s="1">
        <v>-2.6</v>
      </c>
      <c r="F241" s="1">
        <v>-0.8</v>
      </c>
      <c r="G241" s="2">
        <v>-42</v>
      </c>
      <c r="H241" s="2">
        <v>-4</v>
      </c>
      <c r="I241" s="2">
        <v>-1</v>
      </c>
      <c r="K241" s="1"/>
      <c r="L241" s="1"/>
      <c r="M241" s="1"/>
      <c r="N241" s="1"/>
      <c r="O241" s="1"/>
      <c r="P241" s="1"/>
      <c r="Q241" s="1"/>
      <c r="R241" s="1"/>
      <c r="S241" s="1"/>
    </row>
    <row r="242" spans="1:19" x14ac:dyDescent="0.25">
      <c r="A242" s="1">
        <v>450</v>
      </c>
      <c r="B242" s="1">
        <v>619</v>
      </c>
      <c r="C242" s="1">
        <v>1863</v>
      </c>
      <c r="D242" s="1">
        <v>23.7</v>
      </c>
      <c r="E242" s="1">
        <v>-1.8</v>
      </c>
      <c r="F242" s="1">
        <v>-0.5</v>
      </c>
      <c r="G242" s="2">
        <v>-48</v>
      </c>
      <c r="H242" s="2">
        <v>-4</v>
      </c>
      <c r="I242" s="2">
        <v>-1</v>
      </c>
      <c r="K242" s="1"/>
      <c r="L242" s="1"/>
      <c r="M242" s="1"/>
      <c r="N242" s="1"/>
      <c r="O242" s="1"/>
      <c r="P242" s="1"/>
      <c r="Q242" s="1"/>
      <c r="R242" s="1"/>
      <c r="S242" s="1"/>
    </row>
    <row r="243" spans="1:19" x14ac:dyDescent="0.25">
      <c r="A243" s="1">
        <v>475</v>
      </c>
      <c r="B243" s="1">
        <v>603</v>
      </c>
      <c r="C243" s="1">
        <v>1765</v>
      </c>
      <c r="D243" s="1">
        <v>13</v>
      </c>
      <c r="E243" s="1">
        <v>-0.9</v>
      </c>
      <c r="F243" s="1">
        <v>-0.3</v>
      </c>
      <c r="G243" s="2">
        <v>-54</v>
      </c>
      <c r="H243" s="2">
        <v>-4</v>
      </c>
      <c r="I243" s="2">
        <v>-1</v>
      </c>
      <c r="K243" s="1"/>
      <c r="L243" s="1"/>
      <c r="M243" s="1"/>
      <c r="N243" s="1"/>
      <c r="O243" s="1"/>
      <c r="P243" s="1"/>
      <c r="Q243" s="1"/>
      <c r="R243" s="1"/>
      <c r="S243" s="1"/>
    </row>
    <row r="244" spans="1:19" x14ac:dyDescent="0.25">
      <c r="A244" s="1">
        <v>500</v>
      </c>
      <c r="B244" s="1">
        <v>587</v>
      </c>
      <c r="C244" s="1">
        <v>1675</v>
      </c>
      <c r="D244" s="1">
        <v>0.5</v>
      </c>
      <c r="E244" s="1">
        <v>0</v>
      </c>
      <c r="F244" s="1">
        <v>0</v>
      </c>
      <c r="G244" s="2">
        <v>-60</v>
      </c>
      <c r="H244" s="2">
        <v>-4</v>
      </c>
      <c r="I244" s="2">
        <v>-1</v>
      </c>
      <c r="K244" s="1"/>
      <c r="L244" s="1"/>
      <c r="M244" s="1"/>
      <c r="N244" s="1"/>
      <c r="O244" s="1"/>
      <c r="P244" s="1"/>
      <c r="Q244" s="1"/>
      <c r="R244" s="1"/>
      <c r="S244" s="1"/>
    </row>
    <row r="246" spans="1:19" ht="30" x14ac:dyDescent="0.25">
      <c r="A246" s="26" t="s">
        <v>44</v>
      </c>
      <c r="B246" s="27" t="s">
        <v>6</v>
      </c>
      <c r="C246" s="27" t="s">
        <v>7</v>
      </c>
      <c r="D246" s="27" t="s">
        <v>8</v>
      </c>
      <c r="E246" s="27" t="s">
        <v>9</v>
      </c>
      <c r="F246" s="27" t="s">
        <v>10</v>
      </c>
      <c r="G246" s="27" t="s">
        <v>34</v>
      </c>
      <c r="H246" s="27" t="s">
        <v>35</v>
      </c>
      <c r="I246" s="28" t="s">
        <v>45</v>
      </c>
      <c r="J246" s="28" t="s">
        <v>53</v>
      </c>
      <c r="K246" s="25"/>
    </row>
    <row r="247" spans="1:19" x14ac:dyDescent="0.25">
      <c r="A247" t="s">
        <v>46</v>
      </c>
      <c r="B247" s="22" cm="1">
        <f t="array" ref="B247">INDEX(LINEST(J$22:J$35,$A$22:$A$35^{1,2,3}), 1,4)</f>
        <v>-5.585990660952703</v>
      </c>
      <c r="C247" s="22" cm="1">
        <f t="array" ref="C247">INDEX(LINEST(K$22:K$35,$A$22:$A$35^{1,2,3}), 1,4)</f>
        <v>-4.1123287890501992</v>
      </c>
      <c r="D247" s="23" cm="1">
        <f t="array" ref="D247">INDEX(LINEST(L$22:L$35,$A$22:$A$35^{1,2,3}), 1,4)</f>
        <v>-5.6958709457163241</v>
      </c>
      <c r="E247" s="23" cm="1">
        <f t="array" ref="E247">INDEX(LINEST(M$22:M$35,$A$22:$A$35^{1,2,3}), 1,4)</f>
        <v>-5.5379286819689764</v>
      </c>
      <c r="F247" s="23" cm="1">
        <f t="array" ref="F247">INDEX(LINEST(N$22:N$35,$A$22:$A$35^{1,2,3}), 1,4)</f>
        <v>-4.7348238307429611</v>
      </c>
      <c r="G247" s="23" cm="1">
        <f t="array" ref="G247">INDEX(LINEST(O$22:O$35,$A$22:$A$35^{1,2,3}), 1,4)</f>
        <v>-4.1733552697714984</v>
      </c>
      <c r="H247" s="23" cm="1">
        <f t="array" ref="H247">INDEX(LINEST(P$22:P$35,$A$22:$A$35^{1,2,3}), 1,4)</f>
        <v>-4.8005278871746953</v>
      </c>
      <c r="I247" s="23" cm="1">
        <f t="array" ref="I247">INDEX(LINEST(B$22:B$35,$A$22:$A$35^{1,2,3}), 1,4)</f>
        <v>4492.1254391317234</v>
      </c>
      <c r="J247" s="23" cm="1">
        <f t="array" ref="J247">INDEX(LINEST($C$80:$C$100,$A$80:$A$100^{1,2,3}), 1,4)</f>
        <v>4479.3848108413331</v>
      </c>
    </row>
    <row r="248" spans="1:19" x14ac:dyDescent="0.25">
      <c r="A248" t="s">
        <v>47</v>
      </c>
      <c r="B248" s="23" cm="1">
        <f t="array" ref="B248">INDEX(LINEST(J$22:J$35,$A$22:$A$35^{1,2,3}), 1,3)</f>
        <v>0.16803778495444141</v>
      </c>
      <c r="C248" s="22" cm="1">
        <f t="array" ref="C248">INDEX(LINEST(K$22:K$35,$A$22:$A$35^{1,2,3}), 1,3)</f>
        <v>6.0172295350092948E-2</v>
      </c>
      <c r="D248" s="23" cm="1">
        <f t="array" ref="D248">INDEX(LINEST(L$22:L$35,$A$22:$A$35^{1,2,3}), 1,3)</f>
        <v>0.1326190225128713</v>
      </c>
      <c r="E248" s="23" cm="1">
        <f t="array" ref="E248">INDEX(LINEST(M$22:M$35,$A$22:$A$35^{1,2,3}), 1,3)</f>
        <v>0.15694571680153852</v>
      </c>
      <c r="F248" s="23" cm="1">
        <f t="array" ref="F248">INDEX(LINEST(N$22:N$35,$A$22:$A$35^{1,2,3}), 1,3)</f>
        <v>0.18995231992388484</v>
      </c>
      <c r="G248" s="23" cm="1">
        <f t="array" ref="G248">INDEX(LINEST(O$22:O$35,$A$22:$A$35^{1,2,3}), 1,3)</f>
        <v>0.25197206682119905</v>
      </c>
      <c r="H248" s="23" cm="1">
        <f t="array" ref="H248">INDEX(LINEST(P$22:P$35,$A$22:$A$35^{1,2,3}), 1,3)</f>
        <v>0.38364780426313994</v>
      </c>
      <c r="I248" s="23" cm="1">
        <f t="array" ref="I248">INDEX(LINEST(B$22:B$35,$A$22:$A$35^{1,2,3}), 1,3)</f>
        <v>-7.6740457537555349</v>
      </c>
      <c r="J248" s="23" cm="1">
        <f t="array" ref="J248">INDEX(LINEST($C$80:$C$100,$A$80:$A$100^{1,2,3}), 1,3)</f>
        <v>-8.0041958321363484</v>
      </c>
    </row>
    <row r="249" spans="1:19" x14ac:dyDescent="0.25">
      <c r="A249" t="s">
        <v>48</v>
      </c>
      <c r="B249" s="23" cm="1">
        <f t="array" ref="B249">INDEX(LINEST(J$22:J$35,$A$22:$A$35^{1,2,3}), 1,2)</f>
        <v>-5.7616460299708195E-4</v>
      </c>
      <c r="C249" s="23" cm="1">
        <f t="array" ref="C249">INDEX(LINEST(K$22:K$35,$A$22:$A$35^{1,2,3}), 1,2)</f>
        <v>-1.3001028755106942E-4</v>
      </c>
      <c r="D249" s="23" cm="1">
        <f t="array" ref="D249">INDEX(LINEST(L$22:L$35,$A$22:$A$35^{1,2,3}), 1,2)</f>
        <v>-5.3457203506708116E-4</v>
      </c>
      <c r="E249" s="23" cm="1">
        <f t="array" ref="E249">INDEX(LINEST(M$22:M$35,$A$22:$A$35^{1,2,3}), 1,2)</f>
        <v>-5.7042971806226916E-4</v>
      </c>
      <c r="F249" s="23" cm="1">
        <f t="array" ref="F249">INDEX(LINEST(N$22:N$35,$A$22:$A$35^{1,2,3}), 1,2)</f>
        <v>-3.2669652917041828E-4</v>
      </c>
      <c r="G249" s="23" cm="1">
        <f t="array" ref="G249">INDEX(LINEST(O$22:O$35,$A$22:$A$35^{1,2,3}), 1,2)</f>
        <v>-2.3820445463903882E-4</v>
      </c>
      <c r="H249" s="23" cm="1">
        <f t="array" ref="H249">INDEX(LINEST(P$22:P$35,$A$22:$A$35^{1,2,3}), 1,2)</f>
        <v>-4.141352290666755E-4</v>
      </c>
      <c r="I249" s="23" cm="1">
        <f t="array" ref="I249">INDEX(LINEST(B$22:B$35,$A$22:$A$35^{1,2,3}), 1,2)</f>
        <v>3.9760633543503444E-3</v>
      </c>
      <c r="J249" s="23" cm="1">
        <f t="array" ref="J249">INDEX(LINEST($C$80:$C$100,$A$80:$A$100^{1,2,3}), 1,2)</f>
        <v>5.7103787135824357E-3</v>
      </c>
    </row>
    <row r="250" spans="1:19" x14ac:dyDescent="0.25">
      <c r="A250" t="s">
        <v>49</v>
      </c>
      <c r="B250" s="22" cm="1">
        <f t="array" ref="B250">INDEX(LINEST(J$22:J$35,$A$22:$A$35^{1,2,3}), 1)</f>
        <v>-6.0134594010871971E-7</v>
      </c>
      <c r="C250" s="22" cm="1">
        <f t="array" ref="C250">INDEX(LINEST(K$22:K$35,$A$22:$A$35^{1,2,3}), 1)</f>
        <v>-1.1248469536172513E-6</v>
      </c>
      <c r="D250" s="23" cm="1">
        <f t="array" ref="D250">INDEX(LINEST(L$22:L$35,$A$22:$A$35^{1,2,3}), 1)</f>
        <v>-4.9771815246929808E-7</v>
      </c>
      <c r="E250" s="23" cm="1">
        <f t="array" ref="E250">INDEX(LINEST(M$22:M$35,$A$22:$A$35^{1,2,3}), 1)</f>
        <v>-3.9335084972997757E-7</v>
      </c>
      <c r="F250" s="23" cm="1">
        <f t="array" ref="F250">INDEX(LINEST(N$22:N$35,$A$22:$A$35^{1,2,3}), 1)</f>
        <v>-7.9405108010729985E-7</v>
      </c>
      <c r="G250" s="23" cm="1">
        <f t="array" ref="G250">INDEX(LINEST(O$22:O$35,$A$22:$A$35^{1,2,3}), 1)</f>
        <v>-8.9094187058405427E-7</v>
      </c>
      <c r="H250" s="23" cm="1">
        <f t="array" ref="H250">INDEX(LINEST(P$22:P$35,$A$22:$A$35^{1,2,3}), 1)</f>
        <v>-6.482645106271179E-7</v>
      </c>
      <c r="I250" s="23" cm="1">
        <f t="array" ref="I250">INDEX(LINEST(B$22:B$35,$A$22:$A$35^{1,2,3}), 1)</f>
        <v>2.0181196275441601E-7</v>
      </c>
      <c r="J250" s="23" cm="1">
        <f t="array" ref="J250">INDEX(LINEST($C$80:$C$100,$A$80:$A$100^{1,2,3}), 1)</f>
        <v>-1.8576612810023184E-6</v>
      </c>
    </row>
    <row r="251" spans="1:19" x14ac:dyDescent="0.25">
      <c r="A251" t="s">
        <v>50</v>
      </c>
      <c r="B251" s="22"/>
      <c r="C251" s="22"/>
      <c r="D251" s="23"/>
      <c r="E251" s="23"/>
      <c r="F251" s="23"/>
      <c r="G251" s="23"/>
      <c r="H251" s="23"/>
      <c r="I251" s="23"/>
    </row>
    <row r="252" spans="1:19" x14ac:dyDescent="0.25">
      <c r="A252" t="s">
        <v>51</v>
      </c>
      <c r="B252" s="22"/>
      <c r="C252" s="22"/>
      <c r="D252" s="23"/>
      <c r="E252" s="23"/>
      <c r="F252" s="23"/>
      <c r="G252" s="23"/>
      <c r="H252" s="23"/>
      <c r="I252" s="23"/>
    </row>
    <row r="253" spans="1:19" x14ac:dyDescent="0.25">
      <c r="A253" t="s">
        <v>52</v>
      </c>
      <c r="B253" s="22"/>
      <c r="C253" s="22"/>
      <c r="D253" s="23"/>
      <c r="E253" s="23"/>
      <c r="F253" s="23"/>
      <c r="G253" s="23"/>
      <c r="H253" s="23"/>
      <c r="I253" s="23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s="29"/>
      <c r="B255" s="62"/>
      <c r="C255" s="62"/>
      <c r="D255" s="62"/>
      <c r="E255" s="62"/>
      <c r="F255" s="62"/>
      <c r="G255" s="62"/>
      <c r="H255" s="62"/>
    </row>
    <row r="256" spans="1:19" x14ac:dyDescent="0.25">
      <c r="A256" s="30" t="s">
        <v>4</v>
      </c>
      <c r="B256" s="60" t="s">
        <v>54</v>
      </c>
      <c r="C256" s="60"/>
      <c r="D256" s="60"/>
      <c r="E256" s="60"/>
      <c r="F256" s="60"/>
      <c r="G256" s="60"/>
      <c r="H256" s="60"/>
      <c r="I256" s="60" t="s">
        <v>55</v>
      </c>
      <c r="J256" s="60"/>
    </row>
    <row r="257" spans="1:10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4492.1254391317234</v>
      </c>
      <c r="J257" s="2" cm="1">
        <f t="array" ref="J257">EvaluatePolynomial(J$247:J$250,$A257)</f>
        <v>4479.3848108413331</v>
      </c>
    </row>
    <row r="258" spans="1:10" x14ac:dyDescent="0.25">
      <c r="A258" s="1">
        <v>25</v>
      </c>
      <c r="B258" s="2" cm="1">
        <f t="array" ref="B258">TrajectoryToComeUp(B$247:B$250,$A258)</f>
        <v>0.70181797771161725</v>
      </c>
      <c r="C258" s="2" cm="1">
        <f t="array" ref="C258">TrajectoryToComeUp(C$247:C$250,$A258)</f>
        <v>1.0827414274670253</v>
      </c>
      <c r="D258" s="24" cm="1">
        <f t="array" ref="D258">TrajectoryToComeUp(D$247:D$250,$A258)</f>
        <v>1.0889119003775201</v>
      </c>
      <c r="E258" s="24" cm="1">
        <f t="array" ref="E258">TrajectoryToComeUp(E$247:E$250,$A258)</f>
        <v>0.79078017709858517</v>
      </c>
      <c r="F258" s="24" cm="1">
        <f t="array" ref="F258">TrajectoryToComeUp(F$247:F$250,$A258)</f>
        <v>8.1043284601611268E-2</v>
      </c>
      <c r="G258" s="24" cm="1">
        <f t="array" ref="G258">TrajectoryToComeUp(G$247:G$250,$A258)</f>
        <v>-0.78525905995248113</v>
      </c>
      <c r="H258" s="24" cm="1">
        <f t="array" ref="H258">TrajectoryToComeUp(H$247:H$250,$A258)</f>
        <v>-1.8086814273034326</v>
      </c>
      <c r="I258" s="2" cm="1">
        <f t="array" ref="I258">EvaluatePolynomial(I$247:I$250,$A258)</f>
        <v>4302.762488196222</v>
      </c>
      <c r="J258" s="2" cm="1">
        <f t="array" ref="J258">EvaluatePolynomial(J$247:J$250,$A258)</f>
        <v>4282.8198757763976</v>
      </c>
    </row>
    <row r="259" spans="1:10" x14ac:dyDescent="0.25">
      <c r="A259" s="1">
        <v>50</v>
      </c>
      <c r="B259" s="2" cm="1">
        <f t="array" ref="B259">TrajectoryToComeUp(B$247:B$250,$A259)</f>
        <v>-0.26006376735261455</v>
      </c>
      <c r="C259" s="2" cm="1">
        <f t="array" ref="C259">TrajectoryToComeUp(C$247:C$250,$A259)</f>
        <v>0.31386912192507638</v>
      </c>
      <c r="D259" s="24" cm="1">
        <f t="array" ref="D259">TrajectoryToComeUp(D$247:D$250,$A259)</f>
        <v>9.2712935359824805E-2</v>
      </c>
      <c r="E259" s="24" cm="1">
        <f t="array" ref="E259">TrajectoryToComeUp(E$247:E$250,$A259)</f>
        <v>-0.16682280134720584</v>
      </c>
      <c r="F259" s="24" cm="1">
        <f t="array" ref="F259">TrajectoryToComeUp(F$247:F$250,$A259)</f>
        <v>-0.76935889150236436</v>
      </c>
      <c r="G259" s="24" cm="1">
        <f t="array" ref="G259">TrajectoryToComeUp(G$247:G$250,$A259)</f>
        <v>-1.5436738401735699</v>
      </c>
      <c r="H259" s="24" cm="1">
        <f t="array" ref="H259">TrajectoryToComeUp(H$247:H$250,$A259)</f>
        <v>-2.6530982378974444</v>
      </c>
      <c r="I259" s="2" cm="1">
        <f t="array" ref="I259">EvaluatePolynomial(I$247:I$250,$A259)</f>
        <v>4118.3885363251666</v>
      </c>
      <c r="J259" s="2" cm="1">
        <f t="array" ref="J259">EvaluatePolynomial(J$247:J$250,$A259)</f>
        <v>4093.2187583583463</v>
      </c>
    </row>
    <row r="260" spans="1:10" x14ac:dyDescent="0.25">
      <c r="A260" s="1">
        <v>75</v>
      </c>
      <c r="B260" s="2" cm="1">
        <f t="array" ref="B260">TrajectoryToComeUp(B$247:B$250,$A260)</f>
        <v>-0.46962993337179337</v>
      </c>
      <c r="C260" s="2" cm="1">
        <f t="array" ref="C260">TrajectoryToComeUp(C$247:C$250,$A260)</f>
        <v>0.10736790851003621</v>
      </c>
      <c r="D260" s="24" cm="1">
        <f t="array" ref="D260">TrajectoryToComeUp(D$247:D$250,$A260)</f>
        <v>-0.13781509332316094</v>
      </c>
      <c r="E260" s="24" cm="1">
        <f t="array" ref="E260">TrajectoryToComeUp(E$247:E$250,$A260)</f>
        <v>-0.38111840324217511</v>
      </c>
      <c r="F260" s="24" cm="1">
        <f t="array" ref="F260">TrajectoryToComeUp(F$247:F$250,$A260)</f>
        <v>-0.97852558500593745</v>
      </c>
      <c r="G260" s="24" cm="1">
        <f t="array" ref="G260">TrajectoryToComeUp(G$247:G$250,$A260)</f>
        <v>-1.7345044777094916</v>
      </c>
      <c r="H260" s="24" cm="1">
        <f t="array" ref="H260">TrajectoryToComeUp(H$247:H$250,$A260)</f>
        <v>-2.8493413571519914</v>
      </c>
      <c r="I260" s="2" cm="1">
        <f t="array" ref="I260">EvaluatePolynomial(I$247:I$250,$A260)</f>
        <v>3939.022503390066</v>
      </c>
      <c r="J260" s="2" cm="1">
        <f t="array" ref="J260">EvaluatePolynomial(J$247:J$250,$A260)</f>
        <v>3910.4073028420853</v>
      </c>
    </row>
    <row r="261" spans="1:10" x14ac:dyDescent="0.25">
      <c r="A261" s="1">
        <v>100</v>
      </c>
      <c r="B261" s="2" cm="1">
        <f t="array" ref="B261">TrajectoryToComeUp(B$247:B$250,$A261)</f>
        <v>-0.48547958644118994</v>
      </c>
      <c r="C261" s="2" cm="1">
        <f t="array" ref="C261">TrajectoryToComeUp(C$247:C$250,$A261)</f>
        <v>5.2004908316884972E-2</v>
      </c>
      <c r="D261" s="24" cm="1">
        <f t="array" ref="D261">TrajectoryToComeUp(D$247:D$250,$A261)</f>
        <v>-0.17225928024306969</v>
      </c>
      <c r="E261" s="24" cm="1">
        <f t="array" ref="E261">TrajectoryToComeUp(E$247:E$250,$A261)</f>
        <v>-0.40589949678322068</v>
      </c>
      <c r="F261" s="24" cm="1">
        <f t="array" ref="F261">TrajectoryToComeUp(F$247:F$250,$A261)</f>
        <v>-1.019939178983404</v>
      </c>
      <c r="G261" s="24" cm="1">
        <f t="array" ref="G261">TrajectoryToComeUp(G$247:G$250,$A261)</f>
        <v>-1.7750864995373963</v>
      </c>
      <c r="H261" s="24" cm="1">
        <f t="array" ref="H261">TrajectoryToComeUp(H$247:H$250,$A261)</f>
        <v>-2.8774635737845426</v>
      </c>
      <c r="I261" s="2" cm="1">
        <f t="array" ref="I261">EvaluatePolynomial(I$247:I$250,$A261)</f>
        <v>3764.6833092624279</v>
      </c>
      <c r="J261" s="2" cm="1">
        <f t="array" ref="J261">EvaluatePolynomial(J$247:J$250,$A261)</f>
        <v>3734.2113534825203</v>
      </c>
    </row>
    <row r="262" spans="1:10" x14ac:dyDescent="0.25">
      <c r="A262" s="1">
        <v>125</v>
      </c>
      <c r="B262" s="2" cm="1">
        <f t="array" ref="B262">TrajectoryToComeUp(B$247:B$250,$A262)</f>
        <v>-0.4193325397798579</v>
      </c>
      <c r="C262" s="2" cm="1">
        <f t="array" ref="C262">TrajectoryToComeUp(C$247:C$250,$A262)</f>
        <v>6.5533545564618739E-2</v>
      </c>
      <c r="D262" s="24" cm="1">
        <f t="array" ref="D262">TrajectoryToComeUp(D$247:D$250,$A262)</f>
        <v>-0.12453704431422784</v>
      </c>
      <c r="E262" s="24" cm="1">
        <f t="array" ref="E262">TrajectoryToComeUp(E$247:E$250,$A262)</f>
        <v>-0.35192465560972153</v>
      </c>
      <c r="F262" s="24" cm="1">
        <f t="array" ref="F262">TrajectoryToComeUp(F$247:F$250,$A262)</f>
        <v>-0.98829615004962301</v>
      </c>
      <c r="G262" s="24" cm="1">
        <f t="array" ref="G262">TrajectoryToComeUp(G$247:G$250,$A262)</f>
        <v>-1.7488870110527137</v>
      </c>
      <c r="H262" s="24" cm="1">
        <f t="array" ref="H262">TrajectoryToComeUp(H$247:H$250,$A262)</f>
        <v>-2.8334754455385922</v>
      </c>
      <c r="I262" s="2" cm="1">
        <f t="array" ref="I262">EvaluatePolynomial(I$247:I$250,$A262)</f>
        <v>3595.3898738137605</v>
      </c>
      <c r="J262" s="2" cm="1">
        <f t="array" ref="J262">EvaluatePolynomial(J$247:J$250,$A262)</f>
        <v>3564.4567545345576</v>
      </c>
    </row>
    <row r="263" spans="1:10" x14ac:dyDescent="0.25">
      <c r="A263" s="1">
        <v>145</v>
      </c>
      <c r="B263" s="2" cm="1">
        <f t="array" ref="B263">TrajectoryToComeUp(B$247:B$250,$A263)</f>
        <v>-0.33326545605266955</v>
      </c>
      <c r="C263" s="2" cm="1">
        <f t="array" ref="C263">TrajectoryToComeUp(C$247:C$250,$A263)</f>
        <v>0.10689991744961025</v>
      </c>
      <c r="D263" s="24" cm="1">
        <f t="array" ref="D263">TrajectoryToComeUp(D$247:D$250,$A263)</f>
        <v>-5.3596846813304851E-2</v>
      </c>
      <c r="E263" s="24" cm="1">
        <f t="array" ref="E263">TrajectoryToComeUp(E$247:E$250,$A263)</f>
        <v>-0.27770594467150678</v>
      </c>
      <c r="F263" s="24" cm="1">
        <f t="array" ref="F263">TrajectoryToComeUp(F$247:F$250,$A263)</f>
        <v>-0.9323244178151846</v>
      </c>
      <c r="G263" s="24" cm="1">
        <f t="array" ref="G263">TrajectoryToComeUp(G$247:G$250,$A263)</f>
        <v>-1.6991860758832593</v>
      </c>
      <c r="H263" s="24" cm="1">
        <f t="array" ref="H263">TrajectoryToComeUp(H$247:H$250,$A263)</f>
        <v>-2.7686134583546997</v>
      </c>
      <c r="I263" s="2" cm="1">
        <f t="array" ref="I263">EvaluatePolynomial(I$247:I$250,$A263)</f>
        <v>3463.6007858573389</v>
      </c>
      <c r="J263" s="2" cm="1">
        <f t="array" ref="J263">EvaluatePolynomial(J$247:J$250,$A263)</f>
        <v>3433.1738150118376</v>
      </c>
    </row>
    <row r="264" spans="1:10" x14ac:dyDescent="0.25">
      <c r="A264" s="1">
        <v>150</v>
      </c>
      <c r="B264" s="2" cm="1">
        <f t="array" ref="B264">TrajectoryToComeUp(B$247:B$250,$A264)</f>
        <v>-0.30842873112748237</v>
      </c>
      <c r="C264" s="2" cm="1">
        <f t="array" ref="C264">TrajectoryToComeUp(C$247:C$250,$A264)</f>
        <v>0.12053829499290285</v>
      </c>
      <c r="D264" s="24" cm="1">
        <f t="array" ref="D264">TrajectoryToComeUp(D$247:D$250,$A264)</f>
        <v>-3.2620858508077576E-2</v>
      </c>
      <c r="E264" s="24" cm="1">
        <f t="array" ref="E264">TrajectoryToComeUp(E$247:E$250,$A264)</f>
        <v>-0.25611340426813806</v>
      </c>
      <c r="F264" s="24" cm="1">
        <f t="array" ref="F264">TrajectoryToComeUp(F$247:F$250,$A264)</f>
        <v>-0.91516199040954782</v>
      </c>
      <c r="G264" s="24" cm="1">
        <f t="array" ref="G264">TrajectoryToComeUp(G$247:G$250,$A264)</f>
        <v>-1.6837283807205867</v>
      </c>
      <c r="H264" s="24" cm="1">
        <f t="array" ref="H264">TrajectoryToComeUp(H$247:H$250,$A264)</f>
        <v>-2.7493804916619715</v>
      </c>
      <c r="I264" s="2" cm="1">
        <f t="array" ref="I264">EvaluatePolynomial(I$247:I$250,$A264)</f>
        <v>3431.1611169155722</v>
      </c>
      <c r="J264" s="2" cm="1">
        <f t="array" ref="J264">EvaluatePolynomial(J$247:J$250,$A264)</f>
        <v>3400.9693502531027</v>
      </c>
    </row>
    <row r="265" spans="1:10" x14ac:dyDescent="0.25">
      <c r="A265" s="1">
        <v>163.4</v>
      </c>
      <c r="B265" s="2" cm="1">
        <f t="array" ref="B265">TrajectoryToComeUp(B$247:B$250,$A265)</f>
        <v>-0.23650827458913357</v>
      </c>
      <c r="C265" s="2" cm="1">
        <f t="array" ref="C265">TrajectoryToComeUp(C$247:C$250,$A265)</f>
        <v>0.16271555215653224</v>
      </c>
      <c r="D265" s="24" cm="1">
        <f t="array" ref="D265">TrajectoryToComeUp(D$247:D$250,$A265)</f>
        <v>2.8773550122062862E-2</v>
      </c>
      <c r="E265" s="24" cm="1">
        <f t="array" ref="E265">TrajectoryToComeUp(E$247:E$250,$A265)</f>
        <v>-0.19343353857916271</v>
      </c>
      <c r="F265" s="24" cm="1">
        <f t="array" ref="F265">TrajectoryToComeUp(F$247:F$250,$A265)</f>
        <v>-0.86392402572022153</v>
      </c>
      <c r="G265" s="24" cm="1">
        <f t="array" ref="G265">TrajectoryToComeUp(G$247:G$250,$A265)</f>
        <v>-1.6372097307784674</v>
      </c>
      <c r="H265" s="24" cm="1">
        <f t="array" ref="H265">TrajectoryToComeUp(H$247:H$250,$A265)</f>
        <v>-2.6929073499874177</v>
      </c>
      <c r="I265" s="2" cm="1">
        <f t="array" ref="I265">EvaluatePolynomial(I$247:I$250,$A265)</f>
        <v>3345.2259517467401</v>
      </c>
      <c r="J265" s="2" cm="1">
        <f t="array" ref="J265">EvaluatePolynomial(J$247:J$250,$A265)</f>
        <v>3315.859377031155</v>
      </c>
    </row>
    <row r="266" spans="1:10" x14ac:dyDescent="0.25">
      <c r="A266" s="1">
        <v>175</v>
      </c>
      <c r="B266" s="2" cm="1">
        <f t="array" ref="B266">TrajectoryToComeUp(B$247:B$250,$A266)</f>
        <v>-0.16872813380107074</v>
      </c>
      <c r="C266" s="2" cm="1">
        <f t="array" ref="C266">TrajectoryToComeUp(C$247:C$250,$A266)</f>
        <v>0.20526964577587942</v>
      </c>
      <c r="D266" s="24" cm="1">
        <f t="array" ref="D266">TrajectoryToComeUp(D$247:D$250,$A266)</f>
        <v>8.7215360187619981E-2</v>
      </c>
      <c r="E266" s="24" cm="1">
        <f t="array" ref="E266">TrajectoryToComeUp(E$247:E$250,$A266)</f>
        <v>-0.13428839613552404</v>
      </c>
      <c r="F266" s="24" cm="1">
        <f t="array" ref="F266">TrajectoryToComeUp(F$247:F$250,$A266)</f>
        <v>-0.81406476815101525</v>
      </c>
      <c r="G266" s="24" cm="1">
        <f t="array" ref="G266">TrajectoryToComeUp(G$247:G$250,$A266)</f>
        <v>-1.5915344807403633</v>
      </c>
      <c r="H266" s="24" cm="1">
        <f t="array" ref="H266">TrajectoryToComeUp(H$247:H$250,$A266)</f>
        <v>-2.6388945061180373</v>
      </c>
      <c r="I266" s="2" cm="1">
        <f t="array" ref="I266">EvaluatePolynomial(I$247:I$250,$A266)</f>
        <v>3272.0159584393709</v>
      </c>
      <c r="J266" s="2" cm="1">
        <f t="array" ref="J266">EvaluatePolynomial(J$247:J$250,$A266)</f>
        <v>3243.5749848930623</v>
      </c>
    </row>
    <row r="267" spans="1:10" x14ac:dyDescent="0.25">
      <c r="A267" s="1">
        <v>200</v>
      </c>
      <c r="B267" s="2" cm="1">
        <f t="array" ref="B267">TrajectoryToComeUp(B$247:B$250,$A267)</f>
        <v>-8.2107344591272734E-3</v>
      </c>
      <c r="C267" s="2" cm="1">
        <f t="array" ref="C267">TrajectoryToComeUp(C$247:C$250,$A267)</f>
        <v>0.31385284250061984</v>
      </c>
      <c r="D267" s="24" cm="1">
        <f t="array" ref="D267">TrajectoryToComeUp(D$247:D$250,$A267)</f>
        <v>0.22683465327898472</v>
      </c>
      <c r="E267" s="24" cm="1">
        <f t="array" ref="E267">TrajectoryToComeUp(E$247:E$250,$A267)</f>
        <v>5.6390420995930208E-3</v>
      </c>
      <c r="F267" s="24" cm="1">
        <f t="array" ref="F267">TrajectoryToComeUp(F$247:F$250,$A267)</f>
        <v>-0.69176851731794387</v>
      </c>
      <c r="G267" s="24" cm="1">
        <f t="array" ref="G267">TrajectoryToComeUp(G$247:G$250,$A267)</f>
        <v>-1.4782672472117164</v>
      </c>
      <c r="H267" s="24" cm="1">
        <f t="array" ref="H267">TrajectoryToComeUp(H$247:H$250,$A267)</f>
        <v>-2.5088753858884658</v>
      </c>
      <c r="I267" s="2" cm="1">
        <f t="array" ref="I267">EvaluatePolynomial(I$247:I$250,$A267)</f>
        <v>3117.9733182566656</v>
      </c>
      <c r="J267" s="2" cm="1">
        <f t="array" ref="J267">EvaluatePolynomial(J$247:J$250,$A267)</f>
        <v>3092.0995027093422</v>
      </c>
    </row>
    <row r="268" spans="1:10" x14ac:dyDescent="0.25">
      <c r="A268" s="1">
        <v>225</v>
      </c>
      <c r="B268" s="2" cm="1">
        <f t="array" ref="B268">TrajectoryToComeUp(B$247:B$250,$A268)</f>
        <v>0.1686901409769575</v>
      </c>
      <c r="C268" s="2" cm="1">
        <f t="array" ref="C268">TrajectoryToComeUp(C$247:C$250,$A268)</f>
        <v>0.44302413215994119</v>
      </c>
      <c r="D268" s="24" cm="1">
        <f t="array" ref="D268">TrajectoryToComeUp(D$247:D$250,$A268)</f>
        <v>0.38171648826941618</v>
      </c>
      <c r="E268" s="24" cm="1">
        <f t="array" ref="E268">TrajectoryToComeUp(E$247:E$250,$A268)</f>
        <v>0.15927372894358732</v>
      </c>
      <c r="F268" s="24" cm="1">
        <f t="array" ref="F268">TrajectoryToComeUp(F$247:F$250,$A268)</f>
        <v>-0.55203103460139946</v>
      </c>
      <c r="G268" s="24" cm="1">
        <f t="array" ref="G268">TrajectoryToComeUp(G$247:G$250,$A268)</f>
        <v>-1.3472388668566866</v>
      </c>
      <c r="H268" s="24" cm="1">
        <f t="array" ref="H268">TrajectoryToComeUp(H$247:H$250,$A268)</f>
        <v>-2.3631330737408587</v>
      </c>
      <c r="I268" s="2" cm="1">
        <f t="array" ref="I268">EvaluatePolynomial(I$247:I$250,$A268)</f>
        <v>2969.0521162389637</v>
      </c>
      <c r="J268" s="2" cm="1">
        <f t="array" ref="J268">EvaluatePolynomial(J$247:J$250,$A268)</f>
        <v>2946.3687479568484</v>
      </c>
    </row>
    <row r="269" spans="1:10" x14ac:dyDescent="0.25">
      <c r="A269" s="1">
        <v>247.4</v>
      </c>
      <c r="B269" s="2" cm="1">
        <f t="array" ref="B269">TrajectoryToComeUp(B$247:B$250,$A269)</f>
        <v>0.33890556436610453</v>
      </c>
      <c r="C269" s="2" cm="1">
        <f t="array" ref="C269">TrajectoryToComeUp(C$247:C$250,$A269)</f>
        <v>0.5746267320627495</v>
      </c>
      <c r="D269" s="24" cm="1">
        <f t="array" ref="D269">TrajectoryToComeUp(D$247:D$250,$A269)</f>
        <v>0.53120736642025701</v>
      </c>
      <c r="E269" s="24" cm="1">
        <f t="array" ref="E269">TrajectoryToComeUp(E$247:E$250,$A269)</f>
        <v>0.30638840172330034</v>
      </c>
      <c r="F269" s="24" cm="1">
        <f t="array" ref="F269">TrajectoryToComeUp(F$247:F$250,$A269)</f>
        <v>-0.41387970722719269</v>
      </c>
      <c r="G269" s="24" cm="1">
        <f t="array" ref="G269">TrajectoryToComeUp(G$247:G$250,$A269)</f>
        <v>-1.2163976230280897</v>
      </c>
      <c r="H269" s="24" cm="1">
        <f t="array" ref="H269">TrajectoryToComeUp(H$247:H$250,$A269)</f>
        <v>-2.2210866603762027</v>
      </c>
      <c r="I269" s="2" cm="1">
        <f t="array" ref="I269">EvaluatePolynomial(I$247:I$250,$A269)</f>
        <v>2839.9844233529197</v>
      </c>
      <c r="J269" s="2" cm="1">
        <f t="array" ref="J269">EvaluatePolynomial(J$247:J$250,$A269)</f>
        <v>2820.5308080685368</v>
      </c>
    </row>
    <row r="270" spans="1:10" x14ac:dyDescent="0.25">
      <c r="A270" s="1">
        <v>250</v>
      </c>
      <c r="B270" s="2" cm="1">
        <f t="array" ref="B270">TrajectoryToComeUp(B$247:B$250,$A270)</f>
        <v>0.35931449695434869</v>
      </c>
      <c r="C270" s="2" cm="1">
        <f t="array" ref="C270">TrajectoryToComeUp(C$247:C$250,$A270)</f>
        <v>0.59082526294953419</v>
      </c>
      <c r="D270" s="24" cm="1">
        <f t="array" ref="D270">TrajectoryToComeUp(D$247:D$250,$A270)</f>
        <v>0.54914854566095395</v>
      </c>
      <c r="E270" s="24" cm="1">
        <f t="array" ref="E270">TrajectoryToComeUp(E$247:E$250,$A270)</f>
        <v>0.32397855550028276</v>
      </c>
      <c r="F270" s="24" cm="1">
        <f t="array" ref="F270">TrajectoryToComeUp(F$247:F$250,$A270)</f>
        <v>-0.39710699801602173</v>
      </c>
      <c r="G270" s="24" cm="1">
        <f t="array" ref="G270">TrajectoryToComeUp(G$247:G$250,$A270)</f>
        <v>-1.2004366517084997</v>
      </c>
      <c r="H270" s="24" cm="1">
        <f t="array" ref="H270">TrajectoryToComeUp(H$247:H$250,$A270)</f>
        <v>-2.2039535353357742</v>
      </c>
      <c r="I270" s="2" cm="1">
        <f t="array" ref="I270">EvaluatePolynomial(I$247:I$250,$A270)</f>
        <v>2825.2712722577739</v>
      </c>
      <c r="J270" s="2" cm="1">
        <f t="array" ref="J270">EvaluatePolynomial(J$247:J$250,$A270)</f>
        <v>2806.2085648904867</v>
      </c>
    </row>
    <row r="271" spans="1:10" x14ac:dyDescent="0.25">
      <c r="A271" s="1">
        <v>275</v>
      </c>
      <c r="B271" s="2" cm="1">
        <f t="array" ref="B271">TrajectoryToComeUp(B$247:B$250,$A271)</f>
        <v>0.56196960903033344</v>
      </c>
      <c r="C271" s="2" cm="1">
        <f t="array" ref="C271">TrajectoryToComeUp(C$247:C$250,$A271)</f>
        <v>0.75601007463029235</v>
      </c>
      <c r="D271" s="24" cm="1">
        <f t="array" ref="D271">TrajectoryToComeUp(D$247:D$250,$A271)</f>
        <v>0.72740480395489682</v>
      </c>
      <c r="E271" s="24" cm="1">
        <f t="array" ref="E271">TrajectoryToComeUp(E$247:E$250,$A271)</f>
        <v>0.49807536156302262</v>
      </c>
      <c r="F271" s="24" cm="1">
        <f t="array" ref="F271">TrajectoryToComeUp(F$247:F$250,$A271)</f>
        <v>-0.22843120266203573</v>
      </c>
      <c r="G271" s="24" cm="1">
        <f t="array" ref="G271">TrajectoryToComeUp(G$247:G$250,$A271)</f>
        <v>-1.0391252548792063</v>
      </c>
      <c r="H271" s="24" cm="1">
        <f t="array" ref="H271">TrajectoryToComeUp(H$247:H$250,$A271)</f>
        <v>-2.0327914760935673</v>
      </c>
      <c r="I271" s="2" cm="1">
        <f t="array" ref="I271">EvaluatePolynomial(I$247:I$250,$A271)</f>
        <v>2686.6497061846044</v>
      </c>
      <c r="J271" s="2" cm="1">
        <f t="array" ref="J271">EvaluatePolynomial(J$247:J$250,$A271)</f>
        <v>2671.4447977651639</v>
      </c>
    </row>
    <row r="272" spans="1:10" x14ac:dyDescent="0.25">
      <c r="A272" s="1">
        <v>300</v>
      </c>
      <c r="B272" s="2" cm="1">
        <f t="array" ref="B272">TrajectoryToComeUp(B$247:B$250,$A272)</f>
        <v>0.77552699424310301</v>
      </c>
      <c r="C272" s="2" cm="1">
        <f t="array" ref="C272">TrajectoryToComeUp(C$247:C$250,$A272)</f>
        <v>0.93774779370947825</v>
      </c>
      <c r="D272" s="24" cm="1">
        <f t="array" ref="D272">TrajectoryToComeUp(D$247:D$250,$A272)</f>
        <v>0.91533458215210972</v>
      </c>
      <c r="E272" s="24" cm="1">
        <f t="array" ref="E272">TrajectoryToComeUp(E$247:E$250,$A272)</f>
        <v>0.68044537366070135</v>
      </c>
      <c r="F272" s="24" cm="1">
        <f t="array" ref="F272">TrajectoryToComeUp(F$247:F$250,$A272)</f>
        <v>-4.696017860625825E-2</v>
      </c>
      <c r="G272" s="24" cm="1">
        <f t="array" ref="G272">TrajectoryToComeUp(G$247:G$250,$A272)</f>
        <v>-0.86414777844350865</v>
      </c>
      <c r="H272" s="24" cm="1">
        <f t="array" ref="H272">TrajectoryToComeUp(H$247:H$250,$A272)</f>
        <v>-1.8506166996278102</v>
      </c>
      <c r="I272" s="2" cm="1">
        <f t="array" ref="I272">EvaluatePolynomial(I$247:I$250,$A272)</f>
        <v>2553.2063378909629</v>
      </c>
      <c r="J272" s="2" cm="1">
        <f t="array" ref="J272">EvaluatePolynomial(J$247:J$250,$A272)</f>
        <v>2541.9032908357854</v>
      </c>
    </row>
    <row r="273" spans="1:10" x14ac:dyDescent="0.25">
      <c r="A273" s="1">
        <v>325</v>
      </c>
      <c r="B273" s="2" cm="1">
        <f t="array" ref="B273">TrajectoryToComeUp(B$247:B$250,$A273)</f>
        <v>0.9992053951575588</v>
      </c>
      <c r="C273" s="2" cm="1">
        <f t="array" ref="C273">TrajectoryToComeUp(C$247:C$250,$A273)</f>
        <v>1.1354632693075046</v>
      </c>
      <c r="D273" s="24" cm="1">
        <f t="array" ref="D273">TrajectoryToComeUp(D$247:D$250,$A273)</f>
        <v>1.112141254945499</v>
      </c>
      <c r="E273" s="24" cm="1">
        <f t="array" ref="E273">TrajectoryToComeUp(E$247:E$250,$A273)</f>
        <v>0.87031405631332404</v>
      </c>
      <c r="F273" s="24" cm="1">
        <f t="array" ref="F273">TrajectoryToComeUp(F$247:F$250,$A273)</f>
        <v>0.14664386102812996</v>
      </c>
      <c r="G273" s="24" cm="1">
        <f t="array" ref="G273">TrajectoryToComeUp(G$247:G$250,$A273)</f>
        <v>-0.67608790845312217</v>
      </c>
      <c r="H273" s="24" cm="1">
        <f t="array" ref="H273">TrajectoryToComeUp(H$247:H$250,$A273)</f>
        <v>-1.6581006084402046</v>
      </c>
      <c r="I273" s="2" cm="1">
        <f t="array" ref="I273">EvaluatePolynomial(I$247:I$250,$A273)</f>
        <v>2424.9600872483584</v>
      </c>
      <c r="J273" s="2" cm="1">
        <f t="array" ref="J273">EvaluatePolynomial(J$247:J$250,$A273)</f>
        <v>2417.4098883572569</v>
      </c>
    </row>
    <row r="274" spans="1:10" x14ac:dyDescent="0.25">
      <c r="A274" s="1">
        <v>350</v>
      </c>
      <c r="B274" s="2" cm="1">
        <f t="array" ref="B274">TrajectoryToComeUp(B$247:B$250,$A274)</f>
        <v>1.2324467707486315</v>
      </c>
      <c r="C274" s="2" cm="1">
        <f t="array" ref="C274">TrajectoryToComeUp(C$247:C$250,$A274)</f>
        <v>1.3487456793675234</v>
      </c>
      <c r="D274" s="24" cm="1">
        <f t="array" ref="D274">TrajectoryToComeUp(D$247:D$250,$A274)</f>
        <v>1.3172558042585705</v>
      </c>
      <c r="E274" s="24" cm="1">
        <f t="array" ref="E274">TrajectoryToComeUp(E$247:E$250,$A274)</f>
        <v>1.0671281698923216</v>
      </c>
      <c r="F274" s="24" cm="1">
        <f t="array" ref="F274">TrajectoryToComeUp(F$247:F$250,$A274)</f>
        <v>0.35190790686742823</v>
      </c>
      <c r="G274" s="24" cm="1">
        <f t="array" ref="G274">TrajectoryToComeUp(G$247:G$250,$A274)</f>
        <v>-0.47536256351641676</v>
      </c>
      <c r="H274" s="24" cm="1">
        <f t="array" ref="H274">TrajectoryToComeUp(H$247:H$250,$A274)</f>
        <v>-1.455722775746253</v>
      </c>
      <c r="I274" s="2" cm="1">
        <f t="array" ref="I274">EvaluatePolynomial(I$247:I$250,$A274)</f>
        <v>2301.9298741282992</v>
      </c>
      <c r="J274" s="2" cm="1">
        <f t="array" ref="J274">EvaluatePolynomial(J$247:J$250,$A274)</f>
        <v>2297.790434584485</v>
      </c>
    </row>
    <row r="275" spans="1:10" x14ac:dyDescent="0.25">
      <c r="A275" s="1">
        <v>375</v>
      </c>
      <c r="B275" s="2" cm="1">
        <f t="array" ref="B275">TrajectoryToComeUp(B$247:B$250,$A275)</f>
        <v>1.4748418909312691</v>
      </c>
      <c r="C275" s="2" cm="1">
        <f t="array" ref="C275">TrajectoryToComeUp(C$247:C$250,$A275)</f>
        <v>1.5772937543811791</v>
      </c>
      <c r="D275" s="24" cm="1">
        <f t="array" ref="D275">TrajectoryToComeUp(D$247:D$250,$A275)</f>
        <v>1.5302609501685602</v>
      </c>
      <c r="E275" s="24" cm="1">
        <f t="array" ref="E275">TrajectoryToComeUp(E$247:E$250,$A275)</f>
        <v>1.2704820053367447</v>
      </c>
      <c r="F275" s="24" cm="1">
        <f t="array" ref="F275">TrajectoryToComeUp(F$247:F$250,$A275)</f>
        <v>0.5684850853709229</v>
      </c>
      <c r="G275" s="24" cm="1">
        <f t="array" ref="G275">TrajectoryToComeUp(G$247:G$250,$A275)</f>
        <v>-0.26227748394619543</v>
      </c>
      <c r="H275" s="24" cm="1">
        <f t="array" ref="H275">TrajectoryToComeUp(H$247:H$250,$A275)</f>
        <v>-1.2438348885706565</v>
      </c>
      <c r="I275" s="2" cm="1">
        <f t="array" ref="I275">EvaluatePolynomial(I$247:I$250,$A275)</f>
        <v>2184.1346184022923</v>
      </c>
      <c r="J275" s="2" cm="1">
        <f t="array" ref="J275">EvaluatePolynomial(J$247:J$250,$A275)</f>
        <v>2182.8707737723757</v>
      </c>
    </row>
    <row r="276" spans="1:10" x14ac:dyDescent="0.25">
      <c r="A276" s="1">
        <v>400</v>
      </c>
      <c r="B276" s="2" cm="1">
        <f t="array" ref="B276">TrajectoryToComeUp(B$247:B$250,$A276)</f>
        <v>1.7260838331416828</v>
      </c>
      <c r="C276" s="2" cm="1">
        <f t="array" ref="C276">TrajectoryToComeUp(C$247:C$250,$A276)</f>
        <v>1.8208815422172051</v>
      </c>
      <c r="D276" s="24" cm="1">
        <f t="array" ref="D276">TrajectoryToComeUp(D$247:D$250,$A276)</f>
        <v>1.7508437327333963</v>
      </c>
      <c r="E276" s="24" cm="1">
        <f t="array" ref="E276">TrajectoryToComeUp(E$247:E$250,$A276)</f>
        <v>1.4800712808508798</v>
      </c>
      <c r="F276" s="24" cm="1">
        <f t="array" ref="F276">TrajectoryToComeUp(F$247:F$250,$A276)</f>
        <v>0.79611524138307854</v>
      </c>
      <c r="G276" s="24" cm="1">
        <f t="array" ref="G276">TrajectoryToComeUp(G$247:G$250,$A276)</f>
        <v>-3.7061974977060735E-2</v>
      </c>
      <c r="H276" s="24" cm="1">
        <f t="array" ref="H276">TrajectoryToComeUp(H$247:H$250,$A276)</f>
        <v>-1.0227007121819414</v>
      </c>
      <c r="I276" s="2" cm="1">
        <f t="array" ref="I276">EvaluatePolynomial(I$247:I$250,$A276)</f>
        <v>2071.5932399418471</v>
      </c>
      <c r="J276" s="2" cm="1">
        <f t="array" ref="J276">EvaluatePolynomial(J$247:J$250,$A276)</f>
        <v>2072.4767501758347</v>
      </c>
    </row>
    <row r="277" spans="1:10" x14ac:dyDescent="0.25">
      <c r="A277" s="1">
        <v>425</v>
      </c>
      <c r="B277" s="2" cm="1">
        <f t="array" ref="B277">TrajectoryToComeUp(B$247:B$250,$A277)</f>
        <v>1.9859378918899171</v>
      </c>
      <c r="C277" s="2" cm="1">
        <f t="array" ref="C277">TrajectoryToComeUp(C$247:C$250,$A277)</f>
        <v>2.0793362559516924</v>
      </c>
      <c r="D277" s="24" cm="1">
        <f t="array" ref="D277">TrajectoryToComeUp(D$247:D$250,$A277)</f>
        <v>1.9787648296444358</v>
      </c>
      <c r="E277" s="24" cm="1">
        <f t="array" ref="E277">TrajectoryToComeUp(E$247:E$250,$A277)</f>
        <v>1.695663310355654</v>
      </c>
      <c r="F277" s="24" cm="1">
        <f t="array" ref="F277">TrajectoryToComeUp(F$247:F$250,$A277)</f>
        <v>1.034599432726133</v>
      </c>
      <c r="G277" s="24" cm="1">
        <f t="array" ref="G277">TrajectoryToComeUp(G$247:G$250,$A277)</f>
        <v>0.20010861232923136</v>
      </c>
      <c r="H277" s="24" cm="1">
        <f t="array" ref="H277">TrajectoryToComeUp(H$247:H$250,$A277)</f>
        <v>-0.79252194943250964</v>
      </c>
      <c r="I277" s="2" cm="1">
        <f t="array" ref="I277">EvaluatePolynomial(I$247:I$250,$A277)</f>
        <v>1964.3246586184714</v>
      </c>
      <c r="J277" s="2" cm="1">
        <f t="array" ref="J277">EvaluatePolynomial(J$247:J$250,$A277)</f>
        <v>1966.4342080497688</v>
      </c>
    </row>
    <row r="278" spans="1:10" x14ac:dyDescent="0.25">
      <c r="A278" s="1">
        <v>450</v>
      </c>
      <c r="B278" s="2" cm="1">
        <f t="array" ref="B278">TrajectoryToComeUp(B$247:B$250,$A278)</f>
        <v>2.254221518461561</v>
      </c>
      <c r="C278" s="2" cm="1">
        <f t="array" ref="C278">TrajectoryToComeUp(C$247:C$250,$A278)</f>
        <v>2.3525235057549323</v>
      </c>
      <c r="D278" s="24" cm="1">
        <f t="array" ref="D278">TrajectoryToComeUp(D$247:D$250,$A278)</f>
        <v>2.2138381013282884</v>
      </c>
      <c r="E278" s="24" cm="1">
        <f t="array" ref="E278">TrajectoryToComeUp(E$247:E$250,$A278)</f>
        <v>1.9170771157895634</v>
      </c>
      <c r="F278" s="24" cm="1">
        <f t="array" ref="F278">TrajectoryToComeUp(F$247:F$250,$A278)</f>
        <v>1.2837829265951599</v>
      </c>
      <c r="G278" s="24" cm="1">
        <f t="array" ref="G278">TrajectoryToComeUp(G$247:G$250,$A278)</f>
        <v>0.44909789381353837</v>
      </c>
      <c r="H278" s="24" cm="1">
        <f t="array" ref="H278">TrajectoryToComeUp(H$247:H$250,$A278)</f>
        <v>-0.55345548031867497</v>
      </c>
      <c r="I278" s="2" cm="1">
        <f t="array" ref="I278">EvaluatePolynomial(I$247:I$250,$A278)</f>
        <v>1862.3477943036737</v>
      </c>
      <c r="J278" s="2" cm="1">
        <f t="array" ref="J278">EvaluatePolynomial(J$247:J$250,$A278)</f>
        <v>1864.5689916490833</v>
      </c>
    </row>
    <row r="279" spans="1:10" x14ac:dyDescent="0.25">
      <c r="A279" s="1">
        <v>475</v>
      </c>
      <c r="B279" s="2" cm="1">
        <f t="array" ref="B279">TrajectoryToComeUp(B$247:B$250,$A279)</f>
        <v>2.5307905954505019</v>
      </c>
      <c r="C279" s="2" cm="1">
        <f t="array" ref="C279">TrajectoryToComeUp(C$247:C$250,$A279)</f>
        <v>2.6403371943929459</v>
      </c>
      <c r="D279" s="24" cm="1">
        <f t="array" ref="D279">TrajectoryToComeUp(D$247:D$250,$A279)</f>
        <v>2.4559165954901725</v>
      </c>
      <c r="E279" s="24" cm="1">
        <f t="array" ref="E279">TrajectoryToComeUp(E$247:E$250,$A279)</f>
        <v>2.1441698197356343</v>
      </c>
      <c r="F279" s="24" cm="1">
        <f t="array" ref="F279">TrajectoryToComeUp(F$247:F$250,$A279)</f>
        <v>1.5435435655125855</v>
      </c>
      <c r="G279" s="24" cm="1">
        <f t="array" ref="G279">TrajectoryToComeUp(G$247:G$250,$A279)</f>
        <v>0.7097981977712744</v>
      </c>
      <c r="H279" s="24" cm="1">
        <f t="array" ref="H279">TrajectoryToComeUp(H$247:H$250,$A279)</f>
        <v>-0.30562515746910446</v>
      </c>
      <c r="I279" s="2" cm="1">
        <f t="array" ref="I279">EvaluatePolynomial(I$247:I$250,$A279)</f>
        <v>1765.6815668689617</v>
      </c>
      <c r="J279" s="2" cm="1">
        <f t="array" ref="J279">EvaluatePolynomial(J$247:J$250,$A279)</f>
        <v>1766.7069452286844</v>
      </c>
    </row>
    <row r="280" spans="1:10" x14ac:dyDescent="0.25">
      <c r="A280" s="1">
        <v>500</v>
      </c>
      <c r="B280" s="2" cm="1">
        <f t="array" ref="B280">TrajectoryToComeUp(B$247:B$250,$A280)</f>
        <v>2.8155298289318491</v>
      </c>
      <c r="C280" s="2" cm="1">
        <f t="array" ref="C280">TrajectoryToComeUp(C$247:C$250,$A280)</f>
        <v>2.94269244407855</v>
      </c>
      <c r="D280" s="24" cm="1">
        <f t="array" ref="D280">TrajectoryToComeUp(D$247:D$250,$A280)</f>
        <v>2.7048827502942645</v>
      </c>
      <c r="E280" s="24" cm="1">
        <f t="array" ref="E280">TrajectoryToComeUp(E$247:E$250,$A280)</f>
        <v>2.376827120260284</v>
      </c>
      <c r="F280" s="24" cm="1">
        <f t="array" ref="F280">TrajectoryToComeUp(F$247:F$250,$A280)</f>
        <v>1.8137836234963518</v>
      </c>
      <c r="G280" s="24" cm="1">
        <f t="array" ref="G280">TrajectoryToComeUp(G$247:G$250,$A280)</f>
        <v>0.98212338683876932</v>
      </c>
      <c r="H280" s="24" cm="1">
        <f t="array" ref="H280">TrajectoryToComeUp(H$247:H$250,$A280)</f>
        <v>-4.9130062986733405E-2</v>
      </c>
      <c r="I280" s="2" cm="1">
        <f t="array" ref="I280">EvaluatePolynomial(I$247:I$250,$A280)</f>
        <v>1674.3448961858442</v>
      </c>
      <c r="J280" s="2" cm="1">
        <f t="array" ref="J280">EvaluatePolynomial(J$247:J$250,$A280)</f>
        <v>1672.673913043478</v>
      </c>
    </row>
  </sheetData>
  <mergeCells count="7">
    <mergeCell ref="B256:H256"/>
    <mergeCell ref="I256:J256"/>
    <mergeCell ref="Q16:R16"/>
    <mergeCell ref="F1:I1"/>
    <mergeCell ref="C20:G20"/>
    <mergeCell ref="J20:N20"/>
    <mergeCell ref="B255:H255"/>
  </mergeCells>
  <pageMargins left="0.7" right="0.7" top="0.75" bottom="0.75" header="0.3" footer="0.3"/>
  <pageSetup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0C5AE-F2EB-4E88-B0CE-907CE7A04FDE}">
  <sheetPr codeName="Sheet3"/>
  <dimension ref="A1:X280"/>
  <sheetViews>
    <sheetView workbookViewId="0">
      <selection activeCell="Q16" sqref="Q16:R18"/>
    </sheetView>
  </sheetViews>
  <sheetFormatPr defaultRowHeight="15" x14ac:dyDescent="0.25"/>
  <cols>
    <col min="1" max="1" width="36.85546875" customWidth="1"/>
    <col min="2" max="2" width="29.5703125" customWidth="1"/>
    <col min="3" max="3" width="27.42578125" customWidth="1"/>
    <col min="4" max="4" width="16.42578125" customWidth="1"/>
    <col min="5" max="5" width="15.140625" customWidth="1"/>
    <col min="6" max="6" width="21.85546875" customWidth="1"/>
    <col min="7" max="7" width="17.28515625" customWidth="1"/>
    <col min="8" max="8" width="17.140625" customWidth="1"/>
    <col min="9" max="9" width="19.7109375" customWidth="1"/>
    <col min="10" max="10" width="18.85546875" customWidth="1"/>
    <col min="11" max="11" width="24.8554687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  <col min="21" max="21" width="13.42578125" customWidth="1"/>
    <col min="22" max="22" width="14.5703125" customWidth="1"/>
    <col min="23" max="24" width="15.28515625" customWidth="1"/>
  </cols>
  <sheetData>
    <row r="1" spans="1:24" x14ac:dyDescent="0.25">
      <c r="A1" t="s">
        <v>18</v>
      </c>
      <c r="B1" t="s">
        <v>32</v>
      </c>
      <c r="C1" t="s">
        <v>42</v>
      </c>
      <c r="D1" t="s">
        <v>43</v>
      </c>
      <c r="F1" s="59" t="s">
        <v>68</v>
      </c>
      <c r="G1" s="59"/>
      <c r="H1" s="59"/>
      <c r="I1" s="59"/>
    </row>
    <row r="2" spans="1:24" x14ac:dyDescent="0.25">
      <c r="A2" t="s">
        <v>20</v>
      </c>
      <c r="B2" s="2">
        <v>180</v>
      </c>
      <c r="C2" s="2">
        <f>CONVERT($B$2,"grain","g")</f>
        <v>11.6638038</v>
      </c>
      <c r="F2" t="s">
        <v>69</v>
      </c>
      <c r="G2" s="2">
        <v>180</v>
      </c>
      <c r="H2" s="2">
        <f>CONVERT($G$2,"grain","g")</f>
        <v>11.6638038</v>
      </c>
    </row>
    <row r="3" spans="1:24" x14ac:dyDescent="0.25">
      <c r="A3" t="s">
        <v>0</v>
      </c>
      <c r="B3" s="2">
        <v>0.308</v>
      </c>
      <c r="C3" s="2">
        <f>CONVERT($B$3,"in","cm")</f>
        <v>0.78232000000000002</v>
      </c>
      <c r="F3" t="s">
        <v>70</v>
      </c>
      <c r="G3" s="2">
        <v>0.26400000000000001</v>
      </c>
      <c r="H3" s="2">
        <f>CONVERT($G$3,"in","mm")</f>
        <v>6.7055999999999996</v>
      </c>
    </row>
    <row r="4" spans="1:24" x14ac:dyDescent="0.25">
      <c r="A4" t="s">
        <v>11</v>
      </c>
      <c r="B4" s="2">
        <v>0.33</v>
      </c>
      <c r="C4" s="2"/>
      <c r="F4" t="s">
        <v>11</v>
      </c>
      <c r="G4" s="2" t="s">
        <v>71</v>
      </c>
      <c r="H4" s="2"/>
    </row>
    <row r="5" spans="1:24" x14ac:dyDescent="0.25">
      <c r="A5" t="s">
        <v>21</v>
      </c>
      <c r="B5" s="2">
        <v>0.33</v>
      </c>
      <c r="C5" s="2"/>
      <c r="F5" t="s">
        <v>21</v>
      </c>
      <c r="G5" s="2">
        <v>0.33</v>
      </c>
      <c r="H5" s="2"/>
    </row>
    <row r="6" spans="1:24" x14ac:dyDescent="0.25">
      <c r="A6" t="s">
        <v>114</v>
      </c>
      <c r="B6" s="2">
        <v>4401</v>
      </c>
      <c r="C6" s="2">
        <f>CONVERT($B$6,"J","flb")</f>
        <v>3246.011018969245</v>
      </c>
      <c r="F6" t="s">
        <v>72</v>
      </c>
      <c r="G6" s="2">
        <f>CONVERT($H$6,"J","flb")</f>
        <v>3245.8502284528499</v>
      </c>
      <c r="H6" s="2">
        <f>($C$2/1000)*$H$7*$H$7/2</f>
        <v>4400.7819973319502</v>
      </c>
    </row>
    <row r="7" spans="1:24" x14ac:dyDescent="0.25">
      <c r="A7" t="s">
        <v>115</v>
      </c>
      <c r="B7" s="2">
        <f xml:space="preserve"> SQRT(2*$B$6/(CONVERT($B$2,"grain","g")/1000))</f>
        <v>868.7015157456766</v>
      </c>
      <c r="C7" s="2">
        <f>CONVERT($B$7,"m","ft")</f>
        <v>2850.0705897167868</v>
      </c>
      <c r="F7" t="s">
        <v>73</v>
      </c>
      <c r="G7" s="2">
        <v>2850</v>
      </c>
      <c r="H7" s="2">
        <f>CONVERT($G$7,"ft","m")</f>
        <v>868.68</v>
      </c>
    </row>
    <row r="8" spans="1:24" x14ac:dyDescent="0.25">
      <c r="A8" t="s">
        <v>1</v>
      </c>
      <c r="B8" s="2">
        <v>0</v>
      </c>
      <c r="C8" s="2"/>
    </row>
    <row r="9" spans="1:24" x14ac:dyDescent="0.25">
      <c r="A9" t="s">
        <v>2</v>
      </c>
      <c r="B9" s="2">
        <v>5.5</v>
      </c>
      <c r="C9" s="2">
        <f>CONVERT($B$9,"m/sec","km/hr")</f>
        <v>19.8</v>
      </c>
    </row>
    <row r="10" spans="1:24" x14ac:dyDescent="0.25">
      <c r="A10" t="s">
        <v>3</v>
      </c>
      <c r="B10" s="2">
        <v>10</v>
      </c>
      <c r="C10" s="2"/>
    </row>
    <row r="11" spans="1:24" x14ac:dyDescent="0.25">
      <c r="A11" s="32" t="s">
        <v>56</v>
      </c>
      <c r="B11" s="2">
        <v>0.5</v>
      </c>
      <c r="C11" s="33"/>
      <c r="R11" s="59"/>
      <c r="S11" s="59"/>
      <c r="T11" s="59"/>
      <c r="U11" s="59"/>
      <c r="V11" s="59"/>
      <c r="W11" s="59"/>
      <c r="X11" s="59"/>
    </row>
    <row r="12" spans="1:24" x14ac:dyDescent="0.25">
      <c r="A12" s="32" t="s">
        <v>57</v>
      </c>
      <c r="B12" s="2" cm="1">
        <f t="array" ref="B12">MOAToMRAD($B$11)</f>
        <v>0.14544410433286079</v>
      </c>
      <c r="C12" s="33">
        <f>$B$12/2</f>
        <v>7.2722052166430393E-2</v>
      </c>
    </row>
    <row r="13" spans="1:24" x14ac:dyDescent="0.25">
      <c r="A13" s="32" t="s">
        <v>26</v>
      </c>
      <c r="B13" s="2">
        <f>CONVERT(1.5,"in","cm")</f>
        <v>3.81</v>
      </c>
      <c r="D13" s="2">
        <f>CONVERT($B$13,"cm","in")</f>
        <v>1.5</v>
      </c>
      <c r="R13" s="19"/>
      <c r="S13" s="20"/>
      <c r="T13" s="20"/>
      <c r="U13" s="20"/>
      <c r="V13" s="20"/>
      <c r="W13" s="20"/>
      <c r="X13" s="20"/>
    </row>
    <row r="14" spans="1:24" x14ac:dyDescent="0.25">
      <c r="A14" s="32" t="s">
        <v>5</v>
      </c>
      <c r="B14" t="s">
        <v>58</v>
      </c>
      <c r="R14" s="1"/>
      <c r="S14" s="1"/>
      <c r="T14" s="1"/>
      <c r="U14" s="1"/>
      <c r="V14" s="1"/>
      <c r="W14" s="1"/>
      <c r="X14" s="1"/>
    </row>
    <row r="15" spans="1:24" x14ac:dyDescent="0.25">
      <c r="A15" t="s">
        <v>59</v>
      </c>
      <c r="B15" s="31" t="s">
        <v>60</v>
      </c>
      <c r="C15" s="31" t="s">
        <v>61</v>
      </c>
      <c r="D15" s="31" t="s">
        <v>62</v>
      </c>
      <c r="E15" s="31" t="s">
        <v>63</v>
      </c>
      <c r="R15" s="1"/>
      <c r="S15" s="1"/>
      <c r="T15" s="1"/>
      <c r="U15" s="1"/>
      <c r="V15" s="1"/>
      <c r="W15" s="1"/>
      <c r="X15" s="1"/>
    </row>
    <row r="16" spans="1:24" x14ac:dyDescent="0.25">
      <c r="A16" s="32" t="s">
        <v>64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  <c r="Q16" s="58" t="s">
        <v>116</v>
      </c>
      <c r="R16" s="58"/>
      <c r="S16" s="1"/>
      <c r="T16" s="1"/>
      <c r="U16" s="1"/>
      <c r="V16" s="1"/>
      <c r="W16" s="1"/>
      <c r="X16" s="1"/>
    </row>
    <row r="17" spans="1:24" x14ac:dyDescent="0.25">
      <c r="A17" s="32" t="s">
        <v>65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  <c r="Q17" s="43" t="s">
        <v>117</v>
      </c>
      <c r="R17" s="43" t="s">
        <v>118</v>
      </c>
      <c r="S17" s="1"/>
      <c r="T17" s="1"/>
      <c r="U17" s="1"/>
      <c r="V17" s="1"/>
      <c r="W17" s="1"/>
      <c r="X17" s="1"/>
    </row>
    <row r="18" spans="1:24" x14ac:dyDescent="0.25">
      <c r="A18" s="11" t="s">
        <v>66</v>
      </c>
      <c r="B18" s="12">
        <f>$B$12/$B$17</f>
        <v>0.58177641733144314</v>
      </c>
      <c r="C18" s="2"/>
      <c r="J18" s="2">
        <v>4.5</v>
      </c>
      <c r="K18" s="2">
        <v>4</v>
      </c>
      <c r="L18" s="2">
        <v>4</v>
      </c>
      <c r="M18" s="2">
        <v>4</v>
      </c>
      <c r="N18" s="2">
        <v>4</v>
      </c>
      <c r="O18" s="2">
        <v>4</v>
      </c>
      <c r="P18" s="2">
        <v>4</v>
      </c>
      <c r="Q18" s="2">
        <f>AVERAGE(J18:P18)</f>
        <v>4.0714285714285712</v>
      </c>
      <c r="R18" s="2">
        <f>_xlfn.STDEV.S(J18:P18)</f>
        <v>0.18898223650461357</v>
      </c>
      <c r="S18" s="1"/>
      <c r="T18" s="1"/>
      <c r="U18" s="1"/>
      <c r="V18" s="1"/>
      <c r="W18" s="1"/>
      <c r="X18" s="1"/>
    </row>
    <row r="19" spans="1:24" x14ac:dyDescent="0.25">
      <c r="A19" s="34" t="s">
        <v>67</v>
      </c>
      <c r="B19" s="35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24" x14ac:dyDescent="0.25">
      <c r="C20" s="61" t="s">
        <v>24</v>
      </c>
      <c r="D20" s="61"/>
      <c r="E20" s="61"/>
      <c r="F20" s="61"/>
      <c r="G20" s="61"/>
      <c r="H20" s="13"/>
      <c r="I20" s="13"/>
      <c r="J20" s="61" t="s">
        <v>25</v>
      </c>
      <c r="K20" s="61"/>
      <c r="L20" s="61"/>
      <c r="M20" s="61"/>
      <c r="N20" s="61"/>
      <c r="O20" s="13"/>
      <c r="P20" s="13"/>
      <c r="Q20" s="36" t="s">
        <v>30</v>
      </c>
      <c r="R20" s="1"/>
      <c r="S20" s="1"/>
      <c r="T20" s="1"/>
      <c r="U20" s="1"/>
      <c r="V20" s="1"/>
      <c r="W20" s="1"/>
      <c r="X20" s="1"/>
    </row>
    <row r="21" spans="1:24" x14ac:dyDescent="0.25">
      <c r="A21" t="s">
        <v>4</v>
      </c>
      <c r="B21" t="s">
        <v>23</v>
      </c>
      <c r="C21" t="s">
        <v>94</v>
      </c>
      <c r="D21" t="s">
        <v>95</v>
      </c>
      <c r="E21" t="s">
        <v>96</v>
      </c>
      <c r="F21" t="s">
        <v>97</v>
      </c>
      <c r="G21" t="s">
        <v>98</v>
      </c>
      <c r="H21" t="s">
        <v>99</v>
      </c>
      <c r="I21" t="s">
        <v>100</v>
      </c>
      <c r="J21" s="16" t="s">
        <v>94</v>
      </c>
      <c r="K21" s="16" t="s">
        <v>95</v>
      </c>
      <c r="L21" s="16" t="s">
        <v>96</v>
      </c>
      <c r="M21" s="16" t="s">
        <v>97</v>
      </c>
      <c r="N21" s="16" t="s">
        <v>98</v>
      </c>
      <c r="O21" s="16" t="s">
        <v>99</v>
      </c>
      <c r="P21" s="37" t="s">
        <v>100</v>
      </c>
      <c r="Q21" s="36" t="s">
        <v>31</v>
      </c>
      <c r="R21" s="1"/>
      <c r="S21" s="1"/>
      <c r="T21" s="1"/>
      <c r="U21" s="1"/>
      <c r="V21" s="1"/>
      <c r="W21" s="1"/>
      <c r="X21" s="1"/>
    </row>
    <row r="22" spans="1:24" x14ac:dyDescent="0.25">
      <c r="A22" s="1">
        <v>0</v>
      </c>
      <c r="B22" s="1">
        <v>4400.8999999999996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8">
        <f t="shared" si="1"/>
        <v>-3.81</v>
      </c>
      <c r="Q22" s="39">
        <v>0</v>
      </c>
      <c r="R22" s="1"/>
      <c r="S22" s="1"/>
      <c r="T22" s="1"/>
      <c r="U22" s="1"/>
      <c r="V22" s="1"/>
      <c r="W22" s="1"/>
      <c r="X22" s="21"/>
    </row>
    <row r="23" spans="1:24" x14ac:dyDescent="0.25">
      <c r="A23" s="1">
        <v>25</v>
      </c>
      <c r="B23" s="1">
        <v>4309.8999999999996</v>
      </c>
      <c r="C23" s="6">
        <v>-0.25</v>
      </c>
      <c r="D23" s="6">
        <v>-0.33500000000000002</v>
      </c>
      <c r="E23" s="6">
        <v>-0.32500000000000001</v>
      </c>
      <c r="F23" s="6">
        <v>-0.25</v>
      </c>
      <c r="G23" s="6">
        <v>-8.5000000000000006E-2</v>
      </c>
      <c r="H23" s="6">
        <v>0.16700000000000001</v>
      </c>
      <c r="I23" s="14">
        <v>0.375</v>
      </c>
      <c r="J23" s="9" cm="1">
        <f t="array" ref="J23">TrajectoryDropInCM(C23,$A23,J$18)</f>
        <v>-2.8125011865240381</v>
      </c>
      <c r="K23" s="9" cm="1">
        <f t="array" ref="K23">TrajectoryDropInCM(D23,$A23,K$18)</f>
        <v>-3.3500020050881067</v>
      </c>
      <c r="L23" s="9" cm="1">
        <f t="array" ref="L23">TrajectoryDropInCM(E23,$A23,L$18)</f>
        <v>-3.2500018308345711</v>
      </c>
      <c r="M23" s="9" cm="1">
        <f t="array" ref="M23">TrajectoryDropInCM(F23,$A23,M$18)</f>
        <v>-2.500000833333667</v>
      </c>
      <c r="N23" s="9" cm="1">
        <f t="array" ref="N23">TrajectoryDropInCM(G23,$A23,N$18)</f>
        <v>-0.8500000327533348</v>
      </c>
      <c r="O23" s="9" cm="1">
        <f t="array" ref="O23">TrajectoryDropInCM(H23,$A23,O$18)</f>
        <v>1.6700002483980712</v>
      </c>
      <c r="P23" s="40" cm="1">
        <f t="array" ref="P23">TrajectoryDropInCM(I23,$A23,P$18)</f>
        <v>3.7500028125025313</v>
      </c>
      <c r="Q23" s="39" cm="1">
        <f t="array" ref="Q23">TrajectoryErrorCM($E$19,1,$A23)</f>
        <v>0.37561137059069255</v>
      </c>
      <c r="R23" s="1"/>
      <c r="S23" s="1"/>
      <c r="T23" s="1"/>
      <c r="U23" s="1"/>
      <c r="V23" s="1"/>
      <c r="W23" s="1"/>
      <c r="X23" s="1"/>
    </row>
    <row r="24" spans="1:24" x14ac:dyDescent="0.25">
      <c r="A24" s="1">
        <v>50</v>
      </c>
      <c r="B24" s="1">
        <v>4192.3</v>
      </c>
      <c r="C24" s="7">
        <v>0</v>
      </c>
      <c r="D24" s="6">
        <v>-8.3000000000000004E-2</v>
      </c>
      <c r="E24" s="6">
        <v>-7.4999999999999997E-2</v>
      </c>
      <c r="F24" s="6">
        <v>7.4999999999999997E-2</v>
      </c>
      <c r="G24" s="6">
        <v>0.24</v>
      </c>
      <c r="H24" s="6">
        <v>0.41699999999999998</v>
      </c>
      <c r="I24" s="14">
        <v>0.66700000000000004</v>
      </c>
      <c r="J24" s="9" cm="1">
        <f t="array" ref="J24">TrajectoryDropInCM(C24,$A24,J$18)</f>
        <v>0</v>
      </c>
      <c r="K24" s="9" cm="1">
        <f t="array" ref="K24">TrajectoryDropInCM(D24,$A24,K$18)</f>
        <v>-1.660000060990616</v>
      </c>
      <c r="L24" s="9" cm="1">
        <f t="array" ref="L24">TrajectoryDropInCM(E24,$A24,L$18)</f>
        <v>-1.5000000450000013</v>
      </c>
      <c r="M24" s="9" cm="1">
        <f t="array" ref="M24">TrajectoryDropInCM(F24,$A24,M$18)</f>
        <v>1.5000000450000013</v>
      </c>
      <c r="N24" s="9" cm="1">
        <f t="array" ref="N24">TrajectoryDropInCM(G24,$A24,N$18)</f>
        <v>4.8000014745605428</v>
      </c>
      <c r="O24" s="9" cm="1">
        <f t="array" ref="O24">TrajectoryDropInCM(H24,$A24,O$18)</f>
        <v>8.3400077345913282</v>
      </c>
      <c r="P24" s="40" cm="1">
        <f t="array" ref="P24">TrajectoryDropInCM(I24,$A24,P$18)</f>
        <v>13.34003165245951</v>
      </c>
      <c r="Q24" s="39" cm="1">
        <f t="array" ref="Q24">TrajectoryErrorCM($E$19,1,$A24)</f>
        <v>0.7512227411813851</v>
      </c>
      <c r="R24" s="1"/>
      <c r="S24" s="1"/>
      <c r="T24" s="1"/>
      <c r="U24" s="1"/>
      <c r="V24" s="1"/>
      <c r="W24" s="1"/>
      <c r="X24" s="1"/>
    </row>
    <row r="25" spans="1:24" x14ac:dyDescent="0.25">
      <c r="A25" s="1">
        <v>75</v>
      </c>
      <c r="B25" s="1">
        <v>4078.8</v>
      </c>
      <c r="C25" s="6">
        <v>6.25E-2</v>
      </c>
      <c r="D25" s="6">
        <v>0</v>
      </c>
      <c r="E25" s="6">
        <v>0.05</v>
      </c>
      <c r="F25" s="6">
        <v>0.125</v>
      </c>
      <c r="G25" s="6">
        <v>0.26500000000000001</v>
      </c>
      <c r="H25" s="6">
        <v>0.5</v>
      </c>
      <c r="I25" s="14">
        <v>0.75</v>
      </c>
      <c r="J25" s="9" cm="1">
        <f t="array" ref="J25">TrajectoryDropInCM(C25,$A25,J$18)</f>
        <v>2.1093750556182878</v>
      </c>
      <c r="K25" s="9" cm="1">
        <f t="array" ref="K25">TrajectoryDropInCM(D25,$A25,K$18)</f>
        <v>0</v>
      </c>
      <c r="L25" s="9" cm="1">
        <f t="array" ref="L25">TrajectoryDropInCM(E25,$A25,L$18)</f>
        <v>1.5000000200000003</v>
      </c>
      <c r="M25" s="9" cm="1">
        <f t="array" ref="M25">TrajectoryDropInCM(F25,$A25,M$18)</f>
        <v>3.7500003125000307</v>
      </c>
      <c r="N25" s="9" cm="1">
        <f t="array" ref="N25">TrajectoryDropInCM(G25,$A25,N$18)</f>
        <v>7.950002977541339</v>
      </c>
      <c r="O25" s="9" cm="1">
        <f t="array" ref="O25">TrajectoryDropInCM(H25,$A25,O$18)</f>
        <v>15.000020000031999</v>
      </c>
      <c r="P25" s="40" cm="1">
        <f t="array" ref="P25">TrajectoryDropInCM(I25,$A25,P$18)</f>
        <v>22.500067500243006</v>
      </c>
      <c r="Q25" s="39" cm="1">
        <f t="array" ref="Q25">TrajectoryErrorCM($E$19,1,$A25)</f>
        <v>1.1268341117720777</v>
      </c>
      <c r="R25" s="1"/>
      <c r="S25" s="1"/>
      <c r="T25" s="1"/>
      <c r="U25" s="1"/>
      <c r="V25" s="1"/>
      <c r="W25" s="1"/>
      <c r="X25" s="1"/>
    </row>
    <row r="26" spans="1:24" x14ac:dyDescent="0.25">
      <c r="A26" s="1">
        <v>100</v>
      </c>
      <c r="B26" s="1">
        <v>3969</v>
      </c>
      <c r="C26" s="6">
        <v>0.1</v>
      </c>
      <c r="D26" s="7">
        <v>0</v>
      </c>
      <c r="E26" s="6">
        <v>0.1</v>
      </c>
      <c r="F26" s="6">
        <v>0.125</v>
      </c>
      <c r="G26" s="6">
        <v>0.26500000000000001</v>
      </c>
      <c r="H26" s="6">
        <v>0.5</v>
      </c>
      <c r="I26" s="14">
        <v>0.75</v>
      </c>
      <c r="J26" s="9" cm="1">
        <f t="array" ref="J26">TrajectoryDropInCM(C26,$A26,J$18)</f>
        <v>4.5000003037500242</v>
      </c>
      <c r="K26" s="9" cm="1">
        <f t="array" ref="K26">TrajectoryDropInCM(D26,$A26,K$18)</f>
        <v>0</v>
      </c>
      <c r="L26" s="9" cm="1">
        <f t="array" ref="L26">TrajectoryDropInCM(E26,$A26,L$18)</f>
        <v>4.0000002133333465</v>
      </c>
      <c r="M26" s="9" cm="1">
        <f t="array" ref="M26">TrajectoryDropInCM(F26,$A26,M$18)</f>
        <v>5.0000004166667074</v>
      </c>
      <c r="N26" s="9" cm="1">
        <f t="array" ref="N26">TrajectoryDropInCM(G26,$A26,N$18)</f>
        <v>10.600003970055118</v>
      </c>
      <c r="O26" s="9" cm="1">
        <f t="array" ref="O26">TrajectoryDropInCM(H26,$A26,O$18)</f>
        <v>20.000026666709331</v>
      </c>
      <c r="P26" s="40" cm="1">
        <f t="array" ref="P26">TrajectoryDropInCM(I26,$A26,P$18)</f>
        <v>30.000090000324004</v>
      </c>
      <c r="Q26" s="39" cm="1">
        <f t="array" ref="Q26">TrajectoryErrorCM($E$19,1,$A26)</f>
        <v>1.5024454823627702</v>
      </c>
      <c r="R26" s="1"/>
      <c r="S26" s="1"/>
      <c r="T26" s="1"/>
      <c r="U26" s="1"/>
      <c r="V26" s="1"/>
      <c r="W26" s="1"/>
      <c r="X26" s="1"/>
    </row>
    <row r="27" spans="1:24" x14ac:dyDescent="0.25">
      <c r="A27" s="1">
        <v>125</v>
      </c>
      <c r="B27" s="1">
        <v>3863.1</v>
      </c>
      <c r="C27" s="6">
        <v>8.3000000000000004E-2</v>
      </c>
      <c r="D27" s="6">
        <v>0</v>
      </c>
      <c r="E27" s="6">
        <v>0.05</v>
      </c>
      <c r="F27" s="6">
        <v>0.125</v>
      </c>
      <c r="G27" s="6">
        <v>0.26500000000000001</v>
      </c>
      <c r="H27" s="6">
        <v>0.5</v>
      </c>
      <c r="I27" s="14">
        <v>0.75</v>
      </c>
      <c r="J27" s="9" cm="1">
        <f t="array" ref="J27">TrajectoryDropInCM(C27,$A27,J$18)</f>
        <v>4.6687502171003894</v>
      </c>
      <c r="K27" s="9" cm="1">
        <f t="array" ref="K27">TrajectoryDropInCM(D27,$A27,K$18)</f>
        <v>0</v>
      </c>
      <c r="L27" s="9" cm="1">
        <f t="array" ref="L27">TrajectoryDropInCM(E27,$A27,L$18)</f>
        <v>2.5000000333333343</v>
      </c>
      <c r="M27" s="9" cm="1">
        <f t="array" ref="M27">TrajectoryDropInCM(F27,$A27,M$18)</f>
        <v>6.2500005208333844</v>
      </c>
      <c r="N27" s="9" cm="1">
        <f t="array" ref="N27">TrajectoryDropInCM(G27,$A27,N$18)</f>
        <v>13.250004962568898</v>
      </c>
      <c r="O27" s="9" cm="1">
        <f t="array" ref="O27">TrajectoryDropInCM(H27,$A27,O$18)</f>
        <v>25.000033333386661</v>
      </c>
      <c r="P27" s="40" cm="1">
        <f t="array" ref="P27">TrajectoryDropInCM(I27,$A27,P$18)</f>
        <v>37.500112500405002</v>
      </c>
      <c r="Q27" s="39" cm="1">
        <f t="array" ref="Q27">TrajectoryErrorCM($E$19,1,$A27)</f>
        <v>1.8780568529534629</v>
      </c>
      <c r="R27" s="1"/>
      <c r="S27" s="1"/>
      <c r="T27" s="1"/>
      <c r="U27" s="1"/>
      <c r="V27" s="1"/>
      <c r="W27" s="1"/>
      <c r="X27" s="1"/>
    </row>
    <row r="28" spans="1:24" x14ac:dyDescent="0.25">
      <c r="A28" s="1">
        <v>150</v>
      </c>
      <c r="B28" s="1">
        <v>3760.6</v>
      </c>
      <c r="C28" s="6">
        <v>8.3000000000000004E-2</v>
      </c>
      <c r="D28" s="6">
        <v>-2.5000000000000001E-2</v>
      </c>
      <c r="E28" s="7">
        <v>0</v>
      </c>
      <c r="F28" s="6">
        <v>8.3000000000000004E-2</v>
      </c>
      <c r="G28" s="6">
        <v>0.25</v>
      </c>
      <c r="H28" s="6">
        <v>0.48499999999999999</v>
      </c>
      <c r="I28" s="14">
        <v>0.67500000000000004</v>
      </c>
      <c r="J28" s="9" cm="1">
        <f t="array" ref="J28">TrajectoryDropInCM(C28,$A28,J$18)</f>
        <v>5.6025002605204666</v>
      </c>
      <c r="K28" s="9" cm="1">
        <f t="array" ref="K28">TrajectoryDropInCM(D28,$A28,K$18)</f>
        <v>-1.5000000050000002</v>
      </c>
      <c r="L28" s="9" cm="1">
        <f t="array" ref="L28">TrajectoryDropInCM(E28,$A28,L$18)</f>
        <v>0</v>
      </c>
      <c r="M28" s="9" cm="1">
        <f t="array" ref="M28">TrajectoryDropInCM(F28,$A28,M$18)</f>
        <v>4.9800001829718479</v>
      </c>
      <c r="N28" s="9" cm="1">
        <f t="array" ref="N28">TrajectoryDropInCM(G28,$A28,N$18)</f>
        <v>15.000005000002</v>
      </c>
      <c r="O28" s="9" cm="1">
        <f t="array" ref="O28">TrajectoryDropInCM(H28,$A28,O$18)</f>
        <v>29.100036506974959</v>
      </c>
      <c r="P28" s="40" cm="1">
        <f t="array" ref="P28">TrajectoryDropInCM(I28,$A28,P$18)</f>
        <v>40.500098415286985</v>
      </c>
      <c r="Q28" s="39" cm="1">
        <f t="array" ref="Q28">TrajectoryErrorCM($E$19,1,$A28)</f>
        <v>2.2536682235441554</v>
      </c>
    </row>
    <row r="29" spans="1:24" x14ac:dyDescent="0.25">
      <c r="A29" s="1">
        <v>200</v>
      </c>
      <c r="B29" s="1">
        <v>3550.3</v>
      </c>
      <c r="C29" s="6">
        <v>0</v>
      </c>
      <c r="D29" s="6">
        <v>-0.125</v>
      </c>
      <c r="E29" s="6">
        <v>-6.25E-2</v>
      </c>
      <c r="F29" s="7">
        <v>0</v>
      </c>
      <c r="G29" s="6">
        <v>0.1875</v>
      </c>
      <c r="H29" s="6">
        <v>0.38</v>
      </c>
      <c r="I29" s="14">
        <v>0.625</v>
      </c>
      <c r="J29" s="9" cm="1">
        <f t="array" ref="J29">TrajectoryDropInCM(C29,$A29,J$18)</f>
        <v>0</v>
      </c>
      <c r="K29" s="9" cm="1">
        <f t="array" ref="K29">TrajectoryDropInCM(D29,$A29,K$18)</f>
        <v>-10.000000833333415</v>
      </c>
      <c r="L29" s="9" cm="1">
        <f t="array" ref="L29">TrajectoryDropInCM(E29,$A29,L$18)</f>
        <v>-5.0000001041666682</v>
      </c>
      <c r="M29" s="9" cm="1">
        <f t="array" ref="M29">TrajectoryDropInCM(F29,$A29,M$18)</f>
        <v>0</v>
      </c>
      <c r="N29" s="9" cm="1">
        <f t="array" ref="N29">TrajectoryDropInCM(G29,$A29,N$18)</f>
        <v>15.000002812500634</v>
      </c>
      <c r="O29" s="9" cm="1">
        <f t="array" ref="O29">TrajectoryDropInCM(H29,$A29,O$18)</f>
        <v>30.400023412074972</v>
      </c>
      <c r="P29" s="40" cm="1">
        <f t="array" ref="P29">TrajectoryDropInCM(I29,$A29,P$18)</f>
        <v>50.000104166927088</v>
      </c>
      <c r="Q29" s="39" cm="1">
        <f t="array" ref="Q29">TrajectoryErrorCM($E$19,1,$A29)</f>
        <v>3.0048909647255404</v>
      </c>
    </row>
    <row r="30" spans="1:24" x14ac:dyDescent="0.25">
      <c r="A30" s="1">
        <v>250</v>
      </c>
      <c r="B30" s="1">
        <v>3354.9</v>
      </c>
      <c r="C30" s="6">
        <v>-0.125</v>
      </c>
      <c r="D30" s="6">
        <v>-0.1875</v>
      </c>
      <c r="E30" s="6">
        <v>-0.17499999999999999</v>
      </c>
      <c r="F30" s="6">
        <v>-0.125</v>
      </c>
      <c r="G30" s="6">
        <v>0.125</v>
      </c>
      <c r="H30" s="6">
        <v>0.33300000000000002</v>
      </c>
      <c r="I30" s="14">
        <v>0.5625</v>
      </c>
      <c r="J30" s="9" cm="1">
        <f t="array" ref="J30">TrajectoryDropInCM(C30,$A30,J$18)</f>
        <v>-14.062501483154483</v>
      </c>
      <c r="K30" s="9" cm="1">
        <f t="array" ref="K30">TrajectoryDropInCM(D30,$A30,K$18)</f>
        <v>-18.750003515625792</v>
      </c>
      <c r="L30" s="9" cm="1">
        <f t="array" ref="L30">TrajectoryDropInCM(E30,$A30,L$18)</f>
        <v>-17.500002858333893</v>
      </c>
      <c r="M30" s="9" cm="1">
        <f t="array" ref="M30">TrajectoryDropInCM(F30,$A30,M$18)</f>
        <v>-12.500001041666769</v>
      </c>
      <c r="N30" s="9" cm="1">
        <f t="array" ref="N30">TrajectoryDropInCM(G30,$A30,N$18)</f>
        <v>12.500001041666769</v>
      </c>
      <c r="O30" s="9" cm="1">
        <f t="array" ref="O30">TrajectoryDropInCM(H30,$A30,O$18)</f>
        <v>33.300019693900381</v>
      </c>
      <c r="P30" s="40" cm="1">
        <f t="array" ref="P30">TrajectoryDropInCM(I30,$A30,P$18)</f>
        <v>56.250094922067206</v>
      </c>
      <c r="Q30" s="39" cm="1">
        <f t="array" ref="Q30">TrajectoryErrorCM($E$19,1,$A30)</f>
        <v>3.7561137059069258</v>
      </c>
    </row>
    <row r="31" spans="1:24" x14ac:dyDescent="0.25">
      <c r="A31" s="1">
        <v>300</v>
      </c>
      <c r="B31" s="1">
        <v>3159.5</v>
      </c>
      <c r="C31" s="6">
        <v>-0.1875</v>
      </c>
      <c r="D31" s="6">
        <v>-0.26500000000000001</v>
      </c>
      <c r="E31" s="6">
        <v>-0.25</v>
      </c>
      <c r="F31" s="6">
        <v>-0.1875</v>
      </c>
      <c r="G31" s="7">
        <v>0</v>
      </c>
      <c r="H31" s="17">
        <v>0.24</v>
      </c>
      <c r="I31" s="18">
        <v>0.47499999999999998</v>
      </c>
      <c r="J31" s="9" cm="1">
        <f t="array" ref="J31">TrajectoryDropInCM(C31,$A31,J$18)</f>
        <v>-25.312506006776616</v>
      </c>
      <c r="K31" s="9" cm="1">
        <f t="array" ref="K31">TrajectoryDropInCM(D31,$A31,K$18)</f>
        <v>-31.800011910165356</v>
      </c>
      <c r="L31" s="9" cm="1">
        <f t="array" ref="L31">TrajectoryDropInCM(E31,$A31,L$18)</f>
        <v>-30.000010000004</v>
      </c>
      <c r="M31" s="9" cm="1">
        <f t="array" ref="M31">TrajectoryDropInCM(F31,$A31,M$18)</f>
        <v>-22.500004218750952</v>
      </c>
      <c r="N31" s="9" cm="1">
        <f t="array" ref="N31">TrajectoryDropInCM(G31,$A31,N$18)</f>
        <v>0</v>
      </c>
      <c r="O31" s="9" cm="1">
        <f t="array" ref="O31">TrajectoryDropInCM(H31,$A31,O$18)</f>
        <v>28.800008847363262</v>
      </c>
      <c r="P31" s="40" cm="1">
        <f t="array" ref="P31">TrajectoryDropInCM(I31,$A31,P$18)</f>
        <v>57.00006859009904</v>
      </c>
      <c r="Q31" s="39" cm="1">
        <f t="array" ref="Q31">TrajectoryErrorCM($E$19,1,$A31)</f>
        <v>4.5073364470883108</v>
      </c>
    </row>
    <row r="32" spans="1:24" x14ac:dyDescent="0.25">
      <c r="A32" s="1">
        <v>350</v>
      </c>
      <c r="B32" s="1">
        <v>2990.9</v>
      </c>
      <c r="C32" s="6">
        <v>-0.26250000000000001</v>
      </c>
      <c r="D32" s="6">
        <v>-0.375</v>
      </c>
      <c r="E32" s="6">
        <v>-0.37</v>
      </c>
      <c r="F32" s="6">
        <v>-0.255</v>
      </c>
      <c r="G32" s="6">
        <v>-0.1</v>
      </c>
      <c r="H32" s="6">
        <v>0.125</v>
      </c>
      <c r="I32" s="14">
        <v>0.375</v>
      </c>
      <c r="J32" s="9" cm="1">
        <f t="array" ref="J32">TrajectoryDropInCM(C32,$A32,J$18)</f>
        <v>-41.343769229699461</v>
      </c>
      <c r="K32" s="9" cm="1">
        <f t="array" ref="K32">TrajectoryDropInCM(D32,$A32,K$18)</f>
        <v>-52.500039375035435</v>
      </c>
      <c r="L32" s="9" cm="1">
        <f t="array" ref="L32">TrajectoryDropInCM(E32,$A32,L$18)</f>
        <v>-51.800037820939806</v>
      </c>
      <c r="M32" s="9" cm="1">
        <f t="array" ref="M32">TrajectoryDropInCM(F32,$A32,M$18)</f>
        <v>-35.700012380765159</v>
      </c>
      <c r="N32" s="9" cm="1">
        <f t="array" ref="N32">TrajectoryDropInCM(G32,$A32,N$18)</f>
        <v>-14.000000746666712</v>
      </c>
      <c r="O32" s="9" cm="1">
        <f t="array" ref="O32">TrajectoryDropInCM(H32,$A32,O$18)</f>
        <v>17.500001458333479</v>
      </c>
      <c r="P32" s="40" cm="1">
        <f t="array" ref="P32">TrajectoryDropInCM(I32,$A32,P$18)</f>
        <v>52.500039375035435</v>
      </c>
      <c r="Q32" s="39" cm="1">
        <f t="array" ref="Q32">TrajectoryErrorCM($E$19,1,$A32)</f>
        <v>5.2585591882696958</v>
      </c>
    </row>
    <row r="33" spans="1:17" x14ac:dyDescent="0.25">
      <c r="A33" s="1">
        <v>400</v>
      </c>
      <c r="B33" s="1">
        <v>2822.1</v>
      </c>
      <c r="C33" s="6">
        <v>-0.41699999999999998</v>
      </c>
      <c r="D33" s="6">
        <v>-0.5</v>
      </c>
      <c r="E33" s="6">
        <v>-0.45</v>
      </c>
      <c r="F33" s="6">
        <v>-0.375</v>
      </c>
      <c r="G33" s="6">
        <v>-0.1875</v>
      </c>
      <c r="H33" s="7">
        <v>0</v>
      </c>
      <c r="I33" s="14">
        <v>0.25</v>
      </c>
      <c r="J33" s="9" cm="1">
        <f t="array" ref="J33">TrajectoryDropInCM(C33,$A33,J$18)</f>
        <v>-75.060088101855399</v>
      </c>
      <c r="K33" s="9" cm="1">
        <f t="array" ref="K33">TrajectoryDropInCM(D33,$A33,K$18)</f>
        <v>-80.000106666837326</v>
      </c>
      <c r="L33" s="9" cm="1">
        <f t="array" ref="L33">TrajectoryDropInCM(E33,$A33,L$18)</f>
        <v>-72.000077760100766</v>
      </c>
      <c r="M33" s="9" cm="1">
        <f t="array" ref="M33">TrajectoryDropInCM(F33,$A33,M$18)</f>
        <v>-60.000045000040501</v>
      </c>
      <c r="N33" s="9" cm="1">
        <f t="array" ref="N33">TrajectoryDropInCM(G33,$A33,N$18)</f>
        <v>-30.000005625001268</v>
      </c>
      <c r="O33" s="9" cm="1">
        <f t="array" ref="O33">TrajectoryDropInCM(H33,$A33,O$18)</f>
        <v>0</v>
      </c>
      <c r="P33" s="40" cm="1">
        <f t="array" ref="P33">TrajectoryDropInCM(I33,$A33,P$18)</f>
        <v>40.000013333338671</v>
      </c>
      <c r="Q33" s="39" cm="1">
        <f t="array" ref="Q33">TrajectoryErrorCM($E$19,1,$A33)</f>
        <v>6.0097819294510808</v>
      </c>
    </row>
    <row r="34" spans="1:17" x14ac:dyDescent="0.25">
      <c r="A34" s="1">
        <v>450</v>
      </c>
      <c r="B34" s="1">
        <v>2654.7</v>
      </c>
      <c r="C34" s="6">
        <v>-0.55000000000000004</v>
      </c>
      <c r="D34" s="6">
        <v>-0.625</v>
      </c>
      <c r="E34" s="6">
        <v>-0.58299999999999996</v>
      </c>
      <c r="F34" s="6">
        <v>-0.5</v>
      </c>
      <c r="G34" s="6">
        <v>-0.33300000000000002</v>
      </c>
      <c r="H34" s="6">
        <v>-0.15</v>
      </c>
      <c r="I34" s="14">
        <v>0.125</v>
      </c>
      <c r="J34" s="9" cm="1">
        <f t="array" ref="J34">TrajectoryDropInCM(C34,$A34,J$18)</f>
        <v>-111.37522741438535</v>
      </c>
      <c r="K34" s="9" cm="1">
        <f t="array" ref="K34">TrajectoryDropInCM(D34,$A34,K$18)</f>
        <v>-112.50023437558593</v>
      </c>
      <c r="L34" s="9" cm="1">
        <f t="array" ref="L34">TrajectoryDropInCM(E34,$A34,L$18)</f>
        <v>-104.94019022948933</v>
      </c>
      <c r="M34" s="9" cm="1">
        <f t="array" ref="M34">TrajectoryDropInCM(F34,$A34,M$18)</f>
        <v>-90.000120000191998</v>
      </c>
      <c r="N34" s="9" cm="1">
        <f t="array" ref="N34">TrajectoryDropInCM(G34,$A34,N$18)</f>
        <v>-59.940035449020691</v>
      </c>
      <c r="O34" s="9" cm="1">
        <f t="array" ref="O34">TrajectoryDropInCM(H34,$A34,O$18)</f>
        <v>-27.000003240000463</v>
      </c>
      <c r="P34" s="40" cm="1">
        <f t="array" ref="P34">TrajectoryDropInCM(I34,$A34,P$18)</f>
        <v>22.500001875000187</v>
      </c>
      <c r="Q34" s="39" cm="1">
        <f t="array" ref="Q34">TrajectoryErrorCM($E$19,1,$A34)</f>
        <v>6.7610046706324667</v>
      </c>
    </row>
    <row r="35" spans="1:17" x14ac:dyDescent="0.25">
      <c r="A35" s="1">
        <v>500</v>
      </c>
      <c r="B35" s="1">
        <v>2500.6</v>
      </c>
      <c r="C35" s="6">
        <v>-0.66700000000000004</v>
      </c>
      <c r="D35" s="6">
        <v>-0.75</v>
      </c>
      <c r="E35" s="6">
        <v>-0.6875</v>
      </c>
      <c r="F35" s="6">
        <v>-0.625</v>
      </c>
      <c r="G35" s="6">
        <v>-0.42499999999999999</v>
      </c>
      <c r="H35" s="6">
        <v>-0.25</v>
      </c>
      <c r="I35" s="15">
        <v>0</v>
      </c>
      <c r="J35" s="9" cm="1">
        <f t="array" ref="J35">TrajectoryDropInCM(C35,$A35,J$18)</f>
        <v>-150.07545067696162</v>
      </c>
      <c r="K35" s="9" cm="1">
        <f t="array" ref="K35">TrajectoryDropInCM(D35,$A35,K$18)</f>
        <v>-150.00045000162001</v>
      </c>
      <c r="L35" s="9" cm="1">
        <f t="array" ref="L35">TrajectoryDropInCM(E35,$A35,L$18)</f>
        <v>-137.50034661563183</v>
      </c>
      <c r="M35" s="9" cm="1">
        <f t="array" ref="M35">TrajectoryDropInCM(F35,$A35,M$18)</f>
        <v>-125.0002604173177</v>
      </c>
      <c r="N35" s="9" cm="1">
        <f t="array" ref="N35">TrajectoryDropInCM(G35,$A35,N$18)</f>
        <v>-85.000081883427995</v>
      </c>
      <c r="O35" s="9" cm="1">
        <f t="array" ref="O35">TrajectoryDropInCM(H35,$A35,O$18)</f>
        <v>-50.000016666673339</v>
      </c>
      <c r="P35" s="40" cm="1">
        <f t="array" ref="P35">TrajectoryDropInCM(I35,$A35,P$18)</f>
        <v>0</v>
      </c>
      <c r="Q35" s="39" cm="1">
        <f t="array" ref="Q35">TrajectoryErrorCM($E$19,1,$A35)</f>
        <v>7.5122274118138517</v>
      </c>
    </row>
    <row r="77" spans="1:19" x14ac:dyDescent="0.25">
      <c r="A77" t="s">
        <v>27</v>
      </c>
    </row>
    <row r="78" spans="1:19" x14ac:dyDescent="0.25">
      <c r="A78" t="s">
        <v>87</v>
      </c>
      <c r="K78" t="s">
        <v>74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39</v>
      </c>
      <c r="H79" t="s">
        <v>40</v>
      </c>
      <c r="I79" t="s">
        <v>41</v>
      </c>
      <c r="K79" t="s">
        <v>12</v>
      </c>
      <c r="L79" t="s">
        <v>13</v>
      </c>
      <c r="M79" t="s">
        <v>14</v>
      </c>
      <c r="N79" t="s">
        <v>15</v>
      </c>
      <c r="O79" t="s">
        <v>16</v>
      </c>
      <c r="P79" t="s">
        <v>17</v>
      </c>
      <c r="Q79" t="s">
        <v>39</v>
      </c>
      <c r="R79" t="s">
        <v>40</v>
      </c>
      <c r="S79" t="s">
        <v>41</v>
      </c>
    </row>
    <row r="80" spans="1:19" x14ac:dyDescent="0.25">
      <c r="A80" s="1">
        <v>0</v>
      </c>
      <c r="B80" s="1">
        <v>869</v>
      </c>
      <c r="C80" s="1">
        <v>4402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>
        <v>0</v>
      </c>
      <c r="L80" s="1">
        <v>869</v>
      </c>
      <c r="M80" s="1">
        <v>4402</v>
      </c>
      <c r="N80" s="1">
        <v>-3.8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1:19" x14ac:dyDescent="0.25">
      <c r="A81" s="1">
        <v>25</v>
      </c>
      <c r="B81" s="1">
        <v>845</v>
      </c>
      <c r="C81" s="1">
        <v>4166</v>
      </c>
      <c r="D81" s="1">
        <v>-1.5</v>
      </c>
      <c r="E81" s="1">
        <v>2.1</v>
      </c>
      <c r="F81" s="1">
        <v>0.6</v>
      </c>
      <c r="G81" s="1">
        <v>0</v>
      </c>
      <c r="H81" s="1">
        <v>0</v>
      </c>
      <c r="I81" s="1">
        <v>0</v>
      </c>
      <c r="J81" s="1"/>
      <c r="K81" s="1">
        <v>25</v>
      </c>
      <c r="L81" s="1">
        <v>857</v>
      </c>
      <c r="M81" s="1">
        <v>4283</v>
      </c>
      <c r="N81" s="1">
        <v>-1.5</v>
      </c>
      <c r="O81" s="1">
        <v>2.1</v>
      </c>
      <c r="P81" s="1">
        <v>0.6</v>
      </c>
      <c r="Q81" s="1">
        <v>0</v>
      </c>
      <c r="R81" s="1">
        <v>0</v>
      </c>
      <c r="S81" s="1">
        <v>0</v>
      </c>
    </row>
    <row r="82" spans="1:19" x14ac:dyDescent="0.25">
      <c r="A82" s="10">
        <v>50</v>
      </c>
      <c r="B82" s="10">
        <v>822</v>
      </c>
      <c r="C82" s="10">
        <v>3943</v>
      </c>
      <c r="D82" s="10">
        <v>0</v>
      </c>
      <c r="E82" s="10">
        <v>0</v>
      </c>
      <c r="F82" s="10">
        <v>0</v>
      </c>
      <c r="G82" s="1">
        <v>0</v>
      </c>
      <c r="H82" s="10">
        <v>0</v>
      </c>
      <c r="I82" s="10">
        <v>0</v>
      </c>
      <c r="J82" s="10"/>
      <c r="K82" s="10">
        <v>50</v>
      </c>
      <c r="L82" s="10">
        <v>845</v>
      </c>
      <c r="M82" s="10">
        <v>4168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1:19" x14ac:dyDescent="0.25">
      <c r="A83" s="1">
        <v>75</v>
      </c>
      <c r="B83" s="1">
        <v>800</v>
      </c>
      <c r="C83" s="1">
        <v>3729</v>
      </c>
      <c r="D83" s="1">
        <v>0.5</v>
      </c>
      <c r="E83" s="1">
        <v>-0.2</v>
      </c>
      <c r="F83" s="1">
        <v>-0.1</v>
      </c>
      <c r="G83" s="1">
        <v>-1</v>
      </c>
      <c r="H83" s="1">
        <v>0</v>
      </c>
      <c r="I83" s="1">
        <v>0</v>
      </c>
      <c r="J83" s="1"/>
      <c r="K83" s="1">
        <v>75</v>
      </c>
      <c r="L83" s="1">
        <v>834</v>
      </c>
      <c r="M83" s="1">
        <v>4055</v>
      </c>
      <c r="N83" s="1">
        <v>0.6</v>
      </c>
      <c r="O83" s="1">
        <v>-0.3</v>
      </c>
      <c r="P83" s="1">
        <v>-0.1</v>
      </c>
      <c r="Q83" s="1">
        <v>0</v>
      </c>
      <c r="R83" s="1">
        <v>0</v>
      </c>
      <c r="S83" s="1">
        <v>0</v>
      </c>
    </row>
    <row r="84" spans="1:19" x14ac:dyDescent="0.25">
      <c r="A84" s="1">
        <v>100</v>
      </c>
      <c r="B84" s="1">
        <v>777</v>
      </c>
      <c r="C84" s="1">
        <v>3524</v>
      </c>
      <c r="D84" s="1">
        <v>0.1</v>
      </c>
      <c r="E84" s="1">
        <v>0</v>
      </c>
      <c r="F84" s="1">
        <v>0</v>
      </c>
      <c r="G84" s="1">
        <v>-2</v>
      </c>
      <c r="H84" s="1">
        <v>-1</v>
      </c>
      <c r="I84" s="1">
        <v>0</v>
      </c>
      <c r="J84" s="1"/>
      <c r="K84" s="1">
        <v>100</v>
      </c>
      <c r="L84" s="1">
        <v>822</v>
      </c>
      <c r="M84" s="1">
        <v>3944</v>
      </c>
      <c r="N84" s="1">
        <v>0.3</v>
      </c>
      <c r="O84" s="1">
        <v>-0.1</v>
      </c>
      <c r="P84" s="1">
        <v>0</v>
      </c>
      <c r="Q84" s="1">
        <v>0</v>
      </c>
      <c r="R84" s="1">
        <v>0</v>
      </c>
      <c r="S84" s="1">
        <v>0</v>
      </c>
    </row>
    <row r="85" spans="1:19" x14ac:dyDescent="0.25">
      <c r="A85" s="1">
        <v>125</v>
      </c>
      <c r="B85" s="1">
        <v>755</v>
      </c>
      <c r="C85" s="1">
        <v>3329</v>
      </c>
      <c r="D85" s="1">
        <v>-1.4</v>
      </c>
      <c r="E85" s="1">
        <v>0.4</v>
      </c>
      <c r="F85" s="1">
        <v>0.1</v>
      </c>
      <c r="G85" s="1">
        <v>-3</v>
      </c>
      <c r="H85" s="1">
        <v>-1</v>
      </c>
      <c r="I85" s="1">
        <v>0</v>
      </c>
      <c r="J85" s="1"/>
      <c r="K85" s="1">
        <v>125</v>
      </c>
      <c r="L85" s="1">
        <v>811</v>
      </c>
      <c r="M85" s="1">
        <v>3836</v>
      </c>
      <c r="N85" s="1">
        <v>-0.9</v>
      </c>
      <c r="O85" s="1">
        <v>0.2</v>
      </c>
      <c r="P85" s="1">
        <v>0.1</v>
      </c>
      <c r="Q85" s="1">
        <v>0</v>
      </c>
      <c r="R85" s="1">
        <v>0</v>
      </c>
      <c r="S85" s="1">
        <v>0</v>
      </c>
    </row>
    <row r="86" spans="1:19" x14ac:dyDescent="0.25">
      <c r="A86" s="1">
        <v>150</v>
      </c>
      <c r="B86" s="1">
        <v>734</v>
      </c>
      <c r="C86" s="1">
        <v>3142</v>
      </c>
      <c r="D86" s="1">
        <v>-3.9</v>
      </c>
      <c r="E86" s="1">
        <v>0.9</v>
      </c>
      <c r="F86" s="1">
        <v>0.3</v>
      </c>
      <c r="G86" s="1">
        <v>-4</v>
      </c>
      <c r="H86" s="1">
        <v>-1</v>
      </c>
      <c r="I86" s="1">
        <v>0</v>
      </c>
      <c r="J86" s="1"/>
      <c r="K86" s="1">
        <v>150</v>
      </c>
      <c r="L86" s="1">
        <v>800</v>
      </c>
      <c r="M86" s="1">
        <v>3730</v>
      </c>
      <c r="N86" s="1">
        <v>-3</v>
      </c>
      <c r="O86" s="1">
        <v>0.7</v>
      </c>
      <c r="P86" s="1">
        <v>0.2</v>
      </c>
      <c r="Q86" s="1">
        <v>0</v>
      </c>
      <c r="R86" s="1">
        <v>0</v>
      </c>
      <c r="S86" s="1">
        <v>0</v>
      </c>
    </row>
    <row r="87" spans="1:19" x14ac:dyDescent="0.25">
      <c r="A87" s="1">
        <v>175</v>
      </c>
      <c r="B87" s="1">
        <v>713</v>
      </c>
      <c r="C87" s="1">
        <v>2963</v>
      </c>
      <c r="D87" s="1">
        <v>-7.6</v>
      </c>
      <c r="E87" s="1">
        <v>1.5</v>
      </c>
      <c r="F87" s="1">
        <v>0.4</v>
      </c>
      <c r="G87" s="1">
        <v>-5</v>
      </c>
      <c r="H87" s="1">
        <v>-1</v>
      </c>
      <c r="I87" s="1">
        <v>0</v>
      </c>
      <c r="J87" s="1"/>
      <c r="K87" s="1">
        <v>175</v>
      </c>
      <c r="L87" s="1">
        <v>788</v>
      </c>
      <c r="M87" s="1">
        <v>3626</v>
      </c>
      <c r="N87" s="1">
        <v>-6.1</v>
      </c>
      <c r="O87" s="1">
        <v>1.2</v>
      </c>
      <c r="P87" s="1">
        <v>0.3</v>
      </c>
      <c r="Q87" s="1">
        <v>0</v>
      </c>
      <c r="R87" s="1">
        <v>0</v>
      </c>
      <c r="S87" s="1">
        <v>0</v>
      </c>
    </row>
    <row r="88" spans="1:19" x14ac:dyDescent="0.25">
      <c r="A88" s="1">
        <v>200</v>
      </c>
      <c r="B88" s="1">
        <v>692</v>
      </c>
      <c r="C88" s="1">
        <v>2792</v>
      </c>
      <c r="D88" s="1">
        <v>-12.7</v>
      </c>
      <c r="E88" s="1">
        <v>2.2000000000000002</v>
      </c>
      <c r="F88" s="1">
        <v>0.6</v>
      </c>
      <c r="G88" s="1">
        <v>-7</v>
      </c>
      <c r="H88" s="1">
        <v>-1</v>
      </c>
      <c r="I88" s="1">
        <v>0</v>
      </c>
      <c r="J88" s="1"/>
      <c r="K88" s="1">
        <v>200</v>
      </c>
      <c r="L88" s="1">
        <v>777</v>
      </c>
      <c r="M88" s="1">
        <v>3525</v>
      </c>
      <c r="N88" s="1">
        <v>-10.3</v>
      </c>
      <c r="O88" s="1">
        <v>1.8</v>
      </c>
      <c r="P88" s="1">
        <v>0.5</v>
      </c>
      <c r="Q88" s="1">
        <v>0</v>
      </c>
      <c r="R88" s="1">
        <v>0</v>
      </c>
      <c r="S88" s="1">
        <v>0</v>
      </c>
    </row>
    <row r="89" spans="1:19" x14ac:dyDescent="0.25">
      <c r="A89" s="1">
        <v>225</v>
      </c>
      <c r="B89" s="1">
        <v>671</v>
      </c>
      <c r="C89" s="1">
        <v>2629</v>
      </c>
      <c r="D89" s="1">
        <v>-19</v>
      </c>
      <c r="E89" s="1">
        <v>2.9</v>
      </c>
      <c r="F89" s="1">
        <v>0.8</v>
      </c>
      <c r="G89" s="1">
        <v>-9</v>
      </c>
      <c r="H89" s="1">
        <v>-2</v>
      </c>
      <c r="I89" s="1">
        <v>0</v>
      </c>
      <c r="J89" s="1"/>
      <c r="K89" s="1">
        <v>225</v>
      </c>
      <c r="L89" s="1">
        <v>766</v>
      </c>
      <c r="M89" s="1">
        <v>3425</v>
      </c>
      <c r="N89" s="1">
        <v>-15.4</v>
      </c>
      <c r="O89" s="1">
        <v>2.4</v>
      </c>
      <c r="P89" s="1">
        <v>0.7</v>
      </c>
      <c r="Q89" s="1">
        <v>0</v>
      </c>
      <c r="R89" s="1">
        <v>0</v>
      </c>
      <c r="S89" s="1">
        <v>0</v>
      </c>
    </row>
    <row r="90" spans="1:19" x14ac:dyDescent="0.25">
      <c r="A90" s="1">
        <v>250</v>
      </c>
      <c r="B90" s="1">
        <v>651</v>
      </c>
      <c r="C90" s="1">
        <v>2473</v>
      </c>
      <c r="D90" s="1">
        <v>-26.7</v>
      </c>
      <c r="E90" s="1">
        <v>3.7</v>
      </c>
      <c r="F90" s="1">
        <v>1.1000000000000001</v>
      </c>
      <c r="G90" s="1">
        <v>-11</v>
      </c>
      <c r="H90" s="1">
        <v>-2</v>
      </c>
      <c r="I90" s="1">
        <v>0</v>
      </c>
      <c r="J90" s="1"/>
      <c r="K90" s="1">
        <v>250</v>
      </c>
      <c r="L90" s="1">
        <v>755</v>
      </c>
      <c r="M90" s="1">
        <v>3328</v>
      </c>
      <c r="N90" s="1">
        <v>-21.5</v>
      </c>
      <c r="O90" s="1">
        <v>3</v>
      </c>
      <c r="P90" s="1">
        <v>0.9</v>
      </c>
      <c r="Q90" s="1">
        <v>0</v>
      </c>
      <c r="R90" s="1">
        <v>0</v>
      </c>
      <c r="S90" s="1">
        <v>0</v>
      </c>
    </row>
    <row r="91" spans="1:19" x14ac:dyDescent="0.25">
      <c r="A91" s="1">
        <v>275</v>
      </c>
      <c r="B91" s="1">
        <v>631</v>
      </c>
      <c r="C91" s="1">
        <v>2325</v>
      </c>
      <c r="D91" s="1">
        <v>-36.200000000000003</v>
      </c>
      <c r="E91" s="1">
        <v>4.5</v>
      </c>
      <c r="F91" s="1">
        <v>1.3</v>
      </c>
      <c r="G91" s="1">
        <v>-14</v>
      </c>
      <c r="H91" s="1">
        <v>-2</v>
      </c>
      <c r="I91" s="1">
        <v>-1</v>
      </c>
      <c r="J91" s="1"/>
      <c r="K91" s="1">
        <v>275</v>
      </c>
      <c r="L91" s="1">
        <v>745</v>
      </c>
      <c r="M91" s="1">
        <v>3233</v>
      </c>
      <c r="N91" s="1">
        <v>-29</v>
      </c>
      <c r="O91" s="1">
        <v>3.6</v>
      </c>
      <c r="P91" s="1">
        <v>1.1000000000000001</v>
      </c>
      <c r="Q91" s="1">
        <v>0</v>
      </c>
      <c r="R91" s="1">
        <v>0</v>
      </c>
      <c r="S91" s="1">
        <v>0</v>
      </c>
    </row>
    <row r="92" spans="1:19" x14ac:dyDescent="0.25">
      <c r="A92" s="1">
        <v>300</v>
      </c>
      <c r="B92" s="1">
        <v>612</v>
      </c>
      <c r="C92" s="1">
        <v>2184</v>
      </c>
      <c r="D92" s="1">
        <v>-47</v>
      </c>
      <c r="E92" s="1">
        <v>5.4</v>
      </c>
      <c r="F92" s="1">
        <v>1.6</v>
      </c>
      <c r="G92" s="1">
        <v>-17</v>
      </c>
      <c r="H92" s="1">
        <v>-2</v>
      </c>
      <c r="I92" s="1">
        <v>-1</v>
      </c>
      <c r="J92" s="1"/>
      <c r="K92" s="1">
        <v>300</v>
      </c>
      <c r="L92" s="1">
        <v>734</v>
      </c>
      <c r="M92" s="1">
        <v>3140</v>
      </c>
      <c r="N92" s="1">
        <v>-37.4</v>
      </c>
      <c r="O92" s="1">
        <v>4.3</v>
      </c>
      <c r="P92" s="1">
        <v>1.2</v>
      </c>
      <c r="Q92" s="1">
        <v>0</v>
      </c>
      <c r="R92" s="1">
        <v>0</v>
      </c>
      <c r="S92" s="1">
        <v>0</v>
      </c>
    </row>
    <row r="93" spans="1:19" x14ac:dyDescent="0.25">
      <c r="A93" s="1">
        <v>325</v>
      </c>
      <c r="B93" s="1">
        <v>593</v>
      </c>
      <c r="C93" s="1">
        <v>2050</v>
      </c>
      <c r="D93" s="1">
        <v>-59.6</v>
      </c>
      <c r="E93" s="1">
        <v>6.3</v>
      </c>
      <c r="F93" s="1">
        <v>1.8</v>
      </c>
      <c r="G93" s="1">
        <v>-20</v>
      </c>
      <c r="H93" s="1">
        <v>-2</v>
      </c>
      <c r="I93" s="1">
        <v>-1</v>
      </c>
      <c r="J93" s="1"/>
      <c r="K93" s="1">
        <v>325</v>
      </c>
      <c r="L93" s="1">
        <v>723</v>
      </c>
      <c r="M93" s="1">
        <v>3049</v>
      </c>
      <c r="N93" s="1">
        <v>-46.9</v>
      </c>
      <c r="O93" s="1">
        <v>5</v>
      </c>
      <c r="P93" s="1">
        <v>1.4</v>
      </c>
      <c r="Q93" s="1">
        <v>0</v>
      </c>
      <c r="R93" s="1">
        <v>0</v>
      </c>
      <c r="S93" s="1">
        <v>0</v>
      </c>
    </row>
    <row r="94" spans="1:19" x14ac:dyDescent="0.25">
      <c r="A94" s="1">
        <v>350</v>
      </c>
      <c r="B94" s="1">
        <v>574</v>
      </c>
      <c r="C94" s="1">
        <v>1923</v>
      </c>
      <c r="D94" s="1">
        <v>-74.5</v>
      </c>
      <c r="E94" s="1">
        <v>7.3</v>
      </c>
      <c r="F94" s="1">
        <v>2.1</v>
      </c>
      <c r="G94" s="1">
        <v>-24</v>
      </c>
      <c r="H94" s="1">
        <v>-2</v>
      </c>
      <c r="I94" s="1">
        <v>-1</v>
      </c>
      <c r="J94" s="1"/>
      <c r="K94" s="1">
        <v>350</v>
      </c>
      <c r="L94" s="1">
        <v>712</v>
      </c>
      <c r="M94" s="1">
        <v>2960</v>
      </c>
      <c r="N94" s="1">
        <v>-58</v>
      </c>
      <c r="O94" s="1">
        <v>5.7</v>
      </c>
      <c r="P94" s="1">
        <v>1.7</v>
      </c>
      <c r="Q94" s="1">
        <v>0</v>
      </c>
      <c r="R94" s="1">
        <v>0</v>
      </c>
      <c r="S94" s="1">
        <v>0</v>
      </c>
    </row>
    <row r="95" spans="1:19" x14ac:dyDescent="0.25">
      <c r="A95" s="1">
        <v>375</v>
      </c>
      <c r="B95" s="1">
        <v>556</v>
      </c>
      <c r="C95" s="1">
        <v>1803</v>
      </c>
      <c r="D95" s="1">
        <v>-90.9</v>
      </c>
      <c r="E95" s="1">
        <v>8.3000000000000007</v>
      </c>
      <c r="F95" s="1">
        <v>2.4</v>
      </c>
      <c r="G95" s="1">
        <v>-27</v>
      </c>
      <c r="H95" s="1">
        <v>-3</v>
      </c>
      <c r="I95" s="1">
        <v>-1</v>
      </c>
      <c r="J95" s="1"/>
      <c r="K95" s="1">
        <v>375</v>
      </c>
      <c r="L95" s="1">
        <v>702</v>
      </c>
      <c r="M95" s="1">
        <v>2874</v>
      </c>
      <c r="N95" s="1">
        <v>-70</v>
      </c>
      <c r="O95" s="1">
        <v>6.4</v>
      </c>
      <c r="P95" s="1">
        <v>1.9</v>
      </c>
      <c r="Q95" s="1">
        <v>0</v>
      </c>
      <c r="R95" s="1">
        <v>0</v>
      </c>
      <c r="S95" s="1">
        <v>0</v>
      </c>
    </row>
    <row r="96" spans="1:19" x14ac:dyDescent="0.25">
      <c r="A96" s="1">
        <v>400</v>
      </c>
      <c r="B96" s="1">
        <v>538</v>
      </c>
      <c r="C96" s="1">
        <v>1689</v>
      </c>
      <c r="D96" s="1">
        <v>-109.5</v>
      </c>
      <c r="E96" s="1">
        <v>9.4</v>
      </c>
      <c r="F96" s="1">
        <v>2.7</v>
      </c>
      <c r="G96" s="1">
        <v>-32</v>
      </c>
      <c r="H96" s="1">
        <v>-3</v>
      </c>
      <c r="I96" s="1">
        <v>-1</v>
      </c>
      <c r="J96" s="1"/>
      <c r="K96" s="1">
        <v>400</v>
      </c>
      <c r="L96" s="1">
        <v>691</v>
      </c>
      <c r="M96" s="1">
        <v>2789</v>
      </c>
      <c r="N96" s="1">
        <v>-83.2</v>
      </c>
      <c r="O96" s="1">
        <v>7.2</v>
      </c>
      <c r="P96" s="1">
        <v>2.1</v>
      </c>
      <c r="Q96" s="1">
        <v>0</v>
      </c>
      <c r="R96" s="1">
        <v>0</v>
      </c>
      <c r="S96" s="1">
        <v>0</v>
      </c>
    </row>
    <row r="97" spans="1:19" x14ac:dyDescent="0.25">
      <c r="A97" s="1">
        <v>425</v>
      </c>
      <c r="B97" s="1">
        <v>521</v>
      </c>
      <c r="C97" s="1">
        <v>1581</v>
      </c>
      <c r="D97" s="1">
        <v>-131.1</v>
      </c>
      <c r="E97" s="1">
        <v>10.6</v>
      </c>
      <c r="F97" s="1">
        <v>3.1</v>
      </c>
      <c r="G97" s="1">
        <v>-36</v>
      </c>
      <c r="H97" s="1">
        <v>-3</v>
      </c>
      <c r="I97" s="1">
        <v>-1</v>
      </c>
      <c r="J97" s="1"/>
      <c r="K97" s="1">
        <v>425</v>
      </c>
      <c r="L97" s="1">
        <v>681</v>
      </c>
      <c r="M97" s="1">
        <v>2706</v>
      </c>
      <c r="N97" s="1">
        <v>-98.4</v>
      </c>
      <c r="O97" s="1">
        <v>8</v>
      </c>
      <c r="P97" s="1">
        <v>2.2999999999999998</v>
      </c>
      <c r="Q97" s="1">
        <v>0</v>
      </c>
      <c r="R97" s="1">
        <v>0</v>
      </c>
      <c r="S97" s="1">
        <v>0</v>
      </c>
    </row>
    <row r="98" spans="1:19" x14ac:dyDescent="0.25">
      <c r="A98" s="1">
        <v>450</v>
      </c>
      <c r="B98" s="1">
        <v>504</v>
      </c>
      <c r="C98" s="1">
        <v>1480</v>
      </c>
      <c r="D98" s="1">
        <v>-154.5</v>
      </c>
      <c r="E98" s="1">
        <v>11.8</v>
      </c>
      <c r="F98" s="1">
        <v>3.4</v>
      </c>
      <c r="G98" s="1">
        <v>-41</v>
      </c>
      <c r="H98" s="1">
        <v>-4</v>
      </c>
      <c r="I98" s="1">
        <v>-1</v>
      </c>
      <c r="J98" s="1"/>
      <c r="K98" s="1">
        <v>450</v>
      </c>
      <c r="L98" s="1">
        <v>671</v>
      </c>
      <c r="M98" s="1">
        <v>2625</v>
      </c>
      <c r="N98" s="1">
        <v>-114.3</v>
      </c>
      <c r="O98" s="1">
        <v>8.6999999999999993</v>
      </c>
      <c r="P98" s="1">
        <v>2.5</v>
      </c>
      <c r="Q98" s="1">
        <v>0</v>
      </c>
      <c r="R98" s="1">
        <v>0</v>
      </c>
      <c r="S98" s="1">
        <v>0</v>
      </c>
    </row>
    <row r="99" spans="1:19" x14ac:dyDescent="0.25">
      <c r="A99" s="1">
        <v>475</v>
      </c>
      <c r="B99" s="1">
        <v>487</v>
      </c>
      <c r="C99" s="1">
        <v>1385</v>
      </c>
      <c r="D99" s="1">
        <v>-180.5</v>
      </c>
      <c r="E99" s="1">
        <v>13.1</v>
      </c>
      <c r="F99" s="1">
        <v>3.8</v>
      </c>
      <c r="G99" s="1">
        <v>-47</v>
      </c>
      <c r="H99" s="1">
        <v>-4</v>
      </c>
      <c r="I99" s="1">
        <v>-1</v>
      </c>
      <c r="J99" s="1"/>
      <c r="K99" s="1">
        <v>475</v>
      </c>
      <c r="L99" s="1">
        <v>661</v>
      </c>
      <c r="M99" s="1">
        <v>2545</v>
      </c>
      <c r="N99" s="1">
        <v>-131.69999999999999</v>
      </c>
      <c r="O99" s="1">
        <v>9.5</v>
      </c>
      <c r="P99" s="1">
        <v>2.8</v>
      </c>
      <c r="Q99" s="1">
        <v>0</v>
      </c>
      <c r="R99" s="1">
        <v>0</v>
      </c>
      <c r="S99" s="1">
        <v>0</v>
      </c>
    </row>
    <row r="100" spans="1:19" x14ac:dyDescent="0.25">
      <c r="A100" s="1">
        <v>500</v>
      </c>
      <c r="B100" s="1">
        <v>472</v>
      </c>
      <c r="C100" s="1">
        <v>1299</v>
      </c>
      <c r="D100" s="1">
        <v>-209.3</v>
      </c>
      <c r="E100" s="1">
        <v>14.4</v>
      </c>
      <c r="F100" s="1">
        <v>4.2</v>
      </c>
      <c r="G100" s="1">
        <v>-52</v>
      </c>
      <c r="H100" s="1">
        <v>-4</v>
      </c>
      <c r="I100" s="1">
        <v>-1</v>
      </c>
      <c r="J100" s="1"/>
      <c r="K100" s="1">
        <v>500</v>
      </c>
      <c r="L100" s="1">
        <v>651</v>
      </c>
      <c r="M100" s="1">
        <v>2471</v>
      </c>
      <c r="N100" s="1">
        <v>-150.5</v>
      </c>
      <c r="O100" s="1">
        <v>10.4</v>
      </c>
      <c r="P100" s="1">
        <v>3</v>
      </c>
      <c r="Q100" s="1">
        <v>0</v>
      </c>
      <c r="R100" s="1">
        <v>0</v>
      </c>
      <c r="S100" s="1">
        <v>0</v>
      </c>
    </row>
    <row r="102" spans="1:19" x14ac:dyDescent="0.25">
      <c r="A102" t="s">
        <v>88</v>
      </c>
      <c r="K102" t="s">
        <v>75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39</v>
      </c>
      <c r="H103" t="s">
        <v>40</v>
      </c>
      <c r="I103" t="s">
        <v>41</v>
      </c>
      <c r="K103" t="s">
        <v>12</v>
      </c>
      <c r="L103" t="s">
        <v>13</v>
      </c>
      <c r="M103" t="s">
        <v>14</v>
      </c>
      <c r="N103" t="s">
        <v>15</v>
      </c>
      <c r="O103" t="s">
        <v>16</v>
      </c>
      <c r="P103" t="s">
        <v>17</v>
      </c>
      <c r="Q103" t="s">
        <v>39</v>
      </c>
      <c r="R103" t="s">
        <v>40</v>
      </c>
      <c r="S103" t="s">
        <v>41</v>
      </c>
    </row>
    <row r="104" spans="1:19" x14ac:dyDescent="0.25">
      <c r="A104" s="1">
        <v>0</v>
      </c>
      <c r="B104" s="1">
        <v>869</v>
      </c>
      <c r="C104" s="1">
        <v>4402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>
        <v>0</v>
      </c>
      <c r="L104" s="1">
        <v>869</v>
      </c>
      <c r="M104" s="1">
        <v>4402</v>
      </c>
      <c r="N104" s="1">
        <v>-3.8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</row>
    <row r="105" spans="1:19" x14ac:dyDescent="0.25">
      <c r="A105" s="1">
        <v>25</v>
      </c>
      <c r="B105" s="1">
        <v>845</v>
      </c>
      <c r="C105" s="1">
        <v>4166</v>
      </c>
      <c r="D105" s="1">
        <v>-1.5</v>
      </c>
      <c r="E105" s="1">
        <v>2.1</v>
      </c>
      <c r="F105" s="1">
        <v>0.6</v>
      </c>
      <c r="G105">
        <v>0</v>
      </c>
      <c r="H105">
        <v>0</v>
      </c>
      <c r="I105">
        <v>0</v>
      </c>
      <c r="K105" s="1">
        <v>25</v>
      </c>
      <c r="L105" s="1">
        <v>857</v>
      </c>
      <c r="M105" s="1">
        <v>4283</v>
      </c>
      <c r="N105" s="1">
        <v>-1.6</v>
      </c>
      <c r="O105" s="1">
        <v>2.2000000000000002</v>
      </c>
      <c r="P105" s="1">
        <v>0.6</v>
      </c>
      <c r="Q105" s="1">
        <v>0</v>
      </c>
      <c r="R105" s="1">
        <v>0</v>
      </c>
      <c r="S105" s="1">
        <v>0</v>
      </c>
    </row>
    <row r="106" spans="1:19" x14ac:dyDescent="0.25">
      <c r="A106" s="1">
        <v>50</v>
      </c>
      <c r="B106" s="1">
        <v>822</v>
      </c>
      <c r="C106" s="1">
        <v>3943</v>
      </c>
      <c r="D106" s="1">
        <v>-0.1</v>
      </c>
      <c r="E106" s="1">
        <v>0</v>
      </c>
      <c r="F106" s="1">
        <v>0</v>
      </c>
      <c r="G106">
        <v>0</v>
      </c>
      <c r="H106">
        <v>0</v>
      </c>
      <c r="I106">
        <v>0</v>
      </c>
      <c r="K106" s="1">
        <v>50</v>
      </c>
      <c r="L106" s="1">
        <v>845</v>
      </c>
      <c r="M106" s="1">
        <v>4168</v>
      </c>
      <c r="N106" s="1">
        <v>-0.2</v>
      </c>
      <c r="O106" s="1">
        <v>0.1</v>
      </c>
      <c r="P106" s="1">
        <v>0</v>
      </c>
      <c r="Q106" s="1">
        <v>0</v>
      </c>
      <c r="R106" s="1">
        <v>0</v>
      </c>
      <c r="S106" s="1">
        <v>0</v>
      </c>
    </row>
    <row r="107" spans="1:19" x14ac:dyDescent="0.25">
      <c r="A107" s="1">
        <v>75</v>
      </c>
      <c r="B107" s="1">
        <v>800</v>
      </c>
      <c r="C107" s="1">
        <v>3729</v>
      </c>
      <c r="D107" s="1">
        <v>0.5</v>
      </c>
      <c r="E107" s="1">
        <v>-0.2</v>
      </c>
      <c r="F107" s="1">
        <v>-0.1</v>
      </c>
      <c r="G107">
        <v>-1</v>
      </c>
      <c r="H107">
        <v>0</v>
      </c>
      <c r="I107">
        <v>0</v>
      </c>
      <c r="K107" s="1">
        <v>75</v>
      </c>
      <c r="L107" s="1">
        <v>834</v>
      </c>
      <c r="M107" s="1">
        <v>4055</v>
      </c>
      <c r="N107" s="1">
        <v>0.3</v>
      </c>
      <c r="O107" s="1">
        <v>-0.2</v>
      </c>
      <c r="P107" s="1">
        <v>0</v>
      </c>
      <c r="Q107" s="1">
        <v>0</v>
      </c>
      <c r="R107" s="1">
        <v>0</v>
      </c>
      <c r="S107" s="1">
        <v>0</v>
      </c>
    </row>
    <row r="108" spans="1:19" x14ac:dyDescent="0.25">
      <c r="A108" s="10">
        <v>100</v>
      </c>
      <c r="B108" s="10">
        <v>777</v>
      </c>
      <c r="C108" s="10">
        <v>3524</v>
      </c>
      <c r="D108" s="10">
        <v>0</v>
      </c>
      <c r="E108" s="10">
        <v>0</v>
      </c>
      <c r="F108" s="10">
        <v>0</v>
      </c>
      <c r="G108">
        <v>-2</v>
      </c>
      <c r="H108">
        <v>-1</v>
      </c>
      <c r="I108">
        <v>0</v>
      </c>
      <c r="K108" s="1">
        <v>100</v>
      </c>
      <c r="L108" s="1">
        <v>822</v>
      </c>
      <c r="M108" s="1">
        <v>3944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1:19" x14ac:dyDescent="0.25">
      <c r="A109" s="1">
        <v>125</v>
      </c>
      <c r="B109" s="1">
        <v>755</v>
      </c>
      <c r="C109" s="1">
        <v>3329</v>
      </c>
      <c r="D109" s="1">
        <v>-1.5</v>
      </c>
      <c r="E109" s="1">
        <v>0.4</v>
      </c>
      <c r="F109" s="1">
        <v>0.1</v>
      </c>
      <c r="G109">
        <v>-3</v>
      </c>
      <c r="H109">
        <v>-1</v>
      </c>
      <c r="I109">
        <v>0</v>
      </c>
      <c r="K109" s="1">
        <v>125</v>
      </c>
      <c r="L109" s="1">
        <v>811</v>
      </c>
      <c r="M109" s="1">
        <v>3836</v>
      </c>
      <c r="N109" s="1">
        <v>-1.3</v>
      </c>
      <c r="O109" s="1">
        <v>0.4</v>
      </c>
      <c r="P109" s="1">
        <v>0.1</v>
      </c>
      <c r="Q109" s="1">
        <v>0</v>
      </c>
      <c r="R109" s="1">
        <v>0</v>
      </c>
      <c r="S109" s="1">
        <v>0</v>
      </c>
    </row>
    <row r="110" spans="1:19" x14ac:dyDescent="0.25">
      <c r="A110" s="1">
        <v>150</v>
      </c>
      <c r="B110" s="1">
        <v>734</v>
      </c>
      <c r="C110" s="1">
        <v>3142</v>
      </c>
      <c r="D110" s="1">
        <v>-4.0999999999999996</v>
      </c>
      <c r="E110" s="1">
        <v>0.9</v>
      </c>
      <c r="F110" s="1">
        <v>0.3</v>
      </c>
      <c r="G110">
        <v>-4</v>
      </c>
      <c r="H110">
        <v>-1</v>
      </c>
      <c r="I110">
        <v>0</v>
      </c>
      <c r="K110" s="1">
        <v>150</v>
      </c>
      <c r="L110" s="1">
        <v>800</v>
      </c>
      <c r="M110" s="1">
        <v>3730</v>
      </c>
      <c r="N110" s="1">
        <v>-3.5</v>
      </c>
      <c r="O110" s="1">
        <v>0.8</v>
      </c>
      <c r="P110" s="1">
        <v>0.2</v>
      </c>
      <c r="Q110" s="1">
        <v>0</v>
      </c>
      <c r="R110" s="1">
        <v>0</v>
      </c>
      <c r="S110" s="1">
        <v>0</v>
      </c>
    </row>
    <row r="111" spans="1:19" x14ac:dyDescent="0.25">
      <c r="A111" s="1">
        <v>175</v>
      </c>
      <c r="B111" s="1">
        <v>713</v>
      </c>
      <c r="C111" s="1">
        <v>2963</v>
      </c>
      <c r="D111" s="1">
        <v>-7.8</v>
      </c>
      <c r="E111" s="1">
        <v>1.5</v>
      </c>
      <c r="F111" s="1">
        <v>0.4</v>
      </c>
      <c r="G111">
        <v>-5</v>
      </c>
      <c r="H111">
        <v>-1</v>
      </c>
      <c r="I111">
        <v>0</v>
      </c>
      <c r="K111" s="1">
        <v>175</v>
      </c>
      <c r="L111" s="1">
        <v>788</v>
      </c>
      <c r="M111" s="1">
        <v>3626</v>
      </c>
      <c r="N111" s="1">
        <v>-6.7</v>
      </c>
      <c r="O111" s="1">
        <v>1.3</v>
      </c>
      <c r="P111" s="1">
        <v>0.4</v>
      </c>
      <c r="Q111" s="1">
        <v>0</v>
      </c>
      <c r="R111" s="1">
        <v>0</v>
      </c>
      <c r="S111" s="1">
        <v>0</v>
      </c>
    </row>
    <row r="112" spans="1:19" x14ac:dyDescent="0.25">
      <c r="A112" s="1">
        <v>200</v>
      </c>
      <c r="B112" s="1">
        <v>692</v>
      </c>
      <c r="C112" s="1">
        <v>2792</v>
      </c>
      <c r="D112" s="1">
        <v>-13</v>
      </c>
      <c r="E112" s="1">
        <v>2.2000000000000002</v>
      </c>
      <c r="F112" s="1">
        <v>0.6</v>
      </c>
      <c r="G112">
        <v>-7</v>
      </c>
      <c r="H112">
        <v>-1</v>
      </c>
      <c r="I112">
        <v>0</v>
      </c>
      <c r="K112" s="1">
        <v>200</v>
      </c>
      <c r="L112" s="1">
        <v>777</v>
      </c>
      <c r="M112" s="1">
        <v>3525</v>
      </c>
      <c r="N112" s="1">
        <v>-11</v>
      </c>
      <c r="O112" s="1">
        <v>1.9</v>
      </c>
      <c r="P112" s="1">
        <v>0.5</v>
      </c>
      <c r="Q112" s="1">
        <v>0</v>
      </c>
      <c r="R112" s="1">
        <v>0</v>
      </c>
      <c r="S112" s="1">
        <v>0</v>
      </c>
    </row>
    <row r="113" spans="1:19" x14ac:dyDescent="0.25">
      <c r="A113" s="1">
        <v>225</v>
      </c>
      <c r="B113" s="1">
        <v>671</v>
      </c>
      <c r="C113" s="1">
        <v>2629</v>
      </c>
      <c r="D113" s="1">
        <v>-19.3</v>
      </c>
      <c r="E113" s="1">
        <v>2.9</v>
      </c>
      <c r="F113" s="1">
        <v>0.9</v>
      </c>
      <c r="G113">
        <v>-9</v>
      </c>
      <c r="H113">
        <v>-2</v>
      </c>
      <c r="I113">
        <v>0</v>
      </c>
      <c r="K113" s="1">
        <v>225</v>
      </c>
      <c r="L113" s="1">
        <v>766</v>
      </c>
      <c r="M113" s="1">
        <v>3425</v>
      </c>
      <c r="N113" s="1">
        <v>-16.100000000000001</v>
      </c>
      <c r="O113" s="1">
        <v>2.5</v>
      </c>
      <c r="P113" s="1">
        <v>0.7</v>
      </c>
      <c r="Q113" s="1">
        <v>0</v>
      </c>
      <c r="R113" s="1">
        <v>0</v>
      </c>
      <c r="S113" s="1">
        <v>0</v>
      </c>
    </row>
    <row r="114" spans="1:19" x14ac:dyDescent="0.25">
      <c r="A114" s="1">
        <v>250</v>
      </c>
      <c r="B114" s="1">
        <v>651</v>
      </c>
      <c r="C114" s="1">
        <v>2473</v>
      </c>
      <c r="D114" s="1">
        <v>-27</v>
      </c>
      <c r="E114" s="1">
        <v>3.7</v>
      </c>
      <c r="F114" s="1">
        <v>1.1000000000000001</v>
      </c>
      <c r="G114">
        <v>-11</v>
      </c>
      <c r="H114">
        <v>-2</v>
      </c>
      <c r="I114">
        <v>0</v>
      </c>
      <c r="K114" s="1">
        <v>250</v>
      </c>
      <c r="L114" s="1">
        <v>755</v>
      </c>
      <c r="M114" s="1">
        <v>3328</v>
      </c>
      <c r="N114" s="1">
        <v>-22.4</v>
      </c>
      <c r="O114" s="1">
        <v>3.1</v>
      </c>
      <c r="P114" s="1">
        <v>0.9</v>
      </c>
      <c r="Q114" s="1">
        <v>0</v>
      </c>
      <c r="R114" s="1">
        <v>0</v>
      </c>
      <c r="S114" s="1">
        <v>0</v>
      </c>
    </row>
    <row r="115" spans="1:19" x14ac:dyDescent="0.25">
      <c r="A115" s="1">
        <v>275</v>
      </c>
      <c r="B115" s="1">
        <v>631</v>
      </c>
      <c r="C115" s="1">
        <v>2325</v>
      </c>
      <c r="D115" s="1">
        <v>-36.5</v>
      </c>
      <c r="E115" s="1">
        <v>4.5999999999999996</v>
      </c>
      <c r="F115" s="1">
        <v>1.3</v>
      </c>
      <c r="G115">
        <v>-14</v>
      </c>
      <c r="H115">
        <v>-2</v>
      </c>
      <c r="I115">
        <v>-1</v>
      </c>
      <c r="K115" s="1">
        <v>275</v>
      </c>
      <c r="L115" s="1">
        <v>745</v>
      </c>
      <c r="M115" s="1">
        <v>3233</v>
      </c>
      <c r="N115" s="1">
        <v>-30</v>
      </c>
      <c r="O115" s="1">
        <v>3.7</v>
      </c>
      <c r="P115" s="1">
        <v>1.1000000000000001</v>
      </c>
      <c r="Q115" s="1">
        <v>0</v>
      </c>
      <c r="R115" s="1">
        <v>0</v>
      </c>
      <c r="S115" s="1">
        <v>0</v>
      </c>
    </row>
    <row r="116" spans="1:19" x14ac:dyDescent="0.25">
      <c r="A116" s="1">
        <v>300</v>
      </c>
      <c r="B116" s="1">
        <v>612</v>
      </c>
      <c r="C116" s="1">
        <v>2184</v>
      </c>
      <c r="D116" s="1">
        <v>-47.4</v>
      </c>
      <c r="E116" s="1">
        <v>5.4</v>
      </c>
      <c r="F116" s="1">
        <v>1.6</v>
      </c>
      <c r="G116">
        <v>-17</v>
      </c>
      <c r="H116">
        <v>-2</v>
      </c>
      <c r="I116">
        <v>-1</v>
      </c>
      <c r="K116" s="1">
        <v>300</v>
      </c>
      <c r="L116" s="1">
        <v>734</v>
      </c>
      <c r="M116" s="1">
        <v>3140</v>
      </c>
      <c r="N116" s="1">
        <v>-38.4</v>
      </c>
      <c r="O116" s="1">
        <v>4.4000000000000004</v>
      </c>
      <c r="P116" s="1">
        <v>1.3</v>
      </c>
      <c r="Q116" s="1">
        <v>0</v>
      </c>
      <c r="R116" s="1">
        <v>0</v>
      </c>
      <c r="S116" s="1">
        <v>0</v>
      </c>
    </row>
    <row r="117" spans="1:19" x14ac:dyDescent="0.25">
      <c r="A117" s="1">
        <v>325</v>
      </c>
      <c r="B117" s="1">
        <v>593</v>
      </c>
      <c r="C117" s="1">
        <v>2050</v>
      </c>
      <c r="D117" s="1">
        <v>-59.9</v>
      </c>
      <c r="E117" s="1">
        <v>6.3</v>
      </c>
      <c r="F117" s="1">
        <v>1.8</v>
      </c>
      <c r="G117">
        <v>-20</v>
      </c>
      <c r="H117">
        <v>-2</v>
      </c>
      <c r="I117">
        <v>-1</v>
      </c>
      <c r="K117" s="1">
        <v>325</v>
      </c>
      <c r="L117" s="1">
        <v>723</v>
      </c>
      <c r="M117" s="1">
        <v>3049</v>
      </c>
      <c r="N117" s="1">
        <v>-48</v>
      </c>
      <c r="O117" s="1">
        <v>5.0999999999999996</v>
      </c>
      <c r="P117" s="1">
        <v>1.5</v>
      </c>
      <c r="Q117" s="1">
        <v>0</v>
      </c>
      <c r="R117" s="1">
        <v>0</v>
      </c>
      <c r="S117" s="1">
        <v>0</v>
      </c>
    </row>
    <row r="118" spans="1:19" x14ac:dyDescent="0.25">
      <c r="A118" s="1">
        <v>350</v>
      </c>
      <c r="B118" s="1">
        <v>574</v>
      </c>
      <c r="C118" s="1">
        <v>1923</v>
      </c>
      <c r="D118" s="1">
        <v>-74.900000000000006</v>
      </c>
      <c r="E118" s="1">
        <v>7.3</v>
      </c>
      <c r="F118" s="1">
        <v>2.1</v>
      </c>
      <c r="G118">
        <v>-24</v>
      </c>
      <c r="H118">
        <v>-2</v>
      </c>
      <c r="I118">
        <v>-1</v>
      </c>
      <c r="K118" s="1">
        <v>350</v>
      </c>
      <c r="L118" s="1">
        <v>712</v>
      </c>
      <c r="M118" s="1">
        <v>2960</v>
      </c>
      <c r="N118" s="1">
        <v>-59.2</v>
      </c>
      <c r="O118" s="1">
        <v>5.8</v>
      </c>
      <c r="P118" s="1">
        <v>1.7</v>
      </c>
      <c r="Q118" s="1">
        <v>0</v>
      </c>
      <c r="R118" s="1">
        <v>0</v>
      </c>
      <c r="S118" s="1">
        <v>0</v>
      </c>
    </row>
    <row r="119" spans="1:19" x14ac:dyDescent="0.25">
      <c r="A119" s="1">
        <v>375</v>
      </c>
      <c r="B119" s="1">
        <v>556</v>
      </c>
      <c r="C119" s="1">
        <v>1803</v>
      </c>
      <c r="D119" s="1">
        <v>-91.3</v>
      </c>
      <c r="E119" s="1">
        <v>8.4</v>
      </c>
      <c r="F119" s="1">
        <v>2.4</v>
      </c>
      <c r="G119">
        <v>-27</v>
      </c>
      <c r="H119">
        <v>-3</v>
      </c>
      <c r="I119">
        <v>-1</v>
      </c>
      <c r="K119" s="1">
        <v>375</v>
      </c>
      <c r="L119" s="1">
        <v>702</v>
      </c>
      <c r="M119" s="1">
        <v>2874</v>
      </c>
      <c r="N119" s="1">
        <v>-71.3</v>
      </c>
      <c r="O119" s="1">
        <v>6.5</v>
      </c>
      <c r="P119" s="1">
        <v>1.9</v>
      </c>
      <c r="Q119" s="1">
        <v>0</v>
      </c>
      <c r="R119" s="1">
        <v>0</v>
      </c>
      <c r="S119" s="1">
        <v>0</v>
      </c>
    </row>
    <row r="120" spans="1:19" x14ac:dyDescent="0.25">
      <c r="A120" s="1">
        <v>400</v>
      </c>
      <c r="B120" s="1">
        <v>538</v>
      </c>
      <c r="C120" s="1">
        <v>1689</v>
      </c>
      <c r="D120" s="1">
        <v>-109.9</v>
      </c>
      <c r="E120" s="1">
        <v>9.5</v>
      </c>
      <c r="F120" s="1">
        <v>2.8</v>
      </c>
      <c r="G120">
        <v>-32</v>
      </c>
      <c r="H120">
        <v>-3</v>
      </c>
      <c r="I120">
        <v>-1</v>
      </c>
      <c r="K120" s="1">
        <v>400</v>
      </c>
      <c r="L120" s="1">
        <v>691</v>
      </c>
      <c r="M120" s="1">
        <v>2789</v>
      </c>
      <c r="N120" s="1">
        <v>-84.6</v>
      </c>
      <c r="O120" s="1">
        <v>7.3</v>
      </c>
      <c r="P120" s="1">
        <v>2.1</v>
      </c>
      <c r="Q120" s="1">
        <v>0</v>
      </c>
      <c r="R120" s="1">
        <v>0</v>
      </c>
      <c r="S120" s="1">
        <v>0</v>
      </c>
    </row>
    <row r="121" spans="1:19" x14ac:dyDescent="0.25">
      <c r="A121" s="1">
        <v>425</v>
      </c>
      <c r="B121" s="1">
        <v>521</v>
      </c>
      <c r="C121" s="1">
        <v>1581</v>
      </c>
      <c r="D121" s="1">
        <v>-131.6</v>
      </c>
      <c r="E121" s="1">
        <v>10.6</v>
      </c>
      <c r="F121" s="1">
        <v>3.1</v>
      </c>
      <c r="G121">
        <v>-36</v>
      </c>
      <c r="H121">
        <v>-3</v>
      </c>
      <c r="I121">
        <v>-1</v>
      </c>
      <c r="K121" s="1">
        <v>425</v>
      </c>
      <c r="L121" s="1">
        <v>681</v>
      </c>
      <c r="M121" s="1">
        <v>2706</v>
      </c>
      <c r="N121" s="1">
        <v>-99.8</v>
      </c>
      <c r="O121" s="1">
        <v>8.1</v>
      </c>
      <c r="P121" s="1">
        <v>2.2999999999999998</v>
      </c>
      <c r="Q121" s="1">
        <v>0</v>
      </c>
      <c r="R121" s="1">
        <v>0</v>
      </c>
      <c r="S121" s="1">
        <v>0</v>
      </c>
    </row>
    <row r="122" spans="1:19" x14ac:dyDescent="0.25">
      <c r="A122" s="1">
        <v>450</v>
      </c>
      <c r="B122" s="1">
        <v>504</v>
      </c>
      <c r="C122" s="1">
        <v>1480</v>
      </c>
      <c r="D122" s="1">
        <v>-155</v>
      </c>
      <c r="E122" s="1">
        <v>11.8</v>
      </c>
      <c r="F122" s="1">
        <v>3.4</v>
      </c>
      <c r="G122">
        <v>-41</v>
      </c>
      <c r="H122">
        <v>-4</v>
      </c>
      <c r="I122">
        <v>-1</v>
      </c>
      <c r="K122" s="1">
        <v>450</v>
      </c>
      <c r="L122" s="1">
        <v>671</v>
      </c>
      <c r="M122" s="1">
        <v>2625</v>
      </c>
      <c r="N122" s="1">
        <v>-115.8</v>
      </c>
      <c r="O122" s="1">
        <v>8.8000000000000007</v>
      </c>
      <c r="P122" s="1">
        <v>2.6</v>
      </c>
      <c r="Q122" s="1">
        <v>0</v>
      </c>
      <c r="R122" s="1">
        <v>0</v>
      </c>
      <c r="S122" s="1">
        <v>0</v>
      </c>
    </row>
    <row r="123" spans="1:19" x14ac:dyDescent="0.25">
      <c r="A123" s="1">
        <v>475</v>
      </c>
      <c r="B123" s="1">
        <v>487</v>
      </c>
      <c r="C123" s="1">
        <v>1385</v>
      </c>
      <c r="D123" s="1">
        <v>-181</v>
      </c>
      <c r="E123" s="1">
        <v>13.1</v>
      </c>
      <c r="F123" s="1">
        <v>3.8</v>
      </c>
      <c r="G123">
        <v>-47</v>
      </c>
      <c r="H123">
        <v>-4</v>
      </c>
      <c r="I123">
        <v>-1</v>
      </c>
      <c r="K123" s="1">
        <v>475</v>
      </c>
      <c r="L123" s="1">
        <v>661</v>
      </c>
      <c r="M123" s="1">
        <v>2545</v>
      </c>
      <c r="N123" s="1">
        <v>-133.30000000000001</v>
      </c>
      <c r="O123" s="1">
        <v>9.6999999999999993</v>
      </c>
      <c r="P123" s="1">
        <v>2.8</v>
      </c>
      <c r="Q123" s="1">
        <v>0</v>
      </c>
      <c r="R123" s="1">
        <v>0</v>
      </c>
      <c r="S123" s="1">
        <v>0</v>
      </c>
    </row>
    <row r="124" spans="1:19" x14ac:dyDescent="0.25">
      <c r="A124" s="1">
        <v>500</v>
      </c>
      <c r="B124" s="1">
        <v>472</v>
      </c>
      <c r="C124" s="1">
        <v>1299</v>
      </c>
      <c r="D124" s="1">
        <v>-209.9</v>
      </c>
      <c r="E124" s="1">
        <v>14.4</v>
      </c>
      <c r="F124" s="1">
        <v>4.2</v>
      </c>
      <c r="G124">
        <v>-52</v>
      </c>
      <c r="H124">
        <v>-4</v>
      </c>
      <c r="I124">
        <v>-1</v>
      </c>
      <c r="K124" s="1">
        <v>500</v>
      </c>
      <c r="L124" s="1">
        <v>651</v>
      </c>
      <c r="M124" s="1">
        <v>2471</v>
      </c>
      <c r="N124" s="1">
        <v>-152.1</v>
      </c>
      <c r="O124" s="1">
        <v>10.5</v>
      </c>
      <c r="P124" s="1">
        <v>3</v>
      </c>
      <c r="Q124" s="1">
        <v>0</v>
      </c>
      <c r="R124" s="1">
        <v>0</v>
      </c>
      <c r="S124" s="1">
        <v>0</v>
      </c>
    </row>
    <row r="126" spans="1:19" x14ac:dyDescent="0.25">
      <c r="A126" t="s">
        <v>89</v>
      </c>
      <c r="K126" t="s">
        <v>76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39</v>
      </c>
      <c r="H127" t="s">
        <v>40</v>
      </c>
      <c r="I127" t="s">
        <v>41</v>
      </c>
      <c r="K127" t="s">
        <v>12</v>
      </c>
      <c r="L127" t="s">
        <v>13</v>
      </c>
      <c r="M127" t="s">
        <v>14</v>
      </c>
      <c r="N127" t="s">
        <v>15</v>
      </c>
      <c r="O127" t="s">
        <v>16</v>
      </c>
      <c r="P127" t="s">
        <v>17</v>
      </c>
      <c r="Q127" t="s">
        <v>39</v>
      </c>
      <c r="R127" t="s">
        <v>40</v>
      </c>
      <c r="S127" t="s">
        <v>41</v>
      </c>
    </row>
    <row r="128" spans="1:19" x14ac:dyDescent="0.25">
      <c r="A128" s="1">
        <v>0</v>
      </c>
      <c r="B128" s="1">
        <v>869</v>
      </c>
      <c r="C128" s="1">
        <v>4402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869</v>
      </c>
      <c r="M128" s="1">
        <v>4402</v>
      </c>
      <c r="N128" s="1">
        <v>-3.8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</row>
    <row r="129" spans="1:19" x14ac:dyDescent="0.25">
      <c r="A129" s="1">
        <v>25</v>
      </c>
      <c r="B129" s="1">
        <v>845</v>
      </c>
      <c r="C129" s="1">
        <v>4166</v>
      </c>
      <c r="D129" s="1">
        <v>-0.8</v>
      </c>
      <c r="E129" s="1">
        <v>1.2</v>
      </c>
      <c r="F129" s="1">
        <v>0.3</v>
      </c>
      <c r="G129">
        <v>0</v>
      </c>
      <c r="H129">
        <v>0</v>
      </c>
      <c r="I129">
        <v>0</v>
      </c>
      <c r="K129" s="1">
        <v>25</v>
      </c>
      <c r="L129" s="1">
        <v>857</v>
      </c>
      <c r="M129" s="1">
        <v>4283</v>
      </c>
      <c r="N129" s="1">
        <v>-1</v>
      </c>
      <c r="O129" s="1">
        <v>1.4</v>
      </c>
      <c r="P129" s="1">
        <v>0.4</v>
      </c>
      <c r="Q129" s="1">
        <v>0</v>
      </c>
      <c r="R129" s="1">
        <v>0</v>
      </c>
      <c r="S129" s="1">
        <v>0</v>
      </c>
    </row>
    <row r="130" spans="1:19" x14ac:dyDescent="0.25">
      <c r="A130" s="1">
        <v>50</v>
      </c>
      <c r="B130" s="1">
        <v>822</v>
      </c>
      <c r="C130" s="1">
        <v>3943</v>
      </c>
      <c r="D130" s="1">
        <v>1.3</v>
      </c>
      <c r="E130" s="1">
        <v>-0.9</v>
      </c>
      <c r="F130" s="1">
        <v>-0.3</v>
      </c>
      <c r="G130">
        <v>0</v>
      </c>
      <c r="H130">
        <v>0</v>
      </c>
      <c r="I130">
        <v>0</v>
      </c>
      <c r="K130" s="1">
        <v>50</v>
      </c>
      <c r="L130" s="1">
        <v>845</v>
      </c>
      <c r="M130" s="1">
        <v>4168</v>
      </c>
      <c r="N130" s="1">
        <v>1</v>
      </c>
      <c r="O130" s="1">
        <v>-0.7</v>
      </c>
      <c r="P130" s="1">
        <v>-0.2</v>
      </c>
      <c r="Q130" s="1">
        <v>0</v>
      </c>
      <c r="R130" s="1">
        <v>0</v>
      </c>
      <c r="S130" s="1">
        <v>0</v>
      </c>
    </row>
    <row r="131" spans="1:19" x14ac:dyDescent="0.25">
      <c r="A131" s="1">
        <v>75</v>
      </c>
      <c r="B131" s="1">
        <v>800</v>
      </c>
      <c r="C131" s="1">
        <v>3729</v>
      </c>
      <c r="D131" s="1">
        <v>2.5</v>
      </c>
      <c r="E131" s="1">
        <v>-1.2</v>
      </c>
      <c r="F131" s="1">
        <v>-0.3</v>
      </c>
      <c r="G131">
        <v>-1</v>
      </c>
      <c r="H131">
        <v>0</v>
      </c>
      <c r="I131">
        <v>0</v>
      </c>
      <c r="K131" s="1">
        <v>75</v>
      </c>
      <c r="L131" s="1">
        <v>834</v>
      </c>
      <c r="M131" s="1">
        <v>4055</v>
      </c>
      <c r="N131" s="1">
        <v>2.1</v>
      </c>
      <c r="O131" s="1">
        <v>-1</v>
      </c>
      <c r="P131" s="1">
        <v>-0.3</v>
      </c>
      <c r="Q131" s="1">
        <v>0</v>
      </c>
      <c r="R131" s="1">
        <v>0</v>
      </c>
      <c r="S131" s="1">
        <v>0</v>
      </c>
    </row>
    <row r="132" spans="1:19" x14ac:dyDescent="0.25">
      <c r="A132" s="1">
        <v>100</v>
      </c>
      <c r="B132" s="1">
        <v>777</v>
      </c>
      <c r="C132" s="1">
        <v>3524</v>
      </c>
      <c r="D132" s="1">
        <v>2.8</v>
      </c>
      <c r="E132" s="1">
        <v>-1</v>
      </c>
      <c r="F132" s="1">
        <v>-0.3</v>
      </c>
      <c r="G132">
        <v>-2</v>
      </c>
      <c r="H132">
        <v>-1</v>
      </c>
      <c r="I132">
        <v>0</v>
      </c>
      <c r="K132" s="1">
        <v>100</v>
      </c>
      <c r="L132" s="1">
        <v>822</v>
      </c>
      <c r="M132" s="1">
        <v>3944</v>
      </c>
      <c r="N132" s="1">
        <v>2.2999999999999998</v>
      </c>
      <c r="O132" s="1">
        <v>-0.8</v>
      </c>
      <c r="P132" s="1">
        <v>-0.2</v>
      </c>
      <c r="Q132" s="1">
        <v>0</v>
      </c>
      <c r="R132" s="1">
        <v>0</v>
      </c>
      <c r="S132" s="1">
        <v>0</v>
      </c>
    </row>
    <row r="133" spans="1:19" x14ac:dyDescent="0.25">
      <c r="A133" s="1">
        <v>125</v>
      </c>
      <c r="B133" s="1">
        <v>755</v>
      </c>
      <c r="C133" s="1">
        <v>3329</v>
      </c>
      <c r="D133" s="1">
        <v>1.9</v>
      </c>
      <c r="E133" s="1">
        <v>-0.5</v>
      </c>
      <c r="F133" s="1">
        <v>-0.2</v>
      </c>
      <c r="G133">
        <v>-3</v>
      </c>
      <c r="H133">
        <v>-1</v>
      </c>
      <c r="I133">
        <v>0</v>
      </c>
      <c r="K133" s="1">
        <v>125</v>
      </c>
      <c r="L133" s="1">
        <v>811</v>
      </c>
      <c r="M133" s="1">
        <v>3836</v>
      </c>
      <c r="N133" s="1">
        <v>1.6</v>
      </c>
      <c r="O133" s="1">
        <v>-0.4</v>
      </c>
      <c r="P133" s="1">
        <v>-0.1</v>
      </c>
      <c r="Q133" s="1">
        <v>0</v>
      </c>
      <c r="R133" s="1">
        <v>0</v>
      </c>
      <c r="S133" s="1">
        <v>0</v>
      </c>
    </row>
    <row r="134" spans="1:19" x14ac:dyDescent="0.25">
      <c r="A134" s="10">
        <v>150</v>
      </c>
      <c r="B134" s="10">
        <v>734</v>
      </c>
      <c r="C134" s="10">
        <v>3142</v>
      </c>
      <c r="D134" s="10">
        <v>0</v>
      </c>
      <c r="E134" s="10">
        <v>0</v>
      </c>
      <c r="F134" s="10">
        <v>0</v>
      </c>
      <c r="G134">
        <v>-4</v>
      </c>
      <c r="H134">
        <v>-1</v>
      </c>
      <c r="I134">
        <v>0</v>
      </c>
      <c r="K134" s="1">
        <v>150</v>
      </c>
      <c r="L134" s="1">
        <v>800</v>
      </c>
      <c r="M134" s="1">
        <v>3730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1:19" x14ac:dyDescent="0.25">
      <c r="A135" s="1">
        <v>175</v>
      </c>
      <c r="B135" s="1">
        <v>713</v>
      </c>
      <c r="C135" s="1">
        <v>2963</v>
      </c>
      <c r="D135" s="1">
        <v>-3</v>
      </c>
      <c r="E135" s="1">
        <v>0.6</v>
      </c>
      <c r="F135" s="1">
        <v>0.2</v>
      </c>
      <c r="G135">
        <v>-5</v>
      </c>
      <c r="H135">
        <v>-1</v>
      </c>
      <c r="I135">
        <v>0</v>
      </c>
      <c r="K135" s="1">
        <v>175</v>
      </c>
      <c r="L135" s="1">
        <v>788</v>
      </c>
      <c r="M135" s="1">
        <v>3626</v>
      </c>
      <c r="N135" s="1">
        <v>-2.6</v>
      </c>
      <c r="O135" s="1">
        <v>0.5</v>
      </c>
      <c r="P135" s="1">
        <v>0.1</v>
      </c>
      <c r="Q135" s="1">
        <v>0</v>
      </c>
      <c r="R135" s="1">
        <v>0</v>
      </c>
      <c r="S135" s="1">
        <v>0</v>
      </c>
    </row>
    <row r="136" spans="1:19" x14ac:dyDescent="0.25">
      <c r="A136" s="1">
        <v>200</v>
      </c>
      <c r="B136" s="1">
        <v>692</v>
      </c>
      <c r="C136" s="1">
        <v>2792</v>
      </c>
      <c r="D136" s="1">
        <v>-7.4</v>
      </c>
      <c r="E136" s="1">
        <v>1.3</v>
      </c>
      <c r="F136" s="1">
        <v>0.4</v>
      </c>
      <c r="G136">
        <v>-7</v>
      </c>
      <c r="H136">
        <v>-1</v>
      </c>
      <c r="I136">
        <v>0</v>
      </c>
      <c r="K136" s="1">
        <v>200</v>
      </c>
      <c r="L136" s="1">
        <v>777</v>
      </c>
      <c r="M136" s="1">
        <v>3525</v>
      </c>
      <c r="N136" s="1">
        <v>-6.3</v>
      </c>
      <c r="O136" s="1">
        <v>1.1000000000000001</v>
      </c>
      <c r="P136" s="1">
        <v>0.3</v>
      </c>
      <c r="Q136" s="1">
        <v>0</v>
      </c>
      <c r="R136" s="1">
        <v>0</v>
      </c>
      <c r="S136" s="1">
        <v>0</v>
      </c>
    </row>
    <row r="137" spans="1:19" x14ac:dyDescent="0.25">
      <c r="A137" s="1">
        <v>225</v>
      </c>
      <c r="B137" s="1">
        <v>671</v>
      </c>
      <c r="C137" s="1">
        <v>2629</v>
      </c>
      <c r="D137" s="1">
        <v>-13.1</v>
      </c>
      <c r="E137" s="1">
        <v>2</v>
      </c>
      <c r="F137" s="1">
        <v>0.6</v>
      </c>
      <c r="G137">
        <v>-9</v>
      </c>
      <c r="H137">
        <v>-2</v>
      </c>
      <c r="I137">
        <v>0</v>
      </c>
      <c r="K137" s="1">
        <v>225</v>
      </c>
      <c r="L137" s="1">
        <v>766</v>
      </c>
      <c r="M137" s="1">
        <v>3425</v>
      </c>
      <c r="N137" s="1">
        <v>-10.9</v>
      </c>
      <c r="O137" s="1">
        <v>1.7</v>
      </c>
      <c r="P137" s="1">
        <v>0.5</v>
      </c>
      <c r="Q137" s="1">
        <v>0</v>
      </c>
      <c r="R137" s="1">
        <v>0</v>
      </c>
      <c r="S137" s="1">
        <v>0</v>
      </c>
    </row>
    <row r="138" spans="1:19" x14ac:dyDescent="0.25">
      <c r="A138" s="1">
        <v>250</v>
      </c>
      <c r="B138" s="1">
        <v>651</v>
      </c>
      <c r="C138" s="1">
        <v>2473</v>
      </c>
      <c r="D138" s="1">
        <v>-20.100000000000001</v>
      </c>
      <c r="E138" s="1">
        <v>2.8</v>
      </c>
      <c r="F138" s="1">
        <v>0.8</v>
      </c>
      <c r="G138">
        <v>-11</v>
      </c>
      <c r="H138">
        <v>-2</v>
      </c>
      <c r="I138">
        <v>0</v>
      </c>
      <c r="K138" s="1">
        <v>250</v>
      </c>
      <c r="L138" s="1">
        <v>755</v>
      </c>
      <c r="M138" s="1">
        <v>3328</v>
      </c>
      <c r="N138" s="1">
        <v>-16.5</v>
      </c>
      <c r="O138" s="1">
        <v>2.2999999999999998</v>
      </c>
      <c r="P138" s="1">
        <v>0.7</v>
      </c>
      <c r="Q138" s="1">
        <v>0</v>
      </c>
      <c r="R138" s="1">
        <v>0</v>
      </c>
      <c r="S138" s="1">
        <v>0</v>
      </c>
    </row>
    <row r="139" spans="1:19" x14ac:dyDescent="0.25">
      <c r="A139" s="1">
        <v>275</v>
      </c>
      <c r="B139" s="1">
        <v>631</v>
      </c>
      <c r="C139" s="1">
        <v>2325</v>
      </c>
      <c r="D139" s="1">
        <v>-28.9</v>
      </c>
      <c r="E139" s="1">
        <v>3.6</v>
      </c>
      <c r="F139" s="1">
        <v>1.1000000000000001</v>
      </c>
      <c r="G139">
        <v>-14</v>
      </c>
      <c r="H139">
        <v>-2</v>
      </c>
      <c r="I139">
        <v>-1</v>
      </c>
      <c r="K139" s="1">
        <v>275</v>
      </c>
      <c r="L139" s="1">
        <v>745</v>
      </c>
      <c r="M139" s="1">
        <v>3233</v>
      </c>
      <c r="N139" s="1">
        <v>-23.5</v>
      </c>
      <c r="O139" s="1">
        <v>2.9</v>
      </c>
      <c r="P139" s="1">
        <v>0.9</v>
      </c>
      <c r="Q139" s="1">
        <v>0</v>
      </c>
      <c r="R139" s="1">
        <v>0</v>
      </c>
      <c r="S139" s="1">
        <v>0</v>
      </c>
    </row>
    <row r="140" spans="1:19" x14ac:dyDescent="0.25">
      <c r="A140" s="1">
        <v>300</v>
      </c>
      <c r="B140" s="1">
        <v>612</v>
      </c>
      <c r="C140" s="1">
        <v>2184</v>
      </c>
      <c r="D140" s="1">
        <v>-39.1</v>
      </c>
      <c r="E140" s="1">
        <v>4.5</v>
      </c>
      <c r="F140" s="1">
        <v>1.3</v>
      </c>
      <c r="G140">
        <v>-17</v>
      </c>
      <c r="H140">
        <v>-2</v>
      </c>
      <c r="I140">
        <v>-1</v>
      </c>
      <c r="K140" s="1">
        <v>300</v>
      </c>
      <c r="L140" s="1">
        <v>734</v>
      </c>
      <c r="M140" s="1">
        <v>3140</v>
      </c>
      <c r="N140" s="1">
        <v>-31.4</v>
      </c>
      <c r="O140" s="1">
        <v>3.6</v>
      </c>
      <c r="P140" s="1">
        <v>1</v>
      </c>
      <c r="Q140" s="1">
        <v>0</v>
      </c>
      <c r="R140" s="1">
        <v>0</v>
      </c>
      <c r="S140" s="1">
        <v>0</v>
      </c>
    </row>
    <row r="141" spans="1:19" x14ac:dyDescent="0.25">
      <c r="A141" s="1">
        <v>325</v>
      </c>
      <c r="B141" s="1">
        <v>593</v>
      </c>
      <c r="C141" s="1">
        <v>2050</v>
      </c>
      <c r="D141" s="1">
        <v>-51</v>
      </c>
      <c r="E141" s="1">
        <v>5.4</v>
      </c>
      <c r="F141" s="1">
        <v>1.6</v>
      </c>
      <c r="G141">
        <v>-20</v>
      </c>
      <c r="H141">
        <v>-2</v>
      </c>
      <c r="I141">
        <v>-1</v>
      </c>
      <c r="K141" s="1">
        <v>325</v>
      </c>
      <c r="L141" s="1">
        <v>723</v>
      </c>
      <c r="M141" s="1">
        <v>3049</v>
      </c>
      <c r="N141" s="1">
        <v>-40.4</v>
      </c>
      <c r="O141" s="1">
        <v>4.3</v>
      </c>
      <c r="P141" s="1">
        <v>1.2</v>
      </c>
      <c r="Q141" s="1">
        <v>0</v>
      </c>
      <c r="R141" s="1">
        <v>0</v>
      </c>
      <c r="S141" s="1">
        <v>0</v>
      </c>
    </row>
    <row r="142" spans="1:19" x14ac:dyDescent="0.25">
      <c r="A142" s="1">
        <v>350</v>
      </c>
      <c r="B142" s="1">
        <v>574</v>
      </c>
      <c r="C142" s="1">
        <v>1923</v>
      </c>
      <c r="D142" s="1">
        <v>-65.2</v>
      </c>
      <c r="E142" s="1">
        <v>6.4</v>
      </c>
      <c r="F142" s="1">
        <v>1.9</v>
      </c>
      <c r="G142">
        <v>-24</v>
      </c>
      <c r="H142">
        <v>-2</v>
      </c>
      <c r="I142">
        <v>-1</v>
      </c>
      <c r="K142" s="1">
        <v>350</v>
      </c>
      <c r="L142" s="1">
        <v>712</v>
      </c>
      <c r="M142" s="1">
        <v>2960</v>
      </c>
      <c r="N142" s="1">
        <v>-51</v>
      </c>
      <c r="O142" s="1">
        <v>5</v>
      </c>
      <c r="P142" s="1">
        <v>1.5</v>
      </c>
      <c r="Q142" s="1">
        <v>0</v>
      </c>
      <c r="R142" s="1">
        <v>0</v>
      </c>
      <c r="S142" s="1">
        <v>0</v>
      </c>
    </row>
    <row r="143" spans="1:19" x14ac:dyDescent="0.25">
      <c r="A143" s="1">
        <v>375</v>
      </c>
      <c r="B143" s="1">
        <v>556</v>
      </c>
      <c r="C143" s="1">
        <v>1803</v>
      </c>
      <c r="D143" s="1">
        <v>-81</v>
      </c>
      <c r="E143" s="1">
        <v>7.4</v>
      </c>
      <c r="F143" s="1">
        <v>2.2000000000000002</v>
      </c>
      <c r="G143">
        <v>-27</v>
      </c>
      <c r="H143">
        <v>-3</v>
      </c>
      <c r="I143">
        <v>-1</v>
      </c>
      <c r="K143" s="1">
        <v>375</v>
      </c>
      <c r="L143" s="1">
        <v>702</v>
      </c>
      <c r="M143" s="1">
        <v>2874</v>
      </c>
      <c r="N143" s="1">
        <v>-62.5</v>
      </c>
      <c r="O143" s="1">
        <v>5.7</v>
      </c>
      <c r="P143" s="1">
        <v>1.7</v>
      </c>
      <c r="Q143" s="1">
        <v>0</v>
      </c>
      <c r="R143" s="1">
        <v>0</v>
      </c>
      <c r="S143" s="1">
        <v>0</v>
      </c>
    </row>
    <row r="144" spans="1:19" x14ac:dyDescent="0.25">
      <c r="A144" s="1">
        <v>400</v>
      </c>
      <c r="B144" s="1">
        <v>538</v>
      </c>
      <c r="C144" s="1">
        <v>1689</v>
      </c>
      <c r="D144" s="1">
        <v>-98.9</v>
      </c>
      <c r="E144" s="1">
        <v>8.5</v>
      </c>
      <c r="F144" s="1">
        <v>2.5</v>
      </c>
      <c r="G144">
        <v>-32</v>
      </c>
      <c r="H144">
        <v>-3</v>
      </c>
      <c r="I144">
        <v>-1</v>
      </c>
      <c r="K144" s="1">
        <v>400</v>
      </c>
      <c r="L144" s="1">
        <v>691</v>
      </c>
      <c r="M144" s="1">
        <v>2789</v>
      </c>
      <c r="N144" s="1">
        <v>-75.2</v>
      </c>
      <c r="O144" s="1">
        <v>6.5</v>
      </c>
      <c r="P144" s="1">
        <v>1.9</v>
      </c>
      <c r="Q144" s="1">
        <v>0</v>
      </c>
      <c r="R144" s="1">
        <v>0</v>
      </c>
      <c r="S144" s="1">
        <v>0</v>
      </c>
    </row>
    <row r="145" spans="1:19" x14ac:dyDescent="0.25">
      <c r="A145" s="1">
        <v>425</v>
      </c>
      <c r="B145" s="1">
        <v>521</v>
      </c>
      <c r="C145" s="1">
        <v>1581</v>
      </c>
      <c r="D145" s="1">
        <v>-119.9</v>
      </c>
      <c r="E145" s="1">
        <v>9.6999999999999993</v>
      </c>
      <c r="F145" s="1">
        <v>2.8</v>
      </c>
      <c r="G145">
        <v>-36</v>
      </c>
      <c r="H145">
        <v>-3</v>
      </c>
      <c r="I145">
        <v>-1</v>
      </c>
      <c r="K145" s="1">
        <v>425</v>
      </c>
      <c r="L145" s="1">
        <v>681</v>
      </c>
      <c r="M145" s="1">
        <v>2706</v>
      </c>
      <c r="N145" s="1">
        <v>-89.8</v>
      </c>
      <c r="O145" s="1">
        <v>7.3</v>
      </c>
      <c r="P145" s="1">
        <v>2.1</v>
      </c>
      <c r="Q145" s="1">
        <v>0</v>
      </c>
      <c r="R145" s="1">
        <v>0</v>
      </c>
      <c r="S145" s="1">
        <v>0</v>
      </c>
    </row>
    <row r="146" spans="1:19" x14ac:dyDescent="0.25">
      <c r="A146" s="1">
        <v>450</v>
      </c>
      <c r="B146" s="1">
        <v>504</v>
      </c>
      <c r="C146" s="1">
        <v>1480</v>
      </c>
      <c r="D146" s="1">
        <v>-142.6</v>
      </c>
      <c r="E146" s="1">
        <v>10.9</v>
      </c>
      <c r="F146" s="1">
        <v>3.2</v>
      </c>
      <c r="G146">
        <v>-41</v>
      </c>
      <c r="H146">
        <v>-4</v>
      </c>
      <c r="I146">
        <v>-1</v>
      </c>
      <c r="K146" s="1">
        <v>450</v>
      </c>
      <c r="L146" s="1">
        <v>671</v>
      </c>
      <c r="M146" s="1">
        <v>2625</v>
      </c>
      <c r="N146" s="1">
        <v>-105.3</v>
      </c>
      <c r="O146" s="1">
        <v>8</v>
      </c>
      <c r="P146" s="1">
        <v>2.2999999999999998</v>
      </c>
      <c r="Q146" s="1">
        <v>0</v>
      </c>
      <c r="R146" s="1">
        <v>0</v>
      </c>
      <c r="S146" s="1">
        <v>0</v>
      </c>
    </row>
    <row r="147" spans="1:19" x14ac:dyDescent="0.25">
      <c r="A147" s="1">
        <v>475</v>
      </c>
      <c r="B147" s="1">
        <v>487</v>
      </c>
      <c r="C147" s="1">
        <v>1385</v>
      </c>
      <c r="D147" s="1">
        <v>-167.9</v>
      </c>
      <c r="E147" s="1">
        <v>12.2</v>
      </c>
      <c r="F147" s="1">
        <v>3.5</v>
      </c>
      <c r="G147">
        <v>-47</v>
      </c>
      <c r="H147">
        <v>-4</v>
      </c>
      <c r="I147">
        <v>-1</v>
      </c>
      <c r="K147" s="1">
        <v>475</v>
      </c>
      <c r="L147" s="1">
        <v>661</v>
      </c>
      <c r="M147" s="1">
        <v>2545</v>
      </c>
      <c r="N147" s="1">
        <v>-122.1</v>
      </c>
      <c r="O147" s="1">
        <v>8.8000000000000007</v>
      </c>
      <c r="P147" s="1">
        <v>2.6</v>
      </c>
      <c r="Q147" s="1">
        <v>0</v>
      </c>
      <c r="R147" s="1">
        <v>0</v>
      </c>
      <c r="S147" s="1">
        <v>0</v>
      </c>
    </row>
    <row r="148" spans="1:19" x14ac:dyDescent="0.25">
      <c r="A148" s="1">
        <v>500</v>
      </c>
      <c r="B148" s="1">
        <v>472</v>
      </c>
      <c r="C148" s="1">
        <v>1299</v>
      </c>
      <c r="D148" s="1">
        <v>-196.1</v>
      </c>
      <c r="E148" s="1">
        <v>13.5</v>
      </c>
      <c r="F148" s="1">
        <v>3.9</v>
      </c>
      <c r="G148">
        <v>-52</v>
      </c>
      <c r="H148">
        <v>-4</v>
      </c>
      <c r="I148">
        <v>-1</v>
      </c>
      <c r="K148" s="1">
        <v>500</v>
      </c>
      <c r="L148" s="1">
        <v>651</v>
      </c>
      <c r="M148" s="1">
        <v>2471</v>
      </c>
      <c r="N148" s="1">
        <v>-140.4</v>
      </c>
      <c r="O148" s="1">
        <v>9.6999999999999993</v>
      </c>
      <c r="P148" s="1">
        <v>2.8</v>
      </c>
      <c r="Q148" s="1">
        <v>0</v>
      </c>
      <c r="R148" s="1">
        <v>0</v>
      </c>
      <c r="S148" s="1">
        <v>0</v>
      </c>
    </row>
    <row r="150" spans="1:19" x14ac:dyDescent="0.25">
      <c r="A150" t="s">
        <v>90</v>
      </c>
      <c r="K150" t="s">
        <v>77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39</v>
      </c>
      <c r="H151" t="s">
        <v>40</v>
      </c>
      <c r="I151" t="s">
        <v>41</v>
      </c>
      <c r="K151" t="s">
        <v>12</v>
      </c>
      <c r="L151" t="s">
        <v>13</v>
      </c>
      <c r="M151" t="s">
        <v>14</v>
      </c>
      <c r="N151" t="s">
        <v>15</v>
      </c>
      <c r="O151" t="s">
        <v>16</v>
      </c>
      <c r="P151" t="s">
        <v>17</v>
      </c>
      <c r="Q151" t="s">
        <v>39</v>
      </c>
      <c r="R151" t="s">
        <v>40</v>
      </c>
      <c r="S151" t="s">
        <v>41</v>
      </c>
    </row>
    <row r="152" spans="1:19" x14ac:dyDescent="0.25">
      <c r="A152" s="1">
        <v>0</v>
      </c>
      <c r="B152" s="1">
        <v>869</v>
      </c>
      <c r="C152" s="1">
        <v>4402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869</v>
      </c>
      <c r="M152" s="1">
        <v>4402</v>
      </c>
      <c r="N152" s="1">
        <v>-3.8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1:19" x14ac:dyDescent="0.25">
      <c r="A153" s="1">
        <v>25</v>
      </c>
      <c r="B153" s="1">
        <v>845</v>
      </c>
      <c r="C153" s="1">
        <v>4166</v>
      </c>
      <c r="D153" s="1">
        <v>0.1</v>
      </c>
      <c r="E153" s="1">
        <v>-0.1</v>
      </c>
      <c r="F153" s="1">
        <v>0</v>
      </c>
      <c r="G153">
        <v>0</v>
      </c>
      <c r="H153">
        <v>0</v>
      </c>
      <c r="I153">
        <v>0</v>
      </c>
      <c r="K153" s="1">
        <v>25</v>
      </c>
      <c r="L153" s="1">
        <v>857</v>
      </c>
      <c r="M153" s="1">
        <v>4283</v>
      </c>
      <c r="N153" s="1">
        <v>-0.2</v>
      </c>
      <c r="O153" s="1">
        <v>0.3</v>
      </c>
      <c r="P153" s="1">
        <v>0.1</v>
      </c>
      <c r="Q153" s="1">
        <v>0</v>
      </c>
      <c r="R153" s="1">
        <v>0</v>
      </c>
      <c r="S153" s="1">
        <v>0</v>
      </c>
    </row>
    <row r="154" spans="1:19" x14ac:dyDescent="0.25">
      <c r="A154" s="1">
        <v>50</v>
      </c>
      <c r="B154" s="1">
        <v>822</v>
      </c>
      <c r="C154" s="1">
        <v>3943</v>
      </c>
      <c r="D154" s="1">
        <v>3.2</v>
      </c>
      <c r="E154" s="1">
        <v>-2.2000000000000002</v>
      </c>
      <c r="F154" s="1">
        <v>-0.6</v>
      </c>
      <c r="G154">
        <v>0</v>
      </c>
      <c r="H154">
        <v>0</v>
      </c>
      <c r="I154">
        <v>0</v>
      </c>
      <c r="K154" s="1">
        <v>50</v>
      </c>
      <c r="L154" s="1">
        <v>845</v>
      </c>
      <c r="M154" s="1">
        <v>4168</v>
      </c>
      <c r="N154" s="1">
        <v>2.6</v>
      </c>
      <c r="O154" s="1">
        <v>-1.8</v>
      </c>
      <c r="P154" s="1">
        <v>-0.5</v>
      </c>
      <c r="Q154" s="1">
        <v>0</v>
      </c>
      <c r="R154" s="1">
        <v>0</v>
      </c>
      <c r="S154" s="1">
        <v>0</v>
      </c>
    </row>
    <row r="155" spans="1:19" x14ac:dyDescent="0.25">
      <c r="A155" s="1">
        <v>75</v>
      </c>
      <c r="B155" s="1">
        <v>800</v>
      </c>
      <c r="C155" s="1">
        <v>3729</v>
      </c>
      <c r="D155" s="1">
        <v>5.3</v>
      </c>
      <c r="E155" s="1">
        <v>-2.4</v>
      </c>
      <c r="F155" s="1">
        <v>-0.7</v>
      </c>
      <c r="G155">
        <v>-1</v>
      </c>
      <c r="H155">
        <v>0</v>
      </c>
      <c r="I155">
        <v>0</v>
      </c>
      <c r="K155" s="1">
        <v>75</v>
      </c>
      <c r="L155" s="1">
        <v>834</v>
      </c>
      <c r="M155" s="1">
        <v>4055</v>
      </c>
      <c r="N155" s="1">
        <v>4.4000000000000004</v>
      </c>
      <c r="O155" s="1">
        <v>-2</v>
      </c>
      <c r="P155" s="1">
        <v>-0.6</v>
      </c>
      <c r="Q155" s="1">
        <v>0</v>
      </c>
      <c r="R155" s="1">
        <v>0</v>
      </c>
      <c r="S155" s="1">
        <v>0</v>
      </c>
    </row>
    <row r="156" spans="1:19" x14ac:dyDescent="0.25">
      <c r="A156" s="1">
        <v>100</v>
      </c>
      <c r="B156" s="1">
        <v>777</v>
      </c>
      <c r="C156" s="1">
        <v>3524</v>
      </c>
      <c r="D156" s="1">
        <v>6.5</v>
      </c>
      <c r="E156" s="1">
        <v>-2.2000000000000002</v>
      </c>
      <c r="F156" s="1">
        <v>-0.6</v>
      </c>
      <c r="G156">
        <v>-2</v>
      </c>
      <c r="H156">
        <v>-1</v>
      </c>
      <c r="I156">
        <v>0</v>
      </c>
      <c r="K156" s="1">
        <v>100</v>
      </c>
      <c r="L156" s="1">
        <v>822</v>
      </c>
      <c r="M156" s="1">
        <v>3944</v>
      </c>
      <c r="N156" s="1">
        <v>5.4</v>
      </c>
      <c r="O156" s="1">
        <v>-1.9</v>
      </c>
      <c r="P156" s="1">
        <v>-0.5</v>
      </c>
      <c r="Q156" s="1">
        <v>0</v>
      </c>
      <c r="R156" s="1">
        <v>0</v>
      </c>
      <c r="S156" s="1">
        <v>0</v>
      </c>
    </row>
    <row r="157" spans="1:19" x14ac:dyDescent="0.25">
      <c r="A157" s="1">
        <v>125</v>
      </c>
      <c r="B157" s="1">
        <v>755</v>
      </c>
      <c r="C157" s="1">
        <v>3329</v>
      </c>
      <c r="D157" s="1">
        <v>6.6</v>
      </c>
      <c r="E157" s="1">
        <v>-1.8</v>
      </c>
      <c r="F157" s="1">
        <v>-0.5</v>
      </c>
      <c r="G157">
        <v>-3</v>
      </c>
      <c r="H157">
        <v>-1</v>
      </c>
      <c r="I157">
        <v>0</v>
      </c>
      <c r="K157" s="1">
        <v>125</v>
      </c>
      <c r="L157" s="1">
        <v>811</v>
      </c>
      <c r="M157" s="1">
        <v>3836</v>
      </c>
      <c r="N157" s="1">
        <v>5.5</v>
      </c>
      <c r="O157" s="1">
        <v>-1.5</v>
      </c>
      <c r="P157" s="1">
        <v>-0.4</v>
      </c>
      <c r="Q157" s="1">
        <v>0</v>
      </c>
      <c r="R157" s="1">
        <v>0</v>
      </c>
      <c r="S157" s="1">
        <v>0</v>
      </c>
    </row>
    <row r="158" spans="1:19" x14ac:dyDescent="0.25">
      <c r="A158" s="1">
        <v>150</v>
      </c>
      <c r="B158" s="1">
        <v>734</v>
      </c>
      <c r="C158" s="1">
        <v>3142</v>
      </c>
      <c r="D158" s="1">
        <v>5.6</v>
      </c>
      <c r="E158" s="1">
        <v>-1.3</v>
      </c>
      <c r="F158" s="1">
        <v>-0.4</v>
      </c>
      <c r="G158">
        <v>-4</v>
      </c>
      <c r="H158">
        <v>-1</v>
      </c>
      <c r="I158">
        <v>0</v>
      </c>
      <c r="K158" s="1">
        <v>150</v>
      </c>
      <c r="L158" s="1">
        <v>800</v>
      </c>
      <c r="M158" s="1">
        <v>3730</v>
      </c>
      <c r="N158" s="1">
        <v>4.7</v>
      </c>
      <c r="O158" s="1">
        <v>-1.1000000000000001</v>
      </c>
      <c r="P158" s="1">
        <v>-0.3</v>
      </c>
      <c r="Q158" s="1">
        <v>0</v>
      </c>
      <c r="R158" s="1">
        <v>0</v>
      </c>
      <c r="S158" s="1">
        <v>0</v>
      </c>
    </row>
    <row r="159" spans="1:19" x14ac:dyDescent="0.25">
      <c r="A159" s="1">
        <v>175</v>
      </c>
      <c r="B159" s="1">
        <v>713</v>
      </c>
      <c r="C159" s="1">
        <v>2963</v>
      </c>
      <c r="D159" s="1">
        <v>3.5</v>
      </c>
      <c r="E159" s="1">
        <v>-0.7</v>
      </c>
      <c r="F159" s="1">
        <v>-0.2</v>
      </c>
      <c r="G159">
        <v>-5</v>
      </c>
      <c r="H159">
        <v>-1</v>
      </c>
      <c r="I159">
        <v>0</v>
      </c>
      <c r="K159" s="1">
        <v>175</v>
      </c>
      <c r="L159" s="1">
        <v>788</v>
      </c>
      <c r="M159" s="1">
        <v>3626</v>
      </c>
      <c r="N159" s="1">
        <v>2.9</v>
      </c>
      <c r="O159" s="1">
        <v>-0.6</v>
      </c>
      <c r="P159" s="1">
        <v>-0.2</v>
      </c>
      <c r="Q159" s="1">
        <v>0</v>
      </c>
      <c r="R159" s="1">
        <v>0</v>
      </c>
      <c r="S159" s="1">
        <v>0</v>
      </c>
    </row>
    <row r="160" spans="1:19" x14ac:dyDescent="0.25">
      <c r="A160" s="10">
        <v>200</v>
      </c>
      <c r="B160" s="10">
        <v>692</v>
      </c>
      <c r="C160" s="10">
        <v>2792</v>
      </c>
      <c r="D160" s="10">
        <v>0</v>
      </c>
      <c r="E160" s="10">
        <v>0</v>
      </c>
      <c r="F160" s="10">
        <v>0</v>
      </c>
      <c r="G160">
        <v>-7</v>
      </c>
      <c r="H160">
        <v>-1</v>
      </c>
      <c r="I160">
        <v>0</v>
      </c>
      <c r="K160" s="1">
        <v>200</v>
      </c>
      <c r="L160" s="1">
        <v>777</v>
      </c>
      <c r="M160" s="1">
        <v>3525</v>
      </c>
      <c r="N160" s="1">
        <v>-0.1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1:19" x14ac:dyDescent="0.25">
      <c r="A161" s="1">
        <v>225</v>
      </c>
      <c r="B161" s="1">
        <v>671</v>
      </c>
      <c r="C161" s="1">
        <v>2629</v>
      </c>
      <c r="D161" s="1">
        <v>-4.7</v>
      </c>
      <c r="E161" s="1">
        <v>0.7</v>
      </c>
      <c r="F161" s="1">
        <v>0.2</v>
      </c>
      <c r="G161">
        <v>-9</v>
      </c>
      <c r="H161">
        <v>-2</v>
      </c>
      <c r="I161">
        <v>0</v>
      </c>
      <c r="K161" s="1">
        <v>225</v>
      </c>
      <c r="L161" s="1">
        <v>766</v>
      </c>
      <c r="M161" s="1">
        <v>3425</v>
      </c>
      <c r="N161" s="1">
        <v>-3.9</v>
      </c>
      <c r="O161" s="1">
        <v>0.6</v>
      </c>
      <c r="P161" s="1">
        <v>0.2</v>
      </c>
      <c r="Q161" s="1">
        <v>0</v>
      </c>
      <c r="R161" s="1">
        <v>0</v>
      </c>
      <c r="S161" s="1">
        <v>0</v>
      </c>
    </row>
    <row r="162" spans="1:19" x14ac:dyDescent="0.25">
      <c r="A162" s="1">
        <v>250</v>
      </c>
      <c r="B162" s="1">
        <v>651</v>
      </c>
      <c r="C162" s="1">
        <v>2473</v>
      </c>
      <c r="D162" s="1">
        <v>-10.8</v>
      </c>
      <c r="E162" s="1">
        <v>1.5</v>
      </c>
      <c r="F162" s="1">
        <v>0.4</v>
      </c>
      <c r="G162">
        <v>-11</v>
      </c>
      <c r="H162">
        <v>-2</v>
      </c>
      <c r="I162">
        <v>0</v>
      </c>
      <c r="K162" s="1">
        <v>250</v>
      </c>
      <c r="L162" s="1">
        <v>755</v>
      </c>
      <c r="M162" s="1">
        <v>3328</v>
      </c>
      <c r="N162" s="1">
        <v>-8.8000000000000007</v>
      </c>
      <c r="O162" s="1">
        <v>1.2</v>
      </c>
      <c r="P162" s="1">
        <v>0.4</v>
      </c>
      <c r="Q162" s="1">
        <v>0</v>
      </c>
      <c r="R162" s="1">
        <v>0</v>
      </c>
      <c r="S162" s="1">
        <v>0</v>
      </c>
    </row>
    <row r="163" spans="1:19" x14ac:dyDescent="0.25">
      <c r="A163" s="1">
        <v>275</v>
      </c>
      <c r="B163" s="1">
        <v>631</v>
      </c>
      <c r="C163" s="1">
        <v>2325</v>
      </c>
      <c r="D163" s="1">
        <v>-18.7</v>
      </c>
      <c r="E163" s="1">
        <v>2.2999999999999998</v>
      </c>
      <c r="F163" s="1">
        <v>0.7</v>
      </c>
      <c r="G163">
        <v>-14</v>
      </c>
      <c r="H163">
        <v>-2</v>
      </c>
      <c r="I163">
        <v>-1</v>
      </c>
      <c r="K163" s="1">
        <v>275</v>
      </c>
      <c r="L163" s="1">
        <v>745</v>
      </c>
      <c r="M163" s="1">
        <v>3233</v>
      </c>
      <c r="N163" s="1">
        <v>-15</v>
      </c>
      <c r="O163" s="1">
        <v>1.9</v>
      </c>
      <c r="P163" s="1">
        <v>0.5</v>
      </c>
      <c r="Q163" s="1">
        <v>0</v>
      </c>
      <c r="R163" s="1">
        <v>0</v>
      </c>
      <c r="S163" s="1">
        <v>0</v>
      </c>
    </row>
    <row r="164" spans="1:19" x14ac:dyDescent="0.25">
      <c r="A164" s="1">
        <v>300</v>
      </c>
      <c r="B164" s="1">
        <v>612</v>
      </c>
      <c r="C164" s="1">
        <v>2184</v>
      </c>
      <c r="D164" s="1">
        <v>-27.9</v>
      </c>
      <c r="E164" s="1">
        <v>3.2</v>
      </c>
      <c r="F164" s="1">
        <v>0.9</v>
      </c>
      <c r="G164">
        <v>-17</v>
      </c>
      <c r="H164">
        <v>-2</v>
      </c>
      <c r="I164">
        <v>-1</v>
      </c>
      <c r="K164" s="1">
        <v>300</v>
      </c>
      <c r="L164" s="1">
        <v>734</v>
      </c>
      <c r="M164" s="1">
        <v>3140</v>
      </c>
      <c r="N164" s="1">
        <v>-22.1</v>
      </c>
      <c r="O164" s="1">
        <v>2.5</v>
      </c>
      <c r="P164" s="1">
        <v>0.7</v>
      </c>
      <c r="Q164" s="1">
        <v>0</v>
      </c>
      <c r="R164" s="1">
        <v>0</v>
      </c>
      <c r="S164" s="1">
        <v>0</v>
      </c>
    </row>
    <row r="165" spans="1:19" x14ac:dyDescent="0.25">
      <c r="A165" s="1">
        <v>325</v>
      </c>
      <c r="B165" s="1">
        <v>593</v>
      </c>
      <c r="C165" s="1">
        <v>2050</v>
      </c>
      <c r="D165" s="1">
        <v>-38.9</v>
      </c>
      <c r="E165" s="1">
        <v>4.0999999999999996</v>
      </c>
      <c r="F165" s="1">
        <v>1.2</v>
      </c>
      <c r="G165">
        <v>-20</v>
      </c>
      <c r="H165">
        <v>-2</v>
      </c>
      <c r="I165">
        <v>-1</v>
      </c>
      <c r="K165" s="1">
        <v>325</v>
      </c>
      <c r="L165" s="1">
        <v>723</v>
      </c>
      <c r="M165" s="1">
        <v>3049</v>
      </c>
      <c r="N165" s="1">
        <v>-30.3</v>
      </c>
      <c r="O165" s="1">
        <v>3.2</v>
      </c>
      <c r="P165" s="1">
        <v>0.9</v>
      </c>
      <c r="Q165" s="1">
        <v>0</v>
      </c>
      <c r="R165" s="1">
        <v>0</v>
      </c>
      <c r="S165" s="1">
        <v>0</v>
      </c>
    </row>
    <row r="166" spans="1:19" x14ac:dyDescent="0.25">
      <c r="A166" s="1">
        <v>350</v>
      </c>
      <c r="B166" s="1">
        <v>574</v>
      </c>
      <c r="C166" s="1">
        <v>1923</v>
      </c>
      <c r="D166" s="1">
        <v>-52.2</v>
      </c>
      <c r="E166" s="1">
        <v>5.0999999999999996</v>
      </c>
      <c r="F166" s="1">
        <v>1.5</v>
      </c>
      <c r="G166">
        <v>-24</v>
      </c>
      <c r="H166">
        <v>-2</v>
      </c>
      <c r="I166">
        <v>-1</v>
      </c>
      <c r="K166" s="1">
        <v>350</v>
      </c>
      <c r="L166" s="1">
        <v>712</v>
      </c>
      <c r="M166" s="1">
        <v>2960</v>
      </c>
      <c r="N166" s="1">
        <v>-40.1</v>
      </c>
      <c r="O166" s="1">
        <v>3.9</v>
      </c>
      <c r="P166" s="1">
        <v>1.1000000000000001</v>
      </c>
      <c r="Q166" s="1">
        <v>0</v>
      </c>
      <c r="R166" s="1">
        <v>0</v>
      </c>
      <c r="S166" s="1">
        <v>0</v>
      </c>
    </row>
    <row r="167" spans="1:19" x14ac:dyDescent="0.25">
      <c r="A167" s="1">
        <v>375</v>
      </c>
      <c r="B167" s="1">
        <v>556</v>
      </c>
      <c r="C167" s="1">
        <v>1803</v>
      </c>
      <c r="D167" s="1">
        <v>-67</v>
      </c>
      <c r="E167" s="1">
        <v>6.1</v>
      </c>
      <c r="F167" s="1">
        <v>1.8</v>
      </c>
      <c r="G167">
        <v>-27</v>
      </c>
      <c r="H167">
        <v>-3</v>
      </c>
      <c r="I167">
        <v>-1</v>
      </c>
      <c r="K167" s="1">
        <v>375</v>
      </c>
      <c r="L167" s="1">
        <v>702</v>
      </c>
      <c r="M167" s="1">
        <v>2874</v>
      </c>
      <c r="N167" s="1">
        <v>-50.9</v>
      </c>
      <c r="O167" s="1">
        <v>4.7</v>
      </c>
      <c r="P167" s="1">
        <v>1.4</v>
      </c>
      <c r="Q167" s="1">
        <v>0</v>
      </c>
      <c r="R167" s="1">
        <v>0</v>
      </c>
      <c r="S167" s="1">
        <v>0</v>
      </c>
    </row>
    <row r="168" spans="1:19" x14ac:dyDescent="0.25">
      <c r="A168" s="1">
        <v>400</v>
      </c>
      <c r="B168" s="1">
        <v>538</v>
      </c>
      <c r="C168" s="1">
        <v>1689</v>
      </c>
      <c r="D168" s="1">
        <v>-84</v>
      </c>
      <c r="E168" s="1">
        <v>7.2</v>
      </c>
      <c r="F168" s="1">
        <v>2.1</v>
      </c>
      <c r="G168">
        <v>-32</v>
      </c>
      <c r="H168">
        <v>-3</v>
      </c>
      <c r="I168">
        <v>-1</v>
      </c>
      <c r="K168" s="1">
        <v>400</v>
      </c>
      <c r="L168" s="1">
        <v>691</v>
      </c>
      <c r="M168" s="1">
        <v>2789</v>
      </c>
      <c r="N168" s="1">
        <v>-62.8</v>
      </c>
      <c r="O168" s="1">
        <v>5.4</v>
      </c>
      <c r="P168" s="1">
        <v>1.6</v>
      </c>
      <c r="Q168" s="1">
        <v>0</v>
      </c>
      <c r="R168" s="1">
        <v>0</v>
      </c>
      <c r="S168" s="1">
        <v>0</v>
      </c>
    </row>
    <row r="169" spans="1:19" x14ac:dyDescent="0.25">
      <c r="A169" s="1">
        <v>425</v>
      </c>
      <c r="B169" s="1">
        <v>521</v>
      </c>
      <c r="C169" s="1">
        <v>1581</v>
      </c>
      <c r="D169" s="1">
        <v>-104</v>
      </c>
      <c r="E169" s="1">
        <v>8.4</v>
      </c>
      <c r="F169" s="1">
        <v>2.4</v>
      </c>
      <c r="G169">
        <v>-36</v>
      </c>
      <c r="H169">
        <v>-3</v>
      </c>
      <c r="I169">
        <v>-1</v>
      </c>
      <c r="K169" s="1">
        <v>425</v>
      </c>
      <c r="L169" s="1">
        <v>681</v>
      </c>
      <c r="M169" s="1">
        <v>2706</v>
      </c>
      <c r="N169" s="1">
        <v>-76.599999999999994</v>
      </c>
      <c r="O169" s="1">
        <v>6.2</v>
      </c>
      <c r="P169" s="1">
        <v>1.8</v>
      </c>
      <c r="Q169" s="1">
        <v>0</v>
      </c>
      <c r="R169" s="1">
        <v>0</v>
      </c>
      <c r="S169" s="1">
        <v>0</v>
      </c>
    </row>
    <row r="170" spans="1:19" x14ac:dyDescent="0.25">
      <c r="A170" s="1">
        <v>450</v>
      </c>
      <c r="B170" s="1">
        <v>504</v>
      </c>
      <c r="C170" s="1">
        <v>1480</v>
      </c>
      <c r="D170" s="1">
        <v>-125.8</v>
      </c>
      <c r="E170" s="1">
        <v>9.6</v>
      </c>
      <c r="F170" s="1">
        <v>2.8</v>
      </c>
      <c r="G170">
        <v>-41</v>
      </c>
      <c r="H170">
        <v>-4</v>
      </c>
      <c r="I170">
        <v>-1</v>
      </c>
      <c r="K170" s="1">
        <v>450</v>
      </c>
      <c r="L170" s="1">
        <v>671</v>
      </c>
      <c r="M170" s="1">
        <v>2624</v>
      </c>
      <c r="N170" s="1">
        <v>-91.3</v>
      </c>
      <c r="O170" s="1">
        <v>7</v>
      </c>
      <c r="P170" s="1">
        <v>2</v>
      </c>
      <c r="Q170" s="1">
        <v>0</v>
      </c>
      <c r="R170" s="1">
        <v>0</v>
      </c>
      <c r="S170" s="1">
        <v>0</v>
      </c>
    </row>
    <row r="171" spans="1:19" x14ac:dyDescent="0.25">
      <c r="A171" s="1">
        <v>475</v>
      </c>
      <c r="B171" s="1">
        <v>487</v>
      </c>
      <c r="C171" s="1">
        <v>1385</v>
      </c>
      <c r="D171" s="1">
        <v>-150.19999999999999</v>
      </c>
      <c r="E171" s="1">
        <v>10.9</v>
      </c>
      <c r="F171" s="1">
        <v>3.2</v>
      </c>
      <c r="G171">
        <v>-47</v>
      </c>
      <c r="H171">
        <v>-4</v>
      </c>
      <c r="I171">
        <v>-1</v>
      </c>
      <c r="K171" s="1">
        <v>475</v>
      </c>
      <c r="L171" s="1">
        <v>661</v>
      </c>
      <c r="M171" s="1">
        <v>2545</v>
      </c>
      <c r="N171" s="1">
        <v>-107.4</v>
      </c>
      <c r="O171" s="1">
        <v>7.8</v>
      </c>
      <c r="P171" s="1">
        <v>2.2999999999999998</v>
      </c>
      <c r="Q171" s="1">
        <v>0</v>
      </c>
      <c r="R171" s="1">
        <v>0</v>
      </c>
      <c r="S171" s="1">
        <v>0</v>
      </c>
    </row>
    <row r="172" spans="1:19" x14ac:dyDescent="0.25">
      <c r="A172" s="1">
        <v>500</v>
      </c>
      <c r="B172" s="1">
        <v>472</v>
      </c>
      <c r="C172" s="1">
        <v>1299</v>
      </c>
      <c r="D172" s="1">
        <v>-177.5</v>
      </c>
      <c r="E172" s="1">
        <v>12.2</v>
      </c>
      <c r="F172" s="1">
        <v>3.6</v>
      </c>
      <c r="G172">
        <v>-52</v>
      </c>
      <c r="H172">
        <v>-4</v>
      </c>
      <c r="I172">
        <v>-1</v>
      </c>
      <c r="K172" s="1">
        <v>500</v>
      </c>
      <c r="L172" s="1">
        <v>651</v>
      </c>
      <c r="M172" s="1">
        <v>2471</v>
      </c>
      <c r="N172" s="1">
        <v>-125</v>
      </c>
      <c r="O172" s="1">
        <v>8.6</v>
      </c>
      <c r="P172" s="1">
        <v>2.5</v>
      </c>
      <c r="Q172" s="1">
        <v>0</v>
      </c>
      <c r="R172" s="1">
        <v>0</v>
      </c>
      <c r="S172" s="1">
        <v>0</v>
      </c>
    </row>
    <row r="174" spans="1:19" x14ac:dyDescent="0.25">
      <c r="A174" t="s">
        <v>91</v>
      </c>
      <c r="K174" t="s">
        <v>78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39</v>
      </c>
      <c r="H175" t="s">
        <v>40</v>
      </c>
      <c r="I175" t="s">
        <v>41</v>
      </c>
      <c r="K175" t="s">
        <v>12</v>
      </c>
      <c r="L175" t="s">
        <v>13</v>
      </c>
      <c r="M175" t="s">
        <v>14</v>
      </c>
      <c r="N175" t="s">
        <v>15</v>
      </c>
      <c r="O175" t="s">
        <v>16</v>
      </c>
      <c r="P175" t="s">
        <v>17</v>
      </c>
      <c r="Q175" t="s">
        <v>39</v>
      </c>
      <c r="R175" t="s">
        <v>40</v>
      </c>
      <c r="S175" t="s">
        <v>41</v>
      </c>
    </row>
    <row r="176" spans="1:19" x14ac:dyDescent="0.25">
      <c r="A176" s="1">
        <v>0</v>
      </c>
      <c r="B176" s="1">
        <v>869</v>
      </c>
      <c r="C176" s="1">
        <v>4402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869</v>
      </c>
      <c r="M176" s="1">
        <v>4402</v>
      </c>
      <c r="N176" s="1">
        <v>-3.8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1:19" x14ac:dyDescent="0.25">
      <c r="A177" s="1">
        <v>25</v>
      </c>
      <c r="B177" s="1">
        <v>845</v>
      </c>
      <c r="C177" s="1">
        <v>4166</v>
      </c>
      <c r="D177" s="1">
        <v>2.4</v>
      </c>
      <c r="E177" s="1">
        <v>-3.3</v>
      </c>
      <c r="F177" s="1">
        <v>-1</v>
      </c>
      <c r="G177">
        <v>0</v>
      </c>
      <c r="H177">
        <v>0</v>
      </c>
      <c r="I177">
        <v>0</v>
      </c>
      <c r="K177" s="1">
        <v>25</v>
      </c>
      <c r="L177" s="1">
        <v>857</v>
      </c>
      <c r="M177" s="1">
        <v>4283</v>
      </c>
      <c r="N177" s="1">
        <v>1.6</v>
      </c>
      <c r="O177" s="1">
        <v>-2.2000000000000002</v>
      </c>
      <c r="P177" s="1">
        <v>-0.6</v>
      </c>
      <c r="Q177" s="1">
        <v>0</v>
      </c>
      <c r="R177" s="1">
        <v>0</v>
      </c>
      <c r="S177" s="1">
        <v>0</v>
      </c>
    </row>
    <row r="178" spans="1:19" x14ac:dyDescent="0.25">
      <c r="A178" s="1">
        <v>50</v>
      </c>
      <c r="B178" s="1">
        <v>822</v>
      </c>
      <c r="C178" s="1">
        <v>3943</v>
      </c>
      <c r="D178" s="1">
        <v>7.9</v>
      </c>
      <c r="E178" s="1">
        <v>-5.4</v>
      </c>
      <c r="F178" s="1">
        <v>-1.6</v>
      </c>
      <c r="G178">
        <v>0</v>
      </c>
      <c r="H178">
        <v>0</v>
      </c>
      <c r="I178">
        <v>0</v>
      </c>
      <c r="K178" s="1">
        <v>50</v>
      </c>
      <c r="L178" s="1">
        <v>845</v>
      </c>
      <c r="M178" s="1">
        <v>4168</v>
      </c>
      <c r="N178" s="1">
        <v>6.3</v>
      </c>
      <c r="O178" s="1">
        <v>-4.3</v>
      </c>
      <c r="P178" s="1">
        <v>-1.2</v>
      </c>
      <c r="Q178" s="1">
        <v>0</v>
      </c>
      <c r="R178" s="1">
        <v>0</v>
      </c>
      <c r="S178" s="1">
        <v>0</v>
      </c>
    </row>
    <row r="179" spans="1:19" x14ac:dyDescent="0.25">
      <c r="A179" s="1">
        <v>75</v>
      </c>
      <c r="B179" s="1">
        <v>800</v>
      </c>
      <c r="C179" s="1">
        <v>3729</v>
      </c>
      <c r="D179" s="1">
        <v>12.4</v>
      </c>
      <c r="E179" s="1">
        <v>-5.7</v>
      </c>
      <c r="F179" s="1">
        <v>-1.6</v>
      </c>
      <c r="G179">
        <v>-1</v>
      </c>
      <c r="H179">
        <v>0</v>
      </c>
      <c r="I179">
        <v>0</v>
      </c>
      <c r="K179" s="1">
        <v>75</v>
      </c>
      <c r="L179" s="1">
        <v>834</v>
      </c>
      <c r="M179" s="1">
        <v>4055</v>
      </c>
      <c r="N179" s="1">
        <v>10</v>
      </c>
      <c r="O179" s="1">
        <v>-4.5999999999999996</v>
      </c>
      <c r="P179" s="1">
        <v>-1.3</v>
      </c>
      <c r="Q179" s="1">
        <v>0</v>
      </c>
      <c r="R179" s="1">
        <v>0</v>
      </c>
      <c r="S179" s="1">
        <v>0</v>
      </c>
    </row>
    <row r="180" spans="1:19" x14ac:dyDescent="0.25">
      <c r="A180" s="1">
        <v>100</v>
      </c>
      <c r="B180" s="1">
        <v>777</v>
      </c>
      <c r="C180" s="1">
        <v>3524</v>
      </c>
      <c r="D180" s="1">
        <v>15.8</v>
      </c>
      <c r="E180" s="1">
        <v>-5.5</v>
      </c>
      <c r="F180" s="1">
        <v>-1.6</v>
      </c>
      <c r="G180">
        <v>-2</v>
      </c>
      <c r="H180">
        <v>-1</v>
      </c>
      <c r="I180">
        <v>0</v>
      </c>
      <c r="K180" s="1">
        <v>100</v>
      </c>
      <c r="L180" s="1">
        <v>822</v>
      </c>
      <c r="M180" s="1">
        <v>3944</v>
      </c>
      <c r="N180" s="1">
        <v>12.8</v>
      </c>
      <c r="O180" s="1">
        <v>-4.4000000000000004</v>
      </c>
      <c r="P180" s="1">
        <v>-1.3</v>
      </c>
      <c r="Q180" s="1">
        <v>0</v>
      </c>
      <c r="R180" s="1">
        <v>0</v>
      </c>
      <c r="S180" s="1">
        <v>0</v>
      </c>
    </row>
    <row r="181" spans="1:19" x14ac:dyDescent="0.25">
      <c r="A181" s="1">
        <v>125</v>
      </c>
      <c r="B181" s="1">
        <v>755</v>
      </c>
      <c r="C181" s="1">
        <v>3329</v>
      </c>
      <c r="D181" s="1">
        <v>18.399999999999999</v>
      </c>
      <c r="E181" s="1">
        <v>-5</v>
      </c>
      <c r="F181" s="1">
        <v>-1.5</v>
      </c>
      <c r="G181">
        <v>-3</v>
      </c>
      <c r="H181">
        <v>-1</v>
      </c>
      <c r="I181">
        <v>0</v>
      </c>
      <c r="K181" s="1">
        <v>125</v>
      </c>
      <c r="L181" s="1">
        <v>811</v>
      </c>
      <c r="M181" s="1">
        <v>3836</v>
      </c>
      <c r="N181" s="1">
        <v>14.8</v>
      </c>
      <c r="O181" s="1">
        <v>-4.0999999999999996</v>
      </c>
      <c r="P181" s="1">
        <v>-1.2</v>
      </c>
      <c r="Q181" s="1">
        <v>0</v>
      </c>
      <c r="R181" s="1">
        <v>0</v>
      </c>
      <c r="S181" s="1">
        <v>0</v>
      </c>
    </row>
    <row r="182" spans="1:19" x14ac:dyDescent="0.25">
      <c r="A182" s="1">
        <v>150</v>
      </c>
      <c r="B182" s="1">
        <v>734</v>
      </c>
      <c r="C182" s="1">
        <v>3142</v>
      </c>
      <c r="D182" s="1">
        <v>19.7</v>
      </c>
      <c r="E182" s="1">
        <v>-4.5</v>
      </c>
      <c r="F182" s="1">
        <v>-1.3</v>
      </c>
      <c r="G182">
        <v>-4</v>
      </c>
      <c r="H182">
        <v>-1</v>
      </c>
      <c r="I182">
        <v>0</v>
      </c>
      <c r="K182" s="1">
        <v>150</v>
      </c>
      <c r="L182" s="1">
        <v>800</v>
      </c>
      <c r="M182" s="1">
        <v>3730</v>
      </c>
      <c r="N182" s="1">
        <v>15.7</v>
      </c>
      <c r="O182" s="1">
        <v>-3.6</v>
      </c>
      <c r="P182" s="1">
        <v>-1</v>
      </c>
      <c r="Q182" s="1">
        <v>0</v>
      </c>
      <c r="R182" s="1">
        <v>0</v>
      </c>
      <c r="S182" s="1">
        <v>0</v>
      </c>
    </row>
    <row r="183" spans="1:19" x14ac:dyDescent="0.25">
      <c r="A183" s="1">
        <v>175</v>
      </c>
      <c r="B183" s="1">
        <v>713</v>
      </c>
      <c r="C183" s="1">
        <v>2963</v>
      </c>
      <c r="D183" s="1">
        <v>19.899999999999999</v>
      </c>
      <c r="E183" s="1">
        <v>-3.9</v>
      </c>
      <c r="F183" s="1">
        <v>-1.1000000000000001</v>
      </c>
      <c r="G183">
        <v>-5</v>
      </c>
      <c r="H183">
        <v>-1</v>
      </c>
      <c r="I183">
        <v>0</v>
      </c>
      <c r="K183" s="1">
        <v>175</v>
      </c>
      <c r="L183" s="1">
        <v>788</v>
      </c>
      <c r="M183" s="1">
        <v>3626</v>
      </c>
      <c r="N183" s="1">
        <v>15.8</v>
      </c>
      <c r="O183" s="1">
        <v>-3.1</v>
      </c>
      <c r="P183" s="1">
        <v>-0.9</v>
      </c>
      <c r="Q183" s="1">
        <v>0</v>
      </c>
      <c r="R183" s="1">
        <v>0</v>
      </c>
      <c r="S183" s="1">
        <v>0</v>
      </c>
    </row>
    <row r="184" spans="1:19" x14ac:dyDescent="0.25">
      <c r="A184" s="1">
        <v>200</v>
      </c>
      <c r="B184" s="1">
        <v>692</v>
      </c>
      <c r="C184" s="1">
        <v>2792</v>
      </c>
      <c r="D184" s="1">
        <v>18.8</v>
      </c>
      <c r="E184" s="1">
        <v>-3.2</v>
      </c>
      <c r="F184" s="1">
        <v>-0.9</v>
      </c>
      <c r="G184">
        <v>-7</v>
      </c>
      <c r="H184">
        <v>-1</v>
      </c>
      <c r="I184">
        <v>0</v>
      </c>
      <c r="K184" s="1">
        <v>200</v>
      </c>
      <c r="L184" s="1">
        <v>777</v>
      </c>
      <c r="M184" s="1">
        <v>3525</v>
      </c>
      <c r="N184" s="1">
        <v>14.7</v>
      </c>
      <c r="O184" s="1">
        <v>-2.5</v>
      </c>
      <c r="P184" s="1">
        <v>-0.7</v>
      </c>
      <c r="Q184" s="1">
        <v>0</v>
      </c>
      <c r="R184" s="1">
        <v>0</v>
      </c>
      <c r="S184" s="1">
        <v>0</v>
      </c>
    </row>
    <row r="185" spans="1:19" x14ac:dyDescent="0.25">
      <c r="A185" s="1">
        <v>225</v>
      </c>
      <c r="B185" s="1">
        <v>671</v>
      </c>
      <c r="C185" s="1">
        <v>2629</v>
      </c>
      <c r="D185" s="1">
        <v>16.399999999999999</v>
      </c>
      <c r="E185" s="1">
        <v>-2.5</v>
      </c>
      <c r="F185" s="1">
        <v>-0.7</v>
      </c>
      <c r="G185">
        <v>-9</v>
      </c>
      <c r="H185">
        <v>-2</v>
      </c>
      <c r="I185">
        <v>0</v>
      </c>
      <c r="K185" s="1">
        <v>225</v>
      </c>
      <c r="L185" s="1">
        <v>766</v>
      </c>
      <c r="M185" s="1">
        <v>3425</v>
      </c>
      <c r="N185" s="1">
        <v>12.7</v>
      </c>
      <c r="O185" s="1">
        <v>-1.9</v>
      </c>
      <c r="P185" s="1">
        <v>-0.6</v>
      </c>
      <c r="Q185" s="1">
        <v>0</v>
      </c>
      <c r="R185" s="1">
        <v>0</v>
      </c>
      <c r="S185" s="1">
        <v>0</v>
      </c>
    </row>
    <row r="186" spans="1:19" x14ac:dyDescent="0.25">
      <c r="A186" s="1">
        <v>250</v>
      </c>
      <c r="B186" s="1">
        <v>651</v>
      </c>
      <c r="C186" s="1">
        <v>2473</v>
      </c>
      <c r="D186" s="1">
        <v>12.6</v>
      </c>
      <c r="E186" s="1">
        <v>-1.7</v>
      </c>
      <c r="F186" s="1">
        <v>-0.5</v>
      </c>
      <c r="G186">
        <v>-11</v>
      </c>
      <c r="H186">
        <v>-2</v>
      </c>
      <c r="I186">
        <v>0</v>
      </c>
      <c r="K186" s="1">
        <v>250</v>
      </c>
      <c r="L186" s="1">
        <v>755</v>
      </c>
      <c r="M186" s="1">
        <v>3328</v>
      </c>
      <c r="N186" s="1">
        <v>9.6999999999999993</v>
      </c>
      <c r="O186" s="1">
        <v>-1.3</v>
      </c>
      <c r="P186" s="1">
        <v>-0.4</v>
      </c>
      <c r="Q186" s="1">
        <v>0</v>
      </c>
      <c r="R186" s="1">
        <v>0</v>
      </c>
      <c r="S186" s="1">
        <v>0</v>
      </c>
    </row>
    <row r="187" spans="1:19" x14ac:dyDescent="0.25">
      <c r="A187" s="1">
        <v>275</v>
      </c>
      <c r="B187" s="1">
        <v>631</v>
      </c>
      <c r="C187" s="1">
        <v>2325</v>
      </c>
      <c r="D187" s="1">
        <v>7.1</v>
      </c>
      <c r="E187" s="1">
        <v>-0.9</v>
      </c>
      <c r="F187" s="1">
        <v>-0.3</v>
      </c>
      <c r="G187">
        <v>-14</v>
      </c>
      <c r="H187">
        <v>-2</v>
      </c>
      <c r="I187">
        <v>-1</v>
      </c>
      <c r="K187" s="1">
        <v>275</v>
      </c>
      <c r="L187" s="1">
        <v>745</v>
      </c>
      <c r="M187" s="1">
        <v>3233</v>
      </c>
      <c r="N187" s="1">
        <v>5.4</v>
      </c>
      <c r="O187" s="1">
        <v>-0.7</v>
      </c>
      <c r="P187" s="1">
        <v>-0.2</v>
      </c>
      <c r="Q187" s="1">
        <v>0</v>
      </c>
      <c r="R187" s="1">
        <v>0</v>
      </c>
      <c r="S187" s="1">
        <v>0</v>
      </c>
    </row>
    <row r="188" spans="1:19" x14ac:dyDescent="0.25">
      <c r="A188" s="10">
        <v>300</v>
      </c>
      <c r="B188" s="10">
        <v>612</v>
      </c>
      <c r="C188" s="10">
        <v>2184</v>
      </c>
      <c r="D188" s="10">
        <v>0.2</v>
      </c>
      <c r="E188" s="10">
        <v>0</v>
      </c>
      <c r="F188" s="10">
        <v>0</v>
      </c>
      <c r="G188">
        <v>-17</v>
      </c>
      <c r="H188">
        <v>-2</v>
      </c>
      <c r="I188">
        <v>-1</v>
      </c>
      <c r="K188" s="1">
        <v>300</v>
      </c>
      <c r="L188" s="1">
        <v>734</v>
      </c>
      <c r="M188" s="1">
        <v>3140</v>
      </c>
      <c r="N188" s="1">
        <v>0.1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19" x14ac:dyDescent="0.25">
      <c r="A189" s="1">
        <v>325</v>
      </c>
      <c r="B189" s="1">
        <v>593</v>
      </c>
      <c r="C189" s="1">
        <v>2050</v>
      </c>
      <c r="D189" s="1">
        <v>-8.5</v>
      </c>
      <c r="E189" s="1">
        <v>0.9</v>
      </c>
      <c r="F189" s="1">
        <v>0.3</v>
      </c>
      <c r="G189">
        <v>-20</v>
      </c>
      <c r="H189">
        <v>-2</v>
      </c>
      <c r="I189">
        <v>-1</v>
      </c>
      <c r="K189" s="1">
        <v>325</v>
      </c>
      <c r="L189" s="1">
        <v>723</v>
      </c>
      <c r="M189" s="1">
        <v>3049</v>
      </c>
      <c r="N189" s="1">
        <v>-6.4</v>
      </c>
      <c r="O189" s="1">
        <v>0.7</v>
      </c>
      <c r="P189" s="1">
        <v>0.2</v>
      </c>
      <c r="Q189" s="1">
        <v>0</v>
      </c>
      <c r="R189" s="1">
        <v>0</v>
      </c>
      <c r="S189" s="1">
        <v>0</v>
      </c>
    </row>
    <row r="190" spans="1:19" x14ac:dyDescent="0.25">
      <c r="A190" s="1">
        <v>350</v>
      </c>
      <c r="B190" s="1">
        <v>574</v>
      </c>
      <c r="C190" s="1">
        <v>1923</v>
      </c>
      <c r="D190" s="1">
        <v>-19.399999999999999</v>
      </c>
      <c r="E190" s="1">
        <v>1.9</v>
      </c>
      <c r="F190" s="1">
        <v>0.6</v>
      </c>
      <c r="G190">
        <v>-24</v>
      </c>
      <c r="H190">
        <v>-2</v>
      </c>
      <c r="I190">
        <v>-1</v>
      </c>
      <c r="K190" s="1">
        <v>350</v>
      </c>
      <c r="L190" s="1">
        <v>712</v>
      </c>
      <c r="M190" s="1">
        <v>2960</v>
      </c>
      <c r="N190" s="1">
        <v>-14.3</v>
      </c>
      <c r="O190" s="1">
        <v>1.4</v>
      </c>
      <c r="P190" s="1">
        <v>0.4</v>
      </c>
      <c r="Q190" s="1">
        <v>0</v>
      </c>
      <c r="R190" s="1">
        <v>0</v>
      </c>
      <c r="S190" s="1">
        <v>0</v>
      </c>
    </row>
    <row r="191" spans="1:19" x14ac:dyDescent="0.25">
      <c r="A191" s="1">
        <v>375</v>
      </c>
      <c r="B191" s="1">
        <v>556</v>
      </c>
      <c r="C191" s="1">
        <v>1803</v>
      </c>
      <c r="D191" s="1">
        <v>-31.9</v>
      </c>
      <c r="E191" s="1">
        <v>2.9</v>
      </c>
      <c r="F191" s="1">
        <v>0.9</v>
      </c>
      <c r="G191">
        <v>-27</v>
      </c>
      <c r="H191">
        <v>-3</v>
      </c>
      <c r="I191">
        <v>-1</v>
      </c>
      <c r="K191" s="1">
        <v>375</v>
      </c>
      <c r="L191" s="1">
        <v>702</v>
      </c>
      <c r="M191" s="1">
        <v>2873</v>
      </c>
      <c r="N191" s="1">
        <v>-23.2</v>
      </c>
      <c r="O191" s="1">
        <v>2.1</v>
      </c>
      <c r="P191" s="1">
        <v>0.6</v>
      </c>
      <c r="Q191" s="1">
        <v>0</v>
      </c>
      <c r="R191" s="1">
        <v>0</v>
      </c>
      <c r="S191" s="1">
        <v>0</v>
      </c>
    </row>
    <row r="192" spans="1:19" x14ac:dyDescent="0.25">
      <c r="A192" s="1">
        <v>400</v>
      </c>
      <c r="B192" s="1">
        <v>538</v>
      </c>
      <c r="C192" s="1">
        <v>1688</v>
      </c>
      <c r="D192" s="1">
        <v>-46.6</v>
      </c>
      <c r="E192" s="1">
        <v>4</v>
      </c>
      <c r="F192" s="1">
        <v>1.2</v>
      </c>
      <c r="G192">
        <v>-32</v>
      </c>
      <c r="H192">
        <v>-3</v>
      </c>
      <c r="I192">
        <v>-1</v>
      </c>
      <c r="K192" s="1">
        <v>400</v>
      </c>
      <c r="L192" s="1">
        <v>691</v>
      </c>
      <c r="M192" s="1">
        <v>2789</v>
      </c>
      <c r="N192" s="1">
        <v>-33.299999999999997</v>
      </c>
      <c r="O192" s="1">
        <v>2.9</v>
      </c>
      <c r="P192" s="1">
        <v>0.8</v>
      </c>
      <c r="Q192" s="1">
        <v>0</v>
      </c>
      <c r="R192" s="1">
        <v>0</v>
      </c>
      <c r="S192" s="1">
        <v>0</v>
      </c>
    </row>
    <row r="193" spans="1:19" x14ac:dyDescent="0.25">
      <c r="A193" s="1">
        <v>425</v>
      </c>
      <c r="B193" s="1">
        <v>521</v>
      </c>
      <c r="C193" s="1">
        <v>1581</v>
      </c>
      <c r="D193" s="1">
        <v>-64.2</v>
      </c>
      <c r="E193" s="1">
        <v>5.2</v>
      </c>
      <c r="F193" s="1">
        <v>1.5</v>
      </c>
      <c r="G193">
        <v>-36</v>
      </c>
      <c r="H193">
        <v>-3</v>
      </c>
      <c r="I193">
        <v>-1</v>
      </c>
      <c r="K193" s="1">
        <v>425</v>
      </c>
      <c r="L193" s="1">
        <v>681</v>
      </c>
      <c r="M193" s="1">
        <v>2706</v>
      </c>
      <c r="N193" s="1">
        <v>-45.2</v>
      </c>
      <c r="O193" s="1">
        <v>3.7</v>
      </c>
      <c r="P193" s="1">
        <v>1.1000000000000001</v>
      </c>
      <c r="Q193" s="1">
        <v>0</v>
      </c>
      <c r="R193" s="1">
        <v>0</v>
      </c>
      <c r="S193" s="1">
        <v>0</v>
      </c>
    </row>
    <row r="194" spans="1:19" x14ac:dyDescent="0.25">
      <c r="A194" s="1">
        <v>450</v>
      </c>
      <c r="B194" s="1">
        <v>504</v>
      </c>
      <c r="C194" s="1">
        <v>1480</v>
      </c>
      <c r="D194" s="1">
        <v>-83.7</v>
      </c>
      <c r="E194" s="1">
        <v>6.4</v>
      </c>
      <c r="F194" s="1">
        <v>1.9</v>
      </c>
      <c r="G194">
        <v>-41</v>
      </c>
      <c r="H194">
        <v>-4</v>
      </c>
      <c r="I194">
        <v>-1</v>
      </c>
      <c r="K194" s="1">
        <v>450</v>
      </c>
      <c r="L194" s="1">
        <v>671</v>
      </c>
      <c r="M194" s="1">
        <v>2624</v>
      </c>
      <c r="N194" s="1">
        <v>-58.1</v>
      </c>
      <c r="O194" s="1">
        <v>4.4000000000000004</v>
      </c>
      <c r="P194" s="1">
        <v>1.3</v>
      </c>
      <c r="Q194" s="1">
        <v>0</v>
      </c>
      <c r="R194" s="1">
        <v>0</v>
      </c>
      <c r="S194" s="1">
        <v>0</v>
      </c>
    </row>
    <row r="195" spans="1:19" x14ac:dyDescent="0.25">
      <c r="A195" s="1">
        <v>475</v>
      </c>
      <c r="B195" s="1">
        <v>487</v>
      </c>
      <c r="C195" s="1">
        <v>1385</v>
      </c>
      <c r="D195" s="1">
        <v>-105.8</v>
      </c>
      <c r="E195" s="1">
        <v>7.7</v>
      </c>
      <c r="F195" s="1">
        <v>2.2000000000000002</v>
      </c>
      <c r="G195">
        <v>-47</v>
      </c>
      <c r="H195">
        <v>-4</v>
      </c>
      <c r="I195">
        <v>-1</v>
      </c>
      <c r="K195" s="1">
        <v>475</v>
      </c>
      <c r="L195" s="1">
        <v>661</v>
      </c>
      <c r="M195" s="1">
        <v>2545</v>
      </c>
      <c r="N195" s="1">
        <v>-72.400000000000006</v>
      </c>
      <c r="O195" s="1">
        <v>5.2</v>
      </c>
      <c r="P195" s="1">
        <v>1.5</v>
      </c>
      <c r="Q195" s="1">
        <v>0</v>
      </c>
      <c r="R195" s="1">
        <v>0</v>
      </c>
      <c r="S195" s="1">
        <v>0</v>
      </c>
    </row>
    <row r="196" spans="1:19" x14ac:dyDescent="0.25">
      <c r="A196" s="1">
        <v>500</v>
      </c>
      <c r="B196" s="1">
        <v>472</v>
      </c>
      <c r="C196" s="1">
        <v>1299</v>
      </c>
      <c r="D196" s="1">
        <v>-130.69999999999999</v>
      </c>
      <c r="E196" s="1">
        <v>9</v>
      </c>
      <c r="F196" s="1">
        <v>2.6</v>
      </c>
      <c r="G196">
        <v>-52</v>
      </c>
      <c r="H196">
        <v>-4</v>
      </c>
      <c r="I196">
        <v>-1</v>
      </c>
      <c r="K196" s="1">
        <v>500</v>
      </c>
      <c r="L196" s="1">
        <v>651</v>
      </c>
      <c r="M196" s="1">
        <v>2471</v>
      </c>
      <c r="N196" s="1">
        <v>-88.1</v>
      </c>
      <c r="O196" s="1">
        <v>6.1</v>
      </c>
      <c r="P196" s="1">
        <v>1.8</v>
      </c>
      <c r="Q196" s="1">
        <v>0</v>
      </c>
      <c r="R196" s="1">
        <v>0</v>
      </c>
      <c r="S196" s="1">
        <v>0</v>
      </c>
    </row>
    <row r="198" spans="1:19" x14ac:dyDescent="0.25">
      <c r="A198" t="s">
        <v>92</v>
      </c>
      <c r="K198" t="s">
        <v>86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39</v>
      </c>
      <c r="H199" t="s">
        <v>40</v>
      </c>
      <c r="I199" t="s">
        <v>41</v>
      </c>
      <c r="K199" t="s">
        <v>12</v>
      </c>
      <c r="L199" t="s">
        <v>13</v>
      </c>
      <c r="M199" t="s">
        <v>14</v>
      </c>
      <c r="N199" t="s">
        <v>15</v>
      </c>
      <c r="O199" t="s">
        <v>16</v>
      </c>
      <c r="P199" t="s">
        <v>17</v>
      </c>
      <c r="Q199" t="s">
        <v>39</v>
      </c>
      <c r="R199" t="s">
        <v>40</v>
      </c>
      <c r="S199" t="s">
        <v>41</v>
      </c>
    </row>
    <row r="200" spans="1:19" x14ac:dyDescent="0.25">
      <c r="A200" s="1">
        <v>0</v>
      </c>
      <c r="B200" s="1">
        <v>869</v>
      </c>
      <c r="C200" s="1">
        <v>4402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869</v>
      </c>
      <c r="M200" s="1">
        <v>4402</v>
      </c>
      <c r="N200" s="1">
        <v>-3.8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</row>
    <row r="201" spans="1:19" x14ac:dyDescent="0.25">
      <c r="A201" s="1">
        <v>25</v>
      </c>
      <c r="B201" s="1">
        <v>845</v>
      </c>
      <c r="C201" s="1">
        <v>4166</v>
      </c>
      <c r="D201" s="1">
        <v>5.4</v>
      </c>
      <c r="E201" s="1">
        <v>-7.4</v>
      </c>
      <c r="F201" s="1">
        <v>-2.2000000000000002</v>
      </c>
      <c r="G201">
        <v>0</v>
      </c>
      <c r="H201">
        <v>0</v>
      </c>
      <c r="I201">
        <v>0</v>
      </c>
      <c r="K201" s="1">
        <v>25</v>
      </c>
      <c r="L201" s="1">
        <v>857</v>
      </c>
      <c r="M201" s="1">
        <v>4283</v>
      </c>
      <c r="N201" s="1">
        <v>3.7</v>
      </c>
      <c r="O201" s="1">
        <v>-5.0999999999999996</v>
      </c>
      <c r="P201" s="1">
        <v>-1.5</v>
      </c>
      <c r="Q201" s="1">
        <v>0</v>
      </c>
      <c r="R201" s="1">
        <v>0</v>
      </c>
      <c r="S201" s="1">
        <v>0</v>
      </c>
    </row>
    <row r="202" spans="1:19" x14ac:dyDescent="0.25">
      <c r="A202" s="1">
        <v>50</v>
      </c>
      <c r="B202" s="1">
        <v>822</v>
      </c>
      <c r="C202" s="1">
        <v>3943</v>
      </c>
      <c r="D202" s="1">
        <v>13.9</v>
      </c>
      <c r="E202" s="1">
        <v>-9.5</v>
      </c>
      <c r="F202" s="1">
        <v>-2.8</v>
      </c>
      <c r="G202">
        <v>0</v>
      </c>
      <c r="H202">
        <v>0</v>
      </c>
      <c r="I202">
        <v>0</v>
      </c>
      <c r="K202" s="1">
        <v>50</v>
      </c>
      <c r="L202" s="1">
        <v>845</v>
      </c>
      <c r="M202" s="1">
        <v>4168</v>
      </c>
      <c r="N202" s="1">
        <v>10.5</v>
      </c>
      <c r="O202" s="1">
        <v>-7.2</v>
      </c>
      <c r="P202" s="1">
        <v>-2.1</v>
      </c>
      <c r="Q202" s="1">
        <v>0</v>
      </c>
      <c r="R202" s="1">
        <v>0</v>
      </c>
      <c r="S202" s="1">
        <v>0</v>
      </c>
    </row>
    <row r="203" spans="1:19" x14ac:dyDescent="0.25">
      <c r="A203" s="1">
        <v>75</v>
      </c>
      <c r="B203" s="1">
        <v>800</v>
      </c>
      <c r="C203" s="1">
        <v>3729</v>
      </c>
      <c r="D203" s="1">
        <v>21.2</v>
      </c>
      <c r="E203" s="1">
        <v>-9.6999999999999993</v>
      </c>
      <c r="F203" s="1">
        <v>-2.8</v>
      </c>
      <c r="G203">
        <v>-1</v>
      </c>
      <c r="H203">
        <v>0</v>
      </c>
      <c r="I203">
        <v>0</v>
      </c>
      <c r="K203" s="1">
        <v>75</v>
      </c>
      <c r="L203" s="1">
        <v>834</v>
      </c>
      <c r="M203" s="1">
        <v>4055</v>
      </c>
      <c r="N203" s="1">
        <v>16.3</v>
      </c>
      <c r="O203" s="1">
        <v>-7.5</v>
      </c>
      <c r="P203" s="1">
        <v>-2.2000000000000002</v>
      </c>
      <c r="Q203" s="1">
        <v>0</v>
      </c>
      <c r="R203" s="1">
        <v>0</v>
      </c>
      <c r="S203" s="1">
        <v>0</v>
      </c>
    </row>
    <row r="204" spans="1:19" x14ac:dyDescent="0.25">
      <c r="A204" s="1">
        <v>100</v>
      </c>
      <c r="B204" s="1">
        <v>777</v>
      </c>
      <c r="C204" s="1">
        <v>3524</v>
      </c>
      <c r="D204" s="1">
        <v>27.6</v>
      </c>
      <c r="E204" s="1">
        <v>-9.5</v>
      </c>
      <c r="F204" s="1">
        <v>-2.8</v>
      </c>
      <c r="G204">
        <v>-2</v>
      </c>
      <c r="H204">
        <v>-1</v>
      </c>
      <c r="I204">
        <v>0</v>
      </c>
      <c r="K204" s="1">
        <v>100</v>
      </c>
      <c r="L204" s="1">
        <v>822</v>
      </c>
      <c r="M204" s="1">
        <v>3944</v>
      </c>
      <c r="N204" s="1">
        <v>21.2</v>
      </c>
      <c r="O204" s="1">
        <v>-7.3</v>
      </c>
      <c r="P204" s="1">
        <v>-2.1</v>
      </c>
      <c r="Q204" s="1">
        <v>0</v>
      </c>
      <c r="R204" s="1">
        <v>0</v>
      </c>
      <c r="S204" s="1">
        <v>0</v>
      </c>
    </row>
    <row r="205" spans="1:19" x14ac:dyDescent="0.25">
      <c r="A205" s="1">
        <v>125</v>
      </c>
      <c r="B205" s="1">
        <v>755</v>
      </c>
      <c r="C205" s="1">
        <v>3329</v>
      </c>
      <c r="D205" s="1">
        <v>33.200000000000003</v>
      </c>
      <c r="E205" s="1">
        <v>-9.1</v>
      </c>
      <c r="F205" s="1">
        <v>-2.6</v>
      </c>
      <c r="G205">
        <v>-3</v>
      </c>
      <c r="H205">
        <v>-1</v>
      </c>
      <c r="I205">
        <v>0</v>
      </c>
      <c r="K205" s="1">
        <v>125</v>
      </c>
      <c r="L205" s="1">
        <v>811</v>
      </c>
      <c r="M205" s="1">
        <v>3836</v>
      </c>
      <c r="N205" s="1">
        <v>25.3</v>
      </c>
      <c r="O205" s="1">
        <v>-6.9</v>
      </c>
      <c r="P205" s="1">
        <v>-2</v>
      </c>
      <c r="Q205" s="1">
        <v>0</v>
      </c>
      <c r="R205" s="1">
        <v>0</v>
      </c>
      <c r="S205" s="1">
        <v>0</v>
      </c>
    </row>
    <row r="206" spans="1:19" x14ac:dyDescent="0.25">
      <c r="A206" s="1">
        <v>150</v>
      </c>
      <c r="B206" s="1">
        <v>734</v>
      </c>
      <c r="C206" s="1">
        <v>3141</v>
      </c>
      <c r="D206" s="1">
        <v>37.4</v>
      </c>
      <c r="E206" s="1">
        <v>-8.6</v>
      </c>
      <c r="F206" s="1">
        <v>-2.5</v>
      </c>
      <c r="G206">
        <v>-4</v>
      </c>
      <c r="H206">
        <v>-1</v>
      </c>
      <c r="I206">
        <v>0</v>
      </c>
      <c r="K206" s="1">
        <v>150</v>
      </c>
      <c r="L206" s="1">
        <v>800</v>
      </c>
      <c r="M206" s="1">
        <v>3730</v>
      </c>
      <c r="N206" s="1">
        <v>28.3</v>
      </c>
      <c r="O206" s="1">
        <v>-6.5</v>
      </c>
      <c r="P206" s="1">
        <v>-1.9</v>
      </c>
      <c r="Q206" s="1">
        <v>0</v>
      </c>
      <c r="R206" s="1">
        <v>0</v>
      </c>
      <c r="S206" s="1">
        <v>0</v>
      </c>
    </row>
    <row r="207" spans="1:19" x14ac:dyDescent="0.25">
      <c r="A207" s="1">
        <v>175</v>
      </c>
      <c r="B207" s="1">
        <v>713</v>
      </c>
      <c r="C207" s="1">
        <v>2963</v>
      </c>
      <c r="D207" s="1">
        <v>40.5</v>
      </c>
      <c r="E207" s="1">
        <v>-8</v>
      </c>
      <c r="F207" s="1">
        <v>-2.2999999999999998</v>
      </c>
      <c r="G207">
        <v>-5</v>
      </c>
      <c r="H207">
        <v>-1</v>
      </c>
      <c r="I207">
        <v>0</v>
      </c>
      <c r="K207" s="1">
        <v>175</v>
      </c>
      <c r="L207" s="1">
        <v>788</v>
      </c>
      <c r="M207" s="1">
        <v>3626</v>
      </c>
      <c r="N207" s="1">
        <v>30.4</v>
      </c>
      <c r="O207" s="1">
        <v>-6</v>
      </c>
      <c r="P207" s="1">
        <v>-1.7</v>
      </c>
      <c r="Q207" s="1">
        <v>0</v>
      </c>
      <c r="R207" s="1">
        <v>0</v>
      </c>
      <c r="S207" s="1">
        <v>0</v>
      </c>
    </row>
    <row r="208" spans="1:19" x14ac:dyDescent="0.25">
      <c r="A208" s="1">
        <v>200</v>
      </c>
      <c r="B208" s="1">
        <v>692</v>
      </c>
      <c r="C208" s="1">
        <v>2792</v>
      </c>
      <c r="D208" s="1">
        <v>42.5</v>
      </c>
      <c r="E208" s="1">
        <v>-7.3</v>
      </c>
      <c r="F208" s="1">
        <v>-2.1</v>
      </c>
      <c r="G208">
        <v>-7</v>
      </c>
      <c r="H208">
        <v>-1</v>
      </c>
      <c r="I208">
        <v>0</v>
      </c>
      <c r="K208" s="1">
        <v>200</v>
      </c>
      <c r="L208" s="1">
        <v>777</v>
      </c>
      <c r="M208" s="1">
        <v>3525</v>
      </c>
      <c r="N208" s="1">
        <v>31.6</v>
      </c>
      <c r="O208" s="1">
        <v>-5.4</v>
      </c>
      <c r="P208" s="1">
        <v>-1.6</v>
      </c>
      <c r="Q208" s="1">
        <v>0</v>
      </c>
      <c r="R208" s="1">
        <v>0</v>
      </c>
      <c r="S208" s="1">
        <v>0</v>
      </c>
    </row>
    <row r="209" spans="1:19" x14ac:dyDescent="0.25">
      <c r="A209" s="1">
        <v>225</v>
      </c>
      <c r="B209" s="1">
        <v>671</v>
      </c>
      <c r="C209" s="1">
        <v>2629</v>
      </c>
      <c r="D209" s="1">
        <v>43</v>
      </c>
      <c r="E209" s="1">
        <v>-6.6</v>
      </c>
      <c r="F209" s="1">
        <v>-1.9</v>
      </c>
      <c r="G209">
        <v>-9</v>
      </c>
      <c r="H209">
        <v>-2</v>
      </c>
      <c r="I209">
        <v>0</v>
      </c>
      <c r="K209" s="1">
        <v>225</v>
      </c>
      <c r="L209" s="1">
        <v>766</v>
      </c>
      <c r="M209" s="1">
        <v>3425</v>
      </c>
      <c r="N209" s="1">
        <v>31.6</v>
      </c>
      <c r="O209" s="1">
        <v>-4.8</v>
      </c>
      <c r="P209" s="1">
        <v>-1.4</v>
      </c>
      <c r="Q209" s="1">
        <v>0</v>
      </c>
      <c r="R209" s="1">
        <v>0</v>
      </c>
      <c r="S209" s="1">
        <v>0</v>
      </c>
    </row>
    <row r="210" spans="1:19" x14ac:dyDescent="0.25">
      <c r="A210" s="1">
        <v>250</v>
      </c>
      <c r="B210" s="1">
        <v>651</v>
      </c>
      <c r="C210" s="1">
        <v>2473</v>
      </c>
      <c r="D210" s="1">
        <v>42.1</v>
      </c>
      <c r="E210" s="1">
        <v>-5.8</v>
      </c>
      <c r="F210" s="1">
        <v>-1.7</v>
      </c>
      <c r="G210">
        <v>-11</v>
      </c>
      <c r="H210">
        <v>-2</v>
      </c>
      <c r="I210">
        <v>0</v>
      </c>
      <c r="K210" s="1">
        <v>250</v>
      </c>
      <c r="L210" s="1">
        <v>755</v>
      </c>
      <c r="M210" s="1">
        <v>3328</v>
      </c>
      <c r="N210" s="1">
        <v>30.6</v>
      </c>
      <c r="O210" s="1">
        <v>-4.2</v>
      </c>
      <c r="P210" s="1">
        <v>-1.2</v>
      </c>
      <c r="Q210" s="1">
        <v>0</v>
      </c>
      <c r="R210" s="1">
        <v>0</v>
      </c>
      <c r="S210" s="1">
        <v>0</v>
      </c>
    </row>
    <row r="211" spans="1:19" x14ac:dyDescent="0.25">
      <c r="A211" s="1">
        <v>275</v>
      </c>
      <c r="B211" s="1">
        <v>631</v>
      </c>
      <c r="C211" s="1">
        <v>2325</v>
      </c>
      <c r="D211" s="1">
        <v>39.700000000000003</v>
      </c>
      <c r="E211" s="1">
        <v>-5</v>
      </c>
      <c r="F211" s="1">
        <v>-1.4</v>
      </c>
      <c r="G211">
        <v>-14</v>
      </c>
      <c r="H211">
        <v>-2</v>
      </c>
      <c r="I211">
        <v>-1</v>
      </c>
      <c r="K211" s="1">
        <v>275</v>
      </c>
      <c r="L211" s="1">
        <v>745</v>
      </c>
      <c r="M211" s="1">
        <v>3233</v>
      </c>
      <c r="N211" s="1">
        <v>28.5</v>
      </c>
      <c r="O211" s="1">
        <v>-3.6</v>
      </c>
      <c r="P211" s="1">
        <v>-1</v>
      </c>
      <c r="Q211" s="1">
        <v>0</v>
      </c>
      <c r="R211" s="1">
        <v>0</v>
      </c>
      <c r="S211" s="1">
        <v>0</v>
      </c>
    </row>
    <row r="212" spans="1:19" x14ac:dyDescent="0.25">
      <c r="A212" s="1">
        <v>300</v>
      </c>
      <c r="B212" s="1">
        <v>612</v>
      </c>
      <c r="C212" s="1">
        <v>2184</v>
      </c>
      <c r="D212" s="1">
        <v>35.6</v>
      </c>
      <c r="E212" s="1">
        <v>-4.0999999999999996</v>
      </c>
      <c r="F212" s="1">
        <v>-1.2</v>
      </c>
      <c r="G212">
        <v>-17</v>
      </c>
      <c r="H212">
        <v>-2</v>
      </c>
      <c r="I212">
        <v>-1</v>
      </c>
      <c r="K212" s="1">
        <v>300</v>
      </c>
      <c r="L212" s="1">
        <v>734</v>
      </c>
      <c r="M212" s="1">
        <v>3140</v>
      </c>
      <c r="N212" s="1">
        <v>25.3</v>
      </c>
      <c r="O212" s="1">
        <v>-2.9</v>
      </c>
      <c r="P212" s="1">
        <v>-0.8</v>
      </c>
      <c r="Q212" s="1">
        <v>0</v>
      </c>
      <c r="R212" s="1">
        <v>0</v>
      </c>
      <c r="S212" s="1">
        <v>0</v>
      </c>
    </row>
    <row r="213" spans="1:19" x14ac:dyDescent="0.25">
      <c r="A213" s="1">
        <v>325</v>
      </c>
      <c r="B213" s="1">
        <v>593</v>
      </c>
      <c r="C213" s="1">
        <v>2050</v>
      </c>
      <c r="D213" s="1">
        <v>29.9</v>
      </c>
      <c r="E213" s="1">
        <v>-3.2</v>
      </c>
      <c r="F213" s="1">
        <v>-0.9</v>
      </c>
      <c r="G213">
        <v>-20</v>
      </c>
      <c r="H213">
        <v>-2</v>
      </c>
      <c r="I213">
        <v>-1</v>
      </c>
      <c r="K213" s="1">
        <v>325</v>
      </c>
      <c r="L213" s="1">
        <v>723</v>
      </c>
      <c r="M213" s="1">
        <v>3049</v>
      </c>
      <c r="N213" s="1">
        <v>20.9</v>
      </c>
      <c r="O213" s="1">
        <v>-2.2000000000000002</v>
      </c>
      <c r="P213" s="1">
        <v>-0.6</v>
      </c>
      <c r="Q213" s="1">
        <v>0</v>
      </c>
      <c r="R213" s="1">
        <v>0</v>
      </c>
      <c r="S213" s="1">
        <v>0</v>
      </c>
    </row>
    <row r="214" spans="1:19" x14ac:dyDescent="0.25">
      <c r="A214" s="1">
        <v>350</v>
      </c>
      <c r="B214" s="1">
        <v>574</v>
      </c>
      <c r="C214" s="1">
        <v>1923</v>
      </c>
      <c r="D214" s="1">
        <v>22</v>
      </c>
      <c r="E214" s="1">
        <v>-2.2000000000000002</v>
      </c>
      <c r="F214" s="1">
        <v>-0.6</v>
      </c>
      <c r="G214">
        <v>-24</v>
      </c>
      <c r="H214">
        <v>-2</v>
      </c>
      <c r="I214">
        <v>-1</v>
      </c>
      <c r="K214" s="1">
        <v>350</v>
      </c>
      <c r="L214" s="1">
        <v>712</v>
      </c>
      <c r="M214" s="1">
        <v>2960</v>
      </c>
      <c r="N214" s="1">
        <v>15.1</v>
      </c>
      <c r="O214" s="1">
        <v>-1.5</v>
      </c>
      <c r="P214" s="1">
        <v>-0.4</v>
      </c>
      <c r="Q214" s="1">
        <v>0</v>
      </c>
      <c r="R214" s="1">
        <v>0</v>
      </c>
      <c r="S214" s="1">
        <v>0</v>
      </c>
    </row>
    <row r="215" spans="1:19" x14ac:dyDescent="0.25">
      <c r="A215" s="1">
        <v>375</v>
      </c>
      <c r="B215" s="1">
        <v>556</v>
      </c>
      <c r="C215" s="1">
        <v>1802</v>
      </c>
      <c r="D215" s="1">
        <v>12.4</v>
      </c>
      <c r="E215" s="1">
        <v>-1.1000000000000001</v>
      </c>
      <c r="F215" s="1">
        <v>-0.3</v>
      </c>
      <c r="G215">
        <v>-27</v>
      </c>
      <c r="H215">
        <v>-3</v>
      </c>
      <c r="I215">
        <v>-1</v>
      </c>
      <c r="K215" s="1">
        <v>375</v>
      </c>
      <c r="L215" s="1">
        <v>702</v>
      </c>
      <c r="M215" s="1">
        <v>2873</v>
      </c>
      <c r="N215" s="1">
        <v>8.3000000000000007</v>
      </c>
      <c r="O215" s="1">
        <v>-0.8</v>
      </c>
      <c r="P215" s="1">
        <v>-0.2</v>
      </c>
      <c r="Q215" s="1">
        <v>0</v>
      </c>
      <c r="R215" s="1">
        <v>0</v>
      </c>
      <c r="S215" s="1">
        <v>0</v>
      </c>
    </row>
    <row r="216" spans="1:19" x14ac:dyDescent="0.25">
      <c r="A216" s="10">
        <v>400</v>
      </c>
      <c r="B216" s="10">
        <v>538</v>
      </c>
      <c r="C216" s="10">
        <v>1688</v>
      </c>
      <c r="D216" s="10">
        <v>0.7</v>
      </c>
      <c r="E216" s="10">
        <v>-0.1</v>
      </c>
      <c r="F216" s="10">
        <v>0</v>
      </c>
      <c r="G216">
        <v>-32</v>
      </c>
      <c r="H216">
        <v>-3</v>
      </c>
      <c r="I216">
        <v>-1</v>
      </c>
      <c r="K216" s="1">
        <v>400</v>
      </c>
      <c r="L216" s="1">
        <v>691</v>
      </c>
      <c r="M216" s="1">
        <v>2788</v>
      </c>
      <c r="N216" s="1">
        <v>0.2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</row>
    <row r="217" spans="1:19" x14ac:dyDescent="0.25">
      <c r="A217" s="1">
        <v>425</v>
      </c>
      <c r="B217" s="1">
        <v>521</v>
      </c>
      <c r="C217" s="1">
        <v>1581</v>
      </c>
      <c r="D217" s="1">
        <v>-13.9</v>
      </c>
      <c r="E217" s="1">
        <v>1.1000000000000001</v>
      </c>
      <c r="F217" s="1">
        <v>0.3</v>
      </c>
      <c r="G217">
        <v>-36</v>
      </c>
      <c r="H217">
        <v>-3</v>
      </c>
      <c r="I217">
        <v>-1</v>
      </c>
      <c r="K217" s="1">
        <v>425</v>
      </c>
      <c r="L217" s="1">
        <v>681</v>
      </c>
      <c r="M217" s="1">
        <v>2705</v>
      </c>
      <c r="N217" s="1">
        <v>-9.6</v>
      </c>
      <c r="O217" s="1">
        <v>0.8</v>
      </c>
      <c r="P217" s="1">
        <v>0.2</v>
      </c>
      <c r="Q217" s="1">
        <v>0</v>
      </c>
      <c r="R217" s="1">
        <v>0</v>
      </c>
      <c r="S217" s="1">
        <v>0</v>
      </c>
    </row>
    <row r="218" spans="1:19" x14ac:dyDescent="0.25">
      <c r="A218" s="1">
        <v>450</v>
      </c>
      <c r="B218" s="1">
        <v>504</v>
      </c>
      <c r="C218" s="1">
        <v>1480</v>
      </c>
      <c r="D218" s="1">
        <v>-30.5</v>
      </c>
      <c r="E218" s="1">
        <v>2.2999999999999998</v>
      </c>
      <c r="F218" s="1">
        <v>0.7</v>
      </c>
      <c r="G218">
        <v>-41</v>
      </c>
      <c r="H218">
        <v>-4</v>
      </c>
      <c r="I218">
        <v>-1</v>
      </c>
      <c r="K218" s="1">
        <v>450</v>
      </c>
      <c r="L218" s="1">
        <v>671</v>
      </c>
      <c r="M218" s="1">
        <v>2624</v>
      </c>
      <c r="N218" s="1">
        <v>-20.399999999999999</v>
      </c>
      <c r="O218" s="1">
        <v>1.6</v>
      </c>
      <c r="P218" s="1">
        <v>0.5</v>
      </c>
      <c r="Q218" s="1">
        <v>0</v>
      </c>
      <c r="R218" s="1">
        <v>0</v>
      </c>
      <c r="S218" s="1">
        <v>0</v>
      </c>
    </row>
    <row r="219" spans="1:19" x14ac:dyDescent="0.25">
      <c r="A219" s="1">
        <v>475</v>
      </c>
      <c r="B219" s="1">
        <v>487</v>
      </c>
      <c r="C219" s="1">
        <v>1385</v>
      </c>
      <c r="D219" s="1">
        <v>-49.7</v>
      </c>
      <c r="E219" s="1">
        <v>3.6</v>
      </c>
      <c r="F219" s="1">
        <v>1</v>
      </c>
      <c r="G219">
        <v>-47</v>
      </c>
      <c r="H219">
        <v>-4</v>
      </c>
      <c r="I219">
        <v>-1</v>
      </c>
      <c r="K219" s="1">
        <v>475</v>
      </c>
      <c r="L219" s="1">
        <v>661</v>
      </c>
      <c r="M219" s="1">
        <v>2545</v>
      </c>
      <c r="N219" s="1">
        <v>-32.6</v>
      </c>
      <c r="O219" s="1">
        <v>2.4</v>
      </c>
      <c r="P219" s="1">
        <v>0.7</v>
      </c>
      <c r="Q219" s="1">
        <v>0</v>
      </c>
      <c r="R219" s="1">
        <v>0</v>
      </c>
      <c r="S219" s="1">
        <v>0</v>
      </c>
    </row>
    <row r="220" spans="1:19" x14ac:dyDescent="0.25">
      <c r="A220" s="1">
        <v>500</v>
      </c>
      <c r="B220" s="1">
        <v>472</v>
      </c>
      <c r="C220" s="1">
        <v>1299</v>
      </c>
      <c r="D220" s="1">
        <v>-71.7</v>
      </c>
      <c r="E220" s="1">
        <v>4.9000000000000004</v>
      </c>
      <c r="F220" s="1">
        <v>1.4</v>
      </c>
      <c r="G220">
        <v>-52</v>
      </c>
      <c r="H220">
        <v>-4</v>
      </c>
      <c r="I220">
        <v>-1</v>
      </c>
      <c r="K220" s="1">
        <v>500</v>
      </c>
      <c r="L220" s="1">
        <v>651</v>
      </c>
      <c r="M220" s="1">
        <v>2471</v>
      </c>
      <c r="N220" s="1">
        <v>-46.2</v>
      </c>
      <c r="O220" s="1">
        <v>3.2</v>
      </c>
      <c r="P220" s="1">
        <v>0.9</v>
      </c>
      <c r="Q220" s="1">
        <v>0</v>
      </c>
      <c r="R220" s="1">
        <v>0</v>
      </c>
      <c r="S220" s="1">
        <v>0</v>
      </c>
    </row>
    <row r="222" spans="1:19" x14ac:dyDescent="0.25">
      <c r="A222" t="s">
        <v>93</v>
      </c>
      <c r="K222" t="s">
        <v>79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39</v>
      </c>
      <c r="H223" t="s">
        <v>40</v>
      </c>
      <c r="I223" t="s">
        <v>41</v>
      </c>
      <c r="K223" t="s">
        <v>12</v>
      </c>
      <c r="L223" t="s">
        <v>13</v>
      </c>
      <c r="M223" t="s">
        <v>14</v>
      </c>
      <c r="N223" t="s">
        <v>15</v>
      </c>
      <c r="O223" t="s">
        <v>16</v>
      </c>
      <c r="P223" t="s">
        <v>17</v>
      </c>
      <c r="Q223" t="s">
        <v>39</v>
      </c>
      <c r="R223" t="s">
        <v>40</v>
      </c>
      <c r="S223" t="s">
        <v>41</v>
      </c>
    </row>
    <row r="224" spans="1:19" x14ac:dyDescent="0.25">
      <c r="A224" s="1">
        <v>0</v>
      </c>
      <c r="B224" s="1">
        <v>869</v>
      </c>
      <c r="C224" s="1">
        <v>4402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>
        <v>0</v>
      </c>
      <c r="L224" s="1">
        <v>869</v>
      </c>
      <c r="M224" s="1">
        <v>4402</v>
      </c>
      <c r="N224" s="1">
        <v>-3.8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</row>
    <row r="225" spans="1:19" x14ac:dyDescent="0.25">
      <c r="A225" s="1">
        <v>25</v>
      </c>
      <c r="B225" s="1">
        <v>845</v>
      </c>
      <c r="C225" s="1">
        <v>4166</v>
      </c>
      <c r="D225" s="1">
        <v>9</v>
      </c>
      <c r="E225" s="1">
        <v>-12.5</v>
      </c>
      <c r="F225" s="1">
        <v>-3.6</v>
      </c>
      <c r="G225" s="2">
        <v>0</v>
      </c>
      <c r="H225" s="2">
        <v>0</v>
      </c>
      <c r="I225" s="2">
        <v>0</v>
      </c>
      <c r="K225" s="1">
        <v>25</v>
      </c>
      <c r="L225" s="1">
        <v>857</v>
      </c>
      <c r="M225" s="1">
        <v>4283</v>
      </c>
      <c r="N225" s="1">
        <v>6</v>
      </c>
      <c r="O225" s="1">
        <v>-8.3000000000000007</v>
      </c>
      <c r="P225" s="1">
        <v>-2.4</v>
      </c>
      <c r="Q225" s="1">
        <v>0</v>
      </c>
      <c r="R225" s="1">
        <v>0</v>
      </c>
      <c r="S225" s="1">
        <v>0</v>
      </c>
    </row>
    <row r="226" spans="1:19" x14ac:dyDescent="0.25">
      <c r="A226" s="1">
        <v>50</v>
      </c>
      <c r="B226" s="1">
        <v>822</v>
      </c>
      <c r="C226" s="1">
        <v>3943</v>
      </c>
      <c r="D226" s="1">
        <v>21.3</v>
      </c>
      <c r="E226" s="1">
        <v>-14.5</v>
      </c>
      <c r="F226" s="1">
        <v>-4.2</v>
      </c>
      <c r="G226" s="2">
        <v>0</v>
      </c>
      <c r="H226" s="2">
        <v>0</v>
      </c>
      <c r="I226" s="2">
        <v>0</v>
      </c>
      <c r="K226" s="1">
        <v>50</v>
      </c>
      <c r="L226" s="1">
        <v>845</v>
      </c>
      <c r="M226" s="1">
        <v>4168</v>
      </c>
      <c r="N226" s="1">
        <v>15.2</v>
      </c>
      <c r="O226" s="1">
        <v>-10.4</v>
      </c>
      <c r="P226" s="1">
        <v>-3</v>
      </c>
      <c r="Q226" s="1">
        <v>0</v>
      </c>
      <c r="R226" s="1">
        <v>0</v>
      </c>
      <c r="S226" s="1">
        <v>0</v>
      </c>
    </row>
    <row r="227" spans="1:19" x14ac:dyDescent="0.25">
      <c r="A227" s="1">
        <v>75</v>
      </c>
      <c r="B227" s="1">
        <v>800</v>
      </c>
      <c r="C227" s="1">
        <v>3729</v>
      </c>
      <c r="D227" s="1">
        <v>32.299999999999997</v>
      </c>
      <c r="E227" s="1">
        <v>-14.8</v>
      </c>
      <c r="F227" s="1">
        <v>-4.3</v>
      </c>
      <c r="G227" s="2">
        <v>-1</v>
      </c>
      <c r="H227" s="2">
        <v>0</v>
      </c>
      <c r="I227" s="2">
        <v>0</v>
      </c>
      <c r="K227" s="1">
        <v>75</v>
      </c>
      <c r="L227" s="1">
        <v>834</v>
      </c>
      <c r="M227" s="1">
        <v>4055</v>
      </c>
      <c r="N227" s="1">
        <v>23.3</v>
      </c>
      <c r="O227" s="1">
        <v>-10.7</v>
      </c>
      <c r="P227" s="1">
        <v>-3.1</v>
      </c>
      <c r="Q227" s="1">
        <v>0</v>
      </c>
      <c r="R227" s="1">
        <v>0</v>
      </c>
      <c r="S227" s="1">
        <v>0</v>
      </c>
    </row>
    <row r="228" spans="1:19" x14ac:dyDescent="0.25">
      <c r="A228" s="1">
        <v>100</v>
      </c>
      <c r="B228" s="1">
        <v>777</v>
      </c>
      <c r="C228" s="1">
        <v>3524</v>
      </c>
      <c r="D228" s="1">
        <v>42.3</v>
      </c>
      <c r="E228" s="1">
        <v>-14.6</v>
      </c>
      <c r="F228" s="1">
        <v>-4.2</v>
      </c>
      <c r="G228" s="2">
        <v>-2</v>
      </c>
      <c r="H228" s="2">
        <v>-1</v>
      </c>
      <c r="I228" s="2">
        <v>0</v>
      </c>
      <c r="K228" s="1">
        <v>100</v>
      </c>
      <c r="L228" s="1">
        <v>822</v>
      </c>
      <c r="M228" s="1">
        <v>3944</v>
      </c>
      <c r="N228" s="1">
        <v>30.5</v>
      </c>
      <c r="O228" s="1">
        <v>-10.5</v>
      </c>
      <c r="P228" s="1">
        <v>-3.1</v>
      </c>
      <c r="Q228" s="1">
        <v>0</v>
      </c>
      <c r="R228" s="1">
        <v>0</v>
      </c>
      <c r="S228" s="1">
        <v>0</v>
      </c>
    </row>
    <row r="229" spans="1:19" x14ac:dyDescent="0.25">
      <c r="A229" s="1">
        <v>125</v>
      </c>
      <c r="B229" s="1">
        <v>755</v>
      </c>
      <c r="C229" s="1">
        <v>3329</v>
      </c>
      <c r="D229" s="1">
        <v>51.6</v>
      </c>
      <c r="E229" s="1">
        <v>-14.1</v>
      </c>
      <c r="F229" s="1">
        <v>-4.0999999999999996</v>
      </c>
      <c r="G229" s="2">
        <v>-3</v>
      </c>
      <c r="H229" s="2">
        <v>-1</v>
      </c>
      <c r="I229" s="2">
        <v>0</v>
      </c>
      <c r="K229" s="1">
        <v>125</v>
      </c>
      <c r="L229" s="1">
        <v>811</v>
      </c>
      <c r="M229" s="1">
        <v>3836</v>
      </c>
      <c r="N229" s="1">
        <v>37</v>
      </c>
      <c r="O229" s="1">
        <v>-10.1</v>
      </c>
      <c r="P229" s="1">
        <v>-2.9</v>
      </c>
      <c r="Q229" s="1">
        <v>0</v>
      </c>
      <c r="R229" s="1">
        <v>0</v>
      </c>
      <c r="S229" s="1">
        <v>0</v>
      </c>
    </row>
    <row r="230" spans="1:19" x14ac:dyDescent="0.25">
      <c r="A230" s="1">
        <v>150</v>
      </c>
      <c r="B230" s="1">
        <v>734</v>
      </c>
      <c r="C230" s="1">
        <v>3141</v>
      </c>
      <c r="D230" s="1">
        <v>59.5</v>
      </c>
      <c r="E230" s="1">
        <v>-13.6</v>
      </c>
      <c r="F230" s="1">
        <v>-4</v>
      </c>
      <c r="G230" s="2">
        <v>-4</v>
      </c>
      <c r="H230" s="2">
        <v>-1</v>
      </c>
      <c r="I230" s="2">
        <v>0</v>
      </c>
      <c r="K230" s="1">
        <v>150</v>
      </c>
      <c r="L230" s="1">
        <v>800</v>
      </c>
      <c r="M230" s="1">
        <v>3730</v>
      </c>
      <c r="N230" s="1">
        <v>42.3</v>
      </c>
      <c r="O230" s="1">
        <v>-9.6999999999999993</v>
      </c>
      <c r="P230" s="1">
        <v>-2.8</v>
      </c>
      <c r="Q230" s="1">
        <v>0</v>
      </c>
      <c r="R230" s="1">
        <v>0</v>
      </c>
      <c r="S230" s="1">
        <v>0</v>
      </c>
    </row>
    <row r="231" spans="1:19" x14ac:dyDescent="0.25">
      <c r="A231" s="1">
        <v>175</v>
      </c>
      <c r="B231" s="1">
        <v>713</v>
      </c>
      <c r="C231" s="1">
        <v>2963</v>
      </c>
      <c r="D231" s="1">
        <v>66.2</v>
      </c>
      <c r="E231" s="1">
        <v>-13</v>
      </c>
      <c r="F231" s="1">
        <v>-3.8</v>
      </c>
      <c r="G231" s="2">
        <v>-5</v>
      </c>
      <c r="H231" s="2">
        <v>-1</v>
      </c>
      <c r="I231" s="2">
        <v>0</v>
      </c>
      <c r="K231" s="1">
        <v>175</v>
      </c>
      <c r="L231" s="1">
        <v>788</v>
      </c>
      <c r="M231" s="1">
        <v>3626</v>
      </c>
      <c r="N231" s="1">
        <v>46.7</v>
      </c>
      <c r="O231" s="1">
        <v>-9.1999999999999993</v>
      </c>
      <c r="P231" s="1">
        <v>-2.7</v>
      </c>
      <c r="Q231" s="1">
        <v>0</v>
      </c>
      <c r="R231" s="1">
        <v>0</v>
      </c>
      <c r="S231" s="1">
        <v>0</v>
      </c>
    </row>
    <row r="232" spans="1:19" x14ac:dyDescent="0.25">
      <c r="A232" s="1">
        <v>200</v>
      </c>
      <c r="B232" s="1">
        <v>692</v>
      </c>
      <c r="C232" s="1">
        <v>2792</v>
      </c>
      <c r="D232" s="1">
        <v>71.900000000000006</v>
      </c>
      <c r="E232" s="1">
        <v>-12.3</v>
      </c>
      <c r="F232" s="1">
        <v>-3.6</v>
      </c>
      <c r="G232" s="2">
        <v>-7</v>
      </c>
      <c r="H232" s="2">
        <v>-1</v>
      </c>
      <c r="I232" s="2">
        <v>0</v>
      </c>
      <c r="K232" s="1">
        <v>200</v>
      </c>
      <c r="L232" s="1">
        <v>777</v>
      </c>
      <c r="M232" s="1">
        <v>3525</v>
      </c>
      <c r="N232" s="1">
        <v>50.2</v>
      </c>
      <c r="O232" s="1">
        <v>-8.6</v>
      </c>
      <c r="P232" s="1">
        <v>-2.5</v>
      </c>
      <c r="Q232" s="1">
        <v>0</v>
      </c>
      <c r="R232" s="1">
        <v>0</v>
      </c>
      <c r="S232" s="1">
        <v>0</v>
      </c>
    </row>
    <row r="233" spans="1:19" x14ac:dyDescent="0.25">
      <c r="A233" s="1">
        <v>225</v>
      </c>
      <c r="B233" s="1">
        <v>671</v>
      </c>
      <c r="C233" s="1">
        <v>2629</v>
      </c>
      <c r="D233" s="1">
        <v>76.099999999999994</v>
      </c>
      <c r="E233" s="1">
        <v>-11.6</v>
      </c>
      <c r="F233" s="1">
        <v>-3.4</v>
      </c>
      <c r="G233" s="2">
        <v>-9</v>
      </c>
      <c r="H233" s="2">
        <v>-2</v>
      </c>
      <c r="I233" s="2">
        <v>0</v>
      </c>
      <c r="K233" s="1">
        <v>225</v>
      </c>
      <c r="L233" s="1">
        <v>766</v>
      </c>
      <c r="M233" s="1">
        <v>3425</v>
      </c>
      <c r="N233" s="1">
        <v>52.6</v>
      </c>
      <c r="O233" s="1">
        <v>-8</v>
      </c>
      <c r="P233" s="1">
        <v>-2.2999999999999998</v>
      </c>
      <c r="Q233" s="1">
        <v>0</v>
      </c>
      <c r="R233" s="1">
        <v>0</v>
      </c>
      <c r="S233" s="1">
        <v>0</v>
      </c>
    </row>
    <row r="234" spans="1:19" x14ac:dyDescent="0.25">
      <c r="A234" s="1">
        <v>250</v>
      </c>
      <c r="B234" s="1">
        <v>651</v>
      </c>
      <c r="C234" s="1">
        <v>2473</v>
      </c>
      <c r="D234" s="1">
        <v>78.8</v>
      </c>
      <c r="E234" s="1">
        <v>-10.9</v>
      </c>
      <c r="F234" s="1">
        <v>-3.2</v>
      </c>
      <c r="G234" s="2">
        <v>-11</v>
      </c>
      <c r="H234" s="2">
        <v>-2</v>
      </c>
      <c r="I234" s="2">
        <v>0</v>
      </c>
      <c r="K234" s="1">
        <v>250</v>
      </c>
      <c r="L234" s="1">
        <v>755</v>
      </c>
      <c r="M234" s="1">
        <v>3328</v>
      </c>
      <c r="N234" s="1">
        <v>53.9</v>
      </c>
      <c r="O234" s="1">
        <v>-7.4</v>
      </c>
      <c r="P234" s="1">
        <v>-2.2000000000000002</v>
      </c>
      <c r="Q234" s="1">
        <v>0</v>
      </c>
      <c r="R234" s="1">
        <v>0</v>
      </c>
      <c r="S234" s="1">
        <v>0</v>
      </c>
    </row>
    <row r="235" spans="1:19" x14ac:dyDescent="0.25">
      <c r="A235" s="1">
        <v>275</v>
      </c>
      <c r="B235" s="1">
        <v>631</v>
      </c>
      <c r="C235" s="1">
        <v>2325</v>
      </c>
      <c r="D235" s="1">
        <v>80.099999999999994</v>
      </c>
      <c r="E235" s="1">
        <v>-10</v>
      </c>
      <c r="F235" s="1">
        <v>-2.9</v>
      </c>
      <c r="G235" s="2">
        <v>-14</v>
      </c>
      <c r="H235" s="2">
        <v>-2</v>
      </c>
      <c r="I235" s="2">
        <v>-1</v>
      </c>
      <c r="K235" s="1">
        <v>275</v>
      </c>
      <c r="L235" s="1">
        <v>745</v>
      </c>
      <c r="M235" s="1">
        <v>3233</v>
      </c>
      <c r="N235" s="1">
        <v>54.1</v>
      </c>
      <c r="O235" s="1">
        <v>-6.8</v>
      </c>
      <c r="P235" s="1">
        <v>-2</v>
      </c>
      <c r="Q235" s="1">
        <v>0</v>
      </c>
      <c r="R235" s="1">
        <v>0</v>
      </c>
      <c r="S235" s="1">
        <v>0</v>
      </c>
    </row>
    <row r="236" spans="1:19" x14ac:dyDescent="0.25">
      <c r="A236" s="1">
        <v>300</v>
      </c>
      <c r="B236" s="1">
        <v>612</v>
      </c>
      <c r="C236" s="1">
        <v>2184</v>
      </c>
      <c r="D236" s="1">
        <v>79.7</v>
      </c>
      <c r="E236" s="1">
        <v>-9.1</v>
      </c>
      <c r="F236" s="1">
        <v>-2.7</v>
      </c>
      <c r="G236" s="2">
        <v>-17</v>
      </c>
      <c r="H236" s="2">
        <v>-2</v>
      </c>
      <c r="I236" s="2">
        <v>-1</v>
      </c>
      <c r="K236" s="1">
        <v>300</v>
      </c>
      <c r="L236" s="1">
        <v>734</v>
      </c>
      <c r="M236" s="1">
        <v>3140</v>
      </c>
      <c r="N236" s="1">
        <v>53.2</v>
      </c>
      <c r="O236" s="1">
        <v>-6.1</v>
      </c>
      <c r="P236" s="1">
        <v>-1.8</v>
      </c>
      <c r="Q236" s="1">
        <v>0</v>
      </c>
      <c r="R236" s="1">
        <v>0</v>
      </c>
      <c r="S236" s="1">
        <v>0</v>
      </c>
    </row>
    <row r="237" spans="1:19" x14ac:dyDescent="0.25">
      <c r="A237" s="1">
        <v>325</v>
      </c>
      <c r="B237" s="1">
        <v>593</v>
      </c>
      <c r="C237" s="1">
        <v>2050</v>
      </c>
      <c r="D237" s="1">
        <v>77.599999999999994</v>
      </c>
      <c r="E237" s="1">
        <v>-8.1999999999999993</v>
      </c>
      <c r="F237" s="1">
        <v>-2.4</v>
      </c>
      <c r="G237" s="2">
        <v>-20</v>
      </c>
      <c r="H237" s="2">
        <v>-2</v>
      </c>
      <c r="I237" s="2">
        <v>-1</v>
      </c>
      <c r="K237" s="1">
        <v>325</v>
      </c>
      <c r="L237" s="1">
        <v>723</v>
      </c>
      <c r="M237" s="1">
        <v>3049</v>
      </c>
      <c r="N237" s="1">
        <v>51.2</v>
      </c>
      <c r="O237" s="1">
        <v>-5.4</v>
      </c>
      <c r="P237" s="1">
        <v>-1.6</v>
      </c>
      <c r="Q237" s="1">
        <v>0</v>
      </c>
      <c r="R237" s="1">
        <v>0</v>
      </c>
      <c r="S237" s="1">
        <v>0</v>
      </c>
    </row>
    <row r="238" spans="1:19" x14ac:dyDescent="0.25">
      <c r="A238" s="1">
        <v>350</v>
      </c>
      <c r="B238" s="1">
        <v>574</v>
      </c>
      <c r="C238" s="1">
        <v>1923</v>
      </c>
      <c r="D238" s="1">
        <v>73.5</v>
      </c>
      <c r="E238" s="1">
        <v>-7.2</v>
      </c>
      <c r="F238" s="1">
        <v>-2.1</v>
      </c>
      <c r="G238" s="2">
        <v>-24</v>
      </c>
      <c r="H238" s="2">
        <v>-2</v>
      </c>
      <c r="I238" s="2">
        <v>-1</v>
      </c>
      <c r="K238" s="1">
        <v>350</v>
      </c>
      <c r="L238" s="1">
        <v>712</v>
      </c>
      <c r="M238" s="1">
        <v>2960</v>
      </c>
      <c r="N238" s="1">
        <v>47.8</v>
      </c>
      <c r="O238" s="1">
        <v>-4.7</v>
      </c>
      <c r="P238" s="1">
        <v>-1.4</v>
      </c>
      <c r="Q238" s="1">
        <v>0</v>
      </c>
      <c r="R238" s="1">
        <v>0</v>
      </c>
      <c r="S238" s="1">
        <v>0</v>
      </c>
    </row>
    <row r="239" spans="1:19" x14ac:dyDescent="0.25">
      <c r="A239" s="1">
        <v>375</v>
      </c>
      <c r="B239" s="1">
        <v>556</v>
      </c>
      <c r="C239" s="1">
        <v>1802</v>
      </c>
      <c r="D239" s="1">
        <v>67.5</v>
      </c>
      <c r="E239" s="1">
        <v>-6.2</v>
      </c>
      <c r="F239" s="1">
        <v>-1.8</v>
      </c>
      <c r="G239" s="2">
        <v>-27</v>
      </c>
      <c r="H239" s="2">
        <v>-3</v>
      </c>
      <c r="I239" s="2">
        <v>-1</v>
      </c>
      <c r="K239" s="1">
        <v>375</v>
      </c>
      <c r="L239" s="1">
        <v>702</v>
      </c>
      <c r="M239" s="1">
        <v>2873</v>
      </c>
      <c r="N239" s="1">
        <v>43.3</v>
      </c>
      <c r="O239" s="1">
        <v>-4</v>
      </c>
      <c r="P239" s="1">
        <v>-1.2</v>
      </c>
      <c r="Q239" s="1">
        <v>0</v>
      </c>
      <c r="R239" s="1">
        <v>0</v>
      </c>
      <c r="S239" s="1">
        <v>0</v>
      </c>
    </row>
    <row r="240" spans="1:19" x14ac:dyDescent="0.25">
      <c r="A240" s="1">
        <v>400</v>
      </c>
      <c r="B240" s="1">
        <v>538</v>
      </c>
      <c r="C240" s="1">
        <v>1688</v>
      </c>
      <c r="D240" s="1">
        <v>59.4</v>
      </c>
      <c r="E240" s="1">
        <v>-5.0999999999999996</v>
      </c>
      <c r="F240" s="1">
        <v>-1.5</v>
      </c>
      <c r="G240" s="2">
        <v>-32</v>
      </c>
      <c r="H240" s="2">
        <v>-3</v>
      </c>
      <c r="I240" s="2">
        <v>-1</v>
      </c>
      <c r="K240" s="1">
        <v>400</v>
      </c>
      <c r="L240" s="1">
        <v>691</v>
      </c>
      <c r="M240" s="1">
        <v>2788</v>
      </c>
      <c r="N240" s="1">
        <v>37.5</v>
      </c>
      <c r="O240" s="1">
        <v>-3.2</v>
      </c>
      <c r="P240" s="1">
        <v>-0.9</v>
      </c>
      <c r="Q240" s="1">
        <v>0</v>
      </c>
      <c r="R240" s="1">
        <v>0</v>
      </c>
      <c r="S240" s="1">
        <v>0</v>
      </c>
    </row>
    <row r="241" spans="1:19" x14ac:dyDescent="0.25">
      <c r="A241" s="1">
        <v>425</v>
      </c>
      <c r="B241" s="1">
        <v>521</v>
      </c>
      <c r="C241" s="1">
        <v>1581</v>
      </c>
      <c r="D241" s="1">
        <v>48.5</v>
      </c>
      <c r="E241" s="1">
        <v>-3.9</v>
      </c>
      <c r="F241" s="1">
        <v>-1.1000000000000001</v>
      </c>
      <c r="G241" s="2">
        <v>-36</v>
      </c>
      <c r="H241" s="2">
        <v>-3</v>
      </c>
      <c r="I241" s="2">
        <v>-1</v>
      </c>
      <c r="K241" s="1">
        <v>425</v>
      </c>
      <c r="L241" s="1">
        <v>681</v>
      </c>
      <c r="M241" s="1">
        <v>2705</v>
      </c>
      <c r="N241" s="1">
        <v>30.1</v>
      </c>
      <c r="O241" s="1">
        <v>-2.4</v>
      </c>
      <c r="P241" s="1">
        <v>-0.7</v>
      </c>
      <c r="Q241" s="1">
        <v>0</v>
      </c>
      <c r="R241" s="1">
        <v>0</v>
      </c>
      <c r="S241" s="1">
        <v>0</v>
      </c>
    </row>
    <row r="242" spans="1:19" x14ac:dyDescent="0.25">
      <c r="A242" s="1">
        <v>450</v>
      </c>
      <c r="B242" s="1">
        <v>504</v>
      </c>
      <c r="C242" s="1">
        <v>1480</v>
      </c>
      <c r="D242" s="1">
        <v>35.6</v>
      </c>
      <c r="E242" s="1">
        <v>-2.7</v>
      </c>
      <c r="F242" s="1">
        <v>-0.8</v>
      </c>
      <c r="G242" s="2">
        <v>-41</v>
      </c>
      <c r="H242" s="2">
        <v>-4</v>
      </c>
      <c r="I242" s="2">
        <v>-1</v>
      </c>
      <c r="K242" s="1">
        <v>450</v>
      </c>
      <c r="L242" s="1">
        <v>671</v>
      </c>
      <c r="M242" s="1">
        <v>2624</v>
      </c>
      <c r="N242" s="1">
        <v>21.6</v>
      </c>
      <c r="O242" s="1">
        <v>-1.6</v>
      </c>
      <c r="P242" s="1">
        <v>-0.5</v>
      </c>
      <c r="Q242" s="1">
        <v>0</v>
      </c>
      <c r="R242" s="1">
        <v>0</v>
      </c>
      <c r="S242" s="1">
        <v>0</v>
      </c>
    </row>
    <row r="243" spans="1:19" x14ac:dyDescent="0.25">
      <c r="A243" s="1">
        <v>475</v>
      </c>
      <c r="B243" s="1">
        <v>487</v>
      </c>
      <c r="C243" s="1">
        <v>1384</v>
      </c>
      <c r="D243" s="1">
        <v>20</v>
      </c>
      <c r="E243" s="1">
        <v>-1.5</v>
      </c>
      <c r="F243" s="1">
        <v>-0.4</v>
      </c>
      <c r="G243" s="2">
        <v>-47</v>
      </c>
      <c r="H243" s="2">
        <v>-4</v>
      </c>
      <c r="I243" s="2">
        <v>-1</v>
      </c>
      <c r="K243" s="1">
        <v>475</v>
      </c>
      <c r="L243" s="1">
        <v>661</v>
      </c>
      <c r="M243" s="1">
        <v>2545</v>
      </c>
      <c r="N243" s="1">
        <v>11.7</v>
      </c>
      <c r="O243" s="1">
        <v>-0.8</v>
      </c>
      <c r="P243" s="1">
        <v>-0.2</v>
      </c>
      <c r="Q243" s="1">
        <v>0</v>
      </c>
      <c r="R243" s="1">
        <v>0</v>
      </c>
      <c r="S243" s="1">
        <v>0</v>
      </c>
    </row>
    <row r="244" spans="1:19" x14ac:dyDescent="0.25">
      <c r="A244" s="1">
        <v>500</v>
      </c>
      <c r="B244" s="1">
        <v>472</v>
      </c>
      <c r="C244" s="1">
        <v>1299</v>
      </c>
      <c r="D244" s="1">
        <v>1.6</v>
      </c>
      <c r="E244" s="1">
        <v>-0.1</v>
      </c>
      <c r="F244" s="1">
        <v>0</v>
      </c>
      <c r="G244" s="2">
        <v>-52</v>
      </c>
      <c r="H244" s="2">
        <v>-4</v>
      </c>
      <c r="I244" s="2">
        <v>-1</v>
      </c>
      <c r="K244" s="1">
        <v>500</v>
      </c>
      <c r="L244" s="1">
        <v>651</v>
      </c>
      <c r="M244" s="1">
        <v>2471</v>
      </c>
      <c r="N244" s="1">
        <v>0.4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6" spans="1:19" ht="45" x14ac:dyDescent="0.25">
      <c r="A246" s="26" t="s">
        <v>44</v>
      </c>
      <c r="B246" s="27" t="s">
        <v>94</v>
      </c>
      <c r="C246" s="27" t="s">
        <v>95</v>
      </c>
      <c r="D246" s="27" t="s">
        <v>96</v>
      </c>
      <c r="E246" s="27" t="s">
        <v>97</v>
      </c>
      <c r="F246" s="27" t="s">
        <v>98</v>
      </c>
      <c r="G246" s="27" t="s">
        <v>99</v>
      </c>
      <c r="H246" s="27" t="s">
        <v>100</v>
      </c>
      <c r="I246" s="28" t="s">
        <v>45</v>
      </c>
      <c r="J246" s="28" t="s">
        <v>101</v>
      </c>
      <c r="K246" s="28" t="s">
        <v>102</v>
      </c>
    </row>
    <row r="247" spans="1:19" x14ac:dyDescent="0.25">
      <c r="A247" t="s">
        <v>46</v>
      </c>
      <c r="B247" s="22" cm="1">
        <f t="array" ref="B247">INDEX(LINEST(J$22:J$35,$A$22:$A$35^{1,2,3}), 1,4)</f>
        <v>-5.1816021778226933</v>
      </c>
      <c r="C247" s="22" cm="1">
        <f t="array" ref="C247">INDEX(LINEST(K$22:K$35,$A$22:$A$35^{1,2,3}), 1,4)</f>
        <v>-4.592862903367692</v>
      </c>
      <c r="D247" s="23" cm="1">
        <f t="array" ref="D247">INDEX(LINEST(L$22:L$35,$A$22:$A$35^{1,2,3}), 1,4)</f>
        <v>-5.3141258171463264</v>
      </c>
      <c r="E247" s="23" cm="1">
        <f t="array" ref="E247">INDEX(LINEST(M$22:M$35,$A$22:$A$35^{1,2,3}), 1,4)</f>
        <v>-4.1034495423320934</v>
      </c>
      <c r="F247" s="23" cm="1">
        <f t="array" ref="F247">INDEX(LINEST(N$22:N$35,$A$22:$A$35^{1,2,3}), 1,4)</f>
        <v>-5.2392614258580608</v>
      </c>
      <c r="G247" s="23" cm="1">
        <f t="array" ref="G247">INDEX(LINEST(O$22:O$35,$A$22:$A$35^{1,2,3}), 1,4)</f>
        <v>-5.0672055311328528</v>
      </c>
      <c r="H247" s="23" cm="1">
        <f t="array" ref="H247">INDEX(LINEST(P$22:P$35,$A$22:$A$35^{1,2,3}), 1,4)</f>
        <v>-4.4318894072340456</v>
      </c>
      <c r="I247" s="23" cm="1">
        <f t="array" ref="I247">INDEX(LINEST(B$22:B$35,$A$22:$A$35^{1,2,3}), 1,4)</f>
        <v>4411.8416792245735</v>
      </c>
      <c r="J247" s="23" cm="1">
        <f t="array" ref="J247">INDEX(LINEST($C$80:$C$100,$A$80:$A$100^{1,2,3}), 1,4)</f>
        <v>4399.2975719932265</v>
      </c>
      <c r="K247" s="23" cm="1">
        <f t="array" ref="K247">INDEX(LINEST($M$80:$M$100,$K$80:$K$100^{1,2,3}), 1,4)</f>
        <v>4401.3193111236578</v>
      </c>
    </row>
    <row r="248" spans="1:19" x14ac:dyDescent="0.25">
      <c r="A248" t="s">
        <v>47</v>
      </c>
      <c r="B248" s="23" cm="1">
        <f t="array" ref="B248">INDEX(LINEST(J$22:J$35,$A$22:$A$35^{1,2,3}), 1,3)</f>
        <v>0.14824909426545949</v>
      </c>
      <c r="C248" s="22" cm="1">
        <f t="array" ref="C248">INDEX(LINEST(K$22:K$35,$A$22:$A$35^{1,2,3}), 1,3)</f>
        <v>9.4243584697707092E-2</v>
      </c>
      <c r="D248" s="23" cm="1">
        <f t="array" ref="D248">INDEX(LINEST(L$22:L$35,$A$22:$A$35^{1,2,3}), 1,3)</f>
        <v>0.14932219495590882</v>
      </c>
      <c r="E248" s="23" cm="1">
        <f t="array" ref="E248">INDEX(LINEST(M$22:M$35,$A$22:$A$35^{1,2,3}), 1,3)</f>
        <v>0.13941554178240489</v>
      </c>
      <c r="F248" s="23" cm="1">
        <f t="array" ref="F248">INDEX(LINEST(N$22:N$35,$A$22:$A$35^{1,2,3}), 1,3)</f>
        <v>0.22826393881575271</v>
      </c>
      <c r="G248" s="23" cm="1">
        <f t="array" ref="G248">INDEX(LINEST(O$22:O$35,$A$22:$A$35^{1,2,3}), 1,3)</f>
        <v>0.30814099581104121</v>
      </c>
      <c r="H248" s="23" cm="1">
        <f t="array" ref="H248">INDEX(LINEST(P$22:P$35,$A$22:$A$35^{1,2,3}), 1,3)</f>
        <v>0.38319651676097966</v>
      </c>
      <c r="I248" s="23" cm="1">
        <f t="array" ref="I248">INDEX(LINEST(B$22:B$35,$A$22:$A$35^{1,2,3}), 1,3)</f>
        <v>-4.525895479821533</v>
      </c>
      <c r="J248" s="23" cm="1">
        <f t="array" ref="J248">INDEX(LINEST($C$80:$C$100,$A$80:$A$100^{1,2,3}), 1,3)</f>
        <v>-9.4788065684633427</v>
      </c>
      <c r="K248" s="23" cm="1">
        <f t="array" ref="K248">INDEX(LINEST($M$80:$M$100,$K$80:$K$100^{1,2,3}), 1,3)</f>
        <v>-4.7600668007304039</v>
      </c>
    </row>
    <row r="249" spans="1:19" x14ac:dyDescent="0.25">
      <c r="A249" t="s">
        <v>48</v>
      </c>
      <c r="B249" s="23" cm="1">
        <f t="array" ref="B249">INDEX(LINEST(J$22:J$35,$A$22:$A$35^{1,2,3}), 1,2)</f>
        <v>-4.6712164376154497E-4</v>
      </c>
      <c r="C249" s="23" cm="1">
        <f t="array" ref="C249">INDEX(LINEST(K$22:K$35,$A$22:$A$35^{1,2,3}), 1,2)</f>
        <v>-4.2032792745535244E-4</v>
      </c>
      <c r="D249" s="23" cm="1">
        <f t="array" ref="D249">INDEX(LINEST(L$22:L$35,$A$22:$A$35^{1,2,3}), 1,2)</f>
        <v>-7.0956314933936409E-4</v>
      </c>
      <c r="E249" s="23" cm="1">
        <f t="array" ref="E249">INDEX(LINEST(M$22:M$35,$A$22:$A$35^{1,2,3}), 1,2)</f>
        <v>-4.9107003260879536E-4</v>
      </c>
      <c r="F249" s="23" cm="1">
        <f t="array" ref="F249">INDEX(LINEST(N$22:N$35,$A$22:$A$35^{1,2,3}), 1,2)</f>
        <v>-5.5826921953773556E-4</v>
      </c>
      <c r="G249" s="23" cm="1">
        <f t="array" ref="G249">INDEX(LINEST(O$22:O$35,$A$22:$A$35^{1,2,3}), 1,2)</f>
        <v>-4.6665490380129064E-4</v>
      </c>
      <c r="H249" s="23" cm="1">
        <f t="array" ref="H249">INDEX(LINEST(P$22:P$35,$A$22:$A$35^{1,2,3}), 1,2)</f>
        <v>-3.7781229866453651E-4</v>
      </c>
      <c r="I249" s="23" cm="1">
        <f t="array" ref="I249">INDEX(LINEST(B$22:B$35,$A$22:$A$35^{1,2,3}), 1,2)</f>
        <v>1.0140951247023554E-3</v>
      </c>
      <c r="J249" s="23" cm="1">
        <f t="array" ref="J249">INDEX(LINEST($C$80:$C$100,$A$80:$A$100^{1,2,3}), 1,2)</f>
        <v>7.622090800122926E-3</v>
      </c>
      <c r="K249" s="23" cm="1">
        <f t="array" ref="K249">INDEX(LINEST($M$80:$M$100,$K$80:$K$100^{1,2,3}), 1,2)</f>
        <v>1.9373730769611298E-3</v>
      </c>
    </row>
    <row r="250" spans="1:19" x14ac:dyDescent="0.25">
      <c r="A250" t="s">
        <v>49</v>
      </c>
      <c r="B250" s="22" cm="1">
        <f t="array" ref="B250">INDEX(LINEST(J$22:J$35,$A$22:$A$35^{1,2,3}), 1)</f>
        <v>-8.2952487203336597E-7</v>
      </c>
      <c r="C250" s="22" cm="1">
        <f t="array" ref="C250">INDEX(LINEST(K$22:K$35,$A$22:$A$35^{1,2,3}), 1)</f>
        <v>-7.0479399890333104E-7</v>
      </c>
      <c r="D250" s="23" cm="1">
        <f t="array" ref="D250">INDEX(LINEST(L$22:L$35,$A$22:$A$35^{1,2,3}), 1)</f>
        <v>-2.3825620937557502E-7</v>
      </c>
      <c r="E250" s="23" cm="1">
        <f t="array" ref="E250">INDEX(LINEST(M$22:M$35,$A$22:$A$35^{1,2,3}), 1)</f>
        <v>-5.3728758779568401E-7</v>
      </c>
      <c r="F250" s="23" cm="1">
        <f t="array" ref="F250">INDEX(LINEST(N$22:N$35,$A$22:$A$35^{1,2,3}), 1)</f>
        <v>-4.4857394891567907E-7</v>
      </c>
      <c r="G250" s="23" cm="1">
        <f t="array" ref="G250">INDEX(LINEST(O$22:O$35,$A$22:$A$35^{1,2,3}), 1)</f>
        <v>-6.7832958548680242E-7</v>
      </c>
      <c r="H250" s="23" cm="1">
        <f t="array" ref="H250">INDEX(LINEST(P$22:P$35,$A$22:$A$35^{1,2,3}), 1)</f>
        <v>-7.4641738830316361E-7</v>
      </c>
      <c r="I250" s="23" cm="1">
        <f t="array" ref="I250">INDEX(LINEST(B$22:B$35,$A$22:$A$35^{1,2,3}), 1)</f>
        <v>8.0970565912013801E-7</v>
      </c>
      <c r="J250" s="23" cm="1">
        <f t="array" ref="J250">INDEX(LINEST($C$80:$C$100,$A$80:$A$100^{1,2,3}), 1)</f>
        <v>-2.1516769525923906E-6</v>
      </c>
      <c r="K250" s="23" cm="1">
        <f t="array" ref="K250">INDEX(LINEST($M$80:$M$100,$K$80:$K$100^{1,2,3}), 1)</f>
        <v>-2.8809837505485012E-7</v>
      </c>
    </row>
    <row r="251" spans="1:19" x14ac:dyDescent="0.25">
      <c r="A251" t="s">
        <v>50</v>
      </c>
      <c r="B251" s="22"/>
      <c r="C251" s="22"/>
      <c r="D251" s="23"/>
      <c r="E251" s="23"/>
      <c r="F251" s="23"/>
      <c r="G251" s="23"/>
      <c r="H251" s="23"/>
      <c r="I251" s="23"/>
    </row>
    <row r="252" spans="1:19" x14ac:dyDescent="0.25">
      <c r="A252" t="s">
        <v>51</v>
      </c>
      <c r="B252" s="22"/>
      <c r="C252" s="22"/>
      <c r="D252" s="23"/>
      <c r="E252" s="23"/>
      <c r="F252" s="23"/>
      <c r="G252" s="23"/>
      <c r="H252" s="23"/>
      <c r="I252" s="23"/>
    </row>
    <row r="253" spans="1:19" x14ac:dyDescent="0.25">
      <c r="A253" t="s">
        <v>52</v>
      </c>
      <c r="B253" s="22"/>
      <c r="C253" s="22"/>
      <c r="D253" s="23"/>
      <c r="E253" s="23"/>
      <c r="F253" s="23"/>
      <c r="G253" s="23"/>
      <c r="H253" s="23"/>
      <c r="I253" s="23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s="29"/>
      <c r="B255" s="62"/>
      <c r="C255" s="62"/>
      <c r="D255" s="62"/>
      <c r="E255" s="62"/>
      <c r="F255" s="62"/>
      <c r="G255" s="62"/>
      <c r="H255" s="62"/>
    </row>
    <row r="256" spans="1:19" x14ac:dyDescent="0.25">
      <c r="A256" s="30" t="s">
        <v>4</v>
      </c>
      <c r="B256" s="60" t="s">
        <v>54</v>
      </c>
      <c r="C256" s="60"/>
      <c r="D256" s="60"/>
      <c r="E256" s="60"/>
      <c r="F256" s="60"/>
      <c r="G256" s="60"/>
      <c r="H256" s="60"/>
      <c r="I256" s="60" t="s">
        <v>55</v>
      </c>
      <c r="J256" s="60"/>
      <c r="K256" s="63"/>
    </row>
    <row r="257" spans="1:11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4411.8416792245735</v>
      </c>
      <c r="J257" s="2" cm="1">
        <f t="array" ref="J257">EvaluatePolynomial(J$247:J$250,$A257)</f>
        <v>4399.2975719932265</v>
      </c>
      <c r="K257" s="1" cm="1">
        <f t="array" ref="K257">EvaluatePolynomial(K$247:K$250,$A257)</f>
        <v>4401.3193111236578</v>
      </c>
    </row>
    <row r="258" spans="1:11" x14ac:dyDescent="0.25">
      <c r="A258" s="1">
        <v>25</v>
      </c>
      <c r="B258" s="2" cm="1">
        <f t="array" ref="B258">TrajectoryToComeUp(B$247:B$250,$A258)</f>
        <v>0.71211486986507744</v>
      </c>
      <c r="C258" s="2" cm="1">
        <f t="array" ref="C258">TrajectoryToComeUp(C$247:C$250,$A258)</f>
        <v>1.0041962587269899</v>
      </c>
      <c r="D258" s="24" cm="1">
        <f t="array" ref="D258">TrajectoryToComeUp(D$247:D$250,$A258)</f>
        <v>0.81130826594288097</v>
      </c>
      <c r="E258" s="24" cm="1">
        <f t="array" ref="E258">TrajectoryToComeUp(E$247:E$250,$A258)</f>
        <v>0.37334995468471033</v>
      </c>
      <c r="F258" s="24" cm="1">
        <f t="array" ref="F258">TrajectoryToComeUp(F$247:F$250,$A258)</f>
        <v>-4.4563925749145833E-2</v>
      </c>
      <c r="G258" s="24" cm="1">
        <f t="array" ref="G258">TrajectoryToComeUp(G$247:G$250,$A258)</f>
        <v>-0.93362445979765563</v>
      </c>
      <c r="H258" s="24" cm="1">
        <f t="array" ref="H258">TrajectoryToComeUp(H$247:H$250,$A258)</f>
        <v>-1.9600912213731494</v>
      </c>
      <c r="I258" s="2" cm="1">
        <f t="array" ref="I258">EvaluatePolynomial(I$247:I$250,$A258)</f>
        <v>4299.3407533328982</v>
      </c>
      <c r="J258" s="2" cm="1">
        <f t="array" ref="J258">EvaluatePolynomial(J$247:J$250,$A258)</f>
        <v>4167.0575945793353</v>
      </c>
      <c r="K258" s="1" cm="1">
        <f t="array" ref="K258">EvaluatePolynomial(K$247:K$250,$A258)</f>
        <v>4283.5239977413885</v>
      </c>
    </row>
    <row r="259" spans="1:11" x14ac:dyDescent="0.25">
      <c r="A259" s="1">
        <v>50</v>
      </c>
      <c r="B259" s="2" cm="1">
        <f t="array" ref="B259">TrajectoryToComeUp(B$247:B$250,$A259)</f>
        <v>-0.19187156340844957</v>
      </c>
      <c r="C259" s="2" cm="1">
        <f t="array" ref="C259">TrajectoryToComeUp(C$247:C$250,$A259)</f>
        <v>0.20392054739672702</v>
      </c>
      <c r="D259" s="24" cm="1">
        <f t="array" ref="D259">TrajectoryToComeUp(D$247:D$250,$A259)</f>
        <v>-6.965880622575138E-2</v>
      </c>
      <c r="E259" s="24" cm="1">
        <f t="array" ref="E259">TrajectoryToComeUp(E$247:E$250,$A259)</f>
        <v>-0.31449830335834045</v>
      </c>
      <c r="F259" s="24" cm="1">
        <f t="array" ref="F259">TrajectoryToComeUp(F$247:F$250,$A259)</f>
        <v>-0.9444381444941552</v>
      </c>
      <c r="G259" s="24" cm="1">
        <f t="array" ref="G259">TrajectoryToComeUp(G$247:G$250,$A259)</f>
        <v>-1.8176831603460262</v>
      </c>
      <c r="H259" s="24" cm="1">
        <f t="array" ref="H259">TrajectoryToComeUp(H$247:H$250,$A259)</f>
        <v>-2.7380207021231402</v>
      </c>
      <c r="I259" s="2" cm="1">
        <f t="array" ref="I259">EvaluatePolynomial(I$247:I$250,$A259)</f>
        <v>4188.1833562526426</v>
      </c>
      <c r="J259" s="2" cm="1">
        <f t="array" ref="J259">EvaluatePolynomial(J$247:J$250,$A259)</f>
        <v>3944.1435109512927</v>
      </c>
      <c r="K259" s="1" cm="1">
        <f t="array" ref="K259">EvaluatePolynomial(K$247:K$250,$A259)</f>
        <v>4168.1233914826589</v>
      </c>
    </row>
    <row r="260" spans="1:11" x14ac:dyDescent="0.25">
      <c r="A260" s="1">
        <v>75</v>
      </c>
      <c r="B260" s="2" cm="1">
        <f t="array" ref="B260">TrajectoryToComeUp(B$247:B$250,$A260)</f>
        <v>-0.39460864540520024</v>
      </c>
      <c r="C260" s="2" cm="1">
        <f t="array" ref="C260">TrajectoryToComeUp(C$247:C$250,$A260)</f>
        <v>2.483648150178137E-2</v>
      </c>
      <c r="D260" s="24" cm="1">
        <f t="array" ref="D260">TrajectoryToComeUp(D$247:D$250,$A260)</f>
        <v>-0.23909756682434549</v>
      </c>
      <c r="E260" s="24" cm="1">
        <f t="array" ref="E260">TrajectoryToComeUp(E$247:E$250,$A260)</f>
        <v>-0.44850386090966604</v>
      </c>
      <c r="F260" s="24" cm="1">
        <f t="array" ref="F260">TrajectoryToComeUp(F$247:F$250,$A260)</f>
        <v>-1.1401369987633103</v>
      </c>
      <c r="G260" s="24" cm="1">
        <f t="array" ref="G260">TrajectoryToComeUp(G$247:G$250,$A260)</f>
        <v>-2.0176353369247644</v>
      </c>
      <c r="H260" s="24" cm="1">
        <f t="array" ref="H260">TrajectoryToComeUp(H$247:H$250,$A260)</f>
        <v>-2.9157013778881353</v>
      </c>
      <c r="I260" s="2" cm="1">
        <f t="array" ref="I260">EvaluatePolynomial(I$247:I$250,$A260)</f>
        <v>4078.4453978893507</v>
      </c>
      <c r="J260" s="2" cm="1">
        <f t="array" ref="J260">EvaluatePolynomial(J$247:J$250,$A260)</f>
        <v>3730.3536013947923</v>
      </c>
      <c r="K260" s="1" cm="1">
        <f t="array" ref="K260">EvaluatePolynomial(K$247:K$250,$A260)</f>
        <v>4055.0904831248076</v>
      </c>
    </row>
    <row r="261" spans="1:11" x14ac:dyDescent="0.25">
      <c r="A261" s="1">
        <v>100</v>
      </c>
      <c r="B261" s="2" cm="1">
        <f t="array" ref="B261">TrajectoryToComeUp(B$247:B$250,$A261)</f>
        <v>-0.41425659390744396</v>
      </c>
      <c r="C261" s="2" cm="1">
        <f t="array" ref="C261">TrajectoryToComeUp(C$247:C$250,$A261)</f>
        <v>7.6577707053837492E-3</v>
      </c>
      <c r="D261" s="24" cm="1">
        <f t="array" ref="D261">TrajectoryToComeUp(D$247:D$250,$A261)</f>
        <v>-0.22842059756753386</v>
      </c>
      <c r="E261" s="24" cm="1">
        <f t="array" ref="E261">TrajectoryToComeUp(E$247:E$250,$A261)</f>
        <v>-0.43901167220247583</v>
      </c>
      <c r="F261" s="24" cm="1">
        <f t="array" ref="F261">TrajectoryToComeUp(F$247:F$250,$A261)</f>
        <v>-1.1555866311424174</v>
      </c>
      <c r="G261" s="24" cm="1">
        <f t="array" ref="G261">TrajectoryToComeUp(G$247:G$250,$A261)</f>
        <v>-2.0402015426471558</v>
      </c>
      <c r="H261" s="24" cm="1">
        <f t="array" ref="H261">TrajectoryToComeUp(H$247:H$250,$A261)</f>
        <v>-2.9363221893915394</v>
      </c>
      <c r="I261" s="2" cm="1">
        <f t="array" ref="I261">EvaluatePolynomial(I$247:I$250,$A261)</f>
        <v>3970.2027881485637</v>
      </c>
      <c r="J261" s="2" cm="1">
        <f t="array" ref="J261">EvaluatePolynomial(J$247:J$250,$A261)</f>
        <v>3525.4861461955288</v>
      </c>
      <c r="K261" s="1" cm="1">
        <f t="array" ref="K261">EvaluatePolynomial(K$247:K$250,$A261)</f>
        <v>3944.3982634451741</v>
      </c>
    </row>
    <row r="262" spans="1:11" x14ac:dyDescent="0.25">
      <c r="A262" s="1">
        <v>125</v>
      </c>
      <c r="B262" s="2" cm="1">
        <f t="array" ref="B262">TrajectoryToComeUp(B$247:B$250,$A262)</f>
        <v>-0.35444745247163484</v>
      </c>
      <c r="C262" s="2" cm="1">
        <f t="array" ref="C262">TrajectoryToComeUp(C$247:C$250,$A262)</f>
        <v>6.0527156940180411E-2</v>
      </c>
      <c r="D262" s="24" cm="1">
        <f t="array" ref="D262">TrajectoryToComeUp(D$247:D$250,$A262)</f>
        <v>-0.14391041479824335</v>
      </c>
      <c r="E262" s="24" cm="1">
        <f t="array" ref="E262">TrajectoryToComeUp(E$247:E$250,$A262)</f>
        <v>-0.36809072808341164</v>
      </c>
      <c r="F262" s="24" cm="1">
        <f t="array" ref="F262">TrajectoryToComeUp(F$247:F$250,$A262)</f>
        <v>-1.0955722701486379</v>
      </c>
      <c r="G262" s="24" cm="1">
        <f t="array" ref="G262">TrajectoryToComeUp(G$247:G$250,$A262)</f>
        <v>-1.9867258881358574</v>
      </c>
      <c r="H262" s="24" cm="1">
        <f t="array" ref="H262">TrajectoryToComeUp(H$247:H$250,$A262)</f>
        <v>-2.888520924778033</v>
      </c>
      <c r="I262" s="2" cm="1">
        <f t="array" ref="I262">EvaluatePolynomial(I$247:I$250,$A262)</f>
        <v>3863.5314369358252</v>
      </c>
      <c r="J262" s="2" cm="1">
        <f t="array" ref="J262">EvaluatePolynomial(J$247:J$250,$A262)</f>
        <v>3329.3394256391975</v>
      </c>
      <c r="K262" s="1" cm="1">
        <f t="array" ref="K262">EvaluatePolynomial(K$247:K$250,$A262)</f>
        <v>3836.0197232210958</v>
      </c>
    </row>
    <row r="263" spans="1:11" x14ac:dyDescent="0.25">
      <c r="A263" s="1">
        <v>145</v>
      </c>
      <c r="B263" s="2" cm="1">
        <f t="array" ref="B263">TrajectoryToComeUp(B$247:B$250,$A263)</f>
        <v>-0.27340508052273993</v>
      </c>
      <c r="C263" s="2" cm="1">
        <f t="array" ref="C263">TrajectoryToComeUp(C$247:C$250,$A263)</f>
        <v>0.13197175185211144</v>
      </c>
      <c r="D263" s="24" cm="1">
        <f t="array" ref="D263">TrajectoryToComeUp(D$247:D$250,$A263)</f>
        <v>-4.7770579330531651E-2</v>
      </c>
      <c r="E263" s="24" cm="1">
        <f t="array" ref="E263">TrajectoryToComeUp(E$247:E$250,$A263)</f>
        <v>-0.28614263504641907</v>
      </c>
      <c r="F263" s="24" cm="1">
        <f t="array" ref="F263">TrajectoryToComeUp(F$247:F$250,$A263)</f>
        <v>-1.0175079728711813</v>
      </c>
      <c r="G263" s="24" cm="1">
        <f t="array" ref="G263">TrajectoryToComeUp(G$247:G$250,$A263)</f>
        <v>-1.9126791018269851</v>
      </c>
      <c r="H263" s="24" cm="1">
        <f t="array" ref="H263">TrajectoryToComeUp(H$247:H$250,$A263)</f>
        <v>-2.8215555333289921</v>
      </c>
      <c r="I263" s="2" cm="1">
        <f t="array" ref="I263">EvaluatePolynomial(I$247:I$250,$A263)</f>
        <v>3779.3766735623535</v>
      </c>
      <c r="J263" s="2" cm="1">
        <f t="array" ref="J263">EvaluatePolynomial(J$247:J$250,$A263)</f>
        <v>3178.5654224890291</v>
      </c>
      <c r="K263" s="1" cm="1">
        <f t="array" ref="K263">EvaluatePolynomial(K$247:K$250,$A263)</f>
        <v>3750.9645900522055</v>
      </c>
    </row>
    <row r="264" spans="1:11" x14ac:dyDescent="0.25">
      <c r="A264" s="1">
        <v>150</v>
      </c>
      <c r="B264" s="2" cm="1">
        <f t="array" ref="B264">TrajectoryToComeUp(B$247:B$250,$A264)</f>
        <v>-0.24972523561659044</v>
      </c>
      <c r="C264" s="2" cm="1">
        <f t="array" ref="C264">TrajectoryToComeUp(C$247:C$250,$A264)</f>
        <v>0.15282555418371999</v>
      </c>
      <c r="D264" s="24" cm="1">
        <f t="array" ref="D264">TrajectoryToComeUp(D$247:D$250,$A264)</f>
        <v>-2.0994523964115955E-2</v>
      </c>
      <c r="E264" s="24" cm="1">
        <f t="array" ref="E264">TrajectoryToComeUp(E$247:E$250,$A264)</f>
        <v>-0.26309735883468749</v>
      </c>
      <c r="F264" s="24" cm="1">
        <f t="array" ref="F264">TrajectoryToComeUp(F$247:F$250,$A264)</f>
        <v>-0.99502232528769197</v>
      </c>
      <c r="G264" s="24" cm="1">
        <f t="array" ref="G264">TrajectoryToComeUp(G$247:G$250,$A264)</f>
        <v>-1.890989743598422</v>
      </c>
      <c r="H264" s="24" cm="1">
        <f t="array" ref="H264">TrajectoryToComeUp(H$247:H$250,$A264)</f>
        <v>-2.8018435134291768</v>
      </c>
      <c r="I264" s="2" cm="1">
        <f t="array" ref="I264">EvaluatePolynomial(I$247:I$250,$A264)</f>
        <v>3758.5072541566769</v>
      </c>
      <c r="J264" s="2" cm="1">
        <f t="array" ref="J264">EvaluatePolynomial(J$247:J$250,$A264)</f>
        <v>3141.7117200114917</v>
      </c>
      <c r="K264" s="1" cm="1">
        <f t="array" ref="K264">EvaluatePolynomial(K$247:K$250,$A264)</f>
        <v>3729.9278532299127</v>
      </c>
    </row>
    <row r="265" spans="1:11" x14ac:dyDescent="0.25">
      <c r="A265" s="1">
        <v>163.4</v>
      </c>
      <c r="B265" s="2" cm="1">
        <f t="array" ref="B265">TrajectoryToComeUp(B$247:B$250,$A265)</f>
        <v>-0.18062316943414083</v>
      </c>
      <c r="C265" s="2" cm="1">
        <f t="array" ref="C265">TrajectoryToComeUp(C$247:C$250,$A265)</f>
        <v>0.21363784413698364</v>
      </c>
      <c r="D265" s="24" cm="1">
        <f t="array" ref="D265">TrajectoryToComeUp(D$247:D$250,$A265)</f>
        <v>5.5039494271559374E-2</v>
      </c>
      <c r="E265" s="24" cm="1">
        <f t="array" ref="E265">TrajectoryToComeUp(E$247:E$250,$A265)</f>
        <v>-0.19716445970731555</v>
      </c>
      <c r="F265" s="24" cm="1">
        <f t="array" ref="F265">TrajectoryToComeUp(F$247:F$250,$A265)</f>
        <v>-0.93001997865711594</v>
      </c>
      <c r="G265" s="24" cm="1">
        <f t="array" ref="G265">TrajectoryToComeUp(G$247:G$250,$A265)</f>
        <v>-1.8276743330029535</v>
      </c>
      <c r="H265" s="24" cm="1">
        <f t="array" ref="H265">TrajectoryToComeUp(H$247:H$250,$A265)</f>
        <v>-2.7441002512644794</v>
      </c>
      <c r="I265" s="2" cm="1">
        <f t="array" ref="I265">EvaluatePolynomial(I$247:I$250,$A265)</f>
        <v>3702.9187608903312</v>
      </c>
      <c r="J265" s="2" cm="1">
        <f t="array" ref="J265">EvaluatePolynomial(J$247:J$250,$A265)</f>
        <v>3044.5799108713813</v>
      </c>
      <c r="K265" s="1" cm="1">
        <f t="array" ref="K265">EvaluatePolynomial(K$247:K$250,$A265)</f>
        <v>3673.9945154794173</v>
      </c>
    </row>
    <row r="266" spans="1:11" x14ac:dyDescent="0.25">
      <c r="A266" s="1">
        <v>175</v>
      </c>
      <c r="B266" s="2" cm="1">
        <f t="array" ref="B266">TrajectoryToComeUp(B$247:B$250,$A266)</f>
        <v>-0.11489452099323312</v>
      </c>
      <c r="C266" s="2" cm="1">
        <f t="array" ref="C266">TrajectoryToComeUp(C$247:C$250,$A266)</f>
        <v>0.27143049699780908</v>
      </c>
      <c r="D266" s="24" cm="1">
        <f t="array" ref="D266">TrajectoryToComeUp(D$247:D$250,$A266)</f>
        <v>0.12514385831443042</v>
      </c>
      <c r="E266" s="24" cm="1">
        <f t="array" ref="E266">TrajectoryToComeUp(E$247:E$250,$A266)</f>
        <v>-0.13575570600582348</v>
      </c>
      <c r="F266" s="24" cm="1">
        <f t="array" ref="F266">TrajectoryToComeUp(F$247:F$250,$A266)</f>
        <v>-0.86890611491917413</v>
      </c>
      <c r="G266" s="24" cm="1">
        <f t="array" ref="G266">TrajectoryToComeUp(G$247:G$250,$A266)</f>
        <v>-1.7674708391238001</v>
      </c>
      <c r="H266" s="24" cm="1">
        <f t="array" ref="H266">TrajectoryToComeUp(H$247:H$250,$A266)</f>
        <v>-2.688952496508497</v>
      </c>
      <c r="I266" s="2" cm="1">
        <f t="array" ref="I266">EvaluatePolynomial(I$247:I$250,$A266)</f>
        <v>3655.2061497166619</v>
      </c>
      <c r="J266" s="2" cm="1">
        <f t="array" ref="J266">EvaluatePolynomial(J$247:J$250,$A266)</f>
        <v>2962.4013095981063</v>
      </c>
      <c r="K266" s="1" cm="1">
        <f t="array" ref="K266">EvaluatePolynomial(K$247:K$250,$A266)</f>
        <v>3626.0956442489623</v>
      </c>
    </row>
    <row r="267" spans="1:11" x14ac:dyDescent="0.25">
      <c r="A267" s="1">
        <v>200</v>
      </c>
      <c r="B267" s="2" cm="1">
        <f t="array" ref="B267">TrajectoryToComeUp(B$247:B$250,$A267)</f>
        <v>4.2642402572976169E-2</v>
      </c>
      <c r="C267" s="2" cm="1">
        <f t="array" ref="C267">TrajectoryToComeUp(C$247:C$250,$A267)</f>
        <v>0.4097807526633509</v>
      </c>
      <c r="D267" s="24" cm="1">
        <f t="array" ref="D267">TrajectoryToComeUp(D$247:D$250,$A267)</f>
        <v>0.28691312372718636</v>
      </c>
      <c r="E267" s="24" cm="1">
        <f t="array" ref="E267">TrajectoryToComeUp(E$247:E$250,$A267)</f>
        <v>8.0721596284199504E-3</v>
      </c>
      <c r="F267" s="24" cm="1">
        <f t="array" ref="F267">TrajectoryToComeUp(F$247:F$250,$A267)</f>
        <v>-0.72470829822288141</v>
      </c>
      <c r="G267" s="24" cm="1">
        <f t="array" ref="G267">TrajectoryToComeUp(G$247:G$250,$A267)</f>
        <v>-1.623408039756467</v>
      </c>
      <c r="H267" s="24" cm="1">
        <f t="array" ref="H267">TrajectoryToComeUp(H$247:H$250,$A267)</f>
        <v>-2.5561791445977562</v>
      </c>
      <c r="I267" s="2" cm="1">
        <f t="array" ref="I267">EvaluatePolynomial(I$247:I$250,$A267)</f>
        <v>3553.7040335213223</v>
      </c>
      <c r="J267" s="2" cm="1">
        <f t="array" ref="J267">EvaluatePolynomial(J$247:J$250,$A267)</f>
        <v>2791.2064746847359</v>
      </c>
      <c r="K267" s="1" cm="1">
        <f t="array" ref="K267">EvaluatePolynomial(K$247:K$250,$A267)</f>
        <v>3524.4960870555833</v>
      </c>
    </row>
    <row r="268" spans="1:11" x14ac:dyDescent="0.25">
      <c r="A268" s="1">
        <v>225</v>
      </c>
      <c r="B268" s="2" cm="1">
        <f t="array" ref="B268">TrajectoryToComeUp(B$247:B$250,$A268)</f>
        <v>0.21877315240122591</v>
      </c>
      <c r="C268" s="2" cm="1">
        <f t="array" ref="C268">TrajectoryToComeUp(C$247:C$250,$A268)</f>
        <v>0.56423119189195858</v>
      </c>
      <c r="D268" s="24" cm="1">
        <f t="array" ref="D268">TrajectoryToComeUp(D$247:D$250,$A268)</f>
        <v>0.46009571210181366</v>
      </c>
      <c r="E268" s="24" cm="1">
        <f t="array" ref="E268">TrajectoryToComeUp(E$247:E$250,$A268)</f>
        <v>0.16512953208206532</v>
      </c>
      <c r="F268" s="24" cm="1">
        <f t="array" ref="F268">TrajectoryToComeUp(F$247:F$250,$A268)</f>
        <v>-0.56658701918759036</v>
      </c>
      <c r="G268" s="24" cm="1">
        <f t="array" ref="G268">TrajectoryToComeUp(G$247:G$250,$A268)</f>
        <v>-1.462822937187799</v>
      </c>
      <c r="H268" s="24" cm="1">
        <f t="array" ref="H268">TrajectoryToComeUp(H$247:H$250,$A268)</f>
        <v>-2.4070408302423774</v>
      </c>
      <c r="I268" s="2" cm="1">
        <f t="array" ref="I268">EvaluatePolynomial(I$247:I$250,$A268)</f>
        <v>3454.0768154762004</v>
      </c>
      <c r="J268" s="2" cm="1">
        <f t="array" ref="J268">EvaluatePolynomial(J$247:J$250,$A268)</f>
        <v>2627.9254955570746</v>
      </c>
      <c r="K268" s="1" cm="1">
        <f t="array" ref="K268">EvaluatePolynomial(K$247:K$250,$A268)</f>
        <v>3425.102172427115</v>
      </c>
    </row>
    <row r="269" spans="1:11" x14ac:dyDescent="0.25">
      <c r="A269" s="1">
        <v>247.4</v>
      </c>
      <c r="B269" s="2" cm="1">
        <f t="array" ref="B269">TrajectoryToComeUp(B$247:B$250,$A269)</f>
        <v>0.39033558847386962</v>
      </c>
      <c r="C269" s="2" cm="1">
        <f t="array" ref="C269">TrajectoryToComeUp(C$247:C$250,$A269)</f>
        <v>0.71448224344084121</v>
      </c>
      <c r="D269" s="24" cm="1">
        <f t="array" ref="D269">TrajectoryToComeUp(D$247:D$250,$A269)</f>
        <v>0.62286512984342224</v>
      </c>
      <c r="E269" s="24" cm="1">
        <f t="array" ref="E269">TrajectoryToComeUp(E$247:E$250,$A269)</f>
        <v>0.31547112366226693</v>
      </c>
      <c r="F269" s="24" cm="1">
        <f t="array" ref="F269">TrajectoryToComeUp(F$247:F$250,$A269)</f>
        <v>-0.41515086354200903</v>
      </c>
      <c r="G269" s="24" cm="1">
        <f t="array" ref="G269">TrajectoryToComeUp(G$247:G$250,$A269)</f>
        <v>-1.3069038328110736</v>
      </c>
      <c r="H269" s="24" cm="1">
        <f t="array" ref="H269">TrajectoryToComeUp(H$247:H$250,$A269)</f>
        <v>-2.2612610233410626</v>
      </c>
      <c r="I269" s="2" cm="1">
        <f t="array" ref="I269">EvaluatePolynomial(I$247:I$250,$A269)</f>
        <v>3366.4656248227898</v>
      </c>
      <c r="J269" s="2" cm="1">
        <f t="array" ref="J269">EvaluatePolynomial(J$247:J$250,$A269)</f>
        <v>2488.1824282025846</v>
      </c>
      <c r="K269" s="1" cm="1">
        <f t="array" ref="K269">EvaluatePolynomial(K$247:K$250,$A269)</f>
        <v>3337.8965688274402</v>
      </c>
    </row>
    <row r="270" spans="1:11" x14ac:dyDescent="0.25">
      <c r="A270" s="1">
        <v>250</v>
      </c>
      <c r="B270" s="2" cm="1">
        <f t="array" ref="B270">TrajectoryToComeUp(B$247:B$250,$A270)</f>
        <v>0.41103029888302905</v>
      </c>
      <c r="C270" s="2" cm="1">
        <f t="array" ref="C270">TrajectoryToComeUp(C$247:C$250,$A270)</f>
        <v>0.73259473711059964</v>
      </c>
      <c r="D270" s="24" cm="1">
        <f t="array" ref="D270">TrajectoryToComeUp(D$247:D$250,$A270)</f>
        <v>0.64216108733490951</v>
      </c>
      <c r="E270" s="24" cm="1">
        <f t="array" ref="E270">TrajectoryToComeUp(E$247:E$250,$A270)</f>
        <v>0.33346238776352577</v>
      </c>
      <c r="F270" s="24" cm="1">
        <f t="array" ref="F270">TrajectoryToComeUp(F$247:F$250,$A270)</f>
        <v>-0.39703716420656648</v>
      </c>
      <c r="G270" s="24" cm="1">
        <f t="array" ref="G270">TrajectoryToComeUp(G$247:G$250,$A270)</f>
        <v>-1.2881284864326199</v>
      </c>
      <c r="H270" s="24" cm="1">
        <f t="array" ref="H270">TrajectoryToComeUp(H$247:H$250,$A270)</f>
        <v>-2.243647976969616</v>
      </c>
      <c r="I270" s="2" cm="1">
        <f t="array" ref="I270">EvaluatePolynomial(I$247:I$250,$A270)</f>
        <v>3356.4004054868396</v>
      </c>
      <c r="J270" s="2" cm="1">
        <f t="array" ref="J270">EvaluatePolynomial(J$247:J$250,$A270)</f>
        <v>2472.3566525008173</v>
      </c>
      <c r="K270" s="1" cm="1">
        <f t="array" ref="K270">EvaluatePolynomial(K$247:K$250,$A270)</f>
        <v>3327.8868911408954</v>
      </c>
    </row>
    <row r="271" spans="1:11" x14ac:dyDescent="0.25">
      <c r="A271" s="1">
        <v>275</v>
      </c>
      <c r="B271" s="2" cm="1">
        <f t="array" ref="B271">TrajectoryToComeUp(B$247:B$250,$A271)</f>
        <v>0.61784365954025744</v>
      </c>
      <c r="C271" s="2" cm="1">
        <f t="array" ref="C271">TrajectoryToComeUp(C$247:C$250,$A271)</f>
        <v>0.91347961168189029</v>
      </c>
      <c r="D271" s="24" cm="1">
        <f t="array" ref="D271">TrajectoryToComeUp(D$247:D$250,$A271)</f>
        <v>0.83149890826976258</v>
      </c>
      <c r="E271" s="24" cm="1">
        <f t="array" ref="E271">TrajectoryToComeUp(E$247:E$250,$A271)</f>
        <v>0.51182725711451837</v>
      </c>
      <c r="F271" s="24" cm="1">
        <f t="array" ref="F271">TrajectoryToComeUp(F$247:F$250,$A271)</f>
        <v>-0.21764638825734267</v>
      </c>
      <c r="G271" s="24" cm="1">
        <f t="array" ref="G271">TrajectoryToComeUp(G$247:G$250,$A271)</f>
        <v>-1.1008602043185467</v>
      </c>
      <c r="H271" s="24" cm="1">
        <f t="array" ref="H271">TrajectoryToComeUp(H$247:H$250,$A271)</f>
        <v>-2.0673435815695429</v>
      </c>
      <c r="I271" s="2" cm="1">
        <f t="array" ref="I271">EvaluatePolynomial(I$247:I$250,$A271)</f>
        <v>3260.7507134587818</v>
      </c>
      <c r="J271" s="2" cm="1">
        <f t="array" ref="J271">EvaluatePolynomial(J$247:J$250,$A271)</f>
        <v>2324.2982258016586</v>
      </c>
      <c r="K271" s="1" cm="1">
        <f t="array" ref="K271">EvaluatePolynomial(K$247:K$250,$A271)</f>
        <v>3232.8232339742635</v>
      </c>
    </row>
    <row r="272" spans="1:11" x14ac:dyDescent="0.25">
      <c r="A272" s="1">
        <v>300</v>
      </c>
      <c r="B272" s="2" cm="1">
        <f t="array" ref="B272">TrajectoryToComeUp(B$247:B$250,$A272)</f>
        <v>0.83816644605415902</v>
      </c>
      <c r="C272" s="2" cm="1">
        <f t="array" ref="C272">TrajectoryToComeUp(C$247:C$250,$A272)</f>
        <v>1.1059579645142408</v>
      </c>
      <c r="D272" s="24" cm="1">
        <f t="array" ref="D272">TrajectoryToComeUp(D$247:D$250,$A272)</f>
        <v>1.0270356141352326</v>
      </c>
      <c r="E272" s="24" cm="1">
        <f t="array" ref="E272">TrajectoryToComeUp(E$247:E$250,$A272)</f>
        <v>0.69939516042952243</v>
      </c>
      <c r="F272" s="24" cm="1">
        <f t="array" ref="F272">TrajectoryToComeUp(F$247:F$250,$A272)</f>
        <v>-2.947312799160734E-2</v>
      </c>
      <c r="G272" s="24" cm="1">
        <f t="array" ref="G272">TrajectoryToComeUp(G$247:G$250,$A272)</f>
        <v>-0.90204176873065611</v>
      </c>
      <c r="H272" s="24" cm="1">
        <f t="array" ref="H272">TrajectoryToComeUp(H$247:H$250,$A272)</f>
        <v>-1.8790229752355381</v>
      </c>
      <c r="I272" s="2" cm="1">
        <f t="array" ref="I272">EvaluatePolynomial(I$247:I$250,$A272)</f>
        <v>3167.2036492975694</v>
      </c>
      <c r="J272" s="2" cm="1">
        <f t="array" ref="J272">EvaluatePolynomial(J$247:J$250,$A272)</f>
        <v>2183.5484957452927</v>
      </c>
      <c r="K272" s="1" cm="1">
        <f t="array" ref="K272">EvaluatePolynomial(K$247:K$250,$A272)</f>
        <v>3139.8841917045575</v>
      </c>
    </row>
    <row r="273" spans="1:11" x14ac:dyDescent="0.25">
      <c r="A273" s="1">
        <v>325</v>
      </c>
      <c r="B273" s="2" cm="1">
        <f t="array" ref="B273">TrajectoryToComeUp(B$247:B$250,$A273)</f>
        <v>1.0712739588194442</v>
      </c>
      <c r="C273" s="2" cm="1">
        <f t="array" ref="C273">TrajectoryToComeUp(C$247:C$250,$A273)</f>
        <v>1.3093874371596277</v>
      </c>
      <c r="D273" s="24" cm="1">
        <f t="array" ref="D273">TrajectoryToComeUp(D$247:D$250,$A273)</f>
        <v>1.2280279705512986</v>
      </c>
      <c r="E273" s="24" cm="1">
        <f t="array" ref="E273">TrajectoryToComeUp(E$247:E$250,$A273)</f>
        <v>0.89559218868163781</v>
      </c>
      <c r="F273" s="24" cm="1">
        <f t="array" ref="F273">TrajectoryToComeUp(F$247:F$250,$A273)</f>
        <v>0.16674985275485513</v>
      </c>
      <c r="G273" s="24" cm="1">
        <f t="array" ref="G273">TrajectoryToComeUp(G$247:G$250,$A273)</f>
        <v>-0.69238187974323295</v>
      </c>
      <c r="H273" s="24" cm="1">
        <f t="array" ref="H273">TrajectoryToComeUp(H$247:H$250,$A273)</f>
        <v>-1.6793060026399427</v>
      </c>
      <c r="I273" s="2" cm="1">
        <f t="array" ref="I273">EvaluatePolynomial(I$247:I$250,$A273)</f>
        <v>3075.8351229087452</v>
      </c>
      <c r="J273" s="2" cm="1">
        <f t="array" ref="J273">EvaluatePolynomial(J$247:J$250,$A273)</f>
        <v>2049.9057426174136</v>
      </c>
      <c r="K273" s="1" cm="1">
        <f t="array" ref="K273">EvaluatePolynomial(K$247:K$250,$A273)</f>
        <v>3049.0427551091161</v>
      </c>
    </row>
    <row r="274" spans="1:11" x14ac:dyDescent="0.25">
      <c r="A274" s="1">
        <v>350</v>
      </c>
      <c r="B274" s="2" cm="1">
        <f t="array" ref="B274">TrajectoryToComeUp(B$247:B$250,$A274)</f>
        <v>1.3166485552609055</v>
      </c>
      <c r="C274" s="2" cm="1">
        <f t="array" ref="C274">TrajectoryToComeUp(C$247:C$250,$A274)</f>
        <v>1.5233092021551771</v>
      </c>
      <c r="D274" s="24" cm="1">
        <f t="array" ref="D274">TrajectoryToComeUp(D$247:D$250,$A274)</f>
        <v>1.4339450958179463</v>
      </c>
      <c r="E274" s="24" cm="1">
        <f t="array" ref="E274">TrajectoryToComeUp(E$247:E$250,$A274)</f>
        <v>1.1000084068516505</v>
      </c>
      <c r="F274" s="24" cm="1">
        <f t="array" ref="F274">TrajectoryToComeUp(F$247:F$250,$A274)</f>
        <v>0.37049915124219879</v>
      </c>
      <c r="G274" s="24" cm="1">
        <f t="array" ref="G274">TrajectoryToComeUp(G$247:G$250,$A274)</f>
        <v>-0.47238675169505179</v>
      </c>
      <c r="H274" s="24" cm="1">
        <f t="array" ref="H274">TrajectoryToComeUp(H$247:H$250,$A274)</f>
        <v>-1.4686354099772851</v>
      </c>
      <c r="I274" s="2" cm="1">
        <f t="array" ref="I274">EvaluatePolynomial(I$247:I$250,$A274)</f>
        <v>2986.7210441978514</v>
      </c>
      <c r="J274" s="2" cm="1">
        <f t="array" ref="J274">EvaluatePolynomial(J$247:J$250,$A274)</f>
        <v>1923.1682467037162</v>
      </c>
      <c r="K274" s="1" cm="1">
        <f t="array" ref="K274">EvaluatePolynomial(K$247:K$250,$A274)</f>
        <v>2960.271914965278</v>
      </c>
    </row>
    <row r="275" spans="1:11" x14ac:dyDescent="0.25">
      <c r="A275" s="1">
        <v>375</v>
      </c>
      <c r="B275" s="2" cm="1">
        <f t="array" ref="B275">TrajectoryToComeUp(B$247:B$250,$A275)</f>
        <v>1.5739106308233912</v>
      </c>
      <c r="C275" s="2" cm="1">
        <f t="array" ref="C275">TrajectoryToComeUp(C$247:C$250,$A275)</f>
        <v>1.7473867860281151</v>
      </c>
      <c r="D275" s="24" cm="1">
        <f t="array" ref="D275">TrajectoryToComeUp(D$247:D$250,$A275)</f>
        <v>1.6443976766884985</v>
      </c>
      <c r="E275" s="24" cm="1">
        <f t="array" ref="E275">TrajectoryToComeUp(E$247:E$250,$A275)</f>
        <v>1.3123431959254701</v>
      </c>
      <c r="F275" s="24" cm="1">
        <f t="array" ref="F275">TrajectoryToComeUp(F$247:F$250,$A275)</f>
        <v>0.58139093879453652</v>
      </c>
      <c r="G275" s="24" cm="1">
        <f t="array" ref="G275">TrajectoryToComeUp(G$247:G$250,$A275)</f>
        <v>-0.2424276084345468</v>
      </c>
      <c r="H275" s="24" cm="1">
        <f t="array" ref="H275">TrajectoryToComeUp(H$247:H$250,$A275)</f>
        <v>-1.2473358777902195</v>
      </c>
      <c r="I275" s="2" cm="1">
        <f t="array" ref="I275">EvaluatePolynomial(I$247:I$250,$A275)</f>
        <v>2899.9373230704309</v>
      </c>
      <c r="J275" s="2" cm="1">
        <f t="array" ref="J275">EvaluatePolynomial(J$247:J$250,$A275)</f>
        <v>1803.134288289895</v>
      </c>
      <c r="K275" s="1" cm="1">
        <f t="array" ref="K275">EvaluatePolynomial(K$247:K$250,$A275)</f>
        <v>2873.5446620503822</v>
      </c>
    </row>
    <row r="276" spans="1:11" x14ac:dyDescent="0.25">
      <c r="A276" s="1">
        <v>400</v>
      </c>
      <c r="B276" s="2" cm="1">
        <f t="array" ref="B276">TrajectoryToComeUp(B$247:B$250,$A276)</f>
        <v>1.8427754820905382</v>
      </c>
      <c r="C276" s="2" cm="1">
        <f t="array" ref="C276">TrajectoryToComeUp(C$247:C$250,$A276)</f>
        <v>1.9813678336738607</v>
      </c>
      <c r="D276" s="24" cm="1">
        <f t="array" ref="D276">TrajectoryToComeUp(D$247:D$250,$A276)</f>
        <v>1.8590937282279465</v>
      </c>
      <c r="E276" s="24" cm="1">
        <f t="array" ref="E276">TrajectoryToComeUp(E$247:E$250,$A276)</f>
        <v>1.5323710916425293</v>
      </c>
      <c r="F276" s="24" cm="1">
        <f t="array" ref="F276">TrajectoryToComeUp(F$247:F$250,$A276)</f>
        <v>0.79913734390495317</v>
      </c>
      <c r="G276" s="24" cm="1">
        <f t="array" ref="G276">TrajectoryToComeUp(G$247:G$250,$A276)</f>
        <v>-2.7828678480444754E-3</v>
      </c>
      <c r="H276" s="24" cm="1">
        <f t="array" ref="H276">TrajectoryToComeUp(H$247:H$250,$A276)</f>
        <v>-1.0156509164857377</v>
      </c>
      <c r="I276" s="2" cm="1">
        <f t="array" ref="I276">EvaluatePolynomial(I$247:I$250,$A276)</f>
        <v>2815.5598694320261</v>
      </c>
      <c r="J276" s="2" cm="1">
        <f t="array" ref="J276">EvaluatePolynomial(J$247:J$250,$A276)</f>
        <v>1689.6021476616443</v>
      </c>
      <c r="K276" s="1" cm="1">
        <f t="array" ref="K276">EvaluatePolynomial(K$247:K$250,$A276)</f>
        <v>2788.8339871417666</v>
      </c>
    </row>
    <row r="277" spans="1:11" x14ac:dyDescent="0.25">
      <c r="A277" s="1">
        <v>425</v>
      </c>
      <c r="B277" s="2" cm="1">
        <f t="array" ref="B277">TrajectoryToComeUp(B$247:B$250,$A277)</f>
        <v>2.1230253946851256</v>
      </c>
      <c r="C277" s="2" cm="1">
        <f t="array" ref="C277">TrajectoryToComeUp(C$247:C$250,$A277)</f>
        <v>2.2250593676594996</v>
      </c>
      <c r="D277" s="24" cm="1">
        <f t="array" ref="D277">TrajectoryToComeUp(D$247:D$250,$A277)</f>
        <v>2.0778099678389319</v>
      </c>
      <c r="E277" s="24" cm="1">
        <f t="array" ref="E277">TrajectoryToComeUp(E$247:E$250,$A277)</f>
        <v>1.7599196801565116</v>
      </c>
      <c r="F277" s="24" cm="1">
        <f t="array" ref="F277">TrajectoryToComeUp(F$247:F$250,$A277)</f>
        <v>1.0235182295387486</v>
      </c>
      <c r="G277" s="24" cm="1">
        <f t="array" ref="G277">TrajectoryToComeUp(G$247:G$250,$A277)</f>
        <v>0.24633456226903008</v>
      </c>
      <c r="H277" s="24" cm="1">
        <f t="array" ref="H277">TrajectoryToComeUp(H$247:H$250,$A277)</f>
        <v>-0.77376673990447908</v>
      </c>
      <c r="I277" s="2" cm="1">
        <f t="array" ref="I277">EvaluatePolynomial(I$247:I$250,$A277)</f>
        <v>2733.6645931881794</v>
      </c>
      <c r="J277" s="2" cm="1">
        <f t="array" ref="J277">EvaluatePolynomial(J$247:J$250,$A277)</f>
        <v>1582.3701051046592</v>
      </c>
      <c r="K277" s="1" cm="1">
        <f t="array" ref="K277">EvaluatePolynomial(K$247:K$250,$A277)</f>
        <v>2706.1128810167702</v>
      </c>
    </row>
    <row r="278" spans="1:11" x14ac:dyDescent="0.25">
      <c r="A278" s="1">
        <v>450</v>
      </c>
      <c r="B278" s="2" cm="1">
        <f t="array" ref="B278">TrajectoryToComeUp(B$247:B$250,$A278)</f>
        <v>2.4144910352026501</v>
      </c>
      <c r="C278" s="2" cm="1">
        <f t="array" ref="C278">TrajectoryToComeUp(C$247:C$250,$A278)</f>
        <v>2.4783112944260979</v>
      </c>
      <c r="D278" s="24" cm="1">
        <f t="array" ref="D278">TrajectoryToComeUp(D$247:D$250,$A278)</f>
        <v>2.3003727312790638</v>
      </c>
      <c r="E278" s="24" cm="1">
        <f t="array" ref="E278">TrajectoryToComeUp(E$247:E$250,$A278)</f>
        <v>1.9948548618091699</v>
      </c>
      <c r="F278" s="24" cm="1">
        <f t="array" ref="F278">TrajectoryToComeUp(F$247:F$250,$A278)</f>
        <v>1.2543623780022677</v>
      </c>
      <c r="G278" s="24" cm="1">
        <f t="array" ref="G278">TrajectoryToComeUp(G$247:G$250,$A278)</f>
        <v>0.50475908696467875</v>
      </c>
      <c r="H278" s="24" cm="1">
        <f t="array" ref="H278">TrajectoryToComeUp(H$247:H$250,$A278)</f>
        <v>-0.52182818103360806</v>
      </c>
      <c r="I278" s="2" cm="1">
        <f t="array" ref="I278">EvaluatePolynomial(I$247:I$250,$A278)</f>
        <v>2654.3274042444332</v>
      </c>
      <c r="J278" s="2" cm="1">
        <f t="array" ref="J278">EvaluatePolynomial(J$247:J$250,$A278)</f>
        <v>1481.2364409046331</v>
      </c>
      <c r="K278" s="1" cm="1">
        <f t="array" ref="K278">EvaluatePolynomial(K$247:K$250,$A278)</f>
        <v>2625.3543344527316</v>
      </c>
    </row>
    <row r="279" spans="1:11" x14ac:dyDescent="0.25">
      <c r="A279" s="1">
        <v>475</v>
      </c>
      <c r="B279" s="2" cm="1">
        <f t="array" ref="B279">TrajectoryToComeUp(B$247:B$250,$A279)</f>
        <v>2.7170387193763985</v>
      </c>
      <c r="C279" s="2" cm="1">
        <f t="array" ref="C279">TrajectoryToComeUp(C$247:C$250,$A279)</f>
        <v>2.741005119058709</v>
      </c>
      <c r="D279" s="24" cm="1">
        <f t="array" ref="D279">TrajectoryToComeUp(D$247:D$250,$A279)</f>
        <v>2.5266449151990868</v>
      </c>
      <c r="E279" s="24" cm="1">
        <f t="array" ref="E279">TrajectoryToComeUp(E$247:E$250,$A279)</f>
        <v>2.237070768449259</v>
      </c>
      <c r="F279" s="24" cm="1">
        <f t="array" ref="F279">TrajectoryToComeUp(F$247:F$250,$A279)</f>
        <v>1.491534617432098</v>
      </c>
      <c r="G279" s="24" cm="1">
        <f t="array" ref="G279">TrajectoryToComeUp(G$247:G$250,$A279)</f>
        <v>0.77235997338206053</v>
      </c>
      <c r="H279" s="24" cm="1">
        <f t="array" ref="H279">TrajectoryToComeUp(H$247:H$250,$A279)</f>
        <v>-0.25994958170509741</v>
      </c>
      <c r="I279" s="2" cm="1">
        <f t="array" ref="I279">EvaluatePolynomial(I$247:I$250,$A279)</f>
        <v>2577.6242125063304</v>
      </c>
      <c r="J279" s="2" cm="1">
        <f t="array" ref="J279">EvaluatePolynomial(J$247:J$250,$A279)</f>
        <v>1385.9994353472612</v>
      </c>
      <c r="K279" s="1" cm="1">
        <f t="array" ref="K279">EvaluatePolynomial(K$247:K$250,$A279)</f>
        <v>2546.5313382269896</v>
      </c>
    </row>
    <row r="280" spans="1:11" x14ac:dyDescent="0.25">
      <c r="A280" s="1">
        <v>500</v>
      </c>
      <c r="B280" s="2" cm="1">
        <f t="array" ref="B280">TrajectoryToComeUp(B$247:B$250,$A280)</f>
        <v>3.030561499792999</v>
      </c>
      <c r="C280" s="2" cm="1">
        <f t="array" ref="C280">TrajectoryToComeUp(C$247:C$250,$A280)</f>
        <v>3.0130460456253729</v>
      </c>
      <c r="D280" s="24" cm="1">
        <f t="array" ref="D280">TrajectoryToComeUp(D$247:D$250,$A280)</f>
        <v>2.7565168369195963</v>
      </c>
      <c r="E280" s="24" cm="1">
        <f t="array" ref="E280">TrajectoryToComeUp(E$247:E$250,$A280)</f>
        <v>2.4864827055557801</v>
      </c>
      <c r="F280" s="24" cm="1">
        <f t="array" ref="F280">TrajectoryToComeUp(F$247:F$250,$A280)</f>
        <v>1.7349268103375093</v>
      </c>
      <c r="G280" s="24" cm="1">
        <f t="array" ref="G280">TrajectoryToComeUp(G$247:G$250,$A280)</f>
        <v>1.0490326352357042</v>
      </c>
      <c r="H280" s="24" cm="1">
        <f t="array" ref="H280">TrajectoryToComeUp(H$247:H$250,$A280)</f>
        <v>1.1777584615475858E-2</v>
      </c>
      <c r="I280" s="2" cm="1">
        <f t="array" ref="I280">EvaluatePolynomial(I$247:I$250,$A280)</f>
        <v>2503.6309278794133</v>
      </c>
      <c r="J280" s="2" cm="1">
        <f t="array" ref="J280">EvaluatePolynomial(J$247:J$250,$A280)</f>
        <v>1296.4573687182381</v>
      </c>
      <c r="K280" s="1" cm="1">
        <f t="array" ref="K280">EvaluatePolynomial(K$247:K$250,$A280)</f>
        <v>2469.616883116882</v>
      </c>
    </row>
  </sheetData>
  <mergeCells count="8">
    <mergeCell ref="F1:I1"/>
    <mergeCell ref="I256:K256"/>
    <mergeCell ref="C20:G20"/>
    <mergeCell ref="J20:N20"/>
    <mergeCell ref="R11:X11"/>
    <mergeCell ref="B255:H255"/>
    <mergeCell ref="B256:H256"/>
    <mergeCell ref="Q16:R16"/>
  </mergeCells>
  <pageMargins left="0.7" right="0.7" top="0.75" bottom="0.75" header="0.3" footer="0.3"/>
  <pageSetup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1AE7F-0D2F-41BD-BB24-C9208688B720}">
  <sheetPr codeName="Sheet7"/>
  <dimension ref="A1:X280"/>
  <sheetViews>
    <sheetView topLeftCell="A49" workbookViewId="0">
      <selection activeCell="S29" sqref="S29"/>
    </sheetView>
  </sheetViews>
  <sheetFormatPr defaultRowHeight="15" x14ac:dyDescent="0.25"/>
  <cols>
    <col min="1" max="1" width="36.85546875" customWidth="1"/>
    <col min="2" max="2" width="29.5703125" customWidth="1"/>
    <col min="3" max="3" width="27.42578125" customWidth="1"/>
    <col min="4" max="4" width="16.42578125" customWidth="1"/>
    <col min="5" max="5" width="15.140625" customWidth="1"/>
    <col min="6" max="6" width="21.85546875" customWidth="1"/>
    <col min="7" max="7" width="17.28515625" customWidth="1"/>
    <col min="8" max="8" width="17.140625" customWidth="1"/>
    <col min="9" max="9" width="19.7109375" customWidth="1"/>
    <col min="10" max="10" width="18.85546875" customWidth="1"/>
    <col min="11" max="11" width="24.8554687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  <col min="21" max="21" width="13.42578125" customWidth="1"/>
    <col min="22" max="22" width="14.5703125" customWidth="1"/>
    <col min="23" max="24" width="15.28515625" customWidth="1"/>
  </cols>
  <sheetData>
    <row r="1" spans="1:24" x14ac:dyDescent="0.25">
      <c r="A1" t="s">
        <v>18</v>
      </c>
      <c r="B1" t="s">
        <v>32</v>
      </c>
      <c r="C1" t="s">
        <v>42</v>
      </c>
      <c r="D1" t="s">
        <v>112</v>
      </c>
      <c r="F1" s="59" t="s">
        <v>68</v>
      </c>
      <c r="G1" s="59"/>
      <c r="H1" s="59"/>
      <c r="I1" s="59"/>
    </row>
    <row r="2" spans="1:24" x14ac:dyDescent="0.25">
      <c r="A2" t="s">
        <v>20</v>
      </c>
      <c r="B2" s="2">
        <v>180</v>
      </c>
      <c r="C2" s="2">
        <f>CONVERT($B$2,"grain","g")</f>
        <v>11.6638038</v>
      </c>
      <c r="F2" t="s">
        <v>69</v>
      </c>
      <c r="G2" s="2">
        <v>180</v>
      </c>
      <c r="H2" s="2">
        <f>CONVERT($G$2,"grain","g")</f>
        <v>11.6638038</v>
      </c>
    </row>
    <row r="3" spans="1:24" x14ac:dyDescent="0.25">
      <c r="A3" t="s">
        <v>0</v>
      </c>
      <c r="B3" s="2">
        <v>0.308</v>
      </c>
      <c r="C3" s="2">
        <f>CONVERT($B$3,"in","cm")</f>
        <v>0.78232000000000002</v>
      </c>
      <c r="F3" t="s">
        <v>70</v>
      </c>
      <c r="G3" s="2">
        <v>0.26400000000000001</v>
      </c>
      <c r="H3" s="2">
        <f>CONVERT($G$3,"in","mm")</f>
        <v>6.7055999999999996</v>
      </c>
    </row>
    <row r="4" spans="1:24" x14ac:dyDescent="0.25">
      <c r="A4" t="s">
        <v>11</v>
      </c>
      <c r="B4" s="2">
        <v>0.33</v>
      </c>
      <c r="C4" s="2"/>
      <c r="F4" t="s">
        <v>11</v>
      </c>
      <c r="G4" s="2" t="s">
        <v>71</v>
      </c>
      <c r="H4" s="2"/>
    </row>
    <row r="5" spans="1:24" x14ac:dyDescent="0.25">
      <c r="A5" t="s">
        <v>21</v>
      </c>
      <c r="B5" s="2">
        <v>0.33</v>
      </c>
      <c r="C5" s="2"/>
      <c r="F5" t="s">
        <v>21</v>
      </c>
      <c r="G5" s="2">
        <v>0.33</v>
      </c>
      <c r="H5" s="2"/>
    </row>
    <row r="6" spans="1:24" x14ac:dyDescent="0.25">
      <c r="A6" t="s">
        <v>22</v>
      </c>
      <c r="B6" s="2">
        <v>4401</v>
      </c>
      <c r="C6" s="2">
        <f>CONVERT($B$6,"J","flb")</f>
        <v>3246.011018969245</v>
      </c>
      <c r="F6" t="s">
        <v>72</v>
      </c>
      <c r="G6" s="2">
        <f>CONVERT($H$6,"J","flb")</f>
        <v>3245.8502284528499</v>
      </c>
      <c r="H6" s="2">
        <f>($C$2/1000)*$H$7*$H$7/2</f>
        <v>4400.7819973319502</v>
      </c>
    </row>
    <row r="7" spans="1:24" x14ac:dyDescent="0.25">
      <c r="A7" t="s">
        <v>19</v>
      </c>
      <c r="B7" s="2">
        <f xml:space="preserve"> SQRT(2*$B$6/(CONVERT($B$2,"grain","g")/1000))</f>
        <v>868.7015157456766</v>
      </c>
      <c r="C7" s="2">
        <f>CONVERT($B$7,"m","ft")</f>
        <v>2850.0705897167868</v>
      </c>
      <c r="F7" t="s">
        <v>73</v>
      </c>
      <c r="G7" s="2">
        <v>2850</v>
      </c>
      <c r="H7" s="2">
        <f>CONVERT($G$7,"ft","m")</f>
        <v>868.68</v>
      </c>
    </row>
    <row r="8" spans="1:24" x14ac:dyDescent="0.25">
      <c r="A8" t="s">
        <v>1</v>
      </c>
      <c r="B8" s="2">
        <v>0</v>
      </c>
      <c r="C8" s="2"/>
    </row>
    <row r="9" spans="1:24" x14ac:dyDescent="0.25">
      <c r="A9" t="s">
        <v>2</v>
      </c>
      <c r="B9" s="2">
        <v>6.5</v>
      </c>
      <c r="C9" s="2">
        <f>CONVERT($B$9,"m/sec","km/hr")</f>
        <v>23.400000000000002</v>
      </c>
    </row>
    <row r="10" spans="1:24" x14ac:dyDescent="0.25">
      <c r="A10" t="s">
        <v>3</v>
      </c>
      <c r="B10" s="2">
        <v>270</v>
      </c>
      <c r="C10" s="2"/>
    </row>
    <row r="11" spans="1:24" x14ac:dyDescent="0.25">
      <c r="A11" s="32" t="s">
        <v>56</v>
      </c>
      <c r="B11" s="2">
        <v>0.5</v>
      </c>
      <c r="C11" s="33"/>
      <c r="R11" s="59"/>
      <c r="S11" s="59"/>
      <c r="T11" s="59"/>
      <c r="U11" s="59"/>
      <c r="V11" s="59"/>
      <c r="W11" s="59"/>
      <c r="X11" s="59"/>
    </row>
    <row r="12" spans="1:24" x14ac:dyDescent="0.25">
      <c r="A12" s="32" t="s">
        <v>57</v>
      </c>
      <c r="B12" s="2" cm="1">
        <f t="array" ref="B12">MOAToMRAD($B$11)</f>
        <v>0.14544410433286079</v>
      </c>
      <c r="C12" s="33">
        <f>$B$12/2</f>
        <v>7.2722052166430393E-2</v>
      </c>
    </row>
    <row r="13" spans="1:24" x14ac:dyDescent="0.25">
      <c r="A13" s="32" t="s">
        <v>26</v>
      </c>
      <c r="B13" s="2">
        <f>CONVERT(1.5,"in","cm")</f>
        <v>3.81</v>
      </c>
      <c r="D13" s="2">
        <f>CONVERT($B$13,"cm","in")</f>
        <v>1.5</v>
      </c>
      <c r="R13" s="19"/>
      <c r="S13" s="20"/>
      <c r="T13" s="20"/>
      <c r="U13" s="20"/>
      <c r="V13" s="20"/>
      <c r="W13" s="20"/>
      <c r="X13" s="20"/>
    </row>
    <row r="14" spans="1:24" x14ac:dyDescent="0.25">
      <c r="A14" s="32" t="s">
        <v>5</v>
      </c>
      <c r="B14" t="s">
        <v>58</v>
      </c>
      <c r="R14" s="1"/>
      <c r="S14" s="1"/>
      <c r="T14" s="1"/>
      <c r="U14" s="1"/>
      <c r="V14" s="1"/>
      <c r="W14" s="1"/>
      <c r="X14" s="1"/>
    </row>
    <row r="15" spans="1:24" x14ac:dyDescent="0.25">
      <c r="A15" t="s">
        <v>59</v>
      </c>
      <c r="B15" s="31" t="s">
        <v>60</v>
      </c>
      <c r="C15" s="31" t="s">
        <v>61</v>
      </c>
      <c r="D15" s="31" t="s">
        <v>62</v>
      </c>
      <c r="E15" s="31" t="s">
        <v>63</v>
      </c>
      <c r="R15" s="1"/>
      <c r="S15" s="1"/>
      <c r="T15" s="1"/>
      <c r="U15" s="1"/>
      <c r="V15" s="1"/>
      <c r="W15" s="1"/>
      <c r="X15" s="1"/>
    </row>
    <row r="16" spans="1:24" x14ac:dyDescent="0.25">
      <c r="A16" s="32" t="s">
        <v>64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  <c r="Q16" s="58" t="s">
        <v>116</v>
      </c>
      <c r="R16" s="58"/>
      <c r="S16" s="1"/>
      <c r="T16" s="1"/>
      <c r="U16" s="1"/>
      <c r="V16" s="1"/>
      <c r="W16" s="1"/>
      <c r="X16" s="1"/>
    </row>
    <row r="17" spans="1:24" x14ac:dyDescent="0.25">
      <c r="A17" s="32" t="s">
        <v>65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  <c r="Q17" s="43" t="s">
        <v>117</v>
      </c>
      <c r="R17" s="43" t="s">
        <v>118</v>
      </c>
      <c r="S17" s="1"/>
      <c r="T17" s="1"/>
      <c r="U17" s="1"/>
      <c r="V17" s="1"/>
      <c r="W17" s="1"/>
      <c r="X17" s="1"/>
    </row>
    <row r="18" spans="1:24" x14ac:dyDescent="0.25">
      <c r="A18" s="11" t="s">
        <v>66</v>
      </c>
      <c r="B18" s="12">
        <f>$B$12/$B$17</f>
        <v>0.58177641733144314</v>
      </c>
      <c r="C18" s="2"/>
      <c r="J18" s="2">
        <v>4.75</v>
      </c>
      <c r="K18" s="2">
        <v>4.25</v>
      </c>
      <c r="L18" s="2">
        <v>4.25</v>
      </c>
      <c r="M18" s="2">
        <v>4.5999999999999996</v>
      </c>
      <c r="N18" s="2">
        <v>4.0999999999999996</v>
      </c>
      <c r="O18" s="2">
        <v>4</v>
      </c>
      <c r="P18" s="2">
        <v>4.25</v>
      </c>
      <c r="Q18" s="2">
        <f>AVERAGE(J18:P18)</f>
        <v>4.3142857142857149</v>
      </c>
      <c r="R18" s="2">
        <f>_xlfn.STDEV.S(J18:P18)</f>
        <v>0.26726124191242434</v>
      </c>
      <c r="S18" s="1"/>
      <c r="T18" s="1"/>
      <c r="U18" s="1"/>
      <c r="V18" s="1"/>
      <c r="W18" s="1"/>
      <c r="X18" s="1"/>
    </row>
    <row r="19" spans="1:24" x14ac:dyDescent="0.25">
      <c r="A19" s="34" t="s">
        <v>67</v>
      </c>
      <c r="B19" s="35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24" x14ac:dyDescent="0.25">
      <c r="C20" s="61" t="s">
        <v>24</v>
      </c>
      <c r="D20" s="61"/>
      <c r="E20" s="61"/>
      <c r="F20" s="61"/>
      <c r="G20" s="61"/>
      <c r="H20" s="13"/>
      <c r="I20" s="13"/>
      <c r="J20" s="61" t="s">
        <v>25</v>
      </c>
      <c r="K20" s="61"/>
      <c r="L20" s="61"/>
      <c r="M20" s="61"/>
      <c r="N20" s="61"/>
      <c r="O20" s="13"/>
      <c r="P20" s="13"/>
      <c r="Q20" s="36" t="s">
        <v>30</v>
      </c>
      <c r="R20" s="1"/>
      <c r="S20" s="1"/>
      <c r="T20" s="1"/>
      <c r="U20" s="1"/>
      <c r="V20" s="1"/>
      <c r="W20" s="1"/>
      <c r="X20" s="1"/>
    </row>
    <row r="21" spans="1:24" x14ac:dyDescent="0.25">
      <c r="A21" t="s">
        <v>4</v>
      </c>
      <c r="B21" t="s">
        <v>23</v>
      </c>
      <c r="C21" t="s">
        <v>94</v>
      </c>
      <c r="D21" t="s">
        <v>95</v>
      </c>
      <c r="E21" t="s">
        <v>96</v>
      </c>
      <c r="F21" t="s">
        <v>97</v>
      </c>
      <c r="G21" t="s">
        <v>98</v>
      </c>
      <c r="H21" t="s">
        <v>99</v>
      </c>
      <c r="I21" t="s">
        <v>100</v>
      </c>
      <c r="J21" s="16" t="s">
        <v>94</v>
      </c>
      <c r="K21" s="16" t="s">
        <v>95</v>
      </c>
      <c r="L21" s="16" t="s">
        <v>96</v>
      </c>
      <c r="M21" s="16" t="s">
        <v>97</v>
      </c>
      <c r="N21" s="16" t="s">
        <v>98</v>
      </c>
      <c r="O21" s="16" t="s">
        <v>99</v>
      </c>
      <c r="P21" s="37" t="s">
        <v>100</v>
      </c>
      <c r="Q21" s="36" t="s">
        <v>31</v>
      </c>
      <c r="R21" s="1"/>
      <c r="S21" s="1"/>
      <c r="T21" s="1"/>
      <c r="U21" s="1"/>
      <c r="V21" s="1"/>
      <c r="W21" s="1"/>
      <c r="X21" s="1"/>
    </row>
    <row r="22" spans="1:24" x14ac:dyDescent="0.25">
      <c r="A22" s="1">
        <v>0</v>
      </c>
      <c r="B22" s="1">
        <v>4400.8999999999996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8">
        <f t="shared" si="1"/>
        <v>-3.81</v>
      </c>
      <c r="Q22" s="39">
        <v>0</v>
      </c>
      <c r="R22" s="1"/>
      <c r="S22" s="1"/>
      <c r="T22" s="1"/>
      <c r="U22" s="1"/>
      <c r="V22" s="1"/>
      <c r="W22" s="1"/>
      <c r="X22" s="21"/>
    </row>
    <row r="23" spans="1:24" x14ac:dyDescent="0.25">
      <c r="A23" s="1">
        <v>25</v>
      </c>
      <c r="B23" s="1">
        <v>4219.5</v>
      </c>
      <c r="C23" s="6">
        <v>-0.25</v>
      </c>
      <c r="D23" s="6">
        <v>-0.33300000000000002</v>
      </c>
      <c r="E23" s="6">
        <v>-0.3125</v>
      </c>
      <c r="F23" s="6">
        <v>-0.1875</v>
      </c>
      <c r="G23" s="6">
        <v>0</v>
      </c>
      <c r="H23" s="6">
        <v>0.1875</v>
      </c>
      <c r="I23" s="14">
        <v>0.63300000000000001</v>
      </c>
      <c r="J23" s="9" cm="1">
        <f t="array" ref="J23">TrajectoryDropInCM(C23,$A23,J$18)</f>
        <v>-2.9687513954679097</v>
      </c>
      <c r="K23" s="9" cm="1">
        <f t="array" ref="K23">TrajectoryDropInCM(D23,$A23,K$18)</f>
        <v>-3.5381273622104836</v>
      </c>
      <c r="L23" s="9" cm="1">
        <f t="array" ref="L23">TrajectoryDropInCM(E23,$A23,L$18)</f>
        <v>-3.3203144522521759</v>
      </c>
      <c r="M23" s="9" cm="1">
        <f t="array" ref="M23">TrajectoryDropInCM(F23,$A23,M$18)</f>
        <v>-2.1562505346827763</v>
      </c>
      <c r="N23" s="9" cm="1">
        <f t="array" ref="N23">TrajectoryDropInCM(G23,$A23,N$18)</f>
        <v>0</v>
      </c>
      <c r="O23" s="9" cm="1">
        <f t="array" ref="O23">TrajectoryDropInCM(H23,$A23,O$18)</f>
        <v>1.8750003515625793</v>
      </c>
      <c r="P23" s="40" cm="1">
        <f t="array" ref="P23">TrajectoryDropInCM(I23,$A23,P$18)</f>
        <v>6.7256412254941225</v>
      </c>
      <c r="Q23" s="39" cm="1">
        <f t="array" ref="Q23">TrajectoryErrorCM($E$19,1,$A23)</f>
        <v>0.37561137059069255</v>
      </c>
      <c r="R23" s="1"/>
      <c r="S23" s="1"/>
      <c r="T23" s="1"/>
      <c r="U23" s="1"/>
      <c r="V23" s="1"/>
      <c r="W23" s="1"/>
      <c r="X23" s="1"/>
    </row>
    <row r="24" spans="1:24" x14ac:dyDescent="0.25">
      <c r="A24" s="1">
        <v>50</v>
      </c>
      <c r="B24" s="1">
        <v>3992.3</v>
      </c>
      <c r="C24" s="7">
        <v>0</v>
      </c>
      <c r="D24" s="6">
        <v>-8.3000000000000004E-2</v>
      </c>
      <c r="E24" s="6">
        <v>0</v>
      </c>
      <c r="F24" s="6">
        <v>8.3000000000000004E-2</v>
      </c>
      <c r="G24" s="6">
        <v>0.3125</v>
      </c>
      <c r="H24" s="6">
        <v>0.58299999999999996</v>
      </c>
      <c r="I24" s="14">
        <v>0.95</v>
      </c>
      <c r="J24" s="9" cm="1">
        <f t="array" ref="J24">TrajectoryDropInCM(C24,$A24,J$18)</f>
        <v>0</v>
      </c>
      <c r="K24" s="9" cm="1">
        <f t="array" ref="K24">TrajectoryDropInCM(D24,$A24,K$18)</f>
        <v>-1.763750073155981</v>
      </c>
      <c r="L24" s="9" cm="1">
        <f t="array" ref="L24">TrajectoryDropInCM(E24,$A24,L$18)</f>
        <v>0</v>
      </c>
      <c r="M24" s="9" cm="1">
        <f t="array" ref="M24">TrajectoryDropInCM(F24,$A24,M$18)</f>
        <v>1.9090000927591042</v>
      </c>
      <c r="N24" s="9" cm="1">
        <f t="array" ref="N24">TrajectoryDropInCM(G24,$A24,N$18)</f>
        <v>6.4062535055056378</v>
      </c>
      <c r="O24" s="9" cm="1">
        <f t="array" ref="O24">TrajectoryDropInCM(H24,$A24,O$18)</f>
        <v>11.660021136609924</v>
      </c>
      <c r="P24" s="40" cm="1">
        <f t="array" ref="P24">TrajectoryDropInCM(I24,$A24,P$18)</f>
        <v>20.187609695594833</v>
      </c>
      <c r="Q24" s="39" cm="1">
        <f t="array" ref="Q24">TrajectoryErrorCM($E$19,1,$A24)</f>
        <v>0.7512227411813851</v>
      </c>
      <c r="R24" s="1"/>
      <c r="S24" s="1"/>
      <c r="T24" s="1"/>
      <c r="U24" s="1"/>
      <c r="V24" s="1"/>
      <c r="W24" s="1"/>
      <c r="X24" s="1"/>
    </row>
    <row r="25" spans="1:24" x14ac:dyDescent="0.25">
      <c r="A25" s="1">
        <v>75</v>
      </c>
      <c r="B25" s="1">
        <v>3780</v>
      </c>
      <c r="C25" s="6">
        <v>8.3000000000000004E-2</v>
      </c>
      <c r="D25" s="6">
        <v>0</v>
      </c>
      <c r="E25" s="6">
        <v>6.25E-2</v>
      </c>
      <c r="F25" s="6">
        <v>0.125</v>
      </c>
      <c r="G25" s="6">
        <v>0.375</v>
      </c>
      <c r="H25" s="6">
        <v>0.65</v>
      </c>
      <c r="I25" s="14">
        <v>1</v>
      </c>
      <c r="J25" s="9" cm="1">
        <f t="array" ref="J25">TrajectoryDropInCM(C25,$A25,J$18)</f>
        <v>2.9568751531987223</v>
      </c>
      <c r="K25" s="9" cm="1">
        <f t="array" ref="K25">TrajectoryDropInCM(D25,$A25,K$18)</f>
        <v>0</v>
      </c>
      <c r="L25" s="9" cm="1">
        <f t="array" ref="L25">TrajectoryDropInCM(E25,$A25,L$18)</f>
        <v>1.9921875468540204</v>
      </c>
      <c r="M25" s="9" cm="1">
        <f t="array" ref="M25">TrajectoryDropInCM(F25,$A25,M$18)</f>
        <v>4.3125004752735006</v>
      </c>
      <c r="N25" s="9" cm="1">
        <f t="array" ref="N25">TrajectoryDropInCM(G25,$A25,N$18)</f>
        <v>11.531259086273238</v>
      </c>
      <c r="O25" s="9" cm="1">
        <f t="array" ref="O25">TrajectoryDropInCM(H25,$A25,O$18)</f>
        <v>19.500043940118815</v>
      </c>
      <c r="P25" s="40" cm="1">
        <f t="array" ref="P25">TrajectoryDropInCM(I25,$A25,P$18)</f>
        <v>31.875191915449086</v>
      </c>
      <c r="Q25" s="39" cm="1">
        <f t="array" ref="Q25">TrajectoryErrorCM($E$19,1,$A25)</f>
        <v>1.1268341117720777</v>
      </c>
      <c r="R25" s="1"/>
      <c r="S25" s="1"/>
      <c r="T25" s="1"/>
      <c r="U25" s="1"/>
      <c r="V25" s="1"/>
      <c r="W25" s="1"/>
      <c r="X25" s="1"/>
    </row>
    <row r="26" spans="1:24" x14ac:dyDescent="0.25">
      <c r="A26" s="1">
        <v>100</v>
      </c>
      <c r="B26" s="1">
        <v>3550.6</v>
      </c>
      <c r="C26" s="6">
        <v>8.3000000000000004E-2</v>
      </c>
      <c r="D26" s="7">
        <v>0</v>
      </c>
      <c r="E26" s="6">
        <v>6.25E-2</v>
      </c>
      <c r="F26" s="6">
        <v>0.125</v>
      </c>
      <c r="G26" s="6">
        <v>0.375</v>
      </c>
      <c r="H26" s="6">
        <v>0.65</v>
      </c>
      <c r="I26" s="14">
        <v>1</v>
      </c>
      <c r="J26" s="9" cm="1">
        <f t="array" ref="J26">TrajectoryDropInCM(C26,$A26,J$18)</f>
        <v>3.9425002042649626</v>
      </c>
      <c r="K26" s="9" cm="1">
        <f t="array" ref="K26">TrajectoryDropInCM(D26,$A26,K$18)</f>
        <v>0</v>
      </c>
      <c r="L26" s="9" cm="1">
        <f t="array" ref="L26">TrajectoryDropInCM(E26,$A26,L$18)</f>
        <v>2.6562500624720276</v>
      </c>
      <c r="M26" s="9" cm="1">
        <f t="array" ref="M26">TrajectoryDropInCM(F26,$A26,M$18)</f>
        <v>5.7500006336980007</v>
      </c>
      <c r="N26" s="9" cm="1">
        <f t="array" ref="N26">TrajectoryDropInCM(G26,$A26,N$18)</f>
        <v>15.375012115030984</v>
      </c>
      <c r="O26" s="9" cm="1">
        <f t="array" ref="O26">TrajectoryDropInCM(H26,$A26,O$18)</f>
        <v>26.000058586825087</v>
      </c>
      <c r="P26" s="40" cm="1">
        <f t="array" ref="P26">TrajectoryDropInCM(I26,$A26,P$18)</f>
        <v>42.500255887265453</v>
      </c>
      <c r="Q26" s="39" cm="1">
        <f t="array" ref="Q26">TrajectoryErrorCM($E$19,1,$A26)</f>
        <v>1.5024454823627702</v>
      </c>
      <c r="R26" s="1"/>
      <c r="S26" s="1"/>
      <c r="T26" s="1"/>
      <c r="U26" s="1"/>
      <c r="V26" s="1"/>
      <c r="W26" s="1"/>
      <c r="X26" s="1"/>
    </row>
    <row r="27" spans="1:24" x14ac:dyDescent="0.25">
      <c r="A27" s="1">
        <v>125</v>
      </c>
      <c r="B27" s="1">
        <v>3367.2</v>
      </c>
      <c r="C27" s="6">
        <v>8.3000000000000004E-2</v>
      </c>
      <c r="D27" s="6">
        <v>0</v>
      </c>
      <c r="E27" s="6">
        <v>6.25E-2</v>
      </c>
      <c r="F27" s="6">
        <v>0.125</v>
      </c>
      <c r="G27" s="6">
        <v>0.375</v>
      </c>
      <c r="H27" s="6">
        <v>0.65</v>
      </c>
      <c r="I27" s="14">
        <v>1</v>
      </c>
      <c r="J27" s="9" cm="1">
        <f t="array" ref="J27">TrajectoryDropInCM(C27,$A27,J$18)</f>
        <v>4.9281252553312029</v>
      </c>
      <c r="K27" s="9" cm="1">
        <f t="array" ref="K27">TrajectoryDropInCM(D27,$A27,K$18)</f>
        <v>0</v>
      </c>
      <c r="L27" s="9" cm="1">
        <f t="array" ref="L27">TrajectoryDropInCM(E27,$A27,L$18)</f>
        <v>3.3203125780900344</v>
      </c>
      <c r="M27" s="9" cm="1">
        <f t="array" ref="M27">TrajectoryDropInCM(F27,$A27,M$18)</f>
        <v>7.1875007921225</v>
      </c>
      <c r="N27" s="9" cm="1">
        <f t="array" ref="N27">TrajectoryDropInCM(G27,$A27,N$18)</f>
        <v>19.21876514378873</v>
      </c>
      <c r="O27" s="9" cm="1">
        <f t="array" ref="O27">TrajectoryDropInCM(H27,$A27,O$18)</f>
        <v>32.50007323353136</v>
      </c>
      <c r="P27" s="40" cm="1">
        <f t="array" ref="P27">TrajectoryDropInCM(I27,$A27,P$18)</f>
        <v>53.125319859081813</v>
      </c>
      <c r="Q27" s="39" cm="1">
        <f t="array" ref="Q27">TrajectoryErrorCM($E$19,1,$A27)</f>
        <v>1.8780568529534629</v>
      </c>
      <c r="R27" s="1"/>
      <c r="S27" s="1"/>
      <c r="T27" s="1"/>
      <c r="U27" s="1"/>
      <c r="V27" s="1"/>
      <c r="W27" s="1"/>
      <c r="X27" s="1"/>
    </row>
    <row r="28" spans="1:24" x14ac:dyDescent="0.25">
      <c r="A28" s="1">
        <v>150</v>
      </c>
      <c r="B28" s="1">
        <v>3169</v>
      </c>
      <c r="C28" s="6">
        <v>3.1199999999999999E-2</v>
      </c>
      <c r="D28" s="6">
        <v>-3.1199999999999999E-2</v>
      </c>
      <c r="E28" s="7">
        <v>0</v>
      </c>
      <c r="F28" s="6">
        <v>8.3000000000000004E-2</v>
      </c>
      <c r="G28" s="6">
        <v>0.33300000000000002</v>
      </c>
      <c r="H28" s="6">
        <v>0.6</v>
      </c>
      <c r="I28" s="14">
        <v>0.95</v>
      </c>
      <c r="J28" s="9" cm="1">
        <f t="array" ref="J28">TrajectoryDropInCM(C28,$A28,J$18)</f>
        <v>2.223000016274761</v>
      </c>
      <c r="K28" s="9" cm="1">
        <f t="array" ref="K28">TrajectoryDropInCM(D28,$A28,K$18)</f>
        <v>-1.9890000116573696</v>
      </c>
      <c r="L28" s="9" cm="1">
        <f t="array" ref="L28">TrajectoryDropInCM(E28,$A28,L$18)</f>
        <v>0</v>
      </c>
      <c r="M28" s="9" cm="1">
        <f t="array" ref="M28">TrajectoryDropInCM(F28,$A28,M$18)</f>
        <v>5.7270002782773126</v>
      </c>
      <c r="N28" s="9" cm="1">
        <f t="array" ref="N28">TrajectoryDropInCM(G28,$A28,N$18)</f>
        <v>20.479512724906471</v>
      </c>
      <c r="O28" s="9" cm="1">
        <f t="array" ref="O28">TrajectoryDropInCM(H28,$A28,O$18)</f>
        <v>36.000069120159253</v>
      </c>
      <c r="P28" s="40" cm="1">
        <f t="array" ref="P28">TrajectoryDropInCM(I28,$A28,P$18)</f>
        <v>60.562829086784497</v>
      </c>
      <c r="Q28" s="39" cm="1">
        <f t="array" ref="Q28">TrajectoryErrorCM($E$19,1,$A28)</f>
        <v>2.2536682235441554</v>
      </c>
    </row>
    <row r="29" spans="1:24" x14ac:dyDescent="0.25">
      <c r="A29" s="1">
        <v>200</v>
      </c>
      <c r="B29" s="1">
        <v>2815.2</v>
      </c>
      <c r="C29" s="6">
        <v>-6.25E-2</v>
      </c>
      <c r="D29" s="6">
        <v>-0.125</v>
      </c>
      <c r="E29" s="6">
        <v>-6.25E-2</v>
      </c>
      <c r="F29" s="7">
        <v>0</v>
      </c>
      <c r="G29" s="6">
        <v>0.25</v>
      </c>
      <c r="H29" s="6">
        <v>0.55000000000000004</v>
      </c>
      <c r="I29" s="14">
        <v>0.875</v>
      </c>
      <c r="J29" s="9" cm="1">
        <f t="array" ref="J29">TrajectoryDropInCM(C29,$A29,J$18)</f>
        <v>-5.9375001744333975</v>
      </c>
      <c r="K29" s="9" cm="1">
        <f t="array" ref="K29">TrajectoryDropInCM(D29,$A29,K$18)</f>
        <v>-10.625000999552523</v>
      </c>
      <c r="L29" s="9" cm="1">
        <f t="array" ref="L29">TrajectoryDropInCM(E29,$A29,L$18)</f>
        <v>-5.3125001249440551</v>
      </c>
      <c r="M29" s="9" cm="1">
        <f t="array" ref="M29">TrajectoryDropInCM(F29,$A29,M$18)</f>
        <v>0</v>
      </c>
      <c r="N29" s="9" cm="1">
        <f t="array" ref="N29">TrajectoryDropInCM(G29,$A29,N$18)</f>
        <v>20.500007179273844</v>
      </c>
      <c r="O29" s="9" cm="1">
        <f t="array" ref="O29">TrajectoryDropInCM(H29,$A29,O$18)</f>
        <v>44.000070986804104</v>
      </c>
      <c r="P29" s="40" cm="1">
        <f t="array" ref="P29">TrajectoryDropInCM(I29,$A29,P$18)</f>
        <v>74.375342848372753</v>
      </c>
      <c r="Q29" s="39" cm="1">
        <f t="array" ref="Q29">TrajectoryErrorCM($E$19,1,$A29)</f>
        <v>3.0048909647255404</v>
      </c>
    </row>
    <row r="30" spans="1:24" x14ac:dyDescent="0.25">
      <c r="A30" s="1">
        <v>250</v>
      </c>
      <c r="B30" s="1">
        <v>2489.9</v>
      </c>
      <c r="C30" s="6">
        <v>-0.16700000000000001</v>
      </c>
      <c r="D30" s="6">
        <v>-0.25</v>
      </c>
      <c r="E30" s="6">
        <v>-0.16700000000000001</v>
      </c>
      <c r="F30" s="6">
        <v>-0.1</v>
      </c>
      <c r="G30" s="6">
        <v>0.125</v>
      </c>
      <c r="H30" s="6">
        <v>0.45</v>
      </c>
      <c r="I30" s="14">
        <v>0.75</v>
      </c>
      <c r="J30" s="9" cm="1">
        <f t="array" ref="J30">TrajectoryDropInCM(C30,$A30,J$18)</f>
        <v>-19.8312541595764</v>
      </c>
      <c r="K30" s="9" cm="1">
        <f t="array" ref="K30">TrajectoryDropInCM(D30,$A30,K$18)</f>
        <v>-26.562509995528604</v>
      </c>
      <c r="L30" s="9" cm="1">
        <f t="array" ref="L30">TrajectoryDropInCM(E30,$A30,L$18)</f>
        <v>-17.74375297944275</v>
      </c>
      <c r="M30" s="9" cm="1">
        <f t="array" ref="M30">TrajectoryDropInCM(F30,$A30,M$18)</f>
        <v>-11.5000008111334</v>
      </c>
      <c r="N30" s="9" cm="1">
        <f t="array" ref="N30">TrajectoryDropInCM(G30,$A30,N$18)</f>
        <v>12.812501121761183</v>
      </c>
      <c r="O30" s="9" cm="1">
        <f t="array" ref="O30">TrajectoryDropInCM(H30,$A30,O$18)</f>
        <v>45.000048600062982</v>
      </c>
      <c r="P30" s="40" cm="1">
        <f t="array" ref="P30">TrajectoryDropInCM(I30,$A30,P$18)</f>
        <v>79.687769880247188</v>
      </c>
      <c r="Q30" s="39" cm="1">
        <f t="array" ref="Q30">TrajectoryErrorCM($E$19,1,$A30)</f>
        <v>3.7561137059069258</v>
      </c>
    </row>
    <row r="31" spans="1:24" x14ac:dyDescent="0.25">
      <c r="A31" s="1">
        <v>300</v>
      </c>
      <c r="B31" s="1">
        <v>2194.1</v>
      </c>
      <c r="C31" s="6">
        <v>-0.26</v>
      </c>
      <c r="D31" s="6">
        <v>-0.35</v>
      </c>
      <c r="E31" s="6">
        <v>-0.3125</v>
      </c>
      <c r="F31" s="6">
        <v>-0.1875</v>
      </c>
      <c r="G31" s="7">
        <v>0</v>
      </c>
      <c r="H31" s="17">
        <v>0.3125</v>
      </c>
      <c r="I31" s="18">
        <v>0.61699999999999999</v>
      </c>
      <c r="J31" s="9" cm="1">
        <f t="array" ref="J31">TrajectoryDropInCM(C31,$A31,J$18)</f>
        <v>-37.050018836540247</v>
      </c>
      <c r="K31" s="9" cm="1">
        <f t="array" ref="K31">TrajectoryDropInCM(D31,$A31,K$18)</f>
        <v>-44.625032913290845</v>
      </c>
      <c r="L31" s="9" cm="1">
        <f t="array" ref="L31">TrajectoryDropInCM(E31,$A31,L$18)</f>
        <v>-39.843773427026107</v>
      </c>
      <c r="M31" s="9" cm="1">
        <f t="array" ref="M31">TrajectoryDropInCM(F31,$A31,M$18)</f>
        <v>-25.875006416193319</v>
      </c>
      <c r="N31" s="9" cm="1">
        <f t="array" ref="N31">TrajectoryDropInCM(G31,$A31,N$18)</f>
        <v>0</v>
      </c>
      <c r="O31" s="9" cm="1">
        <f t="array" ref="O31">TrajectoryDropInCM(H31,$A31,O$18)</f>
        <v>37.500019531262211</v>
      </c>
      <c r="P31" s="40" cm="1">
        <f t="array" ref="P31">TrajectoryDropInCM(I31,$A31,P$18)</f>
        <v>78.667680311520954</v>
      </c>
      <c r="Q31" s="39" cm="1">
        <f t="array" ref="Q31">TrajectoryErrorCM($E$19,1,$A31)</f>
        <v>4.5073364470883108</v>
      </c>
    </row>
    <row r="32" spans="1:24" x14ac:dyDescent="0.25">
      <c r="A32" s="1">
        <v>350</v>
      </c>
      <c r="B32" s="1">
        <v>1927.6</v>
      </c>
      <c r="C32" s="6">
        <v>-0.41699999999999998</v>
      </c>
      <c r="D32" s="6">
        <v>-0.5</v>
      </c>
      <c r="E32" s="6">
        <v>-0.38750000000000001</v>
      </c>
      <c r="F32" s="6">
        <v>-0.35</v>
      </c>
      <c r="G32" s="6">
        <v>-0.125</v>
      </c>
      <c r="H32" s="6">
        <v>0.16700000000000001</v>
      </c>
      <c r="I32" s="14">
        <v>0.5</v>
      </c>
      <c r="J32" s="9" cm="1">
        <f t="array" ref="J32">TrajectoryDropInCM(C32,$A32,J$18)</f>
        <v>-69.326340664331781</v>
      </c>
      <c r="K32" s="9" cm="1">
        <f t="array" ref="K32">TrajectoryDropInCM(D32,$A32,K$18)</f>
        <v>-74.375111950072011</v>
      </c>
      <c r="L32" s="9" cm="1">
        <f t="array" ref="L32">TrajectoryDropInCM(E32,$A32,L$18)</f>
        <v>-57.640677110971708</v>
      </c>
      <c r="M32" s="9" cm="1">
        <f t="array" ref="M32">TrajectoryDropInCM(F32,$A32,M$18)</f>
        <v>-56.350048688328805</v>
      </c>
      <c r="N32" s="9" cm="1">
        <f t="array" ref="N32">TrajectoryDropInCM(G32,$A32,N$18)</f>
        <v>-17.93750157046566</v>
      </c>
      <c r="O32" s="9" cm="1">
        <f t="array" ref="O32">TrajectoryDropInCM(H32,$A32,O$18)</f>
        <v>23.380003477572998</v>
      </c>
      <c r="P32" s="40" cm="1">
        <f t="array" ref="P32">TrajectoryDropInCM(I32,$A32,P$18)</f>
        <v>74.375111950072011</v>
      </c>
      <c r="Q32" s="39" cm="1">
        <f t="array" ref="Q32">TrajectoryErrorCM($E$19,1,$A32)</f>
        <v>5.2585591882696958</v>
      </c>
    </row>
    <row r="33" spans="1:17" x14ac:dyDescent="0.25">
      <c r="A33" s="1">
        <v>400</v>
      </c>
      <c r="B33" s="1">
        <v>1688.7</v>
      </c>
      <c r="C33" s="6">
        <v>-0.55000000000000004</v>
      </c>
      <c r="D33" s="6">
        <v>-0.625</v>
      </c>
      <c r="E33" s="6">
        <v>-0.58299999999999996</v>
      </c>
      <c r="F33" s="6">
        <v>-0.5</v>
      </c>
      <c r="G33" s="6">
        <v>-0.3125</v>
      </c>
      <c r="H33" s="7">
        <v>0</v>
      </c>
      <c r="I33" s="14">
        <v>0.35</v>
      </c>
      <c r="J33" s="9" cm="1">
        <f t="array" ref="J33">TrajectoryDropInCM(C33,$A33,J$18)</f>
        <v>-104.50023774359177</v>
      </c>
      <c r="K33" s="9" cm="1">
        <f t="array" ref="K33">TrajectoryDropInCM(D33,$A33,K$18)</f>
        <v>-106.25024988880747</v>
      </c>
      <c r="L33" s="9" cm="1">
        <f t="array" ref="L33">TrajectoryDropInCM(E33,$A33,L$18)</f>
        <v>-99.110202820690802</v>
      </c>
      <c r="M33" s="9" cm="1">
        <f t="array" ref="M33">TrajectoryDropInCM(F33,$A33,M$18)</f>
        <v>-92.000162227009923</v>
      </c>
      <c r="N33" s="9" cm="1">
        <f t="array" ref="N33">TrajectoryDropInCM(G33,$A33,N$18)</f>
        <v>-51.250028044045102</v>
      </c>
      <c r="O33" s="9" cm="1">
        <f t="array" ref="O33">TrajectoryDropInCM(H33,$A33,O$18)</f>
        <v>0</v>
      </c>
      <c r="P33" s="40" cm="1">
        <f t="array" ref="P33">TrajectoryDropInCM(I33,$A33,P$18)</f>
        <v>59.5000438843878</v>
      </c>
      <c r="Q33" s="39" cm="1">
        <f t="array" ref="Q33">TrajectoryErrorCM($E$19,1,$A33)</f>
        <v>6.0097819294510808</v>
      </c>
    </row>
    <row r="34" spans="1:17" x14ac:dyDescent="0.25">
      <c r="A34" s="1">
        <v>450</v>
      </c>
      <c r="B34" s="1">
        <v>1480.7</v>
      </c>
      <c r="C34" s="6">
        <v>-0.75</v>
      </c>
      <c r="D34" s="6">
        <v>-0.8125</v>
      </c>
      <c r="E34" s="6">
        <v>-0.75</v>
      </c>
      <c r="F34" s="6">
        <v>-0.61699999999999999</v>
      </c>
      <c r="G34" s="6">
        <v>-0.45</v>
      </c>
      <c r="H34" s="6">
        <v>-0.16700000000000001</v>
      </c>
      <c r="I34" s="14">
        <v>0.16700000000000001</v>
      </c>
      <c r="J34" s="9" cm="1">
        <f t="array" ref="J34">TrajectoryDropInCM(C34,$A34,J$18)</f>
        <v>-160.31317820046442</v>
      </c>
      <c r="K34" s="9" cm="1">
        <f t="array" ref="K34">TrajectoryDropInCM(D34,$A34,K$18)</f>
        <v>-155.39124263262653</v>
      </c>
      <c r="L34" s="9" cm="1">
        <f t="array" ref="L34">TrajectoryDropInCM(E34,$A34,L$18)</f>
        <v>-143.43798578444495</v>
      </c>
      <c r="M34" s="9" cm="1">
        <f t="array" ref="M34">TrajectoryDropInCM(F34,$A34,M$18)</f>
        <v>-127.71934294276539</v>
      </c>
      <c r="N34" s="9" cm="1">
        <f t="array" ref="N34">TrajectoryDropInCM(G34,$A34,N$18)</f>
        <v>-83.025094206520151</v>
      </c>
      <c r="O34" s="9" cm="1">
        <f t="array" ref="O34">TrajectoryDropInCM(H34,$A34,O$18)</f>
        <v>-30.060004471165279</v>
      </c>
      <c r="P34" s="40" cm="1">
        <f t="array" ref="P34">TrajectoryDropInCM(I34,$A34,P$18)</f>
        <v>31.93875536299695</v>
      </c>
      <c r="Q34" s="39" cm="1">
        <f t="array" ref="Q34">TrajectoryErrorCM($E$19,1,$A34)</f>
        <v>6.7610046706324667</v>
      </c>
    </row>
    <row r="35" spans="1:17" x14ac:dyDescent="0.25">
      <c r="A35" s="1">
        <v>500</v>
      </c>
      <c r="B35" s="1">
        <v>1300.8</v>
      </c>
      <c r="C35" s="6">
        <v>-0.83299999999999996</v>
      </c>
      <c r="D35" s="6">
        <v>-1</v>
      </c>
      <c r="E35" s="6">
        <v>-0.95</v>
      </c>
      <c r="F35" s="6">
        <v>-0.76</v>
      </c>
      <c r="G35" s="6">
        <v>-0.625</v>
      </c>
      <c r="H35" s="6">
        <v>-0.35</v>
      </c>
      <c r="I35" s="15">
        <v>0</v>
      </c>
      <c r="J35" s="9" cm="1">
        <f t="array" ref="J35">TrajectoryDropInCM(C35,$A35,J$18)</f>
        <v>-197.83853244589636</v>
      </c>
      <c r="K35" s="9" cm="1">
        <f t="array" ref="K35">TrajectoryDropInCM(D35,$A35,K$18)</f>
        <v>-212.50127943632725</v>
      </c>
      <c r="L35" s="9" cm="1">
        <f t="array" ref="L35">TrajectoryDropInCM(E35,$A35,L$18)</f>
        <v>-201.87609695594833</v>
      </c>
      <c r="M35" s="9" cm="1">
        <f t="array" ref="M35">TrajectoryDropInCM(F35,$A35,M$18)</f>
        <v>-174.80071213961378</v>
      </c>
      <c r="N35" s="9" cm="1">
        <f t="array" ref="N35">TrajectoryDropInCM(G35,$A35,N$18)</f>
        <v>-128.12528044100353</v>
      </c>
      <c r="O35" s="9" cm="1">
        <f t="array" ref="O35">TrajectoryDropInCM(H35,$A35,O$18)</f>
        <v>-70.000045733369205</v>
      </c>
      <c r="P35" s="40" cm="1">
        <f t="array" ref="P35">TrajectoryDropInCM(I35,$A35,P$18)</f>
        <v>0</v>
      </c>
      <c r="Q35" s="39" cm="1">
        <f t="array" ref="Q35">TrajectoryErrorCM($E$19,1,$A35)</f>
        <v>7.5122274118138517</v>
      </c>
    </row>
    <row r="77" spans="1:19" x14ac:dyDescent="0.25">
      <c r="A77" t="s">
        <v>27</v>
      </c>
    </row>
    <row r="78" spans="1:19" x14ac:dyDescent="0.25">
      <c r="A78" t="s">
        <v>87</v>
      </c>
      <c r="K78" t="s">
        <v>74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39</v>
      </c>
      <c r="H79" t="s">
        <v>40</v>
      </c>
      <c r="I79" t="s">
        <v>41</v>
      </c>
      <c r="K79" t="s">
        <v>12</v>
      </c>
      <c r="L79" t="s">
        <v>13</v>
      </c>
      <c r="M79" t="s">
        <v>14</v>
      </c>
      <c r="N79" t="s">
        <v>15</v>
      </c>
      <c r="O79" t="s">
        <v>16</v>
      </c>
      <c r="P79" t="s">
        <v>17</v>
      </c>
      <c r="Q79" t="s">
        <v>39</v>
      </c>
      <c r="R79" t="s">
        <v>40</v>
      </c>
      <c r="S79" t="s">
        <v>41</v>
      </c>
    </row>
    <row r="80" spans="1:19" x14ac:dyDescent="0.25">
      <c r="A80" s="1">
        <v>0</v>
      </c>
      <c r="B80" s="1">
        <v>869</v>
      </c>
      <c r="C80" s="1">
        <v>4402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>
        <v>0</v>
      </c>
      <c r="L80" s="1">
        <v>869</v>
      </c>
      <c r="M80" s="1">
        <v>4402</v>
      </c>
      <c r="N80" s="1">
        <v>-3.8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1:19" x14ac:dyDescent="0.25">
      <c r="A81" s="1">
        <v>25</v>
      </c>
      <c r="B81" s="1">
        <v>845</v>
      </c>
      <c r="C81" s="1">
        <v>4165</v>
      </c>
      <c r="D81" s="1">
        <v>-1.5</v>
      </c>
      <c r="E81" s="1">
        <v>2.1</v>
      </c>
      <c r="F81" s="1">
        <v>0.6</v>
      </c>
      <c r="G81" s="1">
        <v>0</v>
      </c>
      <c r="H81" s="1">
        <v>0</v>
      </c>
      <c r="I81" s="1">
        <v>0</v>
      </c>
      <c r="J81" s="1"/>
      <c r="K81" s="1">
        <v>25</v>
      </c>
      <c r="L81" s="1">
        <v>857</v>
      </c>
      <c r="M81" s="1">
        <v>4283</v>
      </c>
      <c r="N81" s="1">
        <v>-1.5</v>
      </c>
      <c r="O81" s="1">
        <v>2.1</v>
      </c>
      <c r="P81" s="1">
        <v>0.6</v>
      </c>
      <c r="Q81" s="1">
        <v>0</v>
      </c>
      <c r="R81" s="1">
        <v>0</v>
      </c>
      <c r="S81" s="1">
        <v>0</v>
      </c>
    </row>
    <row r="82" spans="1:19" x14ac:dyDescent="0.25">
      <c r="A82" s="10">
        <v>50</v>
      </c>
      <c r="B82" s="10">
        <v>822</v>
      </c>
      <c r="C82" s="10">
        <v>3940</v>
      </c>
      <c r="D82" s="10">
        <v>0</v>
      </c>
      <c r="E82" s="10">
        <v>0</v>
      </c>
      <c r="F82" s="10">
        <v>0</v>
      </c>
      <c r="G82" s="1">
        <v>-1</v>
      </c>
      <c r="H82" s="10">
        <v>-1</v>
      </c>
      <c r="I82" s="10">
        <v>0</v>
      </c>
      <c r="J82" s="10"/>
      <c r="K82" s="10">
        <v>50</v>
      </c>
      <c r="L82" s="10">
        <v>845</v>
      </c>
      <c r="M82" s="10">
        <v>4168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1:19" x14ac:dyDescent="0.25">
      <c r="A83" s="1">
        <v>75</v>
      </c>
      <c r="B83" s="1">
        <v>799</v>
      </c>
      <c r="C83" s="1">
        <v>3725</v>
      </c>
      <c r="D83" s="1">
        <v>0.5</v>
      </c>
      <c r="E83" s="1">
        <v>-0.2</v>
      </c>
      <c r="F83" s="1">
        <v>-0.1</v>
      </c>
      <c r="G83" s="1">
        <v>-2</v>
      </c>
      <c r="H83" s="1">
        <v>-1</v>
      </c>
      <c r="I83" s="1">
        <v>0</v>
      </c>
      <c r="J83" s="1"/>
      <c r="K83" s="1">
        <v>75</v>
      </c>
      <c r="L83" s="1">
        <v>834</v>
      </c>
      <c r="M83" s="1">
        <v>4055</v>
      </c>
      <c r="N83" s="1">
        <v>0.6</v>
      </c>
      <c r="O83" s="1">
        <v>-0.3</v>
      </c>
      <c r="P83" s="1">
        <v>-0.1</v>
      </c>
      <c r="Q83" s="1">
        <v>0</v>
      </c>
      <c r="R83" s="1">
        <v>0</v>
      </c>
      <c r="S83" s="1">
        <v>0</v>
      </c>
    </row>
    <row r="84" spans="1:19" x14ac:dyDescent="0.25">
      <c r="A84" s="1">
        <v>100</v>
      </c>
      <c r="B84" s="1">
        <v>777</v>
      </c>
      <c r="C84" s="1">
        <v>3519</v>
      </c>
      <c r="D84" s="1">
        <v>0.1</v>
      </c>
      <c r="E84" s="1">
        <v>0</v>
      </c>
      <c r="F84" s="1">
        <v>0</v>
      </c>
      <c r="G84" s="1">
        <v>-4</v>
      </c>
      <c r="H84" s="1">
        <v>-2</v>
      </c>
      <c r="I84" s="1">
        <v>0</v>
      </c>
      <c r="J84" s="1"/>
      <c r="K84" s="1">
        <v>100</v>
      </c>
      <c r="L84" s="1">
        <v>822</v>
      </c>
      <c r="M84" s="1">
        <v>3944</v>
      </c>
      <c r="N84" s="1">
        <v>0.3</v>
      </c>
      <c r="O84" s="1">
        <v>-0.1</v>
      </c>
      <c r="P84" s="1">
        <v>0</v>
      </c>
      <c r="Q84" s="1">
        <v>0</v>
      </c>
      <c r="R84" s="1">
        <v>0</v>
      </c>
      <c r="S84" s="1">
        <v>0</v>
      </c>
    </row>
    <row r="85" spans="1:19" x14ac:dyDescent="0.25">
      <c r="A85" s="1">
        <v>125</v>
      </c>
      <c r="B85" s="1">
        <v>755</v>
      </c>
      <c r="C85" s="1">
        <v>3322</v>
      </c>
      <c r="D85" s="1">
        <v>-1.4</v>
      </c>
      <c r="E85" s="1">
        <v>0.4</v>
      </c>
      <c r="F85" s="1">
        <v>0.1</v>
      </c>
      <c r="G85" s="1">
        <v>-6</v>
      </c>
      <c r="H85" s="1">
        <v>-2</v>
      </c>
      <c r="I85" s="1">
        <v>-1</v>
      </c>
      <c r="J85" s="1"/>
      <c r="K85" s="1">
        <v>125</v>
      </c>
      <c r="L85" s="1">
        <v>811</v>
      </c>
      <c r="M85" s="1">
        <v>3836</v>
      </c>
      <c r="N85" s="1">
        <v>-0.9</v>
      </c>
      <c r="O85" s="1">
        <v>0.2</v>
      </c>
      <c r="P85" s="1">
        <v>0.1</v>
      </c>
      <c r="Q85" s="1">
        <v>0</v>
      </c>
      <c r="R85" s="1">
        <v>0</v>
      </c>
      <c r="S85" s="1">
        <v>0</v>
      </c>
    </row>
    <row r="86" spans="1:19" x14ac:dyDescent="0.25">
      <c r="A86" s="1">
        <v>150</v>
      </c>
      <c r="B86" s="1">
        <v>733</v>
      </c>
      <c r="C86" s="1">
        <v>3134</v>
      </c>
      <c r="D86" s="1">
        <v>-3.9</v>
      </c>
      <c r="E86" s="1">
        <v>0.9</v>
      </c>
      <c r="F86" s="1">
        <v>0.3</v>
      </c>
      <c r="G86" s="1">
        <v>-9</v>
      </c>
      <c r="H86" s="1">
        <v>-2</v>
      </c>
      <c r="I86" s="1">
        <v>-1</v>
      </c>
      <c r="J86" s="1"/>
      <c r="K86" s="1">
        <v>150</v>
      </c>
      <c r="L86" s="1">
        <v>800</v>
      </c>
      <c r="M86" s="1">
        <v>3730</v>
      </c>
      <c r="N86" s="1">
        <v>-3</v>
      </c>
      <c r="O86" s="1">
        <v>0.7</v>
      </c>
      <c r="P86" s="1">
        <v>0.2</v>
      </c>
      <c r="Q86" s="1">
        <v>0</v>
      </c>
      <c r="R86" s="1">
        <v>0</v>
      </c>
      <c r="S86" s="1">
        <v>0</v>
      </c>
    </row>
    <row r="87" spans="1:19" x14ac:dyDescent="0.25">
      <c r="A87" s="1">
        <v>175</v>
      </c>
      <c r="B87" s="1">
        <v>712</v>
      </c>
      <c r="C87" s="1">
        <v>2955</v>
      </c>
      <c r="D87" s="1">
        <v>-7.6</v>
      </c>
      <c r="E87" s="1">
        <v>1.5</v>
      </c>
      <c r="F87" s="1">
        <v>0.4</v>
      </c>
      <c r="G87" s="1">
        <v>-13</v>
      </c>
      <c r="H87" s="1">
        <v>-3</v>
      </c>
      <c r="I87" s="1">
        <v>-1</v>
      </c>
      <c r="J87" s="1"/>
      <c r="K87" s="1">
        <v>175</v>
      </c>
      <c r="L87" s="1">
        <v>788</v>
      </c>
      <c r="M87" s="1">
        <v>3626</v>
      </c>
      <c r="N87" s="1">
        <v>-6.1</v>
      </c>
      <c r="O87" s="1">
        <v>1.2</v>
      </c>
      <c r="P87" s="1">
        <v>0.3</v>
      </c>
      <c r="Q87" s="1">
        <v>0</v>
      </c>
      <c r="R87" s="1">
        <v>0</v>
      </c>
      <c r="S87" s="1">
        <v>0</v>
      </c>
    </row>
    <row r="88" spans="1:19" x14ac:dyDescent="0.25">
      <c r="A88" s="1">
        <v>200</v>
      </c>
      <c r="B88" s="1">
        <v>691</v>
      </c>
      <c r="C88" s="1">
        <v>2783</v>
      </c>
      <c r="D88" s="1">
        <v>-12.8</v>
      </c>
      <c r="E88" s="1">
        <v>2.2000000000000002</v>
      </c>
      <c r="F88" s="1">
        <v>0.6</v>
      </c>
      <c r="G88" s="1">
        <v>-17</v>
      </c>
      <c r="H88" s="1">
        <v>-3</v>
      </c>
      <c r="I88" s="1">
        <v>-1</v>
      </c>
      <c r="J88" s="1"/>
      <c r="K88" s="1">
        <v>200</v>
      </c>
      <c r="L88" s="1">
        <v>777</v>
      </c>
      <c r="M88" s="1">
        <v>3525</v>
      </c>
      <c r="N88" s="1">
        <v>-10.3</v>
      </c>
      <c r="O88" s="1">
        <v>1.8</v>
      </c>
      <c r="P88" s="1">
        <v>0.5</v>
      </c>
      <c r="Q88" s="1">
        <v>0</v>
      </c>
      <c r="R88" s="1">
        <v>0</v>
      </c>
      <c r="S88" s="1">
        <v>0</v>
      </c>
    </row>
    <row r="89" spans="1:19" x14ac:dyDescent="0.25">
      <c r="A89" s="1">
        <v>225</v>
      </c>
      <c r="B89" s="1">
        <v>670</v>
      </c>
      <c r="C89" s="1">
        <v>2619</v>
      </c>
      <c r="D89" s="1">
        <v>-19.100000000000001</v>
      </c>
      <c r="E89" s="1">
        <v>2.9</v>
      </c>
      <c r="F89" s="1">
        <v>0.8</v>
      </c>
      <c r="G89" s="1">
        <v>-22</v>
      </c>
      <c r="H89" s="1">
        <v>-4</v>
      </c>
      <c r="I89" s="1">
        <v>-1</v>
      </c>
      <c r="J89" s="1"/>
      <c r="K89" s="1">
        <v>225</v>
      </c>
      <c r="L89" s="1">
        <v>766</v>
      </c>
      <c r="M89" s="1">
        <v>3425</v>
      </c>
      <c r="N89" s="1">
        <v>-15.4</v>
      </c>
      <c r="O89" s="1">
        <v>2.4</v>
      </c>
      <c r="P89" s="1">
        <v>0.7</v>
      </c>
      <c r="Q89" s="1">
        <v>0</v>
      </c>
      <c r="R89" s="1">
        <v>0</v>
      </c>
      <c r="S89" s="1">
        <v>0</v>
      </c>
    </row>
    <row r="90" spans="1:19" x14ac:dyDescent="0.25">
      <c r="A90" s="1">
        <v>250</v>
      </c>
      <c r="B90" s="1">
        <v>650</v>
      </c>
      <c r="C90" s="1">
        <v>2463</v>
      </c>
      <c r="D90" s="1">
        <v>-26.8</v>
      </c>
      <c r="E90" s="1">
        <v>3.7</v>
      </c>
      <c r="F90" s="1">
        <v>1.1000000000000001</v>
      </c>
      <c r="G90" s="1">
        <v>-27</v>
      </c>
      <c r="H90" s="1">
        <v>-4</v>
      </c>
      <c r="I90" s="1">
        <v>-1</v>
      </c>
      <c r="J90" s="1"/>
      <c r="K90" s="1">
        <v>250</v>
      </c>
      <c r="L90" s="1">
        <v>755</v>
      </c>
      <c r="M90" s="1">
        <v>3328</v>
      </c>
      <c r="N90" s="1">
        <v>-21.5</v>
      </c>
      <c r="O90" s="1">
        <v>3</v>
      </c>
      <c r="P90" s="1">
        <v>0.9</v>
      </c>
      <c r="Q90" s="1">
        <v>0</v>
      </c>
      <c r="R90" s="1">
        <v>0</v>
      </c>
      <c r="S90" s="1">
        <v>0</v>
      </c>
    </row>
    <row r="91" spans="1:19" x14ac:dyDescent="0.25">
      <c r="A91" s="1">
        <v>275</v>
      </c>
      <c r="B91" s="1">
        <v>630</v>
      </c>
      <c r="C91" s="1">
        <v>2314</v>
      </c>
      <c r="D91" s="1">
        <v>-36.299999999999997</v>
      </c>
      <c r="E91" s="1">
        <v>4.5</v>
      </c>
      <c r="F91" s="1">
        <v>1.3</v>
      </c>
      <c r="G91" s="1">
        <v>-33</v>
      </c>
      <c r="H91" s="1">
        <v>-4</v>
      </c>
      <c r="I91" s="1">
        <v>-1</v>
      </c>
      <c r="J91" s="1"/>
      <c r="K91" s="1">
        <v>275</v>
      </c>
      <c r="L91" s="1">
        <v>745</v>
      </c>
      <c r="M91" s="1">
        <v>3233</v>
      </c>
      <c r="N91" s="1">
        <v>-29</v>
      </c>
      <c r="O91" s="1">
        <v>3.6</v>
      </c>
      <c r="P91" s="1">
        <v>1.1000000000000001</v>
      </c>
      <c r="Q91" s="1">
        <v>0</v>
      </c>
      <c r="R91" s="1">
        <v>0</v>
      </c>
      <c r="S91" s="1">
        <v>0</v>
      </c>
    </row>
    <row r="92" spans="1:19" x14ac:dyDescent="0.25">
      <c r="A92" s="1">
        <v>300</v>
      </c>
      <c r="B92" s="1">
        <v>610</v>
      </c>
      <c r="C92" s="1">
        <v>2173</v>
      </c>
      <c r="D92" s="1">
        <v>-47.2</v>
      </c>
      <c r="E92" s="1">
        <v>5.4</v>
      </c>
      <c r="F92" s="1">
        <v>1.6</v>
      </c>
      <c r="G92" s="1">
        <v>-40</v>
      </c>
      <c r="H92" s="1">
        <v>-5</v>
      </c>
      <c r="I92" s="1">
        <v>-2</v>
      </c>
      <c r="J92" s="1"/>
      <c r="K92" s="1">
        <v>300</v>
      </c>
      <c r="L92" s="1">
        <v>734</v>
      </c>
      <c r="M92" s="1">
        <v>3140</v>
      </c>
      <c r="N92" s="1">
        <v>-37.4</v>
      </c>
      <c r="O92" s="1">
        <v>4.3</v>
      </c>
      <c r="P92" s="1">
        <v>1.2</v>
      </c>
      <c r="Q92" s="1">
        <v>0</v>
      </c>
      <c r="R92" s="1">
        <v>0</v>
      </c>
      <c r="S92" s="1">
        <v>0</v>
      </c>
    </row>
    <row r="93" spans="1:19" x14ac:dyDescent="0.25">
      <c r="A93" s="1">
        <v>325</v>
      </c>
      <c r="B93" s="1">
        <v>591</v>
      </c>
      <c r="C93" s="1">
        <v>2038</v>
      </c>
      <c r="D93" s="1">
        <v>-59.8</v>
      </c>
      <c r="E93" s="1">
        <v>6.3</v>
      </c>
      <c r="F93" s="1">
        <v>1.8</v>
      </c>
      <c r="G93" s="1">
        <v>-48</v>
      </c>
      <c r="H93" s="1">
        <v>-6</v>
      </c>
      <c r="I93" s="1">
        <v>-2</v>
      </c>
      <c r="J93" s="1"/>
      <c r="K93" s="1">
        <v>325</v>
      </c>
      <c r="L93" s="1">
        <v>723</v>
      </c>
      <c r="M93" s="1">
        <v>3049</v>
      </c>
      <c r="N93" s="1">
        <v>-46.9</v>
      </c>
      <c r="O93" s="1">
        <v>5</v>
      </c>
      <c r="P93" s="1">
        <v>1.4</v>
      </c>
      <c r="Q93" s="1">
        <v>0</v>
      </c>
      <c r="R93" s="1">
        <v>0</v>
      </c>
      <c r="S93" s="1">
        <v>0</v>
      </c>
    </row>
    <row r="94" spans="1:19" x14ac:dyDescent="0.25">
      <c r="A94" s="1">
        <v>350</v>
      </c>
      <c r="B94" s="1">
        <v>572</v>
      </c>
      <c r="C94" s="1">
        <v>1910</v>
      </c>
      <c r="D94" s="1">
        <v>-74.8</v>
      </c>
      <c r="E94" s="1">
        <v>7.3</v>
      </c>
      <c r="F94" s="1">
        <v>2.1</v>
      </c>
      <c r="G94" s="1">
        <v>-56</v>
      </c>
      <c r="H94" s="1">
        <v>-6</v>
      </c>
      <c r="I94" s="1">
        <v>-2</v>
      </c>
      <c r="J94" s="1"/>
      <c r="K94" s="1">
        <v>350</v>
      </c>
      <c r="L94" s="1">
        <v>712</v>
      </c>
      <c r="M94" s="1">
        <v>2960</v>
      </c>
      <c r="N94" s="1">
        <v>-58</v>
      </c>
      <c r="O94" s="1">
        <v>5.7</v>
      </c>
      <c r="P94" s="1">
        <v>1.7</v>
      </c>
      <c r="Q94" s="1">
        <v>0</v>
      </c>
      <c r="R94" s="1">
        <v>0</v>
      </c>
      <c r="S94" s="1">
        <v>0</v>
      </c>
    </row>
    <row r="95" spans="1:19" x14ac:dyDescent="0.25">
      <c r="A95" s="1">
        <v>375</v>
      </c>
      <c r="B95" s="1">
        <v>554</v>
      </c>
      <c r="C95" s="1">
        <v>1789</v>
      </c>
      <c r="D95" s="1">
        <v>-91.3</v>
      </c>
      <c r="E95" s="1">
        <v>8.4</v>
      </c>
      <c r="F95" s="1">
        <v>2.4</v>
      </c>
      <c r="G95" s="1">
        <v>-65</v>
      </c>
      <c r="H95" s="1">
        <v>-6</v>
      </c>
      <c r="I95" s="1">
        <v>-2</v>
      </c>
      <c r="J95" s="1"/>
      <c r="K95" s="1">
        <v>375</v>
      </c>
      <c r="L95" s="1">
        <v>702</v>
      </c>
      <c r="M95" s="1">
        <v>2874</v>
      </c>
      <c r="N95" s="1">
        <v>-70</v>
      </c>
      <c r="O95" s="1">
        <v>6.4</v>
      </c>
      <c r="P95" s="1">
        <v>1.9</v>
      </c>
      <c r="Q95" s="1">
        <v>0</v>
      </c>
      <c r="R95" s="1">
        <v>0</v>
      </c>
      <c r="S95" s="1">
        <v>0</v>
      </c>
    </row>
    <row r="96" spans="1:19" x14ac:dyDescent="0.25">
      <c r="A96" s="1">
        <v>400</v>
      </c>
      <c r="B96" s="1">
        <v>536</v>
      </c>
      <c r="C96" s="1">
        <v>1675</v>
      </c>
      <c r="D96" s="1">
        <v>-109.9</v>
      </c>
      <c r="E96" s="1">
        <v>9.5</v>
      </c>
      <c r="F96" s="1">
        <v>2.7</v>
      </c>
      <c r="G96" s="1">
        <v>-76</v>
      </c>
      <c r="H96" s="1">
        <v>-7</v>
      </c>
      <c r="I96" s="1">
        <v>-2</v>
      </c>
      <c r="J96" s="1"/>
      <c r="K96" s="1">
        <v>400</v>
      </c>
      <c r="L96" s="1">
        <v>691</v>
      </c>
      <c r="M96" s="1">
        <v>2789</v>
      </c>
      <c r="N96" s="1">
        <v>-83.2</v>
      </c>
      <c r="O96" s="1">
        <v>7.2</v>
      </c>
      <c r="P96" s="1">
        <v>2.1</v>
      </c>
      <c r="Q96" s="1">
        <v>0</v>
      </c>
      <c r="R96" s="1">
        <v>0</v>
      </c>
      <c r="S96" s="1">
        <v>0</v>
      </c>
    </row>
    <row r="97" spans="1:19" x14ac:dyDescent="0.25">
      <c r="A97" s="1">
        <v>425</v>
      </c>
      <c r="B97" s="1">
        <v>518</v>
      </c>
      <c r="C97" s="1">
        <v>1567</v>
      </c>
      <c r="D97" s="1">
        <v>-131.69999999999999</v>
      </c>
      <c r="E97" s="1">
        <v>10.6</v>
      </c>
      <c r="F97" s="1">
        <v>3.1</v>
      </c>
      <c r="G97" s="1">
        <v>-87</v>
      </c>
      <c r="H97" s="1">
        <v>-8</v>
      </c>
      <c r="I97" s="1">
        <v>-2</v>
      </c>
      <c r="J97" s="1"/>
      <c r="K97" s="1">
        <v>425</v>
      </c>
      <c r="L97" s="1">
        <v>681</v>
      </c>
      <c r="M97" s="1">
        <v>2706</v>
      </c>
      <c r="N97" s="1">
        <v>-98.4</v>
      </c>
      <c r="O97" s="1">
        <v>8</v>
      </c>
      <c r="P97" s="1">
        <v>2.2999999999999998</v>
      </c>
      <c r="Q97" s="1">
        <v>0</v>
      </c>
      <c r="R97" s="1">
        <v>0</v>
      </c>
      <c r="S97" s="1">
        <v>0</v>
      </c>
    </row>
    <row r="98" spans="1:19" x14ac:dyDescent="0.25">
      <c r="A98" s="1">
        <v>450</v>
      </c>
      <c r="B98" s="1">
        <v>501</v>
      </c>
      <c r="C98" s="1">
        <v>1466</v>
      </c>
      <c r="D98" s="1">
        <v>-155.19999999999999</v>
      </c>
      <c r="E98" s="1">
        <v>11.9</v>
      </c>
      <c r="F98" s="1">
        <v>3.4</v>
      </c>
      <c r="G98" s="1">
        <v>-99</v>
      </c>
      <c r="H98" s="1">
        <v>-8</v>
      </c>
      <c r="I98" s="1">
        <v>-2</v>
      </c>
      <c r="J98" s="1"/>
      <c r="K98" s="1">
        <v>450</v>
      </c>
      <c r="L98" s="1">
        <v>671</v>
      </c>
      <c r="M98" s="1">
        <v>2625</v>
      </c>
      <c r="N98" s="1">
        <v>-114.3</v>
      </c>
      <c r="O98" s="1">
        <v>8.6999999999999993</v>
      </c>
      <c r="P98" s="1">
        <v>2.5</v>
      </c>
      <c r="Q98" s="1">
        <v>0</v>
      </c>
      <c r="R98" s="1">
        <v>0</v>
      </c>
      <c r="S98" s="1">
        <v>0</v>
      </c>
    </row>
    <row r="99" spans="1:19" x14ac:dyDescent="0.25">
      <c r="A99" s="1">
        <v>475</v>
      </c>
      <c r="B99" s="1">
        <v>485</v>
      </c>
      <c r="C99" s="1">
        <v>1370</v>
      </c>
      <c r="D99" s="1">
        <v>-181.3</v>
      </c>
      <c r="E99" s="1">
        <v>13.1</v>
      </c>
      <c r="F99" s="1">
        <v>3.8</v>
      </c>
      <c r="G99" s="1">
        <v>-112</v>
      </c>
      <c r="H99" s="1">
        <v>-9</v>
      </c>
      <c r="I99" s="1">
        <v>-3</v>
      </c>
      <c r="J99" s="1"/>
      <c r="K99" s="1">
        <v>475</v>
      </c>
      <c r="L99" s="1">
        <v>661</v>
      </c>
      <c r="M99" s="1">
        <v>2545</v>
      </c>
      <c r="N99" s="1">
        <v>-131.69999999999999</v>
      </c>
      <c r="O99" s="1">
        <v>9.5</v>
      </c>
      <c r="P99" s="1">
        <v>2.8</v>
      </c>
      <c r="Q99" s="1">
        <v>0</v>
      </c>
      <c r="R99" s="1">
        <v>0</v>
      </c>
      <c r="S99" s="1">
        <v>0</v>
      </c>
    </row>
    <row r="100" spans="1:19" x14ac:dyDescent="0.25">
      <c r="A100" s="1">
        <v>500</v>
      </c>
      <c r="B100" s="1">
        <v>469</v>
      </c>
      <c r="C100" s="1">
        <v>1284</v>
      </c>
      <c r="D100" s="1">
        <v>-210.4</v>
      </c>
      <c r="E100" s="1">
        <v>14.5</v>
      </c>
      <c r="F100" s="1">
        <v>4.2</v>
      </c>
      <c r="G100" s="1">
        <v>-125</v>
      </c>
      <c r="H100" s="1">
        <v>-9</v>
      </c>
      <c r="I100" s="1">
        <v>-3</v>
      </c>
      <c r="J100" s="1"/>
      <c r="K100" s="1">
        <v>500</v>
      </c>
      <c r="L100" s="1">
        <v>651</v>
      </c>
      <c r="M100" s="1">
        <v>2471</v>
      </c>
      <c r="N100" s="1">
        <v>-150.5</v>
      </c>
      <c r="O100" s="1">
        <v>10.4</v>
      </c>
      <c r="P100" s="1">
        <v>3</v>
      </c>
      <c r="Q100" s="1">
        <v>0</v>
      </c>
      <c r="R100" s="1">
        <v>0</v>
      </c>
      <c r="S100" s="1">
        <v>0</v>
      </c>
    </row>
    <row r="102" spans="1:19" x14ac:dyDescent="0.25">
      <c r="A102" t="s">
        <v>88</v>
      </c>
      <c r="K102" t="s">
        <v>75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39</v>
      </c>
      <c r="H103" t="s">
        <v>40</v>
      </c>
      <c r="I103" t="s">
        <v>41</v>
      </c>
      <c r="K103" t="s">
        <v>12</v>
      </c>
      <c r="L103" t="s">
        <v>13</v>
      </c>
      <c r="M103" t="s">
        <v>14</v>
      </c>
      <c r="N103" t="s">
        <v>15</v>
      </c>
      <c r="O103" t="s">
        <v>16</v>
      </c>
      <c r="P103" t="s">
        <v>17</v>
      </c>
      <c r="Q103" t="s">
        <v>39</v>
      </c>
      <c r="R103" t="s">
        <v>40</v>
      </c>
      <c r="S103" t="s">
        <v>41</v>
      </c>
    </row>
    <row r="104" spans="1:19" x14ac:dyDescent="0.25">
      <c r="A104" s="1">
        <v>0</v>
      </c>
      <c r="B104" s="1">
        <v>869</v>
      </c>
      <c r="C104" s="1">
        <v>4402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>
        <v>0</v>
      </c>
      <c r="L104" s="1">
        <v>869</v>
      </c>
      <c r="M104" s="1">
        <v>4402</v>
      </c>
      <c r="N104" s="1">
        <v>-3.8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</row>
    <row r="105" spans="1:19" x14ac:dyDescent="0.25">
      <c r="A105" s="1">
        <v>25</v>
      </c>
      <c r="B105" s="1">
        <v>845</v>
      </c>
      <c r="C105" s="1">
        <v>4165</v>
      </c>
      <c r="D105" s="1">
        <v>-1.5</v>
      </c>
      <c r="E105" s="1">
        <v>2.1</v>
      </c>
      <c r="F105" s="1">
        <v>0.6</v>
      </c>
      <c r="G105">
        <v>0</v>
      </c>
      <c r="H105">
        <v>0</v>
      </c>
      <c r="I105">
        <v>0</v>
      </c>
      <c r="K105" s="1">
        <v>25</v>
      </c>
      <c r="L105" s="1">
        <v>857</v>
      </c>
      <c r="M105" s="1">
        <v>4283</v>
      </c>
      <c r="N105" s="1">
        <v>-1.6</v>
      </c>
      <c r="O105" s="1">
        <v>2.2000000000000002</v>
      </c>
      <c r="P105" s="1">
        <v>0.6</v>
      </c>
      <c r="Q105" s="1">
        <v>0</v>
      </c>
      <c r="R105" s="1">
        <v>0</v>
      </c>
      <c r="S105" s="1">
        <v>0</v>
      </c>
    </row>
    <row r="106" spans="1:19" x14ac:dyDescent="0.25">
      <c r="A106" s="1">
        <v>50</v>
      </c>
      <c r="B106" s="1">
        <v>822</v>
      </c>
      <c r="C106" s="1">
        <v>3940</v>
      </c>
      <c r="D106" s="1">
        <v>-0.1</v>
      </c>
      <c r="E106" s="1">
        <v>0</v>
      </c>
      <c r="F106" s="1">
        <v>0</v>
      </c>
      <c r="G106">
        <v>-1</v>
      </c>
      <c r="H106">
        <v>-1</v>
      </c>
      <c r="I106">
        <v>0</v>
      </c>
      <c r="K106" s="1">
        <v>50</v>
      </c>
      <c r="L106" s="1">
        <v>845</v>
      </c>
      <c r="M106" s="1">
        <v>4168</v>
      </c>
      <c r="N106" s="1">
        <v>-0.2</v>
      </c>
      <c r="O106" s="1">
        <v>0.1</v>
      </c>
      <c r="P106" s="1">
        <v>0</v>
      </c>
      <c r="Q106" s="1">
        <v>0</v>
      </c>
      <c r="R106" s="1">
        <v>0</v>
      </c>
      <c r="S106" s="1">
        <v>0</v>
      </c>
    </row>
    <row r="107" spans="1:19" x14ac:dyDescent="0.25">
      <c r="A107" s="1">
        <v>75</v>
      </c>
      <c r="B107" s="1">
        <v>799</v>
      </c>
      <c r="C107" s="1">
        <v>3725</v>
      </c>
      <c r="D107" s="1">
        <v>0.5</v>
      </c>
      <c r="E107" s="1">
        <v>-0.2</v>
      </c>
      <c r="F107" s="1">
        <v>-0.1</v>
      </c>
      <c r="G107">
        <v>-2</v>
      </c>
      <c r="H107">
        <v>-1</v>
      </c>
      <c r="I107">
        <v>0</v>
      </c>
      <c r="K107" s="1">
        <v>75</v>
      </c>
      <c r="L107" s="1">
        <v>834</v>
      </c>
      <c r="M107" s="1">
        <v>4055</v>
      </c>
      <c r="N107" s="1">
        <v>0.3</v>
      </c>
      <c r="O107" s="1">
        <v>-0.2</v>
      </c>
      <c r="P107" s="1">
        <v>0</v>
      </c>
      <c r="Q107" s="1">
        <v>0</v>
      </c>
      <c r="R107" s="1">
        <v>0</v>
      </c>
      <c r="S107" s="1">
        <v>0</v>
      </c>
    </row>
    <row r="108" spans="1:19" x14ac:dyDescent="0.25">
      <c r="A108" s="10">
        <v>100</v>
      </c>
      <c r="B108" s="10">
        <v>777</v>
      </c>
      <c r="C108" s="10">
        <v>3519</v>
      </c>
      <c r="D108" s="10">
        <v>0</v>
      </c>
      <c r="E108" s="10">
        <v>0</v>
      </c>
      <c r="F108" s="10">
        <v>0</v>
      </c>
      <c r="G108">
        <v>-4</v>
      </c>
      <c r="H108">
        <v>-2</v>
      </c>
      <c r="I108">
        <v>0</v>
      </c>
      <c r="K108" s="1">
        <v>100</v>
      </c>
      <c r="L108" s="1">
        <v>822</v>
      </c>
      <c r="M108" s="1">
        <v>3944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1:19" x14ac:dyDescent="0.25">
      <c r="A109" s="1">
        <v>125</v>
      </c>
      <c r="B109" s="1">
        <v>755</v>
      </c>
      <c r="C109" s="1">
        <v>3322</v>
      </c>
      <c r="D109" s="1">
        <v>-1.5</v>
      </c>
      <c r="E109" s="1">
        <v>0.4</v>
      </c>
      <c r="F109" s="1">
        <v>0.1</v>
      </c>
      <c r="G109">
        <v>-6</v>
      </c>
      <c r="H109">
        <v>-2</v>
      </c>
      <c r="I109">
        <v>-1</v>
      </c>
      <c r="K109" s="1">
        <v>125</v>
      </c>
      <c r="L109" s="1">
        <v>811</v>
      </c>
      <c r="M109" s="1">
        <v>3836</v>
      </c>
      <c r="N109" s="1">
        <v>-1.3</v>
      </c>
      <c r="O109" s="1">
        <v>0.4</v>
      </c>
      <c r="P109" s="1">
        <v>0.1</v>
      </c>
      <c r="Q109" s="1">
        <v>0</v>
      </c>
      <c r="R109" s="1">
        <v>0</v>
      </c>
      <c r="S109" s="1">
        <v>0</v>
      </c>
    </row>
    <row r="110" spans="1:19" x14ac:dyDescent="0.25">
      <c r="A110" s="1">
        <v>150</v>
      </c>
      <c r="B110" s="1">
        <v>733</v>
      </c>
      <c r="C110" s="1">
        <v>3134</v>
      </c>
      <c r="D110" s="1">
        <v>-4.0999999999999996</v>
      </c>
      <c r="E110" s="1">
        <v>0.9</v>
      </c>
      <c r="F110" s="1">
        <v>0.3</v>
      </c>
      <c r="G110">
        <v>-9</v>
      </c>
      <c r="H110">
        <v>-2</v>
      </c>
      <c r="I110">
        <v>-1</v>
      </c>
      <c r="K110" s="1">
        <v>150</v>
      </c>
      <c r="L110" s="1">
        <v>800</v>
      </c>
      <c r="M110" s="1">
        <v>3730</v>
      </c>
      <c r="N110" s="1">
        <v>-3.5</v>
      </c>
      <c r="O110" s="1">
        <v>0.8</v>
      </c>
      <c r="P110" s="1">
        <v>0.2</v>
      </c>
      <c r="Q110" s="1">
        <v>0</v>
      </c>
      <c r="R110" s="1">
        <v>0</v>
      </c>
      <c r="S110" s="1">
        <v>0</v>
      </c>
    </row>
    <row r="111" spans="1:19" x14ac:dyDescent="0.25">
      <c r="A111" s="1">
        <v>175</v>
      </c>
      <c r="B111" s="1">
        <v>712</v>
      </c>
      <c r="C111" s="1">
        <v>2955</v>
      </c>
      <c r="D111" s="1">
        <v>-7.8</v>
      </c>
      <c r="E111" s="1">
        <v>1.5</v>
      </c>
      <c r="F111" s="1">
        <v>0.4</v>
      </c>
      <c r="G111">
        <v>-13</v>
      </c>
      <c r="H111">
        <v>-3</v>
      </c>
      <c r="I111">
        <v>-1</v>
      </c>
      <c r="K111" s="1">
        <v>175</v>
      </c>
      <c r="L111" s="1">
        <v>788</v>
      </c>
      <c r="M111" s="1">
        <v>3626</v>
      </c>
      <c r="N111" s="1">
        <v>-6.7</v>
      </c>
      <c r="O111" s="1">
        <v>1.3</v>
      </c>
      <c r="P111" s="1">
        <v>0.4</v>
      </c>
      <c r="Q111" s="1">
        <v>0</v>
      </c>
      <c r="R111" s="1">
        <v>0</v>
      </c>
      <c r="S111" s="1">
        <v>0</v>
      </c>
    </row>
    <row r="112" spans="1:19" x14ac:dyDescent="0.25">
      <c r="A112" s="1">
        <v>200</v>
      </c>
      <c r="B112" s="1">
        <v>691</v>
      </c>
      <c r="C112" s="1">
        <v>2783</v>
      </c>
      <c r="D112" s="1">
        <v>-13</v>
      </c>
      <c r="E112" s="1">
        <v>2.2000000000000002</v>
      </c>
      <c r="F112" s="1">
        <v>0.6</v>
      </c>
      <c r="G112">
        <v>-17</v>
      </c>
      <c r="H112">
        <v>-3</v>
      </c>
      <c r="I112">
        <v>-1</v>
      </c>
      <c r="K112" s="1">
        <v>200</v>
      </c>
      <c r="L112" s="1">
        <v>777</v>
      </c>
      <c r="M112" s="1">
        <v>3525</v>
      </c>
      <c r="N112" s="1">
        <v>-11</v>
      </c>
      <c r="O112" s="1">
        <v>1.9</v>
      </c>
      <c r="P112" s="1">
        <v>0.5</v>
      </c>
      <c r="Q112" s="1">
        <v>0</v>
      </c>
      <c r="R112" s="1">
        <v>0</v>
      </c>
      <c r="S112" s="1">
        <v>0</v>
      </c>
    </row>
    <row r="113" spans="1:19" x14ac:dyDescent="0.25">
      <c r="A113" s="1">
        <v>225</v>
      </c>
      <c r="B113" s="1">
        <v>670</v>
      </c>
      <c r="C113" s="1">
        <v>2619</v>
      </c>
      <c r="D113" s="1">
        <v>-19.3</v>
      </c>
      <c r="E113" s="1">
        <v>3</v>
      </c>
      <c r="F113" s="1">
        <v>0.9</v>
      </c>
      <c r="G113">
        <v>-22</v>
      </c>
      <c r="H113">
        <v>-4</v>
      </c>
      <c r="I113">
        <v>-1</v>
      </c>
      <c r="K113" s="1">
        <v>225</v>
      </c>
      <c r="L113" s="1">
        <v>766</v>
      </c>
      <c r="M113" s="1">
        <v>3425</v>
      </c>
      <c r="N113" s="1">
        <v>-16.100000000000001</v>
      </c>
      <c r="O113" s="1">
        <v>2.5</v>
      </c>
      <c r="P113" s="1">
        <v>0.7</v>
      </c>
      <c r="Q113" s="1">
        <v>0</v>
      </c>
      <c r="R113" s="1">
        <v>0</v>
      </c>
      <c r="S113" s="1">
        <v>0</v>
      </c>
    </row>
    <row r="114" spans="1:19" x14ac:dyDescent="0.25">
      <c r="A114" s="1">
        <v>250</v>
      </c>
      <c r="B114" s="1">
        <v>650</v>
      </c>
      <c r="C114" s="1">
        <v>2463</v>
      </c>
      <c r="D114" s="1">
        <v>-27</v>
      </c>
      <c r="E114" s="1">
        <v>3.7</v>
      </c>
      <c r="F114" s="1">
        <v>1.1000000000000001</v>
      </c>
      <c r="G114">
        <v>-27</v>
      </c>
      <c r="H114">
        <v>-4</v>
      </c>
      <c r="I114">
        <v>-1</v>
      </c>
      <c r="K114" s="1">
        <v>250</v>
      </c>
      <c r="L114" s="1">
        <v>755</v>
      </c>
      <c r="M114" s="1">
        <v>3328</v>
      </c>
      <c r="N114" s="1">
        <v>-22.4</v>
      </c>
      <c r="O114" s="1">
        <v>3.1</v>
      </c>
      <c r="P114" s="1">
        <v>0.9</v>
      </c>
      <c r="Q114" s="1">
        <v>0</v>
      </c>
      <c r="R114" s="1">
        <v>0</v>
      </c>
      <c r="S114" s="1">
        <v>0</v>
      </c>
    </row>
    <row r="115" spans="1:19" x14ac:dyDescent="0.25">
      <c r="A115" s="1">
        <v>275</v>
      </c>
      <c r="B115" s="1">
        <v>630</v>
      </c>
      <c r="C115" s="1">
        <v>2314</v>
      </c>
      <c r="D115" s="1">
        <v>-36.6</v>
      </c>
      <c r="E115" s="1">
        <v>4.5999999999999996</v>
      </c>
      <c r="F115" s="1">
        <v>1.3</v>
      </c>
      <c r="G115">
        <v>-33</v>
      </c>
      <c r="H115">
        <v>-4</v>
      </c>
      <c r="I115">
        <v>-1</v>
      </c>
      <c r="K115" s="1">
        <v>275</v>
      </c>
      <c r="L115" s="1">
        <v>745</v>
      </c>
      <c r="M115" s="1">
        <v>3233</v>
      </c>
      <c r="N115" s="1">
        <v>-30</v>
      </c>
      <c r="O115" s="1">
        <v>3.7</v>
      </c>
      <c r="P115" s="1">
        <v>1.1000000000000001</v>
      </c>
      <c r="Q115" s="1">
        <v>0</v>
      </c>
      <c r="R115" s="1">
        <v>0</v>
      </c>
      <c r="S115" s="1">
        <v>0</v>
      </c>
    </row>
    <row r="116" spans="1:19" x14ac:dyDescent="0.25">
      <c r="A116" s="1">
        <v>300</v>
      </c>
      <c r="B116" s="1">
        <v>610</v>
      </c>
      <c r="C116" s="1">
        <v>2173</v>
      </c>
      <c r="D116" s="1">
        <v>-47.5</v>
      </c>
      <c r="E116" s="1">
        <v>5.4</v>
      </c>
      <c r="F116" s="1">
        <v>1.6</v>
      </c>
      <c r="G116">
        <v>-40</v>
      </c>
      <c r="H116">
        <v>-5</v>
      </c>
      <c r="I116">
        <v>-2</v>
      </c>
      <c r="K116" s="1">
        <v>300</v>
      </c>
      <c r="L116" s="1">
        <v>734</v>
      </c>
      <c r="M116" s="1">
        <v>3140</v>
      </c>
      <c r="N116" s="1">
        <v>-38.4</v>
      </c>
      <c r="O116" s="1">
        <v>4.4000000000000004</v>
      </c>
      <c r="P116" s="1">
        <v>1.3</v>
      </c>
      <c r="Q116" s="1">
        <v>0</v>
      </c>
      <c r="R116" s="1">
        <v>0</v>
      </c>
      <c r="S116" s="1">
        <v>0</v>
      </c>
    </row>
    <row r="117" spans="1:19" x14ac:dyDescent="0.25">
      <c r="A117" s="1">
        <v>325</v>
      </c>
      <c r="B117" s="1">
        <v>591</v>
      </c>
      <c r="C117" s="1">
        <v>2038</v>
      </c>
      <c r="D117" s="1">
        <v>-60.1</v>
      </c>
      <c r="E117" s="1">
        <v>6.4</v>
      </c>
      <c r="F117" s="1">
        <v>1.9</v>
      </c>
      <c r="G117">
        <v>-48</v>
      </c>
      <c r="H117">
        <v>-6</v>
      </c>
      <c r="I117">
        <v>-2</v>
      </c>
      <c r="K117" s="1">
        <v>325</v>
      </c>
      <c r="L117" s="1">
        <v>723</v>
      </c>
      <c r="M117" s="1">
        <v>3049</v>
      </c>
      <c r="N117" s="1">
        <v>-48</v>
      </c>
      <c r="O117" s="1">
        <v>5.0999999999999996</v>
      </c>
      <c r="P117" s="1">
        <v>1.5</v>
      </c>
      <c r="Q117" s="1">
        <v>0</v>
      </c>
      <c r="R117" s="1">
        <v>0</v>
      </c>
      <c r="S117" s="1">
        <v>0</v>
      </c>
    </row>
    <row r="118" spans="1:19" x14ac:dyDescent="0.25">
      <c r="A118" s="1">
        <v>350</v>
      </c>
      <c r="B118" s="1">
        <v>572</v>
      </c>
      <c r="C118" s="1">
        <v>1910</v>
      </c>
      <c r="D118" s="1">
        <v>-75.2</v>
      </c>
      <c r="E118" s="1">
        <v>7.4</v>
      </c>
      <c r="F118" s="1">
        <v>2.1</v>
      </c>
      <c r="G118">
        <v>-56</v>
      </c>
      <c r="H118">
        <v>-6</v>
      </c>
      <c r="I118">
        <v>-2</v>
      </c>
      <c r="K118" s="1">
        <v>350</v>
      </c>
      <c r="L118" s="1">
        <v>712</v>
      </c>
      <c r="M118" s="1">
        <v>2960</v>
      </c>
      <c r="N118" s="1">
        <v>-59.2</v>
      </c>
      <c r="O118" s="1">
        <v>5.8</v>
      </c>
      <c r="P118" s="1">
        <v>1.7</v>
      </c>
      <c r="Q118" s="1">
        <v>0</v>
      </c>
      <c r="R118" s="1">
        <v>0</v>
      </c>
      <c r="S118" s="1">
        <v>0</v>
      </c>
    </row>
    <row r="119" spans="1:19" x14ac:dyDescent="0.25">
      <c r="A119" s="1">
        <v>375</v>
      </c>
      <c r="B119" s="1">
        <v>554</v>
      </c>
      <c r="C119" s="1">
        <v>1789</v>
      </c>
      <c r="D119" s="1">
        <v>-91.7</v>
      </c>
      <c r="E119" s="1">
        <v>8.4</v>
      </c>
      <c r="F119" s="1">
        <v>2.4</v>
      </c>
      <c r="G119">
        <v>-65</v>
      </c>
      <c r="H119">
        <v>-6</v>
      </c>
      <c r="I119">
        <v>-2</v>
      </c>
      <c r="K119" s="1">
        <v>375</v>
      </c>
      <c r="L119" s="1">
        <v>702</v>
      </c>
      <c r="M119" s="1">
        <v>2874</v>
      </c>
      <c r="N119" s="1">
        <v>-71.3</v>
      </c>
      <c r="O119" s="1">
        <v>6.5</v>
      </c>
      <c r="P119" s="1">
        <v>1.9</v>
      </c>
      <c r="Q119" s="1">
        <v>0</v>
      </c>
      <c r="R119" s="1">
        <v>0</v>
      </c>
      <c r="S119" s="1">
        <v>0</v>
      </c>
    </row>
    <row r="120" spans="1:19" x14ac:dyDescent="0.25">
      <c r="A120" s="1">
        <v>400</v>
      </c>
      <c r="B120" s="1">
        <v>536</v>
      </c>
      <c r="C120" s="1">
        <v>1675</v>
      </c>
      <c r="D120" s="1">
        <v>-110.4</v>
      </c>
      <c r="E120" s="1">
        <v>9.5</v>
      </c>
      <c r="F120" s="1">
        <v>2.8</v>
      </c>
      <c r="G120">
        <v>-76</v>
      </c>
      <c r="H120">
        <v>-7</v>
      </c>
      <c r="I120">
        <v>-2</v>
      </c>
      <c r="K120" s="1">
        <v>400</v>
      </c>
      <c r="L120" s="1">
        <v>691</v>
      </c>
      <c r="M120" s="1">
        <v>2789</v>
      </c>
      <c r="N120" s="1">
        <v>-84.6</v>
      </c>
      <c r="O120" s="1">
        <v>7.3</v>
      </c>
      <c r="P120" s="1">
        <v>2.1</v>
      </c>
      <c r="Q120" s="1">
        <v>0</v>
      </c>
      <c r="R120" s="1">
        <v>0</v>
      </c>
      <c r="S120" s="1">
        <v>0</v>
      </c>
    </row>
    <row r="121" spans="1:19" x14ac:dyDescent="0.25">
      <c r="A121" s="1">
        <v>425</v>
      </c>
      <c r="B121" s="1">
        <v>518</v>
      </c>
      <c r="C121" s="1">
        <v>1567</v>
      </c>
      <c r="D121" s="1">
        <v>-132.1</v>
      </c>
      <c r="E121" s="1">
        <v>10.7</v>
      </c>
      <c r="F121" s="1">
        <v>3.1</v>
      </c>
      <c r="G121">
        <v>-87</v>
      </c>
      <c r="H121">
        <v>-8</v>
      </c>
      <c r="I121">
        <v>-2</v>
      </c>
      <c r="K121" s="1">
        <v>425</v>
      </c>
      <c r="L121" s="1">
        <v>681</v>
      </c>
      <c r="M121" s="1">
        <v>2706</v>
      </c>
      <c r="N121" s="1">
        <v>-99.8</v>
      </c>
      <c r="O121" s="1">
        <v>8.1</v>
      </c>
      <c r="P121" s="1">
        <v>2.2999999999999998</v>
      </c>
      <c r="Q121" s="1">
        <v>0</v>
      </c>
      <c r="R121" s="1">
        <v>0</v>
      </c>
      <c r="S121" s="1">
        <v>0</v>
      </c>
    </row>
    <row r="122" spans="1:19" x14ac:dyDescent="0.25">
      <c r="A122" s="1">
        <v>450</v>
      </c>
      <c r="B122" s="1">
        <v>501</v>
      </c>
      <c r="C122" s="1">
        <v>1466</v>
      </c>
      <c r="D122" s="1">
        <v>-155.69999999999999</v>
      </c>
      <c r="E122" s="1">
        <v>11.9</v>
      </c>
      <c r="F122" s="1">
        <v>3.5</v>
      </c>
      <c r="G122">
        <v>-99</v>
      </c>
      <c r="H122">
        <v>-8</v>
      </c>
      <c r="I122">
        <v>-2</v>
      </c>
      <c r="K122" s="1">
        <v>450</v>
      </c>
      <c r="L122" s="1">
        <v>671</v>
      </c>
      <c r="M122" s="1">
        <v>2625</v>
      </c>
      <c r="N122" s="1">
        <v>-115.8</v>
      </c>
      <c r="O122" s="1">
        <v>8.8000000000000007</v>
      </c>
      <c r="P122" s="1">
        <v>2.6</v>
      </c>
      <c r="Q122" s="1">
        <v>0</v>
      </c>
      <c r="R122" s="1">
        <v>0</v>
      </c>
      <c r="S122" s="1">
        <v>0</v>
      </c>
    </row>
    <row r="123" spans="1:19" x14ac:dyDescent="0.25">
      <c r="A123" s="1">
        <v>475</v>
      </c>
      <c r="B123" s="1">
        <v>485</v>
      </c>
      <c r="C123" s="1">
        <v>1370</v>
      </c>
      <c r="D123" s="1">
        <v>-181.9</v>
      </c>
      <c r="E123" s="1">
        <v>13.2</v>
      </c>
      <c r="F123" s="1">
        <v>3.8</v>
      </c>
      <c r="G123">
        <v>-112</v>
      </c>
      <c r="H123">
        <v>-9</v>
      </c>
      <c r="I123">
        <v>-3</v>
      </c>
      <c r="K123" s="1">
        <v>475</v>
      </c>
      <c r="L123" s="1">
        <v>661</v>
      </c>
      <c r="M123" s="1">
        <v>2545</v>
      </c>
      <c r="N123" s="1">
        <v>-133.30000000000001</v>
      </c>
      <c r="O123" s="1">
        <v>9.6999999999999993</v>
      </c>
      <c r="P123" s="1">
        <v>2.8</v>
      </c>
      <c r="Q123" s="1">
        <v>0</v>
      </c>
      <c r="R123" s="1">
        <v>0</v>
      </c>
      <c r="S123" s="1">
        <v>0</v>
      </c>
    </row>
    <row r="124" spans="1:19" x14ac:dyDescent="0.25">
      <c r="A124" s="1">
        <v>500</v>
      </c>
      <c r="B124" s="1">
        <v>469</v>
      </c>
      <c r="C124" s="1">
        <v>1284</v>
      </c>
      <c r="D124" s="1">
        <v>-210.9</v>
      </c>
      <c r="E124" s="1">
        <v>14.5</v>
      </c>
      <c r="F124" s="1">
        <v>4.2</v>
      </c>
      <c r="G124">
        <v>-125</v>
      </c>
      <c r="H124">
        <v>-9</v>
      </c>
      <c r="I124">
        <v>-3</v>
      </c>
      <c r="K124" s="1">
        <v>500</v>
      </c>
      <c r="L124" s="1">
        <v>651</v>
      </c>
      <c r="M124" s="1">
        <v>2471</v>
      </c>
      <c r="N124" s="1">
        <v>-152.1</v>
      </c>
      <c r="O124" s="1">
        <v>10.5</v>
      </c>
      <c r="P124" s="1">
        <v>3</v>
      </c>
      <c r="Q124" s="1">
        <v>0</v>
      </c>
      <c r="R124" s="1">
        <v>0</v>
      </c>
      <c r="S124" s="1">
        <v>0</v>
      </c>
    </row>
    <row r="126" spans="1:19" x14ac:dyDescent="0.25">
      <c r="A126" t="s">
        <v>89</v>
      </c>
      <c r="K126" t="s">
        <v>76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39</v>
      </c>
      <c r="H127" t="s">
        <v>40</v>
      </c>
      <c r="I127" t="s">
        <v>41</v>
      </c>
      <c r="K127" t="s">
        <v>12</v>
      </c>
      <c r="L127" t="s">
        <v>13</v>
      </c>
      <c r="M127" t="s">
        <v>14</v>
      </c>
      <c r="N127" t="s">
        <v>15</v>
      </c>
      <c r="O127" t="s">
        <v>16</v>
      </c>
      <c r="P127" t="s">
        <v>17</v>
      </c>
      <c r="Q127" t="s">
        <v>39</v>
      </c>
      <c r="R127" t="s">
        <v>40</v>
      </c>
      <c r="S127" t="s">
        <v>41</v>
      </c>
    </row>
    <row r="128" spans="1:19" x14ac:dyDescent="0.25">
      <c r="A128" s="1">
        <v>0</v>
      </c>
      <c r="B128" s="1">
        <v>869</v>
      </c>
      <c r="C128" s="1">
        <v>4402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869</v>
      </c>
      <c r="M128" s="1">
        <v>4402</v>
      </c>
      <c r="N128" s="1">
        <v>-3.8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</row>
    <row r="129" spans="1:19" x14ac:dyDescent="0.25">
      <c r="A129" s="1">
        <v>25</v>
      </c>
      <c r="B129" s="1">
        <v>845</v>
      </c>
      <c r="C129" s="1">
        <v>4165</v>
      </c>
      <c r="D129" s="1">
        <v>-0.8</v>
      </c>
      <c r="E129" s="1">
        <v>1.2</v>
      </c>
      <c r="F129" s="1">
        <v>0.3</v>
      </c>
      <c r="G129">
        <v>0</v>
      </c>
      <c r="H129">
        <v>0</v>
      </c>
      <c r="I129">
        <v>0</v>
      </c>
      <c r="K129" s="1">
        <v>25</v>
      </c>
      <c r="L129" s="1">
        <v>857</v>
      </c>
      <c r="M129" s="1">
        <v>4283</v>
      </c>
      <c r="N129" s="1">
        <v>-1</v>
      </c>
      <c r="O129" s="1">
        <v>1.4</v>
      </c>
      <c r="P129" s="1">
        <v>0.4</v>
      </c>
      <c r="Q129" s="1">
        <v>0</v>
      </c>
      <c r="R129" s="1">
        <v>0</v>
      </c>
      <c r="S129" s="1">
        <v>0</v>
      </c>
    </row>
    <row r="130" spans="1:19" x14ac:dyDescent="0.25">
      <c r="A130" s="1">
        <v>50</v>
      </c>
      <c r="B130" s="1">
        <v>822</v>
      </c>
      <c r="C130" s="1">
        <v>3940</v>
      </c>
      <c r="D130" s="1">
        <v>1.3</v>
      </c>
      <c r="E130" s="1">
        <v>-0.9</v>
      </c>
      <c r="F130" s="1">
        <v>-0.3</v>
      </c>
      <c r="G130">
        <v>-1</v>
      </c>
      <c r="H130">
        <v>-1</v>
      </c>
      <c r="I130">
        <v>0</v>
      </c>
      <c r="K130" s="1">
        <v>50</v>
      </c>
      <c r="L130" s="1">
        <v>845</v>
      </c>
      <c r="M130" s="1">
        <v>4168</v>
      </c>
      <c r="N130" s="1">
        <v>1</v>
      </c>
      <c r="O130" s="1">
        <v>-0.7</v>
      </c>
      <c r="P130" s="1">
        <v>-0.2</v>
      </c>
      <c r="Q130" s="1">
        <v>0</v>
      </c>
      <c r="R130" s="1">
        <v>0</v>
      </c>
      <c r="S130" s="1">
        <v>0</v>
      </c>
    </row>
    <row r="131" spans="1:19" x14ac:dyDescent="0.25">
      <c r="A131" s="1">
        <v>75</v>
      </c>
      <c r="B131" s="1">
        <v>799</v>
      </c>
      <c r="C131" s="1">
        <v>3725</v>
      </c>
      <c r="D131" s="1">
        <v>2.5</v>
      </c>
      <c r="E131" s="1">
        <v>-1.2</v>
      </c>
      <c r="F131" s="1">
        <v>-0.3</v>
      </c>
      <c r="G131">
        <v>-2</v>
      </c>
      <c r="H131">
        <v>-1</v>
      </c>
      <c r="I131">
        <v>0</v>
      </c>
      <c r="K131" s="1">
        <v>75</v>
      </c>
      <c r="L131" s="1">
        <v>834</v>
      </c>
      <c r="M131" s="1">
        <v>4055</v>
      </c>
      <c r="N131" s="1">
        <v>2.1</v>
      </c>
      <c r="O131" s="1">
        <v>-1</v>
      </c>
      <c r="P131" s="1">
        <v>-0.3</v>
      </c>
      <c r="Q131" s="1">
        <v>0</v>
      </c>
      <c r="R131" s="1">
        <v>0</v>
      </c>
      <c r="S131" s="1">
        <v>0</v>
      </c>
    </row>
    <row r="132" spans="1:19" x14ac:dyDescent="0.25">
      <c r="A132" s="1">
        <v>100</v>
      </c>
      <c r="B132" s="1">
        <v>777</v>
      </c>
      <c r="C132" s="1">
        <v>3519</v>
      </c>
      <c r="D132" s="1">
        <v>2.8</v>
      </c>
      <c r="E132" s="1">
        <v>-1</v>
      </c>
      <c r="F132" s="1">
        <v>-0.3</v>
      </c>
      <c r="G132">
        <v>-4</v>
      </c>
      <c r="H132">
        <v>-2</v>
      </c>
      <c r="I132">
        <v>0</v>
      </c>
      <c r="K132" s="1">
        <v>100</v>
      </c>
      <c r="L132" s="1">
        <v>822</v>
      </c>
      <c r="M132" s="1">
        <v>3944</v>
      </c>
      <c r="N132" s="1">
        <v>2.2999999999999998</v>
      </c>
      <c r="O132" s="1">
        <v>-0.8</v>
      </c>
      <c r="P132" s="1">
        <v>-0.2</v>
      </c>
      <c r="Q132" s="1">
        <v>0</v>
      </c>
      <c r="R132" s="1">
        <v>0</v>
      </c>
      <c r="S132" s="1">
        <v>0</v>
      </c>
    </row>
    <row r="133" spans="1:19" x14ac:dyDescent="0.25">
      <c r="A133" s="1">
        <v>125</v>
      </c>
      <c r="B133" s="1">
        <v>755</v>
      </c>
      <c r="C133" s="1">
        <v>3322</v>
      </c>
      <c r="D133" s="1">
        <v>1.9</v>
      </c>
      <c r="E133" s="1">
        <v>-0.5</v>
      </c>
      <c r="F133" s="1">
        <v>-0.2</v>
      </c>
      <c r="G133">
        <v>-6</v>
      </c>
      <c r="H133">
        <v>-2</v>
      </c>
      <c r="I133">
        <v>-1</v>
      </c>
      <c r="K133" s="1">
        <v>125</v>
      </c>
      <c r="L133" s="1">
        <v>811</v>
      </c>
      <c r="M133" s="1">
        <v>3836</v>
      </c>
      <c r="N133" s="1">
        <v>1.6</v>
      </c>
      <c r="O133" s="1">
        <v>-0.4</v>
      </c>
      <c r="P133" s="1">
        <v>-0.1</v>
      </c>
      <c r="Q133" s="1">
        <v>0</v>
      </c>
      <c r="R133" s="1">
        <v>0</v>
      </c>
      <c r="S133" s="1">
        <v>0</v>
      </c>
    </row>
    <row r="134" spans="1:19" x14ac:dyDescent="0.25">
      <c r="A134" s="10">
        <v>150</v>
      </c>
      <c r="B134" s="10">
        <v>733</v>
      </c>
      <c r="C134" s="10">
        <v>3134</v>
      </c>
      <c r="D134" s="10">
        <v>0</v>
      </c>
      <c r="E134" s="10">
        <v>0</v>
      </c>
      <c r="F134" s="10">
        <v>0</v>
      </c>
      <c r="G134">
        <v>-9</v>
      </c>
      <c r="H134">
        <v>-2</v>
      </c>
      <c r="I134">
        <v>-1</v>
      </c>
      <c r="K134" s="1">
        <v>150</v>
      </c>
      <c r="L134" s="1">
        <v>800</v>
      </c>
      <c r="M134" s="1">
        <v>3730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1:19" x14ac:dyDescent="0.25">
      <c r="A135" s="1">
        <v>175</v>
      </c>
      <c r="B135" s="1">
        <v>712</v>
      </c>
      <c r="C135" s="1">
        <v>2955</v>
      </c>
      <c r="D135" s="1">
        <v>-3</v>
      </c>
      <c r="E135" s="1">
        <v>0.6</v>
      </c>
      <c r="F135" s="1">
        <v>0.2</v>
      </c>
      <c r="G135">
        <v>-13</v>
      </c>
      <c r="H135">
        <v>-3</v>
      </c>
      <c r="I135">
        <v>-1</v>
      </c>
      <c r="K135" s="1">
        <v>175</v>
      </c>
      <c r="L135" s="1">
        <v>788</v>
      </c>
      <c r="M135" s="1">
        <v>3626</v>
      </c>
      <c r="N135" s="1">
        <v>-2.6</v>
      </c>
      <c r="O135" s="1">
        <v>0.5</v>
      </c>
      <c r="P135" s="1">
        <v>0.1</v>
      </c>
      <c r="Q135" s="1">
        <v>0</v>
      </c>
      <c r="R135" s="1">
        <v>0</v>
      </c>
      <c r="S135" s="1">
        <v>0</v>
      </c>
    </row>
    <row r="136" spans="1:19" x14ac:dyDescent="0.25">
      <c r="A136" s="1">
        <v>200</v>
      </c>
      <c r="B136" s="1">
        <v>691</v>
      </c>
      <c r="C136" s="1">
        <v>2783</v>
      </c>
      <c r="D136" s="1">
        <v>-7.5</v>
      </c>
      <c r="E136" s="1">
        <v>1.3</v>
      </c>
      <c r="F136" s="1">
        <v>0.4</v>
      </c>
      <c r="G136">
        <v>-17</v>
      </c>
      <c r="H136">
        <v>-3</v>
      </c>
      <c r="I136">
        <v>-1</v>
      </c>
      <c r="K136" s="1">
        <v>200</v>
      </c>
      <c r="L136" s="1">
        <v>777</v>
      </c>
      <c r="M136" s="1">
        <v>3525</v>
      </c>
      <c r="N136" s="1">
        <v>-6.3</v>
      </c>
      <c r="O136" s="1">
        <v>1.1000000000000001</v>
      </c>
      <c r="P136" s="1">
        <v>0.3</v>
      </c>
      <c r="Q136" s="1">
        <v>0</v>
      </c>
      <c r="R136" s="1">
        <v>0</v>
      </c>
      <c r="S136" s="1">
        <v>0</v>
      </c>
    </row>
    <row r="137" spans="1:19" x14ac:dyDescent="0.25">
      <c r="A137" s="1">
        <v>225</v>
      </c>
      <c r="B137" s="1">
        <v>670</v>
      </c>
      <c r="C137" s="1">
        <v>2619</v>
      </c>
      <c r="D137" s="1">
        <v>-13.1</v>
      </c>
      <c r="E137" s="1">
        <v>2</v>
      </c>
      <c r="F137" s="1">
        <v>0.6</v>
      </c>
      <c r="G137">
        <v>-22</v>
      </c>
      <c r="H137">
        <v>-4</v>
      </c>
      <c r="I137">
        <v>-1</v>
      </c>
      <c r="K137" s="1">
        <v>225</v>
      </c>
      <c r="L137" s="1">
        <v>766</v>
      </c>
      <c r="M137" s="1">
        <v>3425</v>
      </c>
      <c r="N137" s="1">
        <v>-10.9</v>
      </c>
      <c r="O137" s="1">
        <v>1.7</v>
      </c>
      <c r="P137" s="1">
        <v>0.5</v>
      </c>
      <c r="Q137" s="1">
        <v>0</v>
      </c>
      <c r="R137" s="1">
        <v>0</v>
      </c>
      <c r="S137" s="1">
        <v>0</v>
      </c>
    </row>
    <row r="138" spans="1:19" x14ac:dyDescent="0.25">
      <c r="A138" s="1">
        <v>250</v>
      </c>
      <c r="B138" s="1">
        <v>650</v>
      </c>
      <c r="C138" s="1">
        <v>2463</v>
      </c>
      <c r="D138" s="1">
        <v>-20.100000000000001</v>
      </c>
      <c r="E138" s="1">
        <v>2.8</v>
      </c>
      <c r="F138" s="1">
        <v>0.8</v>
      </c>
      <c r="G138">
        <v>-27</v>
      </c>
      <c r="H138">
        <v>-4</v>
      </c>
      <c r="I138">
        <v>-1</v>
      </c>
      <c r="K138" s="1">
        <v>250</v>
      </c>
      <c r="L138" s="1">
        <v>755</v>
      </c>
      <c r="M138" s="1">
        <v>3328</v>
      </c>
      <c r="N138" s="1">
        <v>-16.5</v>
      </c>
      <c r="O138" s="1">
        <v>2.2999999999999998</v>
      </c>
      <c r="P138" s="1">
        <v>0.7</v>
      </c>
      <c r="Q138" s="1">
        <v>0</v>
      </c>
      <c r="R138" s="1">
        <v>0</v>
      </c>
      <c r="S138" s="1">
        <v>0</v>
      </c>
    </row>
    <row r="139" spans="1:19" x14ac:dyDescent="0.25">
      <c r="A139" s="1">
        <v>275</v>
      </c>
      <c r="B139" s="1">
        <v>630</v>
      </c>
      <c r="C139" s="1">
        <v>2314</v>
      </c>
      <c r="D139" s="1">
        <v>-29</v>
      </c>
      <c r="E139" s="1">
        <v>3.6</v>
      </c>
      <c r="F139" s="1">
        <v>1.1000000000000001</v>
      </c>
      <c r="G139">
        <v>-33</v>
      </c>
      <c r="H139">
        <v>-4</v>
      </c>
      <c r="I139">
        <v>-1</v>
      </c>
      <c r="K139" s="1">
        <v>275</v>
      </c>
      <c r="L139" s="1">
        <v>745</v>
      </c>
      <c r="M139" s="1">
        <v>3233</v>
      </c>
      <c r="N139" s="1">
        <v>-23.5</v>
      </c>
      <c r="O139" s="1">
        <v>2.9</v>
      </c>
      <c r="P139" s="1">
        <v>0.9</v>
      </c>
      <c r="Q139" s="1">
        <v>0</v>
      </c>
      <c r="R139" s="1">
        <v>0</v>
      </c>
      <c r="S139" s="1">
        <v>0</v>
      </c>
    </row>
    <row r="140" spans="1:19" x14ac:dyDescent="0.25">
      <c r="A140" s="1">
        <v>300</v>
      </c>
      <c r="B140" s="1">
        <v>610</v>
      </c>
      <c r="C140" s="1">
        <v>2173</v>
      </c>
      <c r="D140" s="1">
        <v>-39.200000000000003</v>
      </c>
      <c r="E140" s="1">
        <v>4.5</v>
      </c>
      <c r="F140" s="1">
        <v>1.3</v>
      </c>
      <c r="G140">
        <v>-40</v>
      </c>
      <c r="H140">
        <v>-5</v>
      </c>
      <c r="I140">
        <v>-2</v>
      </c>
      <c r="K140" s="1">
        <v>300</v>
      </c>
      <c r="L140" s="1">
        <v>734</v>
      </c>
      <c r="M140" s="1">
        <v>3140</v>
      </c>
      <c r="N140" s="1">
        <v>-31.4</v>
      </c>
      <c r="O140" s="1">
        <v>3.6</v>
      </c>
      <c r="P140" s="1">
        <v>1</v>
      </c>
      <c r="Q140" s="1">
        <v>0</v>
      </c>
      <c r="R140" s="1">
        <v>0</v>
      </c>
      <c r="S140" s="1">
        <v>0</v>
      </c>
    </row>
    <row r="141" spans="1:19" x14ac:dyDescent="0.25">
      <c r="A141" s="1">
        <v>325</v>
      </c>
      <c r="B141" s="1">
        <v>591</v>
      </c>
      <c r="C141" s="1">
        <v>2038</v>
      </c>
      <c r="D141" s="1">
        <v>-51.2</v>
      </c>
      <c r="E141" s="1">
        <v>5.4</v>
      </c>
      <c r="F141" s="1">
        <v>1.6</v>
      </c>
      <c r="G141">
        <v>-48</v>
      </c>
      <c r="H141">
        <v>-6</v>
      </c>
      <c r="I141">
        <v>-2</v>
      </c>
      <c r="K141" s="1">
        <v>325</v>
      </c>
      <c r="L141" s="1">
        <v>723</v>
      </c>
      <c r="M141" s="1">
        <v>3049</v>
      </c>
      <c r="N141" s="1">
        <v>-40.4</v>
      </c>
      <c r="O141" s="1">
        <v>4.3</v>
      </c>
      <c r="P141" s="1">
        <v>1.2</v>
      </c>
      <c r="Q141" s="1">
        <v>0</v>
      </c>
      <c r="R141" s="1">
        <v>0</v>
      </c>
      <c r="S141" s="1">
        <v>0</v>
      </c>
    </row>
    <row r="142" spans="1:19" x14ac:dyDescent="0.25">
      <c r="A142" s="1">
        <v>350</v>
      </c>
      <c r="B142" s="1">
        <v>572</v>
      </c>
      <c r="C142" s="1">
        <v>1910</v>
      </c>
      <c r="D142" s="1">
        <v>-65.5</v>
      </c>
      <c r="E142" s="1">
        <v>6.4</v>
      </c>
      <c r="F142" s="1">
        <v>1.9</v>
      </c>
      <c r="G142">
        <v>-56</v>
      </c>
      <c r="H142">
        <v>-6</v>
      </c>
      <c r="I142">
        <v>-2</v>
      </c>
      <c r="K142" s="1">
        <v>350</v>
      </c>
      <c r="L142" s="1">
        <v>712</v>
      </c>
      <c r="M142" s="1">
        <v>2960</v>
      </c>
      <c r="N142" s="1">
        <v>-51</v>
      </c>
      <c r="O142" s="1">
        <v>5</v>
      </c>
      <c r="P142" s="1">
        <v>1.5</v>
      </c>
      <c r="Q142" s="1">
        <v>0</v>
      </c>
      <c r="R142" s="1">
        <v>0</v>
      </c>
      <c r="S142" s="1">
        <v>0</v>
      </c>
    </row>
    <row r="143" spans="1:19" x14ac:dyDescent="0.25">
      <c r="A143" s="1">
        <v>375</v>
      </c>
      <c r="B143" s="1">
        <v>554</v>
      </c>
      <c r="C143" s="1">
        <v>1789</v>
      </c>
      <c r="D143" s="1">
        <v>-81.3</v>
      </c>
      <c r="E143" s="1">
        <v>7.5</v>
      </c>
      <c r="F143" s="1">
        <v>2.2000000000000002</v>
      </c>
      <c r="G143">
        <v>-65</v>
      </c>
      <c r="H143">
        <v>-6</v>
      </c>
      <c r="I143">
        <v>-2</v>
      </c>
      <c r="K143" s="1">
        <v>375</v>
      </c>
      <c r="L143" s="1">
        <v>702</v>
      </c>
      <c r="M143" s="1">
        <v>2874</v>
      </c>
      <c r="N143" s="1">
        <v>-62.5</v>
      </c>
      <c r="O143" s="1">
        <v>5.7</v>
      </c>
      <c r="P143" s="1">
        <v>1.7</v>
      </c>
      <c r="Q143" s="1">
        <v>0</v>
      </c>
      <c r="R143" s="1">
        <v>0</v>
      </c>
      <c r="S143" s="1">
        <v>0</v>
      </c>
    </row>
    <row r="144" spans="1:19" x14ac:dyDescent="0.25">
      <c r="A144" s="1">
        <v>400</v>
      </c>
      <c r="B144" s="1">
        <v>536</v>
      </c>
      <c r="C144" s="1">
        <v>1675</v>
      </c>
      <c r="D144" s="1">
        <v>-99.3</v>
      </c>
      <c r="E144" s="1">
        <v>8.5</v>
      </c>
      <c r="F144" s="1">
        <v>2.5</v>
      </c>
      <c r="G144">
        <v>-76</v>
      </c>
      <c r="H144">
        <v>-7</v>
      </c>
      <c r="I144">
        <v>-2</v>
      </c>
      <c r="K144" s="1">
        <v>400</v>
      </c>
      <c r="L144" s="1">
        <v>691</v>
      </c>
      <c r="M144" s="1">
        <v>2789</v>
      </c>
      <c r="N144" s="1">
        <v>-75.2</v>
      </c>
      <c r="O144" s="1">
        <v>6.5</v>
      </c>
      <c r="P144" s="1">
        <v>1.9</v>
      </c>
      <c r="Q144" s="1">
        <v>0</v>
      </c>
      <c r="R144" s="1">
        <v>0</v>
      </c>
      <c r="S144" s="1">
        <v>0</v>
      </c>
    </row>
    <row r="145" spans="1:19" x14ac:dyDescent="0.25">
      <c r="A145" s="1">
        <v>425</v>
      </c>
      <c r="B145" s="1">
        <v>518</v>
      </c>
      <c r="C145" s="1">
        <v>1567</v>
      </c>
      <c r="D145" s="1">
        <v>-120.4</v>
      </c>
      <c r="E145" s="1">
        <v>9.6999999999999993</v>
      </c>
      <c r="F145" s="1">
        <v>2.8</v>
      </c>
      <c r="G145">
        <v>-87</v>
      </c>
      <c r="H145">
        <v>-8</v>
      </c>
      <c r="I145">
        <v>-2</v>
      </c>
      <c r="K145" s="1">
        <v>425</v>
      </c>
      <c r="L145" s="1">
        <v>681</v>
      </c>
      <c r="M145" s="1">
        <v>2706</v>
      </c>
      <c r="N145" s="1">
        <v>-89.8</v>
      </c>
      <c r="O145" s="1">
        <v>7.3</v>
      </c>
      <c r="P145" s="1">
        <v>2.1</v>
      </c>
      <c r="Q145" s="1">
        <v>0</v>
      </c>
      <c r="R145" s="1">
        <v>0</v>
      </c>
      <c r="S145" s="1">
        <v>0</v>
      </c>
    </row>
    <row r="146" spans="1:19" x14ac:dyDescent="0.25">
      <c r="A146" s="1">
        <v>450</v>
      </c>
      <c r="B146" s="1">
        <v>501</v>
      </c>
      <c r="C146" s="1">
        <v>1466</v>
      </c>
      <c r="D146" s="1">
        <v>-143.30000000000001</v>
      </c>
      <c r="E146" s="1">
        <v>10.9</v>
      </c>
      <c r="F146" s="1">
        <v>3.2</v>
      </c>
      <c r="G146">
        <v>-99</v>
      </c>
      <c r="H146">
        <v>-8</v>
      </c>
      <c r="I146">
        <v>-2</v>
      </c>
      <c r="K146" s="1">
        <v>450</v>
      </c>
      <c r="L146" s="1">
        <v>671</v>
      </c>
      <c r="M146" s="1">
        <v>2625</v>
      </c>
      <c r="N146" s="1">
        <v>-105.3</v>
      </c>
      <c r="O146" s="1">
        <v>8</v>
      </c>
      <c r="P146" s="1">
        <v>2.2999999999999998</v>
      </c>
      <c r="Q146" s="1">
        <v>0</v>
      </c>
      <c r="R146" s="1">
        <v>0</v>
      </c>
      <c r="S146" s="1">
        <v>0</v>
      </c>
    </row>
    <row r="147" spans="1:19" x14ac:dyDescent="0.25">
      <c r="A147" s="1">
        <v>475</v>
      </c>
      <c r="B147" s="1">
        <v>485</v>
      </c>
      <c r="C147" s="1">
        <v>1370</v>
      </c>
      <c r="D147" s="1">
        <v>-168.8</v>
      </c>
      <c r="E147" s="1">
        <v>12.2</v>
      </c>
      <c r="F147" s="1">
        <v>3.6</v>
      </c>
      <c r="G147">
        <v>-112</v>
      </c>
      <c r="H147">
        <v>-9</v>
      </c>
      <c r="I147">
        <v>-3</v>
      </c>
      <c r="K147" s="1">
        <v>475</v>
      </c>
      <c r="L147" s="1">
        <v>661</v>
      </c>
      <c r="M147" s="1">
        <v>2545</v>
      </c>
      <c r="N147" s="1">
        <v>-122.1</v>
      </c>
      <c r="O147" s="1">
        <v>8.8000000000000007</v>
      </c>
      <c r="P147" s="1">
        <v>2.6</v>
      </c>
      <c r="Q147" s="1">
        <v>0</v>
      </c>
      <c r="R147" s="1">
        <v>0</v>
      </c>
      <c r="S147" s="1">
        <v>0</v>
      </c>
    </row>
    <row r="148" spans="1:19" x14ac:dyDescent="0.25">
      <c r="A148" s="1">
        <v>500</v>
      </c>
      <c r="B148" s="1">
        <v>469</v>
      </c>
      <c r="C148" s="1">
        <v>1284</v>
      </c>
      <c r="D148" s="1">
        <v>-197.2</v>
      </c>
      <c r="E148" s="1">
        <v>13.6</v>
      </c>
      <c r="F148" s="1">
        <v>3.9</v>
      </c>
      <c r="G148">
        <v>-125</v>
      </c>
      <c r="H148">
        <v>-9</v>
      </c>
      <c r="I148">
        <v>-3</v>
      </c>
      <c r="K148" s="1">
        <v>500</v>
      </c>
      <c r="L148" s="1">
        <v>651</v>
      </c>
      <c r="M148" s="1">
        <v>2471</v>
      </c>
      <c r="N148" s="1">
        <v>-140.4</v>
      </c>
      <c r="O148" s="1">
        <v>9.6999999999999993</v>
      </c>
      <c r="P148" s="1">
        <v>2.8</v>
      </c>
      <c r="Q148" s="1">
        <v>0</v>
      </c>
      <c r="R148" s="1">
        <v>0</v>
      </c>
      <c r="S148" s="1">
        <v>0</v>
      </c>
    </row>
    <row r="150" spans="1:19" x14ac:dyDescent="0.25">
      <c r="A150" t="s">
        <v>90</v>
      </c>
      <c r="K150" t="s">
        <v>77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39</v>
      </c>
      <c r="H151" t="s">
        <v>40</v>
      </c>
      <c r="I151" t="s">
        <v>41</v>
      </c>
      <c r="K151" t="s">
        <v>12</v>
      </c>
      <c r="L151" t="s">
        <v>13</v>
      </c>
      <c r="M151" t="s">
        <v>14</v>
      </c>
      <c r="N151" t="s">
        <v>15</v>
      </c>
      <c r="O151" t="s">
        <v>16</v>
      </c>
      <c r="P151" t="s">
        <v>17</v>
      </c>
      <c r="Q151" t="s">
        <v>39</v>
      </c>
      <c r="R151" t="s">
        <v>40</v>
      </c>
      <c r="S151" t="s">
        <v>41</v>
      </c>
    </row>
    <row r="152" spans="1:19" x14ac:dyDescent="0.25">
      <c r="A152" s="1">
        <v>0</v>
      </c>
      <c r="B152" s="1">
        <v>869</v>
      </c>
      <c r="C152" s="1">
        <v>4402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869</v>
      </c>
      <c r="M152" s="1">
        <v>4402</v>
      </c>
      <c r="N152" s="1">
        <v>-3.8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1:19" x14ac:dyDescent="0.25">
      <c r="A153" s="1">
        <v>25</v>
      </c>
      <c r="B153" s="1">
        <v>845</v>
      </c>
      <c r="C153" s="1">
        <v>4165</v>
      </c>
      <c r="D153" s="1">
        <v>0.1</v>
      </c>
      <c r="E153" s="1">
        <v>-0.1</v>
      </c>
      <c r="F153" s="1">
        <v>0</v>
      </c>
      <c r="G153">
        <v>0</v>
      </c>
      <c r="H153">
        <v>0</v>
      </c>
      <c r="I153">
        <v>0</v>
      </c>
      <c r="K153" s="1">
        <v>25</v>
      </c>
      <c r="L153" s="1">
        <v>857</v>
      </c>
      <c r="M153" s="1">
        <v>4283</v>
      </c>
      <c r="N153" s="1">
        <v>-0.2</v>
      </c>
      <c r="O153" s="1">
        <v>0.3</v>
      </c>
      <c r="P153" s="1">
        <v>0.1</v>
      </c>
      <c r="Q153" s="1">
        <v>0</v>
      </c>
      <c r="R153" s="1">
        <v>0</v>
      </c>
      <c r="S153" s="1">
        <v>0</v>
      </c>
    </row>
    <row r="154" spans="1:19" x14ac:dyDescent="0.25">
      <c r="A154" s="1">
        <v>50</v>
      </c>
      <c r="B154" s="1">
        <v>822</v>
      </c>
      <c r="C154" s="1">
        <v>3940</v>
      </c>
      <c r="D154" s="1">
        <v>3.2</v>
      </c>
      <c r="E154" s="1">
        <v>-2.2000000000000002</v>
      </c>
      <c r="F154" s="1">
        <v>-0.6</v>
      </c>
      <c r="G154">
        <v>-1</v>
      </c>
      <c r="H154">
        <v>-1</v>
      </c>
      <c r="I154">
        <v>0</v>
      </c>
      <c r="K154" s="1">
        <v>50</v>
      </c>
      <c r="L154" s="1">
        <v>845</v>
      </c>
      <c r="M154" s="1">
        <v>4168</v>
      </c>
      <c r="N154" s="1">
        <v>2.6</v>
      </c>
      <c r="O154" s="1">
        <v>-1.8</v>
      </c>
      <c r="P154" s="1">
        <v>-0.5</v>
      </c>
      <c r="Q154" s="1">
        <v>0</v>
      </c>
      <c r="R154" s="1">
        <v>0</v>
      </c>
      <c r="S154" s="1">
        <v>0</v>
      </c>
    </row>
    <row r="155" spans="1:19" x14ac:dyDescent="0.25">
      <c r="A155" s="1">
        <v>75</v>
      </c>
      <c r="B155" s="1">
        <v>799</v>
      </c>
      <c r="C155" s="1">
        <v>3725</v>
      </c>
      <c r="D155" s="1">
        <v>5.3</v>
      </c>
      <c r="E155" s="1">
        <v>-2.4</v>
      </c>
      <c r="F155" s="1">
        <v>-0.7</v>
      </c>
      <c r="G155">
        <v>-2</v>
      </c>
      <c r="H155">
        <v>-1</v>
      </c>
      <c r="I155">
        <v>0</v>
      </c>
      <c r="K155" s="1">
        <v>75</v>
      </c>
      <c r="L155" s="1">
        <v>834</v>
      </c>
      <c r="M155" s="1">
        <v>4055</v>
      </c>
      <c r="N155" s="1">
        <v>4.4000000000000004</v>
      </c>
      <c r="O155" s="1">
        <v>-2</v>
      </c>
      <c r="P155" s="1">
        <v>-0.6</v>
      </c>
      <c r="Q155" s="1">
        <v>0</v>
      </c>
      <c r="R155" s="1">
        <v>0</v>
      </c>
      <c r="S155" s="1">
        <v>0</v>
      </c>
    </row>
    <row r="156" spans="1:19" x14ac:dyDescent="0.25">
      <c r="A156" s="1">
        <v>100</v>
      </c>
      <c r="B156" s="1">
        <v>777</v>
      </c>
      <c r="C156" s="1">
        <v>3519</v>
      </c>
      <c r="D156" s="1">
        <v>6.5</v>
      </c>
      <c r="E156" s="1">
        <v>-2.2000000000000002</v>
      </c>
      <c r="F156" s="1">
        <v>-0.6</v>
      </c>
      <c r="G156">
        <v>-4</v>
      </c>
      <c r="H156">
        <v>-2</v>
      </c>
      <c r="I156">
        <v>0</v>
      </c>
      <c r="K156" s="1">
        <v>100</v>
      </c>
      <c r="L156" s="1">
        <v>822</v>
      </c>
      <c r="M156" s="1">
        <v>3944</v>
      </c>
      <c r="N156" s="1">
        <v>5.4</v>
      </c>
      <c r="O156" s="1">
        <v>-1.9</v>
      </c>
      <c r="P156" s="1">
        <v>-0.5</v>
      </c>
      <c r="Q156" s="1">
        <v>0</v>
      </c>
      <c r="R156" s="1">
        <v>0</v>
      </c>
      <c r="S156" s="1">
        <v>0</v>
      </c>
    </row>
    <row r="157" spans="1:19" x14ac:dyDescent="0.25">
      <c r="A157" s="1">
        <v>125</v>
      </c>
      <c r="B157" s="1">
        <v>755</v>
      </c>
      <c r="C157" s="1">
        <v>3322</v>
      </c>
      <c r="D157" s="1">
        <v>6.6</v>
      </c>
      <c r="E157" s="1">
        <v>-1.8</v>
      </c>
      <c r="F157" s="1">
        <v>-0.5</v>
      </c>
      <c r="G157">
        <v>-6</v>
      </c>
      <c r="H157">
        <v>-2</v>
      </c>
      <c r="I157">
        <v>-1</v>
      </c>
      <c r="K157" s="1">
        <v>125</v>
      </c>
      <c r="L157" s="1">
        <v>811</v>
      </c>
      <c r="M157" s="1">
        <v>3836</v>
      </c>
      <c r="N157" s="1">
        <v>5.5</v>
      </c>
      <c r="O157" s="1">
        <v>-1.5</v>
      </c>
      <c r="P157" s="1">
        <v>-0.4</v>
      </c>
      <c r="Q157" s="1">
        <v>0</v>
      </c>
      <c r="R157" s="1">
        <v>0</v>
      </c>
      <c r="S157" s="1">
        <v>0</v>
      </c>
    </row>
    <row r="158" spans="1:19" x14ac:dyDescent="0.25">
      <c r="A158" s="1">
        <v>150</v>
      </c>
      <c r="B158" s="1">
        <v>733</v>
      </c>
      <c r="C158" s="1">
        <v>3134</v>
      </c>
      <c r="D158" s="1">
        <v>5.6</v>
      </c>
      <c r="E158" s="1">
        <v>-1.3</v>
      </c>
      <c r="F158" s="1">
        <v>-0.4</v>
      </c>
      <c r="G158">
        <v>-9</v>
      </c>
      <c r="H158">
        <v>-2</v>
      </c>
      <c r="I158">
        <v>-1</v>
      </c>
      <c r="K158" s="1">
        <v>150</v>
      </c>
      <c r="L158" s="1">
        <v>800</v>
      </c>
      <c r="M158" s="1">
        <v>3730</v>
      </c>
      <c r="N158" s="1">
        <v>4.7</v>
      </c>
      <c r="O158" s="1">
        <v>-1.1000000000000001</v>
      </c>
      <c r="P158" s="1">
        <v>-0.3</v>
      </c>
      <c r="Q158" s="1">
        <v>0</v>
      </c>
      <c r="R158" s="1">
        <v>0</v>
      </c>
      <c r="S158" s="1">
        <v>0</v>
      </c>
    </row>
    <row r="159" spans="1:19" x14ac:dyDescent="0.25">
      <c r="A159" s="1">
        <v>175</v>
      </c>
      <c r="B159" s="1">
        <v>712</v>
      </c>
      <c r="C159" s="1">
        <v>2955</v>
      </c>
      <c r="D159" s="1">
        <v>3.5</v>
      </c>
      <c r="E159" s="1">
        <v>-0.7</v>
      </c>
      <c r="F159" s="1">
        <v>-0.2</v>
      </c>
      <c r="G159">
        <v>-13</v>
      </c>
      <c r="H159">
        <v>-3</v>
      </c>
      <c r="I159">
        <v>-1</v>
      </c>
      <c r="K159" s="1">
        <v>175</v>
      </c>
      <c r="L159" s="1">
        <v>788</v>
      </c>
      <c r="M159" s="1">
        <v>3626</v>
      </c>
      <c r="N159" s="1">
        <v>2.9</v>
      </c>
      <c r="O159" s="1">
        <v>-0.6</v>
      </c>
      <c r="P159" s="1">
        <v>-0.2</v>
      </c>
      <c r="Q159" s="1">
        <v>0</v>
      </c>
      <c r="R159" s="1">
        <v>0</v>
      </c>
      <c r="S159" s="1">
        <v>0</v>
      </c>
    </row>
    <row r="160" spans="1:19" x14ac:dyDescent="0.25">
      <c r="A160" s="10">
        <v>200</v>
      </c>
      <c r="B160" s="10">
        <v>691</v>
      </c>
      <c r="C160" s="10">
        <v>2783</v>
      </c>
      <c r="D160" s="10">
        <v>0</v>
      </c>
      <c r="E160" s="10">
        <v>0</v>
      </c>
      <c r="F160" s="10">
        <v>0</v>
      </c>
      <c r="G160">
        <v>-17</v>
      </c>
      <c r="H160">
        <v>-3</v>
      </c>
      <c r="I160">
        <v>-1</v>
      </c>
      <c r="K160" s="1">
        <v>200</v>
      </c>
      <c r="L160" s="1">
        <v>777</v>
      </c>
      <c r="M160" s="1">
        <v>3525</v>
      </c>
      <c r="N160" s="1">
        <v>-0.1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1:19" x14ac:dyDescent="0.25">
      <c r="A161" s="1">
        <v>225</v>
      </c>
      <c r="B161" s="1">
        <v>670</v>
      </c>
      <c r="C161" s="1">
        <v>2619</v>
      </c>
      <c r="D161" s="1">
        <v>-4.7</v>
      </c>
      <c r="E161" s="1">
        <v>0.7</v>
      </c>
      <c r="F161" s="1">
        <v>0.2</v>
      </c>
      <c r="G161">
        <v>-22</v>
      </c>
      <c r="H161">
        <v>-4</v>
      </c>
      <c r="I161">
        <v>-1</v>
      </c>
      <c r="K161" s="1">
        <v>225</v>
      </c>
      <c r="L161" s="1">
        <v>766</v>
      </c>
      <c r="M161" s="1">
        <v>3425</v>
      </c>
      <c r="N161" s="1">
        <v>-3.9</v>
      </c>
      <c r="O161" s="1">
        <v>0.6</v>
      </c>
      <c r="P161" s="1">
        <v>0.2</v>
      </c>
      <c r="Q161" s="1">
        <v>0</v>
      </c>
      <c r="R161" s="1">
        <v>0</v>
      </c>
      <c r="S161" s="1">
        <v>0</v>
      </c>
    </row>
    <row r="162" spans="1:19" x14ac:dyDescent="0.25">
      <c r="A162" s="1">
        <v>250</v>
      </c>
      <c r="B162" s="1">
        <v>650</v>
      </c>
      <c r="C162" s="1">
        <v>2463</v>
      </c>
      <c r="D162" s="1">
        <v>-10.8</v>
      </c>
      <c r="E162" s="1">
        <v>1.5</v>
      </c>
      <c r="F162" s="1">
        <v>0.4</v>
      </c>
      <c r="G162">
        <v>-27</v>
      </c>
      <c r="H162">
        <v>-4</v>
      </c>
      <c r="I162">
        <v>-1</v>
      </c>
      <c r="K162" s="1">
        <v>250</v>
      </c>
      <c r="L162" s="1">
        <v>755</v>
      </c>
      <c r="M162" s="1">
        <v>3328</v>
      </c>
      <c r="N162" s="1">
        <v>-8.8000000000000007</v>
      </c>
      <c r="O162" s="1">
        <v>1.2</v>
      </c>
      <c r="P162" s="1">
        <v>0.4</v>
      </c>
      <c r="Q162" s="1">
        <v>0</v>
      </c>
      <c r="R162" s="1">
        <v>0</v>
      </c>
      <c r="S162" s="1">
        <v>0</v>
      </c>
    </row>
    <row r="163" spans="1:19" x14ac:dyDescent="0.25">
      <c r="A163" s="1">
        <v>275</v>
      </c>
      <c r="B163" s="1">
        <v>630</v>
      </c>
      <c r="C163" s="1">
        <v>2314</v>
      </c>
      <c r="D163" s="1">
        <v>-18.8</v>
      </c>
      <c r="E163" s="1">
        <v>2.2999999999999998</v>
      </c>
      <c r="F163" s="1">
        <v>0.7</v>
      </c>
      <c r="G163">
        <v>-33</v>
      </c>
      <c r="H163">
        <v>-4</v>
      </c>
      <c r="I163">
        <v>-1</v>
      </c>
      <c r="K163" s="1">
        <v>275</v>
      </c>
      <c r="L163" s="1">
        <v>745</v>
      </c>
      <c r="M163" s="1">
        <v>3233</v>
      </c>
      <c r="N163" s="1">
        <v>-15</v>
      </c>
      <c r="O163" s="1">
        <v>1.9</v>
      </c>
      <c r="P163" s="1">
        <v>0.5</v>
      </c>
      <c r="Q163" s="1">
        <v>0</v>
      </c>
      <c r="R163" s="1">
        <v>0</v>
      </c>
      <c r="S163" s="1">
        <v>0</v>
      </c>
    </row>
    <row r="164" spans="1:19" x14ac:dyDescent="0.25">
      <c r="A164" s="1">
        <v>300</v>
      </c>
      <c r="B164" s="1">
        <v>610</v>
      </c>
      <c r="C164" s="1">
        <v>2173</v>
      </c>
      <c r="D164" s="1">
        <v>-28</v>
      </c>
      <c r="E164" s="1">
        <v>3.2</v>
      </c>
      <c r="F164" s="1">
        <v>0.9</v>
      </c>
      <c r="G164">
        <v>-40</v>
      </c>
      <c r="H164">
        <v>-5</v>
      </c>
      <c r="I164">
        <v>-2</v>
      </c>
      <c r="K164" s="1">
        <v>300</v>
      </c>
      <c r="L164" s="1">
        <v>734</v>
      </c>
      <c r="M164" s="1">
        <v>3140</v>
      </c>
      <c r="N164" s="1">
        <v>-22.1</v>
      </c>
      <c r="O164" s="1">
        <v>2.5</v>
      </c>
      <c r="P164" s="1">
        <v>0.7</v>
      </c>
      <c r="Q164" s="1">
        <v>0</v>
      </c>
      <c r="R164" s="1">
        <v>0</v>
      </c>
      <c r="S164" s="1">
        <v>0</v>
      </c>
    </row>
    <row r="165" spans="1:19" x14ac:dyDescent="0.25">
      <c r="A165" s="1">
        <v>325</v>
      </c>
      <c r="B165" s="1">
        <v>591</v>
      </c>
      <c r="C165" s="1">
        <v>2038</v>
      </c>
      <c r="D165" s="1">
        <v>-39.1</v>
      </c>
      <c r="E165" s="1">
        <v>4.0999999999999996</v>
      </c>
      <c r="F165" s="1">
        <v>1.2</v>
      </c>
      <c r="G165">
        <v>-48</v>
      </c>
      <c r="H165">
        <v>-6</v>
      </c>
      <c r="I165">
        <v>-2</v>
      </c>
      <c r="K165" s="1">
        <v>325</v>
      </c>
      <c r="L165" s="1">
        <v>723</v>
      </c>
      <c r="M165" s="1">
        <v>3049</v>
      </c>
      <c r="N165" s="1">
        <v>-30.3</v>
      </c>
      <c r="O165" s="1">
        <v>3.2</v>
      </c>
      <c r="P165" s="1">
        <v>0.9</v>
      </c>
      <c r="Q165" s="1">
        <v>0</v>
      </c>
      <c r="R165" s="1">
        <v>0</v>
      </c>
      <c r="S165" s="1">
        <v>0</v>
      </c>
    </row>
    <row r="166" spans="1:19" x14ac:dyDescent="0.25">
      <c r="A166" s="1">
        <v>350</v>
      </c>
      <c r="B166" s="1">
        <v>572</v>
      </c>
      <c r="C166" s="1">
        <v>1910</v>
      </c>
      <c r="D166" s="1">
        <v>-52.4</v>
      </c>
      <c r="E166" s="1">
        <v>5.0999999999999996</v>
      </c>
      <c r="F166" s="1">
        <v>1.5</v>
      </c>
      <c r="G166">
        <v>-56</v>
      </c>
      <c r="H166">
        <v>-6</v>
      </c>
      <c r="I166">
        <v>-2</v>
      </c>
      <c r="K166" s="1">
        <v>350</v>
      </c>
      <c r="L166" s="1">
        <v>712</v>
      </c>
      <c r="M166" s="1">
        <v>2960</v>
      </c>
      <c r="N166" s="1">
        <v>-40.1</v>
      </c>
      <c r="O166" s="1">
        <v>3.9</v>
      </c>
      <c r="P166" s="1">
        <v>1.1000000000000001</v>
      </c>
      <c r="Q166" s="1">
        <v>0</v>
      </c>
      <c r="R166" s="1">
        <v>0</v>
      </c>
      <c r="S166" s="1">
        <v>0</v>
      </c>
    </row>
    <row r="167" spans="1:19" x14ac:dyDescent="0.25">
      <c r="A167" s="1">
        <v>375</v>
      </c>
      <c r="B167" s="1">
        <v>554</v>
      </c>
      <c r="C167" s="1">
        <v>1789</v>
      </c>
      <c r="D167" s="1">
        <v>-67.400000000000006</v>
      </c>
      <c r="E167" s="1">
        <v>6.2</v>
      </c>
      <c r="F167" s="1">
        <v>1.8</v>
      </c>
      <c r="G167">
        <v>-65</v>
      </c>
      <c r="H167">
        <v>-6</v>
      </c>
      <c r="I167">
        <v>-2</v>
      </c>
      <c r="K167" s="1">
        <v>375</v>
      </c>
      <c r="L167" s="1">
        <v>702</v>
      </c>
      <c r="M167" s="1">
        <v>2874</v>
      </c>
      <c r="N167" s="1">
        <v>-50.9</v>
      </c>
      <c r="O167" s="1">
        <v>4.7</v>
      </c>
      <c r="P167" s="1">
        <v>1.4</v>
      </c>
      <c r="Q167" s="1">
        <v>0</v>
      </c>
      <c r="R167" s="1">
        <v>0</v>
      </c>
      <c r="S167" s="1">
        <v>0</v>
      </c>
    </row>
    <row r="168" spans="1:19" x14ac:dyDescent="0.25">
      <c r="A168" s="1">
        <v>400</v>
      </c>
      <c r="B168" s="1">
        <v>536</v>
      </c>
      <c r="C168" s="1">
        <v>1675</v>
      </c>
      <c r="D168" s="1">
        <v>-84.4</v>
      </c>
      <c r="E168" s="1">
        <v>7.3</v>
      </c>
      <c r="F168" s="1">
        <v>2.1</v>
      </c>
      <c r="G168">
        <v>-76</v>
      </c>
      <c r="H168">
        <v>-7</v>
      </c>
      <c r="I168">
        <v>-2</v>
      </c>
      <c r="K168" s="1">
        <v>400</v>
      </c>
      <c r="L168" s="1">
        <v>691</v>
      </c>
      <c r="M168" s="1">
        <v>2789</v>
      </c>
      <c r="N168" s="1">
        <v>-62.8</v>
      </c>
      <c r="O168" s="1">
        <v>5.4</v>
      </c>
      <c r="P168" s="1">
        <v>1.6</v>
      </c>
      <c r="Q168" s="1">
        <v>0</v>
      </c>
      <c r="R168" s="1">
        <v>0</v>
      </c>
      <c r="S168" s="1">
        <v>0</v>
      </c>
    </row>
    <row r="169" spans="1:19" x14ac:dyDescent="0.25">
      <c r="A169" s="1">
        <v>425</v>
      </c>
      <c r="B169" s="1">
        <v>518</v>
      </c>
      <c r="C169" s="1">
        <v>1567</v>
      </c>
      <c r="D169" s="1">
        <v>-104.6</v>
      </c>
      <c r="E169" s="1">
        <v>8.5</v>
      </c>
      <c r="F169" s="1">
        <v>2.5</v>
      </c>
      <c r="G169">
        <v>-87</v>
      </c>
      <c r="H169">
        <v>-8</v>
      </c>
      <c r="I169">
        <v>-2</v>
      </c>
      <c r="K169" s="1">
        <v>425</v>
      </c>
      <c r="L169" s="1">
        <v>681</v>
      </c>
      <c r="M169" s="1">
        <v>2706</v>
      </c>
      <c r="N169" s="1">
        <v>-76.599999999999994</v>
      </c>
      <c r="O169" s="1">
        <v>6.2</v>
      </c>
      <c r="P169" s="1">
        <v>1.8</v>
      </c>
      <c r="Q169" s="1">
        <v>0</v>
      </c>
      <c r="R169" s="1">
        <v>0</v>
      </c>
      <c r="S169" s="1">
        <v>0</v>
      </c>
    </row>
    <row r="170" spans="1:19" x14ac:dyDescent="0.25">
      <c r="A170" s="1">
        <v>450</v>
      </c>
      <c r="B170" s="1">
        <v>501</v>
      </c>
      <c r="C170" s="1">
        <v>1466</v>
      </c>
      <c r="D170" s="1">
        <v>-126.5</v>
      </c>
      <c r="E170" s="1">
        <v>9.6999999999999993</v>
      </c>
      <c r="F170" s="1">
        <v>2.8</v>
      </c>
      <c r="G170">
        <v>-99</v>
      </c>
      <c r="H170">
        <v>-8</v>
      </c>
      <c r="I170">
        <v>-2</v>
      </c>
      <c r="K170" s="1">
        <v>450</v>
      </c>
      <c r="L170" s="1">
        <v>671</v>
      </c>
      <c r="M170" s="1">
        <v>2624</v>
      </c>
      <c r="N170" s="1">
        <v>-91.3</v>
      </c>
      <c r="O170" s="1">
        <v>7</v>
      </c>
      <c r="P170" s="1">
        <v>2</v>
      </c>
      <c r="Q170" s="1">
        <v>0</v>
      </c>
      <c r="R170" s="1">
        <v>0</v>
      </c>
      <c r="S170" s="1">
        <v>0</v>
      </c>
    </row>
    <row r="171" spans="1:19" x14ac:dyDescent="0.25">
      <c r="A171" s="1">
        <v>475</v>
      </c>
      <c r="B171" s="1">
        <v>485</v>
      </c>
      <c r="C171" s="1">
        <v>1370</v>
      </c>
      <c r="D171" s="1">
        <v>-151.1</v>
      </c>
      <c r="E171" s="1">
        <v>10.9</v>
      </c>
      <c r="F171" s="1">
        <v>3.2</v>
      </c>
      <c r="G171">
        <v>-112</v>
      </c>
      <c r="H171">
        <v>-9</v>
      </c>
      <c r="I171">
        <v>-3</v>
      </c>
      <c r="K171" s="1">
        <v>475</v>
      </c>
      <c r="L171" s="1">
        <v>661</v>
      </c>
      <c r="M171" s="1">
        <v>2545</v>
      </c>
      <c r="N171" s="1">
        <v>-107.4</v>
      </c>
      <c r="O171" s="1">
        <v>7.8</v>
      </c>
      <c r="P171" s="1">
        <v>2.2999999999999998</v>
      </c>
      <c r="Q171" s="1">
        <v>0</v>
      </c>
      <c r="R171" s="1">
        <v>0</v>
      </c>
      <c r="S171" s="1">
        <v>0</v>
      </c>
    </row>
    <row r="172" spans="1:19" x14ac:dyDescent="0.25">
      <c r="A172" s="1">
        <v>500</v>
      </c>
      <c r="B172" s="1">
        <v>469</v>
      </c>
      <c r="C172" s="1">
        <v>1284</v>
      </c>
      <c r="D172" s="1">
        <v>-178.6</v>
      </c>
      <c r="E172" s="1">
        <v>12.3</v>
      </c>
      <c r="F172" s="1">
        <v>3.6</v>
      </c>
      <c r="G172">
        <v>-125</v>
      </c>
      <c r="H172">
        <v>-9</v>
      </c>
      <c r="I172">
        <v>-3</v>
      </c>
      <c r="K172" s="1">
        <v>500</v>
      </c>
      <c r="L172" s="1">
        <v>651</v>
      </c>
      <c r="M172" s="1">
        <v>2471</v>
      </c>
      <c r="N172" s="1">
        <v>-125</v>
      </c>
      <c r="O172" s="1">
        <v>8.6</v>
      </c>
      <c r="P172" s="1">
        <v>2.5</v>
      </c>
      <c r="Q172" s="1">
        <v>0</v>
      </c>
      <c r="R172" s="1">
        <v>0</v>
      </c>
      <c r="S172" s="1">
        <v>0</v>
      </c>
    </row>
    <row r="174" spans="1:19" x14ac:dyDescent="0.25">
      <c r="A174" t="s">
        <v>91</v>
      </c>
      <c r="K174" t="s">
        <v>78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39</v>
      </c>
      <c r="H175" t="s">
        <v>40</v>
      </c>
      <c r="I175" t="s">
        <v>41</v>
      </c>
      <c r="K175" t="s">
        <v>12</v>
      </c>
      <c r="L175" t="s">
        <v>13</v>
      </c>
      <c r="M175" t="s">
        <v>14</v>
      </c>
      <c r="N175" t="s">
        <v>15</v>
      </c>
      <c r="O175" t="s">
        <v>16</v>
      </c>
      <c r="P175" t="s">
        <v>17</v>
      </c>
      <c r="Q175" t="s">
        <v>39</v>
      </c>
      <c r="R175" t="s">
        <v>40</v>
      </c>
      <c r="S175" t="s">
        <v>41</v>
      </c>
    </row>
    <row r="176" spans="1:19" x14ac:dyDescent="0.25">
      <c r="A176" s="1">
        <v>0</v>
      </c>
      <c r="B176" s="1">
        <v>869</v>
      </c>
      <c r="C176" s="1">
        <v>4402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869</v>
      </c>
      <c r="M176" s="1">
        <v>4402</v>
      </c>
      <c r="N176" s="1">
        <v>-3.8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1:19" x14ac:dyDescent="0.25">
      <c r="A177" s="1">
        <v>25</v>
      </c>
      <c r="B177" s="1">
        <v>845</v>
      </c>
      <c r="C177" s="1">
        <v>4165</v>
      </c>
      <c r="D177" s="1">
        <v>2.4</v>
      </c>
      <c r="E177" s="1">
        <v>-3.3</v>
      </c>
      <c r="F177" s="1">
        <v>-1</v>
      </c>
      <c r="G177">
        <v>0</v>
      </c>
      <c r="H177">
        <v>0</v>
      </c>
      <c r="I177">
        <v>0</v>
      </c>
      <c r="K177" s="1">
        <v>25</v>
      </c>
      <c r="L177" s="1">
        <v>857</v>
      </c>
      <c r="M177" s="1">
        <v>4283</v>
      </c>
      <c r="N177" s="1">
        <v>1.6</v>
      </c>
      <c r="O177" s="1">
        <v>-2.2000000000000002</v>
      </c>
      <c r="P177" s="1">
        <v>-0.6</v>
      </c>
      <c r="Q177" s="1">
        <v>0</v>
      </c>
      <c r="R177" s="1">
        <v>0</v>
      </c>
      <c r="S177" s="1">
        <v>0</v>
      </c>
    </row>
    <row r="178" spans="1:19" x14ac:dyDescent="0.25">
      <c r="A178" s="1">
        <v>50</v>
      </c>
      <c r="B178" s="1">
        <v>822</v>
      </c>
      <c r="C178" s="1">
        <v>3940</v>
      </c>
      <c r="D178" s="1">
        <v>7.9</v>
      </c>
      <c r="E178" s="1">
        <v>-5.4</v>
      </c>
      <c r="F178" s="1">
        <v>-1.6</v>
      </c>
      <c r="G178">
        <v>-1</v>
      </c>
      <c r="H178">
        <v>-1</v>
      </c>
      <c r="I178">
        <v>0</v>
      </c>
      <c r="K178" s="1">
        <v>50</v>
      </c>
      <c r="L178" s="1">
        <v>845</v>
      </c>
      <c r="M178" s="1">
        <v>4168</v>
      </c>
      <c r="N178" s="1">
        <v>6.3</v>
      </c>
      <c r="O178" s="1">
        <v>-4.3</v>
      </c>
      <c r="P178" s="1">
        <v>-1.2</v>
      </c>
      <c r="Q178" s="1">
        <v>0</v>
      </c>
      <c r="R178" s="1">
        <v>0</v>
      </c>
      <c r="S178" s="1">
        <v>0</v>
      </c>
    </row>
    <row r="179" spans="1:19" x14ac:dyDescent="0.25">
      <c r="A179" s="1">
        <v>75</v>
      </c>
      <c r="B179" s="1">
        <v>799</v>
      </c>
      <c r="C179" s="1">
        <v>3725</v>
      </c>
      <c r="D179" s="1">
        <v>12.4</v>
      </c>
      <c r="E179" s="1">
        <v>-5.7</v>
      </c>
      <c r="F179" s="1">
        <v>-1.6</v>
      </c>
      <c r="G179">
        <v>-2</v>
      </c>
      <c r="H179">
        <v>-1</v>
      </c>
      <c r="I179">
        <v>0</v>
      </c>
      <c r="K179" s="1">
        <v>75</v>
      </c>
      <c r="L179" s="1">
        <v>834</v>
      </c>
      <c r="M179" s="1">
        <v>4055</v>
      </c>
      <c r="N179" s="1">
        <v>10</v>
      </c>
      <c r="O179" s="1">
        <v>-4.5999999999999996</v>
      </c>
      <c r="P179" s="1">
        <v>-1.3</v>
      </c>
      <c r="Q179" s="1">
        <v>0</v>
      </c>
      <c r="R179" s="1">
        <v>0</v>
      </c>
      <c r="S179" s="1">
        <v>0</v>
      </c>
    </row>
    <row r="180" spans="1:19" x14ac:dyDescent="0.25">
      <c r="A180" s="1">
        <v>100</v>
      </c>
      <c r="B180" s="1">
        <v>777</v>
      </c>
      <c r="C180" s="1">
        <v>3519</v>
      </c>
      <c r="D180" s="1">
        <v>15.8</v>
      </c>
      <c r="E180" s="1">
        <v>-5.4</v>
      </c>
      <c r="F180" s="1">
        <v>-1.6</v>
      </c>
      <c r="G180">
        <v>-4</v>
      </c>
      <c r="H180">
        <v>-2</v>
      </c>
      <c r="I180">
        <v>0</v>
      </c>
      <c r="K180" s="1">
        <v>100</v>
      </c>
      <c r="L180" s="1">
        <v>822</v>
      </c>
      <c r="M180" s="1">
        <v>3944</v>
      </c>
      <c r="N180" s="1">
        <v>12.8</v>
      </c>
      <c r="O180" s="1">
        <v>-4.4000000000000004</v>
      </c>
      <c r="P180" s="1">
        <v>-1.3</v>
      </c>
      <c r="Q180" s="1">
        <v>0</v>
      </c>
      <c r="R180" s="1">
        <v>0</v>
      </c>
      <c r="S180" s="1">
        <v>0</v>
      </c>
    </row>
    <row r="181" spans="1:19" x14ac:dyDescent="0.25">
      <c r="A181" s="1">
        <v>125</v>
      </c>
      <c r="B181" s="1">
        <v>755</v>
      </c>
      <c r="C181" s="1">
        <v>3322</v>
      </c>
      <c r="D181" s="1">
        <v>18.3</v>
      </c>
      <c r="E181" s="1">
        <v>-5</v>
      </c>
      <c r="F181" s="1">
        <v>-1.5</v>
      </c>
      <c r="G181">
        <v>-6</v>
      </c>
      <c r="H181">
        <v>-2</v>
      </c>
      <c r="I181">
        <v>-1</v>
      </c>
      <c r="K181" s="1">
        <v>125</v>
      </c>
      <c r="L181" s="1">
        <v>811</v>
      </c>
      <c r="M181" s="1">
        <v>3836</v>
      </c>
      <c r="N181" s="1">
        <v>14.8</v>
      </c>
      <c r="O181" s="1">
        <v>-4.0999999999999996</v>
      </c>
      <c r="P181" s="1">
        <v>-1.2</v>
      </c>
      <c r="Q181" s="1">
        <v>0</v>
      </c>
      <c r="R181" s="1">
        <v>0</v>
      </c>
      <c r="S181" s="1">
        <v>0</v>
      </c>
    </row>
    <row r="182" spans="1:19" x14ac:dyDescent="0.25">
      <c r="A182" s="1">
        <v>150</v>
      </c>
      <c r="B182" s="1">
        <v>733</v>
      </c>
      <c r="C182" s="1">
        <v>3134</v>
      </c>
      <c r="D182" s="1">
        <v>19.7</v>
      </c>
      <c r="E182" s="1">
        <v>-4.5</v>
      </c>
      <c r="F182" s="1">
        <v>-1.3</v>
      </c>
      <c r="G182">
        <v>-9</v>
      </c>
      <c r="H182">
        <v>-2</v>
      </c>
      <c r="I182">
        <v>-1</v>
      </c>
      <c r="K182" s="1">
        <v>150</v>
      </c>
      <c r="L182" s="1">
        <v>800</v>
      </c>
      <c r="M182" s="1">
        <v>3730</v>
      </c>
      <c r="N182" s="1">
        <v>15.7</v>
      </c>
      <c r="O182" s="1">
        <v>-3.6</v>
      </c>
      <c r="P182" s="1">
        <v>-1</v>
      </c>
      <c r="Q182" s="1">
        <v>0</v>
      </c>
      <c r="R182" s="1">
        <v>0</v>
      </c>
      <c r="S182" s="1">
        <v>0</v>
      </c>
    </row>
    <row r="183" spans="1:19" x14ac:dyDescent="0.25">
      <c r="A183" s="1">
        <v>175</v>
      </c>
      <c r="B183" s="1">
        <v>712</v>
      </c>
      <c r="C183" s="1">
        <v>2955</v>
      </c>
      <c r="D183" s="1">
        <v>19.899999999999999</v>
      </c>
      <c r="E183" s="1">
        <v>-3.9</v>
      </c>
      <c r="F183" s="1">
        <v>-1.1000000000000001</v>
      </c>
      <c r="G183">
        <v>-13</v>
      </c>
      <c r="H183">
        <v>-3</v>
      </c>
      <c r="I183">
        <v>-1</v>
      </c>
      <c r="K183" s="1">
        <v>175</v>
      </c>
      <c r="L183" s="1">
        <v>788</v>
      </c>
      <c r="M183" s="1">
        <v>3626</v>
      </c>
      <c r="N183" s="1">
        <v>15.8</v>
      </c>
      <c r="O183" s="1">
        <v>-3.1</v>
      </c>
      <c r="P183" s="1">
        <v>-0.9</v>
      </c>
      <c r="Q183" s="1">
        <v>0</v>
      </c>
      <c r="R183" s="1">
        <v>0</v>
      </c>
      <c r="S183" s="1">
        <v>0</v>
      </c>
    </row>
    <row r="184" spans="1:19" x14ac:dyDescent="0.25">
      <c r="A184" s="1">
        <v>200</v>
      </c>
      <c r="B184" s="1">
        <v>691</v>
      </c>
      <c r="C184" s="1">
        <v>2783</v>
      </c>
      <c r="D184" s="1">
        <v>18.8</v>
      </c>
      <c r="E184" s="1">
        <v>-3.2</v>
      </c>
      <c r="F184" s="1">
        <v>-0.9</v>
      </c>
      <c r="G184">
        <v>-17</v>
      </c>
      <c r="H184">
        <v>-3</v>
      </c>
      <c r="I184">
        <v>-1</v>
      </c>
      <c r="K184" s="1">
        <v>200</v>
      </c>
      <c r="L184" s="1">
        <v>777</v>
      </c>
      <c r="M184" s="1">
        <v>3525</v>
      </c>
      <c r="N184" s="1">
        <v>14.7</v>
      </c>
      <c r="O184" s="1">
        <v>-2.5</v>
      </c>
      <c r="P184" s="1">
        <v>-0.7</v>
      </c>
      <c r="Q184" s="1">
        <v>0</v>
      </c>
      <c r="R184" s="1">
        <v>0</v>
      </c>
      <c r="S184" s="1">
        <v>0</v>
      </c>
    </row>
    <row r="185" spans="1:19" x14ac:dyDescent="0.25">
      <c r="A185" s="1">
        <v>225</v>
      </c>
      <c r="B185" s="1">
        <v>670</v>
      </c>
      <c r="C185" s="1">
        <v>2619</v>
      </c>
      <c r="D185" s="1">
        <v>16.3</v>
      </c>
      <c r="E185" s="1">
        <v>-2.5</v>
      </c>
      <c r="F185" s="1">
        <v>-0.7</v>
      </c>
      <c r="G185">
        <v>-22</v>
      </c>
      <c r="H185">
        <v>-4</v>
      </c>
      <c r="I185">
        <v>-1</v>
      </c>
      <c r="K185" s="1">
        <v>225</v>
      </c>
      <c r="L185" s="1">
        <v>766</v>
      </c>
      <c r="M185" s="1">
        <v>3425</v>
      </c>
      <c r="N185" s="1">
        <v>12.7</v>
      </c>
      <c r="O185" s="1">
        <v>-1.9</v>
      </c>
      <c r="P185" s="1">
        <v>-0.6</v>
      </c>
      <c r="Q185" s="1">
        <v>0</v>
      </c>
      <c r="R185" s="1">
        <v>0</v>
      </c>
      <c r="S185" s="1">
        <v>0</v>
      </c>
    </row>
    <row r="186" spans="1:19" x14ac:dyDescent="0.25">
      <c r="A186" s="1">
        <v>250</v>
      </c>
      <c r="B186" s="1">
        <v>650</v>
      </c>
      <c r="C186" s="1">
        <v>2463</v>
      </c>
      <c r="D186" s="1">
        <v>12.5</v>
      </c>
      <c r="E186" s="1">
        <v>-1.7</v>
      </c>
      <c r="F186" s="1">
        <v>-0.5</v>
      </c>
      <c r="G186">
        <v>-27</v>
      </c>
      <c r="H186">
        <v>-4</v>
      </c>
      <c r="I186">
        <v>-1</v>
      </c>
      <c r="K186" s="1">
        <v>250</v>
      </c>
      <c r="L186" s="1">
        <v>755</v>
      </c>
      <c r="M186" s="1">
        <v>3328</v>
      </c>
      <c r="N186" s="1">
        <v>9.6999999999999993</v>
      </c>
      <c r="O186" s="1">
        <v>-1.3</v>
      </c>
      <c r="P186" s="1">
        <v>-0.4</v>
      </c>
      <c r="Q186" s="1">
        <v>0</v>
      </c>
      <c r="R186" s="1">
        <v>0</v>
      </c>
      <c r="S186" s="1">
        <v>0</v>
      </c>
    </row>
    <row r="187" spans="1:19" x14ac:dyDescent="0.25">
      <c r="A187" s="1">
        <v>275</v>
      </c>
      <c r="B187" s="1">
        <v>630</v>
      </c>
      <c r="C187" s="1">
        <v>2314</v>
      </c>
      <c r="D187" s="1">
        <v>7</v>
      </c>
      <c r="E187" s="1">
        <v>-0.9</v>
      </c>
      <c r="F187" s="1">
        <v>-0.3</v>
      </c>
      <c r="G187">
        <v>-33</v>
      </c>
      <c r="H187">
        <v>-4</v>
      </c>
      <c r="I187">
        <v>-1</v>
      </c>
      <c r="K187" s="1">
        <v>275</v>
      </c>
      <c r="L187" s="1">
        <v>745</v>
      </c>
      <c r="M187" s="1">
        <v>3233</v>
      </c>
      <c r="N187" s="1">
        <v>5.4</v>
      </c>
      <c r="O187" s="1">
        <v>-0.7</v>
      </c>
      <c r="P187" s="1">
        <v>-0.2</v>
      </c>
      <c r="Q187" s="1">
        <v>0</v>
      </c>
      <c r="R187" s="1">
        <v>0</v>
      </c>
      <c r="S187" s="1">
        <v>0</v>
      </c>
    </row>
    <row r="188" spans="1:19" x14ac:dyDescent="0.25">
      <c r="A188" s="10">
        <v>300</v>
      </c>
      <c r="B188" s="10">
        <v>610</v>
      </c>
      <c r="C188" s="10">
        <v>2173</v>
      </c>
      <c r="D188" s="10">
        <v>0</v>
      </c>
      <c r="E188" s="10">
        <v>0</v>
      </c>
      <c r="F188" s="10">
        <v>0</v>
      </c>
      <c r="G188">
        <v>-40</v>
      </c>
      <c r="H188">
        <v>-5</v>
      </c>
      <c r="I188">
        <v>-2</v>
      </c>
      <c r="K188" s="1">
        <v>300</v>
      </c>
      <c r="L188" s="1">
        <v>734</v>
      </c>
      <c r="M188" s="1">
        <v>3140</v>
      </c>
      <c r="N188" s="1">
        <v>0.1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19" x14ac:dyDescent="0.25">
      <c r="A189" s="1">
        <v>325</v>
      </c>
      <c r="B189" s="1">
        <v>591</v>
      </c>
      <c r="C189" s="1">
        <v>2038</v>
      </c>
      <c r="D189" s="1">
        <v>-8.6999999999999993</v>
      </c>
      <c r="E189" s="1">
        <v>0.9</v>
      </c>
      <c r="F189" s="1">
        <v>0.3</v>
      </c>
      <c r="G189">
        <v>-48</v>
      </c>
      <c r="H189">
        <v>-6</v>
      </c>
      <c r="I189">
        <v>-2</v>
      </c>
      <c r="K189" s="1">
        <v>325</v>
      </c>
      <c r="L189" s="1">
        <v>723</v>
      </c>
      <c r="M189" s="1">
        <v>3049</v>
      </c>
      <c r="N189" s="1">
        <v>-6.4</v>
      </c>
      <c r="O189" s="1">
        <v>0.7</v>
      </c>
      <c r="P189" s="1">
        <v>0.2</v>
      </c>
      <c r="Q189" s="1">
        <v>0</v>
      </c>
      <c r="R189" s="1">
        <v>0</v>
      </c>
      <c r="S189" s="1">
        <v>0</v>
      </c>
    </row>
    <row r="190" spans="1:19" x14ac:dyDescent="0.25">
      <c r="A190" s="1">
        <v>350</v>
      </c>
      <c r="B190" s="1">
        <v>572</v>
      </c>
      <c r="C190" s="1">
        <v>1910</v>
      </c>
      <c r="D190" s="1">
        <v>-19.7</v>
      </c>
      <c r="E190" s="1">
        <v>1.9</v>
      </c>
      <c r="F190" s="1">
        <v>0.6</v>
      </c>
      <c r="G190">
        <v>-56</v>
      </c>
      <c r="H190">
        <v>-6</v>
      </c>
      <c r="I190">
        <v>-2</v>
      </c>
      <c r="K190" s="1">
        <v>350</v>
      </c>
      <c r="L190" s="1">
        <v>712</v>
      </c>
      <c r="M190" s="1">
        <v>2960</v>
      </c>
      <c r="N190" s="1">
        <v>-14.3</v>
      </c>
      <c r="O190" s="1">
        <v>1.4</v>
      </c>
      <c r="P190" s="1">
        <v>0.4</v>
      </c>
      <c r="Q190" s="1">
        <v>0</v>
      </c>
      <c r="R190" s="1">
        <v>0</v>
      </c>
      <c r="S190" s="1">
        <v>0</v>
      </c>
    </row>
    <row r="191" spans="1:19" x14ac:dyDescent="0.25">
      <c r="A191" s="1">
        <v>375</v>
      </c>
      <c r="B191" s="1">
        <v>554</v>
      </c>
      <c r="C191" s="1">
        <v>1789</v>
      </c>
      <c r="D191" s="1">
        <v>-32.299999999999997</v>
      </c>
      <c r="E191" s="1">
        <v>3</v>
      </c>
      <c r="F191" s="1">
        <v>0.9</v>
      </c>
      <c r="G191">
        <v>-65</v>
      </c>
      <c r="H191">
        <v>-6</v>
      </c>
      <c r="I191">
        <v>-2</v>
      </c>
      <c r="K191" s="1">
        <v>375</v>
      </c>
      <c r="L191" s="1">
        <v>702</v>
      </c>
      <c r="M191" s="1">
        <v>2873</v>
      </c>
      <c r="N191" s="1">
        <v>-23.2</v>
      </c>
      <c r="O191" s="1">
        <v>2.1</v>
      </c>
      <c r="P191" s="1">
        <v>0.6</v>
      </c>
      <c r="Q191" s="1">
        <v>0</v>
      </c>
      <c r="R191" s="1">
        <v>0</v>
      </c>
      <c r="S191" s="1">
        <v>0</v>
      </c>
    </row>
    <row r="192" spans="1:19" x14ac:dyDescent="0.25">
      <c r="A192" s="1">
        <v>400</v>
      </c>
      <c r="B192" s="1">
        <v>536</v>
      </c>
      <c r="C192" s="1">
        <v>1675</v>
      </c>
      <c r="D192" s="1">
        <v>-47</v>
      </c>
      <c r="E192" s="1">
        <v>4</v>
      </c>
      <c r="F192" s="1">
        <v>1.2</v>
      </c>
      <c r="G192">
        <v>-76</v>
      </c>
      <c r="H192">
        <v>-7</v>
      </c>
      <c r="I192">
        <v>-2</v>
      </c>
      <c r="K192" s="1">
        <v>400</v>
      </c>
      <c r="L192" s="1">
        <v>691</v>
      </c>
      <c r="M192" s="1">
        <v>2789</v>
      </c>
      <c r="N192" s="1">
        <v>-33.299999999999997</v>
      </c>
      <c r="O192" s="1">
        <v>2.9</v>
      </c>
      <c r="P192" s="1">
        <v>0.8</v>
      </c>
      <c r="Q192" s="1">
        <v>0</v>
      </c>
      <c r="R192" s="1">
        <v>0</v>
      </c>
      <c r="S192" s="1">
        <v>0</v>
      </c>
    </row>
    <row r="193" spans="1:19" x14ac:dyDescent="0.25">
      <c r="A193" s="1">
        <v>425</v>
      </c>
      <c r="B193" s="1">
        <v>518</v>
      </c>
      <c r="C193" s="1">
        <v>1567</v>
      </c>
      <c r="D193" s="1">
        <v>-64.8</v>
      </c>
      <c r="E193" s="1">
        <v>5.2</v>
      </c>
      <c r="F193" s="1">
        <v>1.5</v>
      </c>
      <c r="G193">
        <v>-87</v>
      </c>
      <c r="H193">
        <v>-8</v>
      </c>
      <c r="I193">
        <v>-2</v>
      </c>
      <c r="K193" s="1">
        <v>425</v>
      </c>
      <c r="L193" s="1">
        <v>681</v>
      </c>
      <c r="M193" s="1">
        <v>2706</v>
      </c>
      <c r="N193" s="1">
        <v>-45.2</v>
      </c>
      <c r="O193" s="1">
        <v>3.7</v>
      </c>
      <c r="P193" s="1">
        <v>1.1000000000000001</v>
      </c>
      <c r="Q193" s="1">
        <v>0</v>
      </c>
      <c r="R193" s="1">
        <v>0</v>
      </c>
      <c r="S193" s="1">
        <v>0</v>
      </c>
    </row>
    <row r="194" spans="1:19" x14ac:dyDescent="0.25">
      <c r="A194" s="1">
        <v>450</v>
      </c>
      <c r="B194" s="1">
        <v>501</v>
      </c>
      <c r="C194" s="1">
        <v>1465</v>
      </c>
      <c r="D194" s="1">
        <v>-84.4</v>
      </c>
      <c r="E194" s="1">
        <v>6.4</v>
      </c>
      <c r="F194" s="1">
        <v>1.9</v>
      </c>
      <c r="G194">
        <v>-99</v>
      </c>
      <c r="H194">
        <v>-8</v>
      </c>
      <c r="I194">
        <v>-2</v>
      </c>
      <c r="K194" s="1">
        <v>450</v>
      </c>
      <c r="L194" s="1">
        <v>671</v>
      </c>
      <c r="M194" s="1">
        <v>2624</v>
      </c>
      <c r="N194" s="1">
        <v>-58.1</v>
      </c>
      <c r="O194" s="1">
        <v>4.4000000000000004</v>
      </c>
      <c r="P194" s="1">
        <v>1.3</v>
      </c>
      <c r="Q194" s="1">
        <v>0</v>
      </c>
      <c r="R194" s="1">
        <v>0</v>
      </c>
      <c r="S194" s="1">
        <v>0</v>
      </c>
    </row>
    <row r="195" spans="1:19" x14ac:dyDescent="0.25">
      <c r="A195" s="1">
        <v>475</v>
      </c>
      <c r="B195" s="1">
        <v>485</v>
      </c>
      <c r="C195" s="1">
        <v>1370</v>
      </c>
      <c r="D195" s="1">
        <v>-106.7</v>
      </c>
      <c r="E195" s="1">
        <v>7.7</v>
      </c>
      <c r="F195" s="1">
        <v>2.2000000000000002</v>
      </c>
      <c r="G195">
        <v>-112</v>
      </c>
      <c r="H195">
        <v>-9</v>
      </c>
      <c r="I195">
        <v>-3</v>
      </c>
      <c r="K195" s="1">
        <v>475</v>
      </c>
      <c r="L195" s="1">
        <v>661</v>
      </c>
      <c r="M195" s="1">
        <v>2545</v>
      </c>
      <c r="N195" s="1">
        <v>-72.400000000000006</v>
      </c>
      <c r="O195" s="1">
        <v>5.2</v>
      </c>
      <c r="P195" s="1">
        <v>1.5</v>
      </c>
      <c r="Q195" s="1">
        <v>0</v>
      </c>
      <c r="R195" s="1">
        <v>0</v>
      </c>
      <c r="S195" s="1">
        <v>0</v>
      </c>
    </row>
    <row r="196" spans="1:19" x14ac:dyDescent="0.25">
      <c r="A196" s="1">
        <v>500</v>
      </c>
      <c r="B196" s="1">
        <v>469</v>
      </c>
      <c r="C196" s="1">
        <v>1284</v>
      </c>
      <c r="D196" s="1">
        <v>-131.80000000000001</v>
      </c>
      <c r="E196" s="1">
        <v>9.1</v>
      </c>
      <c r="F196" s="1">
        <v>2.6</v>
      </c>
      <c r="G196">
        <v>-125</v>
      </c>
      <c r="H196">
        <v>-9</v>
      </c>
      <c r="I196">
        <v>-3</v>
      </c>
      <c r="K196" s="1">
        <v>500</v>
      </c>
      <c r="L196" s="1">
        <v>651</v>
      </c>
      <c r="M196" s="1">
        <v>2471</v>
      </c>
      <c r="N196" s="1">
        <v>-88.1</v>
      </c>
      <c r="O196" s="1">
        <v>6.1</v>
      </c>
      <c r="P196" s="1">
        <v>1.8</v>
      </c>
      <c r="Q196" s="1">
        <v>0</v>
      </c>
      <c r="R196" s="1">
        <v>0</v>
      </c>
      <c r="S196" s="1">
        <v>0</v>
      </c>
    </row>
    <row r="198" spans="1:19" x14ac:dyDescent="0.25">
      <c r="A198" t="s">
        <v>92</v>
      </c>
      <c r="K198" t="s">
        <v>86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39</v>
      </c>
      <c r="H199" t="s">
        <v>40</v>
      </c>
      <c r="I199" t="s">
        <v>41</v>
      </c>
      <c r="K199" t="s">
        <v>12</v>
      </c>
      <c r="L199" t="s">
        <v>13</v>
      </c>
      <c r="M199" t="s">
        <v>14</v>
      </c>
      <c r="N199" t="s">
        <v>15</v>
      </c>
      <c r="O199" t="s">
        <v>16</v>
      </c>
      <c r="P199" t="s">
        <v>17</v>
      </c>
      <c r="Q199" t="s">
        <v>39</v>
      </c>
      <c r="R199" t="s">
        <v>40</v>
      </c>
      <c r="S199" t="s">
        <v>41</v>
      </c>
    </row>
    <row r="200" spans="1:19" x14ac:dyDescent="0.25">
      <c r="A200" s="1">
        <v>0</v>
      </c>
      <c r="B200" s="1">
        <v>869</v>
      </c>
      <c r="C200" s="1">
        <v>4402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869</v>
      </c>
      <c r="M200" s="1">
        <v>4402</v>
      </c>
      <c r="N200" s="1">
        <v>-3.8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</row>
    <row r="201" spans="1:19" x14ac:dyDescent="0.25">
      <c r="A201" s="1">
        <v>25</v>
      </c>
      <c r="B201" s="1">
        <v>845</v>
      </c>
      <c r="C201" s="1">
        <v>4165</v>
      </c>
      <c r="D201" s="1">
        <v>5.4</v>
      </c>
      <c r="E201" s="1">
        <v>-7.4</v>
      </c>
      <c r="F201" s="1">
        <v>-2.2000000000000002</v>
      </c>
      <c r="G201">
        <v>0</v>
      </c>
      <c r="H201">
        <v>0</v>
      </c>
      <c r="I201">
        <v>0</v>
      </c>
      <c r="K201" s="1">
        <v>25</v>
      </c>
      <c r="L201" s="1">
        <v>857</v>
      </c>
      <c r="M201" s="1">
        <v>4283</v>
      </c>
      <c r="N201" s="1">
        <v>3.7</v>
      </c>
      <c r="O201" s="1">
        <v>-5.0999999999999996</v>
      </c>
      <c r="P201" s="1">
        <v>-1.5</v>
      </c>
      <c r="Q201" s="1">
        <v>0</v>
      </c>
      <c r="R201" s="1">
        <v>0</v>
      </c>
      <c r="S201" s="1">
        <v>0</v>
      </c>
    </row>
    <row r="202" spans="1:19" x14ac:dyDescent="0.25">
      <c r="A202" s="1">
        <v>50</v>
      </c>
      <c r="B202" s="1">
        <v>822</v>
      </c>
      <c r="C202" s="1">
        <v>3940</v>
      </c>
      <c r="D202" s="1">
        <v>13.9</v>
      </c>
      <c r="E202" s="1">
        <v>-9.5</v>
      </c>
      <c r="F202" s="1">
        <v>-2.8</v>
      </c>
      <c r="G202">
        <v>-1</v>
      </c>
      <c r="H202">
        <v>-1</v>
      </c>
      <c r="I202">
        <v>0</v>
      </c>
      <c r="K202" s="1">
        <v>50</v>
      </c>
      <c r="L202" s="1">
        <v>845</v>
      </c>
      <c r="M202" s="1">
        <v>4168</v>
      </c>
      <c r="N202" s="1">
        <v>10.5</v>
      </c>
      <c r="O202" s="1">
        <v>-7.2</v>
      </c>
      <c r="P202" s="1">
        <v>-2.1</v>
      </c>
      <c r="Q202" s="1">
        <v>0</v>
      </c>
      <c r="R202" s="1">
        <v>0</v>
      </c>
      <c r="S202" s="1">
        <v>0</v>
      </c>
    </row>
    <row r="203" spans="1:19" x14ac:dyDescent="0.25">
      <c r="A203" s="1">
        <v>75</v>
      </c>
      <c r="B203" s="1">
        <v>799</v>
      </c>
      <c r="C203" s="1">
        <v>3725</v>
      </c>
      <c r="D203" s="1">
        <v>21.2</v>
      </c>
      <c r="E203" s="1">
        <v>-9.6999999999999993</v>
      </c>
      <c r="F203" s="1">
        <v>-2.8</v>
      </c>
      <c r="G203">
        <v>-2</v>
      </c>
      <c r="H203">
        <v>-1</v>
      </c>
      <c r="I203">
        <v>0</v>
      </c>
      <c r="K203" s="1">
        <v>75</v>
      </c>
      <c r="L203" s="1">
        <v>834</v>
      </c>
      <c r="M203" s="1">
        <v>4055</v>
      </c>
      <c r="N203" s="1">
        <v>16.3</v>
      </c>
      <c r="O203" s="1">
        <v>-7.5</v>
      </c>
      <c r="P203" s="1">
        <v>-2.2000000000000002</v>
      </c>
      <c r="Q203" s="1">
        <v>0</v>
      </c>
      <c r="R203" s="1">
        <v>0</v>
      </c>
      <c r="S203" s="1">
        <v>0</v>
      </c>
    </row>
    <row r="204" spans="1:19" x14ac:dyDescent="0.25">
      <c r="A204" s="1">
        <v>100</v>
      </c>
      <c r="B204" s="1">
        <v>777</v>
      </c>
      <c r="C204" s="1">
        <v>3519</v>
      </c>
      <c r="D204" s="1">
        <v>27.6</v>
      </c>
      <c r="E204" s="1">
        <v>-9.5</v>
      </c>
      <c r="F204" s="1">
        <v>-2.8</v>
      </c>
      <c r="G204">
        <v>-4</v>
      </c>
      <c r="H204">
        <v>-2</v>
      </c>
      <c r="I204">
        <v>0</v>
      </c>
      <c r="K204" s="1">
        <v>100</v>
      </c>
      <c r="L204" s="1">
        <v>822</v>
      </c>
      <c r="M204" s="1">
        <v>3944</v>
      </c>
      <c r="N204" s="1">
        <v>21.2</v>
      </c>
      <c r="O204" s="1">
        <v>-7.3</v>
      </c>
      <c r="P204" s="1">
        <v>-2.1</v>
      </c>
      <c r="Q204" s="1">
        <v>0</v>
      </c>
      <c r="R204" s="1">
        <v>0</v>
      </c>
      <c r="S204" s="1">
        <v>0</v>
      </c>
    </row>
    <row r="205" spans="1:19" x14ac:dyDescent="0.25">
      <c r="A205" s="1">
        <v>125</v>
      </c>
      <c r="B205" s="1">
        <v>755</v>
      </c>
      <c r="C205" s="1">
        <v>3322</v>
      </c>
      <c r="D205" s="1">
        <v>33.200000000000003</v>
      </c>
      <c r="E205" s="1">
        <v>-9.1</v>
      </c>
      <c r="F205" s="1">
        <v>-2.6</v>
      </c>
      <c r="G205">
        <v>-6</v>
      </c>
      <c r="H205">
        <v>-2</v>
      </c>
      <c r="I205">
        <v>-1</v>
      </c>
      <c r="K205" s="1">
        <v>125</v>
      </c>
      <c r="L205" s="1">
        <v>811</v>
      </c>
      <c r="M205" s="1">
        <v>3836</v>
      </c>
      <c r="N205" s="1">
        <v>25.3</v>
      </c>
      <c r="O205" s="1">
        <v>-6.9</v>
      </c>
      <c r="P205" s="1">
        <v>-2</v>
      </c>
      <c r="Q205" s="1">
        <v>0</v>
      </c>
      <c r="R205" s="1">
        <v>0</v>
      </c>
      <c r="S205" s="1">
        <v>0</v>
      </c>
    </row>
    <row r="206" spans="1:19" x14ac:dyDescent="0.25">
      <c r="A206" s="1">
        <v>150</v>
      </c>
      <c r="B206" s="1">
        <v>733</v>
      </c>
      <c r="C206" s="1">
        <v>3134</v>
      </c>
      <c r="D206" s="1">
        <v>37.4</v>
      </c>
      <c r="E206" s="1">
        <v>-8.6</v>
      </c>
      <c r="F206" s="1">
        <v>-2.5</v>
      </c>
      <c r="G206">
        <v>-9</v>
      </c>
      <c r="H206">
        <v>-2</v>
      </c>
      <c r="I206">
        <v>-1</v>
      </c>
      <c r="K206" s="1">
        <v>150</v>
      </c>
      <c r="L206" s="1">
        <v>800</v>
      </c>
      <c r="M206" s="1">
        <v>3730</v>
      </c>
      <c r="N206" s="1">
        <v>28.3</v>
      </c>
      <c r="O206" s="1">
        <v>-6.5</v>
      </c>
      <c r="P206" s="1">
        <v>-1.9</v>
      </c>
      <c r="Q206" s="1">
        <v>0</v>
      </c>
      <c r="R206" s="1">
        <v>0</v>
      </c>
      <c r="S206" s="1">
        <v>0</v>
      </c>
    </row>
    <row r="207" spans="1:19" x14ac:dyDescent="0.25">
      <c r="A207" s="1">
        <v>175</v>
      </c>
      <c r="B207" s="1">
        <v>712</v>
      </c>
      <c r="C207" s="1">
        <v>2955</v>
      </c>
      <c r="D207" s="1">
        <v>40.5</v>
      </c>
      <c r="E207" s="1">
        <v>-8</v>
      </c>
      <c r="F207" s="1">
        <v>-2.2999999999999998</v>
      </c>
      <c r="G207">
        <v>-13</v>
      </c>
      <c r="H207">
        <v>-3</v>
      </c>
      <c r="I207">
        <v>-1</v>
      </c>
      <c r="K207" s="1">
        <v>175</v>
      </c>
      <c r="L207" s="1">
        <v>788</v>
      </c>
      <c r="M207" s="1">
        <v>3626</v>
      </c>
      <c r="N207" s="1">
        <v>30.4</v>
      </c>
      <c r="O207" s="1">
        <v>-6</v>
      </c>
      <c r="P207" s="1">
        <v>-1.7</v>
      </c>
      <c r="Q207" s="1">
        <v>0</v>
      </c>
      <c r="R207" s="1">
        <v>0</v>
      </c>
      <c r="S207" s="1">
        <v>0</v>
      </c>
    </row>
    <row r="208" spans="1:19" x14ac:dyDescent="0.25">
      <c r="A208" s="1">
        <v>200</v>
      </c>
      <c r="B208" s="1">
        <v>691</v>
      </c>
      <c r="C208" s="1">
        <v>2783</v>
      </c>
      <c r="D208" s="1">
        <v>42.4</v>
      </c>
      <c r="E208" s="1">
        <v>-7.3</v>
      </c>
      <c r="F208" s="1">
        <v>-2.1</v>
      </c>
      <c r="G208">
        <v>-17</v>
      </c>
      <c r="H208">
        <v>-3</v>
      </c>
      <c r="I208">
        <v>-1</v>
      </c>
      <c r="K208" s="1">
        <v>200</v>
      </c>
      <c r="L208" s="1">
        <v>777</v>
      </c>
      <c r="M208" s="1">
        <v>3525</v>
      </c>
      <c r="N208" s="1">
        <v>31.6</v>
      </c>
      <c r="O208" s="1">
        <v>-5.4</v>
      </c>
      <c r="P208" s="1">
        <v>-1.6</v>
      </c>
      <c r="Q208" s="1">
        <v>0</v>
      </c>
      <c r="R208" s="1">
        <v>0</v>
      </c>
      <c r="S208" s="1">
        <v>0</v>
      </c>
    </row>
    <row r="209" spans="1:19" x14ac:dyDescent="0.25">
      <c r="A209" s="1">
        <v>225</v>
      </c>
      <c r="B209" s="1">
        <v>670</v>
      </c>
      <c r="C209" s="1">
        <v>2619</v>
      </c>
      <c r="D209" s="1">
        <v>42.9</v>
      </c>
      <c r="E209" s="1">
        <v>-6.6</v>
      </c>
      <c r="F209" s="1">
        <v>-1.9</v>
      </c>
      <c r="G209">
        <v>-22</v>
      </c>
      <c r="H209">
        <v>-4</v>
      </c>
      <c r="I209">
        <v>-1</v>
      </c>
      <c r="K209" s="1">
        <v>225</v>
      </c>
      <c r="L209" s="1">
        <v>766</v>
      </c>
      <c r="M209" s="1">
        <v>3425</v>
      </c>
      <c r="N209" s="1">
        <v>31.6</v>
      </c>
      <c r="O209" s="1">
        <v>-4.8</v>
      </c>
      <c r="P209" s="1">
        <v>-1.4</v>
      </c>
      <c r="Q209" s="1">
        <v>0</v>
      </c>
      <c r="R209" s="1">
        <v>0</v>
      </c>
      <c r="S209" s="1">
        <v>0</v>
      </c>
    </row>
    <row r="210" spans="1:19" x14ac:dyDescent="0.25">
      <c r="A210" s="1">
        <v>250</v>
      </c>
      <c r="B210" s="1">
        <v>650</v>
      </c>
      <c r="C210" s="1">
        <v>2463</v>
      </c>
      <c r="D210" s="1">
        <v>42.1</v>
      </c>
      <c r="E210" s="1">
        <v>-5.8</v>
      </c>
      <c r="F210" s="1">
        <v>-1.7</v>
      </c>
      <c r="G210">
        <v>-27</v>
      </c>
      <c r="H210">
        <v>-4</v>
      </c>
      <c r="I210">
        <v>-1</v>
      </c>
      <c r="K210" s="1">
        <v>250</v>
      </c>
      <c r="L210" s="1">
        <v>755</v>
      </c>
      <c r="M210" s="1">
        <v>3328</v>
      </c>
      <c r="N210" s="1">
        <v>30.6</v>
      </c>
      <c r="O210" s="1">
        <v>-4.2</v>
      </c>
      <c r="P210" s="1">
        <v>-1.2</v>
      </c>
      <c r="Q210" s="1">
        <v>0</v>
      </c>
      <c r="R210" s="1">
        <v>0</v>
      </c>
      <c r="S210" s="1">
        <v>0</v>
      </c>
    </row>
    <row r="211" spans="1:19" x14ac:dyDescent="0.25">
      <c r="A211" s="1">
        <v>275</v>
      </c>
      <c r="B211" s="1">
        <v>630</v>
      </c>
      <c r="C211" s="1">
        <v>2314</v>
      </c>
      <c r="D211" s="1">
        <v>39.6</v>
      </c>
      <c r="E211" s="1">
        <v>-4.9000000000000004</v>
      </c>
      <c r="F211" s="1">
        <v>-1.4</v>
      </c>
      <c r="G211">
        <v>-33</v>
      </c>
      <c r="H211">
        <v>-4</v>
      </c>
      <c r="I211">
        <v>-1</v>
      </c>
      <c r="K211" s="1">
        <v>275</v>
      </c>
      <c r="L211" s="1">
        <v>745</v>
      </c>
      <c r="M211" s="1">
        <v>3233</v>
      </c>
      <c r="N211" s="1">
        <v>28.5</v>
      </c>
      <c r="O211" s="1">
        <v>-3.6</v>
      </c>
      <c r="P211" s="1">
        <v>-1</v>
      </c>
      <c r="Q211" s="1">
        <v>0</v>
      </c>
      <c r="R211" s="1">
        <v>0</v>
      </c>
      <c r="S211" s="1">
        <v>0</v>
      </c>
    </row>
    <row r="212" spans="1:19" x14ac:dyDescent="0.25">
      <c r="A212" s="1">
        <v>300</v>
      </c>
      <c r="B212" s="1">
        <v>610</v>
      </c>
      <c r="C212" s="1">
        <v>2173</v>
      </c>
      <c r="D212" s="1">
        <v>35.5</v>
      </c>
      <c r="E212" s="1">
        <v>-4.0999999999999996</v>
      </c>
      <c r="F212" s="1">
        <v>-1.2</v>
      </c>
      <c r="G212">
        <v>-40</v>
      </c>
      <c r="H212">
        <v>-5</v>
      </c>
      <c r="I212">
        <v>-2</v>
      </c>
      <c r="K212" s="1">
        <v>300</v>
      </c>
      <c r="L212" s="1">
        <v>734</v>
      </c>
      <c r="M212" s="1">
        <v>3140</v>
      </c>
      <c r="N212" s="1">
        <v>25.3</v>
      </c>
      <c r="O212" s="1">
        <v>-2.9</v>
      </c>
      <c r="P212" s="1">
        <v>-0.8</v>
      </c>
      <c r="Q212" s="1">
        <v>0</v>
      </c>
      <c r="R212" s="1">
        <v>0</v>
      </c>
      <c r="S212" s="1">
        <v>0</v>
      </c>
    </row>
    <row r="213" spans="1:19" x14ac:dyDescent="0.25">
      <c r="A213" s="1">
        <v>325</v>
      </c>
      <c r="B213" s="1">
        <v>591</v>
      </c>
      <c r="C213" s="1">
        <v>2038</v>
      </c>
      <c r="D213" s="1">
        <v>29.7</v>
      </c>
      <c r="E213" s="1">
        <v>-3.1</v>
      </c>
      <c r="F213" s="1">
        <v>-0.9</v>
      </c>
      <c r="G213">
        <v>-48</v>
      </c>
      <c r="H213">
        <v>-6</v>
      </c>
      <c r="I213">
        <v>-2</v>
      </c>
      <c r="K213" s="1">
        <v>325</v>
      </c>
      <c r="L213" s="1">
        <v>723</v>
      </c>
      <c r="M213" s="1">
        <v>3049</v>
      </c>
      <c r="N213" s="1">
        <v>20.9</v>
      </c>
      <c r="O213" s="1">
        <v>-2.2000000000000002</v>
      </c>
      <c r="P213" s="1">
        <v>-0.6</v>
      </c>
      <c r="Q213" s="1">
        <v>0</v>
      </c>
      <c r="R213" s="1">
        <v>0</v>
      </c>
      <c r="S213" s="1">
        <v>0</v>
      </c>
    </row>
    <row r="214" spans="1:19" x14ac:dyDescent="0.25">
      <c r="A214" s="1">
        <v>350</v>
      </c>
      <c r="B214" s="1">
        <v>572</v>
      </c>
      <c r="C214" s="1">
        <v>1910</v>
      </c>
      <c r="D214" s="1">
        <v>21.8</v>
      </c>
      <c r="E214" s="1">
        <v>-2.1</v>
      </c>
      <c r="F214" s="1">
        <v>-0.6</v>
      </c>
      <c r="G214">
        <v>-56</v>
      </c>
      <c r="H214">
        <v>-6</v>
      </c>
      <c r="I214">
        <v>-2</v>
      </c>
      <c r="K214" s="1">
        <v>350</v>
      </c>
      <c r="L214" s="1">
        <v>712</v>
      </c>
      <c r="M214" s="1">
        <v>2960</v>
      </c>
      <c r="N214" s="1">
        <v>15.1</v>
      </c>
      <c r="O214" s="1">
        <v>-1.5</v>
      </c>
      <c r="P214" s="1">
        <v>-0.4</v>
      </c>
      <c r="Q214" s="1">
        <v>0</v>
      </c>
      <c r="R214" s="1">
        <v>0</v>
      </c>
      <c r="S214" s="1">
        <v>0</v>
      </c>
    </row>
    <row r="215" spans="1:19" x14ac:dyDescent="0.25">
      <c r="A215" s="1">
        <v>375</v>
      </c>
      <c r="B215" s="1">
        <v>554</v>
      </c>
      <c r="C215" s="1">
        <v>1789</v>
      </c>
      <c r="D215" s="1">
        <v>12.1</v>
      </c>
      <c r="E215" s="1">
        <v>-1.1000000000000001</v>
      </c>
      <c r="F215" s="1">
        <v>-0.3</v>
      </c>
      <c r="G215">
        <v>-65</v>
      </c>
      <c r="H215">
        <v>-6</v>
      </c>
      <c r="I215">
        <v>-2</v>
      </c>
      <c r="K215" s="1">
        <v>375</v>
      </c>
      <c r="L215" s="1">
        <v>702</v>
      </c>
      <c r="M215" s="1">
        <v>2873</v>
      </c>
      <c r="N215" s="1">
        <v>8.3000000000000007</v>
      </c>
      <c r="O215" s="1">
        <v>-0.8</v>
      </c>
      <c r="P215" s="1">
        <v>-0.2</v>
      </c>
      <c r="Q215" s="1">
        <v>0</v>
      </c>
      <c r="R215" s="1">
        <v>0</v>
      </c>
      <c r="S215" s="1">
        <v>0</v>
      </c>
    </row>
    <row r="216" spans="1:19" x14ac:dyDescent="0.25">
      <c r="A216" s="10">
        <v>400</v>
      </c>
      <c r="B216" s="10">
        <v>536</v>
      </c>
      <c r="C216" s="10">
        <v>1675</v>
      </c>
      <c r="D216" s="10">
        <v>0.2</v>
      </c>
      <c r="E216" s="10">
        <v>0</v>
      </c>
      <c r="F216" s="10">
        <v>0</v>
      </c>
      <c r="G216">
        <v>-76</v>
      </c>
      <c r="H216">
        <v>-7</v>
      </c>
      <c r="I216">
        <v>-2</v>
      </c>
      <c r="K216" s="1">
        <v>400</v>
      </c>
      <c r="L216" s="1">
        <v>691</v>
      </c>
      <c r="M216" s="1">
        <v>2788</v>
      </c>
      <c r="N216" s="1">
        <v>0.2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</row>
    <row r="217" spans="1:19" x14ac:dyDescent="0.25">
      <c r="A217" s="1">
        <v>425</v>
      </c>
      <c r="B217" s="1">
        <v>518</v>
      </c>
      <c r="C217" s="1">
        <v>1567</v>
      </c>
      <c r="D217" s="1">
        <v>-14.5</v>
      </c>
      <c r="E217" s="1">
        <v>1.2</v>
      </c>
      <c r="F217" s="1">
        <v>0.3</v>
      </c>
      <c r="G217">
        <v>-87</v>
      </c>
      <c r="H217">
        <v>-8</v>
      </c>
      <c r="I217">
        <v>-2</v>
      </c>
      <c r="K217" s="1">
        <v>425</v>
      </c>
      <c r="L217" s="1">
        <v>681</v>
      </c>
      <c r="M217" s="1">
        <v>2705</v>
      </c>
      <c r="N217" s="1">
        <v>-9.6</v>
      </c>
      <c r="O217" s="1">
        <v>0.8</v>
      </c>
      <c r="P217" s="1">
        <v>0.2</v>
      </c>
      <c r="Q217" s="1">
        <v>0</v>
      </c>
      <c r="R217" s="1">
        <v>0</v>
      </c>
      <c r="S217" s="1">
        <v>0</v>
      </c>
    </row>
    <row r="218" spans="1:19" x14ac:dyDescent="0.25">
      <c r="A218" s="1">
        <v>450</v>
      </c>
      <c r="B218" s="1">
        <v>501</v>
      </c>
      <c r="C218" s="1">
        <v>1465</v>
      </c>
      <c r="D218" s="1">
        <v>-31.2</v>
      </c>
      <c r="E218" s="1">
        <v>2.4</v>
      </c>
      <c r="F218" s="1">
        <v>0.7</v>
      </c>
      <c r="G218">
        <v>-99</v>
      </c>
      <c r="H218">
        <v>-8</v>
      </c>
      <c r="I218">
        <v>-2</v>
      </c>
      <c r="K218" s="1">
        <v>450</v>
      </c>
      <c r="L218" s="1">
        <v>671</v>
      </c>
      <c r="M218" s="1">
        <v>2624</v>
      </c>
      <c r="N218" s="1">
        <v>-20.399999999999999</v>
      </c>
      <c r="O218" s="1">
        <v>1.6</v>
      </c>
      <c r="P218" s="1">
        <v>0.5</v>
      </c>
      <c r="Q218" s="1">
        <v>0</v>
      </c>
      <c r="R218" s="1">
        <v>0</v>
      </c>
      <c r="S218" s="1">
        <v>0</v>
      </c>
    </row>
    <row r="219" spans="1:19" x14ac:dyDescent="0.25">
      <c r="A219" s="1">
        <v>475</v>
      </c>
      <c r="B219" s="1">
        <v>485</v>
      </c>
      <c r="C219" s="1">
        <v>1370</v>
      </c>
      <c r="D219" s="1">
        <v>-50.6</v>
      </c>
      <c r="E219" s="1">
        <v>3.7</v>
      </c>
      <c r="F219" s="1">
        <v>1.1000000000000001</v>
      </c>
      <c r="G219">
        <v>-112</v>
      </c>
      <c r="H219">
        <v>-9</v>
      </c>
      <c r="I219">
        <v>-3</v>
      </c>
      <c r="K219" s="1">
        <v>475</v>
      </c>
      <c r="L219" s="1">
        <v>661</v>
      </c>
      <c r="M219" s="1">
        <v>2545</v>
      </c>
      <c r="N219" s="1">
        <v>-32.6</v>
      </c>
      <c r="O219" s="1">
        <v>2.4</v>
      </c>
      <c r="P219" s="1">
        <v>0.7</v>
      </c>
      <c r="Q219" s="1">
        <v>0</v>
      </c>
      <c r="R219" s="1">
        <v>0</v>
      </c>
      <c r="S219" s="1">
        <v>0</v>
      </c>
    </row>
    <row r="220" spans="1:19" x14ac:dyDescent="0.25">
      <c r="A220" s="1">
        <v>500</v>
      </c>
      <c r="B220" s="1">
        <v>469</v>
      </c>
      <c r="C220" s="1">
        <v>1284</v>
      </c>
      <c r="D220" s="1">
        <v>-72.8</v>
      </c>
      <c r="E220" s="1">
        <v>5</v>
      </c>
      <c r="F220" s="1">
        <v>1.5</v>
      </c>
      <c r="G220">
        <v>-125</v>
      </c>
      <c r="H220">
        <v>-9</v>
      </c>
      <c r="I220">
        <v>-3</v>
      </c>
      <c r="K220" s="1">
        <v>500</v>
      </c>
      <c r="L220" s="1">
        <v>651</v>
      </c>
      <c r="M220" s="1">
        <v>2471</v>
      </c>
      <c r="N220" s="1">
        <v>-46.2</v>
      </c>
      <c r="O220" s="1">
        <v>3.2</v>
      </c>
      <c r="P220" s="1">
        <v>0.9</v>
      </c>
      <c r="Q220" s="1">
        <v>0</v>
      </c>
      <c r="R220" s="1">
        <v>0</v>
      </c>
      <c r="S220" s="1">
        <v>0</v>
      </c>
    </row>
    <row r="222" spans="1:19" x14ac:dyDescent="0.25">
      <c r="A222" t="s">
        <v>93</v>
      </c>
      <c r="K222" t="s">
        <v>79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39</v>
      </c>
      <c r="H223" t="s">
        <v>40</v>
      </c>
      <c r="I223" t="s">
        <v>41</v>
      </c>
      <c r="K223" t="s">
        <v>12</v>
      </c>
      <c r="L223" t="s">
        <v>13</v>
      </c>
      <c r="M223" t="s">
        <v>14</v>
      </c>
      <c r="N223" t="s">
        <v>15</v>
      </c>
      <c r="O223" t="s">
        <v>16</v>
      </c>
      <c r="P223" t="s">
        <v>17</v>
      </c>
      <c r="Q223" t="s">
        <v>39</v>
      </c>
      <c r="R223" t="s">
        <v>40</v>
      </c>
      <c r="S223" t="s">
        <v>41</v>
      </c>
    </row>
    <row r="224" spans="1:19" x14ac:dyDescent="0.25">
      <c r="A224" s="1">
        <v>0</v>
      </c>
      <c r="B224" s="1">
        <v>869</v>
      </c>
      <c r="C224" s="1">
        <v>4402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>
        <v>0</v>
      </c>
      <c r="L224" s="1">
        <v>869</v>
      </c>
      <c r="M224" s="1">
        <v>4402</v>
      </c>
      <c r="N224" s="1">
        <v>-3.8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</row>
    <row r="225" spans="1:19" x14ac:dyDescent="0.25">
      <c r="A225" s="1">
        <v>25</v>
      </c>
      <c r="B225" s="1">
        <v>845</v>
      </c>
      <c r="C225" s="1">
        <v>4165</v>
      </c>
      <c r="D225" s="1">
        <v>9</v>
      </c>
      <c r="E225" s="1">
        <v>-12.5</v>
      </c>
      <c r="F225" s="1">
        <v>-3.6</v>
      </c>
      <c r="G225" s="2">
        <v>0</v>
      </c>
      <c r="H225" s="2">
        <v>0</v>
      </c>
      <c r="I225" s="2">
        <v>0</v>
      </c>
      <c r="K225" s="1">
        <v>25</v>
      </c>
      <c r="L225" s="1">
        <v>857</v>
      </c>
      <c r="M225" s="1">
        <v>4283</v>
      </c>
      <c r="N225" s="1">
        <v>6</v>
      </c>
      <c r="O225" s="1">
        <v>-8.3000000000000007</v>
      </c>
      <c r="P225" s="1">
        <v>-2.4</v>
      </c>
      <c r="Q225" s="1">
        <v>0</v>
      </c>
      <c r="R225" s="1">
        <v>0</v>
      </c>
      <c r="S225" s="1">
        <v>0</v>
      </c>
    </row>
    <row r="226" spans="1:19" x14ac:dyDescent="0.25">
      <c r="A226" s="1">
        <v>50</v>
      </c>
      <c r="B226" s="1">
        <v>822</v>
      </c>
      <c r="C226" s="1">
        <v>3940</v>
      </c>
      <c r="D226" s="1">
        <v>21.3</v>
      </c>
      <c r="E226" s="1">
        <v>-14.5</v>
      </c>
      <c r="F226" s="1">
        <v>-4.2</v>
      </c>
      <c r="G226" s="2">
        <v>-1</v>
      </c>
      <c r="H226" s="2">
        <v>-1</v>
      </c>
      <c r="I226" s="2">
        <v>0</v>
      </c>
      <c r="K226" s="1">
        <v>50</v>
      </c>
      <c r="L226" s="1">
        <v>845</v>
      </c>
      <c r="M226" s="1">
        <v>4168</v>
      </c>
      <c r="N226" s="1">
        <v>15.2</v>
      </c>
      <c r="O226" s="1">
        <v>-10.4</v>
      </c>
      <c r="P226" s="1">
        <v>-3</v>
      </c>
      <c r="Q226" s="1">
        <v>0</v>
      </c>
      <c r="R226" s="1">
        <v>0</v>
      </c>
      <c r="S226" s="1">
        <v>0</v>
      </c>
    </row>
    <row r="227" spans="1:19" x14ac:dyDescent="0.25">
      <c r="A227" s="1">
        <v>75</v>
      </c>
      <c r="B227" s="1">
        <v>799</v>
      </c>
      <c r="C227" s="1">
        <v>3725</v>
      </c>
      <c r="D227" s="1">
        <v>32.299999999999997</v>
      </c>
      <c r="E227" s="1">
        <v>-14.8</v>
      </c>
      <c r="F227" s="1">
        <v>-4.3</v>
      </c>
      <c r="G227" s="2">
        <v>-2</v>
      </c>
      <c r="H227" s="2">
        <v>-1</v>
      </c>
      <c r="I227" s="2">
        <v>0</v>
      </c>
      <c r="K227" s="1">
        <v>75</v>
      </c>
      <c r="L227" s="1">
        <v>834</v>
      </c>
      <c r="M227" s="1">
        <v>4055</v>
      </c>
      <c r="N227" s="1">
        <v>23.3</v>
      </c>
      <c r="O227" s="1">
        <v>-10.7</v>
      </c>
      <c r="P227" s="1">
        <v>-3.1</v>
      </c>
      <c r="Q227" s="1">
        <v>0</v>
      </c>
      <c r="R227" s="1">
        <v>0</v>
      </c>
      <c r="S227" s="1">
        <v>0</v>
      </c>
    </row>
    <row r="228" spans="1:19" x14ac:dyDescent="0.25">
      <c r="A228" s="1">
        <v>100</v>
      </c>
      <c r="B228" s="1">
        <v>777</v>
      </c>
      <c r="C228" s="1">
        <v>3519</v>
      </c>
      <c r="D228" s="1">
        <v>42.3</v>
      </c>
      <c r="E228" s="1">
        <v>-14.6</v>
      </c>
      <c r="F228" s="1">
        <v>-4.2</v>
      </c>
      <c r="G228" s="2">
        <v>-4</v>
      </c>
      <c r="H228" s="2">
        <v>-2</v>
      </c>
      <c r="I228" s="2">
        <v>0</v>
      </c>
      <c r="K228" s="1">
        <v>100</v>
      </c>
      <c r="L228" s="1">
        <v>822</v>
      </c>
      <c r="M228" s="1">
        <v>3944</v>
      </c>
      <c r="N228" s="1">
        <v>30.5</v>
      </c>
      <c r="O228" s="1">
        <v>-10.5</v>
      </c>
      <c r="P228" s="1">
        <v>-3.1</v>
      </c>
      <c r="Q228" s="1">
        <v>0</v>
      </c>
      <c r="R228" s="1">
        <v>0</v>
      </c>
      <c r="S228" s="1">
        <v>0</v>
      </c>
    </row>
    <row r="229" spans="1:19" x14ac:dyDescent="0.25">
      <c r="A229" s="1">
        <v>125</v>
      </c>
      <c r="B229" s="1">
        <v>755</v>
      </c>
      <c r="C229" s="1">
        <v>3322</v>
      </c>
      <c r="D229" s="1">
        <v>51.6</v>
      </c>
      <c r="E229" s="1">
        <v>-14.1</v>
      </c>
      <c r="F229" s="1">
        <v>-4.0999999999999996</v>
      </c>
      <c r="G229" s="2">
        <v>-6</v>
      </c>
      <c r="H229" s="2">
        <v>-2</v>
      </c>
      <c r="I229" s="2">
        <v>-1</v>
      </c>
      <c r="K229" s="1">
        <v>125</v>
      </c>
      <c r="L229" s="1">
        <v>811</v>
      </c>
      <c r="M229" s="1">
        <v>3836</v>
      </c>
      <c r="N229" s="1">
        <v>37</v>
      </c>
      <c r="O229" s="1">
        <v>-10.1</v>
      </c>
      <c r="P229" s="1">
        <v>-2.9</v>
      </c>
      <c r="Q229" s="1">
        <v>0</v>
      </c>
      <c r="R229" s="1">
        <v>0</v>
      </c>
      <c r="S229" s="1">
        <v>0</v>
      </c>
    </row>
    <row r="230" spans="1:19" x14ac:dyDescent="0.25">
      <c r="A230" s="1">
        <v>150</v>
      </c>
      <c r="B230" s="1">
        <v>733</v>
      </c>
      <c r="C230" s="1">
        <v>3134</v>
      </c>
      <c r="D230" s="1">
        <v>59.5</v>
      </c>
      <c r="E230" s="1">
        <v>-13.6</v>
      </c>
      <c r="F230" s="1">
        <v>-4</v>
      </c>
      <c r="G230" s="2">
        <v>-9</v>
      </c>
      <c r="H230" s="2">
        <v>-2</v>
      </c>
      <c r="I230" s="2">
        <v>-1</v>
      </c>
      <c r="K230" s="1">
        <v>150</v>
      </c>
      <c r="L230" s="1">
        <v>800</v>
      </c>
      <c r="M230" s="1">
        <v>3730</v>
      </c>
      <c r="N230" s="1">
        <v>42.3</v>
      </c>
      <c r="O230" s="1">
        <v>-9.6999999999999993</v>
      </c>
      <c r="P230" s="1">
        <v>-2.8</v>
      </c>
      <c r="Q230" s="1">
        <v>0</v>
      </c>
      <c r="R230" s="1">
        <v>0</v>
      </c>
      <c r="S230" s="1">
        <v>0</v>
      </c>
    </row>
    <row r="231" spans="1:19" x14ac:dyDescent="0.25">
      <c r="A231" s="1">
        <v>175</v>
      </c>
      <c r="B231" s="1">
        <v>712</v>
      </c>
      <c r="C231" s="1">
        <v>2955</v>
      </c>
      <c r="D231" s="1">
        <v>66.2</v>
      </c>
      <c r="E231" s="1">
        <v>-13</v>
      </c>
      <c r="F231" s="1">
        <v>-3.8</v>
      </c>
      <c r="G231" s="2">
        <v>-13</v>
      </c>
      <c r="H231" s="2">
        <v>-3</v>
      </c>
      <c r="I231" s="2">
        <v>-1</v>
      </c>
      <c r="K231" s="1">
        <v>175</v>
      </c>
      <c r="L231" s="1">
        <v>788</v>
      </c>
      <c r="M231" s="1">
        <v>3626</v>
      </c>
      <c r="N231" s="1">
        <v>46.7</v>
      </c>
      <c r="O231" s="1">
        <v>-9.1999999999999993</v>
      </c>
      <c r="P231" s="1">
        <v>-2.7</v>
      </c>
      <c r="Q231" s="1">
        <v>0</v>
      </c>
      <c r="R231" s="1">
        <v>0</v>
      </c>
      <c r="S231" s="1">
        <v>0</v>
      </c>
    </row>
    <row r="232" spans="1:19" x14ac:dyDescent="0.25">
      <c r="A232" s="1">
        <v>200</v>
      </c>
      <c r="B232" s="1">
        <v>691</v>
      </c>
      <c r="C232" s="1">
        <v>2783</v>
      </c>
      <c r="D232" s="1">
        <v>71.900000000000006</v>
      </c>
      <c r="E232" s="1">
        <v>-12.3</v>
      </c>
      <c r="F232" s="1">
        <v>-3.6</v>
      </c>
      <c r="G232" s="2">
        <v>-17</v>
      </c>
      <c r="H232" s="2">
        <v>-3</v>
      </c>
      <c r="I232" s="2">
        <v>-1</v>
      </c>
      <c r="K232" s="1">
        <v>200</v>
      </c>
      <c r="L232" s="1">
        <v>777</v>
      </c>
      <c r="M232" s="1">
        <v>3525</v>
      </c>
      <c r="N232" s="1">
        <v>50.2</v>
      </c>
      <c r="O232" s="1">
        <v>-8.6</v>
      </c>
      <c r="P232" s="1">
        <v>-2.5</v>
      </c>
      <c r="Q232" s="1">
        <v>0</v>
      </c>
      <c r="R232" s="1">
        <v>0</v>
      </c>
      <c r="S232" s="1">
        <v>0</v>
      </c>
    </row>
    <row r="233" spans="1:19" x14ac:dyDescent="0.25">
      <c r="A233" s="1">
        <v>225</v>
      </c>
      <c r="B233" s="1">
        <v>670</v>
      </c>
      <c r="C233" s="1">
        <v>2619</v>
      </c>
      <c r="D233" s="1">
        <v>76</v>
      </c>
      <c r="E233" s="1">
        <v>-11.6</v>
      </c>
      <c r="F233" s="1">
        <v>-3.4</v>
      </c>
      <c r="G233" s="2">
        <v>-22</v>
      </c>
      <c r="H233" s="2">
        <v>-4</v>
      </c>
      <c r="I233" s="2">
        <v>-1</v>
      </c>
      <c r="K233" s="1">
        <v>225</v>
      </c>
      <c r="L233" s="1">
        <v>766</v>
      </c>
      <c r="M233" s="1">
        <v>3425</v>
      </c>
      <c r="N233" s="1">
        <v>52.6</v>
      </c>
      <c r="O233" s="1">
        <v>-8</v>
      </c>
      <c r="P233" s="1">
        <v>-2.2999999999999998</v>
      </c>
      <c r="Q233" s="1">
        <v>0</v>
      </c>
      <c r="R233" s="1">
        <v>0</v>
      </c>
      <c r="S233" s="1">
        <v>0</v>
      </c>
    </row>
    <row r="234" spans="1:19" x14ac:dyDescent="0.25">
      <c r="A234" s="1">
        <v>250</v>
      </c>
      <c r="B234" s="1">
        <v>650</v>
      </c>
      <c r="C234" s="1">
        <v>2463</v>
      </c>
      <c r="D234" s="1">
        <v>78.8</v>
      </c>
      <c r="E234" s="1">
        <v>-10.8</v>
      </c>
      <c r="F234" s="1">
        <v>-3.2</v>
      </c>
      <c r="G234" s="2">
        <v>-27</v>
      </c>
      <c r="H234" s="2">
        <v>-4</v>
      </c>
      <c r="I234" s="2">
        <v>-1</v>
      </c>
      <c r="K234" s="1">
        <v>250</v>
      </c>
      <c r="L234" s="1">
        <v>755</v>
      </c>
      <c r="M234" s="1">
        <v>3328</v>
      </c>
      <c r="N234" s="1">
        <v>53.9</v>
      </c>
      <c r="O234" s="1">
        <v>-7.4</v>
      </c>
      <c r="P234" s="1">
        <v>-2.2000000000000002</v>
      </c>
      <c r="Q234" s="1">
        <v>0</v>
      </c>
      <c r="R234" s="1">
        <v>0</v>
      </c>
      <c r="S234" s="1">
        <v>0</v>
      </c>
    </row>
    <row r="235" spans="1:19" x14ac:dyDescent="0.25">
      <c r="A235" s="1">
        <v>275</v>
      </c>
      <c r="B235" s="1">
        <v>630</v>
      </c>
      <c r="C235" s="1">
        <v>2314</v>
      </c>
      <c r="D235" s="1">
        <v>80</v>
      </c>
      <c r="E235" s="1">
        <v>-10</v>
      </c>
      <c r="F235" s="1">
        <v>-2.9</v>
      </c>
      <c r="G235" s="2">
        <v>-33</v>
      </c>
      <c r="H235" s="2">
        <v>-4</v>
      </c>
      <c r="I235" s="2">
        <v>-1</v>
      </c>
      <c r="K235" s="1">
        <v>275</v>
      </c>
      <c r="L235" s="1">
        <v>745</v>
      </c>
      <c r="M235" s="1">
        <v>3233</v>
      </c>
      <c r="N235" s="1">
        <v>54.1</v>
      </c>
      <c r="O235" s="1">
        <v>-6.8</v>
      </c>
      <c r="P235" s="1">
        <v>-2</v>
      </c>
      <c r="Q235" s="1">
        <v>0</v>
      </c>
      <c r="R235" s="1">
        <v>0</v>
      </c>
      <c r="S235" s="1">
        <v>0</v>
      </c>
    </row>
    <row r="236" spans="1:19" x14ac:dyDescent="0.25">
      <c r="A236" s="1">
        <v>300</v>
      </c>
      <c r="B236" s="1">
        <v>610</v>
      </c>
      <c r="C236" s="1">
        <v>2173</v>
      </c>
      <c r="D236" s="1">
        <v>79.599999999999994</v>
      </c>
      <c r="E236" s="1">
        <v>-9.1</v>
      </c>
      <c r="F236" s="1">
        <v>-2.7</v>
      </c>
      <c r="G236" s="2">
        <v>-40</v>
      </c>
      <c r="H236" s="2">
        <v>-5</v>
      </c>
      <c r="I236" s="2">
        <v>-2</v>
      </c>
      <c r="K236" s="1">
        <v>300</v>
      </c>
      <c r="L236" s="1">
        <v>734</v>
      </c>
      <c r="M236" s="1">
        <v>3140</v>
      </c>
      <c r="N236" s="1">
        <v>53.2</v>
      </c>
      <c r="O236" s="1">
        <v>-6.1</v>
      </c>
      <c r="P236" s="1">
        <v>-1.8</v>
      </c>
      <c r="Q236" s="1">
        <v>0</v>
      </c>
      <c r="R236" s="1">
        <v>0</v>
      </c>
      <c r="S236" s="1">
        <v>0</v>
      </c>
    </row>
    <row r="237" spans="1:19" x14ac:dyDescent="0.25">
      <c r="A237" s="1">
        <v>325</v>
      </c>
      <c r="B237" s="1">
        <v>591</v>
      </c>
      <c r="C237" s="1">
        <v>2038</v>
      </c>
      <c r="D237" s="1">
        <v>77.400000000000006</v>
      </c>
      <c r="E237" s="1">
        <v>-8.1999999999999993</v>
      </c>
      <c r="F237" s="1">
        <v>-2.4</v>
      </c>
      <c r="G237" s="2">
        <v>-48</v>
      </c>
      <c r="H237" s="2">
        <v>-6</v>
      </c>
      <c r="I237" s="2">
        <v>-2</v>
      </c>
      <c r="K237" s="1">
        <v>325</v>
      </c>
      <c r="L237" s="1">
        <v>723</v>
      </c>
      <c r="M237" s="1">
        <v>3049</v>
      </c>
      <c r="N237" s="1">
        <v>51.2</v>
      </c>
      <c r="O237" s="1">
        <v>-5.4</v>
      </c>
      <c r="P237" s="1">
        <v>-1.6</v>
      </c>
      <c r="Q237" s="1">
        <v>0</v>
      </c>
      <c r="R237" s="1">
        <v>0</v>
      </c>
      <c r="S237" s="1">
        <v>0</v>
      </c>
    </row>
    <row r="238" spans="1:19" x14ac:dyDescent="0.25">
      <c r="A238" s="1">
        <v>350</v>
      </c>
      <c r="B238" s="1">
        <v>572</v>
      </c>
      <c r="C238" s="1">
        <v>1910</v>
      </c>
      <c r="D238" s="1">
        <v>73.2</v>
      </c>
      <c r="E238" s="1">
        <v>-7.2</v>
      </c>
      <c r="F238" s="1">
        <v>-2.1</v>
      </c>
      <c r="G238" s="2">
        <v>-56</v>
      </c>
      <c r="H238" s="2">
        <v>-6</v>
      </c>
      <c r="I238" s="2">
        <v>-2</v>
      </c>
      <c r="K238" s="1">
        <v>350</v>
      </c>
      <c r="L238" s="1">
        <v>712</v>
      </c>
      <c r="M238" s="1">
        <v>2960</v>
      </c>
      <c r="N238" s="1">
        <v>47.8</v>
      </c>
      <c r="O238" s="1">
        <v>-4.7</v>
      </c>
      <c r="P238" s="1">
        <v>-1.4</v>
      </c>
      <c r="Q238" s="1">
        <v>0</v>
      </c>
      <c r="R238" s="1">
        <v>0</v>
      </c>
      <c r="S238" s="1">
        <v>0</v>
      </c>
    </row>
    <row r="239" spans="1:19" x14ac:dyDescent="0.25">
      <c r="A239" s="1">
        <v>375</v>
      </c>
      <c r="B239" s="1">
        <v>554</v>
      </c>
      <c r="C239" s="1">
        <v>1789</v>
      </c>
      <c r="D239" s="1">
        <v>67.099999999999994</v>
      </c>
      <c r="E239" s="1">
        <v>-6.2</v>
      </c>
      <c r="F239" s="1">
        <v>-1.8</v>
      </c>
      <c r="G239" s="2">
        <v>-65</v>
      </c>
      <c r="H239" s="2">
        <v>-6</v>
      </c>
      <c r="I239" s="2">
        <v>-2</v>
      </c>
      <c r="K239" s="1">
        <v>375</v>
      </c>
      <c r="L239" s="1">
        <v>702</v>
      </c>
      <c r="M239" s="1">
        <v>2873</v>
      </c>
      <c r="N239" s="1">
        <v>43.3</v>
      </c>
      <c r="O239" s="1">
        <v>-4</v>
      </c>
      <c r="P239" s="1">
        <v>-1.2</v>
      </c>
      <c r="Q239" s="1">
        <v>0</v>
      </c>
      <c r="R239" s="1">
        <v>0</v>
      </c>
      <c r="S239" s="1">
        <v>0</v>
      </c>
    </row>
    <row r="240" spans="1:19" x14ac:dyDescent="0.25">
      <c r="A240" s="1">
        <v>400</v>
      </c>
      <c r="B240" s="1">
        <v>536</v>
      </c>
      <c r="C240" s="1">
        <v>1675</v>
      </c>
      <c r="D240" s="1">
        <v>58.9</v>
      </c>
      <c r="E240" s="1">
        <v>-5.0999999999999996</v>
      </c>
      <c r="F240" s="1">
        <v>-1.5</v>
      </c>
      <c r="G240" s="2">
        <v>-76</v>
      </c>
      <c r="H240" s="2">
        <v>-7</v>
      </c>
      <c r="I240" s="2">
        <v>-2</v>
      </c>
      <c r="K240" s="1">
        <v>400</v>
      </c>
      <c r="L240" s="1">
        <v>691</v>
      </c>
      <c r="M240" s="1">
        <v>2788</v>
      </c>
      <c r="N240" s="1">
        <v>37.5</v>
      </c>
      <c r="O240" s="1">
        <v>-3.2</v>
      </c>
      <c r="P240" s="1">
        <v>-0.9</v>
      </c>
      <c r="Q240" s="1">
        <v>0</v>
      </c>
      <c r="R240" s="1">
        <v>0</v>
      </c>
      <c r="S240" s="1">
        <v>0</v>
      </c>
    </row>
    <row r="241" spans="1:19" x14ac:dyDescent="0.25">
      <c r="A241" s="1">
        <v>425</v>
      </c>
      <c r="B241" s="1">
        <v>518</v>
      </c>
      <c r="C241" s="1">
        <v>1567</v>
      </c>
      <c r="D241" s="1">
        <v>48</v>
      </c>
      <c r="E241" s="1">
        <v>-3.9</v>
      </c>
      <c r="F241" s="1">
        <v>-1.1000000000000001</v>
      </c>
      <c r="G241" s="2">
        <v>-87</v>
      </c>
      <c r="H241" s="2">
        <v>-8</v>
      </c>
      <c r="I241" s="2">
        <v>-2</v>
      </c>
      <c r="K241" s="1">
        <v>425</v>
      </c>
      <c r="L241" s="1">
        <v>681</v>
      </c>
      <c r="M241" s="1">
        <v>2705</v>
      </c>
      <c r="N241" s="1">
        <v>30.1</v>
      </c>
      <c r="O241" s="1">
        <v>-2.4</v>
      </c>
      <c r="P241" s="1">
        <v>-0.7</v>
      </c>
      <c r="Q241" s="1">
        <v>0</v>
      </c>
      <c r="R241" s="1">
        <v>0</v>
      </c>
      <c r="S241" s="1">
        <v>0</v>
      </c>
    </row>
    <row r="242" spans="1:19" x14ac:dyDescent="0.25">
      <c r="A242" s="1">
        <v>450</v>
      </c>
      <c r="B242" s="1">
        <v>501</v>
      </c>
      <c r="C242" s="1">
        <v>1465</v>
      </c>
      <c r="D242" s="1">
        <v>34.9</v>
      </c>
      <c r="E242" s="1">
        <v>-2.7</v>
      </c>
      <c r="F242" s="1">
        <v>-0.8</v>
      </c>
      <c r="G242" s="2">
        <v>-99</v>
      </c>
      <c r="H242" s="2">
        <v>-8</v>
      </c>
      <c r="I242" s="2">
        <v>-2</v>
      </c>
      <c r="K242" s="1">
        <v>450</v>
      </c>
      <c r="L242" s="1">
        <v>671</v>
      </c>
      <c r="M242" s="1">
        <v>2624</v>
      </c>
      <c r="N242" s="1">
        <v>21.6</v>
      </c>
      <c r="O242" s="1">
        <v>-1.6</v>
      </c>
      <c r="P242" s="1">
        <v>-0.5</v>
      </c>
      <c r="Q242" s="1">
        <v>0</v>
      </c>
      <c r="R242" s="1">
        <v>0</v>
      </c>
      <c r="S242" s="1">
        <v>0</v>
      </c>
    </row>
    <row r="243" spans="1:19" x14ac:dyDescent="0.25">
      <c r="A243" s="1">
        <v>475</v>
      </c>
      <c r="B243" s="1">
        <v>485</v>
      </c>
      <c r="C243" s="1">
        <v>1370</v>
      </c>
      <c r="D243" s="1">
        <v>19.2</v>
      </c>
      <c r="E243" s="1">
        <v>-1.4</v>
      </c>
      <c r="F243" s="1">
        <v>-0.4</v>
      </c>
      <c r="G243" s="2">
        <v>-112</v>
      </c>
      <c r="H243" s="2">
        <v>-9</v>
      </c>
      <c r="I243" s="2">
        <v>-3</v>
      </c>
      <c r="K243" s="1">
        <v>475</v>
      </c>
      <c r="L243" s="1">
        <v>661</v>
      </c>
      <c r="M243" s="1">
        <v>2545</v>
      </c>
      <c r="N243" s="1">
        <v>11.7</v>
      </c>
      <c r="O243" s="1">
        <v>-0.8</v>
      </c>
      <c r="P243" s="1">
        <v>-0.2</v>
      </c>
      <c r="Q243" s="1">
        <v>0</v>
      </c>
      <c r="R243" s="1">
        <v>0</v>
      </c>
      <c r="S243" s="1">
        <v>0</v>
      </c>
    </row>
    <row r="244" spans="1:19" x14ac:dyDescent="0.25">
      <c r="A244" s="1">
        <v>500</v>
      </c>
      <c r="B244" s="1">
        <v>469</v>
      </c>
      <c r="C244" s="1">
        <v>1284</v>
      </c>
      <c r="D244" s="1">
        <v>0.5</v>
      </c>
      <c r="E244" s="1">
        <v>0</v>
      </c>
      <c r="F244" s="1">
        <v>0</v>
      </c>
      <c r="G244" s="2">
        <v>-125</v>
      </c>
      <c r="H244" s="2">
        <v>-9</v>
      </c>
      <c r="I244" s="2">
        <v>-3</v>
      </c>
      <c r="K244" s="1">
        <v>500</v>
      </c>
      <c r="L244" s="1">
        <v>651</v>
      </c>
      <c r="M244" s="1">
        <v>2471</v>
      </c>
      <c r="N244" s="1">
        <v>0.4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6" spans="1:19" ht="45" x14ac:dyDescent="0.25">
      <c r="A246" s="26" t="s">
        <v>44</v>
      </c>
      <c r="B246" s="27" t="s">
        <v>94</v>
      </c>
      <c r="C246" s="27" t="s">
        <v>95</v>
      </c>
      <c r="D246" s="27" t="s">
        <v>96</v>
      </c>
      <c r="E246" s="27" t="s">
        <v>97</v>
      </c>
      <c r="F246" s="27" t="s">
        <v>98</v>
      </c>
      <c r="G246" s="27" t="s">
        <v>99</v>
      </c>
      <c r="H246" s="27" t="s">
        <v>100</v>
      </c>
      <c r="I246" s="28" t="s">
        <v>45</v>
      </c>
      <c r="J246" s="28" t="s">
        <v>101</v>
      </c>
      <c r="K246" s="28" t="s">
        <v>102</v>
      </c>
    </row>
    <row r="247" spans="1:19" x14ac:dyDescent="0.25">
      <c r="A247" t="s">
        <v>46</v>
      </c>
      <c r="B247" s="22" cm="1">
        <f t="array" ref="B247">INDEX(LINEST(J$22:J$35,$A$22:$A$35^{1,2,3}), 1,4)</f>
        <v>-6.590294457423969</v>
      </c>
      <c r="C247" s="22" cm="1">
        <f t="array" ref="C247">INDEX(LINEST(K$22:K$35,$A$22:$A$35^{1,2,3}), 1,4)</f>
        <v>-4.5954504437142702</v>
      </c>
      <c r="D247" s="23" cm="1">
        <f t="array" ref="D247">INDEX(LINEST(L$22:L$35,$A$22:$A$35^{1,2,3}), 1,4)</f>
        <v>-4.230524770996908</v>
      </c>
      <c r="E247" s="23" cm="1">
        <f t="array" ref="E247">INDEX(LINEST(M$22:M$35,$A$22:$A$35^{1,2,3}), 1,4)</f>
        <v>-5.9130944312019302</v>
      </c>
      <c r="F247" s="23" cm="1">
        <f t="array" ref="F247">INDEX(LINEST(N$22:N$35,$A$22:$A$35^{1,2,3}), 1,4)</f>
        <v>-5.5631266143307911</v>
      </c>
      <c r="G247" s="23" cm="1">
        <f t="array" ref="G247">INDEX(LINEST(O$22:O$35,$A$22:$A$35^{1,2,3}), 1,4)</f>
        <v>-5.5836813615977476</v>
      </c>
      <c r="H247" s="23" cm="1">
        <f t="array" ref="H247">INDEX(LINEST(P$22:P$35,$A$22:$A$35^{1,2,3}), 1,4)</f>
        <v>-5.0451422579581013</v>
      </c>
      <c r="I247" s="23" cm="1">
        <f t="array" ref="I247">INDEX(LINEST(B$22:B$35,$A$22:$A$35^{1,2,3}), 1,4)</f>
        <v>4424.4064010440352</v>
      </c>
      <c r="J247" s="23" cm="1">
        <f t="array" ref="J247">INDEX(LINEST($C$80:$C$100,$A$80:$A$100^{1,2,3}), 1,4)</f>
        <v>4399.403162055336</v>
      </c>
      <c r="K247" s="23" cm="1">
        <f t="array" ref="K247">INDEX(LINEST($M$80:$M$100,$K$80:$K$100^{1,2,3}), 1,4)</f>
        <v>4401.3193111236578</v>
      </c>
    </row>
    <row r="248" spans="1:19" x14ac:dyDescent="0.25">
      <c r="A248" t="s">
        <v>47</v>
      </c>
      <c r="B248" s="23" cm="1">
        <f t="array" ref="B248">INDEX(LINEST(J$22:J$35,$A$22:$A$35^{1,2,3}), 1,3)</f>
        <v>0.21108865106746844</v>
      </c>
      <c r="C248" s="22" cm="1">
        <f t="array" ref="C248">INDEX(LINEST(K$22:K$35,$A$22:$A$35^{1,2,3}), 1,3)</f>
        <v>9.5730500300791554E-2</v>
      </c>
      <c r="D248" s="23" cm="1">
        <f t="array" ref="D248">INDEX(LINEST(L$22:L$35,$A$22:$A$35^{1,2,3}), 1,3)</f>
        <v>0.10143262086304741</v>
      </c>
      <c r="E248" s="23" cm="1">
        <f t="array" ref="E248">INDEX(LINEST(M$22:M$35,$A$22:$A$35^{1,2,3}), 1,3)</f>
        <v>0.21101473525534459</v>
      </c>
      <c r="F248" s="23" cm="1">
        <f t="array" ref="F248">INDEX(LINEST(N$22:N$35,$A$22:$A$35^{1,2,3}), 1,3)</f>
        <v>0.28862774645147732</v>
      </c>
      <c r="G248" s="23" cm="1">
        <f t="array" ref="G248">INDEX(LINEST(O$22:O$35,$A$22:$A$35^{1,2,3}), 1,3)</f>
        <v>0.3736483296753319</v>
      </c>
      <c r="H248" s="23" cm="1">
        <f t="array" ref="H248">INDEX(LINEST(P$22:P$35,$A$22:$A$35^{1,2,3}), 1,3)</f>
        <v>0.54179291229134496</v>
      </c>
      <c r="I248" s="23" cm="1">
        <f t="array" ref="I248">INDEX(LINEST(B$22:B$35,$A$22:$A$35^{1,2,3}), 1,3)</f>
        <v>-9.1717790337534506</v>
      </c>
      <c r="J248" s="23" cm="1">
        <f t="array" ref="J248">INDEX(LINEST($C$80:$C$100,$A$80:$A$100^{1,2,3}), 1,3)</f>
        <v>-9.5420053427376121</v>
      </c>
      <c r="K248" s="23" cm="1">
        <f t="array" ref="K248">INDEX(LINEST($M$80:$M$100,$K$80:$K$100^{1,2,3}), 1,3)</f>
        <v>-4.7600668007304039</v>
      </c>
    </row>
    <row r="249" spans="1:19" x14ac:dyDescent="0.25">
      <c r="A249" t="s">
        <v>48</v>
      </c>
      <c r="B249" s="23" cm="1">
        <f t="array" ref="B249">INDEX(LINEST(J$22:J$35,$A$22:$A$35^{1,2,3}), 1,2)</f>
        <v>-9.1018185075041188E-4</v>
      </c>
      <c r="C249" s="23" cm="1">
        <f t="array" ref="C249">INDEX(LINEST(K$22:K$35,$A$22:$A$35^{1,2,3}), 1,2)</f>
        <v>-3.8118264646318635E-4</v>
      </c>
      <c r="D249" s="23" cm="1">
        <f t="array" ref="D249">INDEX(LINEST(L$22:L$35,$A$22:$A$35^{1,2,3}), 1,2)</f>
        <v>-2.3375816085456592E-4</v>
      </c>
      <c r="E249" s="23" cm="1">
        <f t="array" ref="E249">INDEX(LINEST(M$22:M$35,$A$22:$A$35^{1,2,3}), 1,2)</f>
        <v>-7.8286771837817988E-4</v>
      </c>
      <c r="F249" s="23" cm="1">
        <f t="array" ref="F249">INDEX(LINEST(N$22:N$35,$A$22:$A$35^{1,2,3}), 1,2)</f>
        <v>-6.4777567874083617E-4</v>
      </c>
      <c r="G249" s="23" cm="1">
        <f t="array" ref="G249">INDEX(LINEST(O$22:O$35,$A$22:$A$35^{1,2,3}), 1,2)</f>
        <v>-4.1392291362915345E-4</v>
      </c>
      <c r="H249" s="23" cm="1">
        <f t="array" ref="H249">INDEX(LINEST(P$22:P$35,$A$22:$A$35^{1,2,3}), 1,2)</f>
        <v>-5.4011932773626265E-4</v>
      </c>
      <c r="I249" s="23" cm="1">
        <f t="array" ref="I249">INDEX(LINEST(B$22:B$35,$A$22:$A$35^{1,2,3}), 1,2)</f>
        <v>5.6456553702287152E-3</v>
      </c>
      <c r="J249" s="23" cm="1">
        <f t="array" ref="J249">INDEX(LINEST($C$80:$C$100,$A$80:$A$100^{1,2,3}), 1,2)</f>
        <v>7.7224365260978685E-3</v>
      </c>
      <c r="K249" s="23" cm="1">
        <f t="array" ref="K249">INDEX(LINEST($M$80:$M$100,$K$80:$K$100^{1,2,3}), 1,2)</f>
        <v>1.9373730769611298E-3</v>
      </c>
    </row>
    <row r="250" spans="1:19" x14ac:dyDescent="0.25">
      <c r="A250" t="s">
        <v>49</v>
      </c>
      <c r="B250" s="22" cm="1">
        <f t="array" ref="B250">INDEX(LINEST(J$22:J$35,$A$22:$A$35^{1,2,3}), 1)</f>
        <v>-5.9732019724703597E-7</v>
      </c>
      <c r="C250" s="22" cm="1">
        <f t="array" ref="C250">INDEX(LINEST(K$22:K$35,$A$22:$A$35^{1,2,3}), 1)</f>
        <v>-1.2789660604183732E-6</v>
      </c>
      <c r="D250" s="23" cm="1">
        <f t="array" ref="D250">INDEX(LINEST(L$22:L$35,$A$22:$A$35^{1,2,3}), 1)</f>
        <v>-1.5151955038658417E-6</v>
      </c>
      <c r="E250" s="23" cm="1">
        <f t="array" ref="E250">INDEX(LINEST(M$22:M$35,$A$22:$A$35^{1,2,3}), 1)</f>
        <v>-6.4038270848115452E-7</v>
      </c>
      <c r="F250" s="23" cm="1">
        <f t="array" ref="F250">INDEX(LINEST(N$22:N$35,$A$22:$A$35^{1,2,3}), 1)</f>
        <v>-8.4347175682338335E-7</v>
      </c>
      <c r="G250" s="23" cm="1">
        <f t="array" ref="G250">INDEX(LINEST(O$22:O$35,$A$22:$A$35^{1,2,3}), 1)</f>
        <v>-1.1889958917142266E-6</v>
      </c>
      <c r="H250" s="23" cm="1">
        <f t="array" ref="H250">INDEX(LINEST(P$22:P$35,$A$22:$A$35^{1,2,3}), 1)</f>
        <v>-1.050706938270109E-6</v>
      </c>
      <c r="I250" s="23" cm="1">
        <f t="array" ref="I250">INDEX(LINEST(B$22:B$35,$A$22:$A$35^{1,2,3}), 1)</f>
        <v>4.2944624345223661E-7</v>
      </c>
      <c r="J250" s="23" cm="1">
        <f t="array" ref="J250">INDEX(LINEST($C$80:$C$100,$A$80:$A$100^{1,2,3}), 1)</f>
        <v>-2.2219448489471551E-6</v>
      </c>
      <c r="K250" s="23" cm="1">
        <f t="array" ref="K250">INDEX(LINEST($M$80:$M$100,$K$80:$K$100^{1,2,3}), 1)</f>
        <v>-2.8809837505485012E-7</v>
      </c>
    </row>
    <row r="251" spans="1:19" x14ac:dyDescent="0.25">
      <c r="A251" t="s">
        <v>50</v>
      </c>
      <c r="B251" s="22"/>
      <c r="C251" s="22"/>
      <c r="D251" s="23"/>
      <c r="E251" s="23"/>
      <c r="F251" s="23"/>
      <c r="G251" s="23"/>
      <c r="H251" s="23"/>
      <c r="I251" s="23"/>
    </row>
    <row r="252" spans="1:19" x14ac:dyDescent="0.25">
      <c r="A252" t="s">
        <v>51</v>
      </c>
      <c r="B252" s="22"/>
      <c r="C252" s="22"/>
      <c r="D252" s="23"/>
      <c r="E252" s="23"/>
      <c r="F252" s="23"/>
      <c r="G252" s="23"/>
      <c r="H252" s="23"/>
      <c r="I252" s="23"/>
    </row>
    <row r="253" spans="1:19" x14ac:dyDescent="0.25">
      <c r="A253" t="s">
        <v>52</v>
      </c>
      <c r="B253" s="22"/>
      <c r="C253" s="22"/>
      <c r="D253" s="23"/>
      <c r="E253" s="23"/>
      <c r="F253" s="23"/>
      <c r="G253" s="23"/>
      <c r="H253" s="23"/>
      <c r="I253" s="23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s="29"/>
      <c r="B255" s="62"/>
      <c r="C255" s="62"/>
      <c r="D255" s="62"/>
      <c r="E255" s="62"/>
      <c r="F255" s="62"/>
      <c r="G255" s="62"/>
      <c r="H255" s="62"/>
    </row>
    <row r="256" spans="1:19" x14ac:dyDescent="0.25">
      <c r="A256" s="30" t="s">
        <v>4</v>
      </c>
      <c r="B256" s="60" t="s">
        <v>54</v>
      </c>
      <c r="C256" s="60"/>
      <c r="D256" s="60"/>
      <c r="E256" s="60"/>
      <c r="F256" s="60"/>
      <c r="G256" s="60"/>
      <c r="H256" s="60"/>
      <c r="I256" s="60" t="s">
        <v>55</v>
      </c>
      <c r="J256" s="60"/>
      <c r="K256" s="63"/>
    </row>
    <row r="257" spans="1:11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4424.4064010440352</v>
      </c>
      <c r="J257" s="2" cm="1">
        <f t="array" ref="J257">EvaluatePolynomial(J$247:J$250,$A257)</f>
        <v>4399.403162055336</v>
      </c>
      <c r="K257" s="1" cm="1">
        <f t="array" ref="K257">EvaluatePolynomial(K$247:K$250,$A257)</f>
        <v>4401.3193111236578</v>
      </c>
    </row>
    <row r="258" spans="1:11" x14ac:dyDescent="0.25">
      <c r="A258" s="1">
        <v>25</v>
      </c>
      <c r="B258" s="2" cm="1">
        <f t="array" ref="B258">TrajectoryToComeUp(B$247:B$250,$A258)</f>
        <v>0.75650998621530019</v>
      </c>
      <c r="C258" s="2" cm="1">
        <f t="array" ref="C258">TrajectoryToComeUp(C$247:C$250,$A258)</f>
        <v>0.98416437397120382</v>
      </c>
      <c r="D258" s="24" cm="1">
        <f t="array" ref="D258">TrajectoryToComeUp(D$247:D$250,$A258)</f>
        <v>0.74579321188109216</v>
      </c>
      <c r="E258" s="24" cm="1">
        <f t="array" ref="E258">TrajectoryToComeUp(E$247:E$250,$A258)</f>
        <v>0.45480974144987835</v>
      </c>
      <c r="F258" s="24" cm="1">
        <f t="array" ref="F258">TrajectoryToComeUp(F$247:F$250,$A258)</f>
        <v>-0.49381120061710165</v>
      </c>
      <c r="G258" s="24" cm="1">
        <f t="array" ref="G258">TrajectoryToComeUp(G$247:G$250,$A258)</f>
        <v>-1.3920987993837175</v>
      </c>
      <c r="H258" s="24" cm="1">
        <f t="array" ref="H258">TrajectoryToComeUp(H$247:H$250,$A258)</f>
        <v>-3.2582754694319549</v>
      </c>
      <c r="I258" s="2" cm="1">
        <f t="array" ref="I258">EvaluatePolynomial(I$247:I$250,$A258)</f>
        <v>4198.6471699041458</v>
      </c>
      <c r="J258" s="2" cm="1">
        <f t="array" ref="J258">EvaluatePolynomial(J$247:J$250,$A258)</f>
        <v>4165.6448334274419</v>
      </c>
      <c r="K258" s="1" cm="1">
        <f t="array" ref="K258">EvaluatePolynomial(K$247:K$250,$A258)</f>
        <v>4283.5239977413885</v>
      </c>
    </row>
    <row r="259" spans="1:11" x14ac:dyDescent="0.25">
      <c r="A259" s="1">
        <v>50</v>
      </c>
      <c r="B259" s="2" cm="1">
        <f t="array" ref="B259">TrajectoryToComeUp(B$247:B$250,$A259)</f>
        <v>-0.32280368888350869</v>
      </c>
      <c r="C259" s="2" cm="1">
        <f t="array" ref="C259">TrajectoryToComeUp(C$247:C$250,$A259)</f>
        <v>0.18435056047699097</v>
      </c>
      <c r="D259" s="24" cm="1">
        <f t="array" ref="D259">TrajectoryToComeUp(D$247:D$250,$A259)</f>
        <v>-1.3462286407163467E-2</v>
      </c>
      <c r="E259" s="24" cm="1">
        <f t="array" ref="E259">TrajectoryToComeUp(E$247:E$250,$A259)</f>
        <v>-0.52008503941194106</v>
      </c>
      <c r="F259" s="24" cm="1">
        <f t="array" ref="F259">TrajectoryToComeUp(F$247:F$250,$A259)</f>
        <v>-1.4286775083576124</v>
      </c>
      <c r="G259" s="24" cm="1">
        <f t="array" ref="G259">TrajectoryToComeUp(G$247:G$250,$A259)</f>
        <v>-2.3830606703263371</v>
      </c>
      <c r="H259" s="24" cm="1">
        <f t="array" ref="H259">TrajectoryToComeUp(H$247:H$250,$A259)</f>
        <v>-4.112573333996945</v>
      </c>
      <c r="I259" s="2" cm="1">
        <f t="array" ref="I259">EvaluatePolynomial(I$247:I$250,$A259)</f>
        <v>3979.9852685623659</v>
      </c>
      <c r="J259" s="2" cm="1">
        <f t="array" ref="J259">EvaluatePolynomial(J$247:J$250,$A259)</f>
        <v>3941.3312431275817</v>
      </c>
      <c r="K259" s="1" cm="1">
        <f t="array" ref="K259">EvaluatePolynomial(K$247:K$250,$A259)</f>
        <v>4168.1233914826589</v>
      </c>
    </row>
    <row r="260" spans="1:11" x14ac:dyDescent="0.25">
      <c r="A260" s="1">
        <v>75</v>
      </c>
      <c r="B260" s="2" cm="1">
        <f t="array" ref="B260">TrajectoryToComeUp(B$247:B$250,$A260)</f>
        <v>-0.51594493386020046</v>
      </c>
      <c r="C260" s="2" cm="1">
        <f t="array" ref="C260">TrajectoryToComeUp(C$247:C$250,$A260)</f>
        <v>1.3250548566577092E-2</v>
      </c>
      <c r="D260" s="24" cm="1">
        <f t="array" ref="D260">TrajectoryToComeUp(D$247:D$250,$A260)</f>
        <v>-0.18970787143084167</v>
      </c>
      <c r="E260" s="24" cm="1">
        <f t="array" ref="E260">TrajectoryToComeUp(E$247:E$250,$A260)</f>
        <v>-0.69856244559082215</v>
      </c>
      <c r="F260" s="24" cm="1">
        <f t="array" ref="F260">TrajectoryToComeUp(F$247:F$250,$A260)</f>
        <v>-1.6112502038937251</v>
      </c>
      <c r="G260" s="24" cm="1">
        <f t="array" ref="G260">TrajectoryToComeUp(G$247:G$250,$A260)</f>
        <v>-2.6146692444094954</v>
      </c>
      <c r="H260" s="24" cm="1">
        <f t="array" ref="H260">TrajectoryToComeUp(H$247:H$250,$A260)</f>
        <v>-4.281051727439146</v>
      </c>
      <c r="I260" s="2" cm="1">
        <f t="array" ref="I260">EvaluatePolynomial(I$247:I$250,$A260)</f>
        <v>3768.4609576040193</v>
      </c>
      <c r="J260" s="2" cm="1">
        <f t="array" ref="J260">EvaluatePolynomial(J$247:J$250,$A260)</f>
        <v>3726.2540838261662</v>
      </c>
      <c r="K260" s="1" cm="1">
        <f t="array" ref="K260">EvaluatePolynomial(K$247:K$250,$A260)</f>
        <v>4055.0904831248076</v>
      </c>
    </row>
    <row r="261" spans="1:11" x14ac:dyDescent="0.25">
      <c r="A261" s="1">
        <v>100</v>
      </c>
      <c r="B261" s="2" cm="1">
        <f t="array" ref="B261">TrajectoryToComeUp(B$247:B$250,$A261)</f>
        <v>-0.48194319445717193</v>
      </c>
      <c r="C261" s="2" cm="1">
        <f t="array" ref="C261">TrajectoryToComeUp(C$247:C$250,$A261)</f>
        <v>1.1319293868535165E-2</v>
      </c>
      <c r="D261" s="24" cm="1">
        <f t="array" ref="D261">TrajectoryToComeUp(D$247:D$250,$A261)</f>
        <v>-0.20599602028963321</v>
      </c>
      <c r="E261" s="24" cm="1">
        <f t="array" ref="E261">TrajectoryToComeUp(E$247:E$250,$A261)</f>
        <v>-0.67193192020695747</v>
      </c>
      <c r="F261" s="24" cm="1">
        <f t="array" ref="F261">TrajectoryToComeUp(F$247:F$250,$A261)</f>
        <v>-1.5978419486585196</v>
      </c>
      <c r="G261" s="24" cm="1">
        <f t="array" ref="G261">TrajectoryToComeUp(G$247:G$250,$A261)</f>
        <v>-2.6452926577929681</v>
      </c>
      <c r="H261" s="24" cm="1">
        <f t="array" ref="H261">TrajectoryToComeUp(H$247:H$250,$A261)</f>
        <v>-4.2682248755543659</v>
      </c>
      <c r="I261" s="2" cm="1">
        <f t="array" ref="I261">EvaluatePolynomial(I$247:I$250,$A261)</f>
        <v>3564.1144976144296</v>
      </c>
      <c r="J261" s="2" cm="1">
        <f t="array" ref="J261">EvaluatePolynomial(J$247:J$250,$A261)</f>
        <v>3520.2050481936062</v>
      </c>
      <c r="K261" s="1" cm="1">
        <f t="array" ref="K261">EvaluatePolynomial(K$247:K$250,$A261)</f>
        <v>3944.3982634451741</v>
      </c>
    </row>
    <row r="262" spans="1:11" x14ac:dyDescent="0.25">
      <c r="A262" s="1">
        <v>125</v>
      </c>
      <c r="B262" s="2" cm="1">
        <f t="array" ref="B262">TrajectoryToComeUp(B$247:B$250,$A262)</f>
        <v>-0.35260435982290256</v>
      </c>
      <c r="C262" s="2" cm="1">
        <f t="array" ref="C262">TrajectoryToComeUp(C$247:C$250,$A262)</f>
        <v>8.6647787508579779E-2</v>
      </c>
      <c r="D262" s="24" cm="1">
        <f t="array" ref="D262">TrajectoryToComeUp(D$247:D$250,$A262)</f>
        <v>-0.14693722840347631</v>
      </c>
      <c r="E262" s="24" cm="1">
        <f t="array" ref="E262">TrajectoryToComeUp(E$247:E$250,$A262)</f>
        <v>-0.55845535188438622</v>
      </c>
      <c r="F262" s="24" cm="1">
        <f t="array" ref="F262">TrajectoryToComeUp(F$247:F$250,$A262)</f>
        <v>-1.4997152749386109</v>
      </c>
      <c r="G262" s="24" cm="1">
        <f t="array" ref="G262">TrajectoryToComeUp(G$247:G$250,$A262)</f>
        <v>-2.5866045377087095</v>
      </c>
      <c r="H262" s="24" cm="1">
        <f t="array" ref="H262">TrajectoryToComeUp(H$247:H$250,$A262)</f>
        <v>-4.1749956235017684</v>
      </c>
      <c r="I262" s="2" cm="1">
        <f t="array" ref="I262">EvaluatePolynomial(I$247:I$250,$A262)</f>
        <v>3366.9861491789202</v>
      </c>
      <c r="J262" s="2" cm="1">
        <f t="array" ref="J262">EvaluatePolynomial(J$247:J$250,$A262)</f>
        <v>3322.9758289003139</v>
      </c>
      <c r="K262" s="1" cm="1">
        <f t="array" ref="K262">EvaluatePolynomial(K$247:K$250,$A262)</f>
        <v>3836.0197232210958</v>
      </c>
    </row>
    <row r="263" spans="1:11" x14ac:dyDescent="0.25">
      <c r="A263" s="1">
        <v>145</v>
      </c>
      <c r="B263" s="2" cm="1">
        <f t="array" ref="B263">TrajectoryToComeUp(B$247:B$250,$A263)</f>
        <v>-0.21103318958615838</v>
      </c>
      <c r="C263" s="2" cm="1">
        <f t="array" ref="C263">TrajectoryToComeUp(C$247:C$250,$A263)</f>
        <v>0.18124006537454831</v>
      </c>
      <c r="D263" s="24" cm="1">
        <f t="array" ref="D263">TrajectoryToComeUp(D$247:D$250,$A263)</f>
        <v>-6.5046691669290835E-2</v>
      </c>
      <c r="E263" s="24" cm="1">
        <f t="array" ref="E263">TrajectoryToComeUp(E$247:E$250,$A263)</f>
        <v>-0.43254908050196161</v>
      </c>
      <c r="F263" s="24" cm="1">
        <f t="array" ref="F263">TrajectoryToComeUp(F$247:F$250,$A263)</f>
        <v>-1.3859988890318382</v>
      </c>
      <c r="G263" s="24" cm="1">
        <f t="array" ref="G263">TrajectoryToComeUp(G$247:G$250,$A263)</f>
        <v>-2.5012272125444928</v>
      </c>
      <c r="H263" s="24" cm="1">
        <f t="array" ref="H263">TrajectoryToComeUp(H$247:H$250,$A263)</f>
        <v>-4.0659041185481577</v>
      </c>
      <c r="I263" s="2" cm="1">
        <f t="array" ref="I263">EvaluatePolynomial(I$247:I$250,$A263)</f>
        <v>3214.5075658627879</v>
      </c>
      <c r="J263" s="2" cm="1">
        <f t="array" ref="J263">EvaluatePolynomial(J$247:J$250,$A263)</f>
        <v>3171.4027387044684</v>
      </c>
      <c r="K263" s="1" cm="1">
        <f t="array" ref="K263">EvaluatePolynomial(K$247:K$250,$A263)</f>
        <v>3750.9645900522055</v>
      </c>
    </row>
    <row r="264" spans="1:11" x14ac:dyDescent="0.25">
      <c r="A264" s="1">
        <v>150</v>
      </c>
      <c r="B264" s="2" cm="1">
        <f t="array" ref="B264">TrajectoryToComeUp(B$247:B$250,$A264)</f>
        <v>-0.17186372634021879</v>
      </c>
      <c r="C264" s="2" cm="1">
        <f t="array" ref="C264">TrajectoryToComeUp(C$247:C$250,$A264)</f>
        <v>0.20859969319528265</v>
      </c>
      <c r="D264" s="24" cm="1">
        <f t="array" ref="D264">TrajectoryToComeUp(D$247:D$250,$A264)</f>
        <v>-4.073499424568363E-2</v>
      </c>
      <c r="E264" s="24" cm="1">
        <f t="array" ref="E264">TrajectoryToComeUp(E$247:E$250,$A264)</f>
        <v>-0.39755337016445419</v>
      </c>
      <c r="F264" s="24" cm="1">
        <f t="array" ref="F264">TrajectoryToComeUp(F$247:F$250,$A264)</f>
        <v>-1.353957693496205</v>
      </c>
      <c r="G264" s="24" cm="1">
        <f t="array" ref="G264">TrajectoryToComeUp(G$247:G$250,$A264)</f>
        <v>-2.4758294265673713</v>
      </c>
      <c r="H264" s="24" cm="1">
        <f t="array" ref="H264">TrajectoryToComeUp(H$247:H$250,$A264)</f>
        <v>-4.0349982530010742</v>
      </c>
      <c r="I264" s="2" cm="1">
        <f t="array" ref="I264">EvaluatePolynomial(I$247:I$250,$A264)</f>
        <v>3177.1161728828151</v>
      </c>
      <c r="J264" s="2" cm="1">
        <f t="array" ref="J264">EvaluatePolynomial(J$247:J$250,$A264)</f>
        <v>3134.3581186166998</v>
      </c>
      <c r="K264" s="1" cm="1">
        <f t="array" ref="K264">EvaluatePolynomial(K$247:K$250,$A264)</f>
        <v>3729.9278532299127</v>
      </c>
    </row>
    <row r="265" spans="1:11" x14ac:dyDescent="0.25">
      <c r="A265" s="1">
        <v>163.4</v>
      </c>
      <c r="B265" s="2" cm="1">
        <f t="array" ref="B265">TrajectoryToComeUp(B$247:B$250,$A265)</f>
        <v>-6.0844707880427347E-2</v>
      </c>
      <c r="C265" s="2" cm="1">
        <f t="array" ref="C265">TrajectoryToComeUp(C$247:C$250,$A265)</f>
        <v>0.28826506923474615</v>
      </c>
      <c r="D265" s="24" cm="1">
        <f t="array" ref="D265">TrajectoryToComeUp(D$247:D$250,$A265)</f>
        <v>3.1091203614502221E-2</v>
      </c>
      <c r="E265" s="24" cm="1">
        <f t="array" ref="E265">TrajectoryToComeUp(E$247:E$250,$A265)</f>
        <v>-0.29808365108126411</v>
      </c>
      <c r="F265" s="24" cm="1">
        <f t="array" ref="F265">TrajectoryToComeUp(F$247:F$250,$A265)</f>
        <v>-1.26214813254409</v>
      </c>
      <c r="G265" s="24" cm="1">
        <f t="array" ref="G265">TrajectoryToComeUp(G$247:G$250,$A265)</f>
        <v>-2.40095801879625</v>
      </c>
      <c r="H265" s="24" cm="1">
        <f t="array" ref="H265">TrajectoryToComeUp(H$247:H$250,$A265)</f>
        <v>-3.9460797758796584</v>
      </c>
      <c r="I265" s="2" cm="1">
        <f t="array" ref="I265">EvaluatePolynomial(I$247:I$250,$A265)</f>
        <v>3078.3477698320066</v>
      </c>
      <c r="J265" s="2" cm="1">
        <f t="array" ref="J265">EvaluatePolynomial(J$247:J$250,$A265)</f>
        <v>3036.731449627609</v>
      </c>
      <c r="K265" s="1" cm="1">
        <f t="array" ref="K265">EvaluatePolynomial(K$247:K$250,$A265)</f>
        <v>3673.9945154794173</v>
      </c>
    </row>
    <row r="266" spans="1:11" x14ac:dyDescent="0.25">
      <c r="A266" s="1">
        <v>175</v>
      </c>
      <c r="B266" s="2" cm="1">
        <f t="array" ref="B266">TrajectoryToComeUp(B$247:B$250,$A266)</f>
        <v>4.1449293255382311E-2</v>
      </c>
      <c r="C266" s="2" cm="1">
        <f t="array" ref="C266">TrajectoryToComeUp(C$247:C$250,$A266)</f>
        <v>0.36404515251803127</v>
      </c>
      <c r="D266" s="24" cm="1">
        <f t="array" ref="D266">TrajectoryToComeUp(D$247:D$250,$A266)</f>
        <v>0.10052346855232495</v>
      </c>
      <c r="E266" s="24" cm="1">
        <f t="array" ref="E266">TrajectoryToComeUp(E$247:E$250,$A266)</f>
        <v>-0.20612053056488142</v>
      </c>
      <c r="F266" s="24" cm="1">
        <f t="array" ref="F266">TrajectoryToComeUp(F$247:F$250,$A266)</f>
        <v>-1.1764638518008177</v>
      </c>
      <c r="G266" s="24" cm="1">
        <f t="array" ref="G266">TrajectoryToComeUp(G$247:G$250,$A266)</f>
        <v>-2.3289206996878042</v>
      </c>
      <c r="H266" s="24" cm="1">
        <f t="array" ref="H266">TrajectoryToComeUp(H$247:H$250,$A266)</f>
        <v>-3.8626474562178772</v>
      </c>
      <c r="I266" s="2" cm="1">
        <f t="array" ref="I266">EvaluatePolynomial(I$247:I$250,$A266)</f>
        <v>2994.5448293114378</v>
      </c>
      <c r="J266" s="2" cm="1">
        <f t="array" ref="J266">EvaluatePolynomial(J$247:J$250,$A266)</f>
        <v>2954.143610013175</v>
      </c>
      <c r="K266" s="1" cm="1">
        <f t="array" ref="K266">EvaluatePolynomial(K$247:K$250,$A266)</f>
        <v>3626.0956442489623</v>
      </c>
    </row>
    <row r="267" spans="1:11" x14ac:dyDescent="0.25">
      <c r="A267" s="1">
        <v>200</v>
      </c>
      <c r="B267" s="2" cm="1">
        <f t="array" ref="B267">TrajectoryToComeUp(B$247:B$250,$A267)</f>
        <v>0.27791999259615224</v>
      </c>
      <c r="C267" s="2" cm="1">
        <f t="array" ref="C267">TrajectoryToComeUp(C$247:C$250,$A267)</f>
        <v>0.54641923627152</v>
      </c>
      <c r="D267" s="24" cm="1">
        <f t="array" ref="D267">TrajectoryToComeUp(D$247:D$250,$A267)</f>
        <v>0.27079455317483969</v>
      </c>
      <c r="E267" s="24" cm="1">
        <f t="array" ref="E267">TrajectoryToComeUp(E$247:E$250,$A267)</f>
        <v>7.3958891554722333E-3</v>
      </c>
      <c r="F267" s="24" cm="1">
        <f t="array" ref="F267">TrajectoryToComeUp(F$247:F$250,$A267)</f>
        <v>-0.97518107358720807</v>
      </c>
      <c r="G267" s="24" cm="1">
        <f t="array" ref="G267">TrajectoryToComeUp(G$247:G$250,$A267)</f>
        <v>-2.153855044729434</v>
      </c>
      <c r="H267" s="24" cm="1">
        <f t="array" ref="H267">TrajectoryToComeUp(H$247:H$250,$A267)</f>
        <v>-3.6651505792349761</v>
      </c>
      <c r="I267" s="2" cm="1">
        <f t="array" ref="I267">EvaluatePolynomial(I$247:I$250,$A267)</f>
        <v>2819.3123790501118</v>
      </c>
      <c r="J267" s="2" cm="1">
        <f t="array" ref="J267">EvaluatePolynomial(J$247:J$250,$A267)</f>
        <v>2782.123995760151</v>
      </c>
      <c r="K267" s="1" cm="1">
        <f t="array" ref="K267">EvaluatePolynomial(K$247:K$250,$A267)</f>
        <v>3524.4960870555833</v>
      </c>
    </row>
    <row r="268" spans="1:11" x14ac:dyDescent="0.25">
      <c r="A268" s="1">
        <v>225</v>
      </c>
      <c r="B268" s="2" cm="1">
        <f t="array" ref="B268">TrajectoryToComeUp(B$247:B$250,$A268)</f>
        <v>0.53231797925556401</v>
      </c>
      <c r="C268" s="2" cm="1">
        <f t="array" ref="C268">TrajectoryToComeUp(C$247:C$250,$A268)</f>
        <v>0.75207476156391151</v>
      </c>
      <c r="D268" s="24" cm="1">
        <f t="array" ref="D268">TrajectoryToComeUp(D$247:D$250,$A268)</f>
        <v>0.46672070027979978</v>
      </c>
      <c r="E268" s="24" cm="1">
        <f t="array" ref="E268">TrajectoryToComeUp(E$247:E$250,$A268)</f>
        <v>0.23830295690835135</v>
      </c>
      <c r="F268" s="24" cm="1">
        <f t="array" ref="F268">TrajectoryToComeUp(F$247:F$250,$A268)</f>
        <v>-0.75452453870801894</v>
      </c>
      <c r="G268" s="24" cm="1">
        <f t="array" ref="G268">TrajectoryToComeUp(G$247:G$250,$A268)</f>
        <v>-1.9550639548363853</v>
      </c>
      <c r="H268" s="24" cm="1">
        <f t="array" ref="H268">TrajectoryToComeUp(H$247:H$250,$A268)</f>
        <v>-3.4465117032094783</v>
      </c>
      <c r="I268" s="2" cm="1">
        <f t="array" ref="I268">EvaluatePolynomial(I$247:I$250,$A268)</f>
        <v>2651.4590826841609</v>
      </c>
      <c r="J268" s="2" cm="1">
        <f t="array" ref="J268">EvaluatePolynomial(J$247:J$250,$A268)</f>
        <v>2618.090968528039</v>
      </c>
      <c r="K268" s="1" cm="1">
        <f t="array" ref="K268">EvaluatePolynomial(K$247:K$250,$A268)</f>
        <v>3425.102172427115</v>
      </c>
    </row>
    <row r="269" spans="1:11" x14ac:dyDescent="0.25">
      <c r="A269" s="1">
        <v>247.4</v>
      </c>
      <c r="B269" s="2" cm="1">
        <f t="array" ref="B269">TrajectoryToComeUp(B$247:B$250,$A269)</f>
        <v>0.77288588032723593</v>
      </c>
      <c r="C269" s="2" cm="1">
        <f t="array" ref="C269">TrajectoryToComeUp(C$247:C$250,$A269)</f>
        <v>0.95430436725697254</v>
      </c>
      <c r="D269" s="24" cm="1">
        <f t="array" ref="D269">TrajectoryToComeUp(D$247:D$250,$A269)</f>
        <v>0.66239294134371041</v>
      </c>
      <c r="E269" s="24" cm="1">
        <f t="array" ref="E269">TrajectoryToComeUp(E$247:E$250,$A269)</f>
        <v>0.45763436597209045</v>
      </c>
      <c r="F269" s="24" cm="1">
        <f t="array" ref="F269">TrajectoryToComeUp(F$247:F$250,$A269)</f>
        <v>-0.54255505494647427</v>
      </c>
      <c r="G269" s="24" cm="1">
        <f t="array" ref="G269">TrajectoryToComeUp(G$247:G$250,$A269)</f>
        <v>-1.7589976695584371</v>
      </c>
      <c r="H269" s="24" cm="1">
        <f t="array" ref="H269">TrajectoryToComeUp(H$247:H$250,$A269)</f>
        <v>-3.234643705892895</v>
      </c>
      <c r="I269" s="2" cm="1">
        <f t="array" ref="I269">EvaluatePolynomial(I$247:I$250,$A269)</f>
        <v>2507.3634536364971</v>
      </c>
      <c r="J269" s="2" cm="1">
        <f t="array" ref="J269">EvaluatePolynomial(J$247:J$250,$A269)</f>
        <v>2477.7304429717378</v>
      </c>
      <c r="K269" s="1" cm="1">
        <f t="array" ref="K269">EvaluatePolynomial(K$247:K$250,$A269)</f>
        <v>3337.8965688274402</v>
      </c>
    </row>
    <row r="270" spans="1:11" x14ac:dyDescent="0.25">
      <c r="A270" s="1">
        <v>250</v>
      </c>
      <c r="B270" s="2" cm="1">
        <f t="array" ref="B270">TrajectoryToComeUp(B$247:B$250,$A270)</f>
        <v>0.80150501777770145</v>
      </c>
      <c r="C270" s="2" cm="1">
        <f t="array" ref="C270">TrajectoryToComeUp(C$247:C$250,$A270)</f>
        <v>0.97882341866010447</v>
      </c>
      <c r="D270" s="24" cm="1">
        <f t="array" ref="D270">TrajectoryToComeUp(D$247:D$250,$A270)</f>
        <v>0.68628737426196817</v>
      </c>
      <c r="E270" s="24" cm="1">
        <f t="array" ref="E270">TrajectoryToComeUp(E$247:E$250,$A270)</f>
        <v>0.4837849134408026</v>
      </c>
      <c r="F270" s="24" cm="1">
        <f t="array" ref="F270">TrajectoryToComeUp(F$247:F$250,$A270)</f>
        <v>-0.51714335507483655</v>
      </c>
      <c r="G270" s="24" cm="1">
        <f t="array" ref="G270">TrajectoryToComeUp(G$247:G$250,$A270)</f>
        <v>-1.7352063258951338</v>
      </c>
      <c r="H270" s="24" cm="1">
        <f t="array" ref="H270">TrajectoryToComeUp(H$247:H$250,$A270)</f>
        <v>-3.2091332768356504</v>
      </c>
      <c r="I270" s="2" cm="1">
        <f t="array" ref="I270">EvaluatePolynomial(I$247:I$250,$A270)</f>
        <v>2491.0252007989084</v>
      </c>
      <c r="J270" s="2" cm="1">
        <f t="array" ref="J270">EvaluatePolynomial(J$247:J$250,$A270)</f>
        <v>2461.8362209872503</v>
      </c>
      <c r="K270" s="1" cm="1">
        <f t="array" ref="K270">EvaluatePolynomial(K$247:K$250,$A270)</f>
        <v>3327.8868911408954</v>
      </c>
    </row>
    <row r="271" spans="1:11" x14ac:dyDescent="0.25">
      <c r="A271" s="1">
        <v>275</v>
      </c>
      <c r="B271" s="2" cm="1">
        <f t="array" ref="B271">TrajectoryToComeUp(B$247:B$250,$A271)</f>
        <v>1.0834840492360724</v>
      </c>
      <c r="C271" s="2" cm="1">
        <f t="array" ref="C271">TrajectoryToComeUp(C$247:C$250,$A271)</f>
        <v>1.2252726468195785</v>
      </c>
      <c r="D271" s="24" cm="1">
        <f t="array" ref="D271">TrajectoryToComeUp(D$247:D$250,$A271)</f>
        <v>0.92821259791801247</v>
      </c>
      <c r="E271" s="24" cm="1">
        <f t="array" ref="E271">TrajectoryToComeUp(E$247:E$250,$A271)</f>
        <v>0.74204991195549208</v>
      </c>
      <c r="F271" s="24" cm="1">
        <f t="array" ref="F271">TrajectoryToComeUp(F$247:F$250,$A271)</f>
        <v>-0.26472331863139781</v>
      </c>
      <c r="G271" s="24" cm="1">
        <f t="array" ref="G271">TrajectoryToComeUp(G$247:G$250,$A271)</f>
        <v>-1.4959741825607089</v>
      </c>
      <c r="H271" s="24" cm="1">
        <f t="array" ref="H271">TrajectoryToComeUp(H$247:H$250,$A271)</f>
        <v>-2.9545441311007541</v>
      </c>
      <c r="I271" s="2" cm="1">
        <f t="array" ref="I271">EvaluatePolynomial(I$247:I$250,$A271)</f>
        <v>2338.0509939796784</v>
      </c>
      <c r="J271" s="2" cm="1">
        <f t="array" ref="J271">EvaluatePolynomial(J$247:J$250,$A271)</f>
        <v>2313.1514458081961</v>
      </c>
      <c r="K271" s="1" cm="1">
        <f t="array" ref="K271">EvaluatePolynomial(K$247:K$250,$A271)</f>
        <v>3232.8232339742635</v>
      </c>
    </row>
    <row r="272" spans="1:11" x14ac:dyDescent="0.25">
      <c r="A272" s="1">
        <v>300</v>
      </c>
      <c r="B272" s="2" cm="1">
        <f t="array" ref="B272">TrajectoryToComeUp(B$247:B$250,$A272)</f>
        <v>1.3769237010130162</v>
      </c>
      <c r="C272" s="2" cm="1">
        <f t="array" ref="C272">TrajectoryToComeUp(C$247:C$250,$A272)</f>
        <v>1.4904940722153219</v>
      </c>
      <c r="D272" s="24" cm="1">
        <f t="array" ref="D272">TrajectoryToComeUp(D$247:D$250,$A272)</f>
        <v>1.1916417197790448</v>
      </c>
      <c r="E272" s="24" cm="1">
        <f t="array" ref="E272">TrajectoryToComeUp(E$247:E$250,$A272)</f>
        <v>1.0119033879208637</v>
      </c>
      <c r="F272" s="24" cm="1">
        <f t="array" ref="F272">TrajectoryToComeUp(F$247:F$250,$A272)</f>
        <v>1.6117066598068199E-3</v>
      </c>
      <c r="G272" s="24" cm="1">
        <f t="array" ref="G272">TrajectoryToComeUp(G$247:G$250,$A272)</f>
        <v>-1.2384955412697962</v>
      </c>
      <c r="H272" s="24" cm="1">
        <f t="array" ref="H272">TrajectoryToComeUp(H$247:H$250,$A272)</f>
        <v>-2.6837634866629605</v>
      </c>
      <c r="I272" s="2" cm="1">
        <f t="array" ref="I272">EvaluatePolynomial(I$247:I$250,$A272)</f>
        <v>2192.5767228117948</v>
      </c>
      <c r="J272" s="2" cm="1">
        <f t="array" ref="J272">EvaluatePolynomial(J$247:J$250,$A272)</f>
        <v>2171.8283356612874</v>
      </c>
      <c r="K272" s="1" cm="1">
        <f t="array" ref="K272">EvaluatePolynomial(K$247:K$250,$A272)</f>
        <v>3139.8841917045575</v>
      </c>
    </row>
    <row r="273" spans="1:11" x14ac:dyDescent="0.25">
      <c r="A273" s="1">
        <v>325</v>
      </c>
      <c r="B273" s="2" cm="1">
        <f t="array" ref="B273">TrajectoryToComeUp(B$247:B$250,$A273)</f>
        <v>1.6809022536039966</v>
      </c>
      <c r="C273" s="2" cm="1">
        <f t="array" ref="C273">TrajectoryToComeUp(C$247:C$250,$A273)</f>
        <v>1.7738449745055551</v>
      </c>
      <c r="D273" s="24" cm="1">
        <f t="array" ref="D273">TrajectoryToComeUp(D$247:D$250,$A273)</f>
        <v>1.4759830580589113</v>
      </c>
      <c r="E273" s="24" cm="1">
        <f t="array" ref="E273">TrajectoryToComeUp(E$247:E$250,$A273)</f>
        <v>1.292518335122764</v>
      </c>
      <c r="F273" s="24" cm="1">
        <f t="array" ref="F273">TrajectoryToComeUp(F$247:F$250,$A273)</f>
        <v>0.28108366113243666</v>
      </c>
      <c r="G273" s="24" cm="1">
        <f t="array" ref="G273">TrajectoryToComeUp(G$247:G$250,$A273)</f>
        <v>-0.96355133647856461</v>
      </c>
      <c r="H273" s="24" cm="1">
        <f t="array" ref="H273">TrajectoryToComeUp(H$247:H$250,$A273)</f>
        <v>-2.3974969578240826</v>
      </c>
      <c r="I273" s="2" cm="1">
        <f t="array" ref="I273">EvaluatePolynomial(I$247:I$250,$A273)</f>
        <v>2054.6426478805806</v>
      </c>
      <c r="J273" s="2" cm="1">
        <f t="array" ref="J273">EvaluatePolynomial(J$247:J$250,$A273)</f>
        <v>2037.6585832169353</v>
      </c>
      <c r="K273" s="1" cm="1">
        <f t="array" ref="K273">EvaluatePolynomial(K$247:K$250,$A273)</f>
        <v>3049.0427551091161</v>
      </c>
    </row>
    <row r="274" spans="1:11" x14ac:dyDescent="0.25">
      <c r="A274" s="1">
        <v>350</v>
      </c>
      <c r="B274" s="2" cm="1">
        <f t="array" ref="B274">TrajectoryToComeUp(B$247:B$250,$A274)</f>
        <v>1.9947613359343472</v>
      </c>
      <c r="C274" s="2" cm="1">
        <f t="array" ref="C274">TrajectoryToComeUp(C$247:C$250,$A274)</f>
        <v>2.0748662677318657</v>
      </c>
      <c r="D274" s="24" cm="1">
        <f t="array" ref="D274">TrajectoryToComeUp(D$247:D$250,$A274)</f>
        <v>1.7808139829103602</v>
      </c>
      <c r="E274" s="24" cm="1">
        <f t="array" ref="E274">TrajectoryToComeUp(E$247:E$250,$A274)</f>
        <v>1.5833040348367959</v>
      </c>
      <c r="F274" s="24" cm="1">
        <f t="array" ref="F274">TrajectoryToComeUp(F$247:F$250,$A274)</f>
        <v>0.57313678788196365</v>
      </c>
      <c r="G274" s="24" cm="1">
        <f t="array" ref="G274">TrajectoryToComeUp(G$247:G$250,$A274)</f>
        <v>-0.67169937851284722</v>
      </c>
      <c r="H274" s="24" cm="1">
        <f t="array" ref="H274">TrajectoryToComeUp(H$247:H$250,$A274)</f>
        <v>-2.0962485547997014</v>
      </c>
      <c r="I274" s="2" cm="1">
        <f t="array" ref="I274">EvaluatePolynomial(I$247:I$250,$A274)</f>
        <v>1924.2890297713598</v>
      </c>
      <c r="J274" s="2" cm="1">
        <f t="array" ref="J274">EvaluatePolynomial(J$247:J$250,$A274)</f>
        <v>1910.4338811455514</v>
      </c>
      <c r="K274" s="1" cm="1">
        <f t="array" ref="K274">EvaluatePolynomial(K$247:K$250,$A274)</f>
        <v>2960.271914965278</v>
      </c>
    </row>
    <row r="275" spans="1:11" x14ac:dyDescent="0.25">
      <c r="A275" s="1">
        <v>375</v>
      </c>
      <c r="B275" s="2" cm="1">
        <f t="array" ref="B275">TrajectoryToComeUp(B$247:B$250,$A275)</f>
        <v>2.31801814254931</v>
      </c>
      <c r="C275" s="2" cm="1">
        <f t="array" ref="C275">TrajectoryToComeUp(C$247:C$250,$A275)</f>
        <v>2.3932212888580842</v>
      </c>
      <c r="D275" s="24" cm="1">
        <f t="array" ref="D275">TrajectoryToComeUp(D$247:D$250,$A275)</f>
        <v>2.1058245657787391</v>
      </c>
      <c r="E275" s="24" cm="1">
        <f t="array" ref="E275">TrajectoryToComeUp(E$247:E$250,$A275)</f>
        <v>1.883827293331737</v>
      </c>
      <c r="F275" s="24" cm="1">
        <f t="array" ref="F275">TrajectoryToComeUp(F$247:F$250,$A275)</f>
        <v>0.87736353184506644</v>
      </c>
      <c r="G275" s="24" cm="1">
        <f t="array" ref="G275">TrajectoryToComeUp(G$247:G$250,$A275)</f>
        <v>-0.36334872827825587</v>
      </c>
      <c r="H275" s="24" cm="1">
        <f t="array" ref="H275">TrajectoryToComeUp(H$247:H$250,$A275)</f>
        <v>-1.7803878850812411</v>
      </c>
      <c r="I275" s="2" cm="1">
        <f t="array" ref="I275">EvaluatePolynomial(I$247:I$250,$A275)</f>
        <v>1801.5561290694557</v>
      </c>
      <c r="J275" s="2" cm="1">
        <f t="array" ref="J275">EvaluatePolynomial(J$247:J$250,$A275)</f>
        <v>1789.9459221175466</v>
      </c>
      <c r="K275" s="1" cm="1">
        <f t="array" ref="K275">EvaluatePolynomial(K$247:K$250,$A275)</f>
        <v>2873.5446620503822</v>
      </c>
    </row>
    <row r="276" spans="1:11" x14ac:dyDescent="0.25">
      <c r="A276" s="1">
        <v>400</v>
      </c>
      <c r="B276" s="2" cm="1">
        <f t="array" ref="B276">TrajectoryToComeUp(B$247:B$250,$A276)</f>
        <v>2.6503105693578197</v>
      </c>
      <c r="C276" s="2" cm="1">
        <f t="array" ref="C276">TrajectoryToComeUp(C$247:C$250,$A276)</f>
        <v>2.7286575406070828</v>
      </c>
      <c r="D276" s="24" cm="1">
        <f t="array" ref="D276">TrajectoryToComeUp(D$247:D$250,$A276)</f>
        <v>2.4507823602480592</v>
      </c>
      <c r="E276" s="24" cm="1">
        <f t="array" ref="E276">TrajectoryToComeUp(E$247:E$250,$A276)</f>
        <v>2.1937632153091693</v>
      </c>
      <c r="F276" s="24" cm="1">
        <f t="array" ref="F276">TrajectoryToComeUp(F$247:F$250,$A276)</f>
        <v>1.1934582267242551</v>
      </c>
      <c r="G276" s="24" cm="1">
        <f t="array" ref="G276">TrajectoryToComeUp(G$247:G$250,$A276)</f>
        <v>-3.8806181453999028E-2</v>
      </c>
      <c r="H276" s="24" cm="1">
        <f t="array" ref="H276">TrajectoryToComeUp(H$247:H$250,$A276)</f>
        <v>-1.4501921542872722</v>
      </c>
      <c r="I276" s="2" cm="1">
        <f t="array" ref="I276">EvaluatePolynomial(I$247:I$250,$A276)</f>
        <v>1686.4842063601925</v>
      </c>
      <c r="J276" s="2" cm="1">
        <f t="array" ref="J276">EvaluatePolynomial(J$247:J$250,$A276)</f>
        <v>1675.9863988033323</v>
      </c>
      <c r="K276" s="1" cm="1">
        <f t="array" ref="K276">EvaluatePolynomial(K$247:K$250,$A276)</f>
        <v>2788.8339871417666</v>
      </c>
    </row>
    <row r="277" spans="1:11" x14ac:dyDescent="0.25">
      <c r="A277" s="1">
        <v>425</v>
      </c>
      <c r="B277" s="2" cm="1">
        <f t="array" ref="B277">TrajectoryToComeUp(B$247:B$250,$A277)</f>
        <v>2.9913617132314125</v>
      </c>
      <c r="C277" s="2" cm="1">
        <f t="array" ref="C277">TrajectoryToComeUp(C$247:C$250,$A277)</f>
        <v>3.0809819368257663</v>
      </c>
      <c r="D277" s="24" cm="1">
        <f t="array" ref="D277">TrajectoryToComeUp(D$247:D$250,$A277)</f>
        <v>2.8155096131766815</v>
      </c>
      <c r="E277" s="24" cm="1">
        <f t="array" ref="E277">TrajectoryToComeUp(E$247:E$250,$A277)</f>
        <v>2.5128633514232437</v>
      </c>
      <c r="F277" s="24" cm="1">
        <f t="array" ref="F277">TrajectoryToComeUp(F$247:F$250,$A277)</f>
        <v>1.5211871277037998</v>
      </c>
      <c r="G277" s="24" cm="1">
        <f t="array" ref="G277">TrajectoryToComeUp(G$247:G$250,$A277)</f>
        <v>0.30169365349935173</v>
      </c>
      <c r="H277" s="24" cm="1">
        <f t="array" ref="H277">TrajectoryToComeUp(H$247:H$250,$A277)</f>
        <v>-1.1058733431849352</v>
      </c>
      <c r="I277" s="2" cm="1">
        <f t="array" ref="I277">EvaluatePolynomial(I$247:I$250,$A277)</f>
        <v>1579.1135222288933</v>
      </c>
      <c r="J277" s="2" cm="1">
        <f t="array" ref="J277">EvaluatePolynomial(J$247:J$250,$A277)</f>
        <v>1568.3470038733194</v>
      </c>
      <c r="K277" s="1" cm="1">
        <f t="array" ref="K277">EvaluatePolynomial(K$247:K$250,$A277)</f>
        <v>2706.1128810167702</v>
      </c>
    </row>
    <row r="278" spans="1:11" x14ac:dyDescent="0.25">
      <c r="A278" s="1">
        <v>450</v>
      </c>
      <c r="B278" s="2" cm="1">
        <f t="array" ref="B278">TrajectoryToComeUp(B$247:B$250,$A278)</f>
        <v>3.3409562050701709</v>
      </c>
      <c r="C278" s="2" cm="1">
        <f t="array" ref="C278">TrajectoryToComeUp(C$247:C$250,$A278)</f>
        <v>3.4500442993950564</v>
      </c>
      <c r="D278" s="24" cm="1">
        <f t="array" ref="D278">TrajectoryToComeUp(D$247:D$250,$A278)</f>
        <v>3.1998680721211112</v>
      </c>
      <c r="E278" s="24" cm="1">
        <f t="array" ref="E278">TrajectoryToComeUp(E$247:E$250,$A278)</f>
        <v>2.8409344632938551</v>
      </c>
      <c r="F278" s="24" cm="1">
        <f t="array" ref="F278">TrajectoryToComeUp(F$247:F$250,$A278)</f>
        <v>1.8603684332603585</v>
      </c>
      <c r="G278" s="24" cm="1">
        <f t="array" ref="G278">TrajectoryToComeUp(G$247:G$250,$A278)</f>
        <v>0.65796830333468614</v>
      </c>
      <c r="H278" s="24" cm="1">
        <f t="array" ref="H278">TrajectoryToComeUp(H$247:H$250,$A278)</f>
        <v>-0.74759632570422807</v>
      </c>
      <c r="I278" s="2" cm="1">
        <f t="array" ref="I278">EvaluatePolynomial(I$247:I$250,$A278)</f>
        <v>1479.4843372608823</v>
      </c>
      <c r="J278" s="2" cm="1">
        <f t="array" ref="J278">EvaluatePolynomial(J$247:J$250,$A278)</f>
        <v>1466.8194299979195</v>
      </c>
      <c r="K278" s="1" cm="1">
        <f t="array" ref="K278">EvaluatePolynomial(K$247:K$250,$A278)</f>
        <v>2625.3543344527316</v>
      </c>
    </row>
    <row r="279" spans="1:11" x14ac:dyDescent="0.25">
      <c r="A279" s="1">
        <v>475</v>
      </c>
      <c r="B279" s="2" cm="1">
        <f t="array" ref="B279">TrajectoryToComeUp(B$247:B$250,$A279)</f>
        <v>3.6989240166373234</v>
      </c>
      <c r="C279" s="2" cm="1">
        <f t="array" ref="C279">TrajectoryToComeUp(C$247:C$250,$A279)</f>
        <v>3.8357260666420006</v>
      </c>
      <c r="D279" s="24" cm="1">
        <f t="array" ref="D279">TrajectoryToComeUp(D$247:D$250,$A279)</f>
        <v>3.6037485904154276</v>
      </c>
      <c r="E279" s="24" cm="1">
        <f t="array" ref="E279">TrajectoryToComeUp(E$247:E$250,$A279)</f>
        <v>3.177823994305133</v>
      </c>
      <c r="F279" s="24" cm="1">
        <f t="array" ref="F279">TrajectoryToComeUp(F$247:F$250,$A279)</f>
        <v>2.2108586158755004</v>
      </c>
      <c r="G279" s="24" cm="1">
        <f t="array" ref="G279">TrajectoryToComeUp(G$247:G$250,$A279)</f>
        <v>1.0298737102253359</v>
      </c>
      <c r="H279" s="24" cm="1">
        <f t="array" ref="H279">TrajectoryToComeUp(H$247:H$250,$A279)</f>
        <v>-0.37549126547409795</v>
      </c>
      <c r="I279" s="2" cm="1">
        <f t="array" ref="I279">EvaluatePolynomial(I$247:I$250,$A279)</f>
        <v>1387.6369120414827</v>
      </c>
      <c r="J279" s="2" cm="1">
        <f t="array" ref="J279">EvaluatePolynomial(J$247:J$250,$A279)</f>
        <v>1371.1953698475434</v>
      </c>
      <c r="K279" s="1" cm="1">
        <f t="array" ref="K279">EvaluatePolynomial(K$247:K$250,$A279)</f>
        <v>2546.5313382269896</v>
      </c>
    </row>
    <row r="280" spans="1:11" x14ac:dyDescent="0.25">
      <c r="A280" s="1">
        <v>500</v>
      </c>
      <c r="B280" s="2" cm="1">
        <f t="array" ref="B280">TrajectoryToComeUp(B$247:B$250,$A280)</f>
        <v>4.0651291253434447</v>
      </c>
      <c r="C280" s="2" cm="1">
        <f t="array" ref="C280">TrajectoryToComeUp(C$247:C$250,$A280)</f>
        <v>4.2379323892282343</v>
      </c>
      <c r="D280" s="24" cm="1">
        <f t="array" ref="D280">TrajectoryToComeUp(D$247:D$250,$A280)</f>
        <v>4.0270638507268988</v>
      </c>
      <c r="E280" s="24" cm="1">
        <f t="array" ref="E280">TrajectoryToComeUp(E$247:E$250,$A280)</f>
        <v>3.5234098991643781</v>
      </c>
      <c r="F280" s="24" cm="1">
        <f t="array" ref="F280">TrajectoryToComeUp(F$247:F$250,$A280)</f>
        <v>2.5725428535344821</v>
      </c>
      <c r="G280" s="24" cm="1">
        <f t="array" ref="G280">TrajectoryToComeUp(G$247:G$250,$A280)</f>
        <v>1.4172946279099696</v>
      </c>
      <c r="H280" s="24" cm="1">
        <f t="array" ref="H280">TrajectoryToComeUp(H$247:H$250,$A280)</f>
        <v>1.0337706602298541E-2</v>
      </c>
      <c r="I280" s="2" cm="1">
        <f t="array" ref="I280">EvaluatePolynomial(I$247:I$250,$A280)</f>
        <v>1303.6115071560182</v>
      </c>
      <c r="J280" s="2" cm="1">
        <f t="array" ref="J280">EvaluatePolynomial(J$247:J$250,$A280)</f>
        <v>1281.2665160926026</v>
      </c>
      <c r="K280" s="1" cm="1">
        <f t="array" ref="K280">EvaluatePolynomial(K$247:K$250,$A280)</f>
        <v>2469.616883116882</v>
      </c>
    </row>
  </sheetData>
  <mergeCells count="8">
    <mergeCell ref="B256:H256"/>
    <mergeCell ref="I256:K256"/>
    <mergeCell ref="F1:I1"/>
    <mergeCell ref="R11:X11"/>
    <mergeCell ref="C20:G20"/>
    <mergeCell ref="J20:N20"/>
    <mergeCell ref="B255:H255"/>
    <mergeCell ref="Q16:R16"/>
  </mergeCells>
  <pageMargins left="0.7" right="0.7" top="0.75" bottom="0.75" header="0.3" footer="0.3"/>
  <pageSetup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D760-21E0-43B5-9D17-CF124C6539B4}">
  <sheetPr codeName="Sheet4"/>
  <dimension ref="A1"/>
  <sheetViews>
    <sheetView workbookViewId="0">
      <selection activeCell="AL28" sqref="AL28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Terminal Ascent PHP</vt:lpstr>
      <vt:lpstr>Terminal Ascent PHP (2)</vt:lpstr>
      <vt:lpstr>Power-Shok SP</vt:lpstr>
      <vt:lpstr>Power-Shok SP (2)</vt:lpstr>
      <vt:lpstr>Remington Core-Lokt Copper HP</vt:lpstr>
      <vt:lpstr>Remington Core-Lokt Copper  (2)</vt:lpstr>
      <vt:lpstr>Bullet Comparisons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2024-10-17T16:57:27Z</dcterms:modified>
</cp:coreProperties>
</file>