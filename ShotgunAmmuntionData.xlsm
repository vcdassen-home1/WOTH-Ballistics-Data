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"/>
    </mc:Choice>
  </mc:AlternateContent>
  <xr:revisionPtr revIDLastSave="0" documentId="13_ncr:1_{EB92C8E4-B73A-4DCE-A408-A5742501CE91}" xr6:coauthVersionLast="47" xr6:coauthVersionMax="47" xr10:uidLastSave="{00000000-0000-0000-0000-000000000000}"/>
  <bookViews>
    <workbookView xWindow="-120" yWindow="-120" windowWidth="51840" windowHeight="21120" xr2:uid="{0FA0F32B-D3EA-4C36-8371-C0E61F79F55D}"/>
  </bookViews>
  <sheets>
    <sheet name="Ammunition Data" sheetId="1" r:id="rId1"/>
  </sheets>
  <functionGroups builtInGroupCount="19"/>
  <definedNames>
    <definedName name="_xlnm._FilterDatabase" localSheetId="0" hidden="1">'Ammunition Data'!$A$1:$S$12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1" l="1"/>
  <c r="K6" i="1"/>
  <c r="M6" i="1" s="1"/>
  <c r="I6" i="1"/>
  <c r="P5" i="1"/>
  <c r="K5" i="1"/>
  <c r="M5" i="1" s="1"/>
  <c r="I5" i="1"/>
  <c r="P12" i="1"/>
  <c r="K12" i="1"/>
  <c r="M12" i="1" s="1"/>
  <c r="I12" i="1"/>
  <c r="P9" i="1"/>
  <c r="K9" i="1"/>
  <c r="M9" i="1" s="1"/>
  <c r="I9" i="1"/>
  <c r="P4" i="1"/>
  <c r="K4" i="1"/>
  <c r="M4" i="1" s="1"/>
  <c r="I4" i="1"/>
  <c r="K8" i="1"/>
  <c r="M8" i="1" s="1"/>
  <c r="P8" i="1"/>
  <c r="I8" i="1"/>
  <c r="P7" i="1"/>
  <c r="K7" i="1"/>
  <c r="M7" i="1" s="1"/>
  <c r="I7" i="1"/>
  <c r="P11" i="1"/>
  <c r="K11" i="1"/>
  <c r="M11" i="1" s="1"/>
  <c r="I11" i="1"/>
  <c r="I10" i="1"/>
  <c r="P10" i="1"/>
  <c r="K10" i="1"/>
  <c r="M10" i="1" s="1"/>
  <c r="P3" i="1"/>
  <c r="K3" i="1"/>
  <c r="M3" i="1" s="1"/>
  <c r="I3" i="1"/>
  <c r="P2" i="1"/>
  <c r="K2" i="1"/>
  <c r="M2" i="1" s="1"/>
  <c r="I2" i="1"/>
  <c r="F6" i="1" a="1"/>
  <c r="F4" i="1" a="1"/>
  <c r="F7" i="1" a="1"/>
  <c r="E10" i="1" a="1"/>
  <c r="F5" i="1" a="1"/>
  <c r="E9" i="1" a="1"/>
  <c r="E7" i="1" a="1"/>
  <c r="E2" i="1" a="1"/>
  <c r="E5" i="1" a="1"/>
  <c r="F9" i="1" a="1"/>
  <c r="E4" i="1" a="1"/>
  <c r="E8" i="1" a="1"/>
  <c r="E11" i="1" a="1"/>
  <c r="F3" i="1" a="1"/>
  <c r="F12" i="1" a="1"/>
  <c r="E12" i="1" a="1"/>
  <c r="E3" i="1" a="1"/>
  <c r="F2" i="1" a="1"/>
  <c r="E6" i="1" a="1"/>
  <c r="F8" i="1" a="1"/>
  <c r="F11" i="1" a="1"/>
  <c r="F10" i="1" a="1"/>
  <c r="E6" i="1" l="1"/>
  <c r="F6" i="1"/>
  <c r="E5" i="1"/>
  <c r="F5" i="1"/>
  <c r="Q6" i="1"/>
  <c r="N6" i="1"/>
  <c r="Q5" i="1"/>
  <c r="N5" i="1"/>
  <c r="E12" i="1"/>
  <c r="F12" i="1"/>
  <c r="Q12" i="1"/>
  <c r="N12" i="1"/>
  <c r="E9" i="1"/>
  <c r="F9" i="1"/>
  <c r="Q9" i="1"/>
  <c r="N9" i="1"/>
  <c r="E4" i="1"/>
  <c r="F4" i="1"/>
  <c r="N4" i="1"/>
  <c r="Q4" i="1"/>
  <c r="E8" i="1"/>
  <c r="F8" i="1"/>
  <c r="Q8" i="1"/>
  <c r="N8" i="1"/>
  <c r="Q7" i="1"/>
  <c r="R7" i="1" s="1"/>
  <c r="N7" i="1"/>
  <c r="Q3" i="1"/>
  <c r="R3" i="1" s="1"/>
  <c r="E7" i="1"/>
  <c r="F7" i="1"/>
  <c r="F11" i="1"/>
  <c r="E11" i="1"/>
  <c r="Q11" i="1"/>
  <c r="N11" i="1"/>
  <c r="E10" i="1"/>
  <c r="F10" i="1"/>
  <c r="E3" i="1"/>
  <c r="F3" i="1"/>
  <c r="Q10" i="1"/>
  <c r="N10" i="1"/>
  <c r="N3" i="1"/>
  <c r="Q2" i="1"/>
  <c r="R2" i="1" s="1"/>
  <c r="N2" i="1"/>
  <c r="F2" i="1"/>
  <c r="E2" i="1"/>
  <c r="S7" i="1" l="1"/>
  <c r="S3" i="1"/>
  <c r="S5" i="1"/>
  <c r="R5" i="1"/>
  <c r="R6" i="1"/>
  <c r="S6" i="1"/>
  <c r="R12" i="1"/>
  <c r="S12" i="1"/>
  <c r="S9" i="1"/>
  <c r="R9" i="1"/>
  <c r="S4" i="1"/>
  <c r="R4" i="1"/>
  <c r="S8" i="1"/>
  <c r="R8" i="1"/>
  <c r="S11" i="1"/>
  <c r="R11" i="1"/>
  <c r="S10" i="1"/>
  <c r="R10" i="1"/>
  <c r="S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<sst xmlns="http://schemas.openxmlformats.org/spreadsheetml/2006/main" count="52" uniqueCount="40">
  <si>
    <t>Shot-Shell Name</t>
  </si>
  <si>
    <t>Manufacturer</t>
  </si>
  <si>
    <t>Shot Size</t>
  </si>
  <si>
    <t>Pellet Mass(gr)</t>
  </si>
  <si>
    <t>Pellet Mass(g)</t>
  </si>
  <si>
    <t>Shot Load Mass(g)</t>
  </si>
  <si>
    <t>Shot Load Mass(oz)</t>
  </si>
  <si>
    <t>Muzzle Velocity(ft/sec)</t>
  </si>
  <si>
    <t>Muzzle Velocity(m/sec)</t>
  </si>
  <si>
    <t>Muzzle Energy(flb)</t>
  </si>
  <si>
    <t>Muzzle Energy(J)</t>
  </si>
  <si>
    <t>Gauge</t>
  </si>
  <si>
    <t>Bore Diameter(in)</t>
  </si>
  <si>
    <t>Bore Diameter(mm)</t>
  </si>
  <si>
    <t>Shot Diameter (in)</t>
  </si>
  <si>
    <t>Shot Diameter(mm)</t>
  </si>
  <si>
    <t>Shell Size(in)</t>
  </si>
  <si>
    <t>Black Cloud FS Steel</t>
  </si>
  <si>
    <t>Federal Ammunition</t>
  </si>
  <si>
    <t>#3</t>
  </si>
  <si>
    <t>Express Magnum Buckshot</t>
  </si>
  <si>
    <t>Remington Ammunition</t>
  </si>
  <si>
    <t>Upland Game Load</t>
  </si>
  <si>
    <t>#7.5</t>
  </si>
  <si>
    <t>Express Buckshot</t>
  </si>
  <si>
    <t>#00Buck</t>
  </si>
  <si>
    <t>#3Buck</t>
  </si>
  <si>
    <t>Prairie Storm Lead</t>
  </si>
  <si>
    <t>#5</t>
  </si>
  <si>
    <t>Power-Shok Buckshot</t>
  </si>
  <si>
    <t>#1Buck</t>
  </si>
  <si>
    <t>TruBall Deep Penetration Rifled Slug</t>
  </si>
  <si>
    <t>Federal Ammuntion</t>
  </si>
  <si>
    <t>Slugger Lead Rifled Slug</t>
  </si>
  <si>
    <t>Elite Hunting Slug</t>
  </si>
  <si>
    <t>Lewelling</t>
  </si>
  <si>
    <t>AccuTip Sabot Slug</t>
  </si>
  <si>
    <t>Slug</t>
  </si>
  <si>
    <t>Projectile Count</t>
  </si>
  <si>
    <t>Muzzle Energy Per Projectile(J)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</si>
</sst>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60325937681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27672-CF87-478D-B0C4-A6E468D53A69}">
  <sheetPr codeName="Sheet1"/>
  <dimension ref="A1:S57"/>
  <sheetViews>
    <sheetView tabSelected="1" workbookViewId="0">
      <selection activeCell="R21" sqref="R21"/>
    </sheetView>
  </sheetViews>
  <sheetFormatPr defaultRowHeight="15" x14ac:dyDescent="0.25"/>
  <cols>
    <col min="1" max="1" width="10.42578125" customWidth="1"/>
    <col min="2" max="2" width="42.28515625" customWidth="1"/>
    <col min="3" max="3" width="23.5703125" customWidth="1"/>
    <col min="4" max="4" width="15.7109375" customWidth="1"/>
    <col min="5" max="5" width="24.5703125" customWidth="1"/>
    <col min="6" max="6" width="23.140625" customWidth="1"/>
    <col min="7" max="7" width="12.85546875" customWidth="1"/>
    <col min="8" max="8" width="21.140625" customWidth="1"/>
    <col min="9" max="9" width="20.42578125" customWidth="1"/>
    <col min="10" max="11" width="17" customWidth="1"/>
    <col min="12" max="12" width="19.85546875" customWidth="1"/>
    <col min="13" max="13" width="19.7109375" customWidth="1"/>
    <col min="14" max="14" width="20" customWidth="1"/>
    <col min="15" max="15" width="24.5703125" customWidth="1"/>
    <col min="16" max="16" width="24.85546875" customWidth="1"/>
    <col min="17" max="17" width="21.5703125" customWidth="1"/>
    <col min="18" max="18" width="24.7109375" customWidth="1"/>
    <col min="19" max="19" width="29.85546875" customWidth="1"/>
    <col min="20" max="20" width="13.7109375" customWidth="1"/>
  </cols>
  <sheetData>
    <row r="1" spans="1:19" s="6" customFormat="1" x14ac:dyDescent="0.25">
      <c r="A1" s="6" t="s">
        <v>11</v>
      </c>
      <c r="B1" s="6" t="s">
        <v>0</v>
      </c>
      <c r="C1" s="6" t="s">
        <v>1</v>
      </c>
      <c r="D1" s="6" t="s">
        <v>16</v>
      </c>
      <c r="E1" s="6" t="s">
        <v>12</v>
      </c>
      <c r="F1" s="6" t="s">
        <v>13</v>
      </c>
      <c r="G1" s="6" t="s">
        <v>2</v>
      </c>
      <c r="H1" s="6" t="s">
        <v>14</v>
      </c>
      <c r="I1" s="6" t="s">
        <v>15</v>
      </c>
      <c r="J1" s="6" t="s">
        <v>3</v>
      </c>
      <c r="K1" s="6" t="s">
        <v>4</v>
      </c>
      <c r="L1" s="6" t="s">
        <v>38</v>
      </c>
      <c r="M1" s="6" t="s">
        <v>5</v>
      </c>
      <c r="N1" s="6" t="s">
        <v>6</v>
      </c>
      <c r="O1" s="6" t="s">
        <v>7</v>
      </c>
      <c r="P1" s="6" t="s">
        <v>8</v>
      </c>
      <c r="Q1" s="6" t="s">
        <v>10</v>
      </c>
      <c r="R1" s="6" t="s">
        <v>9</v>
      </c>
      <c r="S1" s="6" t="s">
        <v>39</v>
      </c>
    </row>
    <row r="2" spans="1:19" x14ac:dyDescent="0.25">
      <c r="A2" s="3">
        <v>12</v>
      </c>
      <c r="B2" s="5" t="s">
        <v>17</v>
      </c>
      <c r="C2" s="5" t="s">
        <v>18</v>
      </c>
      <c r="D2" s="2">
        <v>3</v>
      </c>
      <c r="E2" s="2" cm="1">
        <f t="array" ref="E2">ShotgunGaugeToBoreDiameter($A2,"in")</f>
        <v>0.72966563245353921</v>
      </c>
      <c r="F2" s="2" cm="1">
        <f t="array" ref="F2">ShotgunGaugeToBoreDiameter($A2,"mm")</f>
        <v>18.533507083224073</v>
      </c>
      <c r="G2" s="1" t="s">
        <v>19</v>
      </c>
      <c r="H2" s="2">
        <v>0.14000000000000001</v>
      </c>
      <c r="I2" s="2">
        <f t="shared" ref="I2:I12" si="0">CONVERT($H2,"in","mm")</f>
        <v>3.556</v>
      </c>
      <c r="J2" s="2">
        <v>2.7749999999999999</v>
      </c>
      <c r="K2" s="2">
        <f t="shared" ref="K2:K12" si="1">CONVERT($J2,"grain","g")</f>
        <v>0.17981697525000001</v>
      </c>
      <c r="L2" s="3">
        <v>197</v>
      </c>
      <c r="M2" s="2">
        <f t="shared" ref="M2:M12" si="2">$K2*$L2</f>
        <v>35.423944124249999</v>
      </c>
      <c r="N2" s="2">
        <f t="shared" ref="N2:N12" si="3">CONVERT($M2,"g","ozm")</f>
        <v>1.2495428571428571</v>
      </c>
      <c r="O2" s="2">
        <v>1450</v>
      </c>
      <c r="P2" s="2">
        <f t="shared" ref="P2:P12" si="4">CONVERT($O2,"ft","m")</f>
        <v>441.96</v>
      </c>
      <c r="Q2" s="2">
        <f t="shared" ref="Q2:Q12" si="5">($M2/1000)*$P2*$P2/2</f>
        <v>3459.6554429520265</v>
      </c>
      <c r="R2" s="2">
        <f t="shared" ref="R2:R12" si="6">CONVERT($Q2,"J","flb")</f>
        <v>2551.7109042624861</v>
      </c>
      <c r="S2" s="2">
        <f t="shared" ref="S2:S12" si="7">$Q2/$L2</f>
        <v>17.561702756101656</v>
      </c>
    </row>
    <row r="3" spans="1:19" x14ac:dyDescent="0.25">
      <c r="A3" s="3">
        <v>12</v>
      </c>
      <c r="B3" s="5" t="s">
        <v>20</v>
      </c>
      <c r="C3" s="5" t="s">
        <v>21</v>
      </c>
      <c r="D3" s="2">
        <v>3</v>
      </c>
      <c r="E3" s="2" cm="1">
        <f t="array" ref="E3">ShotgunGaugeToBoreDiameter($A3,"in")</f>
        <v>0.72966563245353921</v>
      </c>
      <c r="F3" s="2" cm="1">
        <f t="array" ref="F3">ShotgunGaugeToBoreDiameter($A3,"mm")</f>
        <v>18.533507083224073</v>
      </c>
      <c r="G3" s="1" t="s">
        <v>25</v>
      </c>
      <c r="H3" s="2">
        <v>0.33</v>
      </c>
      <c r="I3" s="2">
        <f t="shared" si="0"/>
        <v>8.3820000000000014</v>
      </c>
      <c r="J3" s="2">
        <v>53.8</v>
      </c>
      <c r="K3" s="2">
        <f t="shared" si="1"/>
        <v>3.4861813580000001</v>
      </c>
      <c r="L3" s="3">
        <v>15</v>
      </c>
      <c r="M3" s="2">
        <f t="shared" si="2"/>
        <v>52.292720369999998</v>
      </c>
      <c r="N3" s="2">
        <f t="shared" si="3"/>
        <v>1.8445714285714285</v>
      </c>
      <c r="O3" s="2">
        <v>1225</v>
      </c>
      <c r="P3" s="2">
        <f t="shared" si="4"/>
        <v>373.38</v>
      </c>
      <c r="Q3" s="2">
        <f t="shared" si="5"/>
        <v>3645.1326918985196</v>
      </c>
      <c r="R3" s="2">
        <f t="shared" si="6"/>
        <v>2688.5119026374964</v>
      </c>
      <c r="S3" s="2">
        <f t="shared" si="7"/>
        <v>243.00884612656799</v>
      </c>
    </row>
    <row r="4" spans="1:19" x14ac:dyDescent="0.25">
      <c r="A4" s="4">
        <v>12</v>
      </c>
      <c r="B4" s="5" t="s">
        <v>31</v>
      </c>
      <c r="C4" s="5" t="s">
        <v>32</v>
      </c>
      <c r="D4" s="2">
        <v>2.75</v>
      </c>
      <c r="E4" s="2" cm="1">
        <f t="array" ref="E4">ShotgunGaugeToBoreDiameter($A4,"in")</f>
        <v>0.72966563245353921</v>
      </c>
      <c r="F4" s="2" cm="1">
        <f t="array" ref="F4">ShotgunGaugeToBoreDiameter($A4,"mm")</f>
        <v>18.533507083224073</v>
      </c>
      <c r="G4" s="1" t="s">
        <v>37</v>
      </c>
      <c r="H4" s="2">
        <v>0.73</v>
      </c>
      <c r="I4" s="2">
        <f t="shared" si="0"/>
        <v>18.541999999999998</v>
      </c>
      <c r="J4" s="2">
        <v>438</v>
      </c>
      <c r="K4" s="2">
        <f t="shared" si="1"/>
        <v>28.381922580000001</v>
      </c>
      <c r="L4" s="3">
        <v>1</v>
      </c>
      <c r="M4" s="2">
        <f t="shared" si="2"/>
        <v>28.381922580000001</v>
      </c>
      <c r="N4" s="2">
        <f t="shared" si="3"/>
        <v>1.0011428571428571</v>
      </c>
      <c r="O4" s="2">
        <v>1350</v>
      </c>
      <c r="P4" s="2">
        <f t="shared" si="4"/>
        <v>411.48</v>
      </c>
      <c r="Q4" s="2">
        <f t="shared" si="5"/>
        <v>2402.7538273521536</v>
      </c>
      <c r="R4" s="2">
        <f t="shared" si="6"/>
        <v>1772.1802770860299</v>
      </c>
      <c r="S4" s="2">
        <f t="shared" si="7"/>
        <v>2402.7538273521536</v>
      </c>
    </row>
    <row r="5" spans="1:19" x14ac:dyDescent="0.25">
      <c r="A5" s="4">
        <v>12</v>
      </c>
      <c r="B5" s="5" t="s">
        <v>36</v>
      </c>
      <c r="C5" s="5" t="s">
        <v>21</v>
      </c>
      <c r="D5" s="2">
        <v>2.75</v>
      </c>
      <c r="E5" s="2" cm="1">
        <f t="array" ref="E5">ShotgunGaugeToBoreDiameter($A5,"in")</f>
        <v>0.72966563245353921</v>
      </c>
      <c r="F5" s="2" cm="1">
        <f t="array" ref="F5">ShotgunGaugeToBoreDiameter($A5,"mm")</f>
        <v>18.533507083224073</v>
      </c>
      <c r="G5" s="1" t="s">
        <v>37</v>
      </c>
      <c r="H5" s="2">
        <v>0.73</v>
      </c>
      <c r="I5" s="2">
        <f t="shared" si="0"/>
        <v>18.541999999999998</v>
      </c>
      <c r="J5" s="2">
        <v>385</v>
      </c>
      <c r="K5" s="2">
        <f t="shared" si="1"/>
        <v>24.947580349999999</v>
      </c>
      <c r="L5" s="3">
        <v>1</v>
      </c>
      <c r="M5" s="2">
        <f t="shared" si="2"/>
        <v>24.947580349999999</v>
      </c>
      <c r="N5" s="2">
        <f t="shared" si="3"/>
        <v>0.87999999999999989</v>
      </c>
      <c r="O5" s="2">
        <v>1850</v>
      </c>
      <c r="P5" s="2">
        <f t="shared" si="4"/>
        <v>563.88</v>
      </c>
      <c r="Q5" s="2">
        <f t="shared" si="5"/>
        <v>3966.1744868912901</v>
      </c>
      <c r="R5" s="2">
        <f t="shared" si="6"/>
        <v>2925.3001789601954</v>
      </c>
      <c r="S5" s="2">
        <f t="shared" si="7"/>
        <v>3966.1744868912901</v>
      </c>
    </row>
    <row r="6" spans="1:19" x14ac:dyDescent="0.25">
      <c r="A6" s="4">
        <v>12</v>
      </c>
      <c r="B6" s="5" t="s">
        <v>34</v>
      </c>
      <c r="C6" s="5" t="s">
        <v>35</v>
      </c>
      <c r="D6" s="2">
        <v>2.75</v>
      </c>
      <c r="E6" s="2" cm="1">
        <f t="array" ref="E6">ShotgunGaugeToBoreDiameter($A6,"in")</f>
        <v>0.72966563245353921</v>
      </c>
      <c r="F6" s="2" cm="1">
        <f t="array" ref="F6">ShotgunGaugeToBoreDiameter($A6,"mm")</f>
        <v>18.533507083224073</v>
      </c>
      <c r="G6" s="1" t="s">
        <v>37</v>
      </c>
      <c r="H6" s="2">
        <v>0.73</v>
      </c>
      <c r="I6" s="2">
        <f t="shared" si="0"/>
        <v>18.541999999999998</v>
      </c>
      <c r="J6" s="2">
        <v>300</v>
      </c>
      <c r="K6" s="2">
        <f t="shared" si="1"/>
        <v>19.439672999999999</v>
      </c>
      <c r="L6" s="3">
        <v>1</v>
      </c>
      <c r="M6" s="2">
        <f t="shared" si="2"/>
        <v>19.439672999999999</v>
      </c>
      <c r="N6" s="2">
        <f t="shared" si="3"/>
        <v>0.68571428571428561</v>
      </c>
      <c r="O6" s="2">
        <v>2000</v>
      </c>
      <c r="P6" s="2">
        <f t="shared" si="4"/>
        <v>609.6</v>
      </c>
      <c r="Q6" s="2">
        <f t="shared" si="5"/>
        <v>3612.0094366118396</v>
      </c>
      <c r="R6" s="2">
        <f t="shared" si="6"/>
        <v>2664.0814432771926</v>
      </c>
      <c r="S6" s="2">
        <f t="shared" si="7"/>
        <v>3612.0094366118396</v>
      </c>
    </row>
    <row r="7" spans="1:19" x14ac:dyDescent="0.25">
      <c r="A7" s="4">
        <v>16</v>
      </c>
      <c r="B7" s="5" t="s">
        <v>27</v>
      </c>
      <c r="C7" s="5" t="s">
        <v>18</v>
      </c>
      <c r="D7" s="2">
        <v>2.75</v>
      </c>
      <c r="E7" s="2" cm="1">
        <f t="array" ref="E7">ShotgunGaugeToBoreDiameter($A7,"in")</f>
        <v>0.66294522330660643</v>
      </c>
      <c r="F7" s="2" cm="1">
        <f t="array" ref="F7">ShotgunGaugeToBoreDiameter($A7,"mm")</f>
        <v>16.83880868916339</v>
      </c>
      <c r="G7" s="1" t="s">
        <v>28</v>
      </c>
      <c r="H7" s="2">
        <v>0.12</v>
      </c>
      <c r="I7" s="2">
        <f t="shared" si="0"/>
        <v>3.048</v>
      </c>
      <c r="J7" s="2">
        <v>1.99</v>
      </c>
      <c r="K7" s="2">
        <f t="shared" si="1"/>
        <v>0.12894983090000001</v>
      </c>
      <c r="L7" s="3">
        <v>212</v>
      </c>
      <c r="M7" s="2">
        <f t="shared" si="2"/>
        <v>27.337364150800003</v>
      </c>
      <c r="N7" s="2">
        <f t="shared" si="3"/>
        <v>0.96429714285714296</v>
      </c>
      <c r="O7" s="2">
        <v>1425</v>
      </c>
      <c r="P7" s="2">
        <f t="shared" si="4"/>
        <v>434.34</v>
      </c>
      <c r="Q7" s="2">
        <f t="shared" si="5"/>
        <v>2578.6137625477822</v>
      </c>
      <c r="R7" s="2">
        <f t="shared" si="6"/>
        <v>1901.8879088606782</v>
      </c>
      <c r="S7" s="2">
        <f t="shared" si="7"/>
        <v>12.163272464848029</v>
      </c>
    </row>
    <row r="8" spans="1:19" x14ac:dyDescent="0.25">
      <c r="A8" s="4">
        <v>16</v>
      </c>
      <c r="B8" s="5" t="s">
        <v>29</v>
      </c>
      <c r="C8" s="5" t="s">
        <v>18</v>
      </c>
      <c r="D8" s="2">
        <v>2.75</v>
      </c>
      <c r="E8" s="2" cm="1">
        <f t="array" ref="E8">ShotgunGaugeToBoreDiameter($A8,"in")</f>
        <v>0.66294522330660643</v>
      </c>
      <c r="F8" s="2" cm="1">
        <f t="array" ref="F8">ShotgunGaugeToBoreDiameter($A8,"mm")</f>
        <v>16.83880868916339</v>
      </c>
      <c r="G8" s="1" t="s">
        <v>30</v>
      </c>
      <c r="H8" s="2">
        <v>0.3</v>
      </c>
      <c r="I8" s="2">
        <f t="shared" si="0"/>
        <v>7.62</v>
      </c>
      <c r="J8" s="2">
        <v>43.75</v>
      </c>
      <c r="K8" s="2">
        <f t="shared" si="1"/>
        <v>2.8349523125</v>
      </c>
      <c r="L8" s="3">
        <v>12</v>
      </c>
      <c r="M8" s="2">
        <f t="shared" si="2"/>
        <v>34.019427749999998</v>
      </c>
      <c r="N8" s="2">
        <f t="shared" si="3"/>
        <v>1.2</v>
      </c>
      <c r="O8" s="2">
        <v>1225</v>
      </c>
      <c r="P8" s="2">
        <f t="shared" si="4"/>
        <v>373.38</v>
      </c>
      <c r="Q8" s="2">
        <f t="shared" si="5"/>
        <v>2371.3688516068432</v>
      </c>
      <c r="R8" s="2">
        <f t="shared" si="6"/>
        <v>1749.0319069203038</v>
      </c>
      <c r="S8" s="2">
        <f t="shared" si="7"/>
        <v>197.61407096723693</v>
      </c>
    </row>
    <row r="9" spans="1:19" x14ac:dyDescent="0.25">
      <c r="A9" s="4">
        <v>16</v>
      </c>
      <c r="B9" s="5" t="s">
        <v>33</v>
      </c>
      <c r="C9" s="5" t="s">
        <v>21</v>
      </c>
      <c r="D9" s="2">
        <v>2.75</v>
      </c>
      <c r="E9" s="2" cm="1">
        <f t="array" ref="E9">ShotgunGaugeToBoreDiameter($A9,"in")</f>
        <v>0.66294522330660643</v>
      </c>
      <c r="F9" s="2" cm="1">
        <f t="array" ref="F9">ShotgunGaugeToBoreDiameter($A9,"mm")</f>
        <v>16.83880868916339</v>
      </c>
      <c r="G9" s="1" t="s">
        <v>37</v>
      </c>
      <c r="H9" s="2">
        <v>0.66300000000000003</v>
      </c>
      <c r="I9" s="2">
        <f t="shared" si="0"/>
        <v>16.840199999999999</v>
      </c>
      <c r="J9" s="2">
        <v>350</v>
      </c>
      <c r="K9" s="2">
        <f t="shared" si="1"/>
        <v>22.6796185</v>
      </c>
      <c r="L9" s="3">
        <v>1</v>
      </c>
      <c r="M9" s="2">
        <f t="shared" si="2"/>
        <v>22.6796185</v>
      </c>
      <c r="N9" s="2">
        <f t="shared" si="3"/>
        <v>0.79999999999999993</v>
      </c>
      <c r="O9" s="2">
        <v>1600</v>
      </c>
      <c r="P9" s="2">
        <f t="shared" si="4"/>
        <v>487.68</v>
      </c>
      <c r="Q9" s="2">
        <f t="shared" si="5"/>
        <v>2696.9670460035077</v>
      </c>
      <c r="R9" s="2">
        <f t="shared" si="6"/>
        <v>1989.1808109803046</v>
      </c>
      <c r="S9" s="2">
        <f t="shared" si="7"/>
        <v>2696.9670460035077</v>
      </c>
    </row>
    <row r="10" spans="1:19" x14ac:dyDescent="0.25">
      <c r="A10" s="3">
        <v>20</v>
      </c>
      <c r="B10" s="5" t="s">
        <v>22</v>
      </c>
      <c r="C10" s="5" t="s">
        <v>18</v>
      </c>
      <c r="D10" s="2">
        <v>2.75</v>
      </c>
      <c r="E10" s="2" cm="1">
        <f t="array" ref="E10">ShotgunGaugeToBoreDiameter($A10,"in")</f>
        <v>0.61542382915937555</v>
      </c>
      <c r="F10" s="2" cm="1">
        <f t="array" ref="F10">ShotgunGaugeToBoreDiameter($A10,"mm")</f>
        <v>15.631765276592539</v>
      </c>
      <c r="G10" s="1" t="s">
        <v>23</v>
      </c>
      <c r="H10" s="2">
        <v>9.5000000000000001E-2</v>
      </c>
      <c r="I10" s="2">
        <f t="shared" si="0"/>
        <v>2.4130000000000003</v>
      </c>
      <c r="J10" s="2">
        <v>1.0900000000000001</v>
      </c>
      <c r="K10" s="2">
        <f t="shared" si="1"/>
        <v>7.0630811900000007E-2</v>
      </c>
      <c r="L10" s="3">
        <v>306</v>
      </c>
      <c r="M10" s="2">
        <f t="shared" si="2"/>
        <v>21.613028441400001</v>
      </c>
      <c r="N10" s="2">
        <f t="shared" si="3"/>
        <v>0.76237714285714286</v>
      </c>
      <c r="O10" s="2">
        <v>1210</v>
      </c>
      <c r="P10" s="2">
        <f t="shared" si="4"/>
        <v>368.80799999999999</v>
      </c>
      <c r="Q10" s="2">
        <f t="shared" si="5"/>
        <v>1469.8949413370565</v>
      </c>
      <c r="R10" s="2">
        <f t="shared" si="6"/>
        <v>1084.1388721443393</v>
      </c>
      <c r="S10" s="2">
        <f t="shared" si="7"/>
        <v>4.8035782396635831</v>
      </c>
    </row>
    <row r="11" spans="1:19" x14ac:dyDescent="0.25">
      <c r="A11" s="3">
        <v>20</v>
      </c>
      <c r="B11" s="5" t="s">
        <v>24</v>
      </c>
      <c r="C11" s="5" t="s">
        <v>21</v>
      </c>
      <c r="D11" s="2">
        <v>2.75</v>
      </c>
      <c r="E11" s="2" cm="1">
        <f t="array" ref="E11">ShotgunGaugeToBoreDiameter($A11,"in")</f>
        <v>0.61542382915937555</v>
      </c>
      <c r="F11" s="2" cm="1">
        <f t="array" ref="F11">ShotgunGaugeToBoreDiameter($A11,"mm")</f>
        <v>15.631765276592539</v>
      </c>
      <c r="G11" s="1" t="s">
        <v>26</v>
      </c>
      <c r="H11" s="2">
        <v>0.25</v>
      </c>
      <c r="I11" s="2">
        <f t="shared" si="0"/>
        <v>6.35</v>
      </c>
      <c r="J11" s="2">
        <v>24.31</v>
      </c>
      <c r="K11" s="2">
        <f t="shared" si="1"/>
        <v>1.5752615021</v>
      </c>
      <c r="L11" s="3">
        <v>20</v>
      </c>
      <c r="M11" s="2">
        <f t="shared" si="2"/>
        <v>31.505230042000001</v>
      </c>
      <c r="N11" s="2">
        <f t="shared" si="3"/>
        <v>1.1113142857142857</v>
      </c>
      <c r="O11" s="2">
        <v>1220</v>
      </c>
      <c r="P11" s="2">
        <f t="shared" si="4"/>
        <v>371.85599999999999</v>
      </c>
      <c r="Q11" s="2">
        <f t="shared" si="5"/>
        <v>2178.2225315493993</v>
      </c>
      <c r="R11" s="2">
        <f t="shared" si="6"/>
        <v>1606.5744919737408</v>
      </c>
      <c r="S11" s="2">
        <f t="shared" si="7"/>
        <v>108.91112657746996</v>
      </c>
    </row>
    <row r="12" spans="1:19" x14ac:dyDescent="0.25">
      <c r="A12" s="4">
        <v>20</v>
      </c>
      <c r="B12" s="5" t="s">
        <v>33</v>
      </c>
      <c r="C12" s="5" t="s">
        <v>21</v>
      </c>
      <c r="D12" s="2">
        <v>2.75</v>
      </c>
      <c r="E12" s="2" cm="1">
        <f t="array" ref="E12">ShotgunGaugeToBoreDiameter($A12,"in")</f>
        <v>0.61542382915937555</v>
      </c>
      <c r="F12" s="2" cm="1">
        <f t="array" ref="F12">ShotgunGaugeToBoreDiameter($A12,"mm")</f>
        <v>15.631765276592539</v>
      </c>
      <c r="G12" s="1" t="s">
        <v>37</v>
      </c>
      <c r="H12" s="2">
        <v>0.61499999999999999</v>
      </c>
      <c r="I12" s="2">
        <f t="shared" si="0"/>
        <v>15.620999999999999</v>
      </c>
      <c r="J12" s="2">
        <v>350</v>
      </c>
      <c r="K12" s="2">
        <f t="shared" si="1"/>
        <v>22.6796185</v>
      </c>
      <c r="L12" s="3">
        <v>1</v>
      </c>
      <c r="M12" s="2">
        <f t="shared" si="2"/>
        <v>22.6796185</v>
      </c>
      <c r="N12" s="2">
        <f t="shared" si="3"/>
        <v>0.79999999999999993</v>
      </c>
      <c r="O12" s="2">
        <v>1580</v>
      </c>
      <c r="P12" s="2">
        <f t="shared" si="4"/>
        <v>481.584</v>
      </c>
      <c r="Q12" s="2">
        <f t="shared" si="5"/>
        <v>2629.9642709543577</v>
      </c>
      <c r="R12" s="2">
        <f t="shared" si="6"/>
        <v>1939.7621002075125</v>
      </c>
      <c r="S12" s="2">
        <f t="shared" si="7"/>
        <v>2629.9642709543577</v>
      </c>
    </row>
    <row r="13" spans="1:19" x14ac:dyDescent="0.25">
      <c r="A13" s="3"/>
      <c r="B13" s="1"/>
      <c r="C13" s="1"/>
      <c r="D13" s="2"/>
      <c r="E13" s="2"/>
      <c r="F13" s="2"/>
      <c r="G13" s="1"/>
      <c r="H13" s="2"/>
      <c r="I13" s="2"/>
      <c r="J13" s="2"/>
      <c r="K13" s="2"/>
      <c r="L13" s="3"/>
      <c r="M13" s="2"/>
      <c r="N13" s="2"/>
      <c r="O13" s="2"/>
      <c r="P13" s="2"/>
      <c r="Q13" s="2"/>
      <c r="R13" s="2"/>
      <c r="S13" s="2"/>
    </row>
    <row r="14" spans="1:19" x14ac:dyDescent="0.25">
      <c r="A14" s="3"/>
      <c r="B14" s="1"/>
      <c r="C14" s="1"/>
      <c r="D14" s="2"/>
      <c r="E14" s="2"/>
      <c r="F14" s="2"/>
      <c r="G14" s="1"/>
      <c r="H14" s="2"/>
      <c r="I14" s="2"/>
      <c r="J14" s="2"/>
      <c r="K14" s="2"/>
      <c r="L14" s="3"/>
      <c r="M14" s="2"/>
      <c r="N14" s="2"/>
      <c r="O14" s="2"/>
      <c r="P14" s="2"/>
      <c r="Q14" s="2"/>
      <c r="R14" s="2"/>
      <c r="S14" s="2"/>
    </row>
    <row r="15" spans="1:19" x14ac:dyDescent="0.25">
      <c r="A15" s="3"/>
      <c r="B15" s="1"/>
      <c r="C15" s="1"/>
      <c r="D15" s="2"/>
      <c r="E15" s="2"/>
      <c r="F15" s="2"/>
      <c r="G15" s="1"/>
      <c r="H15" s="2"/>
      <c r="I15" s="2"/>
      <c r="J15" s="2"/>
      <c r="K15" s="2"/>
      <c r="L15" s="3"/>
      <c r="M15" s="2"/>
      <c r="N15" s="2"/>
      <c r="O15" s="2"/>
      <c r="P15" s="2"/>
      <c r="Q15" s="2"/>
      <c r="R15" s="2"/>
      <c r="S15" s="2"/>
    </row>
    <row r="16" spans="1:19" x14ac:dyDescent="0.25">
      <c r="A16" s="3"/>
      <c r="B16" s="1"/>
      <c r="C16" s="1"/>
      <c r="D16" s="2"/>
      <c r="E16" s="2"/>
      <c r="F16" s="2"/>
      <c r="G16" s="1"/>
      <c r="H16" s="2"/>
      <c r="I16" s="2"/>
      <c r="J16" s="2"/>
      <c r="K16" s="2"/>
      <c r="L16" s="3"/>
      <c r="M16" s="2"/>
      <c r="N16" s="2"/>
      <c r="O16" s="2"/>
      <c r="P16" s="2"/>
      <c r="Q16" s="2"/>
      <c r="R16" s="2"/>
      <c r="S16" s="2"/>
    </row>
    <row r="17" spans="1:19" x14ac:dyDescent="0.25">
      <c r="A17" s="3"/>
      <c r="B17" s="1"/>
      <c r="C17" s="1"/>
      <c r="D17" s="2"/>
      <c r="E17" s="2"/>
      <c r="F17" s="2"/>
      <c r="G17" s="1"/>
      <c r="H17" s="2"/>
      <c r="I17" s="2"/>
      <c r="J17" s="2"/>
      <c r="K17" s="2"/>
      <c r="L17" s="3"/>
      <c r="M17" s="2"/>
      <c r="N17" s="2"/>
      <c r="O17" s="2"/>
      <c r="P17" s="2"/>
      <c r="Q17" s="2"/>
      <c r="R17" s="2"/>
      <c r="S17" s="2"/>
    </row>
    <row r="18" spans="1:19" x14ac:dyDescent="0.25">
      <c r="A18" s="3"/>
      <c r="B18" s="1"/>
      <c r="C18" s="1"/>
      <c r="D18" s="2"/>
      <c r="E18" s="2"/>
      <c r="F18" s="2"/>
      <c r="G18" s="1"/>
      <c r="H18" s="2"/>
      <c r="I18" s="2"/>
      <c r="J18" s="2"/>
      <c r="K18" s="2"/>
      <c r="L18" s="3"/>
      <c r="M18" s="2"/>
      <c r="N18" s="2"/>
      <c r="O18" s="2"/>
      <c r="P18" s="2"/>
      <c r="Q18" s="2"/>
      <c r="R18" s="2"/>
      <c r="S18" s="2"/>
    </row>
    <row r="19" spans="1:19" x14ac:dyDescent="0.25">
      <c r="A19" s="3"/>
      <c r="B19" s="1"/>
      <c r="C19" s="1"/>
      <c r="D19" s="2"/>
      <c r="E19" s="2"/>
      <c r="F19" s="2"/>
      <c r="G19" s="1"/>
      <c r="H19" s="2"/>
      <c r="I19" s="2"/>
      <c r="J19" s="2"/>
      <c r="K19" s="2"/>
      <c r="L19" s="3"/>
      <c r="M19" s="2"/>
      <c r="N19" s="2"/>
      <c r="O19" s="2"/>
      <c r="P19" s="2"/>
      <c r="Q19" s="2"/>
      <c r="R19" s="2"/>
      <c r="S19" s="2"/>
    </row>
    <row r="20" spans="1:19" x14ac:dyDescent="0.25">
      <c r="A20" s="3"/>
      <c r="B20" s="1"/>
      <c r="C20" s="1"/>
      <c r="D20" s="2"/>
      <c r="E20" s="2"/>
      <c r="F20" s="2"/>
      <c r="G20" s="1"/>
      <c r="H20" s="2"/>
      <c r="I20" s="2"/>
      <c r="J20" s="2"/>
      <c r="K20" s="2"/>
      <c r="L20" s="3"/>
      <c r="M20" s="2"/>
      <c r="N20" s="2"/>
      <c r="O20" s="2"/>
      <c r="P20" s="2"/>
      <c r="Q20" s="2"/>
      <c r="R20" s="2"/>
      <c r="S20" s="2"/>
    </row>
    <row r="21" spans="1:19" x14ac:dyDescent="0.25">
      <c r="A21" s="3"/>
      <c r="B21" s="1"/>
      <c r="C21" s="1"/>
      <c r="D21" s="2"/>
      <c r="E21" s="2"/>
      <c r="F21" s="2"/>
      <c r="G21" s="1"/>
      <c r="H21" s="2"/>
      <c r="I21" s="2"/>
      <c r="J21" s="2"/>
      <c r="K21" s="2"/>
      <c r="L21" s="3"/>
      <c r="M21" s="2"/>
      <c r="N21" s="2"/>
      <c r="O21" s="2"/>
      <c r="P21" s="2"/>
      <c r="Q21" s="2"/>
      <c r="R21" s="2"/>
      <c r="S21" s="2"/>
    </row>
    <row r="22" spans="1:19" x14ac:dyDescent="0.25">
      <c r="A22" s="3"/>
      <c r="B22" s="1"/>
      <c r="C22" s="1"/>
      <c r="D22" s="2"/>
      <c r="E22" s="2"/>
      <c r="F22" s="2"/>
      <c r="G22" s="1"/>
      <c r="H22" s="2"/>
      <c r="I22" s="2"/>
      <c r="J22" s="2"/>
      <c r="K22" s="2"/>
      <c r="L22" s="3"/>
      <c r="M22" s="2"/>
      <c r="N22" s="2"/>
      <c r="O22" s="2"/>
      <c r="P22" s="2"/>
      <c r="Q22" s="2"/>
      <c r="R22" s="2"/>
      <c r="S22" s="2"/>
    </row>
    <row r="23" spans="1:19" x14ac:dyDescent="0.25">
      <c r="A23" s="3"/>
      <c r="B23" s="1"/>
      <c r="C23" s="1"/>
      <c r="D23" s="2"/>
      <c r="E23" s="2"/>
      <c r="F23" s="2"/>
      <c r="G23" s="1"/>
      <c r="H23" s="2"/>
      <c r="I23" s="2"/>
      <c r="J23" s="2"/>
      <c r="K23" s="2"/>
      <c r="L23" s="3"/>
      <c r="M23" s="2"/>
      <c r="N23" s="2"/>
      <c r="O23" s="2"/>
      <c r="P23" s="2"/>
      <c r="Q23" s="2"/>
      <c r="R23" s="2"/>
      <c r="S23" s="2"/>
    </row>
    <row r="24" spans="1:19" x14ac:dyDescent="0.25">
      <c r="A24" s="3"/>
      <c r="B24" s="1"/>
      <c r="C24" s="1"/>
      <c r="D24" s="2"/>
      <c r="E24" s="2"/>
      <c r="F24" s="2"/>
      <c r="G24" s="1"/>
      <c r="H24" s="2"/>
      <c r="I24" s="2"/>
      <c r="J24" s="2"/>
      <c r="K24" s="2"/>
      <c r="L24" s="3"/>
      <c r="M24" s="2"/>
      <c r="N24" s="2"/>
      <c r="O24" s="2"/>
      <c r="P24" s="2"/>
      <c r="Q24" s="2"/>
      <c r="R24" s="2"/>
      <c r="S24" s="2"/>
    </row>
    <row r="25" spans="1:19" x14ac:dyDescent="0.25">
      <c r="A25" s="3"/>
      <c r="B25" s="1"/>
      <c r="C25" s="1"/>
      <c r="D25" s="2"/>
      <c r="E25" s="2"/>
      <c r="F25" s="2"/>
      <c r="G25" s="1"/>
      <c r="H25" s="2"/>
      <c r="I25" s="2"/>
      <c r="J25" s="2"/>
      <c r="K25" s="2"/>
      <c r="L25" s="3"/>
      <c r="M25" s="2"/>
      <c r="N25" s="2"/>
      <c r="O25" s="2"/>
      <c r="P25" s="2"/>
      <c r="Q25" s="2"/>
      <c r="R25" s="2"/>
      <c r="S25" s="2"/>
    </row>
    <row r="26" spans="1:19" x14ac:dyDescent="0.25">
      <c r="A26" s="3"/>
      <c r="B26" s="1"/>
      <c r="C26" s="1"/>
      <c r="D26" s="2"/>
      <c r="E26" s="2"/>
      <c r="F26" s="2"/>
      <c r="G26" s="1"/>
      <c r="H26" s="2"/>
      <c r="I26" s="2"/>
      <c r="J26" s="2"/>
      <c r="K26" s="2"/>
      <c r="L26" s="3"/>
      <c r="M26" s="2"/>
      <c r="N26" s="2"/>
      <c r="O26" s="2"/>
      <c r="P26" s="2"/>
      <c r="Q26" s="2"/>
      <c r="R26" s="2"/>
      <c r="S26" s="2"/>
    </row>
    <row r="27" spans="1:19" x14ac:dyDescent="0.25">
      <c r="A27" s="3"/>
      <c r="B27" s="1"/>
      <c r="C27" s="1"/>
      <c r="D27" s="2"/>
      <c r="E27" s="2"/>
      <c r="F27" s="2"/>
      <c r="G27" s="1"/>
      <c r="H27" s="2"/>
      <c r="I27" s="2"/>
      <c r="J27" s="2"/>
      <c r="K27" s="2"/>
      <c r="L27" s="3"/>
      <c r="M27" s="2"/>
      <c r="N27" s="2"/>
      <c r="O27" s="2"/>
      <c r="P27" s="2"/>
      <c r="Q27" s="2"/>
      <c r="R27" s="2"/>
      <c r="S27" s="2"/>
    </row>
    <row r="28" spans="1:19" x14ac:dyDescent="0.25">
      <c r="A28" s="3"/>
      <c r="B28" s="1"/>
      <c r="C28" s="1"/>
      <c r="D28" s="2"/>
      <c r="E28" s="2"/>
      <c r="F28" s="2"/>
      <c r="G28" s="1"/>
      <c r="H28" s="2"/>
      <c r="I28" s="2"/>
      <c r="J28" s="2"/>
      <c r="K28" s="2"/>
      <c r="L28" s="3"/>
      <c r="M28" s="2"/>
      <c r="N28" s="2"/>
      <c r="O28" s="2"/>
      <c r="P28" s="2"/>
      <c r="Q28" s="2"/>
      <c r="R28" s="2"/>
      <c r="S28" s="2"/>
    </row>
    <row r="29" spans="1:19" x14ac:dyDescent="0.25">
      <c r="A29" s="3"/>
      <c r="B29" s="1"/>
      <c r="C29" s="1"/>
      <c r="D29" s="2"/>
      <c r="E29" s="2"/>
      <c r="F29" s="2"/>
      <c r="G29" s="1"/>
      <c r="H29" s="2"/>
      <c r="I29" s="2"/>
      <c r="J29" s="2"/>
      <c r="K29" s="2"/>
      <c r="L29" s="3"/>
      <c r="M29" s="2"/>
      <c r="N29" s="2"/>
      <c r="O29" s="2"/>
      <c r="P29" s="2"/>
      <c r="Q29" s="2"/>
      <c r="R29" s="2"/>
      <c r="S29" s="2"/>
    </row>
    <row r="30" spans="1:19" x14ac:dyDescent="0.25">
      <c r="A30" s="3"/>
      <c r="B30" s="1"/>
      <c r="C30" s="1"/>
      <c r="D30" s="2"/>
      <c r="E30" s="2"/>
      <c r="F30" s="2"/>
      <c r="G30" s="1"/>
      <c r="H30" s="2"/>
      <c r="I30" s="2"/>
      <c r="J30" s="2"/>
      <c r="K30" s="2"/>
      <c r="L30" s="3"/>
      <c r="M30" s="2"/>
      <c r="N30" s="2"/>
      <c r="O30" s="2"/>
      <c r="P30" s="2"/>
      <c r="Q30" s="2"/>
      <c r="R30" s="2"/>
      <c r="S30" s="2"/>
    </row>
    <row r="31" spans="1:19" x14ac:dyDescent="0.25">
      <c r="A31" s="3"/>
      <c r="B31" s="1"/>
      <c r="C31" s="1"/>
      <c r="D31" s="2"/>
      <c r="E31" s="2"/>
      <c r="F31" s="2"/>
      <c r="G31" s="1"/>
      <c r="H31" s="2"/>
      <c r="I31" s="2"/>
      <c r="J31" s="2"/>
      <c r="K31" s="2"/>
      <c r="L31" s="3"/>
      <c r="M31" s="2"/>
      <c r="N31" s="2"/>
      <c r="O31" s="2"/>
      <c r="P31" s="2"/>
      <c r="Q31" s="2"/>
      <c r="R31" s="2"/>
      <c r="S31" s="2"/>
    </row>
    <row r="32" spans="1:19" x14ac:dyDescent="0.25">
      <c r="A32" s="1"/>
      <c r="B32" s="1"/>
      <c r="C32" s="1"/>
      <c r="D32" s="2"/>
      <c r="E32" s="2"/>
      <c r="F32" s="2"/>
      <c r="G32" s="1"/>
      <c r="H32" s="2"/>
      <c r="I32" s="2"/>
      <c r="J32" s="2"/>
      <c r="K32" s="2"/>
      <c r="L32" s="3"/>
      <c r="M32" s="2"/>
      <c r="N32" s="2"/>
      <c r="O32" s="2"/>
      <c r="P32" s="2"/>
      <c r="Q32" s="2"/>
      <c r="R32" s="2"/>
      <c r="S32" s="2"/>
    </row>
    <row r="33" spans="1:19" x14ac:dyDescent="0.25">
      <c r="A33" s="1"/>
      <c r="B33" s="1"/>
      <c r="C33" s="1"/>
      <c r="D33" s="2"/>
      <c r="E33" s="2"/>
      <c r="F33" s="2"/>
      <c r="G33" s="1"/>
      <c r="H33" s="2"/>
      <c r="I33" s="2"/>
      <c r="J33" s="2"/>
      <c r="K33" s="2"/>
      <c r="L33" s="3"/>
      <c r="M33" s="2"/>
      <c r="N33" s="2"/>
      <c r="O33" s="2"/>
      <c r="P33" s="2"/>
      <c r="Q33" s="2"/>
      <c r="R33" s="2"/>
      <c r="S33" s="2"/>
    </row>
    <row r="34" spans="1:19" x14ac:dyDescent="0.25">
      <c r="A34" s="1"/>
      <c r="B34" s="1"/>
      <c r="C34" s="1"/>
      <c r="D34" s="2"/>
      <c r="E34" s="2"/>
      <c r="F34" s="2"/>
      <c r="G34" s="1"/>
      <c r="H34" s="2"/>
      <c r="I34" s="2"/>
      <c r="J34" s="2"/>
      <c r="K34" s="2"/>
      <c r="L34" s="3"/>
      <c r="M34" s="2"/>
      <c r="N34" s="2"/>
      <c r="O34" s="2"/>
      <c r="P34" s="2"/>
      <c r="Q34" s="2"/>
      <c r="R34" s="2"/>
      <c r="S34" s="2"/>
    </row>
    <row r="35" spans="1:19" x14ac:dyDescent="0.25">
      <c r="A35" s="1"/>
      <c r="B35" s="1"/>
      <c r="C35" s="1"/>
      <c r="D35" s="2"/>
      <c r="E35" s="2"/>
      <c r="F35" s="2"/>
      <c r="G35" s="1"/>
      <c r="H35" s="2"/>
      <c r="I35" s="2"/>
      <c r="J35" s="2"/>
      <c r="K35" s="2"/>
      <c r="L35" s="3"/>
      <c r="M35" s="2"/>
      <c r="N35" s="2"/>
      <c r="O35" s="2"/>
      <c r="P35" s="2"/>
      <c r="Q35" s="2"/>
      <c r="R35" s="2"/>
      <c r="S35" s="2"/>
    </row>
    <row r="36" spans="1:19" x14ac:dyDescent="0.25">
      <c r="A36" s="1"/>
      <c r="B36" s="1"/>
      <c r="C36" s="1"/>
      <c r="D36" s="2"/>
      <c r="E36" s="2"/>
      <c r="F36" s="2"/>
      <c r="G36" s="1"/>
      <c r="H36" s="2"/>
      <c r="I36" s="2"/>
      <c r="J36" s="2"/>
      <c r="K36" s="2"/>
      <c r="L36" s="3"/>
      <c r="M36" s="2"/>
      <c r="N36" s="2"/>
      <c r="O36" s="2"/>
      <c r="P36" s="2"/>
      <c r="Q36" s="2"/>
      <c r="R36" s="2"/>
      <c r="S36" s="2"/>
    </row>
    <row r="37" spans="1:19" x14ac:dyDescent="0.25">
      <c r="A37" s="1"/>
      <c r="B37" s="1"/>
      <c r="C37" s="1"/>
      <c r="D37" s="2"/>
      <c r="E37" s="2"/>
      <c r="F37" s="2"/>
      <c r="G37" s="1"/>
      <c r="H37" s="2"/>
      <c r="I37" s="2"/>
      <c r="J37" s="2"/>
      <c r="K37" s="2"/>
      <c r="L37" s="3"/>
      <c r="M37" s="2"/>
      <c r="N37" s="2"/>
      <c r="O37" s="2"/>
      <c r="P37" s="2"/>
      <c r="Q37" s="2"/>
      <c r="R37" s="2"/>
      <c r="S37" s="2"/>
    </row>
    <row r="38" spans="1:19" x14ac:dyDescent="0.25">
      <c r="A38" s="1"/>
      <c r="B38" s="1"/>
      <c r="C38" s="1"/>
      <c r="D38" s="2"/>
      <c r="E38" s="2"/>
      <c r="F38" s="2"/>
      <c r="G38" s="1"/>
      <c r="H38" s="2"/>
      <c r="I38" s="2"/>
      <c r="J38" s="2"/>
      <c r="K38" s="2"/>
      <c r="L38" s="3"/>
      <c r="M38" s="2"/>
      <c r="N38" s="2"/>
      <c r="O38" s="2"/>
      <c r="P38" s="2"/>
      <c r="Q38" s="2"/>
      <c r="R38" s="2"/>
      <c r="S38" s="2"/>
    </row>
    <row r="39" spans="1:19" x14ac:dyDescent="0.25">
      <c r="A39" s="1"/>
      <c r="B39" s="1"/>
      <c r="C39" s="1"/>
      <c r="D39" s="2"/>
      <c r="E39" s="2"/>
      <c r="F39" s="2"/>
      <c r="G39" s="1"/>
      <c r="H39" s="2"/>
      <c r="I39" s="2"/>
      <c r="J39" s="2"/>
      <c r="K39" s="2"/>
      <c r="L39" s="3"/>
      <c r="M39" s="2"/>
      <c r="N39" s="2"/>
      <c r="O39" s="2"/>
      <c r="P39" s="2"/>
      <c r="Q39" s="2"/>
      <c r="R39" s="2"/>
      <c r="S39" s="2"/>
    </row>
    <row r="40" spans="1:19" x14ac:dyDescent="0.25">
      <c r="A40" s="1"/>
      <c r="B40" s="1"/>
      <c r="C40" s="1"/>
      <c r="D40" s="2"/>
      <c r="E40" s="2"/>
      <c r="F40" s="2"/>
      <c r="G40" s="1"/>
      <c r="H40" s="2"/>
      <c r="I40" s="2"/>
      <c r="J40" s="2"/>
      <c r="K40" s="2"/>
      <c r="L40" s="3"/>
      <c r="M40" s="2"/>
      <c r="N40" s="2"/>
      <c r="O40" s="2"/>
      <c r="P40" s="2"/>
      <c r="Q40" s="2"/>
      <c r="R40" s="2"/>
      <c r="S40" s="2"/>
    </row>
    <row r="41" spans="1:19" x14ac:dyDescent="0.25">
      <c r="A41" s="1"/>
      <c r="B41" s="1"/>
      <c r="C41" s="1"/>
      <c r="D41" s="2"/>
      <c r="E41" s="2"/>
      <c r="F41" s="2"/>
      <c r="G41" s="1"/>
      <c r="H41" s="2"/>
      <c r="I41" s="2"/>
      <c r="J41" s="2"/>
      <c r="K41" s="2"/>
      <c r="L41" s="3"/>
      <c r="M41" s="2"/>
      <c r="N41" s="2"/>
      <c r="O41" s="2"/>
      <c r="P41" s="2"/>
      <c r="Q41" s="2"/>
      <c r="R41" s="2"/>
      <c r="S41" s="2"/>
    </row>
    <row r="42" spans="1:19" x14ac:dyDescent="0.25">
      <c r="A42" s="1"/>
      <c r="B42" s="1"/>
      <c r="C42" s="1"/>
      <c r="D42" s="2"/>
      <c r="E42" s="2"/>
      <c r="F42" s="2"/>
      <c r="G42" s="1"/>
      <c r="H42" s="2"/>
      <c r="I42" s="2"/>
      <c r="J42" s="2"/>
      <c r="K42" s="2"/>
      <c r="L42" s="3"/>
      <c r="M42" s="2"/>
      <c r="N42" s="2"/>
      <c r="O42" s="2"/>
      <c r="P42" s="2"/>
      <c r="Q42" s="2"/>
      <c r="R42" s="2"/>
      <c r="S42" s="2"/>
    </row>
    <row r="43" spans="1:19" x14ac:dyDescent="0.25">
      <c r="A43" s="1"/>
      <c r="B43" s="1"/>
      <c r="C43" s="1"/>
      <c r="D43" s="2"/>
      <c r="E43" s="2"/>
      <c r="F43" s="2"/>
      <c r="G43" s="1"/>
      <c r="H43" s="2"/>
      <c r="I43" s="2"/>
      <c r="J43" s="2"/>
      <c r="K43" s="2"/>
      <c r="L43" s="3"/>
      <c r="M43" s="2"/>
      <c r="N43" s="2"/>
      <c r="O43" s="2"/>
      <c r="P43" s="2"/>
      <c r="Q43" s="2"/>
      <c r="R43" s="2"/>
      <c r="S43" s="2"/>
    </row>
    <row r="44" spans="1:19" x14ac:dyDescent="0.25">
      <c r="A44" s="1"/>
      <c r="B44" s="1"/>
      <c r="C44" s="1"/>
      <c r="D44" s="2"/>
      <c r="E44" s="2"/>
      <c r="F44" s="2"/>
      <c r="G44" s="1"/>
      <c r="H44" s="2"/>
      <c r="I44" s="2"/>
      <c r="J44" s="2"/>
      <c r="K44" s="2"/>
      <c r="L44" s="3"/>
      <c r="M44" s="2"/>
      <c r="N44" s="2"/>
      <c r="O44" s="2"/>
      <c r="P44" s="2"/>
      <c r="Q44" s="2"/>
      <c r="R44" s="2"/>
      <c r="S44" s="2"/>
    </row>
    <row r="45" spans="1:19" x14ac:dyDescent="0.25">
      <c r="A45" s="1"/>
      <c r="B45" s="1"/>
      <c r="C45" s="1"/>
      <c r="D45" s="2"/>
      <c r="E45" s="2"/>
      <c r="F45" s="2"/>
      <c r="G45" s="1"/>
      <c r="H45" s="2"/>
      <c r="I45" s="2"/>
      <c r="J45" s="2"/>
      <c r="K45" s="2"/>
      <c r="L45" s="3"/>
      <c r="M45" s="2"/>
      <c r="N45" s="2"/>
      <c r="O45" s="2"/>
      <c r="P45" s="2"/>
      <c r="Q45" s="2"/>
      <c r="R45" s="2"/>
      <c r="S45" s="2"/>
    </row>
    <row r="46" spans="1:19" x14ac:dyDescent="0.25">
      <c r="A46" s="1"/>
      <c r="B46" s="1"/>
      <c r="C46" s="1"/>
      <c r="D46" s="2"/>
      <c r="E46" s="2"/>
      <c r="F46" s="2"/>
      <c r="G46" s="1"/>
      <c r="H46" s="2"/>
      <c r="I46" s="2"/>
      <c r="J46" s="2"/>
      <c r="K46" s="2"/>
      <c r="L46" s="3"/>
      <c r="M46" s="2"/>
      <c r="N46" s="2"/>
      <c r="O46" s="2"/>
      <c r="P46" s="2"/>
      <c r="Q46" s="2"/>
      <c r="R46" s="2"/>
      <c r="S46" s="2"/>
    </row>
    <row r="47" spans="1:19" x14ac:dyDescent="0.25">
      <c r="A47" s="1"/>
      <c r="B47" s="1"/>
      <c r="C47" s="1"/>
      <c r="D47" s="2"/>
      <c r="E47" s="2"/>
      <c r="F47" s="2"/>
      <c r="G47" s="1"/>
      <c r="H47" s="2"/>
      <c r="I47" s="2"/>
      <c r="J47" s="2"/>
      <c r="K47" s="2"/>
      <c r="L47" s="3"/>
      <c r="M47" s="2"/>
      <c r="N47" s="2"/>
      <c r="O47" s="2"/>
      <c r="P47" s="2"/>
      <c r="Q47" s="2"/>
      <c r="R47" s="2"/>
      <c r="S47" s="2"/>
    </row>
    <row r="48" spans="1:19" x14ac:dyDescent="0.25">
      <c r="A48" s="1"/>
      <c r="B48" s="1"/>
      <c r="C48" s="1"/>
      <c r="D48" s="2"/>
      <c r="E48" s="2"/>
      <c r="F48" s="2"/>
      <c r="G48" s="1"/>
      <c r="H48" s="2"/>
      <c r="I48" s="2"/>
      <c r="J48" s="2"/>
      <c r="K48" s="2"/>
      <c r="L48" s="3"/>
      <c r="M48" s="2"/>
      <c r="N48" s="2"/>
      <c r="O48" s="2"/>
      <c r="P48" s="2"/>
      <c r="Q48" s="2"/>
      <c r="R48" s="2"/>
      <c r="S48" s="2"/>
    </row>
    <row r="49" spans="1:19" x14ac:dyDescent="0.25">
      <c r="A49" s="1"/>
      <c r="B49" s="1"/>
      <c r="C49" s="1"/>
      <c r="D49" s="2"/>
      <c r="E49" s="2"/>
      <c r="F49" s="2"/>
      <c r="G49" s="1"/>
      <c r="H49" s="2"/>
      <c r="I49" s="2"/>
      <c r="J49" s="2"/>
      <c r="K49" s="2"/>
      <c r="L49" s="3"/>
      <c r="M49" s="2"/>
      <c r="N49" s="2"/>
      <c r="O49" s="2"/>
      <c r="P49" s="2"/>
      <c r="Q49" s="2"/>
      <c r="R49" s="2"/>
      <c r="S49" s="2"/>
    </row>
    <row r="50" spans="1:19" x14ac:dyDescent="0.25">
      <c r="A50" s="1"/>
      <c r="B50" s="1"/>
      <c r="C50" s="1"/>
      <c r="D50" s="1"/>
      <c r="H50" s="2"/>
      <c r="I50" s="2"/>
      <c r="J50" s="2"/>
      <c r="K50" s="2"/>
      <c r="L50" s="3"/>
      <c r="M50" s="2"/>
      <c r="N50" s="2"/>
      <c r="O50" s="2"/>
      <c r="P50" s="2"/>
      <c r="Q50" s="2"/>
      <c r="R50" s="2"/>
      <c r="S50" s="2"/>
    </row>
    <row r="51" spans="1:19" x14ac:dyDescent="0.25">
      <c r="A51" s="1"/>
      <c r="B51" s="1"/>
      <c r="C51" s="1"/>
      <c r="D51" s="1"/>
      <c r="H51" s="2"/>
      <c r="I51" s="2"/>
      <c r="J51" s="2"/>
      <c r="K51" s="2"/>
      <c r="M51" s="2"/>
      <c r="N51" s="2"/>
      <c r="O51" s="2"/>
      <c r="P51" s="2"/>
      <c r="Q51" s="2"/>
      <c r="R51" s="2"/>
      <c r="S51" s="2"/>
    </row>
    <row r="52" spans="1:19" x14ac:dyDescent="0.25">
      <c r="A52" s="1"/>
      <c r="B52" s="1"/>
      <c r="C52" s="1"/>
      <c r="D52" s="1"/>
      <c r="H52" s="2"/>
      <c r="I52" s="2"/>
      <c r="J52" s="2"/>
      <c r="K52" s="2"/>
      <c r="M52" s="2"/>
      <c r="N52" s="2"/>
      <c r="O52" s="2"/>
      <c r="P52" s="2"/>
      <c r="Q52" s="2"/>
      <c r="R52" s="2"/>
      <c r="S52" s="2"/>
    </row>
    <row r="53" spans="1:19" x14ac:dyDescent="0.25">
      <c r="A53" s="1"/>
      <c r="B53" s="1"/>
      <c r="C53" s="1"/>
      <c r="D53" s="1"/>
      <c r="H53" s="2"/>
      <c r="I53" s="2"/>
      <c r="J53" s="2"/>
      <c r="K53" s="2"/>
      <c r="M53" s="2"/>
      <c r="N53" s="2"/>
      <c r="O53" s="2"/>
      <c r="P53" s="2"/>
      <c r="Q53" s="2"/>
      <c r="R53" s="2"/>
      <c r="S53" s="2"/>
    </row>
    <row r="54" spans="1:19" x14ac:dyDescent="0.25">
      <c r="H54" s="2"/>
      <c r="I54" s="2"/>
      <c r="J54" s="2"/>
      <c r="K54" s="2"/>
      <c r="M54" s="2"/>
      <c r="N54" s="2"/>
      <c r="O54" s="2"/>
      <c r="P54" s="2"/>
      <c r="Q54" s="2"/>
      <c r="R54" s="2"/>
      <c r="S54" s="2"/>
    </row>
    <row r="55" spans="1:19" x14ac:dyDescent="0.25">
      <c r="H55" s="2"/>
      <c r="I55" s="2"/>
      <c r="J55" s="2"/>
      <c r="K55" s="2"/>
      <c r="M55" s="2"/>
      <c r="N55" s="2"/>
      <c r="O55" s="2"/>
      <c r="P55" s="2"/>
      <c r="Q55" s="2"/>
      <c r="R55" s="2"/>
      <c r="S55" s="2"/>
    </row>
    <row r="56" spans="1:19" x14ac:dyDescent="0.25">
      <c r="H56" s="2"/>
      <c r="I56" s="2"/>
      <c r="J56" s="2"/>
      <c r="K56" s="2"/>
      <c r="M56" s="2"/>
      <c r="N56" s="2"/>
      <c r="O56" s="2"/>
      <c r="P56" s="2"/>
      <c r="Q56" s="2"/>
      <c r="R56" s="2"/>
      <c r="S56" s="2"/>
    </row>
    <row r="57" spans="1:19" x14ac:dyDescent="0.25">
      <c r="H57" s="2"/>
      <c r="I57" s="2"/>
      <c r="J57" s="2"/>
      <c r="K57" s="2"/>
    </row>
  </sheetData>
  <autoFilter ref="A1:S12" xr:uid="{7D627672-CF87-478D-B0C4-A6E468D53A69}">
    <sortState xmlns:xlrd2="http://schemas.microsoft.com/office/spreadsheetml/2017/richdata2" ref="A2:S12">
      <sortCondition ref="A1:A12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Ammunition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2024-08-15T20:54:10Z</dcterms:created>
  <dcterms:modified xsi:type="dcterms:W3CDTF">2024-08-18T00:29:47Z</dcterms:modified>
</cp:coreProperties>
</file>