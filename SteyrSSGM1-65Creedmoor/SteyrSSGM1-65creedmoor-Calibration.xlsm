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drawings/drawing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drawings/drawing3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1.xml" ContentType="application/vnd.openxmlformats-officedocument.themeOverrid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2.xml" ContentType="application/vnd.openxmlformats-officedocument.themeOverrid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3.xml" ContentType="application/vnd.openxmlformats-officedocument.themeOverrid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4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5.xml" ContentType="application/vnd.openxmlformats-officedocument.themeOverride+xml"/>
  <Override PartName="/xl/drawings/drawing4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16.xml" ContentType="application/vnd.openxmlformats-officedocument.themeOverrid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17.xml" ContentType="application/vnd.openxmlformats-officedocument.themeOverrid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18.xml" ContentType="application/vnd.openxmlformats-officedocument.themeOverrid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19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20.xml" ContentType="application/vnd.openxmlformats-officedocument.themeOverride+xml"/>
  <Override PartName="/xl/drawings/drawing5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2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ballistics-data\SteyrSSGM1-65Creedmoor\"/>
    </mc:Choice>
  </mc:AlternateContent>
  <xr:revisionPtr revIDLastSave="0" documentId="13_ncr:1_{6F3AF2D0-9975-44CA-BC59-ACE4B9E83E70}" xr6:coauthVersionLast="47" xr6:coauthVersionMax="47" xr10:uidLastSave="{00000000-0000-0000-0000-000000000000}"/>
  <bookViews>
    <workbookView xWindow="-120" yWindow="-120" windowWidth="51840" windowHeight="21120" activeTab="4" xr2:uid="{2F0FA23F-61CC-43E6-AF0F-86720E5DCFA1}"/>
  </bookViews>
  <sheets>
    <sheet name="ELD-X PHP" sheetId="4" r:id="rId1"/>
    <sheet name="ELD-X PHP (2)" sheetId="11" r:id="rId2"/>
    <sheet name="Fusion Rifle SP" sheetId="7" r:id="rId3"/>
    <sheet name="Barnes TSX HP" sheetId="9" r:id="rId4"/>
    <sheet name="Bullet Comparisons" sheetId="10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50" i="11" l="1" a="1"/>
  <c r="I250" i="11" s="1"/>
  <c r="I249" i="11" a="1"/>
  <c r="I249" i="11" s="1"/>
  <c r="I248" i="11" a="1"/>
  <c r="I248" i="11" s="1"/>
  <c r="I247" i="11" a="1"/>
  <c r="I247" i="11" s="1"/>
  <c r="O22" i="11"/>
  <c r="K22" i="11"/>
  <c r="C17" i="11"/>
  <c r="C16" i="11"/>
  <c r="D13" i="11"/>
  <c r="B13" i="11"/>
  <c r="P22" i="11" s="1"/>
  <c r="C9" i="11"/>
  <c r="H7" i="11"/>
  <c r="C6" i="11"/>
  <c r="H3" i="11"/>
  <c r="C3" i="11"/>
  <c r="H2" i="11"/>
  <c r="C2" i="11"/>
  <c r="L222" i="9"/>
  <c r="L198" i="9"/>
  <c r="L174" i="9"/>
  <c r="L150" i="9"/>
  <c r="B222" i="9"/>
  <c r="B198" i="9"/>
  <c r="B174" i="9"/>
  <c r="B150" i="9"/>
  <c r="B126" i="9"/>
  <c r="L126" i="9"/>
  <c r="B102" i="9"/>
  <c r="L102" i="9"/>
  <c r="B78" i="9"/>
  <c r="L78" i="9"/>
  <c r="L222" i="7"/>
  <c r="L198" i="7"/>
  <c r="L174" i="7"/>
  <c r="L150" i="7"/>
  <c r="L126" i="7"/>
  <c r="L102" i="7"/>
  <c r="L78" i="7"/>
  <c r="I247" i="4" a="1"/>
  <c r="I247" i="4" s="1"/>
  <c r="H7" i="9"/>
  <c r="H3" i="9"/>
  <c r="H2" i="9"/>
  <c r="H7" i="7"/>
  <c r="H3" i="7"/>
  <c r="H2" i="7"/>
  <c r="H7" i="4"/>
  <c r="H3" i="4"/>
  <c r="H2" i="4"/>
  <c r="P22" i="9"/>
  <c r="O22" i="9"/>
  <c r="N22" i="9"/>
  <c r="M22" i="9"/>
  <c r="L22" i="9"/>
  <c r="K22" i="9"/>
  <c r="J22" i="9"/>
  <c r="C17" i="9"/>
  <c r="C16" i="9"/>
  <c r="B13" i="9"/>
  <c r="D13" i="9" s="1"/>
  <c r="P22" i="7"/>
  <c r="O22" i="7"/>
  <c r="N22" i="7"/>
  <c r="M22" i="7"/>
  <c r="L22" i="7"/>
  <c r="K22" i="7"/>
  <c r="J22" i="7"/>
  <c r="C17" i="7"/>
  <c r="C19" i="7" s="1"/>
  <c r="C16" i="7"/>
  <c r="B13" i="7"/>
  <c r="D13" i="7" s="1"/>
  <c r="P22" i="4"/>
  <c r="O22" i="4"/>
  <c r="N22" i="4"/>
  <c r="M22" i="4"/>
  <c r="L22" i="4"/>
  <c r="K22" i="4"/>
  <c r="J22" i="4"/>
  <c r="C17" i="4"/>
  <c r="C16" i="4"/>
  <c r="B13" i="4"/>
  <c r="D13" i="4" s="1"/>
  <c r="I250" i="9" a="1"/>
  <c r="I250" i="9" s="1"/>
  <c r="I249" i="9" a="1"/>
  <c r="I249" i="9" s="1"/>
  <c r="I248" i="9" a="1"/>
  <c r="I248" i="9" s="1"/>
  <c r="I247" i="9" a="1"/>
  <c r="I247" i="9" s="1"/>
  <c r="I250" i="7" a="1"/>
  <c r="I250" i="7" s="1"/>
  <c r="I249" i="7" a="1"/>
  <c r="I249" i="7" s="1"/>
  <c r="I248" i="7" a="1"/>
  <c r="I248" i="7" s="1"/>
  <c r="I247" i="7" a="1"/>
  <c r="I247" i="7" s="1"/>
  <c r="I250" i="4" a="1"/>
  <c r="I250" i="4" s="1"/>
  <c r="I249" i="4" a="1"/>
  <c r="I249" i="4" s="1"/>
  <c r="I248" i="4" a="1"/>
  <c r="I248" i="4" s="1"/>
  <c r="N30" i="9" a="1"/>
  <c r="L32" i="4" a="1"/>
  <c r="I262" i="4" a="1"/>
  <c r="O31" i="4" a="1"/>
  <c r="J23" i="7" a="1"/>
  <c r="P34" i="7" a="1"/>
  <c r="M27" i="9" a="1"/>
  <c r="K32" i="7" a="1"/>
  <c r="N25" i="9" a="1"/>
  <c r="I261" i="9" a="1"/>
  <c r="M33" i="9" a="1"/>
  <c r="L24" i="4" a="1"/>
  <c r="J25" i="4" a="1"/>
  <c r="O23" i="9" a="1"/>
  <c r="J25" i="9" a="1"/>
  <c r="I263" i="7" a="1"/>
  <c r="I276" i="9" a="1"/>
  <c r="N30" i="7" a="1"/>
  <c r="I269" i="9" a="1"/>
  <c r="J29" i="9" a="1"/>
  <c r="L28" i="7" a="1"/>
  <c r="I264" i="9" a="1"/>
  <c r="L26" i="7" a="1"/>
  <c r="L31" i="7" a="1"/>
  <c r="G6" i="4" a="1"/>
  <c r="P33" i="9" a="1"/>
  <c r="P27" i="9" a="1"/>
  <c r="I277" i="11" a="1"/>
  <c r="I275" i="11" a="1"/>
  <c r="I273" i="11" a="1"/>
  <c r="I271" i="11" a="1"/>
  <c r="I269" i="11" a="1"/>
  <c r="I267" i="11" a="1"/>
  <c r="I265" i="11" a="1"/>
  <c r="I263" i="11" a="1"/>
  <c r="I261" i="11" a="1"/>
  <c r="I259" i="11" a="1"/>
  <c r="I257" i="11" a="1"/>
  <c r="P26" i="9" a="1"/>
  <c r="J23" i="9" a="1"/>
  <c r="L24" i="9" a="1"/>
  <c r="L25" i="7" a="1"/>
  <c r="J26" i="9" a="1"/>
  <c r="I269" i="4" a="1"/>
  <c r="L35" i="9" a="1"/>
  <c r="O28" i="7" a="1"/>
  <c r="N27" i="7" a="1"/>
  <c r="J31" i="4" a="1"/>
  <c r="O26" i="7" a="1"/>
  <c r="P34" i="11" a="1"/>
  <c r="P30" i="11" a="1"/>
  <c r="P26" i="11" a="1"/>
  <c r="M23" i="4" a="1"/>
  <c r="N28" i="7" a="1"/>
  <c r="P34" i="9" a="1"/>
  <c r="P23" i="9" a="1"/>
  <c r="N35" i="7" a="1"/>
  <c r="I261" i="7" a="1"/>
  <c r="K35" i="7" a="1"/>
  <c r="I259" i="4" a="1"/>
  <c r="O34" i="11" a="1"/>
  <c r="O28" i="11" a="1"/>
  <c r="P29" i="7" a="1"/>
  <c r="O31" i="9" a="1"/>
  <c r="N32" i="4" a="1"/>
  <c r="M34" i="4" a="1"/>
  <c r="J27" i="4" a="1"/>
  <c r="I266" i="7" a="1"/>
  <c r="L34" i="11" a="1"/>
  <c r="L28" i="11" a="1"/>
  <c r="N23" i="7" a="1"/>
  <c r="M24" i="9" a="1"/>
  <c r="P35" i="4" a="1"/>
  <c r="K34" i="11" a="1"/>
  <c r="K28" i="11" a="1"/>
  <c r="K24" i="11" a="1"/>
  <c r="I268" i="4" a="1"/>
  <c r="J24" i="4" a="1"/>
  <c r="P29" i="9" a="1"/>
  <c r="L25" i="4" a="1"/>
  <c r="M28" i="7" a="1"/>
  <c r="J32" i="11" a="1"/>
  <c r="J28" i="11" a="1"/>
  <c r="J26" i="11" a="1"/>
  <c r="J24" i="11" a="1"/>
  <c r="H6" i="9" a="1"/>
  <c r="I270" i="4" a="1"/>
  <c r="I267" i="4" a="1"/>
  <c r="M35" i="9" a="1"/>
  <c r="O24" i="4" a="1"/>
  <c r="P24" i="4" a="1"/>
  <c r="I274" i="11" a="1"/>
  <c r="P32" i="11" a="1"/>
  <c r="P28" i="11" a="1"/>
  <c r="P24" i="11" a="1"/>
  <c r="N31" i="7" a="1"/>
  <c r="P26" i="4" a="1"/>
  <c r="L25" i="9" a="1"/>
  <c r="O32" i="11" a="1"/>
  <c r="O30" i="11" a="1"/>
  <c r="O26" i="11" a="1"/>
  <c r="O24" i="11" a="1"/>
  <c r="O35" i="7" a="1"/>
  <c r="N35" i="4" a="1"/>
  <c r="N34" i="7" a="1"/>
  <c r="P24" i="7" a="1"/>
  <c r="K27" i="9" a="1"/>
  <c r="M28" i="9" a="1"/>
  <c r="N24" i="4" a="1"/>
  <c r="I260" i="7" a="1"/>
  <c r="I268" i="7" a="1"/>
  <c r="I271" i="4" a="1"/>
  <c r="O32" i="7" a="1"/>
  <c r="M34" i="11" a="1"/>
  <c r="M28" i="11" a="1"/>
  <c r="L34" i="9" a="1"/>
  <c r="M33" i="4" a="1"/>
  <c r="I263" i="4" a="1"/>
  <c r="K25" i="9" a="1"/>
  <c r="I262" i="9" a="1"/>
  <c r="O23" i="4" a="1"/>
  <c r="L24" i="11" a="1"/>
  <c r="P31" i="4" a="1"/>
  <c r="O30" i="7" a="1"/>
  <c r="L34" i="4" a="1"/>
  <c r="K27" i="4" a="1"/>
  <c r="H6" i="4" a="1"/>
  <c r="I272" i="7" a="1"/>
  <c r="P30" i="7" a="1"/>
  <c r="J31" i="7" a="1"/>
  <c r="J33" i="7" a="1"/>
  <c r="N32" i="7" a="1"/>
  <c r="I270" i="9" a="1"/>
  <c r="P25" i="9" a="1"/>
  <c r="M32" i="4" a="1"/>
  <c r="N30" i="4" a="1"/>
  <c r="M33" i="7" a="1"/>
  <c r="I271" i="9" a="1"/>
  <c r="O29" i="4" a="1"/>
  <c r="N32" i="9" a="1"/>
  <c r="N27" i="9" a="1"/>
  <c r="N23" i="4" a="1"/>
  <c r="I267" i="7" a="1"/>
  <c r="P31" i="9" a="1"/>
  <c r="I266" i="9" a="1"/>
  <c r="I260" i="9" a="1"/>
  <c r="I262" i="7" a="1"/>
  <c r="O33" i="9" a="1"/>
  <c r="L30" i="7" a="1"/>
  <c r="L30" i="11" a="1"/>
  <c r="L26" i="11" a="1"/>
  <c r="O27" i="9" a="1"/>
  <c r="M24" i="7" a="1"/>
  <c r="B7" i="4" a="1"/>
  <c r="I266" i="4" a="1"/>
  <c r="J32" i="4" a="1"/>
  <c r="L26" i="9" a="1"/>
  <c r="K32" i="11" a="1"/>
  <c r="K26" i="11" a="1"/>
  <c r="I263" i="9" a="1"/>
  <c r="K28" i="4" a="1"/>
  <c r="N31" i="4" a="1"/>
  <c r="M26" i="7" a="1"/>
  <c r="B12" i="7" a="1"/>
  <c r="O30" i="4" a="1"/>
  <c r="K24" i="9" a="1"/>
  <c r="J33" i="4" a="1"/>
  <c r="P26" i="7" a="1"/>
  <c r="M26" i="4" a="1"/>
  <c r="N33" i="7" a="1"/>
  <c r="I277" i="4" a="1"/>
  <c r="K25" i="4" a="1"/>
  <c r="I259" i="7" a="1"/>
  <c r="P30" i="4" a="1"/>
  <c r="I273" i="9" a="1"/>
  <c r="L27" i="9" a="1"/>
  <c r="L32" i="11" a="1"/>
  <c r="I276" i="7" a="1"/>
  <c r="I258" i="9" a="1"/>
  <c r="K30" i="11" a="1"/>
  <c r="N28" i="9" a="1"/>
  <c r="P31" i="7" a="1"/>
  <c r="J30" i="11" a="1"/>
  <c r="O25" i="7" a="1"/>
  <c r="O25" i="9" a="1"/>
  <c r="N34" i="11" a="1"/>
  <c r="N32" i="11" a="1"/>
  <c r="N30" i="11" a="1"/>
  <c r="N28" i="11" a="1"/>
  <c r="N26" i="11" a="1"/>
  <c r="N24" i="11" a="1"/>
  <c r="J34" i="9" a="1"/>
  <c r="I272" i="9" a="1"/>
  <c r="O26" i="9" a="1"/>
  <c r="P25" i="7" a="1"/>
  <c r="I275" i="4" a="1"/>
  <c r="M23" i="7" a="1"/>
  <c r="I257" i="9" a="1"/>
  <c r="K33" i="9" a="1"/>
  <c r="O35" i="4" a="1"/>
  <c r="L29" i="9" a="1"/>
  <c r="K29" i="7" a="1"/>
  <c r="J26" i="7" a="1"/>
  <c r="M32" i="11" a="1"/>
  <c r="M30" i="11" a="1"/>
  <c r="M26" i="11" a="1"/>
  <c r="M24" i="11" a="1"/>
  <c r="I273" i="4" a="1"/>
  <c r="M24" i="4" a="1"/>
  <c r="I275" i="7" a="1"/>
  <c r="K23" i="7" a="1"/>
  <c r="K28" i="7" a="1"/>
  <c r="I274" i="9" a="1"/>
  <c r="L23" i="9" a="1"/>
  <c r="C7" i="4" a="1"/>
  <c r="O34" i="7" a="1"/>
  <c r="J33" i="9" a="1"/>
  <c r="N24" i="7" a="1"/>
  <c r="L29" i="7" a="1"/>
  <c r="M31" i="4" a="1"/>
  <c r="I274" i="4" a="1"/>
  <c r="N33" i="4" a="1"/>
  <c r="N26" i="7" a="1"/>
  <c r="O33" i="4" a="1"/>
  <c r="K25" i="7" a="1"/>
  <c r="G6" i="9" a="1"/>
  <c r="J29" i="4" a="1"/>
  <c r="I262" i="11" a="1"/>
  <c r="L33" i="9" a="1"/>
  <c r="J34" i="11" a="1"/>
  <c r="P28" i="7" a="1"/>
  <c r="K30" i="7" a="1"/>
  <c r="L31" i="9" a="1"/>
  <c r="O27" i="7" a="1"/>
  <c r="J32" i="9" a="1"/>
  <c r="I258" i="11" a="1"/>
  <c r="M29" i="7" a="1"/>
  <c r="C7" i="9" a="1"/>
  <c r="I274" i="7" a="1"/>
  <c r="I260" i="4" a="1"/>
  <c r="L30" i="9" a="1"/>
  <c r="J30" i="7" a="1"/>
  <c r="M32" i="9" a="1"/>
  <c r="I270" i="11" a="1"/>
  <c r="O29" i="7" a="1"/>
  <c r="B12" i="4" a="1"/>
  <c r="I276" i="11" a="1"/>
  <c r="B7" i="9" a="1"/>
  <c r="K30" i="9" a="1"/>
  <c r="K23" i="9" a="1"/>
  <c r="K35" i="9" a="1"/>
  <c r="L28" i="9" a="1"/>
  <c r="L28" i="4" a="1"/>
  <c r="N26" i="9" a="1"/>
  <c r="J35" i="7" a="1"/>
  <c r="L31" i="4" a="1"/>
  <c r="M27" i="4" a="1"/>
  <c r="O29" i="9" a="1"/>
  <c r="P34" i="4" a="1"/>
  <c r="N33" i="9" a="1"/>
  <c r="O32" i="4" a="1"/>
  <c r="G6" i="7" a="1"/>
  <c r="K24" i="7" a="1"/>
  <c r="K32" i="4" a="1"/>
  <c r="K24" i="4" a="1"/>
  <c r="O33" i="7" a="1"/>
  <c r="M25" i="7" a="1"/>
  <c r="P35" i="7" a="1"/>
  <c r="K26" i="4" a="1"/>
  <c r="P33" i="7" a="1"/>
  <c r="M31" i="9" a="1"/>
  <c r="M30" i="4" a="1"/>
  <c r="I272" i="4" a="1"/>
  <c r="M32" i="7" a="1"/>
  <c r="M35" i="11" a="1"/>
  <c r="M31" i="11" a="1"/>
  <c r="M29" i="11" a="1"/>
  <c r="M27" i="11" a="1"/>
  <c r="M25" i="11" a="1"/>
  <c r="M23" i="11" a="1"/>
  <c r="C7" i="11" a="1"/>
  <c r="M30" i="7" a="1"/>
  <c r="J34" i="4" a="1"/>
  <c r="I276" i="4" a="1"/>
  <c r="P25" i="4" a="1"/>
  <c r="I257" i="7" a="1"/>
  <c r="H6" i="11" a="1"/>
  <c r="O28" i="4" a="1"/>
  <c r="O34" i="9" a="1"/>
  <c r="L33" i="7" a="1"/>
  <c r="I265" i="4" a="1"/>
  <c r="I268" i="11" a="1"/>
  <c r="P35" i="11" a="1"/>
  <c r="P33" i="11" a="1"/>
  <c r="P31" i="11" a="1"/>
  <c r="P29" i="11" a="1"/>
  <c r="P27" i="11" a="1"/>
  <c r="P25" i="11" a="1"/>
  <c r="P23" i="11" a="1"/>
  <c r="H6" i="7" a="1"/>
  <c r="I268" i="9" a="1"/>
  <c r="N29" i="9" a="1"/>
  <c r="N34" i="4" a="1"/>
  <c r="O23" i="7" a="1"/>
  <c r="I271" i="7" a="1"/>
  <c r="L27" i="7" a="1"/>
  <c r="I257" i="4" a="1"/>
  <c r="O32" i="9" a="1"/>
  <c r="J27" i="7" a="1"/>
  <c r="O33" i="11" a="1"/>
  <c r="O31" i="11" a="1"/>
  <c r="O29" i="11" a="1"/>
  <c r="O25" i="11" a="1"/>
  <c r="O23" i="11" a="1"/>
  <c r="C7" i="7" a="1"/>
  <c r="M34" i="7" a="1"/>
  <c r="I265" i="7" a="1"/>
  <c r="O24" i="9" a="1"/>
  <c r="K33" i="7" a="1"/>
  <c r="J32" i="7" a="1"/>
  <c r="K34" i="4" a="1"/>
  <c r="B7" i="7" a="1"/>
  <c r="K26" i="9" a="1"/>
  <c r="N25" i="7" a="1"/>
  <c r="K34" i="9" a="1"/>
  <c r="K32" i="9" a="1"/>
  <c r="P32" i="7" a="1"/>
  <c r="I259" i="9" a="1"/>
  <c r="M29" i="4" a="1"/>
  <c r="O24" i="7" a="1"/>
  <c r="N29" i="4" a="1"/>
  <c r="J24" i="7" a="1"/>
  <c r="N35" i="9" a="1"/>
  <c r="P23" i="4" a="1"/>
  <c r="O25" i="4" a="1"/>
  <c r="L24" i="7" a="1"/>
  <c r="I270" i="7" a="1"/>
  <c r="K31" i="4" a="1"/>
  <c r="L32" i="9" a="1"/>
  <c r="M26" i="9" a="1"/>
  <c r="N25" i="4" a="1"/>
  <c r="K23" i="11" a="1"/>
  <c r="L35" i="4" a="1"/>
  <c r="N29" i="7" a="1"/>
  <c r="I273" i="7" a="1"/>
  <c r="I265" i="9" a="1"/>
  <c r="K35" i="4" a="1"/>
  <c r="I260" i="11" a="1"/>
  <c r="J30" i="4" a="1"/>
  <c r="O35" i="11" a="1"/>
  <c r="O27" i="11" a="1"/>
  <c r="B12" i="11" a="1"/>
  <c r="I264" i="4" a="1"/>
  <c r="O35" i="9" a="1"/>
  <c r="M27" i="7" a="1"/>
  <c r="O27" i="4" a="1"/>
  <c r="J28" i="9" a="1"/>
  <c r="M31" i="7" a="1"/>
  <c r="J34" i="7" a="1"/>
  <c r="J29" i="7" a="1"/>
  <c r="K31" i="9" a="1"/>
  <c r="N35" i="11" a="1"/>
  <c r="N33" i="11" a="1"/>
  <c r="N31" i="11" a="1"/>
  <c r="N29" i="11" a="1"/>
  <c r="N27" i="11" a="1"/>
  <c r="N25" i="11" a="1"/>
  <c r="N23" i="11" a="1"/>
  <c r="N34" i="9" a="1"/>
  <c r="L27" i="4" a="1"/>
  <c r="L34" i="7" a="1"/>
  <c r="L32" i="7" a="1"/>
  <c r="J35" i="4" a="1"/>
  <c r="N24" i="9" a="1"/>
  <c r="O34" i="4" a="1"/>
  <c r="K27" i="7" a="1"/>
  <c r="O28" i="9" a="1"/>
  <c r="M34" i="9" a="1"/>
  <c r="J23" i="4" a="1"/>
  <c r="I269" i="7" a="1"/>
  <c r="M33" i="11" a="1"/>
  <c r="K30" i="4" a="1"/>
  <c r="N26" i="4" a="1"/>
  <c r="N31" i="9" a="1"/>
  <c r="N28" i="4" a="1"/>
  <c r="P32" i="4" a="1"/>
  <c r="L23" i="4" a="1"/>
  <c r="M35" i="4" a="1"/>
  <c r="J27" i="9" a="1"/>
  <c r="K35" i="11" a="1"/>
  <c r="K33" i="11" a="1"/>
  <c r="K31" i="11" a="1"/>
  <c r="K29" i="11" a="1"/>
  <c r="K27" i="11" a="1"/>
  <c r="K25" i="11" a="1"/>
  <c r="P27" i="7" a="1"/>
  <c r="J35" i="9" a="1"/>
  <c r="J25" i="7" a="1"/>
  <c r="L29" i="4" a="1"/>
  <c r="O30" i="9" a="1"/>
  <c r="J31" i="11" a="1"/>
  <c r="J28" i="4" a="1"/>
  <c r="I258" i="4" a="1"/>
  <c r="I272" i="11" a="1"/>
  <c r="K29" i="9" a="1"/>
  <c r="L35" i="7" a="1"/>
  <c r="K34" i="7" a="1"/>
  <c r="M28" i="4" a="1"/>
  <c r="J30" i="9" a="1"/>
  <c r="M25" i="4" a="1"/>
  <c r="N23" i="9" a="1"/>
  <c r="M29" i="9" a="1"/>
  <c r="J24" i="9" a="1"/>
  <c r="P27" i="4" a="1"/>
  <c r="P28" i="4" a="1"/>
  <c r="P29" i="4" a="1"/>
  <c r="M25" i="9" a="1"/>
  <c r="I264" i="7" a="1"/>
  <c r="L35" i="11" a="1"/>
  <c r="L33" i="11" a="1"/>
  <c r="L31" i="11" a="1"/>
  <c r="L29" i="11" a="1"/>
  <c r="L27" i="11" a="1"/>
  <c r="L25" i="11" a="1"/>
  <c r="L23" i="11" a="1"/>
  <c r="B7" i="11" a="1"/>
  <c r="I261" i="4" a="1"/>
  <c r="P23" i="7" a="1"/>
  <c r="P28" i="9" a="1"/>
  <c r="I277" i="9" a="1"/>
  <c r="M23" i="9" a="1"/>
  <c r="L23" i="7" a="1"/>
  <c r="K29" i="4" a="1"/>
  <c r="J26" i="4" a="1"/>
  <c r="P32" i="9" a="1"/>
  <c r="P35" i="9" a="1"/>
  <c r="I267" i="9" a="1"/>
  <c r="L33" i="4" a="1"/>
  <c r="L30" i="4" a="1"/>
  <c r="O26" i="4" a="1"/>
  <c r="P30" i="9" a="1"/>
  <c r="I258" i="7" a="1"/>
  <c r="M35" i="7" a="1"/>
  <c r="N27" i="4" a="1"/>
  <c r="P24" i="9" a="1"/>
  <c r="J33" i="11" a="1"/>
  <c r="J27" i="11" a="1"/>
  <c r="G6" i="11" a="1"/>
  <c r="I275" i="9" a="1"/>
  <c r="L26" i="4" a="1"/>
  <c r="I264" i="11" a="1"/>
  <c r="K23" i="4" a="1"/>
  <c r="P33" i="4" a="1"/>
  <c r="O31" i="7" a="1"/>
  <c r="J35" i="11" a="1"/>
  <c r="J29" i="11" a="1"/>
  <c r="J23" i="11" a="1"/>
  <c r="K31" i="7" a="1"/>
  <c r="K28" i="9" a="1"/>
  <c r="I266" i="11" a="1"/>
  <c r="K26" i="7" a="1"/>
  <c r="K33" i="4" a="1"/>
  <c r="J31" i="9" a="1"/>
  <c r="B12" i="9" a="1"/>
  <c r="M30" i="9" a="1"/>
  <c r="I277" i="7" a="1"/>
  <c r="J28" i="7" a="1"/>
  <c r="J25" i="11" a="1"/>
  <c r="C19" i="11" l="1"/>
  <c r="J25" i="11"/>
  <c r="I266" i="11"/>
  <c r="J23" i="11"/>
  <c r="J29" i="11"/>
  <c r="J35" i="11"/>
  <c r="I264" i="11"/>
  <c r="G6" i="11"/>
  <c r="J27" i="11"/>
  <c r="J33" i="11"/>
  <c r="B7" i="11"/>
  <c r="L23" i="11"/>
  <c r="L25" i="11"/>
  <c r="L27" i="11"/>
  <c r="L29" i="11"/>
  <c r="L31" i="11"/>
  <c r="L33" i="11"/>
  <c r="L35" i="11"/>
  <c r="I272" i="11"/>
  <c r="J31" i="11"/>
  <c r="K25" i="11"/>
  <c r="K27" i="11"/>
  <c r="K29" i="11"/>
  <c r="K31" i="11"/>
  <c r="K33" i="11"/>
  <c r="K35" i="11"/>
  <c r="M33" i="11"/>
  <c r="N23" i="11"/>
  <c r="N25" i="11"/>
  <c r="N27" i="11"/>
  <c r="N29" i="11"/>
  <c r="N31" i="11"/>
  <c r="N33" i="11"/>
  <c r="N35" i="11"/>
  <c r="B12" i="11"/>
  <c r="O27" i="11"/>
  <c r="O35" i="11"/>
  <c r="I260" i="11"/>
  <c r="K23" i="11"/>
  <c r="O23" i="11"/>
  <c r="O25" i="11"/>
  <c r="O29" i="11"/>
  <c r="O31" i="11"/>
  <c r="O33" i="11"/>
  <c r="P23" i="11"/>
  <c r="P25" i="11"/>
  <c r="P27" i="11"/>
  <c r="P29" i="11"/>
  <c r="P31" i="11"/>
  <c r="P33" i="11"/>
  <c r="P35" i="11"/>
  <c r="I268" i="11"/>
  <c r="H6" i="11"/>
  <c r="C7" i="11"/>
  <c r="M23" i="11"/>
  <c r="M25" i="11"/>
  <c r="M27" i="11"/>
  <c r="M29" i="11"/>
  <c r="M31" i="11"/>
  <c r="M35" i="11"/>
  <c r="I276" i="11"/>
  <c r="I270" i="11"/>
  <c r="I258" i="11"/>
  <c r="J34" i="11"/>
  <c r="I262" i="11"/>
  <c r="M24" i="11"/>
  <c r="M26" i="11"/>
  <c r="M30" i="11"/>
  <c r="M32" i="11"/>
  <c r="N24" i="11"/>
  <c r="N26" i="11"/>
  <c r="N28" i="11"/>
  <c r="N30" i="11"/>
  <c r="N32" i="11"/>
  <c r="N34" i="11"/>
  <c r="J30" i="11"/>
  <c r="K30" i="11"/>
  <c r="L32" i="11"/>
  <c r="K26" i="11"/>
  <c r="K32" i="11"/>
  <c r="L26" i="11"/>
  <c r="L30" i="11"/>
  <c r="L24" i="11"/>
  <c r="M28" i="11"/>
  <c r="M34" i="11"/>
  <c r="O24" i="11"/>
  <c r="O26" i="11"/>
  <c r="O30" i="11"/>
  <c r="O32" i="11"/>
  <c r="P24" i="11"/>
  <c r="P28" i="11"/>
  <c r="H248" i="11" s="1" a="1"/>
  <c r="H248" i="11" s="1"/>
  <c r="P32" i="11"/>
  <c r="I274" i="11"/>
  <c r="J24" i="11"/>
  <c r="J26" i="11"/>
  <c r="J28" i="11"/>
  <c r="J32" i="11"/>
  <c r="K24" i="11"/>
  <c r="K28" i="11"/>
  <c r="K34" i="11"/>
  <c r="L28" i="11"/>
  <c r="L34" i="11"/>
  <c r="O28" i="11"/>
  <c r="O34" i="11"/>
  <c r="P26" i="11"/>
  <c r="P30" i="11"/>
  <c r="P34" i="11"/>
  <c r="I257" i="11"/>
  <c r="I259" i="11"/>
  <c r="I261" i="11"/>
  <c r="I263" i="11"/>
  <c r="I265" i="11"/>
  <c r="I267" i="11"/>
  <c r="I269" i="11"/>
  <c r="I271" i="11"/>
  <c r="I273" i="11"/>
  <c r="I275" i="11"/>
  <c r="I277" i="11"/>
  <c r="G247" i="11" a="1"/>
  <c r="G247" i="11" s="1"/>
  <c r="G250" i="11" a="1"/>
  <c r="G250" i="11" s="1"/>
  <c r="J22" i="11"/>
  <c r="L22" i="11"/>
  <c r="M22" i="11"/>
  <c r="N22" i="11"/>
  <c r="H6" i="4"/>
  <c r="G6" i="4"/>
  <c r="H6" i="9"/>
  <c r="G6" i="9"/>
  <c r="C7" i="9"/>
  <c r="B7" i="9"/>
  <c r="H6" i="7"/>
  <c r="G6" i="7"/>
  <c r="C7" i="7"/>
  <c r="B7" i="7"/>
  <c r="C7" i="4"/>
  <c r="B7" i="4"/>
  <c r="J23" i="7"/>
  <c r="C19" i="9"/>
  <c r="C19" i="4"/>
  <c r="J24" i="9"/>
  <c r="J28" i="9"/>
  <c r="K24" i="9"/>
  <c r="K28" i="9"/>
  <c r="L28" i="9"/>
  <c r="M34" i="9"/>
  <c r="O24" i="9"/>
  <c r="O32" i="9"/>
  <c r="P26" i="9"/>
  <c r="P34" i="9"/>
  <c r="J25" i="9"/>
  <c r="J27" i="9"/>
  <c r="K25" i="9"/>
  <c r="K27" i="9"/>
  <c r="L27" i="9"/>
  <c r="M27" i="9"/>
  <c r="N29" i="9"/>
  <c r="O35" i="9"/>
  <c r="J34" i="9"/>
  <c r="K32" i="9"/>
  <c r="L24" i="9"/>
  <c r="L26" i="9"/>
  <c r="M26" i="9"/>
  <c r="N34" i="9"/>
  <c r="O30" i="9"/>
  <c r="P28" i="9"/>
  <c r="J29" i="9"/>
  <c r="K29" i="9"/>
  <c r="L35" i="9"/>
  <c r="M35" i="9"/>
  <c r="N23" i="9"/>
  <c r="N33" i="9"/>
  <c r="O23" i="9"/>
  <c r="O31" i="9"/>
  <c r="P23" i="9"/>
  <c r="P25" i="9"/>
  <c r="P29" i="9"/>
  <c r="P31" i="9"/>
  <c r="P33" i="9"/>
  <c r="P35" i="9"/>
  <c r="J30" i="9"/>
  <c r="K30" i="9"/>
  <c r="L34" i="9"/>
  <c r="M28" i="9"/>
  <c r="N26" i="9"/>
  <c r="N30" i="9"/>
  <c r="O34" i="9"/>
  <c r="P24" i="9"/>
  <c r="P32" i="9"/>
  <c r="J23" i="9"/>
  <c r="J33" i="9"/>
  <c r="K35" i="9"/>
  <c r="L23" i="9"/>
  <c r="L33" i="9"/>
  <c r="M25" i="9"/>
  <c r="M33" i="9"/>
  <c r="N35" i="9"/>
  <c r="O25" i="9"/>
  <c r="O29" i="9"/>
  <c r="P27" i="9"/>
  <c r="J32" i="9"/>
  <c r="K34" i="9"/>
  <c r="L30" i="9"/>
  <c r="M30" i="9"/>
  <c r="N24" i="9"/>
  <c r="N32" i="9"/>
  <c r="O28" i="9"/>
  <c r="J35" i="9"/>
  <c r="K23" i="9"/>
  <c r="K31" i="9"/>
  <c r="L29" i="9"/>
  <c r="M23" i="9"/>
  <c r="M31" i="9"/>
  <c r="N25" i="9"/>
  <c r="N31" i="9"/>
  <c r="O27" i="9"/>
  <c r="O33" i="9"/>
  <c r="J26" i="9"/>
  <c r="K26" i="9"/>
  <c r="L32" i="9"/>
  <c r="M24" i="9"/>
  <c r="M32" i="9"/>
  <c r="N28" i="9"/>
  <c r="O26" i="9"/>
  <c r="P30" i="9"/>
  <c r="J31" i="9"/>
  <c r="K33" i="9"/>
  <c r="L25" i="9"/>
  <c r="L31" i="9"/>
  <c r="M29" i="9"/>
  <c r="N27" i="9"/>
  <c r="B12" i="9"/>
  <c r="K24" i="7"/>
  <c r="J26" i="7"/>
  <c r="J32" i="7"/>
  <c r="K28" i="7"/>
  <c r="K30" i="7"/>
  <c r="L26" i="7"/>
  <c r="L32" i="7"/>
  <c r="M28" i="7"/>
  <c r="M32" i="7"/>
  <c r="N26" i="7"/>
  <c r="N34" i="7"/>
  <c r="O28" i="7"/>
  <c r="O32" i="7"/>
  <c r="P24" i="7"/>
  <c r="P26" i="7"/>
  <c r="P30" i="7"/>
  <c r="P34" i="7"/>
  <c r="J25" i="7"/>
  <c r="J35" i="7"/>
  <c r="K23" i="7"/>
  <c r="K29" i="7"/>
  <c r="L29" i="7"/>
  <c r="L33" i="7"/>
  <c r="M25" i="7"/>
  <c r="M33" i="7"/>
  <c r="N23" i="7"/>
  <c r="N29" i="7"/>
  <c r="N33" i="7"/>
  <c r="O23" i="7"/>
  <c r="O27" i="7"/>
  <c r="O33" i="7"/>
  <c r="P23" i="7"/>
  <c r="P25" i="7"/>
  <c r="P27" i="7"/>
  <c r="P29" i="7"/>
  <c r="P31" i="7"/>
  <c r="P33" i="7"/>
  <c r="P35" i="7"/>
  <c r="J28" i="7"/>
  <c r="J34" i="7"/>
  <c r="K26" i="7"/>
  <c r="K32" i="7"/>
  <c r="L28" i="7"/>
  <c r="L34" i="7"/>
  <c r="M24" i="7"/>
  <c r="M34" i="7"/>
  <c r="N24" i="7"/>
  <c r="N30" i="7"/>
  <c r="O26" i="7"/>
  <c r="O34" i="7"/>
  <c r="P28" i="7"/>
  <c r="J27" i="7"/>
  <c r="J33" i="7"/>
  <c r="K25" i="7"/>
  <c r="K31" i="7"/>
  <c r="K33" i="7"/>
  <c r="K35" i="7"/>
  <c r="L25" i="7"/>
  <c r="L35" i="7"/>
  <c r="M23" i="7"/>
  <c r="M27" i="7"/>
  <c r="M31" i="7"/>
  <c r="N27" i="7"/>
  <c r="N31" i="7"/>
  <c r="O25" i="7"/>
  <c r="O31" i="7"/>
  <c r="J24" i="7"/>
  <c r="J30" i="7"/>
  <c r="K34" i="7"/>
  <c r="L24" i="7"/>
  <c r="L30" i="7"/>
  <c r="M26" i="7"/>
  <c r="M30" i="7"/>
  <c r="N28" i="7"/>
  <c r="N32" i="7"/>
  <c r="O24" i="7"/>
  <c r="O30" i="7"/>
  <c r="P32" i="7"/>
  <c r="J29" i="7"/>
  <c r="J31" i="7"/>
  <c r="K27" i="7"/>
  <c r="L23" i="7"/>
  <c r="L27" i="7"/>
  <c r="L31" i="7"/>
  <c r="M29" i="7"/>
  <c r="M35" i="7"/>
  <c r="N25" i="7"/>
  <c r="N35" i="7"/>
  <c r="O29" i="7"/>
  <c r="O35" i="7"/>
  <c r="B12" i="7"/>
  <c r="L24" i="4"/>
  <c r="M32" i="4"/>
  <c r="N24" i="4"/>
  <c r="O32" i="4"/>
  <c r="P24" i="4"/>
  <c r="J29" i="4"/>
  <c r="K33" i="4"/>
  <c r="L25" i="4"/>
  <c r="M33" i="4"/>
  <c r="N29" i="4"/>
  <c r="O33" i="4"/>
  <c r="P25" i="4"/>
  <c r="J26" i="4"/>
  <c r="K34" i="4"/>
  <c r="L26" i="4"/>
  <c r="M34" i="4"/>
  <c r="J27" i="4"/>
  <c r="J35" i="4"/>
  <c r="K23" i="4"/>
  <c r="K27" i="4"/>
  <c r="K31" i="4"/>
  <c r="K35" i="4"/>
  <c r="L23" i="4"/>
  <c r="L27" i="4"/>
  <c r="L31" i="4"/>
  <c r="L35" i="4"/>
  <c r="M23" i="4"/>
  <c r="M27" i="4"/>
  <c r="M31" i="4"/>
  <c r="M35" i="4"/>
  <c r="N23" i="4"/>
  <c r="N27" i="4"/>
  <c r="N31" i="4"/>
  <c r="N35" i="4"/>
  <c r="O23" i="4"/>
  <c r="O27" i="4"/>
  <c r="O31" i="4"/>
  <c r="O35" i="4"/>
  <c r="P23" i="4"/>
  <c r="P27" i="4"/>
  <c r="P31" i="4"/>
  <c r="P35" i="4"/>
  <c r="L28" i="4"/>
  <c r="M24" i="4"/>
  <c r="N28" i="4"/>
  <c r="O28" i="4"/>
  <c r="P28" i="4"/>
  <c r="J25" i="4"/>
  <c r="K29" i="4"/>
  <c r="L29" i="4"/>
  <c r="M29" i="4"/>
  <c r="N25" i="4"/>
  <c r="O25" i="4"/>
  <c r="P33" i="4"/>
  <c r="J30" i="4"/>
  <c r="K26" i="4"/>
  <c r="L34" i="4"/>
  <c r="M30" i="4"/>
  <c r="N34" i="4"/>
  <c r="O26" i="4"/>
  <c r="O30" i="4"/>
  <c r="P26" i="4"/>
  <c r="P34" i="4"/>
  <c r="J24" i="4"/>
  <c r="J28" i="4"/>
  <c r="J32" i="4"/>
  <c r="L32" i="4"/>
  <c r="M28" i="4"/>
  <c r="N32" i="4"/>
  <c r="O24" i="4"/>
  <c r="P32" i="4"/>
  <c r="J33" i="4"/>
  <c r="K25" i="4"/>
  <c r="L33" i="4"/>
  <c r="M25" i="4"/>
  <c r="N33" i="4"/>
  <c r="O29" i="4"/>
  <c r="P29" i="4"/>
  <c r="J34" i="4"/>
  <c r="K30" i="4"/>
  <c r="L30" i="4"/>
  <c r="M26" i="4"/>
  <c r="N26" i="4"/>
  <c r="N30" i="4"/>
  <c r="O34" i="4"/>
  <c r="P30" i="4"/>
  <c r="J31" i="4"/>
  <c r="K24" i="4"/>
  <c r="K28" i="4"/>
  <c r="K32" i="4"/>
  <c r="J23" i="4"/>
  <c r="B12" i="4"/>
  <c r="C12" i="4" s="1"/>
  <c r="I276" i="9"/>
  <c r="I260" i="9"/>
  <c r="I274" i="9"/>
  <c r="I266" i="9"/>
  <c r="I268" i="9"/>
  <c r="I262" i="9"/>
  <c r="I272" i="9"/>
  <c r="I257" i="9"/>
  <c r="I259" i="9"/>
  <c r="I261" i="9"/>
  <c r="I263" i="9"/>
  <c r="I265" i="9"/>
  <c r="I267" i="9"/>
  <c r="I269" i="9"/>
  <c r="I271" i="9"/>
  <c r="I273" i="9"/>
  <c r="I275" i="9"/>
  <c r="I277" i="9"/>
  <c r="I258" i="9"/>
  <c r="I264" i="9"/>
  <c r="I270" i="9"/>
  <c r="I268" i="7"/>
  <c r="I266" i="7"/>
  <c r="I258" i="7"/>
  <c r="I276" i="7"/>
  <c r="I264" i="7"/>
  <c r="I270" i="7"/>
  <c r="I262" i="7"/>
  <c r="I272" i="7"/>
  <c r="I257" i="7"/>
  <c r="I259" i="7"/>
  <c r="I261" i="7"/>
  <c r="I263" i="7"/>
  <c r="I265" i="7"/>
  <c r="I267" i="7"/>
  <c r="I269" i="7"/>
  <c r="I271" i="7"/>
  <c r="I273" i="7"/>
  <c r="I275" i="7"/>
  <c r="I277" i="7"/>
  <c r="I260" i="7"/>
  <c r="I274" i="7"/>
  <c r="I262" i="4"/>
  <c r="I275" i="4"/>
  <c r="I259" i="4"/>
  <c r="I272" i="4"/>
  <c r="I276" i="4"/>
  <c r="I260" i="4"/>
  <c r="I273" i="4"/>
  <c r="I266" i="4"/>
  <c r="I270" i="4"/>
  <c r="I265" i="4"/>
  <c r="I267" i="4"/>
  <c r="I257" i="4"/>
  <c r="I264" i="4"/>
  <c r="I261" i="4"/>
  <c r="I277" i="4"/>
  <c r="I258" i="4"/>
  <c r="I268" i="4"/>
  <c r="I269" i="4"/>
  <c r="I263" i="4"/>
  <c r="I271" i="4"/>
  <c r="I274" i="4"/>
  <c r="C2" i="7"/>
  <c r="C3" i="9"/>
  <c r="C3" i="7"/>
  <c r="C9" i="4"/>
  <c r="C3" i="4"/>
  <c r="C9" i="9"/>
  <c r="C6" i="9"/>
  <c r="C2" i="9"/>
  <c r="C9" i="7"/>
  <c r="C6" i="7"/>
  <c r="C6" i="4"/>
  <c r="C2" i="4"/>
  <c r="H249" i="11" l="1" a="1"/>
  <c r="H249" i="11" s="1"/>
  <c r="B247" i="11" a="1"/>
  <c r="B247" i="11" s="1"/>
  <c r="B249" i="11" a="1"/>
  <c r="B249" i="11" s="1"/>
  <c r="B250" i="11" a="1"/>
  <c r="B250" i="11" s="1"/>
  <c r="B248" i="11" a="1"/>
  <c r="B248" i="11" s="1"/>
  <c r="H250" i="11" a="1"/>
  <c r="H250" i="11" s="1"/>
  <c r="H247" i="11" a="1"/>
  <c r="H247" i="11" s="1"/>
  <c r="F247" i="11" a="1"/>
  <c r="F247" i="11" s="1"/>
  <c r="F249" i="11" a="1"/>
  <c r="F249" i="11" s="1"/>
  <c r="F250" i="11" a="1"/>
  <c r="F250" i="11" s="1"/>
  <c r="F248" i="11" a="1"/>
  <c r="F248" i="11" s="1"/>
  <c r="D249" i="11" a="1"/>
  <c r="D249" i="11" s="1"/>
  <c r="D247" i="11" a="1"/>
  <c r="D247" i="11" s="1"/>
  <c r="D250" i="11" a="1"/>
  <c r="D250" i="11" s="1"/>
  <c r="D248" i="11" a="1"/>
  <c r="D248" i="11" s="1"/>
  <c r="G249" i="11" a="1"/>
  <c r="G249" i="11" s="1"/>
  <c r="G248" i="11" a="1"/>
  <c r="G248" i="11" s="1"/>
  <c r="C249" i="11" a="1"/>
  <c r="C249" i="11" s="1"/>
  <c r="C247" i="11" a="1"/>
  <c r="C247" i="11" s="1"/>
  <c r="C248" i="11" a="1"/>
  <c r="C248" i="11" s="1"/>
  <c r="C250" i="11" a="1"/>
  <c r="C250" i="11" s="1"/>
  <c r="B18" i="4"/>
  <c r="D16" i="4" s="1"/>
  <c r="B18" i="11"/>
  <c r="C12" i="11"/>
  <c r="E247" i="11" a="1"/>
  <c r="E247" i="11" s="1"/>
  <c r="E249" i="11" a="1"/>
  <c r="E249" i="11" s="1"/>
  <c r="E250" i="11" a="1"/>
  <c r="E250" i="11" s="1"/>
  <c r="E248" i="11" a="1"/>
  <c r="E248" i="11" s="1"/>
  <c r="B247" i="7" a="1"/>
  <c r="B247" i="7" s="1"/>
  <c r="B249" i="4" a="1"/>
  <c r="B249" i="4" s="1"/>
  <c r="B247" i="4" a="1"/>
  <c r="B247" i="4" s="1"/>
  <c r="B248" i="4" a="1"/>
  <c r="B248" i="4" s="1"/>
  <c r="C12" i="9"/>
  <c r="B18" i="9"/>
  <c r="E250" i="9" a="1"/>
  <c r="E250" i="9" s="1"/>
  <c r="E248" i="9" a="1"/>
  <c r="E248" i="9" s="1"/>
  <c r="E249" i="9" a="1"/>
  <c r="E249" i="9" s="1"/>
  <c r="E247" i="9" a="1"/>
  <c r="E247" i="9" s="1"/>
  <c r="C12" i="7"/>
  <c r="B18" i="7"/>
  <c r="F249" i="7" a="1"/>
  <c r="F249" i="7" s="1"/>
  <c r="F247" i="7" a="1"/>
  <c r="F247" i="7" s="1"/>
  <c r="F250" i="7" a="1"/>
  <c r="F250" i="7" s="1"/>
  <c r="F248" i="7" a="1"/>
  <c r="F248" i="7" s="1"/>
  <c r="G250" i="7" a="1"/>
  <c r="G250" i="7" s="1"/>
  <c r="G249" i="7" a="1"/>
  <c r="G249" i="7" s="1"/>
  <c r="G248" i="7" a="1"/>
  <c r="G248" i="7" s="1"/>
  <c r="G247" i="7" a="1"/>
  <c r="G247" i="7" s="1"/>
  <c r="C249" i="7" a="1"/>
  <c r="C249" i="7" s="1"/>
  <c r="C250" i="7" a="1"/>
  <c r="C250" i="7" s="1"/>
  <c r="C248" i="7" a="1"/>
  <c r="C248" i="7" s="1"/>
  <c r="C247" i="7" a="1"/>
  <c r="C247" i="7" s="1"/>
  <c r="D247" i="7" a="1"/>
  <c r="D247" i="7" s="1"/>
  <c r="D248" i="7" a="1"/>
  <c r="D248" i="7" s="1"/>
  <c r="D250" i="7" a="1"/>
  <c r="D250" i="7" s="1"/>
  <c r="D249" i="7" a="1"/>
  <c r="D249" i="7" s="1"/>
  <c r="E247" i="7" a="1"/>
  <c r="E247" i="7" s="1"/>
  <c r="E250" i="7" a="1"/>
  <c r="E250" i="7" s="1"/>
  <c r="E248" i="7" a="1"/>
  <c r="E248" i="7" s="1"/>
  <c r="E249" i="7" a="1"/>
  <c r="E249" i="7" s="1"/>
  <c r="H249" i="7" a="1"/>
  <c r="H249" i="7" s="1"/>
  <c r="H248" i="7" a="1"/>
  <c r="H248" i="7" s="1"/>
  <c r="H250" i="7" a="1"/>
  <c r="H250" i="7" s="1"/>
  <c r="H247" i="7" a="1"/>
  <c r="H247" i="7" s="1"/>
  <c r="G247" i="4" a="1"/>
  <c r="G247" i="4" s="1"/>
  <c r="G250" i="4" a="1"/>
  <c r="G250" i="4" s="1"/>
  <c r="G249" i="4" a="1"/>
  <c r="G249" i="4" s="1"/>
  <c r="G248" i="4" a="1"/>
  <c r="G248" i="4" s="1"/>
  <c r="H247" i="4" a="1"/>
  <c r="H247" i="4" s="1"/>
  <c r="H250" i="4" a="1"/>
  <c r="H250" i="4" s="1"/>
  <c r="H249" i="4" a="1"/>
  <c r="H249" i="4" s="1"/>
  <c r="H248" i="4" a="1"/>
  <c r="H248" i="4" s="1"/>
  <c r="F247" i="4" a="1"/>
  <c r="F247" i="4" s="1"/>
  <c r="F250" i="4" a="1"/>
  <c r="F250" i="4" s="1"/>
  <c r="F249" i="4" a="1"/>
  <c r="F249" i="4" s="1"/>
  <c r="F248" i="4" a="1"/>
  <c r="F248" i="4" s="1"/>
  <c r="H268" i="4" a="1"/>
  <c r="G258" i="7" a="1"/>
  <c r="B259" i="4" a="1"/>
  <c r="F277" i="7" a="1"/>
  <c r="H273" i="4" a="1"/>
  <c r="F263" i="7" a="1"/>
  <c r="B271" i="4" a="1"/>
  <c r="D272" i="7" a="1"/>
  <c r="F267" i="7" a="1"/>
  <c r="F269" i="4" a="1"/>
  <c r="C268" i="7" a="1"/>
  <c r="H274" i="4" a="1"/>
  <c r="E257" i="7" a="1"/>
  <c r="F271" i="4" a="1"/>
  <c r="H264" i="7" a="1"/>
  <c r="F258" i="11" a="1"/>
  <c r="F260" i="11" a="1"/>
  <c r="F262" i="11" a="1"/>
  <c r="F264" i="11" a="1"/>
  <c r="F266" i="11" a="1"/>
  <c r="F268" i="11" a="1"/>
  <c r="F270" i="11" a="1"/>
  <c r="F272" i="11" a="1"/>
  <c r="F274" i="11" a="1"/>
  <c r="F276" i="11" a="1"/>
  <c r="F257" i="11" a="1"/>
  <c r="F259" i="11" a="1"/>
  <c r="F261" i="11" a="1"/>
  <c r="F263" i="11" a="1"/>
  <c r="F265" i="11" a="1"/>
  <c r="F267" i="11" a="1"/>
  <c r="F269" i="11" a="1"/>
  <c r="F271" i="11" a="1"/>
  <c r="F273" i="11" a="1"/>
  <c r="F275" i="11" a="1"/>
  <c r="F277" i="11" a="1"/>
  <c r="H262" i="4" a="1"/>
  <c r="H267" i="4" a="1"/>
  <c r="B266" i="4" a="1"/>
  <c r="D258" i="11" a="1"/>
  <c r="D260" i="11" a="1"/>
  <c r="D262" i="11" a="1"/>
  <c r="D264" i="11" a="1"/>
  <c r="D266" i="11" a="1"/>
  <c r="D268" i="11" a="1"/>
  <c r="D270" i="11" a="1"/>
  <c r="D272" i="11" a="1"/>
  <c r="D274" i="11" a="1"/>
  <c r="D276" i="11" a="1"/>
  <c r="D277" i="11" a="1"/>
  <c r="D269" i="11" a="1"/>
  <c r="D257" i="11" a="1"/>
  <c r="D275" i="11" a="1"/>
  <c r="D259" i="11" a="1"/>
  <c r="D261" i="11" a="1"/>
  <c r="D263" i="11" a="1"/>
  <c r="D265" i="11" a="1"/>
  <c r="D267" i="11" a="1"/>
  <c r="D273" i="11" a="1"/>
  <c r="D271" i="11" a="1"/>
  <c r="E273" i="7" a="1"/>
  <c r="E259" i="9" a="1"/>
  <c r="E263" i="7" a="1"/>
  <c r="F265" i="7" a="1"/>
  <c r="B260" i="4" a="1"/>
  <c r="D277" i="7" a="1"/>
  <c r="B262" i="4" a="1"/>
  <c r="E277" i="7" a="1"/>
  <c r="D267" i="7" a="1"/>
  <c r="C270" i="7" a="1"/>
  <c r="B258" i="11" a="1"/>
  <c r="B268" i="11" a="1"/>
  <c r="B266" i="11" a="1"/>
  <c r="B260" i="11" a="1"/>
  <c r="B274" i="11" a="1"/>
  <c r="B272" i="11" a="1"/>
  <c r="B276" i="11" a="1"/>
  <c r="B270" i="11" a="1"/>
  <c r="B262" i="11" a="1"/>
  <c r="B264" i="11" a="1"/>
  <c r="B267" i="11" a="1"/>
  <c r="B263" i="11" a="1"/>
  <c r="B277" i="11" a="1"/>
  <c r="B257" i="11" a="1"/>
  <c r="B259" i="11" a="1"/>
  <c r="B261" i="11" a="1"/>
  <c r="B269" i="11" a="1"/>
  <c r="B271" i="11" a="1"/>
  <c r="B273" i="11" a="1"/>
  <c r="B275" i="11" a="1"/>
  <c r="B265" i="11" a="1"/>
  <c r="C259" i="7" a="1"/>
  <c r="F259" i="4" a="1"/>
  <c r="B257" i="4" a="1"/>
  <c r="H270" i="4" a="1"/>
  <c r="H271" i="4" a="1"/>
  <c r="G266" i="4" a="1"/>
  <c r="C272" i="7" a="1"/>
  <c r="G258" i="4" a="1"/>
  <c r="B264" i="4" a="1"/>
  <c r="H265" i="7" a="1"/>
  <c r="G264" i="4" a="1"/>
  <c r="E268" i="7" a="1"/>
  <c r="F264" i="4" a="1"/>
  <c r="E264" i="7" a="1"/>
  <c r="H261" i="4" a="1"/>
  <c r="G259" i="7" a="1"/>
  <c r="H268" i="7" a="1"/>
  <c r="H261" i="7" a="1"/>
  <c r="D257" i="7" a="1"/>
  <c r="C277" i="7" a="1"/>
  <c r="H267" i="7" a="1"/>
  <c r="F265" i="4" a="1"/>
  <c r="B261" i="4" a="1"/>
  <c r="G275" i="7" a="1"/>
  <c r="G277" i="4" a="1"/>
  <c r="E277" i="9" a="1"/>
  <c r="E257" i="9" a="1"/>
  <c r="E262" i="9" a="1"/>
  <c r="F261" i="4" a="1"/>
  <c r="C266" i="7" a="1"/>
  <c r="D273" i="7" a="1"/>
  <c r="E272" i="7" a="1"/>
  <c r="G268" i="7" a="1"/>
  <c r="G257" i="4" a="1"/>
  <c r="D276" i="7" a="1"/>
  <c r="H275" i="7" a="1"/>
  <c r="G257" i="7" a="1"/>
  <c r="E258" i="9" a="1"/>
  <c r="E260" i="9" a="1"/>
  <c r="F270" i="4" a="1"/>
  <c r="G276" i="4" a="1"/>
  <c r="F275" i="4" a="1"/>
  <c r="E266" i="7" a="1"/>
  <c r="E263" i="9" a="1"/>
  <c r="H277" i="4" a="1"/>
  <c r="F272" i="7" a="1"/>
  <c r="C263" i="7" a="1"/>
  <c r="G265" i="4" a="1"/>
  <c r="E274" i="9" a="1"/>
  <c r="H276" i="7" a="1"/>
  <c r="C262" i="7" a="1"/>
  <c r="D261" i="7" a="1"/>
  <c r="E270" i="9" a="1"/>
  <c r="G277" i="7" a="1"/>
  <c r="F264" i="7" a="1"/>
  <c r="B268" i="4" a="1"/>
  <c r="G263" i="7" a="1"/>
  <c r="H258" i="7" a="1"/>
  <c r="G269" i="4" a="1"/>
  <c r="E260" i="7" a="1"/>
  <c r="F266" i="4" a="1"/>
  <c r="F276" i="4" a="1"/>
  <c r="E267" i="7" a="1"/>
  <c r="B263" i="4" a="1"/>
  <c r="D270" i="7" a="1"/>
  <c r="G274" i="7" a="1"/>
  <c r="D266" i="7" a="1"/>
  <c r="F267" i="4" a="1"/>
  <c r="H277" i="7" a="1"/>
  <c r="E272" i="9" a="1"/>
  <c r="H266" i="4" a="1"/>
  <c r="G275" i="4" a="1"/>
  <c r="E276" i="11" a="1"/>
  <c r="E258" i="11" a="1"/>
  <c r="E262" i="11" a="1"/>
  <c r="E264" i="11" a="1"/>
  <c r="E266" i="11" a="1"/>
  <c r="E268" i="11" a="1"/>
  <c r="E274" i="11" a="1"/>
  <c r="E272" i="11" a="1"/>
  <c r="E260" i="11" a="1"/>
  <c r="E270" i="11" a="1"/>
  <c r="E257" i="11" a="1"/>
  <c r="E277" i="11" a="1"/>
  <c r="E271" i="11" a="1"/>
  <c r="E259" i="11" a="1"/>
  <c r="E263" i="11" a="1"/>
  <c r="E265" i="11" a="1"/>
  <c r="E267" i="11" a="1"/>
  <c r="E275" i="11" a="1"/>
  <c r="E269" i="11" a="1"/>
  <c r="E261" i="11" a="1"/>
  <c r="E273" i="11" a="1"/>
  <c r="H257" i="7" a="1"/>
  <c r="D271" i="7" a="1"/>
  <c r="C265" i="7" a="1"/>
  <c r="E261" i="7" a="1"/>
  <c r="E270" i="7" a="1"/>
  <c r="H274" i="7" a="1"/>
  <c r="G270" i="7" a="1"/>
  <c r="H259" i="7" a="1"/>
  <c r="D262" i="7" a="1"/>
  <c r="G273" i="4" a="1"/>
  <c r="B267" i="4" a="1"/>
  <c r="G261" i="4" a="1"/>
  <c r="E269" i="7" a="1"/>
  <c r="H269" i="7" a="1"/>
  <c r="G267" i="7" a="1"/>
  <c r="E268" i="9" a="1"/>
  <c r="F262" i="7" a="1"/>
  <c r="E265" i="7" a="1"/>
  <c r="E276" i="9" a="1"/>
  <c r="F274" i="7" a="1"/>
  <c r="G259" i="4" a="1"/>
  <c r="E271" i="9" a="1"/>
  <c r="D263" i="7" a="1"/>
  <c r="H260" i="4" a="1"/>
  <c r="H273" i="7" a="1"/>
  <c r="F268" i="7" a="1"/>
  <c r="F277" i="4" a="1"/>
  <c r="H276" i="4" a="1"/>
  <c r="G273" i="7" a="1"/>
  <c r="C264" i="7" a="1"/>
  <c r="B273" i="4" a="1"/>
  <c r="B272" i="4" a="1"/>
  <c r="B269" i="4" a="1"/>
  <c r="G270" i="4" a="1"/>
  <c r="B265" i="4" a="1"/>
  <c r="G271" i="4" a="1"/>
  <c r="G260" i="7" a="1"/>
  <c r="C267" i="7" a="1"/>
  <c r="H270" i="7" a="1"/>
  <c r="C258" i="7" a="1"/>
  <c r="B270" i="4" a="1"/>
  <c r="D258" i="7" a="1"/>
  <c r="H262" i="7" a="1"/>
  <c r="H258" i="11" a="1"/>
  <c r="H260" i="11" a="1"/>
  <c r="H262" i="11" a="1"/>
  <c r="H264" i="11" a="1"/>
  <c r="H266" i="11" a="1"/>
  <c r="H268" i="11" a="1"/>
  <c r="H270" i="11" a="1"/>
  <c r="H272" i="11" a="1"/>
  <c r="H274" i="11" a="1"/>
  <c r="H276" i="11" a="1"/>
  <c r="H257" i="11" a="1"/>
  <c r="H259" i="11" a="1"/>
  <c r="H261" i="11" a="1"/>
  <c r="H263" i="11" a="1"/>
  <c r="H265" i="11" a="1"/>
  <c r="H267" i="11" a="1"/>
  <c r="H269" i="11" a="1"/>
  <c r="H271" i="11" a="1"/>
  <c r="H273" i="11" a="1"/>
  <c r="H275" i="11" a="1"/>
  <c r="H277" i="11" a="1"/>
  <c r="H266" i="7" a="1"/>
  <c r="H265" i="4" a="1"/>
  <c r="C260" i="7" a="1"/>
  <c r="H272" i="7" a="1"/>
  <c r="F270" i="7" a="1"/>
  <c r="H258" i="4" a="1"/>
  <c r="G262" i="7" a="1"/>
  <c r="G277" i="11" a="1"/>
  <c r="G275" i="11" a="1"/>
  <c r="G273" i="11" a="1"/>
  <c r="G271" i="11" a="1"/>
  <c r="G269" i="11" a="1"/>
  <c r="G267" i="11" a="1"/>
  <c r="G265" i="11" a="1"/>
  <c r="G263" i="11" a="1"/>
  <c r="G261" i="11" a="1"/>
  <c r="G259" i="11" a="1"/>
  <c r="G257" i="11" a="1"/>
  <c r="G276" i="11" a="1"/>
  <c r="G268" i="11" a="1"/>
  <c r="G266" i="11" a="1"/>
  <c r="G264" i="11" a="1"/>
  <c r="G260" i="11" a="1"/>
  <c r="G258" i="11" a="1"/>
  <c r="G270" i="11" a="1"/>
  <c r="G272" i="11" a="1"/>
  <c r="G262" i="11" a="1"/>
  <c r="G274" i="11" a="1"/>
  <c r="F266" i="7" a="1"/>
  <c r="E276" i="7" a="1"/>
  <c r="F273" i="7" a="1"/>
  <c r="F268" i="4" a="1"/>
  <c r="G269" i="7" a="1"/>
  <c r="D265" i="7" a="1"/>
  <c r="G266" i="7" a="1"/>
  <c r="C273" i="7" a="1"/>
  <c r="F269" i="7" a="1"/>
  <c r="E275" i="7" a="1"/>
  <c r="F272" i="4" a="1"/>
  <c r="H263" i="7" a="1"/>
  <c r="F260" i="7" a="1"/>
  <c r="E262" i="7" a="1"/>
  <c r="H257" i="4" a="1"/>
  <c r="F273" i="4" a="1"/>
  <c r="B258" i="4" a="1"/>
  <c r="B275" i="4" a="1"/>
  <c r="H275" i="4" a="1"/>
  <c r="F263" i="4" a="1"/>
  <c r="H272" i="4" a="1"/>
  <c r="F257" i="7" a="1"/>
  <c r="G272" i="4" a="1"/>
  <c r="F274" i="4" a="1"/>
  <c r="C271" i="7" a="1"/>
  <c r="B277" i="4" a="1"/>
  <c r="G276" i="7" a="1"/>
  <c r="H260" i="7" a="1"/>
  <c r="G271" i="7" a="1"/>
  <c r="C274" i="7" a="1"/>
  <c r="C276" i="7" a="1"/>
  <c r="C257" i="7" a="1"/>
  <c r="G263" i="4" a="1"/>
  <c r="E274" i="7" a="1"/>
  <c r="G264" i="7" a="1"/>
  <c r="F257" i="4" a="1"/>
  <c r="F271" i="7" a="1"/>
  <c r="H271" i="7" a="1"/>
  <c r="H264" i="4" a="1"/>
  <c r="C269" i="7" a="1"/>
  <c r="G260" i="4" a="1"/>
  <c r="E259" i="7" a="1"/>
  <c r="G262" i="4" a="1"/>
  <c r="E261" i="9" a="1"/>
  <c r="F262" i="4" a="1"/>
  <c r="B276" i="4" a="1"/>
  <c r="E265" i="9" a="1"/>
  <c r="D259" i="7" a="1"/>
  <c r="G268" i="4" a="1"/>
  <c r="G274" i="4" a="1"/>
  <c r="C272" i="11" a="1"/>
  <c r="C264" i="11" a="1"/>
  <c r="C276" i="11" a="1"/>
  <c r="C274" i="11" a="1"/>
  <c r="C260" i="11" a="1"/>
  <c r="C268" i="11" a="1"/>
  <c r="C270" i="11" a="1"/>
  <c r="C258" i="11" a="1"/>
  <c r="C262" i="11" a="1"/>
  <c r="C266" i="11" a="1"/>
  <c r="C277" i="11" a="1"/>
  <c r="C275" i="11" a="1"/>
  <c r="C269" i="11" a="1"/>
  <c r="C257" i="11" a="1"/>
  <c r="C259" i="11" a="1"/>
  <c r="C263" i="11" a="1"/>
  <c r="C265" i="11" a="1"/>
  <c r="C271" i="11" a="1"/>
  <c r="C261" i="11" a="1"/>
  <c r="C267" i="11" a="1"/>
  <c r="C273" i="11" a="1"/>
  <c r="D264" i="7" a="1"/>
  <c r="D275" i="7" a="1"/>
  <c r="F261" i="7" a="1"/>
  <c r="F260" i="4" a="1"/>
  <c r="E264" i="9" a="1"/>
  <c r="G261" i="7" a="1"/>
  <c r="E275" i="9" a="1"/>
  <c r="E258" i="7" a="1"/>
  <c r="C261" i="7" a="1"/>
  <c r="F275" i="7" a="1"/>
  <c r="F258" i="4" a="1"/>
  <c r="H259" i="4" a="1"/>
  <c r="E267" i="9" a="1"/>
  <c r="F258" i="7" a="1"/>
  <c r="E266" i="9" a="1"/>
  <c r="E273" i="9" a="1"/>
  <c r="F259" i="7" a="1"/>
  <c r="H263" i="4" a="1"/>
  <c r="H269" i="4" a="1"/>
  <c r="E269" i="9" a="1"/>
  <c r="G272" i="7" a="1"/>
  <c r="D260" i="7" a="1"/>
  <c r="F276" i="7" a="1"/>
  <c r="G265" i="7" a="1"/>
  <c r="C275" i="7" a="1"/>
  <c r="D274" i="7" a="1"/>
  <c r="D268" i="7" a="1"/>
  <c r="D269" i="7" a="1"/>
  <c r="G267" i="4" a="1"/>
  <c r="B274" i="4" a="1"/>
  <c r="E271" i="7" a="1"/>
  <c r="D17" i="4" l="1"/>
  <c r="C273" i="11"/>
  <c r="C267" i="11"/>
  <c r="C261" i="11"/>
  <c r="C271" i="11"/>
  <c r="C265" i="11"/>
  <c r="C263" i="11"/>
  <c r="C259" i="11"/>
  <c r="C257" i="11"/>
  <c r="C269" i="11"/>
  <c r="C275" i="11"/>
  <c r="C277" i="11"/>
  <c r="C266" i="11"/>
  <c r="C262" i="11"/>
  <c r="C258" i="11"/>
  <c r="C270" i="11"/>
  <c r="C268" i="11"/>
  <c r="C260" i="11"/>
  <c r="C274" i="11"/>
  <c r="C276" i="11"/>
  <c r="C264" i="11"/>
  <c r="C272" i="11"/>
  <c r="G274" i="11"/>
  <c r="G262" i="11"/>
  <c r="G272" i="11"/>
  <c r="G270" i="11"/>
  <c r="G258" i="11"/>
  <c r="G260" i="11"/>
  <c r="G264" i="11"/>
  <c r="G266" i="11"/>
  <c r="G268" i="11"/>
  <c r="G276" i="11"/>
  <c r="G257" i="11"/>
  <c r="G259" i="11"/>
  <c r="G261" i="11"/>
  <c r="G263" i="11"/>
  <c r="G265" i="11"/>
  <c r="G267" i="11"/>
  <c r="G269" i="11"/>
  <c r="G271" i="11"/>
  <c r="G273" i="11"/>
  <c r="G275" i="11"/>
  <c r="G277" i="11"/>
  <c r="H277" i="11"/>
  <c r="H275" i="11"/>
  <c r="H273" i="11"/>
  <c r="H271" i="11"/>
  <c r="H269" i="11"/>
  <c r="H267" i="11"/>
  <c r="H265" i="11"/>
  <c r="H263" i="11"/>
  <c r="H261" i="11"/>
  <c r="H259" i="11"/>
  <c r="H257" i="11"/>
  <c r="H276" i="11"/>
  <c r="H274" i="11"/>
  <c r="H272" i="11"/>
  <c r="H270" i="11"/>
  <c r="H268" i="11"/>
  <c r="H266" i="11"/>
  <c r="H264" i="11"/>
  <c r="H262" i="11"/>
  <c r="H260" i="11"/>
  <c r="H258" i="11"/>
  <c r="E273" i="11"/>
  <c r="E261" i="11"/>
  <c r="E269" i="11"/>
  <c r="E275" i="11"/>
  <c r="E267" i="11"/>
  <c r="E265" i="11"/>
  <c r="E263" i="11"/>
  <c r="E259" i="11"/>
  <c r="E271" i="11"/>
  <c r="E277" i="11"/>
  <c r="E257" i="11"/>
  <c r="E270" i="11"/>
  <c r="E260" i="11"/>
  <c r="E272" i="11"/>
  <c r="E274" i="11"/>
  <c r="E268" i="11"/>
  <c r="E266" i="11"/>
  <c r="E264" i="11"/>
  <c r="E262" i="11"/>
  <c r="E258" i="11"/>
  <c r="E276" i="11"/>
  <c r="B265" i="11"/>
  <c r="B275" i="11"/>
  <c r="B273" i="11"/>
  <c r="B271" i="11"/>
  <c r="B269" i="11"/>
  <c r="B261" i="11"/>
  <c r="B259" i="11"/>
  <c r="B257" i="11"/>
  <c r="B277" i="11"/>
  <c r="B263" i="11"/>
  <c r="B267" i="11"/>
  <c r="B264" i="11"/>
  <c r="B262" i="11"/>
  <c r="B270" i="11"/>
  <c r="B276" i="11"/>
  <c r="B272" i="11"/>
  <c r="B274" i="11"/>
  <c r="B260" i="11"/>
  <c r="B266" i="11"/>
  <c r="B268" i="11"/>
  <c r="B258" i="11"/>
  <c r="D271" i="11"/>
  <c r="D273" i="11"/>
  <c r="D267" i="11"/>
  <c r="D265" i="11"/>
  <c r="D263" i="11"/>
  <c r="D261" i="11"/>
  <c r="D259" i="11"/>
  <c r="D275" i="11"/>
  <c r="D257" i="11"/>
  <c r="D269" i="11"/>
  <c r="D277" i="11"/>
  <c r="D276" i="11"/>
  <c r="D274" i="11"/>
  <c r="D272" i="11"/>
  <c r="D270" i="11"/>
  <c r="D268" i="11"/>
  <c r="D266" i="11"/>
  <c r="D264" i="11"/>
  <c r="D262" i="11"/>
  <c r="D260" i="11"/>
  <c r="D258" i="11"/>
  <c r="F277" i="11"/>
  <c r="F275" i="11"/>
  <c r="F273" i="11"/>
  <c r="F271" i="11"/>
  <c r="F269" i="11"/>
  <c r="F267" i="11"/>
  <c r="F265" i="11"/>
  <c r="F263" i="11"/>
  <c r="F261" i="11"/>
  <c r="F259" i="11"/>
  <c r="F257" i="11"/>
  <c r="F276" i="11"/>
  <c r="F274" i="11"/>
  <c r="F272" i="11"/>
  <c r="F270" i="11"/>
  <c r="F268" i="11"/>
  <c r="F266" i="11"/>
  <c r="F264" i="11"/>
  <c r="F262" i="11"/>
  <c r="F260" i="11"/>
  <c r="F258" i="11"/>
  <c r="D16" i="11"/>
  <c r="D17" i="11"/>
  <c r="E17" i="11" s="1"/>
  <c r="E16" i="4"/>
  <c r="B277" i="4"/>
  <c r="B261" i="4"/>
  <c r="B270" i="4"/>
  <c r="B268" i="4"/>
  <c r="B267" i="4"/>
  <c r="B260" i="4"/>
  <c r="B276" i="4"/>
  <c r="B272" i="4"/>
  <c r="B262" i="4"/>
  <c r="B275" i="4"/>
  <c r="B259" i="4"/>
  <c r="B274" i="4"/>
  <c r="B271" i="4"/>
  <c r="B266" i="4"/>
  <c r="B265" i="4"/>
  <c r="B264" i="4"/>
  <c r="B263" i="4"/>
  <c r="B258" i="4"/>
  <c r="B273" i="4"/>
  <c r="B269" i="4"/>
  <c r="B257" i="4"/>
  <c r="E261" i="9"/>
  <c r="E272" i="9"/>
  <c r="E267" i="9"/>
  <c r="E276" i="9"/>
  <c r="E269" i="9"/>
  <c r="E262" i="9"/>
  <c r="E266" i="9"/>
  <c r="E275" i="9"/>
  <c r="E259" i="9"/>
  <c r="E268" i="9"/>
  <c r="E265" i="9"/>
  <c r="E258" i="9"/>
  <c r="E271" i="9"/>
  <c r="E277" i="9"/>
  <c r="E270" i="9"/>
  <c r="E263" i="9"/>
  <c r="E274" i="9"/>
  <c r="E260" i="9"/>
  <c r="E264" i="9"/>
  <c r="E273" i="9"/>
  <c r="E257" i="9"/>
  <c r="H272" i="7"/>
  <c r="H274" i="7"/>
  <c r="H262" i="7"/>
  <c r="H266" i="7"/>
  <c r="H275" i="7"/>
  <c r="H277" i="7"/>
  <c r="H261" i="7"/>
  <c r="H265" i="7"/>
  <c r="H267" i="7"/>
  <c r="H260" i="7"/>
  <c r="H263" i="7"/>
  <c r="H276" i="7"/>
  <c r="H271" i="7"/>
  <c r="H257" i="7"/>
  <c r="H270" i="7"/>
  <c r="H258" i="7"/>
  <c r="H269" i="7"/>
  <c r="H264" i="7"/>
  <c r="H273" i="7"/>
  <c r="H259" i="7"/>
  <c r="H268" i="7"/>
  <c r="G263" i="7"/>
  <c r="G265" i="7"/>
  <c r="G267" i="7"/>
  <c r="G269" i="7"/>
  <c r="G264" i="7"/>
  <c r="G273" i="7"/>
  <c r="G257" i="7"/>
  <c r="G266" i="7"/>
  <c r="G268" i="7"/>
  <c r="G270" i="7"/>
  <c r="G272" i="7"/>
  <c r="G274" i="7"/>
  <c r="G271" i="7"/>
  <c r="G275" i="7"/>
  <c r="G259" i="7"/>
  <c r="G261" i="7"/>
  <c r="G258" i="7"/>
  <c r="G276" i="7"/>
  <c r="G260" i="7"/>
  <c r="G262" i="7"/>
  <c r="G277" i="7"/>
  <c r="F259" i="7"/>
  <c r="F261" i="7"/>
  <c r="F274" i="7"/>
  <c r="F267" i="7"/>
  <c r="F275" i="7"/>
  <c r="F270" i="7"/>
  <c r="F269" i="7"/>
  <c r="F262" i="7"/>
  <c r="F277" i="7"/>
  <c r="F265" i="7"/>
  <c r="F271" i="7"/>
  <c r="F257" i="7"/>
  <c r="F268" i="7"/>
  <c r="F263" i="7"/>
  <c r="F272" i="7"/>
  <c r="F258" i="7"/>
  <c r="F276" i="7"/>
  <c r="F260" i="7"/>
  <c r="F264" i="7"/>
  <c r="F273" i="7"/>
  <c r="F266" i="7"/>
  <c r="E258" i="7"/>
  <c r="E276" i="7"/>
  <c r="E266" i="7"/>
  <c r="E263" i="7"/>
  <c r="E274" i="7"/>
  <c r="E260" i="7"/>
  <c r="E262" i="7"/>
  <c r="E271" i="7"/>
  <c r="E270" i="7"/>
  <c r="E272" i="7"/>
  <c r="E264" i="7"/>
  <c r="E273" i="7"/>
  <c r="E257" i="7"/>
  <c r="E275" i="7"/>
  <c r="E259" i="7"/>
  <c r="E268" i="7"/>
  <c r="E277" i="7"/>
  <c r="E261" i="7"/>
  <c r="E265" i="7"/>
  <c r="E267" i="7"/>
  <c r="E269" i="7"/>
  <c r="D277" i="7"/>
  <c r="D261" i="7"/>
  <c r="D263" i="7"/>
  <c r="D267" i="7"/>
  <c r="D260" i="7"/>
  <c r="D264" i="7"/>
  <c r="D273" i="7"/>
  <c r="D257" i="7"/>
  <c r="D270" i="7"/>
  <c r="D272" i="7"/>
  <c r="D274" i="7"/>
  <c r="D269" i="7"/>
  <c r="D271" i="7"/>
  <c r="D268" i="7"/>
  <c r="D258" i="7"/>
  <c r="D262" i="7"/>
  <c r="D266" i="7"/>
  <c r="D275" i="7"/>
  <c r="D259" i="7"/>
  <c r="D265" i="7"/>
  <c r="D276" i="7"/>
  <c r="C272" i="7"/>
  <c r="C276" i="7"/>
  <c r="C271" i="7"/>
  <c r="C264" i="7"/>
  <c r="C266" i="7"/>
  <c r="C259" i="7"/>
  <c r="C265" i="7"/>
  <c r="C262" i="7"/>
  <c r="C275" i="7"/>
  <c r="C268" i="7"/>
  <c r="C277" i="7"/>
  <c r="C261" i="7"/>
  <c r="C263" i="7"/>
  <c r="C258" i="7"/>
  <c r="C267" i="7"/>
  <c r="C269" i="7"/>
  <c r="C273" i="7"/>
  <c r="C257" i="7"/>
  <c r="C270" i="7"/>
  <c r="C274" i="7"/>
  <c r="C260" i="7"/>
  <c r="H274" i="4"/>
  <c r="H260" i="4"/>
  <c r="H273" i="4"/>
  <c r="H257" i="4"/>
  <c r="H277" i="4"/>
  <c r="H269" i="4"/>
  <c r="H261" i="4"/>
  <c r="H266" i="4"/>
  <c r="H258" i="4"/>
  <c r="H271" i="4"/>
  <c r="H263" i="4"/>
  <c r="H276" i="4"/>
  <c r="H268" i="4"/>
  <c r="H265" i="4"/>
  <c r="H270" i="4"/>
  <c r="H262" i="4"/>
  <c r="H275" i="4"/>
  <c r="H267" i="4"/>
  <c r="H272" i="4"/>
  <c r="H264" i="4"/>
  <c r="H259" i="4"/>
  <c r="G269" i="4"/>
  <c r="G274" i="4"/>
  <c r="G266" i="4"/>
  <c r="G271" i="4"/>
  <c r="G268" i="4"/>
  <c r="G273" i="4"/>
  <c r="G265" i="4"/>
  <c r="G277" i="4"/>
  <c r="G261" i="4"/>
  <c r="G258" i="4"/>
  <c r="G263" i="4"/>
  <c r="G276" i="4"/>
  <c r="G260" i="4"/>
  <c r="G257" i="4"/>
  <c r="G259" i="4"/>
  <c r="G264" i="4"/>
  <c r="G262" i="4"/>
  <c r="G272" i="4"/>
  <c r="G267" i="4"/>
  <c r="G275" i="4"/>
  <c r="G270" i="4"/>
  <c r="F261" i="4"/>
  <c r="F268" i="4"/>
  <c r="F272" i="4"/>
  <c r="F264" i="4"/>
  <c r="F277" i="4"/>
  <c r="F269" i="4"/>
  <c r="F274" i="4"/>
  <c r="F266" i="4"/>
  <c r="F258" i="4"/>
  <c r="F263" i="4"/>
  <c r="F276" i="4"/>
  <c r="F260" i="4"/>
  <c r="F271" i="4"/>
  <c r="F273" i="4"/>
  <c r="F265" i="4"/>
  <c r="F257" i="4"/>
  <c r="F270" i="4"/>
  <c r="F275" i="4"/>
  <c r="F262" i="4"/>
  <c r="F259" i="4"/>
  <c r="F267" i="4"/>
  <c r="D16" i="9"/>
  <c r="D17" i="9"/>
  <c r="E17" i="9" s="1"/>
  <c r="H249" i="9" a="1"/>
  <c r="H249" i="9" s="1"/>
  <c r="H248" i="9" a="1"/>
  <c r="H248" i="9" s="1"/>
  <c r="H250" i="9" a="1"/>
  <c r="H250" i="9" s="1"/>
  <c r="H247" i="9" a="1"/>
  <c r="H247" i="9" s="1"/>
  <c r="D248" i="9" a="1"/>
  <c r="D248" i="9" s="1"/>
  <c r="D249" i="9" a="1"/>
  <c r="D249" i="9" s="1"/>
  <c r="D247" i="9" a="1"/>
  <c r="D247" i="9" s="1"/>
  <c r="D250" i="9" a="1"/>
  <c r="D250" i="9" s="1"/>
  <c r="C249" i="9" a="1"/>
  <c r="C249" i="9" s="1"/>
  <c r="C248" i="9" a="1"/>
  <c r="C248" i="9" s="1"/>
  <c r="C247" i="9" a="1"/>
  <c r="C247" i="9" s="1"/>
  <c r="C250" i="9" a="1"/>
  <c r="C250" i="9" s="1"/>
  <c r="G250" i="9" a="1"/>
  <c r="G250" i="9" s="1"/>
  <c r="G249" i="9" a="1"/>
  <c r="G249" i="9" s="1"/>
  <c r="G248" i="9" a="1"/>
  <c r="G248" i="9" s="1"/>
  <c r="G247" i="9" a="1"/>
  <c r="G247" i="9" s="1"/>
  <c r="F247" i="9" a="1"/>
  <c r="F247" i="9" s="1"/>
  <c r="F250" i="9" a="1"/>
  <c r="F250" i="9" s="1"/>
  <c r="F249" i="9" a="1"/>
  <c r="F249" i="9" s="1"/>
  <c r="F248" i="9" a="1"/>
  <c r="F248" i="9" s="1"/>
  <c r="B250" i="9" a="1"/>
  <c r="B250" i="9" s="1"/>
  <c r="B248" i="9" a="1"/>
  <c r="B248" i="9" s="1"/>
  <c r="B249" i="9" a="1"/>
  <c r="B249" i="9" s="1"/>
  <c r="B247" i="9" a="1"/>
  <c r="B247" i="9" s="1"/>
  <c r="D16" i="7"/>
  <c r="D17" i="7"/>
  <c r="E17" i="7" s="1"/>
  <c r="B248" i="7" a="1"/>
  <c r="B248" i="7" s="1"/>
  <c r="B249" i="7" a="1"/>
  <c r="B249" i="7" s="1"/>
  <c r="B250" i="7" a="1"/>
  <c r="B250" i="7" s="1"/>
  <c r="C248" i="4" a="1"/>
  <c r="C248" i="4" s="1"/>
  <c r="C247" i="4" a="1"/>
  <c r="C247" i="4" s="1"/>
  <c r="C250" i="4" a="1"/>
  <c r="C250" i="4" s="1"/>
  <c r="C249" i="4" a="1"/>
  <c r="C249" i="4" s="1"/>
  <c r="E247" i="4" a="1"/>
  <c r="E247" i="4" s="1"/>
  <c r="E250" i="4" a="1"/>
  <c r="E250" i="4" s="1"/>
  <c r="E248" i="4" a="1"/>
  <c r="E248" i="4" s="1"/>
  <c r="E249" i="4" a="1"/>
  <c r="E249" i="4" s="1"/>
  <c r="B250" i="4" a="1"/>
  <c r="B250" i="4" s="1"/>
  <c r="D247" i="4" a="1"/>
  <c r="D247" i="4" s="1"/>
  <c r="D250" i="4" a="1"/>
  <c r="D250" i="4" s="1"/>
  <c r="D249" i="4" a="1"/>
  <c r="D249" i="4" s="1"/>
  <c r="D248" i="4" a="1"/>
  <c r="D248" i="4" s="1"/>
  <c r="E19" i="4" a="1"/>
  <c r="H261" i="9" a="1"/>
  <c r="G277" i="9" a="1"/>
  <c r="D276" i="9" a="1"/>
  <c r="D275" i="4" a="1"/>
  <c r="D272" i="4" a="1"/>
  <c r="C259" i="4" a="1"/>
  <c r="D274" i="9" a="1"/>
  <c r="C270" i="9" a="1"/>
  <c r="D262" i="9" a="1"/>
  <c r="C264" i="4" a="1"/>
  <c r="E271" i="4" a="1"/>
  <c r="F272" i="9" a="1"/>
  <c r="B265" i="7" a="1"/>
  <c r="D257" i="4" a="1"/>
  <c r="E264" i="4" a="1"/>
  <c r="E258" i="4" a="1"/>
  <c r="G259" i="9" a="1"/>
  <c r="B270" i="7" a="1"/>
  <c r="B257" i="7" a="1"/>
  <c r="B263" i="7" a="1"/>
  <c r="E266" i="4" a="1"/>
  <c r="D266" i="9" a="1"/>
  <c r="G263" i="9" a="1"/>
  <c r="F269" i="9" a="1"/>
  <c r="B271" i="9" a="1"/>
  <c r="E260" i="4" a="1"/>
  <c r="D270" i="4" a="1"/>
  <c r="B266" i="9" a="1"/>
  <c r="D261" i="9" a="1"/>
  <c r="B258" i="7" a="1"/>
  <c r="H258" i="9" a="1"/>
  <c r="E269" i="4" a="1"/>
  <c r="C271" i="4" a="1"/>
  <c r="F264" i="9" a="1"/>
  <c r="E272" i="4" a="1"/>
  <c r="F268" i="9" a="1"/>
  <c r="B265" i="9" a="1"/>
  <c r="C274" i="9" a="1"/>
  <c r="B260" i="9" a="1"/>
  <c r="F257" i="9" a="1"/>
  <c r="C261" i="4" a="1"/>
  <c r="D274" i="4" a="1"/>
  <c r="F266" i="9" a="1"/>
  <c r="F273" i="9" a="1"/>
  <c r="B271" i="7" a="1"/>
  <c r="C267" i="4" a="1"/>
  <c r="B267" i="7" a="1"/>
  <c r="H277" i="9" a="1"/>
  <c r="E262" i="4" a="1"/>
  <c r="G267" i="9" a="1"/>
  <c r="H272" i="9" a="1"/>
  <c r="C264" i="9" a="1"/>
  <c r="F258" i="9" a="1"/>
  <c r="B262" i="7" a="1"/>
  <c r="E267" i="4" a="1"/>
  <c r="H264" i="9" a="1"/>
  <c r="E277" i="4" a="1"/>
  <c r="D260" i="4" a="1"/>
  <c r="E263" i="4" a="1"/>
  <c r="F263" i="9" a="1"/>
  <c r="D273" i="4" a="1"/>
  <c r="D268" i="4" a="1"/>
  <c r="E261" i="4" a="1"/>
  <c r="F261" i="9" a="1"/>
  <c r="D261" i="4" a="1"/>
  <c r="E268" i="4" a="1"/>
  <c r="E270" i="4" a="1"/>
  <c r="G262" i="9" a="1"/>
  <c r="C262" i="4" a="1"/>
  <c r="B272" i="7" a="1"/>
  <c r="C269" i="9" a="1"/>
  <c r="C273" i="9" a="1"/>
  <c r="E265" i="4" a="1"/>
  <c r="G273" i="9" a="1"/>
  <c r="D272" i="9" a="1"/>
  <c r="B273" i="7" a="1"/>
  <c r="F259" i="9" a="1"/>
  <c r="C268" i="9" a="1"/>
  <c r="C266" i="4" a="1"/>
  <c r="C277" i="4" a="1"/>
  <c r="C269" i="4" a="1"/>
  <c r="H260" i="9" a="1"/>
  <c r="H270" i="9" a="1"/>
  <c r="G260" i="9" a="1"/>
  <c r="G269" i="9" a="1"/>
  <c r="D277" i="4" a="1"/>
  <c r="E275" i="4" a="1"/>
  <c r="B277" i="9" a="1"/>
  <c r="B268" i="9" a="1"/>
  <c r="B263" i="9" a="1"/>
  <c r="D264" i="4" a="1"/>
  <c r="B258" i="9" a="1"/>
  <c r="G266" i="9" a="1"/>
  <c r="H267" i="9" a="1"/>
  <c r="G261" i="9" a="1"/>
  <c r="C263" i="4" a="1"/>
  <c r="B272" i="9" a="1"/>
  <c r="D268" i="9" a="1"/>
  <c r="F277" i="9" a="1"/>
  <c r="D266" i="4" a="1"/>
  <c r="B264" i="9" a="1"/>
  <c r="B276" i="7" a="1"/>
  <c r="C258" i="9" a="1"/>
  <c r="D259" i="9" a="1"/>
  <c r="B264" i="7" a="1"/>
  <c r="B267" i="9" a="1"/>
  <c r="F274" i="9" a="1"/>
  <c r="G257" i="9" a="1"/>
  <c r="G275" i="9" a="1"/>
  <c r="G265" i="9" a="1"/>
  <c r="C267" i="9" a="1"/>
  <c r="B266" i="7" a="1"/>
  <c r="C257" i="9" a="1"/>
  <c r="H275" i="9" a="1"/>
  <c r="C263" i="9" a="1"/>
  <c r="C257" i="4" a="1"/>
  <c r="H259" i="9" a="1"/>
  <c r="C275" i="9" a="1"/>
  <c r="G274" i="9" a="1"/>
  <c r="C274" i="4" a="1"/>
  <c r="C276" i="4" a="1"/>
  <c r="H263" i="9" a="1"/>
  <c r="D271" i="9" a="1"/>
  <c r="B275" i="7" a="1"/>
  <c r="C270" i="4" a="1"/>
  <c r="D277" i="9" a="1"/>
  <c r="C273" i="4" a="1"/>
  <c r="F262" i="9" a="1"/>
  <c r="C268" i="4" a="1"/>
  <c r="B259" i="7" a="1"/>
  <c r="C265" i="4" a="1"/>
  <c r="D264" i="9" a="1"/>
  <c r="B270" i="9" a="1"/>
  <c r="D276" i="4" a="1"/>
  <c r="C276" i="9" a="1"/>
  <c r="H257" i="9" a="1"/>
  <c r="D270" i="9" a="1"/>
  <c r="H273" i="9" a="1"/>
  <c r="G276" i="9" a="1"/>
  <c r="F267" i="9" a="1"/>
  <c r="E19" i="11" a="1"/>
  <c r="D258" i="4" a="1"/>
  <c r="G264" i="9" a="1"/>
  <c r="F265" i="9" a="1"/>
  <c r="C275" i="4" a="1"/>
  <c r="G268" i="9" a="1"/>
  <c r="D269" i="4" a="1"/>
  <c r="E19" i="7" a="1"/>
  <c r="E273" i="4" a="1"/>
  <c r="D273" i="9" a="1"/>
  <c r="D269" i="9" a="1"/>
  <c r="B260" i="7" a="1"/>
  <c r="F275" i="9" a="1"/>
  <c r="H262" i="9" a="1"/>
  <c r="G258" i="9" a="1"/>
  <c r="C260" i="9" a="1"/>
  <c r="F270" i="9" a="1"/>
  <c r="H269" i="9" a="1"/>
  <c r="B269" i="7" a="1"/>
  <c r="H274" i="9" a="1"/>
  <c r="H271" i="9" a="1"/>
  <c r="D262" i="4" a="1"/>
  <c r="C261" i="9" a="1"/>
  <c r="D267" i="4" a="1"/>
  <c r="F260" i="9" a="1"/>
  <c r="D275" i="9" a="1"/>
  <c r="B274" i="7" a="1"/>
  <c r="B257" i="9" a="1"/>
  <c r="B274" i="9" a="1"/>
  <c r="B275" i="9" a="1"/>
  <c r="H268" i="9" a="1"/>
  <c r="H266" i="9" a="1"/>
  <c r="B261" i="9" a="1"/>
  <c r="D271" i="4" a="1"/>
  <c r="B268" i="7" a="1"/>
  <c r="E257" i="4" a="1"/>
  <c r="C258" i="4" a="1"/>
  <c r="B259" i="9" a="1"/>
  <c r="B273" i="9" a="1"/>
  <c r="D267" i="9" a="1"/>
  <c r="F276" i="9" a="1"/>
  <c r="D259" i="4" a="1"/>
  <c r="C272" i="9" a="1"/>
  <c r="C260" i="4" a="1"/>
  <c r="D258" i="9" a="1"/>
  <c r="D265" i="9" a="1"/>
  <c r="E19" i="9" a="1"/>
  <c r="E259" i="4" a="1"/>
  <c r="H276" i="9" a="1"/>
  <c r="B262" i="9" a="1"/>
  <c r="C277" i="9" a="1"/>
  <c r="C259" i="9" a="1"/>
  <c r="D260" i="9" a="1"/>
  <c r="D257" i="9" a="1"/>
  <c r="D263" i="4" a="1"/>
  <c r="C272" i="4" a="1"/>
  <c r="E274" i="4" a="1"/>
  <c r="G270" i="9" a="1"/>
  <c r="H265" i="9" a="1"/>
  <c r="B261" i="7" a="1"/>
  <c r="G271" i="9" a="1"/>
  <c r="D265" i="4" a="1"/>
  <c r="B277" i="7" a="1"/>
  <c r="D263" i="9" a="1"/>
  <c r="C266" i="9" a="1"/>
  <c r="G272" i="9" a="1"/>
  <c r="C265" i="9" a="1"/>
  <c r="B269" i="9" a="1"/>
  <c r="C271" i="9" a="1"/>
  <c r="C262" i="9" a="1"/>
  <c r="F271" i="9" a="1"/>
  <c r="B276" i="9" a="1"/>
  <c r="E276" i="4" a="1"/>
  <c r="E19" i="4" l="1"/>
  <c r="E17" i="4"/>
  <c r="E19" i="11"/>
  <c r="E16" i="11"/>
  <c r="E19" i="7"/>
  <c r="E16" i="7"/>
  <c r="E19" i="9"/>
  <c r="E16" i="9"/>
  <c r="H270" i="9"/>
  <c r="H263" i="9"/>
  <c r="H274" i="9"/>
  <c r="H267" i="9"/>
  <c r="H269" i="9"/>
  <c r="H275" i="9"/>
  <c r="H277" i="9"/>
  <c r="H261" i="9"/>
  <c r="H272" i="9"/>
  <c r="H276" i="9"/>
  <c r="H271" i="9"/>
  <c r="H264" i="9"/>
  <c r="H273" i="9"/>
  <c r="H257" i="9"/>
  <c r="H266" i="9"/>
  <c r="H259" i="9"/>
  <c r="H265" i="9"/>
  <c r="H258" i="9"/>
  <c r="H260" i="9"/>
  <c r="H262" i="9"/>
  <c r="H268" i="9"/>
  <c r="G277" i="9"/>
  <c r="G261" i="9"/>
  <c r="G270" i="9"/>
  <c r="G273" i="9"/>
  <c r="G257" i="9"/>
  <c r="G268" i="9"/>
  <c r="G272" i="9"/>
  <c r="G265" i="9"/>
  <c r="G274" i="9"/>
  <c r="G276" i="9"/>
  <c r="G271" i="9"/>
  <c r="G264" i="9"/>
  <c r="G266" i="9"/>
  <c r="G263" i="9"/>
  <c r="G258" i="9"/>
  <c r="G267" i="9"/>
  <c r="G260" i="9"/>
  <c r="G269" i="9"/>
  <c r="G262" i="9"/>
  <c r="G275" i="9"/>
  <c r="G259" i="9"/>
  <c r="F268" i="9"/>
  <c r="F270" i="9"/>
  <c r="F263" i="9"/>
  <c r="F258" i="9"/>
  <c r="F262" i="9"/>
  <c r="F271" i="9"/>
  <c r="F264" i="9"/>
  <c r="F275" i="9"/>
  <c r="F259" i="9"/>
  <c r="F272" i="9"/>
  <c r="F267" i="9"/>
  <c r="F276" i="9"/>
  <c r="F277" i="9"/>
  <c r="F261" i="9"/>
  <c r="F265" i="9"/>
  <c r="F274" i="9"/>
  <c r="F260" i="9"/>
  <c r="F269" i="9"/>
  <c r="F273" i="9"/>
  <c r="F257" i="9"/>
  <c r="F266" i="9"/>
  <c r="D275" i="9"/>
  <c r="D272" i="9"/>
  <c r="D274" i="9"/>
  <c r="D258" i="9"/>
  <c r="D273" i="9"/>
  <c r="D257" i="9"/>
  <c r="D266" i="9"/>
  <c r="D259" i="9"/>
  <c r="D261" i="9"/>
  <c r="D263" i="9"/>
  <c r="D267" i="9"/>
  <c r="D268" i="9"/>
  <c r="D277" i="9"/>
  <c r="D270" i="9"/>
  <c r="D265" i="9"/>
  <c r="D276" i="9"/>
  <c r="D260" i="9"/>
  <c r="D269" i="9"/>
  <c r="D262" i="9"/>
  <c r="D271" i="9"/>
  <c r="D264" i="9"/>
  <c r="C257" i="9"/>
  <c r="C275" i="9"/>
  <c r="C268" i="9"/>
  <c r="C261" i="9"/>
  <c r="C263" i="9"/>
  <c r="C272" i="9"/>
  <c r="C262" i="9"/>
  <c r="C264" i="9"/>
  <c r="C266" i="9"/>
  <c r="C259" i="9"/>
  <c r="C270" i="9"/>
  <c r="C265" i="9"/>
  <c r="C258" i="9"/>
  <c r="C273" i="9"/>
  <c r="C277" i="9"/>
  <c r="C274" i="9"/>
  <c r="C267" i="9"/>
  <c r="C276" i="9"/>
  <c r="C260" i="9"/>
  <c r="C269" i="9"/>
  <c r="C271" i="9"/>
  <c r="B271" i="9"/>
  <c r="B264" i="9"/>
  <c r="B257" i="9"/>
  <c r="B275" i="9"/>
  <c r="B268" i="9"/>
  <c r="B261" i="9"/>
  <c r="B270" i="9"/>
  <c r="B263" i="9"/>
  <c r="B265" i="9"/>
  <c r="B274" i="9"/>
  <c r="B267" i="9"/>
  <c r="B273" i="9"/>
  <c r="B266" i="9"/>
  <c r="B258" i="9"/>
  <c r="B260" i="9"/>
  <c r="B269" i="9"/>
  <c r="B259" i="9"/>
  <c r="B277" i="9"/>
  <c r="B272" i="9"/>
  <c r="B276" i="9"/>
  <c r="B262" i="9"/>
  <c r="B273" i="7"/>
  <c r="B277" i="7"/>
  <c r="B274" i="7"/>
  <c r="B271" i="7"/>
  <c r="B257" i="7"/>
  <c r="B266" i="7"/>
  <c r="B263" i="7"/>
  <c r="B260" i="7"/>
  <c r="B259" i="7"/>
  <c r="B272" i="7"/>
  <c r="B258" i="7"/>
  <c r="B267" i="7"/>
  <c r="B269" i="7"/>
  <c r="B264" i="7"/>
  <c r="B275" i="7"/>
  <c r="B268" i="7"/>
  <c r="B261" i="7"/>
  <c r="B270" i="7"/>
  <c r="B265" i="7"/>
  <c r="B276" i="7"/>
  <c r="B262" i="7"/>
  <c r="E261" i="4"/>
  <c r="E266" i="4"/>
  <c r="E263" i="4"/>
  <c r="E260" i="4"/>
  <c r="E272" i="4"/>
  <c r="E264" i="4"/>
  <c r="E277" i="4"/>
  <c r="E269" i="4"/>
  <c r="E274" i="4"/>
  <c r="E258" i="4"/>
  <c r="E271" i="4"/>
  <c r="E276" i="4"/>
  <c r="E268" i="4"/>
  <c r="E265" i="4"/>
  <c r="E275" i="4"/>
  <c r="E270" i="4"/>
  <c r="E273" i="4"/>
  <c r="E259" i="4"/>
  <c r="E257" i="4"/>
  <c r="E262" i="4"/>
  <c r="E267" i="4"/>
  <c r="D277" i="4"/>
  <c r="D269" i="4"/>
  <c r="D261" i="4"/>
  <c r="D274" i="4"/>
  <c r="D266" i="4"/>
  <c r="D263" i="4"/>
  <c r="D275" i="4"/>
  <c r="D267" i="4"/>
  <c r="D259" i="4"/>
  <c r="D272" i="4"/>
  <c r="D264" i="4"/>
  <c r="D258" i="4"/>
  <c r="D271" i="4"/>
  <c r="D276" i="4"/>
  <c r="D268" i="4"/>
  <c r="D260" i="4"/>
  <c r="D273" i="4"/>
  <c r="D265" i="4"/>
  <c r="D257" i="4"/>
  <c r="D270" i="4"/>
  <c r="D262" i="4"/>
  <c r="C272" i="4"/>
  <c r="C277" i="4"/>
  <c r="C261" i="4"/>
  <c r="C274" i="4"/>
  <c r="C258" i="4"/>
  <c r="C271" i="4"/>
  <c r="C275" i="4"/>
  <c r="C267" i="4"/>
  <c r="C259" i="4"/>
  <c r="C264" i="4"/>
  <c r="C269" i="4"/>
  <c r="C266" i="4"/>
  <c r="C263" i="4"/>
  <c r="C276" i="4"/>
  <c r="C257" i="4"/>
  <c r="C273" i="4"/>
  <c r="C270" i="4"/>
  <c r="C265" i="4"/>
  <c r="C262" i="4"/>
  <c r="C260" i="4"/>
  <c r="C268" i="4"/>
  <c r="Q29" i="4" a="1"/>
  <c r="Q31" i="4" a="1"/>
  <c r="Q30" i="4" a="1"/>
  <c r="Q34" i="4" a="1"/>
  <c r="Q23" i="4" a="1"/>
  <c r="Q33" i="4" a="1"/>
  <c r="Q27" i="4" a="1"/>
  <c r="Q25" i="4" a="1"/>
  <c r="Q32" i="4" a="1"/>
  <c r="Q24" i="4" a="1"/>
  <c r="Q28" i="4" a="1"/>
  <c r="Q35" i="4" a="1"/>
  <c r="Q26" i="4" a="1"/>
  <c r="Q31" i="11" a="1"/>
  <c r="Q33" i="11" a="1"/>
  <c r="Q23" i="11" a="1"/>
  <c r="Q27" i="11" a="1"/>
  <c r="Q29" i="11" a="1"/>
  <c r="Q35" i="11" a="1"/>
  <c r="Q25" i="11" a="1"/>
  <c r="Q24" i="11" a="1"/>
  <c r="Q26" i="11" a="1"/>
  <c r="Q28" i="11" a="1"/>
  <c r="Q30" i="11" a="1"/>
  <c r="Q32" i="11" a="1"/>
  <c r="Q34" i="11" a="1"/>
  <c r="Q32" i="7" a="1"/>
  <c r="Q34" i="7" a="1"/>
  <c r="Q23" i="7" a="1"/>
  <c r="Q24" i="9" a="1"/>
  <c r="Q31" i="7" a="1"/>
  <c r="Q29" i="9" a="1"/>
  <c r="Q27" i="7" a="1"/>
  <c r="Q26" i="7" a="1"/>
  <c r="Q25" i="7" a="1"/>
  <c r="Q29" i="7" a="1"/>
  <c r="Q26" i="9" a="1"/>
  <c r="Q24" i="7" a="1"/>
  <c r="Q33" i="7" a="1"/>
  <c r="Q32" i="9" a="1"/>
  <c r="Q34" i="9" a="1"/>
  <c r="Q30" i="7" a="1"/>
  <c r="Q35" i="7" a="1"/>
  <c r="Q25" i="9" a="1"/>
  <c r="Q31" i="9" a="1"/>
  <c r="Q28" i="7" a="1"/>
  <c r="Q33" i="9" a="1"/>
  <c r="Q28" i="9" a="1"/>
  <c r="Q30" i="9" a="1"/>
  <c r="Q23" i="9" a="1"/>
  <c r="Q35" i="9" a="1"/>
  <c r="Q27" i="9" a="1"/>
  <c r="Q26" i="4" l="1"/>
  <c r="Q35" i="4"/>
  <c r="Q28" i="4"/>
  <c r="Q24" i="4"/>
  <c r="Q32" i="4"/>
  <c r="Q25" i="4"/>
  <c r="Q27" i="4"/>
  <c r="Q33" i="4"/>
  <c r="Q23" i="4"/>
  <c r="Q34" i="4"/>
  <c r="Q30" i="4"/>
  <c r="Q31" i="4"/>
  <c r="Q29" i="4"/>
  <c r="Q34" i="11"/>
  <c r="Q32" i="11"/>
  <c r="Q30" i="11"/>
  <c r="Q28" i="11"/>
  <c r="Q26" i="11"/>
  <c r="Q24" i="11"/>
  <c r="Q25" i="11"/>
  <c r="Q35" i="11"/>
  <c r="Q29" i="11"/>
  <c r="Q27" i="11"/>
  <c r="Q23" i="11"/>
  <c r="Q33" i="11"/>
  <c r="Q31" i="11"/>
  <c r="Q29" i="9"/>
  <c r="Q33" i="9"/>
  <c r="Q31" i="9"/>
  <c r="Q34" i="9"/>
  <c r="Q23" i="9"/>
  <c r="Q32" i="9"/>
  <c r="Q30" i="9"/>
  <c r="Q27" i="9"/>
  <c r="Q25" i="9"/>
  <c r="Q26" i="9"/>
  <c r="Q35" i="9"/>
  <c r="Q24" i="9"/>
  <c r="Q28" i="9"/>
  <c r="Q31" i="7"/>
  <c r="Q35" i="7"/>
  <c r="Q34" i="7"/>
  <c r="Q29" i="7"/>
  <c r="Q33" i="7"/>
  <c r="Q27" i="7"/>
  <c r="Q30" i="7"/>
  <c r="Q25" i="7"/>
  <c r="Q23" i="7"/>
  <c r="Q24" i="7"/>
  <c r="Q32" i="7"/>
  <c r="Q28" i="7"/>
  <c r="Q26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<sst xmlns="http://schemas.openxmlformats.org/spreadsheetml/2006/main" count="855" uniqueCount="113">
  <si>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</si>
  <si>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</si>
  <si>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</si>
  <si>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</si>
  <si>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</si>
  <si>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</si>
  <si>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</si>
  <si>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</si>
  <si>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</si>
  <si>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</si>
  <si>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</si>
  <si>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</si>
  <si>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</si>
  <si>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</si>
  <si>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</si>
  <si>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</si>
  <si>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</si>
  <si>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</si>
  <si>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</si>
  <si>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</si>
  <si>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</si>
  <si>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</si>
  <si>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Measured Muzzle Energy(J)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</si>
  <si>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</si>
  <si>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</si>
  <si>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</si>
  <si>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</si>
  <si>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</si>
  <si>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Polymer Tipped Hollow Point</t>
  </si>
  <si>
    <t>Soft Point</t>
  </si>
  <si>
    <t>Estimated Error</t>
  </si>
  <si>
    <t>(cm)</t>
  </si>
  <si>
    <t>400m zero</t>
  </si>
  <si>
    <t>500m zero</t>
  </si>
  <si>
    <t>Wind Drift</t>
  </si>
  <si>
    <t>Wind Drift (MOA)</t>
  </si>
  <si>
    <t>Wind Drift (MILS)</t>
  </si>
  <si>
    <t>Hollow Point</t>
  </si>
  <si>
    <t>6.5mm Creedmoor</t>
  </si>
  <si>
    <t>Federal ELD-X</t>
  </si>
  <si>
    <t>Federal Fusion Rifle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</si>
  <si>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</si>
  <si>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</si>
  <si>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</si>
  <si>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</si>
  <si>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</si>
  <si>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</si>
  <si>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</si>
  <si>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</si>
  <si>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</si>
  <si>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Calculated Come Up(MILS)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</si>
  <si>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</si>
  <si>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</si>
  <si>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</si>
  <si>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</si>
  <si>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</si>
  <si>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</si>
  <si>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</si>
  <si>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</si>
  <si>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</si>
  <si>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</si>
  <si>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</si>
  <si>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</si>
  <si>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Manufacturer's Data Sheet</t>
  </si>
  <si>
    <t>Bullet Weight(gr),(g)</t>
  </si>
  <si>
    <t>Caliber(in),(mm)</t>
  </si>
  <si>
    <t>Muzzle Energy(flb),(J)</t>
  </si>
  <si>
    <t>Muzzle Velocity(fps),(m/s)</t>
  </si>
  <si>
    <t>Hornady 50m zero(G1 BC=0.439)</t>
  </si>
  <si>
    <t>Hornady 500m zero(G1 BC=0.439)</t>
  </si>
  <si>
    <t>Hornady 400m zero(G1 BC=0.439)</t>
  </si>
  <si>
    <t>Hornady 300m zero(G1 BC=0.439)</t>
  </si>
  <si>
    <t>Hornady 200m zero(G1 BC=0.439)</t>
  </si>
  <si>
    <t>Hornady 150m zero(G1 BC=0.439)</t>
  </si>
  <si>
    <t>Hornady 100m zero(G1 BC=0.439)</t>
  </si>
  <si>
    <t>100m zero(G1 BC=0.625)</t>
  </si>
  <si>
    <t>150m zero(G1 BC=0.625)</t>
  </si>
  <si>
    <t>200m zero(G1 BC=0.625)</t>
  </si>
  <si>
    <t>300m zero(G1 BC=0.625)</t>
  </si>
  <si>
    <t>400m zero(G1 BC=0.625)</t>
  </si>
  <si>
    <t>500m zero(G1 BC=0.625)</t>
  </si>
  <si>
    <t>50m zero(G1 BC=0.625,bw=143gr))</t>
  </si>
  <si>
    <t>50m Zero(G7 BC=0.625, bw=143gr)</t>
  </si>
  <si>
    <t>100m Zero(G7 BC=0.625, bw=143gr)</t>
  </si>
  <si>
    <t>150m Zero(G7 BC=0.625, bw=143gr)</t>
  </si>
  <si>
    <t>200m Zero(G7 BC=0.625, bw=143gr)</t>
  </si>
  <si>
    <t>300m Zero(G7 BC=0.625, bw=143gr)</t>
  </si>
  <si>
    <t>400m Zero(G7 BC=0.625, bw=143gr)</t>
  </si>
  <si>
    <t>500m Zero(G7 BC=0.625, bw=143gr)</t>
  </si>
  <si>
    <t>n/a</t>
  </si>
  <si>
    <t>50m Zero(BC: G7)</t>
  </si>
  <si>
    <t>100m Zero(BC: G7)</t>
  </si>
  <si>
    <t>150m Zero(BC: G7)</t>
  </si>
  <si>
    <t>200m Zero(BC: G7)</t>
  </si>
  <si>
    <t>300m Zero(BC: G7)</t>
  </si>
  <si>
    <t>400m Zero(BC: G7)</t>
  </si>
  <si>
    <t>500m Zero(BC: G7)</t>
  </si>
  <si>
    <t>Hornady[BC:G7](50m Zero)</t>
  </si>
  <si>
    <t>Hornady[BC:G7](100m Zero)</t>
  </si>
  <si>
    <t>Hornady[BC:G7](150m Zero)</t>
  </si>
  <si>
    <t>Hornady[BC:G7](200m Zero)</t>
  </si>
  <si>
    <t>Hornady[BC:G7](300m Zero)</t>
  </si>
  <si>
    <t>Hornady[BC:G7](400m Zero)</t>
  </si>
  <si>
    <t>Hornady[BC:G7](500m Zero)</t>
  </si>
  <si>
    <t>Hornady[BC: G1](50m Zero)</t>
  </si>
  <si>
    <t>Hornady[BC: G1](100m Zero)</t>
  </si>
  <si>
    <t>Hornady[BC: G1](150m Zero)</t>
  </si>
  <si>
    <t>Hornady[BC: G1](500m Zero)</t>
  </si>
  <si>
    <t>Hornady[BC: G1](400m Zero)</t>
  </si>
  <si>
    <t>Hornady[BC: G1](300m Zero)</t>
  </si>
  <si>
    <t>Hornady[BC: G1](200m Zero)</t>
  </si>
  <si>
    <t>Barnes TSX</t>
  </si>
  <si>
    <t>Polymer Tipped Hollow Point After 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</si>
</sst>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E+00"/>
    <numFmt numFmtId="166" formatCode="0.0000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6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49" fontId="0" fillId="0" borderId="0" xfId="0" applyNumberFormat="1" applyAlignment="1">
      <alignment horizontal="center" wrapText="1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49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164" fontId="0" fillId="3" borderId="0" xfId="0" applyNumberFormat="1" applyFill="1"/>
    <xf numFmtId="166" fontId="0" fillId="0" borderId="0" xfId="0" applyNumberFormat="1"/>
    <xf numFmtId="0" fontId="1" fillId="6" borderId="0" xfId="0" applyFont="1" applyFill="1"/>
    <xf numFmtId="164" fontId="1" fillId="6" borderId="0" xfId="0" applyNumberFormat="1" applyFont="1" applyFill="1"/>
    <xf numFmtId="0" fontId="0" fillId="4" borderId="1" xfId="0" applyFill="1" applyBorder="1"/>
    <xf numFmtId="0" fontId="0" fillId="0" borderId="2" xfId="0" applyBorder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PHP'!$B$22:$B$35</c:f>
              <c:numCache>
                <c:formatCode>0.00</c:formatCode>
                <c:ptCount val="14"/>
                <c:pt idx="0">
                  <c:v>3137.5</c:v>
                </c:pt>
                <c:pt idx="1">
                  <c:v>3096.5</c:v>
                </c:pt>
                <c:pt idx="2">
                  <c:v>3052.5</c:v>
                </c:pt>
                <c:pt idx="3">
                  <c:v>3009.5</c:v>
                </c:pt>
                <c:pt idx="4">
                  <c:v>2967.3</c:v>
                </c:pt>
                <c:pt idx="5">
                  <c:v>2926.1</c:v>
                </c:pt>
                <c:pt idx="6">
                  <c:v>2878.2</c:v>
                </c:pt>
                <c:pt idx="7">
                  <c:v>2793</c:v>
                </c:pt>
                <c:pt idx="8">
                  <c:v>2710.5</c:v>
                </c:pt>
                <c:pt idx="9">
                  <c:v>2631.2</c:v>
                </c:pt>
                <c:pt idx="10">
                  <c:v>2554.8000000000002</c:v>
                </c:pt>
                <c:pt idx="11">
                  <c:v>2475.8000000000002</c:v>
                </c:pt>
                <c:pt idx="12">
                  <c:v>2405</c:v>
                </c:pt>
                <c:pt idx="13">
                  <c:v>2332.6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'ELD-X PHP'!$A$78</c:f>
              <c:strCache>
                <c:ptCount val="1"/>
                <c:pt idx="0">
                  <c:v>50m zero(G1 BC=0.625,bw=143gr))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PHP'!$C$80:$C$100</c:f>
              <c:numCache>
                <c:formatCode>0.00</c:formatCode>
                <c:ptCount val="21"/>
                <c:pt idx="0">
                  <c:v>3138</c:v>
                </c:pt>
                <c:pt idx="1">
                  <c:v>3046</c:v>
                </c:pt>
                <c:pt idx="2">
                  <c:v>2957</c:v>
                </c:pt>
                <c:pt idx="3">
                  <c:v>2870</c:v>
                </c:pt>
                <c:pt idx="4">
                  <c:v>2785</c:v>
                </c:pt>
                <c:pt idx="5">
                  <c:v>2701</c:v>
                </c:pt>
                <c:pt idx="6">
                  <c:v>2620</c:v>
                </c:pt>
                <c:pt idx="7">
                  <c:v>2541</c:v>
                </c:pt>
                <c:pt idx="8">
                  <c:v>2464</c:v>
                </c:pt>
                <c:pt idx="9">
                  <c:v>2388</c:v>
                </c:pt>
                <c:pt idx="10">
                  <c:v>2314</c:v>
                </c:pt>
                <c:pt idx="11">
                  <c:v>2242</c:v>
                </c:pt>
                <c:pt idx="12">
                  <c:v>2172</c:v>
                </c:pt>
                <c:pt idx="13">
                  <c:v>2104</c:v>
                </c:pt>
                <c:pt idx="14">
                  <c:v>2037</c:v>
                </c:pt>
                <c:pt idx="15">
                  <c:v>1972</c:v>
                </c:pt>
                <c:pt idx="16">
                  <c:v>1908</c:v>
                </c:pt>
                <c:pt idx="17">
                  <c:v>1846</c:v>
                </c:pt>
                <c:pt idx="18">
                  <c:v>1786</c:v>
                </c:pt>
                <c:pt idx="19">
                  <c:v>1727</c:v>
                </c:pt>
                <c:pt idx="20">
                  <c:v>1672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ser>
          <c:idx val="2"/>
          <c:order val="2"/>
          <c:tx>
            <c:strRef>
              <c:f>'ELD-X PHP'!$K$78</c:f>
              <c:strCache>
                <c:ptCount val="1"/>
                <c:pt idx="0">
                  <c:v>50m Zero(G7 BC=0.625, bw=143gr)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8083360926997453"/>
                  <c:y val="-0.1866505424023362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PHP'!$M$80:$M$100</c:f>
              <c:numCache>
                <c:formatCode>0.00</c:formatCode>
                <c:ptCount val="21"/>
                <c:pt idx="0">
                  <c:v>3138</c:v>
                </c:pt>
                <c:pt idx="1">
                  <c:v>3092</c:v>
                </c:pt>
                <c:pt idx="2">
                  <c:v>3047</c:v>
                </c:pt>
                <c:pt idx="3">
                  <c:v>3002</c:v>
                </c:pt>
                <c:pt idx="4">
                  <c:v>2958</c:v>
                </c:pt>
                <c:pt idx="5">
                  <c:v>2914</c:v>
                </c:pt>
                <c:pt idx="6">
                  <c:v>2871</c:v>
                </c:pt>
                <c:pt idx="7">
                  <c:v>2828</c:v>
                </c:pt>
                <c:pt idx="8">
                  <c:v>2786</c:v>
                </c:pt>
                <c:pt idx="9">
                  <c:v>2744</c:v>
                </c:pt>
                <c:pt idx="10">
                  <c:v>2703</c:v>
                </c:pt>
                <c:pt idx="11">
                  <c:v>2662</c:v>
                </c:pt>
                <c:pt idx="12">
                  <c:v>2622</c:v>
                </c:pt>
                <c:pt idx="13">
                  <c:v>2582</c:v>
                </c:pt>
                <c:pt idx="14">
                  <c:v>2543</c:v>
                </c:pt>
                <c:pt idx="15">
                  <c:v>2504</c:v>
                </c:pt>
                <c:pt idx="16">
                  <c:v>2466</c:v>
                </c:pt>
                <c:pt idx="17">
                  <c:v>2428</c:v>
                </c:pt>
                <c:pt idx="18">
                  <c:v>2390</c:v>
                </c:pt>
                <c:pt idx="19">
                  <c:v>2353</c:v>
                </c:pt>
                <c:pt idx="20">
                  <c:v>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F1D-41C9-9D7A-47C38AE4F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-2.6250009646879255</c:v>
                </c:pt>
                <c:pt idx="2">
                  <c:v>0</c:v>
                </c:pt>
                <c:pt idx="3">
                  <c:v>2.4900000914859239</c:v>
                </c:pt>
                <c:pt idx="4">
                  <c:v>5.0000004166667074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-36.400013123419015</c:v>
                </c:pt>
                <c:pt idx="11">
                  <c:v>-70.000071458420877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'ELD-X PHP'!$K$21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-1.250000026041667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-3.0000000400000006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-31.20001124864487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-104.94019022948933</c:v>
                </c:pt>
                <c:pt idx="13">
                  <c:v>-149.00044106143338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'ELD-X PHP'!$L$21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-0.70000000457333345</c:v>
                </c:pt>
                <c:pt idx="3">
                  <c:v>1.2750000122825</c:v>
                </c:pt>
                <c:pt idx="4">
                  <c:v>4.0000002133333465</c:v>
                </c:pt>
                <c:pt idx="5">
                  <c:v>4.1500001524765402</c:v>
                </c:pt>
                <c:pt idx="6">
                  <c:v>0</c:v>
                </c:pt>
                <c:pt idx="7">
                  <c:v>-6.6400002439624641</c:v>
                </c:pt>
                <c:pt idx="8">
                  <c:v>-16.700002483980715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-76.000091453465387</c:v>
                </c:pt>
                <c:pt idx="12">
                  <c:v>-100.80016859169838</c:v>
                </c:pt>
                <c:pt idx="13">
                  <c:v>-126.6002705459066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'ELD-X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-2.5500008843403683</c:v>
                </c:pt>
                <c:pt idx="2">
                  <c:v>0.70000000457333345</c:v>
                </c:pt>
                <c:pt idx="3">
                  <c:v>3.7500003125000307</c:v>
                </c:pt>
                <c:pt idx="4">
                  <c:v>5.4000005248800615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-124.00025421715874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'ELD-X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-1.2000000921600082</c:v>
                </c:pt>
                <c:pt idx="2">
                  <c:v>4.900001568653936</c:v>
                </c:pt>
                <c:pt idx="3">
                  <c:v>7.500002500001</c:v>
                </c:pt>
                <c:pt idx="4">
                  <c:v>13.320007877560153</c:v>
                </c:pt>
                <c:pt idx="5">
                  <c:v>13.125004823439628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-8.7500001822916698</c:v>
                </c:pt>
                <c:pt idx="11">
                  <c:v>-30.000005625001268</c:v>
                </c:pt>
                <c:pt idx="12">
                  <c:v>-45.900015918126634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'ELD-X PHP'!$O$21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'ELD-X PHP'!$A$22:$A$35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'ELD-X PHP'!$O$22:$O$35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1.5625002034505526</c:v>
                      </c:pt>
                      <c:pt idx="2">
                        <c:v>10.425015106633145</c:v>
                      </c:pt>
                      <c:pt idx="3">
                        <c:v>18.750039062597658</c:v>
                      </c:pt>
                      <c:pt idx="4">
                        <c:v>25.000052083463544</c:v>
                      </c:pt>
                      <c:pt idx="5">
                        <c:v>31.250065104329426</c:v>
                      </c:pt>
                      <c:pt idx="6">
                        <c:v>37.500078125195316</c:v>
                      </c:pt>
                      <c:pt idx="7">
                        <c:v>37.500043945374294</c:v>
                      </c:pt>
                      <c:pt idx="8">
                        <c:v>41.625038464664534</c:v>
                      </c:pt>
                      <c:pt idx="9">
                        <c:v>26.250006699220808</c:v>
                      </c:pt>
                      <c:pt idx="10">
                        <c:v>21.875002848307737</c:v>
                      </c:pt>
                      <c:pt idx="11">
                        <c:v>0</c:v>
                      </c:pt>
                      <c:pt idx="12">
                        <c:v>-28.125003662109947</c:v>
                      </c:pt>
                      <c:pt idx="13">
                        <c:v>-45.000012150003933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6C58-4D06-8D06-CB901B32B0F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'ELD-X PHP'!$P$21</c15:sqref>
                        </c15:formulaRef>
                      </c:ext>
                    </c:extLst>
                    <c:strCache>
                      <c:ptCount val="1"/>
                      <c:pt idx="0">
                        <c:v>500m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'ELD-X PHP'!$A$22:$A$35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'ELD-X PHP'!$P$22:$P$35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3.1218766227272474</c:v>
                      </c:pt>
                      <c:pt idx="2">
                        <c:v>11.718771457719267</c:v>
                      </c:pt>
                      <c:pt idx="3">
                        <c:v>19.335980340356286</c:v>
                      </c:pt>
                      <c:pt idx="4">
                        <c:v>28.125074157949481</c:v>
                      </c:pt>
                      <c:pt idx="5">
                        <c:v>34.921965855816502</c:v>
                      </c:pt>
                      <c:pt idx="6">
                        <c:v>37.518828242441899</c:v>
                      </c:pt>
                      <c:pt idx="7">
                        <c:v>46.875085830877069</c:v>
                      </c:pt>
                      <c:pt idx="8">
                        <c:v>51.56257311413809</c:v>
                      </c:pt>
                      <c:pt idx="9">
                        <c:v>49.21879415993677</c:v>
                      </c:pt>
                      <c:pt idx="10">
                        <c:v>43.706272718181459</c:v>
                      </c:pt>
                      <c:pt idx="11">
                        <c:v>37.500010986331986</c:v>
                      </c:pt>
                      <c:pt idx="12">
                        <c:v>21.093751544952529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C58-4D06-8D06-CB901B32B0F2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042806742711284"/>
                  <c:y val="-0.675410948631421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PHP'!$C$23:$C$35</c:f>
              <c:numCache>
                <c:formatCode>0.000</c:formatCode>
                <c:ptCount val="13"/>
                <c:pt idx="0">
                  <c:v>-0.26250000000000001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0.125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-0.26</c:v>
                </c:pt>
                <c:pt idx="10">
                  <c:v>-0.4375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'ELD-X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157934514862182"/>
                  <c:y val="-0.666135358080239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-6.25E-2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-0.125</c:v>
                </c:pt>
                <c:pt idx="7">
                  <c:v>-0.1875</c:v>
                </c:pt>
                <c:pt idx="8">
                  <c:v>-0.26</c:v>
                </c:pt>
                <c:pt idx="9">
                  <c:v>-0.375</c:v>
                </c:pt>
                <c:pt idx="10">
                  <c:v>-0.5</c:v>
                </c:pt>
                <c:pt idx="11">
                  <c:v>-0.58299999999999996</c:v>
                </c:pt>
                <c:pt idx="12">
                  <c:v>-0.745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'ELD-X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598416754899404"/>
                  <c:y val="-0.442339332583427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-3.5000000000000003E-2</c:v>
                </c:pt>
                <c:pt idx="2">
                  <c:v>4.2500000000000003E-2</c:v>
                </c:pt>
                <c:pt idx="3">
                  <c:v>0.1</c:v>
                </c:pt>
                <c:pt idx="4">
                  <c:v>8.3000000000000004E-2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-0.16700000000000001</c:v>
                </c:pt>
                <c:pt idx="8">
                  <c:v>-0.25</c:v>
                </c:pt>
                <c:pt idx="9">
                  <c:v>-0.33300000000000002</c:v>
                </c:pt>
                <c:pt idx="10">
                  <c:v>-0.47499999999999998</c:v>
                </c:pt>
                <c:pt idx="11">
                  <c:v>-0.56000000000000005</c:v>
                </c:pt>
                <c:pt idx="12">
                  <c:v>-0.63300000000000001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'ELD-X PHP'!$F$21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54875032285899"/>
                  <c:y val="-0.52450112485939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PHP'!$F$23:$F$35</c:f>
              <c:numCache>
                <c:formatCode>0.000</c:formatCode>
                <c:ptCount val="13"/>
                <c:pt idx="0">
                  <c:v>-0.255</c:v>
                </c:pt>
                <c:pt idx="1">
                  <c:v>3.5000000000000003E-2</c:v>
                </c:pt>
                <c:pt idx="2">
                  <c:v>0.125</c:v>
                </c:pt>
                <c:pt idx="3">
                  <c:v>0.13500000000000001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'ELD-X PHP'!$G$21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PHP'!$G$23:$G$35</c:f>
              <c:numCache>
                <c:formatCode>0.000</c:formatCode>
                <c:ptCount val="13"/>
                <c:pt idx="0">
                  <c:v>-0.12</c:v>
                </c:pt>
                <c:pt idx="1">
                  <c:v>0.245</c:v>
                </c:pt>
                <c:pt idx="2">
                  <c:v>0.25</c:v>
                </c:pt>
                <c:pt idx="3">
                  <c:v>0.33300000000000002</c:v>
                </c:pt>
                <c:pt idx="4">
                  <c:v>0.26250000000000001</c:v>
                </c:pt>
                <c:pt idx="5">
                  <c:v>0.25</c:v>
                </c:pt>
                <c:pt idx="6">
                  <c:v>0.1875</c:v>
                </c:pt>
                <c:pt idx="7">
                  <c:v>0.125</c:v>
                </c:pt>
                <c:pt idx="8">
                  <c:v>0</c:v>
                </c:pt>
                <c:pt idx="9">
                  <c:v>-6.25E-2</c:v>
                </c:pt>
                <c:pt idx="10">
                  <c:v>-0.1875</c:v>
                </c:pt>
                <c:pt idx="11">
                  <c:v>-0.255</c:v>
                </c:pt>
                <c:pt idx="12">
                  <c:v>-0.41699999999999998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ser>
          <c:idx val="5"/>
          <c:order val="5"/>
          <c:tx>
            <c:strRef>
              <c:f>'ELD-X PHP'!$H$21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8512116008082194"/>
                  <c:y val="0.27143832020997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PHP'!$H$23:$H$35</c:f>
              <c:numCache>
                <c:formatCode>0.000</c:formatCode>
                <c:ptCount val="13"/>
                <c:pt idx="0">
                  <c:v>0.125</c:v>
                </c:pt>
                <c:pt idx="1">
                  <c:v>0.41699999999999998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0.375</c:v>
                </c:pt>
                <c:pt idx="7">
                  <c:v>0.33300000000000002</c:v>
                </c:pt>
                <c:pt idx="8">
                  <c:v>0.17499999999999999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0-4A5E-B679-7EAF33ADFE6E}"/>
            </c:ext>
          </c:extLst>
        </c:ser>
        <c:ser>
          <c:idx val="6"/>
          <c:order val="6"/>
          <c:tx>
            <c:strRef>
              <c:f>'ELD-X PHP'!$I$21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30075379240069444"/>
                  <c:y val="0.419986689163854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PHP'!$I$23:$I$35</c:f>
              <c:numCache>
                <c:formatCode>0.000</c:formatCode>
                <c:ptCount val="13"/>
                <c:pt idx="0">
                  <c:v>0.33300000000000002</c:v>
                </c:pt>
                <c:pt idx="1">
                  <c:v>0.625</c:v>
                </c:pt>
                <c:pt idx="2">
                  <c:v>0.6875</c:v>
                </c:pt>
                <c:pt idx="3">
                  <c:v>0.75</c:v>
                </c:pt>
                <c:pt idx="4">
                  <c:v>0.745</c:v>
                </c:pt>
                <c:pt idx="5">
                  <c:v>0.66700000000000004</c:v>
                </c:pt>
                <c:pt idx="6">
                  <c:v>0.625</c:v>
                </c:pt>
                <c:pt idx="7">
                  <c:v>0.55000000000000004</c:v>
                </c:pt>
                <c:pt idx="8">
                  <c:v>0.4375</c:v>
                </c:pt>
                <c:pt idx="9">
                  <c:v>0.33300000000000002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300-4A5E-B679-7EAF33AD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178618122406032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'ELD-X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973732190278223"/>
                  <c:y val="-0.3112858337963229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-2.6250009646879255</c:v>
                </c:pt>
                <c:pt idx="2">
                  <c:v>0</c:v>
                </c:pt>
                <c:pt idx="3">
                  <c:v>2.4900000914859239</c:v>
                </c:pt>
                <c:pt idx="4">
                  <c:v>5.0000004166667074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-36.400013123419015</c:v>
                </c:pt>
                <c:pt idx="11">
                  <c:v>-70.000071458420877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'ELD-X PHP'!$A$78</c:f>
              <c:strCache>
                <c:ptCount val="1"/>
                <c:pt idx="0">
                  <c:v>50m zero(G1 BC=0.625,bw=143gr))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-0.1</c:v>
                </c:pt>
                <c:pt idx="5">
                  <c:v>-1.7</c:v>
                </c:pt>
                <c:pt idx="6">
                  <c:v>-4.3</c:v>
                </c:pt>
                <c:pt idx="7">
                  <c:v>-8</c:v>
                </c:pt>
                <c:pt idx="8">
                  <c:v>-12.9</c:v>
                </c:pt>
                <c:pt idx="9">
                  <c:v>-18.899999999999999</c:v>
                </c:pt>
                <c:pt idx="10">
                  <c:v>-26.1</c:v>
                </c:pt>
                <c:pt idx="11">
                  <c:v>-34.9</c:v>
                </c:pt>
                <c:pt idx="12">
                  <c:v>-44.6</c:v>
                </c:pt>
                <c:pt idx="13">
                  <c:v>-55.7</c:v>
                </c:pt>
                <c:pt idx="14">
                  <c:v>-68.599999999999994</c:v>
                </c:pt>
                <c:pt idx="15">
                  <c:v>-82.5</c:v>
                </c:pt>
                <c:pt idx="16">
                  <c:v>-97.9</c:v>
                </c:pt>
                <c:pt idx="17">
                  <c:v>-115.4</c:v>
                </c:pt>
                <c:pt idx="18">
                  <c:v>-134</c:v>
                </c:pt>
                <c:pt idx="19">
                  <c:v>-154.1</c:v>
                </c:pt>
                <c:pt idx="20">
                  <c:v>-176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ser>
          <c:idx val="2"/>
          <c:order val="2"/>
          <c:tx>
            <c:strRef>
              <c:f>'ELD-X PHP'!$K$78</c:f>
              <c:strCache>
                <c:ptCount val="1"/>
                <c:pt idx="0">
                  <c:v>50m Zero(G7 BC=0.625, bw=143gr)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'ELD-X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-1.4</c:v>
                </c:pt>
                <c:pt idx="6">
                  <c:v>-3.8</c:v>
                </c:pt>
                <c:pt idx="7">
                  <c:v>-7.2</c:v>
                </c:pt>
                <c:pt idx="8">
                  <c:v>-11.7</c:v>
                </c:pt>
                <c:pt idx="9">
                  <c:v>-17.100000000000001</c:v>
                </c:pt>
                <c:pt idx="10">
                  <c:v>-23.5</c:v>
                </c:pt>
                <c:pt idx="11">
                  <c:v>-31.2</c:v>
                </c:pt>
                <c:pt idx="12">
                  <c:v>-39.799999999999997</c:v>
                </c:pt>
                <c:pt idx="13">
                  <c:v>-49.4</c:v>
                </c:pt>
                <c:pt idx="14">
                  <c:v>-60.5</c:v>
                </c:pt>
                <c:pt idx="15">
                  <c:v>-72.400000000000006</c:v>
                </c:pt>
                <c:pt idx="16">
                  <c:v>-85.4</c:v>
                </c:pt>
                <c:pt idx="17">
                  <c:v>-100.1</c:v>
                </c:pt>
                <c:pt idx="18">
                  <c:v>-115.4</c:v>
                </c:pt>
                <c:pt idx="19">
                  <c:v>-132</c:v>
                </c:pt>
                <c:pt idx="20">
                  <c:v>-149.69999999999999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57E-426B-BBD8-A5A99D1FB5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-1.250000026041667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-3.0000000400000006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-31.20001124864487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-104.94019022948933</c:v>
                </c:pt>
                <c:pt idx="13">
                  <c:v>-149.00044106143338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'ELD-X PHP'!$A$102</c:f>
              <c:strCache>
                <c:ptCount val="1"/>
                <c:pt idx="0">
                  <c:v>100m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0.1</c:v>
                </c:pt>
                <c:pt idx="3">
                  <c:v>0.5</c:v>
                </c:pt>
                <c:pt idx="4">
                  <c:v>0</c:v>
                </c:pt>
                <c:pt idx="5">
                  <c:v>-1.6</c:v>
                </c:pt>
                <c:pt idx="6">
                  <c:v>-4.0999999999999996</c:v>
                </c:pt>
                <c:pt idx="7">
                  <c:v>-7.8</c:v>
                </c:pt>
                <c:pt idx="8">
                  <c:v>-12.8</c:v>
                </c:pt>
                <c:pt idx="9">
                  <c:v>-18.7</c:v>
                </c:pt>
                <c:pt idx="10">
                  <c:v>-25.9</c:v>
                </c:pt>
                <c:pt idx="11">
                  <c:v>-34.6</c:v>
                </c:pt>
                <c:pt idx="12">
                  <c:v>-44.3</c:v>
                </c:pt>
                <c:pt idx="13">
                  <c:v>-55.3</c:v>
                </c:pt>
                <c:pt idx="14">
                  <c:v>-68.2</c:v>
                </c:pt>
                <c:pt idx="15">
                  <c:v>-82</c:v>
                </c:pt>
                <c:pt idx="16">
                  <c:v>-97.4</c:v>
                </c:pt>
                <c:pt idx="17">
                  <c:v>-114.8</c:v>
                </c:pt>
                <c:pt idx="18">
                  <c:v>-133.30000000000001</c:v>
                </c:pt>
                <c:pt idx="19">
                  <c:v>-153.4</c:v>
                </c:pt>
                <c:pt idx="20">
                  <c:v>-175.2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ser>
          <c:idx val="2"/>
          <c:order val="2"/>
          <c:tx>
            <c:strRef>
              <c:f>'ELD-X PHP'!$K$102</c:f>
              <c:strCache>
                <c:ptCount val="1"/>
                <c:pt idx="0">
                  <c:v>100m Zero(G7 BC=0.625, bw=143gr)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'ELD-X PHP'!$K$104:$K$124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-1.4</c:v>
                </c:pt>
                <c:pt idx="6">
                  <c:v>-3.8</c:v>
                </c:pt>
                <c:pt idx="7">
                  <c:v>-7.2</c:v>
                </c:pt>
                <c:pt idx="8">
                  <c:v>-11.7</c:v>
                </c:pt>
                <c:pt idx="9">
                  <c:v>-17.100000000000001</c:v>
                </c:pt>
                <c:pt idx="10">
                  <c:v>-23.5</c:v>
                </c:pt>
                <c:pt idx="11">
                  <c:v>-31.2</c:v>
                </c:pt>
                <c:pt idx="12">
                  <c:v>-39.799999999999997</c:v>
                </c:pt>
                <c:pt idx="13">
                  <c:v>-49.4</c:v>
                </c:pt>
                <c:pt idx="14">
                  <c:v>-60.5</c:v>
                </c:pt>
                <c:pt idx="15">
                  <c:v>-72.400000000000006</c:v>
                </c:pt>
                <c:pt idx="16">
                  <c:v>-85.4</c:v>
                </c:pt>
                <c:pt idx="17">
                  <c:v>-100.1</c:v>
                </c:pt>
                <c:pt idx="18">
                  <c:v>-115.4</c:v>
                </c:pt>
                <c:pt idx="19">
                  <c:v>-132</c:v>
                </c:pt>
                <c:pt idx="20">
                  <c:v>-149.69999999999999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3B6-416A-817E-FE78EC556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-0.70000000457333345</c:v>
                </c:pt>
                <c:pt idx="3">
                  <c:v>1.2750000122825</c:v>
                </c:pt>
                <c:pt idx="4">
                  <c:v>4.0000002133333465</c:v>
                </c:pt>
                <c:pt idx="5">
                  <c:v>4.1500001524765402</c:v>
                </c:pt>
                <c:pt idx="6">
                  <c:v>0</c:v>
                </c:pt>
                <c:pt idx="7">
                  <c:v>-6.6400002439624641</c:v>
                </c:pt>
                <c:pt idx="8">
                  <c:v>-16.700002483980715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-76.000091453465387</c:v>
                </c:pt>
                <c:pt idx="12">
                  <c:v>-100.80016859169838</c:v>
                </c:pt>
                <c:pt idx="13">
                  <c:v>-126.6002705459066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'ELD-X PHP'!$A$126</c:f>
              <c:strCache>
                <c:ptCount val="1"/>
                <c:pt idx="0">
                  <c:v>150m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1.4</c:v>
                </c:pt>
                <c:pt idx="3">
                  <c:v>2.6</c:v>
                </c:pt>
                <c:pt idx="4">
                  <c:v>2.8</c:v>
                </c:pt>
                <c:pt idx="5">
                  <c:v>1.9</c:v>
                </c:pt>
                <c:pt idx="6">
                  <c:v>0</c:v>
                </c:pt>
                <c:pt idx="7">
                  <c:v>-3</c:v>
                </c:pt>
                <c:pt idx="8">
                  <c:v>-7.2</c:v>
                </c:pt>
                <c:pt idx="9">
                  <c:v>-12.5</c:v>
                </c:pt>
                <c:pt idx="10">
                  <c:v>-19</c:v>
                </c:pt>
                <c:pt idx="11">
                  <c:v>-27</c:v>
                </c:pt>
                <c:pt idx="12">
                  <c:v>-36</c:v>
                </c:pt>
                <c:pt idx="13">
                  <c:v>-46.4</c:v>
                </c:pt>
                <c:pt idx="14">
                  <c:v>-58.5</c:v>
                </c:pt>
                <c:pt idx="15">
                  <c:v>-71.7</c:v>
                </c:pt>
                <c:pt idx="16">
                  <c:v>-86.3</c:v>
                </c:pt>
                <c:pt idx="17">
                  <c:v>-103.1</c:v>
                </c:pt>
                <c:pt idx="18">
                  <c:v>-120.9</c:v>
                </c:pt>
                <c:pt idx="19">
                  <c:v>-140.30000000000001</c:v>
                </c:pt>
                <c:pt idx="20">
                  <c:v>-161.5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ser>
          <c:idx val="2"/>
          <c:order val="2"/>
          <c:tx>
            <c:strRef>
              <c:f>'ELD-X PHP'!$K$126</c:f>
              <c:strCache>
                <c:ptCount val="1"/>
                <c:pt idx="0">
                  <c:v>150m Zero(G7 BC=0.625, bw=143gr)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'ELD-X PHP'!$K$128:$K$148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2.4</c:v>
                </c:pt>
                <c:pt idx="4">
                  <c:v>2.6</c:v>
                </c:pt>
                <c:pt idx="5">
                  <c:v>1.8</c:v>
                </c:pt>
                <c:pt idx="6">
                  <c:v>0</c:v>
                </c:pt>
                <c:pt idx="7">
                  <c:v>-2.7</c:v>
                </c:pt>
                <c:pt idx="8">
                  <c:v>-6.6</c:v>
                </c:pt>
                <c:pt idx="9">
                  <c:v>-11.4</c:v>
                </c:pt>
                <c:pt idx="10">
                  <c:v>-17.100000000000001</c:v>
                </c:pt>
                <c:pt idx="11">
                  <c:v>-24.2</c:v>
                </c:pt>
                <c:pt idx="12">
                  <c:v>-32.200000000000003</c:v>
                </c:pt>
                <c:pt idx="13">
                  <c:v>-41.1</c:v>
                </c:pt>
                <c:pt idx="14">
                  <c:v>-51.6</c:v>
                </c:pt>
                <c:pt idx="15">
                  <c:v>-62.9</c:v>
                </c:pt>
                <c:pt idx="16">
                  <c:v>-75.2</c:v>
                </c:pt>
                <c:pt idx="17">
                  <c:v>-89.3</c:v>
                </c:pt>
                <c:pt idx="18">
                  <c:v>-104</c:v>
                </c:pt>
                <c:pt idx="19">
                  <c:v>-119.9</c:v>
                </c:pt>
                <c:pt idx="20">
                  <c:v>-137.1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F84-4D8F-B04C-93264B3AC1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-2.5500008843403683</c:v>
                </c:pt>
                <c:pt idx="2">
                  <c:v>0.70000000457333345</c:v>
                </c:pt>
                <c:pt idx="3">
                  <c:v>3.7500003125000307</c:v>
                </c:pt>
                <c:pt idx="4">
                  <c:v>5.4000005248800615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-124.00025421715874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'ELD-X PHP'!$A$150</c:f>
              <c:strCache>
                <c:ptCount val="1"/>
                <c:pt idx="0">
                  <c:v>200m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0.2</c:v>
                </c:pt>
                <c:pt idx="2">
                  <c:v>3.3</c:v>
                </c:pt>
                <c:pt idx="3">
                  <c:v>5.3</c:v>
                </c:pt>
                <c:pt idx="4">
                  <c:v>6.4</c:v>
                </c:pt>
                <c:pt idx="5">
                  <c:v>6.4</c:v>
                </c:pt>
                <c:pt idx="6">
                  <c:v>5.4</c:v>
                </c:pt>
                <c:pt idx="7">
                  <c:v>3.3</c:v>
                </c:pt>
                <c:pt idx="8">
                  <c:v>0</c:v>
                </c:pt>
                <c:pt idx="9">
                  <c:v>-4.4000000000000004</c:v>
                </c:pt>
                <c:pt idx="10">
                  <c:v>-10</c:v>
                </c:pt>
                <c:pt idx="11">
                  <c:v>-17</c:v>
                </c:pt>
                <c:pt idx="12">
                  <c:v>-25.2</c:v>
                </c:pt>
                <c:pt idx="13">
                  <c:v>-34.6</c:v>
                </c:pt>
                <c:pt idx="14">
                  <c:v>-45.8</c:v>
                </c:pt>
                <c:pt idx="15">
                  <c:v>-58.1</c:v>
                </c:pt>
                <c:pt idx="16">
                  <c:v>-71.900000000000006</c:v>
                </c:pt>
                <c:pt idx="17">
                  <c:v>-87.7</c:v>
                </c:pt>
                <c:pt idx="18">
                  <c:v>-104.6</c:v>
                </c:pt>
                <c:pt idx="19">
                  <c:v>-123.2</c:v>
                </c:pt>
                <c:pt idx="20">
                  <c:v>-143.4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ser>
          <c:idx val="2"/>
          <c:order val="2"/>
          <c:tx>
            <c:strRef>
              <c:f>'ELD-X PHP'!$K$150</c:f>
              <c:strCache>
                <c:ptCount val="1"/>
                <c:pt idx="0">
                  <c:v>200m Zero(G7 BC=0.625, bw=143gr)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'ELD-X PHP'!$K$152:$K$172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0</c:v>
                </c:pt>
                <c:pt idx="2">
                  <c:v>2.9</c:v>
                </c:pt>
                <c:pt idx="3">
                  <c:v>4.8</c:v>
                </c:pt>
                <c:pt idx="4">
                  <c:v>5.8</c:v>
                </c:pt>
                <c:pt idx="5">
                  <c:v>5.9</c:v>
                </c:pt>
                <c:pt idx="6">
                  <c:v>4.9000000000000004</c:v>
                </c:pt>
                <c:pt idx="7">
                  <c:v>3</c:v>
                </c:pt>
                <c:pt idx="8">
                  <c:v>0</c:v>
                </c:pt>
                <c:pt idx="9">
                  <c:v>-4</c:v>
                </c:pt>
                <c:pt idx="10">
                  <c:v>-8.9</c:v>
                </c:pt>
                <c:pt idx="11">
                  <c:v>-15.2</c:v>
                </c:pt>
                <c:pt idx="12">
                  <c:v>-22.3</c:v>
                </c:pt>
                <c:pt idx="13">
                  <c:v>-30.5</c:v>
                </c:pt>
                <c:pt idx="14">
                  <c:v>-40.1</c:v>
                </c:pt>
                <c:pt idx="15">
                  <c:v>-50.6</c:v>
                </c:pt>
                <c:pt idx="16">
                  <c:v>-62.1</c:v>
                </c:pt>
                <c:pt idx="17">
                  <c:v>-75.3</c:v>
                </c:pt>
                <c:pt idx="18">
                  <c:v>-89.3</c:v>
                </c:pt>
                <c:pt idx="19">
                  <c:v>-104.4</c:v>
                </c:pt>
                <c:pt idx="20">
                  <c:v>-120.7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224-4A54-B47C-75AB637ED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-1.2000000921600082</c:v>
                </c:pt>
                <c:pt idx="2">
                  <c:v>4.900001568653936</c:v>
                </c:pt>
                <c:pt idx="3">
                  <c:v>7.500002500001</c:v>
                </c:pt>
                <c:pt idx="4">
                  <c:v>13.320007877560153</c:v>
                </c:pt>
                <c:pt idx="5">
                  <c:v>13.125004823439628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-8.7500001822916698</c:v>
                </c:pt>
                <c:pt idx="11">
                  <c:v>-30.000005625001268</c:v>
                </c:pt>
                <c:pt idx="12">
                  <c:v>-45.900015918126634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1"/>
          <c:order val="1"/>
          <c:tx>
            <c:strRef>
              <c:f>'ELD-X PHP'!$A$174</c:f>
              <c:strCache>
                <c:ptCount val="1"/>
                <c:pt idx="0">
                  <c:v>300m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2.2000000000000002</c:v>
                </c:pt>
                <c:pt idx="2">
                  <c:v>7.5</c:v>
                </c:pt>
                <c:pt idx="3">
                  <c:v>11.6</c:v>
                </c:pt>
                <c:pt idx="4">
                  <c:v>14.8</c:v>
                </c:pt>
                <c:pt idx="5">
                  <c:v>17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16.899999999999999</c:v>
                </c:pt>
                <c:pt idx="9">
                  <c:v>14.6</c:v>
                </c:pt>
                <c:pt idx="10">
                  <c:v>11.1</c:v>
                </c:pt>
                <c:pt idx="11">
                  <c:v>6.2</c:v>
                </c:pt>
                <c:pt idx="12">
                  <c:v>0.1</c:v>
                </c:pt>
                <c:pt idx="13">
                  <c:v>-7.2</c:v>
                </c:pt>
                <c:pt idx="14">
                  <c:v>-16.3</c:v>
                </c:pt>
                <c:pt idx="15">
                  <c:v>-26.5</c:v>
                </c:pt>
                <c:pt idx="16">
                  <c:v>-38.200000000000003</c:v>
                </c:pt>
                <c:pt idx="17">
                  <c:v>-51.9</c:v>
                </c:pt>
                <c:pt idx="18">
                  <c:v>-66.7</c:v>
                </c:pt>
                <c:pt idx="19">
                  <c:v>-83.2</c:v>
                </c:pt>
                <c:pt idx="20">
                  <c:v>-101.3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9-4B49-A310-17615B48A297}"/>
            </c:ext>
          </c:extLst>
        </c:ser>
        <c:ser>
          <c:idx val="2"/>
          <c:order val="2"/>
          <c:tx>
            <c:strRef>
              <c:f>'ELD-X PHP'!$K$174</c:f>
              <c:strCache>
                <c:ptCount val="1"/>
                <c:pt idx="0">
                  <c:v>300m Zero(G7 BC=0.625, bw=143gr)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'ELD-X PHP'!$K$176:$K$196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1.8</c:v>
                </c:pt>
                <c:pt idx="2">
                  <c:v>6.7</c:v>
                </c:pt>
                <c:pt idx="3">
                  <c:v>10.5</c:v>
                </c:pt>
                <c:pt idx="4">
                  <c:v>13.3</c:v>
                </c:pt>
                <c:pt idx="5">
                  <c:v>15.2</c:v>
                </c:pt>
                <c:pt idx="6">
                  <c:v>16.100000000000001</c:v>
                </c:pt>
                <c:pt idx="7">
                  <c:v>16</c:v>
                </c:pt>
                <c:pt idx="8">
                  <c:v>14.9</c:v>
                </c:pt>
                <c:pt idx="9">
                  <c:v>12.8</c:v>
                </c:pt>
                <c:pt idx="10">
                  <c:v>9.6999999999999993</c:v>
                </c:pt>
                <c:pt idx="11">
                  <c:v>5.3</c:v>
                </c:pt>
                <c:pt idx="12">
                  <c:v>0.1</c:v>
                </c:pt>
                <c:pt idx="13">
                  <c:v>-6.3</c:v>
                </c:pt>
                <c:pt idx="14">
                  <c:v>-14</c:v>
                </c:pt>
                <c:pt idx="15">
                  <c:v>-22.6</c:v>
                </c:pt>
                <c:pt idx="16">
                  <c:v>-32.299999999999997</c:v>
                </c:pt>
                <c:pt idx="17">
                  <c:v>-43.6</c:v>
                </c:pt>
                <c:pt idx="18">
                  <c:v>-55.7</c:v>
                </c:pt>
                <c:pt idx="19">
                  <c:v>-69</c:v>
                </c:pt>
                <c:pt idx="20">
                  <c:v>-83.5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7-4031-9D29-EE856EC90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32589366923194E-2"/>
                  <c:y val="-0.287310440361621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1.5625002034505526</c:v>
                </c:pt>
                <c:pt idx="2">
                  <c:v>10.425015106633145</c:v>
                </c:pt>
                <c:pt idx="3">
                  <c:v>18.750039062597658</c:v>
                </c:pt>
                <c:pt idx="4">
                  <c:v>25.000052083463544</c:v>
                </c:pt>
                <c:pt idx="5">
                  <c:v>31.250065104329426</c:v>
                </c:pt>
                <c:pt idx="6">
                  <c:v>37.500078125195316</c:v>
                </c:pt>
                <c:pt idx="7">
                  <c:v>37.500043945374294</c:v>
                </c:pt>
                <c:pt idx="8">
                  <c:v>41.625038464664534</c:v>
                </c:pt>
                <c:pt idx="9">
                  <c:v>26.250006699220808</c:v>
                </c:pt>
                <c:pt idx="10">
                  <c:v>21.875002848307737</c:v>
                </c:pt>
                <c:pt idx="11">
                  <c:v>0</c:v>
                </c:pt>
                <c:pt idx="12">
                  <c:v>-28.125003662109947</c:v>
                </c:pt>
                <c:pt idx="13">
                  <c:v>-45.000012150003933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A1-4001-A4D3-B20E76782219}"/>
            </c:ext>
          </c:extLst>
        </c:ser>
        <c:ser>
          <c:idx val="1"/>
          <c:order val="1"/>
          <c:tx>
            <c:strRef>
              <c:f>'ELD-X PHP'!$A$198</c:f>
              <c:strCache>
                <c:ptCount val="1"/>
                <c:pt idx="0">
                  <c:v>400m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87775414211838"/>
                  <c:y val="-0.16135680956547099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2.2000000000000002</c:v>
                </c:pt>
                <c:pt idx="2">
                  <c:v>7.5</c:v>
                </c:pt>
                <c:pt idx="3">
                  <c:v>11.6</c:v>
                </c:pt>
                <c:pt idx="4">
                  <c:v>14.8</c:v>
                </c:pt>
                <c:pt idx="5">
                  <c:v>17</c:v>
                </c:pt>
                <c:pt idx="6">
                  <c:v>18.100000000000001</c:v>
                </c:pt>
                <c:pt idx="7">
                  <c:v>18.100000000000001</c:v>
                </c:pt>
                <c:pt idx="8">
                  <c:v>16.899999999999999</c:v>
                </c:pt>
                <c:pt idx="9">
                  <c:v>14.6</c:v>
                </c:pt>
                <c:pt idx="10">
                  <c:v>11.1</c:v>
                </c:pt>
                <c:pt idx="11">
                  <c:v>6.2</c:v>
                </c:pt>
                <c:pt idx="12">
                  <c:v>0.1</c:v>
                </c:pt>
                <c:pt idx="13">
                  <c:v>-7.2</c:v>
                </c:pt>
                <c:pt idx="14">
                  <c:v>-16.3</c:v>
                </c:pt>
                <c:pt idx="15">
                  <c:v>-26.5</c:v>
                </c:pt>
                <c:pt idx="16">
                  <c:v>-38.200000000000003</c:v>
                </c:pt>
                <c:pt idx="17">
                  <c:v>-51.9</c:v>
                </c:pt>
                <c:pt idx="18">
                  <c:v>-66.7</c:v>
                </c:pt>
                <c:pt idx="19">
                  <c:v>-83.2</c:v>
                </c:pt>
                <c:pt idx="20">
                  <c:v>-101.3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EA1-4001-A4D3-B20E76782219}"/>
            </c:ext>
          </c:extLst>
        </c:ser>
        <c:ser>
          <c:idx val="2"/>
          <c:order val="2"/>
          <c:tx>
            <c:strRef>
              <c:f>'ELD-X PHP'!$K$198</c:f>
              <c:strCache>
                <c:ptCount val="1"/>
                <c:pt idx="0">
                  <c:v>400m Zero(G7 BC=0.625, bw=143gr)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'ELD-X PHP'!$K$200:$K$220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3.8</c:v>
                </c:pt>
                <c:pt idx="2">
                  <c:v>10.8</c:v>
                </c:pt>
                <c:pt idx="3">
                  <c:v>16.600000000000001</c:v>
                </c:pt>
                <c:pt idx="4">
                  <c:v>21.4</c:v>
                </c:pt>
                <c:pt idx="5">
                  <c:v>25.4</c:v>
                </c:pt>
                <c:pt idx="6">
                  <c:v>28.3</c:v>
                </c:pt>
                <c:pt idx="7">
                  <c:v>30.3</c:v>
                </c:pt>
                <c:pt idx="8">
                  <c:v>31.2</c:v>
                </c:pt>
                <c:pt idx="9">
                  <c:v>31.1</c:v>
                </c:pt>
                <c:pt idx="10">
                  <c:v>30</c:v>
                </c:pt>
                <c:pt idx="11">
                  <c:v>27.7</c:v>
                </c:pt>
                <c:pt idx="12">
                  <c:v>24.5</c:v>
                </c:pt>
                <c:pt idx="13">
                  <c:v>20.100000000000001</c:v>
                </c:pt>
                <c:pt idx="14">
                  <c:v>14.5</c:v>
                </c:pt>
                <c:pt idx="15">
                  <c:v>7.9</c:v>
                </c:pt>
                <c:pt idx="16">
                  <c:v>0.2</c:v>
                </c:pt>
                <c:pt idx="17">
                  <c:v>-9</c:v>
                </c:pt>
                <c:pt idx="18">
                  <c:v>-19.100000000000001</c:v>
                </c:pt>
                <c:pt idx="19">
                  <c:v>-30.4</c:v>
                </c:pt>
                <c:pt idx="20">
                  <c:v>-42.9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7A5-4422-AA16-8ECE5D6B61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3.1218766227272474</c:v>
                </c:pt>
                <c:pt idx="2">
                  <c:v>11.718771457719267</c:v>
                </c:pt>
                <c:pt idx="3">
                  <c:v>19.335980340356286</c:v>
                </c:pt>
                <c:pt idx="4">
                  <c:v>28.125074157949481</c:v>
                </c:pt>
                <c:pt idx="5">
                  <c:v>34.921965855816502</c:v>
                </c:pt>
                <c:pt idx="6">
                  <c:v>37.518828242441899</c:v>
                </c:pt>
                <c:pt idx="7">
                  <c:v>46.875085830877069</c:v>
                </c:pt>
                <c:pt idx="8">
                  <c:v>51.56257311413809</c:v>
                </c:pt>
                <c:pt idx="9">
                  <c:v>49.21879415993677</c:v>
                </c:pt>
                <c:pt idx="10">
                  <c:v>43.706272718181459</c:v>
                </c:pt>
                <c:pt idx="11">
                  <c:v>37.500010986331986</c:v>
                </c:pt>
                <c:pt idx="12">
                  <c:v>21.093751544952529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D8-49E5-9864-9116BB66C688}"/>
            </c:ext>
          </c:extLst>
        </c:ser>
        <c:ser>
          <c:idx val="1"/>
          <c:order val="1"/>
          <c:tx>
            <c:strRef>
              <c:f>'ELD-X PHP'!$A$222</c:f>
              <c:strCache>
                <c:ptCount val="1"/>
                <c:pt idx="0">
                  <c:v>500m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7.3</c:v>
                </c:pt>
                <c:pt idx="2">
                  <c:v>17.8</c:v>
                </c:pt>
                <c:pt idx="3">
                  <c:v>27</c:v>
                </c:pt>
                <c:pt idx="4">
                  <c:v>35.200000000000003</c:v>
                </c:pt>
                <c:pt idx="5">
                  <c:v>42.6</c:v>
                </c:pt>
                <c:pt idx="6">
                  <c:v>48.7</c:v>
                </c:pt>
                <c:pt idx="7">
                  <c:v>53.8</c:v>
                </c:pt>
                <c:pt idx="8">
                  <c:v>57.8</c:v>
                </c:pt>
                <c:pt idx="9">
                  <c:v>60.6</c:v>
                </c:pt>
                <c:pt idx="10">
                  <c:v>62.1</c:v>
                </c:pt>
                <c:pt idx="11">
                  <c:v>62.4</c:v>
                </c:pt>
                <c:pt idx="12">
                  <c:v>61.4</c:v>
                </c:pt>
                <c:pt idx="13">
                  <c:v>59.1</c:v>
                </c:pt>
                <c:pt idx="14">
                  <c:v>55.3</c:v>
                </c:pt>
                <c:pt idx="15">
                  <c:v>50.1</c:v>
                </c:pt>
                <c:pt idx="16">
                  <c:v>43.5</c:v>
                </c:pt>
                <c:pt idx="17">
                  <c:v>35</c:v>
                </c:pt>
                <c:pt idx="18">
                  <c:v>25.2</c:v>
                </c:pt>
                <c:pt idx="19">
                  <c:v>13.8</c:v>
                </c:pt>
                <c:pt idx="20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D8-49E5-9864-9116BB66C688}"/>
            </c:ext>
          </c:extLst>
        </c:ser>
        <c:ser>
          <c:idx val="2"/>
          <c:order val="2"/>
          <c:tx>
            <c:strRef>
              <c:f>'ELD-X PHP'!$K$222</c:f>
              <c:strCache>
                <c:ptCount val="1"/>
                <c:pt idx="0">
                  <c:v>500m Zero(G7 BC=0.625, bw=143gr)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'ELD-X PHP'!$K$224:$K$244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</c:v>
                </c:pt>
                <c:pt idx="2">
                  <c:v>15.2</c:v>
                </c:pt>
                <c:pt idx="3">
                  <c:v>23.1</c:v>
                </c:pt>
                <c:pt idx="4">
                  <c:v>30</c:v>
                </c:pt>
                <c:pt idx="5">
                  <c:v>36.299999999999997</c:v>
                </c:pt>
                <c:pt idx="6">
                  <c:v>41.3</c:v>
                </c:pt>
                <c:pt idx="7">
                  <c:v>45.4</c:v>
                </c:pt>
                <c:pt idx="8">
                  <c:v>48.5</c:v>
                </c:pt>
                <c:pt idx="9">
                  <c:v>50.6</c:v>
                </c:pt>
                <c:pt idx="10">
                  <c:v>51.6</c:v>
                </c:pt>
                <c:pt idx="11">
                  <c:v>51.5</c:v>
                </c:pt>
                <c:pt idx="12">
                  <c:v>50.4</c:v>
                </c:pt>
                <c:pt idx="13">
                  <c:v>48.2</c:v>
                </c:pt>
                <c:pt idx="14">
                  <c:v>44.8</c:v>
                </c:pt>
                <c:pt idx="15">
                  <c:v>40.299999999999997</c:v>
                </c:pt>
                <c:pt idx="16">
                  <c:v>34.799999999999997</c:v>
                </c:pt>
                <c:pt idx="17">
                  <c:v>27.8</c:v>
                </c:pt>
                <c:pt idx="18">
                  <c:v>19.8</c:v>
                </c:pt>
                <c:pt idx="19">
                  <c:v>10.7</c:v>
                </c:pt>
                <c:pt idx="20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96D-4BD7-8293-5616D74E8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7.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(2)'!$B$22:$B$35</c:f>
              <c:numCache>
                <c:formatCode>0.00</c:formatCode>
                <c:ptCount val="14"/>
                <c:pt idx="0">
                  <c:v>3137.5</c:v>
                </c:pt>
                <c:pt idx="1">
                  <c:v>3055.4</c:v>
                </c:pt>
                <c:pt idx="2">
                  <c:v>2969.1</c:v>
                </c:pt>
                <c:pt idx="3">
                  <c:v>2885.8</c:v>
                </c:pt>
                <c:pt idx="4">
                  <c:v>2792.3</c:v>
                </c:pt>
                <c:pt idx="5">
                  <c:v>2715.4</c:v>
                </c:pt>
                <c:pt idx="6">
                  <c:v>2629</c:v>
                </c:pt>
                <c:pt idx="7">
                  <c:v>2477.6</c:v>
                </c:pt>
                <c:pt idx="8">
                  <c:v>2326.9</c:v>
                </c:pt>
                <c:pt idx="9">
                  <c:v>2187.6</c:v>
                </c:pt>
                <c:pt idx="10">
                  <c:v>2049.8000000000002</c:v>
                </c:pt>
                <c:pt idx="11">
                  <c:v>1922.9</c:v>
                </c:pt>
                <c:pt idx="12">
                  <c:v>1798.7</c:v>
                </c:pt>
                <c:pt idx="13">
                  <c:v>1678.1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AD-4224-9DA1-3D9CD05847BD}"/>
            </c:ext>
          </c:extLst>
        </c:ser>
        <c:ser>
          <c:idx val="1"/>
          <c:order val="1"/>
          <c:tx>
            <c:strRef>
              <c:f>'ELD-X PHP (2)'!$A$78</c:f>
              <c:strCache>
                <c:ptCount val="1"/>
                <c:pt idx="0">
                  <c:v>50m zero(G1 BC=0.625,bw=143gr))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 (2)'!$C$80:$C$100</c:f>
              <c:numCache>
                <c:formatCode>0.00</c:formatCode>
                <c:ptCount val="21"/>
                <c:pt idx="0">
                  <c:v>3138</c:v>
                </c:pt>
                <c:pt idx="1">
                  <c:v>3046</c:v>
                </c:pt>
                <c:pt idx="2">
                  <c:v>2956</c:v>
                </c:pt>
                <c:pt idx="3">
                  <c:v>2868</c:v>
                </c:pt>
                <c:pt idx="4">
                  <c:v>2783</c:v>
                </c:pt>
                <c:pt idx="5">
                  <c:v>2699</c:v>
                </c:pt>
                <c:pt idx="6">
                  <c:v>2618</c:v>
                </c:pt>
                <c:pt idx="7">
                  <c:v>2538</c:v>
                </c:pt>
                <c:pt idx="8">
                  <c:v>2460</c:v>
                </c:pt>
                <c:pt idx="9">
                  <c:v>2384</c:v>
                </c:pt>
                <c:pt idx="10">
                  <c:v>2310</c:v>
                </c:pt>
                <c:pt idx="11">
                  <c:v>2238</c:v>
                </c:pt>
                <c:pt idx="12">
                  <c:v>2167</c:v>
                </c:pt>
                <c:pt idx="13">
                  <c:v>2099</c:v>
                </c:pt>
                <c:pt idx="14">
                  <c:v>2032</c:v>
                </c:pt>
                <c:pt idx="15">
                  <c:v>1966</c:v>
                </c:pt>
                <c:pt idx="16">
                  <c:v>1902</c:v>
                </c:pt>
                <c:pt idx="17">
                  <c:v>1840</c:v>
                </c:pt>
                <c:pt idx="18">
                  <c:v>1780</c:v>
                </c:pt>
                <c:pt idx="19">
                  <c:v>1721</c:v>
                </c:pt>
                <c:pt idx="20">
                  <c:v>1665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9AD-4224-9DA1-3D9CD05847BD}"/>
            </c:ext>
          </c:extLst>
        </c:ser>
        <c:ser>
          <c:idx val="2"/>
          <c:order val="2"/>
          <c:tx>
            <c:strRef>
              <c:f>'ELD-X PHP (2)'!$K$78</c:f>
              <c:strCache>
                <c:ptCount val="1"/>
                <c:pt idx="0">
                  <c:v>50m Zero(G7 BC=0.625, bw=143gr)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8083360926997453"/>
                  <c:y val="-0.1866505424023362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 (2)'!$M$80:$M$100</c:f>
              <c:numCache>
                <c:formatCode>0.00</c:formatCode>
                <c:ptCount val="21"/>
                <c:pt idx="0">
                  <c:v>3138</c:v>
                </c:pt>
                <c:pt idx="1">
                  <c:v>3092</c:v>
                </c:pt>
                <c:pt idx="2">
                  <c:v>3047</c:v>
                </c:pt>
                <c:pt idx="3">
                  <c:v>3002</c:v>
                </c:pt>
                <c:pt idx="4">
                  <c:v>2958</c:v>
                </c:pt>
                <c:pt idx="5">
                  <c:v>2914</c:v>
                </c:pt>
                <c:pt idx="6">
                  <c:v>2871</c:v>
                </c:pt>
                <c:pt idx="7">
                  <c:v>2828</c:v>
                </c:pt>
                <c:pt idx="8">
                  <c:v>2786</c:v>
                </c:pt>
                <c:pt idx="9">
                  <c:v>2744</c:v>
                </c:pt>
                <c:pt idx="10">
                  <c:v>2703</c:v>
                </c:pt>
                <c:pt idx="11">
                  <c:v>2662</c:v>
                </c:pt>
                <c:pt idx="12">
                  <c:v>2622</c:v>
                </c:pt>
                <c:pt idx="13">
                  <c:v>2582</c:v>
                </c:pt>
                <c:pt idx="14">
                  <c:v>2543</c:v>
                </c:pt>
                <c:pt idx="15">
                  <c:v>2504</c:v>
                </c:pt>
                <c:pt idx="16">
                  <c:v>2466</c:v>
                </c:pt>
                <c:pt idx="17">
                  <c:v>2428</c:v>
                </c:pt>
                <c:pt idx="18">
                  <c:v>2390</c:v>
                </c:pt>
                <c:pt idx="19">
                  <c:v>2353</c:v>
                </c:pt>
                <c:pt idx="20">
                  <c:v>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AD-4224-9DA1-3D9CD0584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-2.4375007723831064</c:v>
                </c:pt>
                <c:pt idx="2">
                  <c:v>0</c:v>
                </c:pt>
                <c:pt idx="3">
                  <c:v>2.8125001318359453</c:v>
                </c:pt>
                <c:pt idx="4">
                  <c:v>3.7500001757812602</c:v>
                </c:pt>
                <c:pt idx="5">
                  <c:v>4.6875002197265747</c:v>
                </c:pt>
                <c:pt idx="6">
                  <c:v>4.668750150764156</c:v>
                </c:pt>
                <c:pt idx="7">
                  <c:v>0</c:v>
                </c:pt>
                <c:pt idx="8">
                  <c:v>-11.71875085830696</c:v>
                </c:pt>
                <c:pt idx="9">
                  <c:v>-21.093753476143569</c:v>
                </c:pt>
                <c:pt idx="10">
                  <c:v>-45.937526378192004</c:v>
                </c:pt>
                <c:pt idx="11">
                  <c:v>-71.250075355320234</c:v>
                </c:pt>
                <c:pt idx="12">
                  <c:v>-101.25017085972097</c:v>
                </c:pt>
                <c:pt idx="13">
                  <c:v>-140.62537078974739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87-4DE9-AA5B-235C76DDC39D}"/>
            </c:ext>
          </c:extLst>
        </c:ser>
        <c:ser>
          <c:idx val="1"/>
          <c:order val="1"/>
          <c:tx>
            <c:strRef>
              <c:f>'ELD-X PHP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-1.1718750214576725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-2.8125000329589844</c:v>
                </c:pt>
                <c:pt idx="7">
                  <c:v>-9.3750006866455688</c:v>
                </c:pt>
                <c:pt idx="8">
                  <c:v>-17.578127896786309</c:v>
                </c:pt>
                <c:pt idx="9">
                  <c:v>-35.156266093262929</c:v>
                </c:pt>
                <c:pt idx="10">
                  <c:v>-59.062556063296277</c:v>
                </c:pt>
                <c:pt idx="11">
                  <c:v>-84.375125141366524</c:v>
                </c:pt>
                <c:pt idx="12">
                  <c:v>-124.87532053950297</c:v>
                </c:pt>
                <c:pt idx="13">
                  <c:v>-156.1880080181775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87-4DE9-AA5B-235C76DDC39D}"/>
            </c:ext>
          </c:extLst>
        </c:ser>
        <c:ser>
          <c:idx val="2"/>
          <c:order val="2"/>
          <c:tx>
            <c:strRef>
              <c:f>'ELD-X PHP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-3.1218766227272474</c:v>
                </c:pt>
                <c:pt idx="2">
                  <c:v>-0.58500000266935503</c:v>
                </c:pt>
                <c:pt idx="3">
                  <c:v>1.757812532186509</c:v>
                </c:pt>
                <c:pt idx="4">
                  <c:v>2.3437500429153451</c:v>
                </c:pt>
                <c:pt idx="5">
                  <c:v>2.9296875536441815</c:v>
                </c:pt>
                <c:pt idx="6">
                  <c:v>0</c:v>
                </c:pt>
                <c:pt idx="7">
                  <c:v>-6.225000201018875</c:v>
                </c:pt>
                <c:pt idx="8">
                  <c:v>-15.656252046736993</c:v>
                </c:pt>
                <c:pt idx="9">
                  <c:v>-28.12500823974899</c:v>
                </c:pt>
                <c:pt idx="10">
                  <c:v>-52.500039375035435</c:v>
                </c:pt>
                <c:pt idx="11">
                  <c:v>-75.000087890748588</c:v>
                </c:pt>
                <c:pt idx="12">
                  <c:v>-109.6877172331823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587-4DE9-AA5B-235C76DDC39D}"/>
            </c:ext>
          </c:extLst>
        </c:ser>
        <c:ser>
          <c:idx val="3"/>
          <c:order val="3"/>
          <c:tx>
            <c:strRef>
              <c:f>'ELD-X PHP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1.763750073155981</c:v>
                </c:pt>
                <c:pt idx="3">
                  <c:v>3.9843753748321964</c:v>
                </c:pt>
                <c:pt idx="4">
                  <c:v>5.5250005621803302</c:v>
                </c:pt>
                <c:pt idx="5">
                  <c:v>6.640625624720327</c:v>
                </c:pt>
                <c:pt idx="6">
                  <c:v>5.2912502194679423</c:v>
                </c:pt>
                <c:pt idx="7">
                  <c:v>0</c:v>
                </c:pt>
                <c:pt idx="8">
                  <c:v>-10.625000639713587</c:v>
                </c:pt>
                <c:pt idx="9">
                  <c:v>-23.906255060235353</c:v>
                </c:pt>
                <c:pt idx="10">
                  <c:v>-46.484402331530461</c:v>
                </c:pt>
                <c:pt idx="11">
                  <c:v>-70.890074218852831</c:v>
                </c:pt>
                <c:pt idx="12">
                  <c:v>-111.49897817327714</c:v>
                </c:pt>
                <c:pt idx="13">
                  <c:v>-148.75043884504319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587-4DE9-AA5B-235C76DDC39D}"/>
            </c:ext>
          </c:extLst>
        </c:ser>
        <c:ser>
          <c:idx val="4"/>
          <c:order val="4"/>
          <c:tx>
            <c:strRef>
              <c:f>'ELD-X PHP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-0.62500001302083352</c:v>
                </c:pt>
                <c:pt idx="2">
                  <c:v>5.0000016666673339</c:v>
                </c:pt>
                <c:pt idx="3">
                  <c:v>9.9900059081701151</c:v>
                </c:pt>
                <c:pt idx="4">
                  <c:v>13.320007877560153</c:v>
                </c:pt>
                <c:pt idx="5">
                  <c:v>16.650009846950191</c:v>
                </c:pt>
                <c:pt idx="6">
                  <c:v>18.750009765631106</c:v>
                </c:pt>
                <c:pt idx="7">
                  <c:v>19.200005898242171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587-4DE9-AA5B-235C76DDC3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'ELD-X PHP (2)'!$O$21</c15:sqref>
                        </c15:formulaRef>
                      </c:ext>
                    </c:extLst>
                    <c:strCache>
                      <c:ptCount val="1"/>
                      <c:pt idx="0">
                        <c:v>400m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6"/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'ELD-X PHP (2)'!$A$22:$A$35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'ELD-X PHP (2)'!$O$22:$O$35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1.6700002483980712</c:v>
                      </c:pt>
                      <c:pt idx="2">
                        <c:v>10.000013333354666</c:v>
                      </c:pt>
                      <c:pt idx="3">
                        <c:v>18.000034560079627</c:v>
                      </c:pt>
                      <c:pt idx="4">
                        <c:v>24.680050108946194</c:v>
                      </c:pt>
                      <c:pt idx="5">
                        <c:v>28.125047461033603</c:v>
                      </c:pt>
                      <c:pt idx="6">
                        <c:v>33.000053240103078</c:v>
                      </c:pt>
                      <c:pt idx="7">
                        <c:v>36.000038880050383</c:v>
                      </c:pt>
                      <c:pt idx="8">
                        <c:v>35.000022866684603</c:v>
                      </c:pt>
                      <c:pt idx="9">
                        <c:v>30.000010000004</c:v>
                      </c:pt>
                      <c:pt idx="10">
                        <c:v>17.500001458333479</c:v>
                      </c:pt>
                      <c:pt idx="11">
                        <c:v>0</c:v>
                      </c:pt>
                      <c:pt idx="12">
                        <c:v>-22.500001875000187</c:v>
                      </c:pt>
                      <c:pt idx="13">
                        <c:v>-50.000016666673339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B-5587-4DE9-AA5B-235C76DDC39D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'ELD-X PHP (2)'!$P$21</c15:sqref>
                        </c15:formulaRef>
                      </c:ext>
                    </c:extLst>
                    <c:strCache>
                      <c:ptCount val="1"/>
                      <c:pt idx="0">
                        <c:v>500m zero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1">
                          <a:lumMod val="60000"/>
                        </a:schemeClr>
                      </a:solidFill>
                      <a:prstDash val="sysDot"/>
                    </a:ln>
                    <a:effectLst/>
                  </c:spPr>
                  <c:trendlineType val="poly"/>
                  <c:order val="2"/>
                  <c:dispRSqr val="1"/>
                  <c:dispEq val="1"/>
                  <c:trendlineLbl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tx1">
                                <a:lumMod val="65000"/>
                                <a:lumOff val="35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'ELD-X PHP (2)'!$A$22:$A$35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200</c:v>
                      </c:pt>
                      <c:pt idx="8">
                        <c:v>250</c:v>
                      </c:pt>
                      <c:pt idx="9">
                        <c:v>300</c:v>
                      </c:pt>
                      <c:pt idx="10">
                        <c:v>350</c:v>
                      </c:pt>
                      <c:pt idx="11">
                        <c:v>400</c:v>
                      </c:pt>
                      <c:pt idx="12">
                        <c:v>450</c:v>
                      </c:pt>
                      <c:pt idx="13">
                        <c:v>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'ELD-X PHP (2)'!$P$22:$P$35</c15:sqref>
                        </c15:formulaRef>
                      </c:ext>
                    </c:extLst>
                    <c:numCache>
                      <c:formatCode>0.00</c:formatCode>
                      <c:ptCount val="14"/>
                      <c:pt idx="0">
                        <c:v>-3.81</c:v>
                      </c:pt>
                      <c:pt idx="1">
                        <c:v>4.2187540045211627</c:v>
                      </c:pt>
                      <c:pt idx="2">
                        <c:v>14.06253707897474</c:v>
                      </c:pt>
                      <c:pt idx="3">
                        <c:v>23.428201202726623</c:v>
                      </c:pt>
                      <c:pt idx="4">
                        <c:v>31.875107952098876</c:v>
                      </c:pt>
                      <c:pt idx="5">
                        <c:v>39.047002004544375</c:v>
                      </c:pt>
                      <c:pt idx="6">
                        <c:v>45.703266428042113</c:v>
                      </c:pt>
                      <c:pt idx="7">
                        <c:v>56.250148315898961</c:v>
                      </c:pt>
                      <c:pt idx="8">
                        <c:v>58.593857288596332</c:v>
                      </c:pt>
                      <c:pt idx="9">
                        <c:v>56.250065918061445</c:v>
                      </c:pt>
                      <c:pt idx="10">
                        <c:v>54.731294611742079</c:v>
                      </c:pt>
                      <c:pt idx="11">
                        <c:v>37.500010986331986</c:v>
                      </c:pt>
                      <c:pt idx="12">
                        <c:v>25.312502669678071</c:v>
                      </c:pt>
                      <c:pt idx="13">
                        <c:v>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587-4DE9-AA5B-235C76DDC39D}"/>
                  </c:ext>
                </c:extLst>
              </c15:ser>
            </c15:filteredScatterSeries>
          </c:ext>
        </c:extLst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042806742711284"/>
                  <c:y val="-0.675410948631421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 (2)'!$C$23:$C$35</c:f>
              <c:numCache>
                <c:formatCode>0.000</c:formatCode>
                <c:ptCount val="13"/>
                <c:pt idx="0">
                  <c:v>-0.26</c:v>
                </c:pt>
                <c:pt idx="1">
                  <c:v>0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-0.35</c:v>
                </c:pt>
                <c:pt idx="10">
                  <c:v>-0.47499999999999998</c:v>
                </c:pt>
                <c:pt idx="11">
                  <c:v>-0.6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CB9-43D5-8558-DE885EA4CF5A}"/>
            </c:ext>
          </c:extLst>
        </c:ser>
        <c:ser>
          <c:idx val="1"/>
          <c:order val="1"/>
          <c:tx>
            <c:strRef>
              <c:f>'ELD-X PHP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157934514862182"/>
                  <c:y val="-0.666135358080239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 (2)'!$D$23:$D$35</c:f>
              <c:numCache>
                <c:formatCode>0.000</c:formatCode>
                <c:ptCount val="13"/>
                <c:pt idx="0">
                  <c:v>-0.4</c:v>
                </c:pt>
                <c:pt idx="1">
                  <c:v>-6.25E-2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-0.05</c:v>
                </c:pt>
                <c:pt idx="6">
                  <c:v>-0.125</c:v>
                </c:pt>
                <c:pt idx="7">
                  <c:v>-0.1875</c:v>
                </c:pt>
                <c:pt idx="8">
                  <c:v>-0.3125</c:v>
                </c:pt>
                <c:pt idx="9">
                  <c:v>-0.45</c:v>
                </c:pt>
                <c:pt idx="10">
                  <c:v>-0.5625</c:v>
                </c:pt>
                <c:pt idx="11">
                  <c:v>-0.74</c:v>
                </c:pt>
                <c:pt idx="12">
                  <c:v>-0.83299999999999996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CB9-43D5-8558-DE885EA4CF5A}"/>
            </c:ext>
          </c:extLst>
        </c:ser>
        <c:ser>
          <c:idx val="2"/>
          <c:order val="2"/>
          <c:tx>
            <c:strRef>
              <c:f>'ELD-X PHP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4598416754899404"/>
                  <c:y val="-0.442339332583427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 (2)'!$E$23:$E$35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-3.1199999999999999E-2</c:v>
                </c:pt>
                <c:pt idx="2">
                  <c:v>6.25E-2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-0.16700000000000001</c:v>
                </c:pt>
                <c:pt idx="8">
                  <c:v>-0.25</c:v>
                </c:pt>
                <c:pt idx="9">
                  <c:v>-0.4</c:v>
                </c:pt>
                <c:pt idx="10">
                  <c:v>-0.5</c:v>
                </c:pt>
                <c:pt idx="11">
                  <c:v>-0.65</c:v>
                </c:pt>
                <c:pt idx="12">
                  <c:v>-0.8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CB9-43D5-8558-DE885EA4CF5A}"/>
            </c:ext>
          </c:extLst>
        </c:ser>
        <c:ser>
          <c:idx val="3"/>
          <c:order val="3"/>
          <c:tx>
            <c:strRef>
              <c:f>'ELD-X PHP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54875032285899"/>
                  <c:y val="-0.52450112485939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 (2)'!$F$23:$F$35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0.13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</c:v>
                </c:pt>
                <c:pt idx="8">
                  <c:v>-0.1875</c:v>
                </c:pt>
                <c:pt idx="9">
                  <c:v>-0.3125</c:v>
                </c:pt>
                <c:pt idx="10">
                  <c:v>-0.41699999999999998</c:v>
                </c:pt>
                <c:pt idx="11">
                  <c:v>-0.58299999999999996</c:v>
                </c:pt>
                <c:pt idx="12">
                  <c:v>-0.7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CB9-43D5-8558-DE885EA4CF5A}"/>
            </c:ext>
          </c:extLst>
        </c:ser>
        <c:ser>
          <c:idx val="4"/>
          <c:order val="4"/>
          <c:tx>
            <c:strRef>
              <c:f>'ELD-X PHP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 (2)'!$G$23:$G$35</c:f>
              <c:numCache>
                <c:formatCode>0.000</c:formatCode>
                <c:ptCount val="13"/>
                <c:pt idx="0">
                  <c:v>-6.25E-2</c:v>
                </c:pt>
                <c:pt idx="1">
                  <c:v>0.25</c:v>
                </c:pt>
                <c:pt idx="2">
                  <c:v>0.33300000000000002</c:v>
                </c:pt>
                <c:pt idx="3">
                  <c:v>0.33300000000000002</c:v>
                </c:pt>
                <c:pt idx="4">
                  <c:v>0.33300000000000002</c:v>
                </c:pt>
                <c:pt idx="5">
                  <c:v>0.3125</c:v>
                </c:pt>
                <c:pt idx="6">
                  <c:v>0.24</c:v>
                </c:pt>
                <c:pt idx="7">
                  <c:v>0.125</c:v>
                </c:pt>
                <c:pt idx="8">
                  <c:v>0</c:v>
                </c:pt>
                <c:pt idx="9">
                  <c:v>-0.1</c:v>
                </c:pt>
                <c:pt idx="10">
                  <c:v>-0.25</c:v>
                </c:pt>
                <c:pt idx="11">
                  <c:v>-0.375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CB9-43D5-8558-DE885EA4CF5A}"/>
            </c:ext>
          </c:extLst>
        </c:ser>
        <c:ser>
          <c:idx val="5"/>
          <c:order val="5"/>
          <c:tx>
            <c:strRef>
              <c:f>'ELD-X PHP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8512116008082194"/>
                  <c:y val="0.2714383202099737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 (2)'!$H$23:$H$35</c:f>
              <c:numCache>
                <c:formatCode>0.000</c:formatCode>
                <c:ptCount val="13"/>
                <c:pt idx="0">
                  <c:v>0.16700000000000001</c:v>
                </c:pt>
                <c:pt idx="1">
                  <c:v>0.5</c:v>
                </c:pt>
                <c:pt idx="2">
                  <c:v>0.6</c:v>
                </c:pt>
                <c:pt idx="3">
                  <c:v>0.61699999999999999</c:v>
                </c:pt>
                <c:pt idx="4">
                  <c:v>0.5625</c:v>
                </c:pt>
                <c:pt idx="5">
                  <c:v>0.55000000000000004</c:v>
                </c:pt>
                <c:pt idx="6">
                  <c:v>0.45</c:v>
                </c:pt>
                <c:pt idx="7">
                  <c:v>0.35</c:v>
                </c:pt>
                <c:pt idx="8">
                  <c:v>0.25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CB9-43D5-8558-DE885EA4CF5A}"/>
            </c:ext>
          </c:extLst>
        </c:ser>
        <c:ser>
          <c:idx val="6"/>
          <c:order val="6"/>
          <c:tx>
            <c:strRef>
              <c:f>'ELD-X PHP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30075379240069444"/>
                  <c:y val="0.4199866891638545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>
                          <a:lumMod val="90000"/>
                          <a:lumOff val="1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'ELD-X PHP (2)'!$I$23:$I$35</c:f>
              <c:numCache>
                <c:formatCode>0.000</c:formatCode>
                <c:ptCount val="13"/>
                <c:pt idx="0">
                  <c:v>0.45</c:v>
                </c:pt>
                <c:pt idx="1">
                  <c:v>0.75</c:v>
                </c:pt>
                <c:pt idx="2">
                  <c:v>0.83299999999999996</c:v>
                </c:pt>
                <c:pt idx="3">
                  <c:v>0.85</c:v>
                </c:pt>
                <c:pt idx="4">
                  <c:v>0.83299999999999996</c:v>
                </c:pt>
                <c:pt idx="5">
                  <c:v>0.8125</c:v>
                </c:pt>
                <c:pt idx="6">
                  <c:v>0.75</c:v>
                </c:pt>
                <c:pt idx="7">
                  <c:v>0.625</c:v>
                </c:pt>
                <c:pt idx="8">
                  <c:v>0.5</c:v>
                </c:pt>
                <c:pt idx="9">
                  <c:v>0.41699999999999998</c:v>
                </c:pt>
                <c:pt idx="10">
                  <c:v>0.25</c:v>
                </c:pt>
                <c:pt idx="11">
                  <c:v>0.15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CB9-43D5-8558-DE885EA4C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4178618122406032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'ELD-X PHP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0.16973732190278223"/>
                  <c:y val="-0.31128583379632291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-2.4375007723831064</c:v>
                </c:pt>
                <c:pt idx="2">
                  <c:v>0</c:v>
                </c:pt>
                <c:pt idx="3">
                  <c:v>2.8125001318359453</c:v>
                </c:pt>
                <c:pt idx="4">
                  <c:v>3.7500001757812602</c:v>
                </c:pt>
                <c:pt idx="5">
                  <c:v>4.6875002197265747</c:v>
                </c:pt>
                <c:pt idx="6">
                  <c:v>4.668750150764156</c:v>
                </c:pt>
                <c:pt idx="7">
                  <c:v>0</c:v>
                </c:pt>
                <c:pt idx="8">
                  <c:v>-11.71875085830696</c:v>
                </c:pt>
                <c:pt idx="9">
                  <c:v>-21.093753476143569</c:v>
                </c:pt>
                <c:pt idx="10">
                  <c:v>-45.937526378192004</c:v>
                </c:pt>
                <c:pt idx="11">
                  <c:v>-71.250075355320234</c:v>
                </c:pt>
                <c:pt idx="12">
                  <c:v>-101.25017085972097</c:v>
                </c:pt>
                <c:pt idx="13">
                  <c:v>-140.62537078974739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BF-43C8-8130-2AD3B7C1059E}"/>
            </c:ext>
          </c:extLst>
        </c:ser>
        <c:ser>
          <c:idx val="1"/>
          <c:order val="1"/>
          <c:tx>
            <c:strRef>
              <c:f>'ELD-X PHP (2)'!$A$78</c:f>
              <c:strCache>
                <c:ptCount val="1"/>
                <c:pt idx="0">
                  <c:v>50m zero(G1 BC=0.625,bw=143gr))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 (2)'!$D$80:$D$100</c:f>
              <c:numCache>
                <c:formatCode>0.00</c:formatCode>
                <c:ptCount val="21"/>
                <c:pt idx="0">
                  <c:v>-8</c:v>
                </c:pt>
                <c:pt idx="1">
                  <c:v>-3.6</c:v>
                </c:pt>
                <c:pt idx="2">
                  <c:v>0</c:v>
                </c:pt>
                <c:pt idx="3">
                  <c:v>2.5</c:v>
                </c:pt>
                <c:pt idx="4">
                  <c:v>4.0999999999999996</c:v>
                </c:pt>
                <c:pt idx="5">
                  <c:v>4.5999999999999996</c:v>
                </c:pt>
                <c:pt idx="6">
                  <c:v>4</c:v>
                </c:pt>
                <c:pt idx="7">
                  <c:v>2.4</c:v>
                </c:pt>
                <c:pt idx="8">
                  <c:v>-0.5</c:v>
                </c:pt>
                <c:pt idx="9">
                  <c:v>-4.4000000000000004</c:v>
                </c:pt>
                <c:pt idx="10">
                  <c:v>-9.6</c:v>
                </c:pt>
                <c:pt idx="11">
                  <c:v>-16.2</c:v>
                </c:pt>
                <c:pt idx="12">
                  <c:v>-23.9</c:v>
                </c:pt>
                <c:pt idx="13">
                  <c:v>-32.9</c:v>
                </c:pt>
                <c:pt idx="14">
                  <c:v>-43.7</c:v>
                </c:pt>
                <c:pt idx="15">
                  <c:v>-55.6</c:v>
                </c:pt>
                <c:pt idx="16">
                  <c:v>-69</c:v>
                </c:pt>
                <c:pt idx="17">
                  <c:v>-84.4</c:v>
                </c:pt>
                <c:pt idx="18">
                  <c:v>-101</c:v>
                </c:pt>
                <c:pt idx="19">
                  <c:v>-119.1</c:v>
                </c:pt>
                <c:pt idx="20">
                  <c:v>-139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BBF-43C8-8130-2AD3B7C10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'ELD-X PHP (2)'!$K$78</c15:sqref>
                        </c15:formulaRef>
                      </c:ext>
                    </c:extLst>
                    <c:strCache>
                      <c:ptCount val="1"/>
                      <c:pt idx="0">
                        <c:v>50m Zero(G7 BC=0.625, bw=143gr)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'ELD-X PHP (2)'!$K$80:$K$100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'ELD-X PHP (2)'!$N$80:$N$100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-1.5</c:v>
                      </c:pt>
                      <c:pt idx="2">
                        <c:v>0</c:v>
                      </c:pt>
                      <c:pt idx="3">
                        <c:v>0.5</c:v>
                      </c:pt>
                      <c:pt idx="4">
                        <c:v>0</c:v>
                      </c:pt>
                      <c:pt idx="5">
                        <c:v>-1.4</c:v>
                      </c:pt>
                      <c:pt idx="6">
                        <c:v>-3.8</c:v>
                      </c:pt>
                      <c:pt idx="7">
                        <c:v>-7.2</c:v>
                      </c:pt>
                      <c:pt idx="8">
                        <c:v>-11.7</c:v>
                      </c:pt>
                      <c:pt idx="9">
                        <c:v>-17.100000000000001</c:v>
                      </c:pt>
                      <c:pt idx="10">
                        <c:v>-23.5</c:v>
                      </c:pt>
                      <c:pt idx="11">
                        <c:v>-31.2</c:v>
                      </c:pt>
                      <c:pt idx="12">
                        <c:v>-39.799999999999997</c:v>
                      </c:pt>
                      <c:pt idx="13">
                        <c:v>-49.4</c:v>
                      </c:pt>
                      <c:pt idx="14">
                        <c:v>-60.5</c:v>
                      </c:pt>
                      <c:pt idx="15">
                        <c:v>-72.400000000000006</c:v>
                      </c:pt>
                      <c:pt idx="16">
                        <c:v>-85.4</c:v>
                      </c:pt>
                      <c:pt idx="17">
                        <c:v>-100.1</c:v>
                      </c:pt>
                      <c:pt idx="18">
                        <c:v>-115.4</c:v>
                      </c:pt>
                      <c:pt idx="19">
                        <c:v>-132</c:v>
                      </c:pt>
                      <c:pt idx="20">
                        <c:v>-149.69999999999999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5BBF-43C8-8130-2AD3B7C1059E}"/>
                  </c:ext>
                </c:extLst>
              </c15:ser>
            </c15:filteredScatterSeries>
          </c:ext>
        </c:extLst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-1.1718750214576725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-2.8125000329589844</c:v>
                </c:pt>
                <c:pt idx="7">
                  <c:v>-9.3750006866455688</c:v>
                </c:pt>
                <c:pt idx="8">
                  <c:v>-17.578127896786309</c:v>
                </c:pt>
                <c:pt idx="9">
                  <c:v>-35.156266093262929</c:v>
                </c:pt>
                <c:pt idx="10">
                  <c:v>-59.062556063296277</c:v>
                </c:pt>
                <c:pt idx="11">
                  <c:v>-84.375125141366524</c:v>
                </c:pt>
                <c:pt idx="12">
                  <c:v>-124.87532053950297</c:v>
                </c:pt>
                <c:pt idx="13">
                  <c:v>-156.1880080181775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C2-4059-9DDF-4895EFB13B66}"/>
            </c:ext>
          </c:extLst>
        </c:ser>
        <c:ser>
          <c:idx val="1"/>
          <c:order val="1"/>
          <c:tx>
            <c:strRef>
              <c:f>'ELD-X PHP (2)'!$A$102</c:f>
              <c:strCache>
                <c:ptCount val="1"/>
                <c:pt idx="0">
                  <c:v>100m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 (2)'!$D$104:$D$124</c:f>
              <c:numCache>
                <c:formatCode>0.00</c:formatCode>
                <c:ptCount val="21"/>
                <c:pt idx="0">
                  <c:v>-8</c:v>
                </c:pt>
                <c:pt idx="1">
                  <c:v>-4.5999999999999996</c:v>
                </c:pt>
                <c:pt idx="2">
                  <c:v>-2</c:v>
                </c:pt>
                <c:pt idx="3">
                  <c:v>-0.5</c:v>
                </c:pt>
                <c:pt idx="4">
                  <c:v>0</c:v>
                </c:pt>
                <c:pt idx="5">
                  <c:v>-0.5</c:v>
                </c:pt>
                <c:pt idx="6">
                  <c:v>-2.1</c:v>
                </c:pt>
                <c:pt idx="7">
                  <c:v>-4.7</c:v>
                </c:pt>
                <c:pt idx="8">
                  <c:v>-8.6</c:v>
                </c:pt>
                <c:pt idx="9">
                  <c:v>-13.6</c:v>
                </c:pt>
                <c:pt idx="10">
                  <c:v>-19.7</c:v>
                </c:pt>
                <c:pt idx="11">
                  <c:v>-27.4</c:v>
                </c:pt>
                <c:pt idx="12">
                  <c:v>-36.1</c:v>
                </c:pt>
                <c:pt idx="13">
                  <c:v>-46.1</c:v>
                </c:pt>
                <c:pt idx="14">
                  <c:v>-58</c:v>
                </c:pt>
                <c:pt idx="15">
                  <c:v>-70.900000000000006</c:v>
                </c:pt>
                <c:pt idx="16">
                  <c:v>-85.2</c:v>
                </c:pt>
                <c:pt idx="17">
                  <c:v>-101.7</c:v>
                </c:pt>
                <c:pt idx="18">
                  <c:v>-119.2</c:v>
                </c:pt>
                <c:pt idx="19">
                  <c:v>-138.4</c:v>
                </c:pt>
                <c:pt idx="20">
                  <c:v>-159.30000000000001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DC2-4059-9DDF-4895EFB13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'ELD-X PHP (2)'!$K$102</c15:sqref>
                        </c15:formulaRef>
                      </c:ext>
                    </c:extLst>
                    <c:strCache>
                      <c:ptCount val="1"/>
                      <c:pt idx="0">
                        <c:v>100m Zero(G7 BC=0.625, bw=143gr)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'ELD-X PHP (2)'!$K$104:$K$124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'ELD-X PHP (2)'!$N$104:$N$124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-1.5</c:v>
                      </c:pt>
                      <c:pt idx="2">
                        <c:v>0</c:v>
                      </c:pt>
                      <c:pt idx="3">
                        <c:v>0.5</c:v>
                      </c:pt>
                      <c:pt idx="4">
                        <c:v>0</c:v>
                      </c:pt>
                      <c:pt idx="5">
                        <c:v>-1.4</c:v>
                      </c:pt>
                      <c:pt idx="6">
                        <c:v>-3.8</c:v>
                      </c:pt>
                      <c:pt idx="7">
                        <c:v>-7.2</c:v>
                      </c:pt>
                      <c:pt idx="8">
                        <c:v>-11.7</c:v>
                      </c:pt>
                      <c:pt idx="9">
                        <c:v>-17.100000000000001</c:v>
                      </c:pt>
                      <c:pt idx="10">
                        <c:v>-23.5</c:v>
                      </c:pt>
                      <c:pt idx="11">
                        <c:v>-31.2</c:v>
                      </c:pt>
                      <c:pt idx="12">
                        <c:v>-39.799999999999997</c:v>
                      </c:pt>
                      <c:pt idx="13">
                        <c:v>-49.4</c:v>
                      </c:pt>
                      <c:pt idx="14">
                        <c:v>-60.5</c:v>
                      </c:pt>
                      <c:pt idx="15">
                        <c:v>-72.400000000000006</c:v>
                      </c:pt>
                      <c:pt idx="16">
                        <c:v>-85.4</c:v>
                      </c:pt>
                      <c:pt idx="17">
                        <c:v>-100.1</c:v>
                      </c:pt>
                      <c:pt idx="18">
                        <c:v>-115.4</c:v>
                      </c:pt>
                      <c:pt idx="19">
                        <c:v>-132</c:v>
                      </c:pt>
                      <c:pt idx="20">
                        <c:v>-149.69999999999999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DDC2-4059-9DDF-4895EFB13B66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-3.1218766227272474</c:v>
                </c:pt>
                <c:pt idx="2">
                  <c:v>-0.58500000266935503</c:v>
                </c:pt>
                <c:pt idx="3">
                  <c:v>1.757812532186509</c:v>
                </c:pt>
                <c:pt idx="4">
                  <c:v>2.3437500429153451</c:v>
                </c:pt>
                <c:pt idx="5">
                  <c:v>2.9296875536441815</c:v>
                </c:pt>
                <c:pt idx="6">
                  <c:v>0</c:v>
                </c:pt>
                <c:pt idx="7">
                  <c:v>-6.225000201018875</c:v>
                </c:pt>
                <c:pt idx="8">
                  <c:v>-15.656252046736993</c:v>
                </c:pt>
                <c:pt idx="9">
                  <c:v>-28.12500823974899</c:v>
                </c:pt>
                <c:pt idx="10">
                  <c:v>-52.500039375035435</c:v>
                </c:pt>
                <c:pt idx="11">
                  <c:v>-75.000087890748588</c:v>
                </c:pt>
                <c:pt idx="12">
                  <c:v>-109.6877172331823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3FF-4720-B277-F65FBCCEDA10}"/>
            </c:ext>
          </c:extLst>
        </c:ser>
        <c:ser>
          <c:idx val="1"/>
          <c:order val="1"/>
          <c:tx>
            <c:strRef>
              <c:f>'ELD-X PHP (2)'!$A$126</c:f>
              <c:strCache>
                <c:ptCount val="1"/>
                <c:pt idx="0">
                  <c:v>150m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 (2)'!$D$128:$D$148</c:f>
              <c:numCache>
                <c:formatCode>0.00</c:formatCode>
                <c:ptCount val="21"/>
                <c:pt idx="0">
                  <c:v>-8</c:v>
                </c:pt>
                <c:pt idx="1">
                  <c:v>-4.2</c:v>
                </c:pt>
                <c:pt idx="2">
                  <c:v>-1.3</c:v>
                </c:pt>
                <c:pt idx="3">
                  <c:v>0.5</c:v>
                </c:pt>
                <c:pt idx="4">
                  <c:v>1.4</c:v>
                </c:pt>
                <c:pt idx="5">
                  <c:v>1.2</c:v>
                </c:pt>
                <c:pt idx="6">
                  <c:v>0</c:v>
                </c:pt>
                <c:pt idx="7">
                  <c:v>-2.2999999999999998</c:v>
                </c:pt>
                <c:pt idx="8">
                  <c:v>-5.9</c:v>
                </c:pt>
                <c:pt idx="9">
                  <c:v>-10.5</c:v>
                </c:pt>
                <c:pt idx="10">
                  <c:v>-16.3</c:v>
                </c:pt>
                <c:pt idx="11">
                  <c:v>-23.6</c:v>
                </c:pt>
                <c:pt idx="12">
                  <c:v>-32</c:v>
                </c:pt>
                <c:pt idx="13">
                  <c:v>-41.6</c:v>
                </c:pt>
                <c:pt idx="14">
                  <c:v>-53.1</c:v>
                </c:pt>
                <c:pt idx="15">
                  <c:v>-65.7</c:v>
                </c:pt>
                <c:pt idx="16">
                  <c:v>-79.7</c:v>
                </c:pt>
                <c:pt idx="17">
                  <c:v>-95.8</c:v>
                </c:pt>
                <c:pt idx="18">
                  <c:v>-113</c:v>
                </c:pt>
                <c:pt idx="19">
                  <c:v>-131.9</c:v>
                </c:pt>
                <c:pt idx="20">
                  <c:v>-152.4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3FF-4720-B277-F65FBCCED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'ELD-X PHP (2)'!$K$126</c15:sqref>
                        </c15:formulaRef>
                      </c:ext>
                    </c:extLst>
                    <c:strCache>
                      <c:ptCount val="1"/>
                      <c:pt idx="0">
                        <c:v>150m Zero(G7 BC=0.625, bw=143gr)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'ELD-X PHP (2)'!$K$128:$K$148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'ELD-X PHP (2)'!$N$128:$N$148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-0.8</c:v>
                      </c:pt>
                      <c:pt idx="2">
                        <c:v>1.3</c:v>
                      </c:pt>
                      <c:pt idx="3">
                        <c:v>2.4</c:v>
                      </c:pt>
                      <c:pt idx="4">
                        <c:v>2.6</c:v>
                      </c:pt>
                      <c:pt idx="5">
                        <c:v>1.8</c:v>
                      </c:pt>
                      <c:pt idx="6">
                        <c:v>0</c:v>
                      </c:pt>
                      <c:pt idx="7">
                        <c:v>-2.7</c:v>
                      </c:pt>
                      <c:pt idx="8">
                        <c:v>-6.6</c:v>
                      </c:pt>
                      <c:pt idx="9">
                        <c:v>-11.4</c:v>
                      </c:pt>
                      <c:pt idx="10">
                        <c:v>-17.100000000000001</c:v>
                      </c:pt>
                      <c:pt idx="11">
                        <c:v>-24.2</c:v>
                      </c:pt>
                      <c:pt idx="12">
                        <c:v>-32.200000000000003</c:v>
                      </c:pt>
                      <c:pt idx="13">
                        <c:v>-41.1</c:v>
                      </c:pt>
                      <c:pt idx="14">
                        <c:v>-51.6</c:v>
                      </c:pt>
                      <c:pt idx="15">
                        <c:v>-62.9</c:v>
                      </c:pt>
                      <c:pt idx="16">
                        <c:v>-75.2</c:v>
                      </c:pt>
                      <c:pt idx="17">
                        <c:v>-89.3</c:v>
                      </c:pt>
                      <c:pt idx="18">
                        <c:v>-104</c:v>
                      </c:pt>
                      <c:pt idx="19">
                        <c:v>-119.9</c:v>
                      </c:pt>
                      <c:pt idx="20">
                        <c:v>-137.1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C3FF-4720-B277-F65FBCCEDA10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1.763750073155981</c:v>
                </c:pt>
                <c:pt idx="3">
                  <c:v>3.9843753748321964</c:v>
                </c:pt>
                <c:pt idx="4">
                  <c:v>5.5250005621803302</c:v>
                </c:pt>
                <c:pt idx="5">
                  <c:v>6.640625624720327</c:v>
                </c:pt>
                <c:pt idx="6">
                  <c:v>5.2912502194679423</c:v>
                </c:pt>
                <c:pt idx="7">
                  <c:v>0</c:v>
                </c:pt>
                <c:pt idx="8">
                  <c:v>-10.625000639713587</c:v>
                </c:pt>
                <c:pt idx="9">
                  <c:v>-23.906255060235353</c:v>
                </c:pt>
                <c:pt idx="10">
                  <c:v>-46.484402331530461</c:v>
                </c:pt>
                <c:pt idx="11">
                  <c:v>-70.890074218852831</c:v>
                </c:pt>
                <c:pt idx="12">
                  <c:v>-111.49897817327714</c:v>
                </c:pt>
                <c:pt idx="13">
                  <c:v>-148.75043884504319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01-47CE-8E97-C7379CDFCD71}"/>
            </c:ext>
          </c:extLst>
        </c:ser>
        <c:ser>
          <c:idx val="1"/>
          <c:order val="1"/>
          <c:tx>
            <c:strRef>
              <c:f>'ELD-X PHP (2)'!$A$150</c:f>
              <c:strCache>
                <c:ptCount val="1"/>
                <c:pt idx="0">
                  <c:v>200m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 (2)'!$D$152:$D$172</c:f>
              <c:numCache>
                <c:formatCode>0.00</c:formatCode>
                <c:ptCount val="21"/>
                <c:pt idx="0">
                  <c:v>-8</c:v>
                </c:pt>
                <c:pt idx="1">
                  <c:v>-4.2</c:v>
                </c:pt>
                <c:pt idx="2">
                  <c:v>-1.3</c:v>
                </c:pt>
                <c:pt idx="3">
                  <c:v>0.5</c:v>
                </c:pt>
                <c:pt idx="4">
                  <c:v>1.4</c:v>
                </c:pt>
                <c:pt idx="5">
                  <c:v>1.2</c:v>
                </c:pt>
                <c:pt idx="6">
                  <c:v>0</c:v>
                </c:pt>
                <c:pt idx="7">
                  <c:v>-2.2999999999999998</c:v>
                </c:pt>
                <c:pt idx="8">
                  <c:v>-5.9</c:v>
                </c:pt>
                <c:pt idx="9">
                  <c:v>-10.5</c:v>
                </c:pt>
                <c:pt idx="10">
                  <c:v>-16.3</c:v>
                </c:pt>
                <c:pt idx="11">
                  <c:v>-23.6</c:v>
                </c:pt>
                <c:pt idx="12">
                  <c:v>-32</c:v>
                </c:pt>
                <c:pt idx="13">
                  <c:v>-41.6</c:v>
                </c:pt>
                <c:pt idx="14">
                  <c:v>-53.1</c:v>
                </c:pt>
                <c:pt idx="15">
                  <c:v>-65.7</c:v>
                </c:pt>
                <c:pt idx="16">
                  <c:v>-79.7</c:v>
                </c:pt>
                <c:pt idx="17">
                  <c:v>-95.8</c:v>
                </c:pt>
                <c:pt idx="18">
                  <c:v>-113</c:v>
                </c:pt>
                <c:pt idx="19">
                  <c:v>-131.9</c:v>
                </c:pt>
                <c:pt idx="20">
                  <c:v>-152.4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C01-47CE-8E97-C7379CDFCD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'ELD-X PHP (2)'!$K$150</c15:sqref>
                        </c15:formulaRef>
                      </c:ext>
                    </c:extLst>
                    <c:strCache>
                      <c:ptCount val="1"/>
                      <c:pt idx="0">
                        <c:v>200m Zero(G7 BC=0.625, bw=143gr)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'ELD-X PHP (2)'!$K$152:$K$172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'ELD-X PHP (2)'!$N$152:$N$172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0</c:v>
                      </c:pt>
                      <c:pt idx="2">
                        <c:v>2.9</c:v>
                      </c:pt>
                      <c:pt idx="3">
                        <c:v>4.8</c:v>
                      </c:pt>
                      <c:pt idx="4">
                        <c:v>5.8</c:v>
                      </c:pt>
                      <c:pt idx="5">
                        <c:v>5.9</c:v>
                      </c:pt>
                      <c:pt idx="6">
                        <c:v>4.9000000000000004</c:v>
                      </c:pt>
                      <c:pt idx="7">
                        <c:v>3</c:v>
                      </c:pt>
                      <c:pt idx="8">
                        <c:v>0</c:v>
                      </c:pt>
                      <c:pt idx="9">
                        <c:v>-4</c:v>
                      </c:pt>
                      <c:pt idx="10">
                        <c:v>-8.9</c:v>
                      </c:pt>
                      <c:pt idx="11">
                        <c:v>-15.2</c:v>
                      </c:pt>
                      <c:pt idx="12">
                        <c:v>-22.3</c:v>
                      </c:pt>
                      <c:pt idx="13">
                        <c:v>-30.5</c:v>
                      </c:pt>
                      <c:pt idx="14">
                        <c:v>-40.1</c:v>
                      </c:pt>
                      <c:pt idx="15">
                        <c:v>-50.6</c:v>
                      </c:pt>
                      <c:pt idx="16">
                        <c:v>-62.1</c:v>
                      </c:pt>
                      <c:pt idx="17">
                        <c:v>-75.3</c:v>
                      </c:pt>
                      <c:pt idx="18">
                        <c:v>-89.3</c:v>
                      </c:pt>
                      <c:pt idx="19">
                        <c:v>-104.4</c:v>
                      </c:pt>
                      <c:pt idx="20">
                        <c:v>-120.7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1C01-47CE-8E97-C7379CDFCD71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-0.62500001302083352</c:v>
                </c:pt>
                <c:pt idx="2">
                  <c:v>5.0000016666673339</c:v>
                </c:pt>
                <c:pt idx="3">
                  <c:v>9.9900059081701151</c:v>
                </c:pt>
                <c:pt idx="4">
                  <c:v>13.320007877560153</c:v>
                </c:pt>
                <c:pt idx="5">
                  <c:v>16.650009846950191</c:v>
                </c:pt>
                <c:pt idx="6">
                  <c:v>18.750009765631106</c:v>
                </c:pt>
                <c:pt idx="7">
                  <c:v>19.200005898242171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-40.000013333338671</c:v>
                </c:pt>
                <c:pt idx="12">
                  <c:v>-67.50005062504556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97-4F4F-ADA9-1C9869A3220D}"/>
            </c:ext>
          </c:extLst>
        </c:ser>
        <c:ser>
          <c:idx val="1"/>
          <c:order val="1"/>
          <c:tx>
            <c:strRef>
              <c:f>'ELD-X PHP (2)'!$A$174</c:f>
              <c:strCache>
                <c:ptCount val="1"/>
                <c:pt idx="0">
                  <c:v>300m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 (2)'!$D$176:$D$196</c:f>
              <c:numCache>
                <c:formatCode>0.00</c:formatCode>
                <c:ptCount val="21"/>
                <c:pt idx="0">
                  <c:v>-8</c:v>
                </c:pt>
                <c:pt idx="1">
                  <c:v>-1.6</c:v>
                </c:pt>
                <c:pt idx="2">
                  <c:v>4</c:v>
                </c:pt>
                <c:pt idx="3">
                  <c:v>8.5</c:v>
                </c:pt>
                <c:pt idx="4">
                  <c:v>12</c:v>
                </c:pt>
                <c:pt idx="5">
                  <c:v>14.5</c:v>
                </c:pt>
                <c:pt idx="6">
                  <c:v>15.9</c:v>
                </c:pt>
                <c:pt idx="7">
                  <c:v>16.3</c:v>
                </c:pt>
                <c:pt idx="8">
                  <c:v>15.4</c:v>
                </c:pt>
                <c:pt idx="9">
                  <c:v>13.4</c:v>
                </c:pt>
                <c:pt idx="10">
                  <c:v>10.3</c:v>
                </c:pt>
                <c:pt idx="11">
                  <c:v>5.7</c:v>
                </c:pt>
                <c:pt idx="12">
                  <c:v>-0.1</c:v>
                </c:pt>
                <c:pt idx="13">
                  <c:v>-7.1</c:v>
                </c:pt>
                <c:pt idx="14">
                  <c:v>-15.9</c:v>
                </c:pt>
                <c:pt idx="15">
                  <c:v>-25.8</c:v>
                </c:pt>
                <c:pt idx="16">
                  <c:v>-37.200000000000003</c:v>
                </c:pt>
                <c:pt idx="17">
                  <c:v>-50.7</c:v>
                </c:pt>
                <c:pt idx="18">
                  <c:v>-65.2</c:v>
                </c:pt>
                <c:pt idx="19">
                  <c:v>-81.400000000000006</c:v>
                </c:pt>
                <c:pt idx="20">
                  <c:v>-99.4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97-4F4F-ADA9-1C9869A322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'ELD-X PHP (2)'!$K$174</c15:sqref>
                        </c15:formulaRef>
                      </c:ext>
                    </c:extLst>
                    <c:strCache>
                      <c:ptCount val="1"/>
                      <c:pt idx="0">
                        <c:v>300m Zero(G7 BC=0.625, bw=143gr)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'ELD-X PHP (2)'!$K$176:$K$196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'ELD-X PHP (2)'!$N$176:$N$196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1.8</c:v>
                      </c:pt>
                      <c:pt idx="2">
                        <c:v>6.7</c:v>
                      </c:pt>
                      <c:pt idx="3">
                        <c:v>10.5</c:v>
                      </c:pt>
                      <c:pt idx="4">
                        <c:v>13.3</c:v>
                      </c:pt>
                      <c:pt idx="5">
                        <c:v>15.2</c:v>
                      </c:pt>
                      <c:pt idx="6">
                        <c:v>16.100000000000001</c:v>
                      </c:pt>
                      <c:pt idx="7">
                        <c:v>16</c:v>
                      </c:pt>
                      <c:pt idx="8">
                        <c:v>14.9</c:v>
                      </c:pt>
                      <c:pt idx="9">
                        <c:v>12.8</c:v>
                      </c:pt>
                      <c:pt idx="10">
                        <c:v>9.6999999999999993</c:v>
                      </c:pt>
                      <c:pt idx="11">
                        <c:v>5.3</c:v>
                      </c:pt>
                      <c:pt idx="12">
                        <c:v>0.1</c:v>
                      </c:pt>
                      <c:pt idx="13">
                        <c:v>-6.3</c:v>
                      </c:pt>
                      <c:pt idx="14">
                        <c:v>-14</c:v>
                      </c:pt>
                      <c:pt idx="15">
                        <c:v>-22.6</c:v>
                      </c:pt>
                      <c:pt idx="16">
                        <c:v>-32.299999999999997</c:v>
                      </c:pt>
                      <c:pt idx="17">
                        <c:v>-43.6</c:v>
                      </c:pt>
                      <c:pt idx="18">
                        <c:v>-55.7</c:v>
                      </c:pt>
                      <c:pt idx="19">
                        <c:v>-69</c:v>
                      </c:pt>
                      <c:pt idx="20">
                        <c:v>-83.5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F097-4F4F-ADA9-1C9869A3220D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32589366923194E-2"/>
                  <c:y val="-0.2873104403616214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10.000013333354666</c:v>
                </c:pt>
                <c:pt idx="3">
                  <c:v>18.000034560079627</c:v>
                </c:pt>
                <c:pt idx="4">
                  <c:v>24.680050108946194</c:v>
                </c:pt>
                <c:pt idx="5">
                  <c:v>28.125047461033603</c:v>
                </c:pt>
                <c:pt idx="6">
                  <c:v>33.000053240103078</c:v>
                </c:pt>
                <c:pt idx="7">
                  <c:v>36.000038880050383</c:v>
                </c:pt>
                <c:pt idx="8">
                  <c:v>35.000022866684603</c:v>
                </c:pt>
                <c:pt idx="9">
                  <c:v>30.000010000004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79-429F-8301-6DD3F49883F7}"/>
            </c:ext>
          </c:extLst>
        </c:ser>
        <c:ser>
          <c:idx val="1"/>
          <c:order val="1"/>
          <c:tx>
            <c:strRef>
              <c:f>'ELD-X PHP (2)'!$A$198</c:f>
              <c:strCache>
                <c:ptCount val="1"/>
                <c:pt idx="0">
                  <c:v>400m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87775414211838"/>
                  <c:y val="-0.16135680956547099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 (2)'!$D$200:$D$220</c:f>
              <c:numCache>
                <c:formatCode>0.00</c:formatCode>
                <c:ptCount val="21"/>
                <c:pt idx="0">
                  <c:v>-8</c:v>
                </c:pt>
                <c:pt idx="1">
                  <c:v>0.7</c:v>
                </c:pt>
                <c:pt idx="2">
                  <c:v>8.6999999999999993</c:v>
                </c:pt>
                <c:pt idx="3">
                  <c:v>15.5</c:v>
                </c:pt>
                <c:pt idx="4">
                  <c:v>21.3</c:v>
                </c:pt>
                <c:pt idx="5">
                  <c:v>26.2</c:v>
                </c:pt>
                <c:pt idx="6">
                  <c:v>29.9</c:v>
                </c:pt>
                <c:pt idx="7">
                  <c:v>32.6</c:v>
                </c:pt>
                <c:pt idx="8">
                  <c:v>34.1</c:v>
                </c:pt>
                <c:pt idx="9">
                  <c:v>34.4</c:v>
                </c:pt>
                <c:pt idx="10">
                  <c:v>33.5</c:v>
                </c:pt>
                <c:pt idx="11">
                  <c:v>31.3</c:v>
                </c:pt>
                <c:pt idx="12">
                  <c:v>27.9</c:v>
                </c:pt>
                <c:pt idx="13">
                  <c:v>23.1</c:v>
                </c:pt>
                <c:pt idx="14">
                  <c:v>16.7</c:v>
                </c:pt>
                <c:pt idx="15">
                  <c:v>9.1</c:v>
                </c:pt>
                <c:pt idx="16">
                  <c:v>0</c:v>
                </c:pt>
                <c:pt idx="17">
                  <c:v>-11</c:v>
                </c:pt>
                <c:pt idx="18">
                  <c:v>-23.3</c:v>
                </c:pt>
                <c:pt idx="19">
                  <c:v>-37.200000000000003</c:v>
                </c:pt>
                <c:pt idx="20">
                  <c:v>-52.8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79-429F-8301-6DD3F49883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'ELD-X PHP (2)'!$K$198</c15:sqref>
                        </c15:formulaRef>
                      </c:ext>
                    </c:extLst>
                    <c:strCache>
                      <c:ptCount val="1"/>
                      <c:pt idx="0">
                        <c:v>400m Zero(G7 BC=0.625, bw=143gr)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'ELD-X PHP (2)'!$K$200:$K$220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'ELD-X PHP (2)'!$N$200:$N$220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3.8</c:v>
                      </c:pt>
                      <c:pt idx="2">
                        <c:v>10.8</c:v>
                      </c:pt>
                      <c:pt idx="3">
                        <c:v>16.600000000000001</c:v>
                      </c:pt>
                      <c:pt idx="4">
                        <c:v>21.4</c:v>
                      </c:pt>
                      <c:pt idx="5">
                        <c:v>25.4</c:v>
                      </c:pt>
                      <c:pt idx="6">
                        <c:v>28.3</c:v>
                      </c:pt>
                      <c:pt idx="7">
                        <c:v>30.3</c:v>
                      </c:pt>
                      <c:pt idx="8">
                        <c:v>31.2</c:v>
                      </c:pt>
                      <c:pt idx="9">
                        <c:v>31.1</c:v>
                      </c:pt>
                      <c:pt idx="10">
                        <c:v>30</c:v>
                      </c:pt>
                      <c:pt idx="11">
                        <c:v>27.7</c:v>
                      </c:pt>
                      <c:pt idx="12">
                        <c:v>24.5</c:v>
                      </c:pt>
                      <c:pt idx="13">
                        <c:v>20.100000000000001</c:v>
                      </c:pt>
                      <c:pt idx="14">
                        <c:v>14.5</c:v>
                      </c:pt>
                      <c:pt idx="15">
                        <c:v>7.9</c:v>
                      </c:pt>
                      <c:pt idx="16">
                        <c:v>0.2</c:v>
                      </c:pt>
                      <c:pt idx="17">
                        <c:v>-9</c:v>
                      </c:pt>
                      <c:pt idx="18">
                        <c:v>-19.100000000000001</c:v>
                      </c:pt>
                      <c:pt idx="19">
                        <c:v>-30.4</c:v>
                      </c:pt>
                      <c:pt idx="20">
                        <c:v>-42.9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8279-429F-8301-6DD3F49883F7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4.2187540045211627</c:v>
                </c:pt>
                <c:pt idx="2">
                  <c:v>14.06253707897474</c:v>
                </c:pt>
                <c:pt idx="3">
                  <c:v>23.428201202726623</c:v>
                </c:pt>
                <c:pt idx="4">
                  <c:v>31.875107952098876</c:v>
                </c:pt>
                <c:pt idx="5">
                  <c:v>39.047002004544375</c:v>
                </c:pt>
                <c:pt idx="6">
                  <c:v>45.703266428042113</c:v>
                </c:pt>
                <c:pt idx="7">
                  <c:v>56.250148315898961</c:v>
                </c:pt>
                <c:pt idx="8">
                  <c:v>58.593857288596332</c:v>
                </c:pt>
                <c:pt idx="9">
                  <c:v>56.250065918061445</c:v>
                </c:pt>
                <c:pt idx="10">
                  <c:v>54.731294611742079</c:v>
                </c:pt>
                <c:pt idx="11">
                  <c:v>37.500010986331986</c:v>
                </c:pt>
                <c:pt idx="12">
                  <c:v>25.312502669678071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CD-4790-A3FC-4BCADDB60256}"/>
            </c:ext>
          </c:extLst>
        </c:ser>
        <c:ser>
          <c:idx val="1"/>
          <c:order val="1"/>
          <c:tx>
            <c:strRef>
              <c:f>'ELD-X PHP (2)'!$A$222</c:f>
              <c:strCache>
                <c:ptCount val="1"/>
                <c:pt idx="0">
                  <c:v>500m zero(G1 BC=0.625)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'ELD-X PHP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 (2)'!$D$224:$D$244</c:f>
              <c:numCache>
                <c:formatCode>0.00</c:formatCode>
                <c:ptCount val="21"/>
                <c:pt idx="0">
                  <c:v>-8</c:v>
                </c:pt>
                <c:pt idx="1">
                  <c:v>3.3</c:v>
                </c:pt>
                <c:pt idx="2">
                  <c:v>14.1</c:v>
                </c:pt>
                <c:pt idx="3">
                  <c:v>23.4</c:v>
                </c:pt>
                <c:pt idx="4">
                  <c:v>31.9</c:v>
                </c:pt>
                <c:pt idx="5">
                  <c:v>39.5</c:v>
                </c:pt>
                <c:pt idx="6">
                  <c:v>45.8</c:v>
                </c:pt>
                <c:pt idx="7">
                  <c:v>51.1</c:v>
                </c:pt>
                <c:pt idx="8">
                  <c:v>55.3</c:v>
                </c:pt>
                <c:pt idx="9">
                  <c:v>58.3</c:v>
                </c:pt>
                <c:pt idx="10">
                  <c:v>60</c:v>
                </c:pt>
                <c:pt idx="11">
                  <c:v>60.5</c:v>
                </c:pt>
                <c:pt idx="12">
                  <c:v>59.7</c:v>
                </c:pt>
                <c:pt idx="13">
                  <c:v>57.5</c:v>
                </c:pt>
                <c:pt idx="14">
                  <c:v>53.8</c:v>
                </c:pt>
                <c:pt idx="15">
                  <c:v>48.8</c:v>
                </c:pt>
                <c:pt idx="16">
                  <c:v>42.4</c:v>
                </c:pt>
                <c:pt idx="17">
                  <c:v>34</c:v>
                </c:pt>
                <c:pt idx="18">
                  <c:v>24.4</c:v>
                </c:pt>
                <c:pt idx="19">
                  <c:v>13.1</c:v>
                </c:pt>
                <c:pt idx="20">
                  <c:v>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1CD-4790-A3FC-4BCADDB60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'ELD-X PHP (2)'!$K$222</c15:sqref>
                        </c15:formulaRef>
                      </c:ext>
                    </c:extLst>
                    <c:strCache>
                      <c:ptCount val="1"/>
                      <c:pt idx="0">
                        <c:v>500m Zero(G7 BC=0.625, bw=143gr)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'ELD-X PHP (2)'!$K$224:$K$244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'ELD-X PHP (2)'!$N$224:$N$244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6</c:v>
                      </c:pt>
                      <c:pt idx="2">
                        <c:v>15.2</c:v>
                      </c:pt>
                      <c:pt idx="3">
                        <c:v>23.1</c:v>
                      </c:pt>
                      <c:pt idx="4">
                        <c:v>30</c:v>
                      </c:pt>
                      <c:pt idx="5">
                        <c:v>36.299999999999997</c:v>
                      </c:pt>
                      <c:pt idx="6">
                        <c:v>41.3</c:v>
                      </c:pt>
                      <c:pt idx="7">
                        <c:v>45.4</c:v>
                      </c:pt>
                      <c:pt idx="8">
                        <c:v>48.5</c:v>
                      </c:pt>
                      <c:pt idx="9">
                        <c:v>50.6</c:v>
                      </c:pt>
                      <c:pt idx="10">
                        <c:v>51.6</c:v>
                      </c:pt>
                      <c:pt idx="11">
                        <c:v>51.5</c:v>
                      </c:pt>
                      <c:pt idx="12">
                        <c:v>50.4</c:v>
                      </c:pt>
                      <c:pt idx="13">
                        <c:v>48.2</c:v>
                      </c:pt>
                      <c:pt idx="14">
                        <c:v>44.8</c:v>
                      </c:pt>
                      <c:pt idx="15">
                        <c:v>40.299999999999997</c:v>
                      </c:pt>
                      <c:pt idx="16">
                        <c:v>34.799999999999997</c:v>
                      </c:pt>
                      <c:pt idx="17">
                        <c:v>27.8</c:v>
                      </c:pt>
                      <c:pt idx="18">
                        <c:v>19.8</c:v>
                      </c:pt>
                      <c:pt idx="19">
                        <c:v>10.7</c:v>
                      </c:pt>
                      <c:pt idx="20">
                        <c:v>0.3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4-71CD-4790-A3FC-4BCADDB60256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SP'!$B$22:$B$35</c:f>
              <c:numCache>
                <c:formatCode>0.00</c:formatCode>
                <c:ptCount val="14"/>
                <c:pt idx="0">
                  <c:v>3129.2</c:v>
                </c:pt>
                <c:pt idx="1">
                  <c:v>3071.2</c:v>
                </c:pt>
                <c:pt idx="2">
                  <c:v>3010.5</c:v>
                </c:pt>
                <c:pt idx="3">
                  <c:v>2951</c:v>
                </c:pt>
                <c:pt idx="4">
                  <c:v>2893.3</c:v>
                </c:pt>
                <c:pt idx="5">
                  <c:v>2836.9</c:v>
                </c:pt>
                <c:pt idx="6">
                  <c:v>2773</c:v>
                </c:pt>
                <c:pt idx="7">
                  <c:v>2658.8</c:v>
                </c:pt>
                <c:pt idx="8">
                  <c:v>2550.9</c:v>
                </c:pt>
                <c:pt idx="9">
                  <c:v>2448.5</c:v>
                </c:pt>
                <c:pt idx="10">
                  <c:v>2344.8000000000002</c:v>
                </c:pt>
                <c:pt idx="11">
                  <c:v>2246.1999999999998</c:v>
                </c:pt>
                <c:pt idx="12">
                  <c:v>2146</c:v>
                </c:pt>
                <c:pt idx="13">
                  <c:v>2059.1999999999998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F-48FA-B84C-E6FD606F265E}"/>
            </c:ext>
          </c:extLst>
        </c:ser>
        <c:ser>
          <c:idx val="1"/>
          <c:order val="1"/>
          <c:tx>
            <c:strRef>
              <c:f>'Fusion Rifle SP'!$A$78</c:f>
              <c:strCache>
                <c:ptCount val="1"/>
                <c:pt idx="0">
                  <c:v>Hornady 50m zero(G1 BC=0.439)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SP'!$C$80:$C$100</c:f>
              <c:numCache>
                <c:formatCode>0.00</c:formatCode>
                <c:ptCount val="21"/>
                <c:pt idx="0">
                  <c:v>3129</c:v>
                </c:pt>
                <c:pt idx="1">
                  <c:v>3002</c:v>
                </c:pt>
                <c:pt idx="2">
                  <c:v>2880</c:v>
                </c:pt>
                <c:pt idx="3">
                  <c:v>2761</c:v>
                </c:pt>
                <c:pt idx="4">
                  <c:v>2647</c:v>
                </c:pt>
                <c:pt idx="5">
                  <c:v>2536</c:v>
                </c:pt>
                <c:pt idx="6">
                  <c:v>2429</c:v>
                </c:pt>
                <c:pt idx="7">
                  <c:v>2326</c:v>
                </c:pt>
                <c:pt idx="8">
                  <c:v>2226</c:v>
                </c:pt>
                <c:pt idx="9">
                  <c:v>2129</c:v>
                </c:pt>
                <c:pt idx="10">
                  <c:v>2036</c:v>
                </c:pt>
                <c:pt idx="11">
                  <c:v>1946</c:v>
                </c:pt>
                <c:pt idx="12">
                  <c:v>1859</c:v>
                </c:pt>
                <c:pt idx="13">
                  <c:v>1775</c:v>
                </c:pt>
                <c:pt idx="14">
                  <c:v>1695</c:v>
                </c:pt>
                <c:pt idx="15">
                  <c:v>1617</c:v>
                </c:pt>
                <c:pt idx="16">
                  <c:v>1543</c:v>
                </c:pt>
                <c:pt idx="17">
                  <c:v>1471</c:v>
                </c:pt>
                <c:pt idx="18">
                  <c:v>1402</c:v>
                </c:pt>
                <c:pt idx="19">
                  <c:v>1336</c:v>
                </c:pt>
                <c:pt idx="20">
                  <c:v>1275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F-48FA-B84C-E6FD606F265E}"/>
            </c:ext>
          </c:extLst>
        </c:ser>
        <c:ser>
          <c:idx val="2"/>
          <c:order val="2"/>
          <c:tx>
            <c:strRef>
              <c:f>'Fusion Rifle SP'!$K$78:$L$78</c:f>
              <c:strCache>
                <c:ptCount val="1"/>
                <c:pt idx="0">
                  <c:v>50m Zero(BC: G7) 0.439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'Fusion Rifle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SP'!$M$80:$M$100</c:f>
              <c:numCache>
                <c:formatCode>0.00</c:formatCode>
                <c:ptCount val="21"/>
                <c:pt idx="0">
                  <c:v>3130</c:v>
                </c:pt>
                <c:pt idx="1">
                  <c:v>3065</c:v>
                </c:pt>
                <c:pt idx="2">
                  <c:v>3001</c:v>
                </c:pt>
                <c:pt idx="3">
                  <c:v>2939</c:v>
                </c:pt>
                <c:pt idx="4">
                  <c:v>2877</c:v>
                </c:pt>
                <c:pt idx="5">
                  <c:v>2817</c:v>
                </c:pt>
                <c:pt idx="6">
                  <c:v>2758</c:v>
                </c:pt>
                <c:pt idx="7">
                  <c:v>2699</c:v>
                </c:pt>
                <c:pt idx="8">
                  <c:v>2642</c:v>
                </c:pt>
                <c:pt idx="9">
                  <c:v>2585</c:v>
                </c:pt>
                <c:pt idx="10">
                  <c:v>2529</c:v>
                </c:pt>
                <c:pt idx="11">
                  <c:v>2475</c:v>
                </c:pt>
                <c:pt idx="12">
                  <c:v>2421</c:v>
                </c:pt>
                <c:pt idx="13">
                  <c:v>2368</c:v>
                </c:pt>
                <c:pt idx="14">
                  <c:v>2316</c:v>
                </c:pt>
                <c:pt idx="15">
                  <c:v>2265</c:v>
                </c:pt>
                <c:pt idx="16">
                  <c:v>2214</c:v>
                </c:pt>
                <c:pt idx="17">
                  <c:v>2165</c:v>
                </c:pt>
                <c:pt idx="18">
                  <c:v>2116</c:v>
                </c:pt>
                <c:pt idx="19">
                  <c:v>2068</c:v>
                </c:pt>
                <c:pt idx="20">
                  <c:v>2023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A6-4450-A1A7-4C8055D788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219232235019022"/>
          <c:y val="0.43179990213087771"/>
          <c:w val="0.19780767764980978"/>
          <c:h val="0.238349125850794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762107683510532E-2"/>
          <c:y val="9.1242312423124236E-2"/>
          <c:w val="0.79369939194398886"/>
          <c:h val="0.881697416974169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'Fusion Rifle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-3.2500018308345711</c:v>
                </c:pt>
                <c:pt idx="2">
                  <c:v>0</c:v>
                </c:pt>
                <c:pt idx="3">
                  <c:v>3.1125001786834505</c:v>
                </c:pt>
                <c:pt idx="4">
                  <c:v>6.2500008138022105</c:v>
                </c:pt>
                <c:pt idx="5">
                  <c:v>7.8125010172527629</c:v>
                </c:pt>
                <c:pt idx="6">
                  <c:v>6.225000357366901</c:v>
                </c:pt>
                <c:pt idx="7">
                  <c:v>0</c:v>
                </c:pt>
                <c:pt idx="8">
                  <c:v>-10.375000595611501</c:v>
                </c:pt>
                <c:pt idx="9">
                  <c:v>-25.050005821830375</c:v>
                </c:pt>
                <c:pt idx="10">
                  <c:v>-52.500039375035435</c:v>
                </c:pt>
                <c:pt idx="11">
                  <c:v>-83.400120853065161</c:v>
                </c:pt>
                <c:pt idx="12">
                  <c:v>-112.50023437558593</c:v>
                </c:pt>
                <c:pt idx="13">
                  <c:v>-166.75061821308995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A-49DF-9E05-061F28355714}"/>
            </c:ext>
          </c:extLst>
        </c:ser>
        <c:ser>
          <c:idx val="1"/>
          <c:order val="1"/>
          <c:tx>
            <c:strRef>
              <c:f>'Fusion Rifle SP'!$K$21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-3.9843750937080409</c:v>
                </c:pt>
                <c:pt idx="7">
                  <c:v>-10.625000999552523</c:v>
                </c:pt>
                <c:pt idx="8">
                  <c:v>-19.921879216862795</c:v>
                </c:pt>
                <c:pt idx="9">
                  <c:v>-33.787514285802189</c:v>
                </c:pt>
                <c:pt idx="10">
                  <c:v>-62.028814941496222</c:v>
                </c:pt>
                <c:pt idx="11">
                  <c:v>-85.000127942939443</c:v>
                </c:pt>
                <c:pt idx="12">
                  <c:v>-119.5315311249084</c:v>
                </c:pt>
                <c:pt idx="13">
                  <c:v>-159.37553976049438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1A-49DF-9E05-061F28355714}"/>
            </c:ext>
          </c:extLst>
        </c:ser>
        <c:ser>
          <c:idx val="2"/>
          <c:order val="2"/>
          <c:tx>
            <c:strRef>
              <c:f>'Fusion Rifle SP'!$L$21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-3.8781281107460299</c:v>
                </c:pt>
                <c:pt idx="2">
                  <c:v>-1.3281250312360138</c:v>
                </c:pt>
                <c:pt idx="3">
                  <c:v>2.6456251097339711</c:v>
                </c:pt>
                <c:pt idx="4">
                  <c:v>2.6562500624720276</c:v>
                </c:pt>
                <c:pt idx="5">
                  <c:v>2.6562500399820976</c:v>
                </c:pt>
                <c:pt idx="6">
                  <c:v>0</c:v>
                </c:pt>
                <c:pt idx="7">
                  <c:v>-7.0805002958084371</c:v>
                </c:pt>
                <c:pt idx="8">
                  <c:v>-17.74375297944275</c:v>
                </c:pt>
                <c:pt idx="9">
                  <c:v>-31.875011994634324</c:v>
                </c:pt>
                <c:pt idx="10">
                  <c:v>-54.591294270272485</c:v>
                </c:pt>
                <c:pt idx="11">
                  <c:v>-80.75010969505837</c:v>
                </c:pt>
                <c:pt idx="12">
                  <c:v>-111.49897817327714</c:v>
                </c:pt>
                <c:pt idx="13">
                  <c:v>-141.73787965964513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1A-49DF-9E05-061F28355714}"/>
            </c:ext>
          </c:extLst>
        </c:ser>
        <c:ser>
          <c:idx val="3"/>
          <c:order val="3"/>
          <c:tx>
            <c:strRef>
              <c:f>'Fusion Rifle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-2.6250009646879255</c:v>
                </c:pt>
                <c:pt idx="2">
                  <c:v>1.3125000301464853</c:v>
                </c:pt>
                <c:pt idx="3">
                  <c:v>3.9375003617578521</c:v>
                </c:pt>
                <c:pt idx="4">
                  <c:v>5.2500004823438031</c:v>
                </c:pt>
                <c:pt idx="5">
                  <c:v>6.5625006029297532</c:v>
                </c:pt>
                <c:pt idx="6">
                  <c:v>7.5600006401203874</c:v>
                </c:pt>
                <c:pt idx="7">
                  <c:v>0</c:v>
                </c:pt>
                <c:pt idx="8">
                  <c:v>-10.500000617400044</c:v>
                </c:pt>
                <c:pt idx="9">
                  <c:v>-21.042003450621866</c:v>
                </c:pt>
                <c:pt idx="10">
                  <c:v>-36.75001350563096</c:v>
                </c:pt>
                <c:pt idx="11">
                  <c:v>-70.056071630058455</c:v>
                </c:pt>
                <c:pt idx="12">
                  <c:v>-94.50013891524506</c:v>
                </c:pt>
                <c:pt idx="13">
                  <c:v>-131.25030146567468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1A-49DF-9E05-061F28355714}"/>
            </c:ext>
          </c:extLst>
        </c:ser>
        <c:ser>
          <c:idx val="4"/>
          <c:order val="4"/>
          <c:tx>
            <c:strRef>
              <c:f>'Fusion Rifle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-0.86112503405629071</c:v>
                </c:pt>
                <c:pt idx="2">
                  <c:v>5.0837517518280357</c:v>
                </c:pt>
                <c:pt idx="3">
                  <c:v>11.360633688869825</c:v>
                </c:pt>
                <c:pt idx="4">
                  <c:v>13.819508797435024</c:v>
                </c:pt>
                <c:pt idx="5">
                  <c:v>13.746880542055628</c:v>
                </c:pt>
                <c:pt idx="6">
                  <c:v>15.562505583859826</c:v>
                </c:pt>
                <c:pt idx="7">
                  <c:v>13.861002219231091</c:v>
                </c:pt>
                <c:pt idx="8">
                  <c:v>12.968751163303754</c:v>
                </c:pt>
                <c:pt idx="9">
                  <c:v>0</c:v>
                </c:pt>
                <c:pt idx="10">
                  <c:v>-12.055750476788072</c:v>
                </c:pt>
                <c:pt idx="11">
                  <c:v>-31.125006281841127</c:v>
                </c:pt>
                <c:pt idx="12">
                  <c:v>-62.187789588457598</c:v>
                </c:pt>
                <c:pt idx="13">
                  <c:v>-93.375108550339718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1A-49DF-9E05-061F28355714}"/>
            </c:ext>
          </c:extLst>
        </c:ser>
        <c:ser>
          <c:idx val="5"/>
          <c:order val="5"/>
          <c:tx>
            <c:strRef>
              <c:f>'Fusion Rifle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20.400028298927108</c:v>
                </c:pt>
                <c:pt idx="5">
                  <c:v>25.000033333386661</c:v>
                </c:pt>
                <c:pt idx="6">
                  <c:v>30.000040000063997</c:v>
                </c:pt>
                <c:pt idx="7">
                  <c:v>33.360030938365313</c:v>
                </c:pt>
                <c:pt idx="8">
                  <c:v>33.300019693900381</c:v>
                </c:pt>
                <c:pt idx="9">
                  <c:v>30.000010000004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01A-49DF-9E05-061F28355714}"/>
            </c:ext>
          </c:extLst>
        </c:ser>
        <c:ser>
          <c:idx val="6"/>
          <c:order val="6"/>
          <c:tx>
            <c:strRef>
              <c:f>'Fusion Rifle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3.7000027014957007</c:v>
                </c:pt>
                <c:pt idx="2">
                  <c:v>13.34003165245951</c:v>
                </c:pt>
                <c:pt idx="3">
                  <c:v>22.500067500243006</c:v>
                </c:pt>
                <c:pt idx="4">
                  <c:v>30.000090000324004</c:v>
                </c:pt>
                <c:pt idx="5">
                  <c:v>37.500112500405002</c:v>
                </c:pt>
                <c:pt idx="6">
                  <c:v>44.700132318430015</c:v>
                </c:pt>
                <c:pt idx="7">
                  <c:v>52.000117173650175</c:v>
                </c:pt>
                <c:pt idx="8">
                  <c:v>55.000088733505123</c:v>
                </c:pt>
                <c:pt idx="9">
                  <c:v>54.000058320075574</c:v>
                </c:pt>
                <c:pt idx="10">
                  <c:v>46.620027571460533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01A-49DF-9E05-061F2835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'Fusion Rifle SP'!$C$21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11575902687069"/>
                  <c:y val="-0.779168728908886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'Fusion Rifle SP'!$C$23:$C$35</c:f>
              <c:numCache>
                <c:formatCode>0.000</c:formatCode>
                <c:ptCount val="13"/>
                <c:pt idx="0">
                  <c:v>-0.26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-0.3</c:v>
                </c:pt>
                <c:pt idx="10">
                  <c:v>-0.41699999999999998</c:v>
                </c:pt>
                <c:pt idx="11">
                  <c:v>-0.5</c:v>
                </c:pt>
                <c:pt idx="12">
                  <c:v>-0.66700000000000004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1-46CD-A99D-303BAE36DD8A}"/>
            </c:ext>
          </c:extLst>
        </c:ser>
        <c:ser>
          <c:idx val="1"/>
          <c:order val="1"/>
          <c:tx>
            <c:strRef>
              <c:f>'Fusion Rifle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418478386860055"/>
                  <c:y val="-0.682221784776902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'Fusion Rifle SP'!$D$23:$D$35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-0.1875</c:v>
                </c:pt>
                <c:pt idx="8">
                  <c:v>-0.26500000000000001</c:v>
                </c:pt>
                <c:pt idx="9">
                  <c:v>-0.41699999999999998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E1-46CD-A99D-303BAE36DD8A}"/>
            </c:ext>
          </c:extLst>
        </c:ser>
        <c:ser>
          <c:idx val="2"/>
          <c:order val="2"/>
          <c:tx>
            <c:strRef>
              <c:f>'Fusion Rifle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3556241266907912"/>
                  <c:y val="-0.5209098237720285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'Fusion Rifle SP'!$E$23:$E$35</c:f>
              <c:numCache>
                <c:formatCode>0.000</c:formatCode>
                <c:ptCount val="13"/>
                <c:pt idx="0">
                  <c:v>-0.36499999999999999</c:v>
                </c:pt>
                <c:pt idx="1">
                  <c:v>-6.25E-2</c:v>
                </c:pt>
                <c:pt idx="2">
                  <c:v>8.3000000000000004E-2</c:v>
                </c:pt>
                <c:pt idx="3">
                  <c:v>6.25E-2</c:v>
                </c:pt>
                <c:pt idx="4">
                  <c:v>0.05</c:v>
                </c:pt>
                <c:pt idx="5">
                  <c:v>0</c:v>
                </c:pt>
                <c:pt idx="6">
                  <c:v>-8.3299999999999999E-2</c:v>
                </c:pt>
                <c:pt idx="7">
                  <c:v>-0.16700000000000001</c:v>
                </c:pt>
                <c:pt idx="8">
                  <c:v>-0.25</c:v>
                </c:pt>
                <c:pt idx="9">
                  <c:v>-0.36699999999999999</c:v>
                </c:pt>
                <c:pt idx="10">
                  <c:v>-0.47499999999999998</c:v>
                </c:pt>
                <c:pt idx="11">
                  <c:v>-0.58299999999999996</c:v>
                </c:pt>
                <c:pt idx="12">
                  <c:v>-0.66700000000000004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E1-46CD-A99D-303BAE36DD8A}"/>
            </c:ext>
          </c:extLst>
        </c:ser>
        <c:ser>
          <c:idx val="3"/>
          <c:order val="3"/>
          <c:tx>
            <c:strRef>
              <c:f>'Fusion Rifle SP'!$F$21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2514065778916419"/>
                  <c:y val="-0.398186539182602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'Fusion Rifle SP'!$F$23:$F$35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6.25E-2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0.12</c:v>
                </c:pt>
                <c:pt idx="6">
                  <c:v>0</c:v>
                </c:pt>
                <c:pt idx="7">
                  <c:v>-0.1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-0.41699999999999998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4E1-46CD-A99D-303BAE36DD8A}"/>
            </c:ext>
          </c:extLst>
        </c:ser>
        <c:ser>
          <c:idx val="4"/>
          <c:order val="4"/>
          <c:tx>
            <c:strRef>
              <c:f>'Fusion Rifle SP'!$G$21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3165425458911104"/>
                  <c:y val="-0.125913948256467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'Fusion Rifle SP'!$G$23:$G$35</c:f>
              <c:numCache>
                <c:formatCode>0.000</c:formatCode>
                <c:ptCount val="13"/>
                <c:pt idx="0">
                  <c:v>-8.3000000000000004E-2</c:v>
                </c:pt>
                <c:pt idx="1">
                  <c:v>0.245</c:v>
                </c:pt>
                <c:pt idx="2">
                  <c:v>0.36499999999999999</c:v>
                </c:pt>
                <c:pt idx="3">
                  <c:v>0.33300000000000002</c:v>
                </c:pt>
                <c:pt idx="4">
                  <c:v>0.26500000000000001</c:v>
                </c:pt>
                <c:pt idx="5">
                  <c:v>0.25</c:v>
                </c:pt>
                <c:pt idx="6">
                  <c:v>0.16700000000000001</c:v>
                </c:pt>
                <c:pt idx="7">
                  <c:v>0.125</c:v>
                </c:pt>
                <c:pt idx="8">
                  <c:v>0</c:v>
                </c:pt>
                <c:pt idx="9">
                  <c:v>-8.3000000000000004E-2</c:v>
                </c:pt>
                <c:pt idx="10">
                  <c:v>-0.1875</c:v>
                </c:pt>
                <c:pt idx="11">
                  <c:v>-0.33300000000000002</c:v>
                </c:pt>
                <c:pt idx="12">
                  <c:v>-0.45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4E1-46CD-A99D-303BAE36DD8A}"/>
            </c:ext>
          </c:extLst>
        </c:ser>
        <c:ser>
          <c:idx val="5"/>
          <c:order val="5"/>
          <c:tx>
            <c:strRef>
              <c:f>'Fusion Rifle SP'!$H$21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0753119499985537"/>
                  <c:y val="0.206924821897262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'Fusion Rifle SP'!$H$23:$H$35</c:f>
              <c:numCache>
                <c:formatCode>0.000</c:formatCode>
                <c:ptCount val="13"/>
                <c:pt idx="0">
                  <c:v>0.125</c:v>
                </c:pt>
                <c:pt idx="1">
                  <c:v>0.41699999999999998</c:v>
                </c:pt>
                <c:pt idx="2">
                  <c:v>0.5</c:v>
                </c:pt>
                <c:pt idx="3">
                  <c:v>0.51</c:v>
                </c:pt>
                <c:pt idx="4">
                  <c:v>0.5</c:v>
                </c:pt>
                <c:pt idx="5">
                  <c:v>0.5</c:v>
                </c:pt>
                <c:pt idx="6">
                  <c:v>0.41699999999999998</c:v>
                </c:pt>
                <c:pt idx="7">
                  <c:v>0.33300000000000002</c:v>
                </c:pt>
                <c:pt idx="8">
                  <c:v>0.25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4E1-46CD-A99D-303BAE36DD8A}"/>
            </c:ext>
          </c:extLst>
        </c:ser>
        <c:ser>
          <c:idx val="6"/>
          <c:order val="6"/>
          <c:tx>
            <c:strRef>
              <c:f>'Fusion Rifle SP'!$I$21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4082870184118355"/>
                  <c:y val="0.401300899887514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'Fusion Rifle SP'!$I$23:$I$35</c:f>
              <c:numCache>
                <c:formatCode>0.000</c:formatCode>
                <c:ptCount val="13"/>
                <c:pt idx="0">
                  <c:v>0.37</c:v>
                </c:pt>
                <c:pt idx="1">
                  <c:v>0.66700000000000004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0.745</c:v>
                </c:pt>
                <c:pt idx="6">
                  <c:v>0.65</c:v>
                </c:pt>
                <c:pt idx="7">
                  <c:v>0.55000000000000004</c:v>
                </c:pt>
                <c:pt idx="8">
                  <c:v>0.45</c:v>
                </c:pt>
                <c:pt idx="9">
                  <c:v>0.33300000000000002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4E1-46CD-A99D-303BAE36D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9.7157825802226594E-2"/>
          <c:w val="0.83541548008065947"/>
          <c:h val="0.8341976702813916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'Fusion Rifle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5100985024645123"/>
                  <c:y val="7.4722192142485142E-2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0070C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-3.2500018308345711</c:v>
                </c:pt>
                <c:pt idx="2">
                  <c:v>0</c:v>
                </c:pt>
                <c:pt idx="3">
                  <c:v>3.1125001786834505</c:v>
                </c:pt>
                <c:pt idx="4">
                  <c:v>6.2500008138022105</c:v>
                </c:pt>
                <c:pt idx="5">
                  <c:v>7.8125010172527629</c:v>
                </c:pt>
                <c:pt idx="6">
                  <c:v>6.225000357366901</c:v>
                </c:pt>
                <c:pt idx="7">
                  <c:v>0</c:v>
                </c:pt>
                <c:pt idx="8">
                  <c:v>-10.375000595611501</c:v>
                </c:pt>
                <c:pt idx="9">
                  <c:v>-25.050005821830375</c:v>
                </c:pt>
                <c:pt idx="10">
                  <c:v>-52.500039375035435</c:v>
                </c:pt>
                <c:pt idx="11">
                  <c:v>-83.400120853065161</c:v>
                </c:pt>
                <c:pt idx="12">
                  <c:v>-112.50023437558593</c:v>
                </c:pt>
                <c:pt idx="13">
                  <c:v>-166.75061821308995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0-4F76-B979-F476DADACA5E}"/>
            </c:ext>
          </c:extLst>
        </c:ser>
        <c:ser>
          <c:idx val="1"/>
          <c:order val="1"/>
          <c:tx>
            <c:strRef>
              <c:f>'Fusion Rifle SP'!$A$78</c:f>
              <c:strCache>
                <c:ptCount val="1"/>
                <c:pt idx="0">
                  <c:v>Hornady 50m zero(G1 BC=0.439)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352653775759186"/>
                  <c:y val="-0.26331526077488493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-0.1</c:v>
                </c:pt>
                <c:pt idx="5">
                  <c:v>-1.8</c:v>
                </c:pt>
                <c:pt idx="6">
                  <c:v>-4.5</c:v>
                </c:pt>
                <c:pt idx="7">
                  <c:v>-8.3000000000000007</c:v>
                </c:pt>
                <c:pt idx="8">
                  <c:v>-13.6</c:v>
                </c:pt>
                <c:pt idx="9">
                  <c:v>-20</c:v>
                </c:pt>
                <c:pt idx="10">
                  <c:v>-27.7</c:v>
                </c:pt>
                <c:pt idx="11">
                  <c:v>-37.1</c:v>
                </c:pt>
                <c:pt idx="12">
                  <c:v>-47.7</c:v>
                </c:pt>
                <c:pt idx="13">
                  <c:v>-59.9</c:v>
                </c:pt>
                <c:pt idx="14">
                  <c:v>-74.2</c:v>
                </c:pt>
                <c:pt idx="15">
                  <c:v>-89.7</c:v>
                </c:pt>
                <c:pt idx="16">
                  <c:v>-107</c:v>
                </c:pt>
                <c:pt idx="17">
                  <c:v>-126.9</c:v>
                </c:pt>
                <c:pt idx="18">
                  <c:v>-148.19999999999999</c:v>
                </c:pt>
                <c:pt idx="19">
                  <c:v>-171.6</c:v>
                </c:pt>
                <c:pt idx="20">
                  <c:v>-197.1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0-4F76-B979-F476DADACA5E}"/>
            </c:ext>
          </c:extLst>
        </c:ser>
        <c:ser>
          <c:idx val="2"/>
          <c:order val="2"/>
          <c:tx>
            <c:strRef>
              <c:f>'Fusion Rifle SP'!$K$78:$L$78</c:f>
              <c:strCache>
                <c:ptCount val="1"/>
                <c:pt idx="0">
                  <c:v>50m Zero(BC: G7) 0.439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5972088839213869"/>
                  <c:y val="0.19702282794218504"/>
                </c:manualLayout>
              </c:layout>
              <c:numFmt formatCode="0.000000E+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-3.8</c:v>
                </c:pt>
                <c:pt idx="7">
                  <c:v>-7.2</c:v>
                </c:pt>
                <c:pt idx="8">
                  <c:v>-11.8</c:v>
                </c:pt>
                <c:pt idx="9">
                  <c:v>-17.2</c:v>
                </c:pt>
                <c:pt idx="10">
                  <c:v>-23.8</c:v>
                </c:pt>
                <c:pt idx="11">
                  <c:v>-31.8</c:v>
                </c:pt>
                <c:pt idx="12">
                  <c:v>-40.6</c:v>
                </c:pt>
                <c:pt idx="13">
                  <c:v>-50.5</c:v>
                </c:pt>
                <c:pt idx="14">
                  <c:v>-62.1</c:v>
                </c:pt>
                <c:pt idx="15">
                  <c:v>-74.5</c:v>
                </c:pt>
                <c:pt idx="16">
                  <c:v>-88.1</c:v>
                </c:pt>
                <c:pt idx="17">
                  <c:v>-103.6</c:v>
                </c:pt>
                <c:pt idx="18">
                  <c:v>-119.9</c:v>
                </c:pt>
                <c:pt idx="19">
                  <c:v>-137.4</c:v>
                </c:pt>
                <c:pt idx="20">
                  <c:v>-156.4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0C0-4B07-9F2A-AA5FE7BED1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'Fusion Rifle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7520786198731653E-2"/>
                  <c:y val="-0.401429717118693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-3.9843750937080409</c:v>
                </c:pt>
                <c:pt idx="7">
                  <c:v>-10.625000999552523</c:v>
                </c:pt>
                <c:pt idx="8">
                  <c:v>-19.921879216862795</c:v>
                </c:pt>
                <c:pt idx="9">
                  <c:v>-33.787514285802189</c:v>
                </c:pt>
                <c:pt idx="10">
                  <c:v>-62.028814941496222</c:v>
                </c:pt>
                <c:pt idx="11">
                  <c:v>-85.000127942939443</c:v>
                </c:pt>
                <c:pt idx="12">
                  <c:v>-119.5315311249084</c:v>
                </c:pt>
                <c:pt idx="13">
                  <c:v>-159.37553976049438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5-48BC-BA0D-D37C8846C012}"/>
            </c:ext>
          </c:extLst>
        </c:ser>
        <c:ser>
          <c:idx val="1"/>
          <c:order val="1"/>
          <c:tx>
            <c:strRef>
              <c:f>'Fusion Rifle SP'!$A$102</c:f>
              <c:strCache>
                <c:ptCount val="1"/>
                <c:pt idx="0">
                  <c:v>Hornady 100m zero(G1 BC=0.439)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0.1</c:v>
                </c:pt>
                <c:pt idx="3">
                  <c:v>0.5</c:v>
                </c:pt>
                <c:pt idx="4">
                  <c:v>0</c:v>
                </c:pt>
                <c:pt idx="5">
                  <c:v>-1.6</c:v>
                </c:pt>
                <c:pt idx="6">
                  <c:v>-4.3</c:v>
                </c:pt>
                <c:pt idx="7">
                  <c:v>-8.1</c:v>
                </c:pt>
                <c:pt idx="8">
                  <c:v>-13.4</c:v>
                </c:pt>
                <c:pt idx="9">
                  <c:v>-19.7</c:v>
                </c:pt>
                <c:pt idx="10">
                  <c:v>-27.4</c:v>
                </c:pt>
                <c:pt idx="11">
                  <c:v>-36.799999999999997</c:v>
                </c:pt>
                <c:pt idx="12">
                  <c:v>-47.4</c:v>
                </c:pt>
                <c:pt idx="13">
                  <c:v>-59.5</c:v>
                </c:pt>
                <c:pt idx="14">
                  <c:v>-73.8</c:v>
                </c:pt>
                <c:pt idx="15">
                  <c:v>-89.3</c:v>
                </c:pt>
                <c:pt idx="16">
                  <c:v>-106.5</c:v>
                </c:pt>
                <c:pt idx="17">
                  <c:v>-126.5</c:v>
                </c:pt>
                <c:pt idx="18">
                  <c:v>-147.69999999999999</c:v>
                </c:pt>
                <c:pt idx="19">
                  <c:v>-171</c:v>
                </c:pt>
                <c:pt idx="20">
                  <c:v>-196.6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5-48BC-BA0D-D37C8846C012}"/>
            </c:ext>
          </c:extLst>
        </c:ser>
        <c:ser>
          <c:idx val="2"/>
          <c:order val="2"/>
          <c:tx>
            <c:strRef>
              <c:f>'Fusion Rifle SP'!$K$102:$L$102</c:f>
              <c:strCache>
                <c:ptCount val="1"/>
                <c:pt idx="0">
                  <c:v>100m Zero(BC: G7) 0.439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'Fusion Rifle SP'!$K$104:$K$124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-1.4</c:v>
                </c:pt>
                <c:pt idx="6">
                  <c:v>-3.8</c:v>
                </c:pt>
                <c:pt idx="7">
                  <c:v>-7.2</c:v>
                </c:pt>
                <c:pt idx="8">
                  <c:v>-11.8</c:v>
                </c:pt>
                <c:pt idx="9">
                  <c:v>-17.3</c:v>
                </c:pt>
                <c:pt idx="10">
                  <c:v>-23.9</c:v>
                </c:pt>
                <c:pt idx="11">
                  <c:v>-31.9</c:v>
                </c:pt>
                <c:pt idx="12">
                  <c:v>-40.700000000000003</c:v>
                </c:pt>
                <c:pt idx="13">
                  <c:v>-50.7</c:v>
                </c:pt>
                <c:pt idx="14">
                  <c:v>-62.3</c:v>
                </c:pt>
                <c:pt idx="15">
                  <c:v>-74.7</c:v>
                </c:pt>
                <c:pt idx="16">
                  <c:v>-88.3</c:v>
                </c:pt>
                <c:pt idx="17">
                  <c:v>-103.8</c:v>
                </c:pt>
                <c:pt idx="18">
                  <c:v>-120</c:v>
                </c:pt>
                <c:pt idx="19">
                  <c:v>-137.6</c:v>
                </c:pt>
                <c:pt idx="20">
                  <c:v>-156.6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551-4F34-81CF-B38688E94C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'Fusion Rifle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4892807698783088E-2"/>
                  <c:y val="-0.3412877904150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-3.8781281107460299</c:v>
                </c:pt>
                <c:pt idx="2">
                  <c:v>-1.3281250312360138</c:v>
                </c:pt>
                <c:pt idx="3">
                  <c:v>2.6456251097339711</c:v>
                </c:pt>
                <c:pt idx="4">
                  <c:v>2.6562500624720276</c:v>
                </c:pt>
                <c:pt idx="5">
                  <c:v>2.6562500399820976</c:v>
                </c:pt>
                <c:pt idx="6">
                  <c:v>0</c:v>
                </c:pt>
                <c:pt idx="7">
                  <c:v>-7.0805002958084371</c:v>
                </c:pt>
                <c:pt idx="8">
                  <c:v>-17.74375297944275</c:v>
                </c:pt>
                <c:pt idx="9">
                  <c:v>-31.875011994634324</c:v>
                </c:pt>
                <c:pt idx="10">
                  <c:v>-54.591294270272485</c:v>
                </c:pt>
                <c:pt idx="11">
                  <c:v>-80.75010969505837</c:v>
                </c:pt>
                <c:pt idx="12">
                  <c:v>-111.49897817327714</c:v>
                </c:pt>
                <c:pt idx="13">
                  <c:v>-141.73787965964513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2-4319-B86A-11D7CA45D520}"/>
            </c:ext>
          </c:extLst>
        </c:ser>
        <c:ser>
          <c:idx val="1"/>
          <c:order val="1"/>
          <c:tx>
            <c:strRef>
              <c:f>'Fusion Rifle SP'!$A$126</c:f>
              <c:strCache>
                <c:ptCount val="1"/>
                <c:pt idx="0">
                  <c:v>Hornady 150m zero(G1 BC=0.439)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1.5</c:v>
                </c:pt>
                <c:pt idx="3">
                  <c:v>2.7</c:v>
                </c:pt>
                <c:pt idx="4">
                  <c:v>2.9</c:v>
                </c:pt>
                <c:pt idx="5">
                  <c:v>2</c:v>
                </c:pt>
                <c:pt idx="6">
                  <c:v>0.1</c:v>
                </c:pt>
                <c:pt idx="7">
                  <c:v>-3.1</c:v>
                </c:pt>
                <c:pt idx="8">
                  <c:v>-7.6</c:v>
                </c:pt>
                <c:pt idx="9">
                  <c:v>-13.2</c:v>
                </c:pt>
                <c:pt idx="10">
                  <c:v>-20.100000000000001</c:v>
                </c:pt>
                <c:pt idx="11">
                  <c:v>-28.8</c:v>
                </c:pt>
                <c:pt idx="12">
                  <c:v>-38.700000000000003</c:v>
                </c:pt>
                <c:pt idx="13">
                  <c:v>-50.1</c:v>
                </c:pt>
                <c:pt idx="14">
                  <c:v>-63.6</c:v>
                </c:pt>
                <c:pt idx="15">
                  <c:v>-78.3</c:v>
                </c:pt>
                <c:pt idx="16">
                  <c:v>-94.9</c:v>
                </c:pt>
                <c:pt idx="17">
                  <c:v>-114.1</c:v>
                </c:pt>
                <c:pt idx="18">
                  <c:v>-134.6</c:v>
                </c:pt>
                <c:pt idx="19">
                  <c:v>-157.19999999999999</c:v>
                </c:pt>
                <c:pt idx="20">
                  <c:v>-182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2-4319-B86A-11D7CA45D520}"/>
            </c:ext>
          </c:extLst>
        </c:ser>
        <c:ser>
          <c:idx val="2"/>
          <c:order val="2"/>
          <c:tx>
            <c:strRef>
              <c:f>'Fusion Rifle SP'!$K$126:$L$126</c:f>
              <c:strCache>
                <c:ptCount val="1"/>
                <c:pt idx="0">
                  <c:v>150m Zero(BC: G7) 0.439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'Fusion Rifle SP'!$K$128:$K$148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2.4</c:v>
                </c:pt>
                <c:pt idx="4">
                  <c:v>2.6</c:v>
                </c:pt>
                <c:pt idx="5">
                  <c:v>1.8</c:v>
                </c:pt>
                <c:pt idx="6">
                  <c:v>0</c:v>
                </c:pt>
                <c:pt idx="7">
                  <c:v>-2.7</c:v>
                </c:pt>
                <c:pt idx="8">
                  <c:v>-6.7</c:v>
                </c:pt>
                <c:pt idx="9">
                  <c:v>-11.5</c:v>
                </c:pt>
                <c:pt idx="10">
                  <c:v>-17.5</c:v>
                </c:pt>
                <c:pt idx="11">
                  <c:v>-24.8</c:v>
                </c:pt>
                <c:pt idx="12">
                  <c:v>-33</c:v>
                </c:pt>
                <c:pt idx="13">
                  <c:v>-42.3</c:v>
                </c:pt>
                <c:pt idx="14">
                  <c:v>-53.2</c:v>
                </c:pt>
                <c:pt idx="15">
                  <c:v>-65</c:v>
                </c:pt>
                <c:pt idx="16">
                  <c:v>-78</c:v>
                </c:pt>
                <c:pt idx="17">
                  <c:v>-92.8</c:v>
                </c:pt>
                <c:pt idx="18">
                  <c:v>-108.5</c:v>
                </c:pt>
                <c:pt idx="19">
                  <c:v>-125.4</c:v>
                </c:pt>
                <c:pt idx="20">
                  <c:v>-143.69999999999999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80-4D67-9C16-1928B65906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'Fusion Rifle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-2.6250009646879255</c:v>
                </c:pt>
                <c:pt idx="2">
                  <c:v>1.3125000301464853</c:v>
                </c:pt>
                <c:pt idx="3">
                  <c:v>3.9375003617578521</c:v>
                </c:pt>
                <c:pt idx="4">
                  <c:v>5.2500004823438031</c:v>
                </c:pt>
                <c:pt idx="5">
                  <c:v>6.5625006029297532</c:v>
                </c:pt>
                <c:pt idx="6">
                  <c:v>7.5600006401203874</c:v>
                </c:pt>
                <c:pt idx="7">
                  <c:v>0</c:v>
                </c:pt>
                <c:pt idx="8">
                  <c:v>-10.500000617400044</c:v>
                </c:pt>
                <c:pt idx="9">
                  <c:v>-21.042003450621866</c:v>
                </c:pt>
                <c:pt idx="10">
                  <c:v>-36.75001350563096</c:v>
                </c:pt>
                <c:pt idx="11">
                  <c:v>-70.056071630058455</c:v>
                </c:pt>
                <c:pt idx="12">
                  <c:v>-94.50013891524506</c:v>
                </c:pt>
                <c:pt idx="13">
                  <c:v>-131.25030146567468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7D5-89E2-DF4D4D339874}"/>
            </c:ext>
          </c:extLst>
        </c:ser>
        <c:ser>
          <c:idx val="1"/>
          <c:order val="1"/>
          <c:tx>
            <c:strRef>
              <c:f>'Fusion Rifle SP'!$A$150</c:f>
              <c:strCache>
                <c:ptCount val="1"/>
                <c:pt idx="0">
                  <c:v>Hornady 200m zero(G1 BC=0.439)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0.2</c:v>
                </c:pt>
                <c:pt idx="2">
                  <c:v>3.5</c:v>
                </c:pt>
                <c:pt idx="3">
                  <c:v>5.6</c:v>
                </c:pt>
                <c:pt idx="4">
                  <c:v>6.7</c:v>
                </c:pt>
                <c:pt idx="5">
                  <c:v>6.8</c:v>
                </c:pt>
                <c:pt idx="6">
                  <c:v>5.8</c:v>
                </c:pt>
                <c:pt idx="7">
                  <c:v>3.6</c:v>
                </c:pt>
                <c:pt idx="8">
                  <c:v>0.1</c:v>
                </c:pt>
                <c:pt idx="9">
                  <c:v>-4.5999999999999996</c:v>
                </c:pt>
                <c:pt idx="10">
                  <c:v>-10.6</c:v>
                </c:pt>
                <c:pt idx="11">
                  <c:v>-18.3</c:v>
                </c:pt>
                <c:pt idx="12">
                  <c:v>-27.3</c:v>
                </c:pt>
                <c:pt idx="13">
                  <c:v>-37.700000000000003</c:v>
                </c:pt>
                <c:pt idx="14">
                  <c:v>-50.3</c:v>
                </c:pt>
                <c:pt idx="15">
                  <c:v>-64.099999999999994</c:v>
                </c:pt>
                <c:pt idx="16">
                  <c:v>-79.7</c:v>
                </c:pt>
                <c:pt idx="17">
                  <c:v>-97.9</c:v>
                </c:pt>
                <c:pt idx="18">
                  <c:v>-117.5</c:v>
                </c:pt>
                <c:pt idx="19">
                  <c:v>-139.19999999999999</c:v>
                </c:pt>
                <c:pt idx="20">
                  <c:v>-163.1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7D5-89E2-DF4D4D339874}"/>
            </c:ext>
          </c:extLst>
        </c:ser>
        <c:ser>
          <c:idx val="2"/>
          <c:order val="2"/>
          <c:tx>
            <c:strRef>
              <c:f>'Fusion Rifle SP'!$K$150:$L$150</c:f>
              <c:strCache>
                <c:ptCount val="1"/>
                <c:pt idx="0">
                  <c:v>200m Zero(BC: G7) 0.439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'Fusion Rifle SP'!$K$152:$K$172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0</c:v>
                </c:pt>
                <c:pt idx="2">
                  <c:v>3</c:v>
                </c:pt>
                <c:pt idx="3">
                  <c:v>4.9000000000000004</c:v>
                </c:pt>
                <c:pt idx="4">
                  <c:v>5.9</c:v>
                </c:pt>
                <c:pt idx="5">
                  <c:v>6</c:v>
                </c:pt>
                <c:pt idx="6">
                  <c:v>5</c:v>
                </c:pt>
                <c:pt idx="7">
                  <c:v>3.1</c:v>
                </c:pt>
                <c:pt idx="8">
                  <c:v>0</c:v>
                </c:pt>
                <c:pt idx="9">
                  <c:v>-4.0999999999999996</c:v>
                </c:pt>
                <c:pt idx="10">
                  <c:v>-9.1999999999999993</c:v>
                </c:pt>
                <c:pt idx="11">
                  <c:v>-15.6</c:v>
                </c:pt>
                <c:pt idx="12">
                  <c:v>-23</c:v>
                </c:pt>
                <c:pt idx="13">
                  <c:v>-31.5</c:v>
                </c:pt>
                <c:pt idx="14">
                  <c:v>-41.6</c:v>
                </c:pt>
                <c:pt idx="15">
                  <c:v>-52.6</c:v>
                </c:pt>
                <c:pt idx="16">
                  <c:v>-64.7</c:v>
                </c:pt>
                <c:pt idx="17">
                  <c:v>-78.7</c:v>
                </c:pt>
                <c:pt idx="18">
                  <c:v>-93.5</c:v>
                </c:pt>
                <c:pt idx="19">
                  <c:v>-109.6</c:v>
                </c:pt>
                <c:pt idx="20">
                  <c:v>-127.1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6E-4B44-ACA2-6B14AC436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'Fusion Rifle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-0.86112503405629071</c:v>
                </c:pt>
                <c:pt idx="2">
                  <c:v>5.0837517518280357</c:v>
                </c:pt>
                <c:pt idx="3">
                  <c:v>11.360633688869825</c:v>
                </c:pt>
                <c:pt idx="4">
                  <c:v>13.819508797435024</c:v>
                </c:pt>
                <c:pt idx="5">
                  <c:v>13.746880542055628</c:v>
                </c:pt>
                <c:pt idx="6">
                  <c:v>15.562505583859826</c:v>
                </c:pt>
                <c:pt idx="7">
                  <c:v>13.861002219231091</c:v>
                </c:pt>
                <c:pt idx="8">
                  <c:v>12.968751163303754</c:v>
                </c:pt>
                <c:pt idx="9">
                  <c:v>0</c:v>
                </c:pt>
                <c:pt idx="10">
                  <c:v>-12.055750476788072</c:v>
                </c:pt>
                <c:pt idx="11">
                  <c:v>-31.125006281841127</c:v>
                </c:pt>
                <c:pt idx="12">
                  <c:v>-62.187789588457598</c:v>
                </c:pt>
                <c:pt idx="13">
                  <c:v>-93.375108550339718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0-43D0-A9AA-3F45FE58E044}"/>
            </c:ext>
          </c:extLst>
        </c:ser>
        <c:ser>
          <c:idx val="1"/>
          <c:order val="1"/>
          <c:tx>
            <c:strRef>
              <c:f>'Fusion Rifle SP'!$A$174</c:f>
              <c:strCache>
                <c:ptCount val="1"/>
                <c:pt idx="0">
                  <c:v>Hornady 300m zero(G1 BC=0.439)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2.5</c:v>
                </c:pt>
                <c:pt idx="2">
                  <c:v>8.1</c:v>
                </c:pt>
                <c:pt idx="3">
                  <c:v>12.5</c:v>
                </c:pt>
                <c:pt idx="4">
                  <c:v>15.9</c:v>
                </c:pt>
                <c:pt idx="5">
                  <c:v>18.399999999999999</c:v>
                </c:pt>
                <c:pt idx="6">
                  <c:v>19.600000000000001</c:v>
                </c:pt>
                <c:pt idx="7">
                  <c:v>19.7</c:v>
                </c:pt>
                <c:pt idx="8">
                  <c:v>18.5</c:v>
                </c:pt>
                <c:pt idx="9">
                  <c:v>16.100000000000001</c:v>
                </c:pt>
                <c:pt idx="10">
                  <c:v>12.4</c:v>
                </c:pt>
                <c:pt idx="11">
                  <c:v>7</c:v>
                </c:pt>
                <c:pt idx="12">
                  <c:v>0.4</c:v>
                </c:pt>
                <c:pt idx="13">
                  <c:v>-7.8</c:v>
                </c:pt>
                <c:pt idx="14">
                  <c:v>-18</c:v>
                </c:pt>
                <c:pt idx="15">
                  <c:v>-29.6</c:v>
                </c:pt>
                <c:pt idx="16">
                  <c:v>-42.9</c:v>
                </c:pt>
                <c:pt idx="17">
                  <c:v>-58.7</c:v>
                </c:pt>
                <c:pt idx="18">
                  <c:v>-76.099999999999994</c:v>
                </c:pt>
                <c:pt idx="19">
                  <c:v>-95.5</c:v>
                </c:pt>
                <c:pt idx="20">
                  <c:v>-117.1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70-43D0-A9AA-3F45FE58E044}"/>
            </c:ext>
          </c:extLst>
        </c:ser>
        <c:ser>
          <c:idx val="2"/>
          <c:order val="2"/>
          <c:tx>
            <c:strRef>
              <c:f>'Fusion Rifle SP'!$K$174:$L$174</c:f>
              <c:strCache>
                <c:ptCount val="1"/>
                <c:pt idx="0">
                  <c:v>300m Zero(BC: G7) 0.439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'Fusion Rifle SP'!$K$176:$K$196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1.9</c:v>
                </c:pt>
                <c:pt idx="2">
                  <c:v>6.8</c:v>
                </c:pt>
                <c:pt idx="3">
                  <c:v>10.7</c:v>
                </c:pt>
                <c:pt idx="4">
                  <c:v>13.6</c:v>
                </c:pt>
                <c:pt idx="5">
                  <c:v>15.6</c:v>
                </c:pt>
                <c:pt idx="6">
                  <c:v>16.5</c:v>
                </c:pt>
                <c:pt idx="7">
                  <c:v>16.5</c:v>
                </c:pt>
                <c:pt idx="8">
                  <c:v>15.4</c:v>
                </c:pt>
                <c:pt idx="9">
                  <c:v>13.2</c:v>
                </c:pt>
                <c:pt idx="10">
                  <c:v>10</c:v>
                </c:pt>
                <c:pt idx="11">
                  <c:v>5.5</c:v>
                </c:pt>
                <c:pt idx="12">
                  <c:v>0</c:v>
                </c:pt>
                <c:pt idx="13">
                  <c:v>-6.6</c:v>
                </c:pt>
                <c:pt idx="14">
                  <c:v>-14.7</c:v>
                </c:pt>
                <c:pt idx="15">
                  <c:v>-23.8</c:v>
                </c:pt>
                <c:pt idx="16">
                  <c:v>-34</c:v>
                </c:pt>
                <c:pt idx="17">
                  <c:v>-46.1</c:v>
                </c:pt>
                <c:pt idx="18">
                  <c:v>-59</c:v>
                </c:pt>
                <c:pt idx="19">
                  <c:v>-73.2</c:v>
                </c:pt>
                <c:pt idx="20">
                  <c:v>-88.8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C7A-4C4A-A85A-C4BCEBB80D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'Fusion Rifle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4.594031556409451E-2"/>
                  <c:y val="-0.55750704773014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20.400028298927108</c:v>
                </c:pt>
                <c:pt idx="5">
                  <c:v>25.000033333386661</c:v>
                </c:pt>
                <c:pt idx="6">
                  <c:v>30.000040000063997</c:v>
                </c:pt>
                <c:pt idx="7">
                  <c:v>33.360030938365313</c:v>
                </c:pt>
                <c:pt idx="8">
                  <c:v>33.300019693900381</c:v>
                </c:pt>
                <c:pt idx="9">
                  <c:v>30.000010000004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7F-4B73-8A03-A1503FADBFF0}"/>
            </c:ext>
          </c:extLst>
        </c:ser>
        <c:ser>
          <c:idx val="1"/>
          <c:order val="1"/>
          <c:tx>
            <c:strRef>
              <c:f>'Fusion Rifle SP'!$A$198</c:f>
              <c:strCache>
                <c:ptCount val="1"/>
                <c:pt idx="0">
                  <c:v>Hornady 400m zero(G1 BC=0.439)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5.3</c:v>
                </c:pt>
                <c:pt idx="2">
                  <c:v>13.6</c:v>
                </c:pt>
                <c:pt idx="3">
                  <c:v>20.8</c:v>
                </c:pt>
                <c:pt idx="4">
                  <c:v>26.9</c:v>
                </c:pt>
                <c:pt idx="5">
                  <c:v>32.1</c:v>
                </c:pt>
                <c:pt idx="6">
                  <c:v>36.1</c:v>
                </c:pt>
                <c:pt idx="7">
                  <c:v>38.9</c:v>
                </c:pt>
                <c:pt idx="8">
                  <c:v>40.6</c:v>
                </c:pt>
                <c:pt idx="9">
                  <c:v>40.9</c:v>
                </c:pt>
                <c:pt idx="10">
                  <c:v>39.799999999999997</c:v>
                </c:pt>
                <c:pt idx="11">
                  <c:v>37.299999999999997</c:v>
                </c:pt>
                <c:pt idx="12">
                  <c:v>33.4</c:v>
                </c:pt>
                <c:pt idx="13">
                  <c:v>27.9</c:v>
                </c:pt>
                <c:pt idx="14">
                  <c:v>20.5</c:v>
                </c:pt>
                <c:pt idx="15">
                  <c:v>11.7</c:v>
                </c:pt>
                <c:pt idx="16">
                  <c:v>1.1000000000000001</c:v>
                </c:pt>
                <c:pt idx="17">
                  <c:v>-12</c:v>
                </c:pt>
                <c:pt idx="18">
                  <c:v>-26.6</c:v>
                </c:pt>
                <c:pt idx="19">
                  <c:v>-43.2</c:v>
                </c:pt>
                <c:pt idx="20">
                  <c:v>-62.1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7F-4B73-8A03-A1503FADBFF0}"/>
            </c:ext>
          </c:extLst>
        </c:ser>
        <c:ser>
          <c:idx val="2"/>
          <c:order val="2"/>
          <c:tx>
            <c:strRef>
              <c:f>'Fusion Rifle SP'!$K$198:$L$198</c:f>
              <c:strCache>
                <c:ptCount val="1"/>
                <c:pt idx="0">
                  <c:v>400m Zero(BC: G7) 0.439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'Fusion Rifle SP'!$K$200:$K$220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4</c:v>
                </c:pt>
                <c:pt idx="2">
                  <c:v>11.2</c:v>
                </c:pt>
                <c:pt idx="3">
                  <c:v>17.100000000000001</c:v>
                </c:pt>
                <c:pt idx="4">
                  <c:v>22.1</c:v>
                </c:pt>
                <c:pt idx="5">
                  <c:v>26.3</c:v>
                </c:pt>
                <c:pt idx="6">
                  <c:v>29.4</c:v>
                </c:pt>
                <c:pt idx="7">
                  <c:v>31.5</c:v>
                </c:pt>
                <c:pt idx="8">
                  <c:v>32.6</c:v>
                </c:pt>
                <c:pt idx="9">
                  <c:v>32.5</c:v>
                </c:pt>
                <c:pt idx="10">
                  <c:v>31.4</c:v>
                </c:pt>
                <c:pt idx="11">
                  <c:v>29.1</c:v>
                </c:pt>
                <c:pt idx="12">
                  <c:v>25.8</c:v>
                </c:pt>
                <c:pt idx="13">
                  <c:v>21.3</c:v>
                </c:pt>
                <c:pt idx="14">
                  <c:v>15.3</c:v>
                </c:pt>
                <c:pt idx="15">
                  <c:v>8.4</c:v>
                </c:pt>
                <c:pt idx="16">
                  <c:v>0.2</c:v>
                </c:pt>
                <c:pt idx="17">
                  <c:v>-9.6</c:v>
                </c:pt>
                <c:pt idx="18">
                  <c:v>-20.399999999999999</c:v>
                </c:pt>
                <c:pt idx="19">
                  <c:v>-32.5</c:v>
                </c:pt>
                <c:pt idx="20">
                  <c:v>-46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E4-46AF-A59E-A65DA7E91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'Fusion Rifle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3.7000027014957007</c:v>
                </c:pt>
                <c:pt idx="2">
                  <c:v>13.34003165245951</c:v>
                </c:pt>
                <c:pt idx="3">
                  <c:v>22.500067500243006</c:v>
                </c:pt>
                <c:pt idx="4">
                  <c:v>30.000090000324004</c:v>
                </c:pt>
                <c:pt idx="5">
                  <c:v>37.500112500405002</c:v>
                </c:pt>
                <c:pt idx="6">
                  <c:v>44.700132318430015</c:v>
                </c:pt>
                <c:pt idx="7">
                  <c:v>52.000117173650175</c:v>
                </c:pt>
                <c:pt idx="8">
                  <c:v>55.000088733505123</c:v>
                </c:pt>
                <c:pt idx="9">
                  <c:v>54.000058320075574</c:v>
                </c:pt>
                <c:pt idx="10">
                  <c:v>46.620027571460533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2-46B8-8175-822AAE95CE77}"/>
            </c:ext>
          </c:extLst>
        </c:ser>
        <c:ser>
          <c:idx val="1"/>
          <c:order val="1"/>
          <c:tx>
            <c:strRef>
              <c:f>'Fusion Rifle SP'!$A$222</c:f>
              <c:strCache>
                <c:ptCount val="1"/>
                <c:pt idx="0">
                  <c:v>Hornady 500m zero(G1 BC=0.439)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'Fusion Rifle SP'!$A$224:$A$244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8.5</c:v>
                </c:pt>
                <c:pt idx="2">
                  <c:v>20.2</c:v>
                </c:pt>
                <c:pt idx="3">
                  <c:v>30.5</c:v>
                </c:pt>
                <c:pt idx="4">
                  <c:v>39.799999999999997</c:v>
                </c:pt>
                <c:pt idx="5">
                  <c:v>48.4</c:v>
                </c:pt>
                <c:pt idx="6">
                  <c:v>55.5</c:v>
                </c:pt>
                <c:pt idx="7">
                  <c:v>61.5</c:v>
                </c:pt>
                <c:pt idx="8">
                  <c:v>66.5</c:v>
                </c:pt>
                <c:pt idx="9">
                  <c:v>70</c:v>
                </c:pt>
                <c:pt idx="10">
                  <c:v>72.099999999999994</c:v>
                </c:pt>
                <c:pt idx="11">
                  <c:v>72.900000000000006</c:v>
                </c:pt>
                <c:pt idx="12">
                  <c:v>72.2</c:v>
                </c:pt>
                <c:pt idx="13">
                  <c:v>69.900000000000006</c:v>
                </c:pt>
                <c:pt idx="14">
                  <c:v>65.900000000000006</c:v>
                </c:pt>
                <c:pt idx="15">
                  <c:v>60.2</c:v>
                </c:pt>
                <c:pt idx="16">
                  <c:v>52.8</c:v>
                </c:pt>
                <c:pt idx="17">
                  <c:v>43.1</c:v>
                </c:pt>
                <c:pt idx="18">
                  <c:v>31.7</c:v>
                </c:pt>
                <c:pt idx="19">
                  <c:v>18.2</c:v>
                </c:pt>
                <c:pt idx="20">
                  <c:v>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2-46B8-8175-822AAE95CE77}"/>
            </c:ext>
          </c:extLst>
        </c:ser>
        <c:ser>
          <c:idx val="2"/>
          <c:order val="2"/>
          <c:tx>
            <c:strRef>
              <c:f>'Fusion Rifle SP'!$K$222:$L$222</c:f>
              <c:strCache>
                <c:ptCount val="1"/>
                <c:pt idx="0">
                  <c:v>500m Zero(BC: G7) 0.439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'Fusion Rifle SP'!$K$224:$K$244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6.3</c:v>
                </c:pt>
                <c:pt idx="2">
                  <c:v>15.8</c:v>
                </c:pt>
                <c:pt idx="3">
                  <c:v>24.1</c:v>
                </c:pt>
                <c:pt idx="4">
                  <c:v>31.4</c:v>
                </c:pt>
                <c:pt idx="5">
                  <c:v>38</c:v>
                </c:pt>
                <c:pt idx="6">
                  <c:v>43.3</c:v>
                </c:pt>
                <c:pt idx="7">
                  <c:v>47.7</c:v>
                </c:pt>
                <c:pt idx="8">
                  <c:v>51.2</c:v>
                </c:pt>
                <c:pt idx="9">
                  <c:v>53.4</c:v>
                </c:pt>
                <c:pt idx="10">
                  <c:v>54.6</c:v>
                </c:pt>
                <c:pt idx="11">
                  <c:v>54.7</c:v>
                </c:pt>
                <c:pt idx="12">
                  <c:v>53.6</c:v>
                </c:pt>
                <c:pt idx="13">
                  <c:v>51.4</c:v>
                </c:pt>
                <c:pt idx="14">
                  <c:v>47.9</c:v>
                </c:pt>
                <c:pt idx="15">
                  <c:v>43.2</c:v>
                </c:pt>
                <c:pt idx="16">
                  <c:v>37.299999999999997</c:v>
                </c:pt>
                <c:pt idx="17">
                  <c:v>29.9</c:v>
                </c:pt>
                <c:pt idx="18">
                  <c:v>21.4</c:v>
                </c:pt>
                <c:pt idx="19">
                  <c:v>11.6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16-45F5-974D-85567DB71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HP'!$B$22:$B$35</c:f>
              <c:numCache>
                <c:formatCode>0.00</c:formatCode>
                <c:ptCount val="14"/>
                <c:pt idx="0">
                  <c:v>3122.9</c:v>
                </c:pt>
                <c:pt idx="1">
                  <c:v>3063</c:v>
                </c:pt>
                <c:pt idx="2">
                  <c:v>2985.5</c:v>
                </c:pt>
                <c:pt idx="3">
                  <c:v>2910.4</c:v>
                </c:pt>
                <c:pt idx="4">
                  <c:v>2837.8</c:v>
                </c:pt>
                <c:pt idx="5">
                  <c:v>2767.5</c:v>
                </c:pt>
                <c:pt idx="6">
                  <c:v>2688.3</c:v>
                </c:pt>
                <c:pt idx="7">
                  <c:v>2559.9</c:v>
                </c:pt>
                <c:pt idx="8">
                  <c:v>2428.5</c:v>
                </c:pt>
                <c:pt idx="9">
                  <c:v>2295.1999999999998</c:v>
                </c:pt>
                <c:pt idx="10">
                  <c:v>2180.5</c:v>
                </c:pt>
                <c:pt idx="11">
                  <c:v>2057</c:v>
                </c:pt>
                <c:pt idx="12">
                  <c:v>1951.2</c:v>
                </c:pt>
                <c:pt idx="13">
                  <c:v>1843.6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F-455C-85F5-DC58B028502A}"/>
            </c:ext>
          </c:extLst>
        </c:ser>
        <c:ser>
          <c:idx val="1"/>
          <c:order val="1"/>
          <c:tx>
            <c:strRef>
              <c:f>'Barnes TSX HP'!$A$78:$B$78</c:f>
              <c:strCache>
                <c:ptCount val="1"/>
                <c:pt idx="0">
                  <c:v>Hornady[BC: G1](50m Zero) 0.365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HP'!$C$80:$C$100</c:f>
              <c:numCache>
                <c:formatCode>0.00</c:formatCode>
                <c:ptCount val="21"/>
                <c:pt idx="0">
                  <c:v>3122</c:v>
                </c:pt>
                <c:pt idx="1">
                  <c:v>2968</c:v>
                </c:pt>
                <c:pt idx="2">
                  <c:v>2821</c:v>
                </c:pt>
                <c:pt idx="3">
                  <c:v>2679</c:v>
                </c:pt>
                <c:pt idx="4">
                  <c:v>2544</c:v>
                </c:pt>
                <c:pt idx="5">
                  <c:v>2413</c:v>
                </c:pt>
                <c:pt idx="6">
                  <c:v>2288</c:v>
                </c:pt>
                <c:pt idx="7">
                  <c:v>2168</c:v>
                </c:pt>
                <c:pt idx="8">
                  <c:v>2053</c:v>
                </c:pt>
                <c:pt idx="9">
                  <c:v>1943</c:v>
                </c:pt>
                <c:pt idx="10">
                  <c:v>1837</c:v>
                </c:pt>
                <c:pt idx="11">
                  <c:v>1736</c:v>
                </c:pt>
                <c:pt idx="12">
                  <c:v>1639</c:v>
                </c:pt>
                <c:pt idx="13">
                  <c:v>1546</c:v>
                </c:pt>
                <c:pt idx="14">
                  <c:v>1458</c:v>
                </c:pt>
                <c:pt idx="15">
                  <c:v>1374</c:v>
                </c:pt>
                <c:pt idx="16">
                  <c:v>1293</c:v>
                </c:pt>
                <c:pt idx="17">
                  <c:v>1217</c:v>
                </c:pt>
                <c:pt idx="18">
                  <c:v>1145</c:v>
                </c:pt>
                <c:pt idx="19">
                  <c:v>1076</c:v>
                </c:pt>
                <c:pt idx="20">
                  <c:v>1014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9F-455C-85F5-DC58B028502A}"/>
            </c:ext>
          </c:extLst>
        </c:ser>
        <c:ser>
          <c:idx val="2"/>
          <c:order val="2"/>
          <c:tx>
            <c:strRef>
              <c:f>'Barnes TSX HP'!$K$78:$L$78</c:f>
              <c:strCache>
                <c:ptCount val="1"/>
                <c:pt idx="0">
                  <c:v>Hornady[BC:G7](50m Zero) 0.365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HP'!$M$80:$M$100</c:f>
              <c:numCache>
                <c:formatCode>0.00</c:formatCode>
                <c:ptCount val="21"/>
                <c:pt idx="0">
                  <c:v>3122</c:v>
                </c:pt>
                <c:pt idx="1">
                  <c:v>3046</c:v>
                </c:pt>
                <c:pt idx="2">
                  <c:v>2972</c:v>
                </c:pt>
                <c:pt idx="3">
                  <c:v>2898</c:v>
                </c:pt>
                <c:pt idx="4">
                  <c:v>2827</c:v>
                </c:pt>
                <c:pt idx="5">
                  <c:v>2756</c:v>
                </c:pt>
                <c:pt idx="6">
                  <c:v>2687</c:v>
                </c:pt>
                <c:pt idx="7">
                  <c:v>2620</c:v>
                </c:pt>
                <c:pt idx="8">
                  <c:v>2553</c:v>
                </c:pt>
                <c:pt idx="9">
                  <c:v>2488</c:v>
                </c:pt>
                <c:pt idx="10">
                  <c:v>2424</c:v>
                </c:pt>
                <c:pt idx="11">
                  <c:v>2362</c:v>
                </c:pt>
                <c:pt idx="12">
                  <c:v>2301</c:v>
                </c:pt>
                <c:pt idx="13">
                  <c:v>2241</c:v>
                </c:pt>
                <c:pt idx="14">
                  <c:v>2182</c:v>
                </c:pt>
                <c:pt idx="15">
                  <c:v>2124</c:v>
                </c:pt>
                <c:pt idx="16">
                  <c:v>2067</c:v>
                </c:pt>
                <c:pt idx="17">
                  <c:v>2012</c:v>
                </c:pt>
                <c:pt idx="18">
                  <c:v>1958</c:v>
                </c:pt>
                <c:pt idx="19">
                  <c:v>1905</c:v>
                </c:pt>
                <c:pt idx="20">
                  <c:v>1855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CF-4F6C-A862-58AD70177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976279944095862"/>
          <c:y val="0.13739808535493758"/>
          <c:w val="0.18335146493544169"/>
          <c:h val="0.2167645229317433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-4.1625038464664534</c:v>
                </c:pt>
                <c:pt idx="2">
                  <c:v>0</c:v>
                </c:pt>
                <c:pt idx="3">
                  <c:v>3.1125001786834505</c:v>
                </c:pt>
                <c:pt idx="4">
                  <c:v>6.2500008138022105</c:v>
                </c:pt>
                <c:pt idx="5">
                  <c:v>7.8125010172527629</c:v>
                </c:pt>
                <c:pt idx="6">
                  <c:v>6.225000357366901</c:v>
                </c:pt>
                <c:pt idx="7">
                  <c:v>0</c:v>
                </c:pt>
                <c:pt idx="8">
                  <c:v>-12.500001041666769</c:v>
                </c:pt>
                <c:pt idx="9">
                  <c:v>-25.050005821830375</c:v>
                </c:pt>
                <c:pt idx="10">
                  <c:v>-43.750022786472577</c:v>
                </c:pt>
                <c:pt idx="11">
                  <c:v>-75.000087890748588</c:v>
                </c:pt>
                <c:pt idx="12">
                  <c:v>-112.50023437558593</c:v>
                </c:pt>
                <c:pt idx="13">
                  <c:v>-156.25050862828894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C2-415D-9AB8-76C3A8303056}"/>
            </c:ext>
          </c:extLst>
        </c:ser>
        <c:ser>
          <c:idx val="1"/>
          <c:order val="1"/>
          <c:tx>
            <c:strRef>
              <c:f>'Barnes TSX 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-4.0000034133368292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-6.6400002439624641</c:v>
                </c:pt>
                <c:pt idx="8">
                  <c:v>-18.750003515625792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-104.94019022948933</c:v>
                </c:pt>
                <c:pt idx="13">
                  <c:v>-149.00044106143338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C2-415D-9AB8-76C3A8303056}"/>
            </c:ext>
          </c:extLst>
        </c:ser>
        <c:ser>
          <c:idx val="2"/>
          <c:order val="2"/>
          <c:tx>
            <c:strRef>
              <c:f>'Barnes TSX 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-1.3387500319916914</c:v>
                </c:pt>
                <c:pt idx="3">
                  <c:v>1.1156250082283155</c:v>
                </c:pt>
                <c:pt idx="4">
                  <c:v>1.0625000039982098</c:v>
                </c:pt>
                <c:pt idx="5">
                  <c:v>1.328125004997762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-31.875011994634324</c:v>
                </c:pt>
                <c:pt idx="10">
                  <c:v>-49.533783070946775</c:v>
                </c:pt>
                <c:pt idx="11">
                  <c:v>-80.75010969505837</c:v>
                </c:pt>
                <c:pt idx="12">
                  <c:v>-107.57832993994833</c:v>
                </c:pt>
                <c:pt idx="13">
                  <c:v>-141.73787965964513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C2-415D-9AB8-76C3A8303056}"/>
            </c:ext>
          </c:extLst>
        </c:ser>
        <c:ser>
          <c:idx val="3"/>
          <c:order val="3"/>
          <c:tx>
            <c:strRef>
              <c:f>'Barnes TSX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0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4.9980001849630602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C2-415D-9AB8-76C3A8303056}"/>
            </c:ext>
          </c:extLst>
        </c:ser>
        <c:ser>
          <c:idx val="4"/>
          <c:order val="4"/>
          <c:tx>
            <c:strRef>
              <c:f>'Barnes TSX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3.7500007031251585</c:v>
                </c:pt>
                <c:pt idx="3">
                  <c:v>7.500002500001</c:v>
                </c:pt>
                <c:pt idx="4">
                  <c:v>10.200003537361473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10.000000533333367</c:v>
                </c:pt>
                <c:pt idx="9">
                  <c:v>0</c:v>
                </c:pt>
                <c:pt idx="10">
                  <c:v>-11.620000426934313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-87.500089323026103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C2-415D-9AB8-76C3A8303056}"/>
            </c:ext>
          </c:extLst>
        </c:ser>
        <c:ser>
          <c:idx val="5"/>
          <c:order val="5"/>
          <c:tx>
            <c:strRef>
              <c:f>'Barnes TSX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20.000026666709331</c:v>
                </c:pt>
                <c:pt idx="5">
                  <c:v>25.000033333386661</c:v>
                </c:pt>
                <c:pt idx="6">
                  <c:v>28.50003429504952</c:v>
                </c:pt>
                <c:pt idx="7">
                  <c:v>30.800024348449767</c:v>
                </c:pt>
                <c:pt idx="8">
                  <c:v>33.300019693900381</c:v>
                </c:pt>
                <c:pt idx="9">
                  <c:v>29.76000976191872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C2-415D-9AB8-76C3A8303056}"/>
            </c:ext>
          </c:extLst>
        </c:ser>
        <c:ser>
          <c:idx val="6"/>
          <c:order val="6"/>
          <c:tx>
            <c:strRef>
              <c:f>'Barnes TSX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12.500026041731772</c:v>
                </c:pt>
                <c:pt idx="3">
                  <c:v>22.200064836067227</c:v>
                </c:pt>
                <c:pt idx="4">
                  <c:v>30.000090000324004</c:v>
                </c:pt>
                <c:pt idx="5">
                  <c:v>37.000108060112048</c:v>
                </c:pt>
                <c:pt idx="6">
                  <c:v>44.280128623575379</c:v>
                </c:pt>
                <c:pt idx="7">
                  <c:v>50.000104166927088</c:v>
                </c:pt>
                <c:pt idx="8">
                  <c:v>52.500077175136148</c:v>
                </c:pt>
                <c:pt idx="9">
                  <c:v>57.00006859009904</c:v>
                </c:pt>
                <c:pt idx="10">
                  <c:v>49.000032013358435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C2-415D-9AB8-76C3A830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2644337714915357"/>
                  <c:y val="-0.621477877765279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HP'!$C$23:$C$35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7D-4054-BF3D-212F278022ED}"/>
            </c:ext>
          </c:extLst>
        </c:ser>
        <c:ser>
          <c:idx val="1"/>
          <c:order val="1"/>
          <c:tx>
            <c:strRef>
              <c:f>'Barnes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862706098921738"/>
                  <c:y val="-0.631626546681664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HP'!$D$23:$D$35</c:f>
              <c:numCache>
                <c:formatCode>0.000</c:formatCode>
                <c:ptCount val="13"/>
                <c:pt idx="0">
                  <c:v>-0.4</c:v>
                </c:pt>
                <c:pt idx="1">
                  <c:v>-0.1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-2.5000000000000001E-2</c:v>
                </c:pt>
                <c:pt idx="6">
                  <c:v>-8.3000000000000004E-2</c:v>
                </c:pt>
                <c:pt idx="7">
                  <c:v>-0.1875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-0.58299999999999996</c:v>
                </c:pt>
                <c:pt idx="12">
                  <c:v>-0.745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7D-4054-BF3D-212F278022ED}"/>
            </c:ext>
          </c:extLst>
        </c:ser>
        <c:ser>
          <c:idx val="2"/>
          <c:order val="2"/>
          <c:tx>
            <c:strRef>
              <c:f>'Barnes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690258674931309"/>
                  <c:y val="-0.487390138732658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HP'!$E$23:$E$35</c:f>
              <c:numCache>
                <c:formatCode>0.000</c:formatCode>
                <c:ptCount val="13"/>
                <c:pt idx="0">
                  <c:v>-0.375</c:v>
                </c:pt>
                <c:pt idx="1">
                  <c:v>-6.3E-2</c:v>
                </c:pt>
                <c:pt idx="2">
                  <c:v>3.5000000000000003E-2</c:v>
                </c:pt>
                <c:pt idx="3">
                  <c:v>2.5000000000000001E-2</c:v>
                </c:pt>
                <c:pt idx="4">
                  <c:v>2.5000000000000001E-2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-0.1875</c:v>
                </c:pt>
                <c:pt idx="8">
                  <c:v>-0.25</c:v>
                </c:pt>
                <c:pt idx="9">
                  <c:v>-0.33300000000000002</c:v>
                </c:pt>
                <c:pt idx="10">
                  <c:v>-0.47499999999999998</c:v>
                </c:pt>
                <c:pt idx="11">
                  <c:v>-0.5625</c:v>
                </c:pt>
                <c:pt idx="12">
                  <c:v>-0.66700000000000004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17D-4054-BF3D-212F278022ED}"/>
            </c:ext>
          </c:extLst>
        </c:ser>
        <c:ser>
          <c:idx val="3"/>
          <c:order val="3"/>
          <c:tx>
            <c:strRef>
              <c:f>'Barnes TSX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690258674931309"/>
                  <c:y val="-0.2756100487439069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HP'!$F$23:$F$35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0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8.3299999999999999E-2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7D-4054-BF3D-212F278022ED}"/>
            </c:ext>
          </c:extLst>
        </c:ser>
        <c:ser>
          <c:idx val="4"/>
          <c:order val="4"/>
          <c:tx>
            <c:strRef>
              <c:f>'Barnes TSX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7912534806712349"/>
                  <c:y val="-5.472778402699662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5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HP'!$G$23:$G$35</c:f>
              <c:numCache>
                <c:formatCode>0.000</c:formatCode>
                <c:ptCount val="13"/>
                <c:pt idx="0">
                  <c:v>-0.125</c:v>
                </c:pt>
                <c:pt idx="1">
                  <c:v>0.1875</c:v>
                </c:pt>
                <c:pt idx="2">
                  <c:v>0.25</c:v>
                </c:pt>
                <c:pt idx="3">
                  <c:v>0.255</c:v>
                </c:pt>
                <c:pt idx="4">
                  <c:v>0.25</c:v>
                </c:pt>
                <c:pt idx="5">
                  <c:v>0.25</c:v>
                </c:pt>
                <c:pt idx="6">
                  <c:v>0.1875</c:v>
                </c:pt>
                <c:pt idx="7">
                  <c:v>0.1</c:v>
                </c:pt>
                <c:pt idx="8">
                  <c:v>0</c:v>
                </c:pt>
                <c:pt idx="9">
                  <c:v>-8.3000000000000004E-2</c:v>
                </c:pt>
                <c:pt idx="10">
                  <c:v>-0.1875</c:v>
                </c:pt>
                <c:pt idx="11">
                  <c:v>-0.33300000000000002</c:v>
                </c:pt>
                <c:pt idx="12">
                  <c:v>-0.4375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17D-4054-BF3D-212F278022ED}"/>
            </c:ext>
          </c:extLst>
        </c:ser>
        <c:ser>
          <c:idx val="5"/>
          <c:order val="5"/>
          <c:tx>
            <c:strRef>
              <c:f>'Barnes TSX 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121688759214175"/>
                  <c:y val="0.2227658417697787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HP'!$H$23:$H$35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0.41699999999999998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0.47499999999999998</c:v>
                </c:pt>
                <c:pt idx="6">
                  <c:v>0.38500000000000001</c:v>
                </c:pt>
                <c:pt idx="7">
                  <c:v>0.33300000000000002</c:v>
                </c:pt>
                <c:pt idx="8">
                  <c:v>0.248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17D-4054-BF3D-212F278022ED}"/>
            </c:ext>
          </c:extLst>
        </c:ser>
        <c:ser>
          <c:idx val="6"/>
          <c:order val="6"/>
          <c:tx>
            <c:strRef>
              <c:f>'Barnes TSX 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4473685992115163"/>
                  <c:y val="0.4232032245969253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'Barnes TSX HP'!$I$23:$I$35</c:f>
              <c:numCache>
                <c:formatCode>0.000</c:formatCode>
                <c:ptCount val="13"/>
                <c:pt idx="0">
                  <c:v>0.35</c:v>
                </c:pt>
                <c:pt idx="1">
                  <c:v>0.625</c:v>
                </c:pt>
                <c:pt idx="2">
                  <c:v>0.74</c:v>
                </c:pt>
                <c:pt idx="3">
                  <c:v>0.75</c:v>
                </c:pt>
                <c:pt idx="4">
                  <c:v>0.74</c:v>
                </c:pt>
                <c:pt idx="5">
                  <c:v>0.73799999999999999</c:v>
                </c:pt>
                <c:pt idx="6">
                  <c:v>0.625</c:v>
                </c:pt>
                <c:pt idx="7">
                  <c:v>0.52500000000000002</c:v>
                </c:pt>
                <c:pt idx="8">
                  <c:v>0.47499999999999998</c:v>
                </c:pt>
                <c:pt idx="9">
                  <c:v>0.35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17D-4054-BF3D-212F27802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HP'!$A$78:$B$78</c:f>
              <c:strCache>
                <c:ptCount val="1"/>
                <c:pt idx="0">
                  <c:v>Hornady[BC: G1](50m Zero) 0.365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'Barnes TSX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-4</c:v>
                </c:pt>
                <c:pt idx="7">
                  <c:v>-7.7</c:v>
                </c:pt>
                <c:pt idx="8">
                  <c:v>-12.8</c:v>
                </c:pt>
                <c:pt idx="9">
                  <c:v>-19</c:v>
                </c:pt>
                <c:pt idx="10">
                  <c:v>-26.6</c:v>
                </c:pt>
                <c:pt idx="11">
                  <c:v>-36</c:v>
                </c:pt>
                <c:pt idx="12">
                  <c:v>-46.6</c:v>
                </c:pt>
                <c:pt idx="13">
                  <c:v>-58.9</c:v>
                </c:pt>
                <c:pt idx="14">
                  <c:v>-73.400000000000006</c:v>
                </c:pt>
                <c:pt idx="15">
                  <c:v>-89.4</c:v>
                </c:pt>
                <c:pt idx="16">
                  <c:v>-107.3</c:v>
                </c:pt>
                <c:pt idx="17">
                  <c:v>-128.19999999999999</c:v>
                </c:pt>
                <c:pt idx="18">
                  <c:v>-150.69999999999999</c:v>
                </c:pt>
                <c:pt idx="19">
                  <c:v>-175.5</c:v>
                </c:pt>
                <c:pt idx="20">
                  <c:v>-203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0D8-4832-8EF2-D5952CF0686A}"/>
            </c:ext>
          </c:extLst>
        </c:ser>
        <c:ser>
          <c:idx val="2"/>
          <c:order val="1"/>
          <c:tx>
            <c:strRef>
              <c:f>'Barnes TSX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-4.1625038464664534</c:v>
                </c:pt>
                <c:pt idx="2">
                  <c:v>0</c:v>
                </c:pt>
                <c:pt idx="3">
                  <c:v>3.1125001786834505</c:v>
                </c:pt>
                <c:pt idx="4">
                  <c:v>6.2500008138022105</c:v>
                </c:pt>
                <c:pt idx="5">
                  <c:v>7.8125010172527629</c:v>
                </c:pt>
                <c:pt idx="6">
                  <c:v>6.225000357366901</c:v>
                </c:pt>
                <c:pt idx="7">
                  <c:v>0</c:v>
                </c:pt>
                <c:pt idx="8">
                  <c:v>-12.500001041666769</c:v>
                </c:pt>
                <c:pt idx="9">
                  <c:v>-25.050005821830375</c:v>
                </c:pt>
                <c:pt idx="10">
                  <c:v>-43.750022786472577</c:v>
                </c:pt>
                <c:pt idx="11">
                  <c:v>-75.000087890748588</c:v>
                </c:pt>
                <c:pt idx="12">
                  <c:v>-112.50023437558593</c:v>
                </c:pt>
                <c:pt idx="13">
                  <c:v>-156.25050862828894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0D8-4832-8EF2-D5952CF0686A}"/>
            </c:ext>
          </c:extLst>
        </c:ser>
        <c:ser>
          <c:idx val="1"/>
          <c:order val="2"/>
          <c:tx>
            <c:strRef>
              <c:f>'Barnes TSX HP'!$K$78:$L$78</c:f>
              <c:strCache>
                <c:ptCount val="1"/>
                <c:pt idx="0">
                  <c:v>Hornady[BC:G7](50m Zero) 0.365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'Barnes TSX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0.3</c:v>
                </c:pt>
                <c:pt idx="5">
                  <c:v>-0.9</c:v>
                </c:pt>
                <c:pt idx="6">
                  <c:v>-3.1</c:v>
                </c:pt>
                <c:pt idx="7">
                  <c:v>-6.2</c:v>
                </c:pt>
                <c:pt idx="8">
                  <c:v>-10.4</c:v>
                </c:pt>
                <c:pt idx="9">
                  <c:v>-15.6</c:v>
                </c:pt>
                <c:pt idx="10">
                  <c:v>-21.7</c:v>
                </c:pt>
                <c:pt idx="11">
                  <c:v>-29.2</c:v>
                </c:pt>
                <c:pt idx="12">
                  <c:v>-37.6</c:v>
                </c:pt>
                <c:pt idx="13">
                  <c:v>-47</c:v>
                </c:pt>
                <c:pt idx="14">
                  <c:v>-58.1</c:v>
                </c:pt>
                <c:pt idx="15">
                  <c:v>-70</c:v>
                </c:pt>
                <c:pt idx="16">
                  <c:v>-83.1</c:v>
                </c:pt>
                <c:pt idx="17">
                  <c:v>-98.1</c:v>
                </c:pt>
                <c:pt idx="18">
                  <c:v>-113.8</c:v>
                </c:pt>
                <c:pt idx="19">
                  <c:v>-130.9</c:v>
                </c:pt>
                <c:pt idx="20">
                  <c:v>-149.4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E4-4A71-9966-665D00FDFE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-4.0000034133368292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-6.6400002439624641</c:v>
                </c:pt>
                <c:pt idx="8">
                  <c:v>-18.750003515625792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-104.94019022948933</c:v>
                </c:pt>
                <c:pt idx="13">
                  <c:v>-149.00044106143338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03-41A0-B0ED-60A4788E0721}"/>
            </c:ext>
          </c:extLst>
        </c:ser>
        <c:ser>
          <c:idx val="1"/>
          <c:order val="1"/>
          <c:tx>
            <c:strRef>
              <c:f>'Barnes TSX HP'!$A$102:$B$102</c:f>
              <c:strCache>
                <c:ptCount val="1"/>
                <c:pt idx="0">
                  <c:v>Hornady[BC: G1](100m Zero) 0.365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-4.0999999999999996</c:v>
                </c:pt>
                <c:pt idx="7">
                  <c:v>-7.8</c:v>
                </c:pt>
                <c:pt idx="8">
                  <c:v>-12.9</c:v>
                </c:pt>
                <c:pt idx="9">
                  <c:v>-19.2</c:v>
                </c:pt>
                <c:pt idx="10">
                  <c:v>-26.8</c:v>
                </c:pt>
                <c:pt idx="11">
                  <c:v>-36.200000000000003</c:v>
                </c:pt>
                <c:pt idx="12">
                  <c:v>-46.8</c:v>
                </c:pt>
                <c:pt idx="13">
                  <c:v>-59.1</c:v>
                </c:pt>
                <c:pt idx="14">
                  <c:v>-73.7</c:v>
                </c:pt>
                <c:pt idx="15">
                  <c:v>-89.7</c:v>
                </c:pt>
                <c:pt idx="16">
                  <c:v>-107.6</c:v>
                </c:pt>
                <c:pt idx="17">
                  <c:v>-128.5</c:v>
                </c:pt>
                <c:pt idx="18">
                  <c:v>-151</c:v>
                </c:pt>
                <c:pt idx="19">
                  <c:v>-175.9</c:v>
                </c:pt>
                <c:pt idx="20">
                  <c:v>-203.4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03-41A0-B0ED-60A4788E0721}"/>
            </c:ext>
          </c:extLst>
        </c:ser>
        <c:ser>
          <c:idx val="2"/>
          <c:order val="2"/>
          <c:tx>
            <c:strRef>
              <c:f>'Barnes TSX HP'!$K$102:$L$102</c:f>
              <c:strCache>
                <c:ptCount val="1"/>
                <c:pt idx="0">
                  <c:v>Hornady[BC:G7](100m Zero) 0.365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-0.1</c:v>
                </c:pt>
                <c:pt idx="3">
                  <c:v>0.4</c:v>
                </c:pt>
                <c:pt idx="4">
                  <c:v>0</c:v>
                </c:pt>
                <c:pt idx="5">
                  <c:v>-1.3</c:v>
                </c:pt>
                <c:pt idx="6">
                  <c:v>-3.5</c:v>
                </c:pt>
                <c:pt idx="7">
                  <c:v>-6.7</c:v>
                </c:pt>
                <c:pt idx="8">
                  <c:v>-11</c:v>
                </c:pt>
                <c:pt idx="9">
                  <c:v>-16.2</c:v>
                </c:pt>
                <c:pt idx="10">
                  <c:v>-22.4</c:v>
                </c:pt>
                <c:pt idx="11">
                  <c:v>-30</c:v>
                </c:pt>
                <c:pt idx="12">
                  <c:v>-38.5</c:v>
                </c:pt>
                <c:pt idx="13">
                  <c:v>-48</c:v>
                </c:pt>
                <c:pt idx="14">
                  <c:v>-59.2</c:v>
                </c:pt>
                <c:pt idx="15">
                  <c:v>-71.099999999999994</c:v>
                </c:pt>
                <c:pt idx="16">
                  <c:v>-84.3</c:v>
                </c:pt>
                <c:pt idx="17">
                  <c:v>-99.3</c:v>
                </c:pt>
                <c:pt idx="18">
                  <c:v>-115.1</c:v>
                </c:pt>
                <c:pt idx="19">
                  <c:v>-132.30000000000001</c:v>
                </c:pt>
                <c:pt idx="20">
                  <c:v>-150.9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B72-4BB2-9E72-D22EFEF3D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-1.3387500319916914</c:v>
                </c:pt>
                <c:pt idx="3">
                  <c:v>1.1156250082283155</c:v>
                </c:pt>
                <c:pt idx="4">
                  <c:v>1.0625000039982098</c:v>
                </c:pt>
                <c:pt idx="5">
                  <c:v>1.328125004997762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-31.875011994634324</c:v>
                </c:pt>
                <c:pt idx="10">
                  <c:v>-49.533783070946775</c:v>
                </c:pt>
                <c:pt idx="11">
                  <c:v>-80.75010969505837</c:v>
                </c:pt>
                <c:pt idx="12">
                  <c:v>-107.57832993994833</c:v>
                </c:pt>
                <c:pt idx="13">
                  <c:v>-141.73787965964513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D-434D-A014-8E554FDD2C35}"/>
            </c:ext>
          </c:extLst>
        </c:ser>
        <c:ser>
          <c:idx val="1"/>
          <c:order val="1"/>
          <c:tx>
            <c:strRef>
              <c:f>'Barnes TSX HP'!$A$126:$B$126</c:f>
              <c:strCache>
                <c:ptCount val="1"/>
                <c:pt idx="0">
                  <c:v>Hornady[BC: G1](150m Zero) 0.365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2.7</c:v>
                </c:pt>
                <c:pt idx="5">
                  <c:v>1.9</c:v>
                </c:pt>
                <c:pt idx="6">
                  <c:v>0</c:v>
                </c:pt>
                <c:pt idx="7">
                  <c:v>-3.1</c:v>
                </c:pt>
                <c:pt idx="8">
                  <c:v>-7.5</c:v>
                </c:pt>
                <c:pt idx="9">
                  <c:v>-13.1</c:v>
                </c:pt>
                <c:pt idx="10">
                  <c:v>-20</c:v>
                </c:pt>
                <c:pt idx="11">
                  <c:v>-28.7</c:v>
                </c:pt>
                <c:pt idx="12">
                  <c:v>-38.700000000000003</c:v>
                </c:pt>
                <c:pt idx="13">
                  <c:v>-50.3</c:v>
                </c:pt>
                <c:pt idx="14">
                  <c:v>-64.2</c:v>
                </c:pt>
                <c:pt idx="15">
                  <c:v>-79.5</c:v>
                </c:pt>
                <c:pt idx="16">
                  <c:v>-96.8</c:v>
                </c:pt>
                <c:pt idx="17">
                  <c:v>-116.9</c:v>
                </c:pt>
                <c:pt idx="18">
                  <c:v>-138.69999999999999</c:v>
                </c:pt>
                <c:pt idx="19">
                  <c:v>-163</c:v>
                </c:pt>
                <c:pt idx="20">
                  <c:v>-189.8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D-434D-A014-8E554FDD2C35}"/>
            </c:ext>
          </c:extLst>
        </c:ser>
        <c:ser>
          <c:idx val="2"/>
          <c:order val="2"/>
          <c:tx>
            <c:strRef>
              <c:f>'Barnes TSX HP'!$K$126:$L$126</c:f>
              <c:strCache>
                <c:ptCount val="1"/>
                <c:pt idx="0">
                  <c:v>Hornady[BC:G7](150m Zero) 0.365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</c:v>
                </c:pt>
                <c:pt idx="2">
                  <c:v>1</c:v>
                </c:pt>
                <c:pt idx="3">
                  <c:v>2.1</c:v>
                </c:pt>
                <c:pt idx="4">
                  <c:v>2.4</c:v>
                </c:pt>
                <c:pt idx="5">
                  <c:v>1.6</c:v>
                </c:pt>
                <c:pt idx="6">
                  <c:v>0</c:v>
                </c:pt>
                <c:pt idx="7">
                  <c:v>-2.6</c:v>
                </c:pt>
                <c:pt idx="8">
                  <c:v>-6.3</c:v>
                </c:pt>
                <c:pt idx="9">
                  <c:v>-10.9</c:v>
                </c:pt>
                <c:pt idx="10">
                  <c:v>-16.600000000000001</c:v>
                </c:pt>
                <c:pt idx="11">
                  <c:v>-23.6</c:v>
                </c:pt>
                <c:pt idx="12">
                  <c:v>-31.4</c:v>
                </c:pt>
                <c:pt idx="13">
                  <c:v>-40.4</c:v>
                </c:pt>
                <c:pt idx="14">
                  <c:v>-50.9</c:v>
                </c:pt>
                <c:pt idx="15">
                  <c:v>-62.3</c:v>
                </c:pt>
                <c:pt idx="16">
                  <c:v>-74.900000000000006</c:v>
                </c:pt>
                <c:pt idx="17">
                  <c:v>-89.3</c:v>
                </c:pt>
                <c:pt idx="18">
                  <c:v>-104.6</c:v>
                </c:pt>
                <c:pt idx="19">
                  <c:v>-121.2</c:v>
                </c:pt>
                <c:pt idx="20">
                  <c:v>-139.1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A1-4B0B-B763-071C3FB05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-3.3300019693900382</c:v>
                </c:pt>
                <c:pt idx="2">
                  <c:v>0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4.9980001849630602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6-44BC-864B-017E09325CA7}"/>
            </c:ext>
          </c:extLst>
        </c:ser>
        <c:ser>
          <c:idx val="1"/>
          <c:order val="1"/>
          <c:tx>
            <c:strRef>
              <c:f>'Barnes TSX HP'!$A$150:$B$150</c:f>
              <c:strCache>
                <c:ptCount val="1"/>
                <c:pt idx="0">
                  <c:v>Hornady[BC: G1](200m Zero) 0.365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5.3</c:v>
                </c:pt>
                <c:pt idx="4">
                  <c:v>6.4</c:v>
                </c:pt>
                <c:pt idx="5">
                  <c:v>6.5</c:v>
                </c:pt>
                <c:pt idx="6">
                  <c:v>5.5</c:v>
                </c:pt>
                <c:pt idx="7">
                  <c:v>3.4</c:v>
                </c:pt>
                <c:pt idx="8">
                  <c:v>-0.1</c:v>
                </c:pt>
                <c:pt idx="9">
                  <c:v>-4.8</c:v>
                </c:pt>
                <c:pt idx="10">
                  <c:v>-10.8</c:v>
                </c:pt>
                <c:pt idx="11">
                  <c:v>-18.5</c:v>
                </c:pt>
                <c:pt idx="12">
                  <c:v>-27.6</c:v>
                </c:pt>
                <c:pt idx="13">
                  <c:v>-38.299999999999997</c:v>
                </c:pt>
                <c:pt idx="14">
                  <c:v>-51.2</c:v>
                </c:pt>
                <c:pt idx="15">
                  <c:v>-65.599999999999994</c:v>
                </c:pt>
                <c:pt idx="16">
                  <c:v>-82</c:v>
                </c:pt>
                <c:pt idx="17">
                  <c:v>-101.3</c:v>
                </c:pt>
                <c:pt idx="18">
                  <c:v>-122.1</c:v>
                </c:pt>
                <c:pt idx="19">
                  <c:v>-145.5</c:v>
                </c:pt>
                <c:pt idx="20">
                  <c:v>-171.4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6-44BC-864B-017E09325CA7}"/>
            </c:ext>
          </c:extLst>
        </c:ser>
        <c:ser>
          <c:idx val="2"/>
          <c:order val="2"/>
          <c:tx>
            <c:strRef>
              <c:f>'Barnes TSX HP'!$K$150:$L$150</c:f>
              <c:strCache>
                <c:ptCount val="1"/>
                <c:pt idx="0">
                  <c:v>Hornady[BC:G7](200m Zero) 0.365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2.6</c:v>
                </c:pt>
                <c:pt idx="3">
                  <c:v>4.5</c:v>
                </c:pt>
                <c:pt idx="4">
                  <c:v>5.5</c:v>
                </c:pt>
                <c:pt idx="5">
                  <c:v>5.6</c:v>
                </c:pt>
                <c:pt idx="6">
                  <c:v>4.7</c:v>
                </c:pt>
                <c:pt idx="7">
                  <c:v>2.9</c:v>
                </c:pt>
                <c:pt idx="8">
                  <c:v>0</c:v>
                </c:pt>
                <c:pt idx="9">
                  <c:v>-3.9</c:v>
                </c:pt>
                <c:pt idx="10">
                  <c:v>-8.8000000000000007</c:v>
                </c:pt>
                <c:pt idx="11">
                  <c:v>-14.9</c:v>
                </c:pt>
                <c:pt idx="12">
                  <c:v>-22</c:v>
                </c:pt>
                <c:pt idx="13">
                  <c:v>-30.2</c:v>
                </c:pt>
                <c:pt idx="14">
                  <c:v>-40</c:v>
                </c:pt>
                <c:pt idx="15">
                  <c:v>-50.6</c:v>
                </c:pt>
                <c:pt idx="16">
                  <c:v>-62.4</c:v>
                </c:pt>
                <c:pt idx="17">
                  <c:v>-76</c:v>
                </c:pt>
                <c:pt idx="18">
                  <c:v>-90.5</c:v>
                </c:pt>
                <c:pt idx="19">
                  <c:v>-106.3</c:v>
                </c:pt>
                <c:pt idx="20">
                  <c:v>-123.5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ABF-4138-BC8D-665D36296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3.7500007031251585</c:v>
                </c:pt>
                <c:pt idx="3">
                  <c:v>7.500002500001</c:v>
                </c:pt>
                <c:pt idx="4">
                  <c:v>10.200003537361473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10.000000533333367</c:v>
                </c:pt>
                <c:pt idx="9">
                  <c:v>0</c:v>
                </c:pt>
                <c:pt idx="10">
                  <c:v>-11.620000426934313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-87.500089323026103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A0-4A45-AFC4-9DA271B2CC54}"/>
            </c:ext>
          </c:extLst>
        </c:ser>
        <c:ser>
          <c:idx val="1"/>
          <c:order val="1"/>
          <c:tx>
            <c:strRef>
              <c:f>'Barnes TSX HP'!$A$174:$B$174</c:f>
              <c:strCache>
                <c:ptCount val="1"/>
                <c:pt idx="0">
                  <c:v>Hornady[BC: G1](300m Zero) 0.365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7.8</c:v>
                </c:pt>
                <c:pt idx="3">
                  <c:v>12.1</c:v>
                </c:pt>
                <c:pt idx="4">
                  <c:v>15.5</c:v>
                </c:pt>
                <c:pt idx="5">
                  <c:v>18</c:v>
                </c:pt>
                <c:pt idx="6">
                  <c:v>19.2</c:v>
                </c:pt>
                <c:pt idx="7">
                  <c:v>19.399999999999999</c:v>
                </c:pt>
                <c:pt idx="8">
                  <c:v>18.2</c:v>
                </c:pt>
                <c:pt idx="9">
                  <c:v>15.8</c:v>
                </c:pt>
                <c:pt idx="10">
                  <c:v>12</c:v>
                </c:pt>
                <c:pt idx="11">
                  <c:v>6.6</c:v>
                </c:pt>
                <c:pt idx="12">
                  <c:v>-0.2</c:v>
                </c:pt>
                <c:pt idx="13">
                  <c:v>-8.6</c:v>
                </c:pt>
                <c:pt idx="14">
                  <c:v>-19.2</c:v>
                </c:pt>
                <c:pt idx="15">
                  <c:v>-31.4</c:v>
                </c:pt>
                <c:pt idx="16">
                  <c:v>-45.5</c:v>
                </c:pt>
                <c:pt idx="17">
                  <c:v>-62.4</c:v>
                </c:pt>
                <c:pt idx="18">
                  <c:v>-81</c:v>
                </c:pt>
                <c:pt idx="19">
                  <c:v>-102.1</c:v>
                </c:pt>
                <c:pt idx="20">
                  <c:v>-125.8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A0-4A45-AFC4-9DA271B2CC54}"/>
            </c:ext>
          </c:extLst>
        </c:ser>
        <c:ser>
          <c:idx val="2"/>
          <c:order val="2"/>
          <c:tx>
            <c:strRef>
              <c:f>'Barnes TSX HP'!$K$174:$L$174</c:f>
              <c:strCache>
                <c:ptCount val="1"/>
                <c:pt idx="0">
                  <c:v>Hornady[BC:G7](300m Zero) 0.365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1.6</c:v>
                </c:pt>
                <c:pt idx="2">
                  <c:v>6.3</c:v>
                </c:pt>
                <c:pt idx="3">
                  <c:v>10</c:v>
                </c:pt>
                <c:pt idx="4">
                  <c:v>12.8</c:v>
                </c:pt>
                <c:pt idx="5">
                  <c:v>14.8</c:v>
                </c:pt>
                <c:pt idx="6">
                  <c:v>15.7</c:v>
                </c:pt>
                <c:pt idx="7">
                  <c:v>15.7</c:v>
                </c:pt>
                <c:pt idx="8">
                  <c:v>14.7</c:v>
                </c:pt>
                <c:pt idx="9">
                  <c:v>12.6</c:v>
                </c:pt>
                <c:pt idx="10">
                  <c:v>9.6</c:v>
                </c:pt>
                <c:pt idx="11">
                  <c:v>5.3</c:v>
                </c:pt>
                <c:pt idx="12">
                  <c:v>0</c:v>
                </c:pt>
                <c:pt idx="13">
                  <c:v>-6.4</c:v>
                </c:pt>
                <c:pt idx="14">
                  <c:v>-14.2</c:v>
                </c:pt>
                <c:pt idx="15">
                  <c:v>-23</c:v>
                </c:pt>
                <c:pt idx="16">
                  <c:v>-33</c:v>
                </c:pt>
                <c:pt idx="17">
                  <c:v>-44.8</c:v>
                </c:pt>
                <c:pt idx="18">
                  <c:v>-57.4</c:v>
                </c:pt>
                <c:pt idx="19">
                  <c:v>-71.400000000000006</c:v>
                </c:pt>
                <c:pt idx="20">
                  <c:v>-86.8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6F-4197-A666-FA7293E21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20.000026666709331</c:v>
                </c:pt>
                <c:pt idx="5">
                  <c:v>25.000033333386661</c:v>
                </c:pt>
                <c:pt idx="6">
                  <c:v>28.50003429504952</c:v>
                </c:pt>
                <c:pt idx="7">
                  <c:v>30.800024348449767</c:v>
                </c:pt>
                <c:pt idx="8">
                  <c:v>33.300019693900381</c:v>
                </c:pt>
                <c:pt idx="9">
                  <c:v>29.76000976191872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-22.500001875000187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C6-450A-88A7-9BE18054F380}"/>
            </c:ext>
          </c:extLst>
        </c:ser>
        <c:ser>
          <c:idx val="1"/>
          <c:order val="1"/>
          <c:tx>
            <c:strRef>
              <c:f>'Barnes TSX HP'!$A$198:$B$198</c:f>
              <c:strCache>
                <c:ptCount val="1"/>
                <c:pt idx="0">
                  <c:v>Hornady[BC: G1](400m Zero) 0.365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5.2</c:v>
                </c:pt>
                <c:pt idx="2">
                  <c:v>13.5</c:v>
                </c:pt>
                <c:pt idx="3">
                  <c:v>20.6</c:v>
                </c:pt>
                <c:pt idx="4">
                  <c:v>26.8</c:v>
                </c:pt>
                <c:pt idx="5">
                  <c:v>32.1</c:v>
                </c:pt>
                <c:pt idx="6">
                  <c:v>36.1</c:v>
                </c:pt>
                <c:pt idx="7">
                  <c:v>39</c:v>
                </c:pt>
                <c:pt idx="8">
                  <c:v>40.799999999999997</c:v>
                </c:pt>
                <c:pt idx="9">
                  <c:v>41.2</c:v>
                </c:pt>
                <c:pt idx="10">
                  <c:v>40.200000000000003</c:v>
                </c:pt>
                <c:pt idx="11">
                  <c:v>37.6</c:v>
                </c:pt>
                <c:pt idx="12">
                  <c:v>33.6</c:v>
                </c:pt>
                <c:pt idx="13">
                  <c:v>27.9</c:v>
                </c:pt>
                <c:pt idx="14">
                  <c:v>20.2</c:v>
                </c:pt>
                <c:pt idx="15">
                  <c:v>10.9</c:v>
                </c:pt>
                <c:pt idx="16">
                  <c:v>-0.5</c:v>
                </c:pt>
                <c:pt idx="17">
                  <c:v>-14.5</c:v>
                </c:pt>
                <c:pt idx="18">
                  <c:v>-30.4</c:v>
                </c:pt>
                <c:pt idx="19">
                  <c:v>-48.7</c:v>
                </c:pt>
                <c:pt idx="20">
                  <c:v>-69.599999999999994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C6-450A-88A7-9BE18054F380}"/>
            </c:ext>
          </c:extLst>
        </c:ser>
        <c:ser>
          <c:idx val="2"/>
          <c:order val="2"/>
          <c:tx>
            <c:strRef>
              <c:f>'Barnes TSX HP'!$K$198:$L$198</c:f>
              <c:strCache>
                <c:ptCount val="1"/>
                <c:pt idx="0">
                  <c:v>Hornady[BC:G7](400m Zero) 0.365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3.7</c:v>
                </c:pt>
                <c:pt idx="2">
                  <c:v>10.5</c:v>
                </c:pt>
                <c:pt idx="3">
                  <c:v>16.3</c:v>
                </c:pt>
                <c:pt idx="4">
                  <c:v>21.1</c:v>
                </c:pt>
                <c:pt idx="5">
                  <c:v>25.2</c:v>
                </c:pt>
                <c:pt idx="6">
                  <c:v>28.2</c:v>
                </c:pt>
                <c:pt idx="7">
                  <c:v>30.2</c:v>
                </c:pt>
                <c:pt idx="8">
                  <c:v>31.3</c:v>
                </c:pt>
                <c:pt idx="9">
                  <c:v>31.4</c:v>
                </c:pt>
                <c:pt idx="10">
                  <c:v>30.4</c:v>
                </c:pt>
                <c:pt idx="11">
                  <c:v>28.2</c:v>
                </c:pt>
                <c:pt idx="12">
                  <c:v>25</c:v>
                </c:pt>
                <c:pt idx="13">
                  <c:v>20.6</c:v>
                </c:pt>
                <c:pt idx="14">
                  <c:v>14.9</c:v>
                </c:pt>
                <c:pt idx="15">
                  <c:v>8.1999999999999993</c:v>
                </c:pt>
                <c:pt idx="16">
                  <c:v>0.2</c:v>
                </c:pt>
                <c:pt idx="17">
                  <c:v>-9.4</c:v>
                </c:pt>
                <c:pt idx="18">
                  <c:v>-20</c:v>
                </c:pt>
                <c:pt idx="19">
                  <c:v>-32</c:v>
                </c:pt>
                <c:pt idx="20">
                  <c:v>-45.3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1FE-47F6-B45E-B684921D9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'Barnes TSX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12.500026041731772</c:v>
                </c:pt>
                <c:pt idx="3">
                  <c:v>22.200064836067227</c:v>
                </c:pt>
                <c:pt idx="4">
                  <c:v>30.000090000324004</c:v>
                </c:pt>
                <c:pt idx="5">
                  <c:v>37.000108060112048</c:v>
                </c:pt>
                <c:pt idx="6">
                  <c:v>44.280128623575379</c:v>
                </c:pt>
                <c:pt idx="7">
                  <c:v>50.000104166927088</c:v>
                </c:pt>
                <c:pt idx="8">
                  <c:v>52.500077175136148</c:v>
                </c:pt>
                <c:pt idx="9">
                  <c:v>57.00006859009904</c:v>
                </c:pt>
                <c:pt idx="10">
                  <c:v>49.000032013358435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1-4CAA-88FE-6C7B46EFE220}"/>
            </c:ext>
          </c:extLst>
        </c:ser>
        <c:ser>
          <c:idx val="1"/>
          <c:order val="1"/>
          <c:tx>
            <c:strRef>
              <c:f>'Barnes TSX HP'!$A$222:$B$222</c:f>
              <c:strCache>
                <c:ptCount val="1"/>
                <c:pt idx="0">
                  <c:v>Hornady[BC: G1](500m Zero) 0.365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'Barnes TSX 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8.6</c:v>
                </c:pt>
                <c:pt idx="2">
                  <c:v>20.399999999999999</c:v>
                </c:pt>
                <c:pt idx="3">
                  <c:v>30.9</c:v>
                </c:pt>
                <c:pt idx="4">
                  <c:v>40.5</c:v>
                </c:pt>
                <c:pt idx="5">
                  <c:v>49.3</c:v>
                </c:pt>
                <c:pt idx="6">
                  <c:v>56.7</c:v>
                </c:pt>
                <c:pt idx="7">
                  <c:v>63</c:v>
                </c:pt>
                <c:pt idx="8">
                  <c:v>68.3</c:v>
                </c:pt>
                <c:pt idx="9">
                  <c:v>72</c:v>
                </c:pt>
                <c:pt idx="10">
                  <c:v>74.400000000000006</c:v>
                </c:pt>
                <c:pt idx="11">
                  <c:v>75.400000000000006</c:v>
                </c:pt>
                <c:pt idx="12">
                  <c:v>74.8</c:v>
                </c:pt>
                <c:pt idx="13">
                  <c:v>72.5</c:v>
                </c:pt>
                <c:pt idx="14">
                  <c:v>68.3</c:v>
                </c:pt>
                <c:pt idx="15">
                  <c:v>62.3</c:v>
                </c:pt>
                <c:pt idx="16">
                  <c:v>54.4</c:v>
                </c:pt>
                <c:pt idx="17">
                  <c:v>43.8</c:v>
                </c:pt>
                <c:pt idx="18">
                  <c:v>31.4</c:v>
                </c:pt>
                <c:pt idx="19">
                  <c:v>16.5</c:v>
                </c:pt>
                <c:pt idx="20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E1-4CAA-88FE-6C7B46EFE220}"/>
            </c:ext>
          </c:extLst>
        </c:ser>
        <c:ser>
          <c:idx val="2"/>
          <c:order val="2"/>
          <c:tx>
            <c:strRef>
              <c:f>'Barnes TSX HP'!$K$222:$L$222</c:f>
              <c:strCache>
                <c:ptCount val="1"/>
                <c:pt idx="0">
                  <c:v>Hornady[BC:G7](500m Zero) 0.365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</c:v>
                </c:pt>
                <c:pt idx="2">
                  <c:v>15.1</c:v>
                </c:pt>
                <c:pt idx="3">
                  <c:v>23.1</c:v>
                </c:pt>
                <c:pt idx="4">
                  <c:v>30.2</c:v>
                </c:pt>
                <c:pt idx="5">
                  <c:v>36.700000000000003</c:v>
                </c:pt>
                <c:pt idx="6">
                  <c:v>41.9</c:v>
                </c:pt>
                <c:pt idx="7">
                  <c:v>46.2</c:v>
                </c:pt>
                <c:pt idx="8">
                  <c:v>49.6</c:v>
                </c:pt>
                <c:pt idx="9">
                  <c:v>51.9</c:v>
                </c:pt>
                <c:pt idx="10">
                  <c:v>53.2</c:v>
                </c:pt>
                <c:pt idx="11">
                  <c:v>53.3</c:v>
                </c:pt>
                <c:pt idx="12">
                  <c:v>52.4</c:v>
                </c:pt>
                <c:pt idx="13">
                  <c:v>50.3</c:v>
                </c:pt>
                <c:pt idx="14">
                  <c:v>46.9</c:v>
                </c:pt>
                <c:pt idx="15">
                  <c:v>42.4</c:v>
                </c:pt>
                <c:pt idx="16">
                  <c:v>36.700000000000003</c:v>
                </c:pt>
                <c:pt idx="17">
                  <c:v>29.4</c:v>
                </c:pt>
                <c:pt idx="18">
                  <c:v>21.1</c:v>
                </c:pt>
                <c:pt idx="19">
                  <c:v>11.4</c:v>
                </c:pt>
                <c:pt idx="20">
                  <c:v>0.3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58B-41E9-9FC5-F667C5166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PHP'!$B$1:$C$1</c:f>
              <c:strCache>
                <c:ptCount val="1"/>
                <c:pt idx="0">
                  <c:v>6.5mm Creedmoor Federal ELD-X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PHP'!$B$22:$B$35</c:f>
              <c:numCache>
                <c:formatCode>0.00</c:formatCode>
                <c:ptCount val="14"/>
                <c:pt idx="0">
                  <c:v>3137.5</c:v>
                </c:pt>
                <c:pt idx="1">
                  <c:v>3096.5</c:v>
                </c:pt>
                <c:pt idx="2">
                  <c:v>3052.5</c:v>
                </c:pt>
                <c:pt idx="3">
                  <c:v>3009.5</c:v>
                </c:pt>
                <c:pt idx="4">
                  <c:v>2967.3</c:v>
                </c:pt>
                <c:pt idx="5">
                  <c:v>2926.1</c:v>
                </c:pt>
                <c:pt idx="6">
                  <c:v>2878.2</c:v>
                </c:pt>
                <c:pt idx="7">
                  <c:v>2793</c:v>
                </c:pt>
                <c:pt idx="8">
                  <c:v>2710.5</c:v>
                </c:pt>
                <c:pt idx="9">
                  <c:v>2631.2</c:v>
                </c:pt>
                <c:pt idx="10">
                  <c:v>2554.8000000000002</c:v>
                </c:pt>
                <c:pt idx="11">
                  <c:v>2475.8000000000002</c:v>
                </c:pt>
                <c:pt idx="12">
                  <c:v>2405</c:v>
                </c:pt>
                <c:pt idx="13">
                  <c:v>2332.6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4C-4E6E-B777-EB70836EE91E}"/>
            </c:ext>
          </c:extLst>
        </c:ser>
        <c:ser>
          <c:idx val="1"/>
          <c:order val="1"/>
          <c:tx>
            <c:strRef>
              <c:f>'Fusion Rifle SP'!$B$1:$C$1</c:f>
              <c:strCache>
                <c:ptCount val="1"/>
                <c:pt idx="0">
                  <c:v>6.5mm Creedmoor Federal Fusion Rifle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SP'!$B$22:$B$35</c:f>
              <c:numCache>
                <c:formatCode>0.00</c:formatCode>
                <c:ptCount val="14"/>
                <c:pt idx="0">
                  <c:v>3129.2</c:v>
                </c:pt>
                <c:pt idx="1">
                  <c:v>3071.2</c:v>
                </c:pt>
                <c:pt idx="2">
                  <c:v>3010.5</c:v>
                </c:pt>
                <c:pt idx="3">
                  <c:v>2951</c:v>
                </c:pt>
                <c:pt idx="4">
                  <c:v>2893.3</c:v>
                </c:pt>
                <c:pt idx="5">
                  <c:v>2836.9</c:v>
                </c:pt>
                <c:pt idx="6">
                  <c:v>2773</c:v>
                </c:pt>
                <c:pt idx="7">
                  <c:v>2658.8</c:v>
                </c:pt>
                <c:pt idx="8">
                  <c:v>2550.9</c:v>
                </c:pt>
                <c:pt idx="9">
                  <c:v>2448.5</c:v>
                </c:pt>
                <c:pt idx="10">
                  <c:v>2344.8000000000002</c:v>
                </c:pt>
                <c:pt idx="11">
                  <c:v>2246.1999999999998</c:v>
                </c:pt>
                <c:pt idx="12">
                  <c:v>2146</c:v>
                </c:pt>
                <c:pt idx="13">
                  <c:v>2059.1999999999998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4C-4E6E-B777-EB70836EE91E}"/>
            </c:ext>
          </c:extLst>
        </c:ser>
        <c:ser>
          <c:idx val="2"/>
          <c:order val="2"/>
          <c:tx>
            <c:strRef>
              <c:f>'Barnes TSX HP'!$B$1:$C$1</c:f>
              <c:strCache>
                <c:ptCount val="1"/>
                <c:pt idx="0">
                  <c:v>6.5mm Creedmoor Barnes TSX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HP'!$B$22:$B$35</c:f>
              <c:numCache>
                <c:formatCode>0.00</c:formatCode>
                <c:ptCount val="14"/>
                <c:pt idx="0">
                  <c:v>3122.9</c:v>
                </c:pt>
                <c:pt idx="1">
                  <c:v>3063</c:v>
                </c:pt>
                <c:pt idx="2">
                  <c:v>2985.5</c:v>
                </c:pt>
                <c:pt idx="3">
                  <c:v>2910.4</c:v>
                </c:pt>
                <c:pt idx="4">
                  <c:v>2837.8</c:v>
                </c:pt>
                <c:pt idx="5">
                  <c:v>2767.5</c:v>
                </c:pt>
                <c:pt idx="6">
                  <c:v>2688.3</c:v>
                </c:pt>
                <c:pt idx="7">
                  <c:v>2559.9</c:v>
                </c:pt>
                <c:pt idx="8">
                  <c:v>2428.5</c:v>
                </c:pt>
                <c:pt idx="9">
                  <c:v>2295.1999999999998</c:v>
                </c:pt>
                <c:pt idx="10">
                  <c:v>2180.5</c:v>
                </c:pt>
                <c:pt idx="11">
                  <c:v>2057</c:v>
                </c:pt>
                <c:pt idx="12">
                  <c:v>1951.2</c:v>
                </c:pt>
                <c:pt idx="13">
                  <c:v>1843.6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4C-4E6E-B777-EB70836EE91E}"/>
            </c:ext>
          </c:extLst>
        </c:ser>
        <c:ser>
          <c:idx val="3"/>
          <c:order val="3"/>
          <c:tx>
            <c:strRef>
              <c:f>'ELD-X PHP (2)'!$B$1:$D$1</c:f>
              <c:strCache>
                <c:ptCount val="1"/>
                <c:pt idx="0">
                  <c:v>6.5mm Creedmoor Federal ELD-X Polymer Tipped Hollow Point After Update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'ELD-X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 (2)'!$B$22:$B$35</c:f>
              <c:numCache>
                <c:formatCode>0.00</c:formatCode>
                <c:ptCount val="14"/>
                <c:pt idx="0">
                  <c:v>3137.5</c:v>
                </c:pt>
                <c:pt idx="1">
                  <c:v>3055.4</c:v>
                </c:pt>
                <c:pt idx="2">
                  <c:v>2969.1</c:v>
                </c:pt>
                <c:pt idx="3">
                  <c:v>2885.8</c:v>
                </c:pt>
                <c:pt idx="4">
                  <c:v>2792.3</c:v>
                </c:pt>
                <c:pt idx="5">
                  <c:v>2715.4</c:v>
                </c:pt>
                <c:pt idx="6">
                  <c:v>2629</c:v>
                </c:pt>
                <c:pt idx="7">
                  <c:v>2477.6</c:v>
                </c:pt>
                <c:pt idx="8">
                  <c:v>2326.9</c:v>
                </c:pt>
                <c:pt idx="9">
                  <c:v>2187.6</c:v>
                </c:pt>
                <c:pt idx="10">
                  <c:v>2049.8000000000002</c:v>
                </c:pt>
                <c:pt idx="11">
                  <c:v>1922.9</c:v>
                </c:pt>
                <c:pt idx="12">
                  <c:v>1798.7</c:v>
                </c:pt>
                <c:pt idx="13">
                  <c:v>1678.1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85-49B2-839C-980928CD0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Bullet Trajectory Comparison: 100m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'ELD-X PHP'!$B$1:$C$1</c:f>
              <c:strCache>
                <c:ptCount val="1"/>
                <c:pt idx="0">
                  <c:v>6.5mm Creedmoor Federal ELD-X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'ELD-X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'ELD-X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-1.250000026041667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-3.0000000400000006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-31.20001124864487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-104.94019022948933</c:v>
                </c:pt>
                <c:pt idx="13">
                  <c:v>-149.00044106143338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F2-439F-BC07-2778BF632C71}"/>
            </c:ext>
          </c:extLst>
        </c:ser>
        <c:ser>
          <c:idx val="1"/>
          <c:order val="1"/>
          <c:tx>
            <c:strRef>
              <c:f>'Fusion Rifle SP'!$B$1:$C$1</c:f>
              <c:strCache>
                <c:ptCount val="1"/>
                <c:pt idx="0">
                  <c:v>6.5mm Creedmoor Federal Fusion Rifle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'Fusion Rifle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'Fusion Rifle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-3.9843783734928069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-3.9843750937080409</c:v>
                </c:pt>
                <c:pt idx="7">
                  <c:v>-10.625000999552523</c:v>
                </c:pt>
                <c:pt idx="8">
                  <c:v>-19.921879216862795</c:v>
                </c:pt>
                <c:pt idx="9">
                  <c:v>-33.787514285802189</c:v>
                </c:pt>
                <c:pt idx="10">
                  <c:v>-62.028814941496222</c:v>
                </c:pt>
                <c:pt idx="11">
                  <c:v>-85.000127942939443</c:v>
                </c:pt>
                <c:pt idx="12">
                  <c:v>-119.5315311249084</c:v>
                </c:pt>
                <c:pt idx="13">
                  <c:v>-159.37553976049438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F2-439F-BC07-2778BF632C71}"/>
            </c:ext>
          </c:extLst>
        </c:ser>
        <c:ser>
          <c:idx val="2"/>
          <c:order val="2"/>
          <c:tx>
            <c:strRef>
              <c:f>'Barnes TSX HP'!$B$1:$C$1</c:f>
              <c:strCache>
                <c:ptCount val="1"/>
                <c:pt idx="0">
                  <c:v>6.5mm Creedmoor Barnes TSX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'Barnes TSX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'Barnes TSX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-4.0000034133368292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-6.6400002439624641</c:v>
                </c:pt>
                <c:pt idx="8">
                  <c:v>-18.750003515625792</c:v>
                </c:pt>
                <c:pt idx="9">
                  <c:v>-30.000010000004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-104.94019022948933</c:v>
                </c:pt>
                <c:pt idx="13">
                  <c:v>-149.00044106143338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F2-439F-BC07-2778BF632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119759"/>
        <c:axId val="863128879"/>
      </c:scatterChart>
      <c:valAx>
        <c:axId val="86311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28879"/>
        <c:crosses val="autoZero"/>
        <c:crossBetween val="midCat"/>
      </c:valAx>
      <c:valAx>
        <c:axId val="863128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1197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baseline="0"/>
              <a:t>Predicted Energy vs Range: Hornady Standard Calculator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7600028503228E-2"/>
          <c:y val="5.8645111624326417E-2"/>
          <c:w val="0.64862190868675351"/>
          <c:h val="0.8746523370490928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'ELD-X PHP'!$B$1:$E$1</c:f>
              <c:strCache>
                <c:ptCount val="1"/>
                <c:pt idx="0">
                  <c:v>6.5mm Creedmoor Federal ELD-X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'ELD-X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'ELD-X PHP'!$M$80:$M$100</c:f>
              <c:numCache>
                <c:formatCode>0.00</c:formatCode>
                <c:ptCount val="21"/>
                <c:pt idx="0">
                  <c:v>3138</c:v>
                </c:pt>
                <c:pt idx="1">
                  <c:v>3092</c:v>
                </c:pt>
                <c:pt idx="2">
                  <c:v>3047</c:v>
                </c:pt>
                <c:pt idx="3">
                  <c:v>3002</c:v>
                </c:pt>
                <c:pt idx="4">
                  <c:v>2958</c:v>
                </c:pt>
                <c:pt idx="5">
                  <c:v>2914</c:v>
                </c:pt>
                <c:pt idx="6">
                  <c:v>2871</c:v>
                </c:pt>
                <c:pt idx="7">
                  <c:v>2828</c:v>
                </c:pt>
                <c:pt idx="8">
                  <c:v>2786</c:v>
                </c:pt>
                <c:pt idx="9">
                  <c:v>2744</c:v>
                </c:pt>
                <c:pt idx="10">
                  <c:v>2703</c:v>
                </c:pt>
                <c:pt idx="11">
                  <c:v>2662</c:v>
                </c:pt>
                <c:pt idx="12">
                  <c:v>2622</c:v>
                </c:pt>
                <c:pt idx="13">
                  <c:v>2582</c:v>
                </c:pt>
                <c:pt idx="14">
                  <c:v>2543</c:v>
                </c:pt>
                <c:pt idx="15">
                  <c:v>2504</c:v>
                </c:pt>
                <c:pt idx="16">
                  <c:v>2466</c:v>
                </c:pt>
                <c:pt idx="17">
                  <c:v>2428</c:v>
                </c:pt>
                <c:pt idx="18">
                  <c:v>2390</c:v>
                </c:pt>
                <c:pt idx="19">
                  <c:v>2353</c:v>
                </c:pt>
                <c:pt idx="20">
                  <c:v>2318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19-4D74-B170-B8F44705FC60}"/>
            </c:ext>
          </c:extLst>
        </c:ser>
        <c:ser>
          <c:idx val="1"/>
          <c:order val="1"/>
          <c:tx>
            <c:strRef>
              <c:f>'Fusion Rifle SP'!$B$1:$D$1</c:f>
              <c:strCache>
                <c:ptCount val="1"/>
                <c:pt idx="0">
                  <c:v>6.5mm Creedmoor Federal Fusion Rifle Soft Point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'Fusion Rifle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'Fusion Rifle SP'!$M$80:$M$100</c:f>
              <c:numCache>
                <c:formatCode>0.00</c:formatCode>
                <c:ptCount val="21"/>
                <c:pt idx="0">
                  <c:v>3130</c:v>
                </c:pt>
                <c:pt idx="1">
                  <c:v>3065</c:v>
                </c:pt>
                <c:pt idx="2">
                  <c:v>3001</c:v>
                </c:pt>
                <c:pt idx="3">
                  <c:v>2939</c:v>
                </c:pt>
                <c:pt idx="4">
                  <c:v>2877</c:v>
                </c:pt>
                <c:pt idx="5">
                  <c:v>2817</c:v>
                </c:pt>
                <c:pt idx="6">
                  <c:v>2758</c:v>
                </c:pt>
                <c:pt idx="7">
                  <c:v>2699</c:v>
                </c:pt>
                <c:pt idx="8">
                  <c:v>2642</c:v>
                </c:pt>
                <c:pt idx="9">
                  <c:v>2585</c:v>
                </c:pt>
                <c:pt idx="10">
                  <c:v>2529</c:v>
                </c:pt>
                <c:pt idx="11">
                  <c:v>2475</c:v>
                </c:pt>
                <c:pt idx="12">
                  <c:v>2421</c:v>
                </c:pt>
                <c:pt idx="13">
                  <c:v>2368</c:v>
                </c:pt>
                <c:pt idx="14">
                  <c:v>2316</c:v>
                </c:pt>
                <c:pt idx="15">
                  <c:v>2265</c:v>
                </c:pt>
                <c:pt idx="16">
                  <c:v>2214</c:v>
                </c:pt>
                <c:pt idx="17">
                  <c:v>2165</c:v>
                </c:pt>
                <c:pt idx="18">
                  <c:v>2116</c:v>
                </c:pt>
                <c:pt idx="19">
                  <c:v>2068</c:v>
                </c:pt>
                <c:pt idx="20">
                  <c:v>2023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19-4D74-B170-B8F44705FC60}"/>
            </c:ext>
          </c:extLst>
        </c:ser>
        <c:ser>
          <c:idx val="2"/>
          <c:order val="2"/>
          <c:tx>
            <c:strRef>
              <c:f>'Barnes TSX HP'!$C$1:$D$1</c:f>
              <c:strCache>
                <c:ptCount val="1"/>
                <c:pt idx="0">
                  <c:v>Barnes TSX Hollow Point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'Barnes TSX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'Barnes TSX HP'!$M$80:$M$100</c:f>
              <c:numCache>
                <c:formatCode>0.00</c:formatCode>
                <c:ptCount val="21"/>
                <c:pt idx="0">
                  <c:v>3122</c:v>
                </c:pt>
                <c:pt idx="1">
                  <c:v>3046</c:v>
                </c:pt>
                <c:pt idx="2">
                  <c:v>2972</c:v>
                </c:pt>
                <c:pt idx="3">
                  <c:v>2898</c:v>
                </c:pt>
                <c:pt idx="4">
                  <c:v>2827</c:v>
                </c:pt>
                <c:pt idx="5">
                  <c:v>2756</c:v>
                </c:pt>
                <c:pt idx="6">
                  <c:v>2687</c:v>
                </c:pt>
                <c:pt idx="7">
                  <c:v>2620</c:v>
                </c:pt>
                <c:pt idx="8">
                  <c:v>2553</c:v>
                </c:pt>
                <c:pt idx="9">
                  <c:v>2488</c:v>
                </c:pt>
                <c:pt idx="10">
                  <c:v>2424</c:v>
                </c:pt>
                <c:pt idx="11">
                  <c:v>2362</c:v>
                </c:pt>
                <c:pt idx="12">
                  <c:v>2301</c:v>
                </c:pt>
                <c:pt idx="13">
                  <c:v>2241</c:v>
                </c:pt>
                <c:pt idx="14">
                  <c:v>2182</c:v>
                </c:pt>
                <c:pt idx="15">
                  <c:v>2124</c:v>
                </c:pt>
                <c:pt idx="16">
                  <c:v>2067</c:v>
                </c:pt>
                <c:pt idx="17">
                  <c:v>2012</c:v>
                </c:pt>
                <c:pt idx="18">
                  <c:v>1958</c:v>
                </c:pt>
                <c:pt idx="19">
                  <c:v>1905</c:v>
                </c:pt>
                <c:pt idx="20">
                  <c:v>1855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19-4D74-B170-B8F44705FC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3094319"/>
        <c:axId val="863088079"/>
      </c:scatterChart>
      <c:valAx>
        <c:axId val="863094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88079"/>
        <c:crosses val="autoZero"/>
        <c:crossBetween val="midCat"/>
      </c:valAx>
      <c:valAx>
        <c:axId val="863088079"/>
        <c:scaling>
          <c:orientation val="minMax"/>
          <c:min val="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30943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3" Type="http://schemas.openxmlformats.org/officeDocument/2006/relationships/chart" Target="../charts/chart33.xml"/><Relationship Id="rId7" Type="http://schemas.openxmlformats.org/officeDocument/2006/relationships/chart" Target="../charts/chart37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10" Type="http://schemas.openxmlformats.org/officeDocument/2006/relationships/chart" Target="../charts/chart40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981074</xdr:colOff>
      <xdr:row>5</xdr:row>
      <xdr:rowOff>28575</xdr:rowOff>
    </xdr:from>
    <xdr:to>
      <xdr:col>40</xdr:col>
      <xdr:colOff>9524</xdr:colOff>
      <xdr:row>34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404811</xdr:colOff>
      <xdr:row>73</xdr:row>
      <xdr:rowOff>152399</xdr:rowOff>
    </xdr:from>
    <xdr:to>
      <xdr:col>40</xdr:col>
      <xdr:colOff>485774</xdr:colOff>
      <xdr:row>94</xdr:row>
      <xdr:rowOff>66674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509587</xdr:colOff>
      <xdr:row>95</xdr:row>
      <xdr:rowOff>38100</xdr:rowOff>
    </xdr:from>
    <xdr:to>
      <xdr:col>41</xdr:col>
      <xdr:colOff>381000</xdr:colOff>
      <xdr:row>116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809625</xdr:colOff>
      <xdr:row>118</xdr:row>
      <xdr:rowOff>123825</xdr:rowOff>
    </xdr:from>
    <xdr:to>
      <xdr:col>39</xdr:col>
      <xdr:colOff>157163</xdr:colOff>
      <xdr:row>140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809625</xdr:colOff>
      <xdr:row>143</xdr:row>
      <xdr:rowOff>9525</xdr:rowOff>
    </xdr:from>
    <xdr:to>
      <xdr:col>43</xdr:col>
      <xdr:colOff>166688</xdr:colOff>
      <xdr:row>164</xdr:row>
      <xdr:rowOff>123825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923925</xdr:colOff>
      <xdr:row>168</xdr:row>
      <xdr:rowOff>142875</xdr:rowOff>
    </xdr:from>
    <xdr:to>
      <xdr:col>39</xdr:col>
      <xdr:colOff>271463</xdr:colOff>
      <xdr:row>190</xdr:row>
      <xdr:rowOff>66675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847726</xdr:colOff>
      <xdr:row>193</xdr:row>
      <xdr:rowOff>9525</xdr:rowOff>
    </xdr:from>
    <xdr:to>
      <xdr:col>41</xdr:col>
      <xdr:colOff>381001</xdr:colOff>
      <xdr:row>214</xdr:row>
      <xdr:rowOff>123825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90DC25-0AF9-447D-8DED-552E09B21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895350</xdr:colOff>
      <xdr:row>218</xdr:row>
      <xdr:rowOff>95250</xdr:rowOff>
    </xdr:from>
    <xdr:to>
      <xdr:col>39</xdr:col>
      <xdr:colOff>242888</xdr:colOff>
      <xdr:row>240</xdr:row>
      <xdr:rowOff>19050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5C4E7E-9BCB-4F1F-81D2-2C1CA23A7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981074</xdr:colOff>
      <xdr:row>5</xdr:row>
      <xdr:rowOff>28575</xdr:rowOff>
    </xdr:from>
    <xdr:to>
      <xdr:col>40</xdr:col>
      <xdr:colOff>9524</xdr:colOff>
      <xdr:row>34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7315B9E-C51D-49AF-AB1B-F6528AC30F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E7F285B-E4B6-462A-8E04-06E05D507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537DAE1-F24E-40B7-8EBE-82AD850FD2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404811</xdr:colOff>
      <xdr:row>73</xdr:row>
      <xdr:rowOff>152399</xdr:rowOff>
    </xdr:from>
    <xdr:to>
      <xdr:col>40</xdr:col>
      <xdr:colOff>485774</xdr:colOff>
      <xdr:row>94</xdr:row>
      <xdr:rowOff>66674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F95DDE0-92A4-4156-AEE4-E3BEF89075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509587</xdr:colOff>
      <xdr:row>95</xdr:row>
      <xdr:rowOff>38100</xdr:rowOff>
    </xdr:from>
    <xdr:to>
      <xdr:col>41</xdr:col>
      <xdr:colOff>381000</xdr:colOff>
      <xdr:row>116</xdr:row>
      <xdr:rowOff>152400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C5D032F-7642-4339-A28F-D68F797FBC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809625</xdr:colOff>
      <xdr:row>118</xdr:row>
      <xdr:rowOff>123825</xdr:rowOff>
    </xdr:from>
    <xdr:to>
      <xdr:col>39</xdr:col>
      <xdr:colOff>157163</xdr:colOff>
      <xdr:row>140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8216E14-2FE7-40F1-A318-EC03F8E6F1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809625</xdr:colOff>
      <xdr:row>143</xdr:row>
      <xdr:rowOff>9525</xdr:rowOff>
    </xdr:from>
    <xdr:to>
      <xdr:col>43</xdr:col>
      <xdr:colOff>166688</xdr:colOff>
      <xdr:row>164</xdr:row>
      <xdr:rowOff>123825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D5744D4-7227-418F-856A-F2E945BAD8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923925</xdr:colOff>
      <xdr:row>168</xdr:row>
      <xdr:rowOff>142875</xdr:rowOff>
    </xdr:from>
    <xdr:to>
      <xdr:col>39</xdr:col>
      <xdr:colOff>271463</xdr:colOff>
      <xdr:row>190</xdr:row>
      <xdr:rowOff>66675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285289-A768-480D-865B-70D71A9A21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847726</xdr:colOff>
      <xdr:row>193</xdr:row>
      <xdr:rowOff>9525</xdr:rowOff>
    </xdr:from>
    <xdr:to>
      <xdr:col>41</xdr:col>
      <xdr:colOff>381001</xdr:colOff>
      <xdr:row>214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CAF1DFF5-FCCB-48B3-A9F9-27C368DDC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895350</xdr:colOff>
      <xdr:row>218</xdr:row>
      <xdr:rowOff>95250</xdr:rowOff>
    </xdr:from>
    <xdr:to>
      <xdr:col>39</xdr:col>
      <xdr:colOff>242888</xdr:colOff>
      <xdr:row>240</xdr:row>
      <xdr:rowOff>19050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2927E27-E7F6-42AB-A981-EFF6A4C6A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790574</xdr:colOff>
      <xdr:row>10</xdr:row>
      <xdr:rowOff>0</xdr:rowOff>
    </xdr:from>
    <xdr:to>
      <xdr:col>35</xdr:col>
      <xdr:colOff>161924</xdr:colOff>
      <xdr:row>33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5F181-8F8E-4DBC-A2D2-4172758DD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728D3-F186-4623-A143-AB591C429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7402BB-2BF0-4DC7-9DB4-00DE58D3C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690561</xdr:colOff>
      <xdr:row>74</xdr:row>
      <xdr:rowOff>38100</xdr:rowOff>
    </xdr:from>
    <xdr:to>
      <xdr:col>38</xdr:col>
      <xdr:colOff>247649</xdr:colOff>
      <xdr:row>99</xdr:row>
      <xdr:rowOff>123825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9F5638-237F-4D4A-AB45-60E587099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900112</xdr:colOff>
      <xdr:row>100</xdr:row>
      <xdr:rowOff>180975</xdr:rowOff>
    </xdr:from>
    <xdr:to>
      <xdr:col>39</xdr:col>
      <xdr:colOff>247650</xdr:colOff>
      <xdr:row>122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6E68B6-BB28-4637-BC4D-BD0C82CC3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847725</xdr:colOff>
      <xdr:row>124</xdr:row>
      <xdr:rowOff>152400</xdr:rowOff>
    </xdr:from>
    <xdr:to>
      <xdr:col>39</xdr:col>
      <xdr:colOff>195263</xdr:colOff>
      <xdr:row>146</xdr:row>
      <xdr:rowOff>76200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B52A56-276D-4245-92D7-4DEA164FC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495300</xdr:colOff>
      <xdr:row>149</xdr:row>
      <xdr:rowOff>180975</xdr:rowOff>
    </xdr:from>
    <xdr:to>
      <xdr:col>42</xdr:col>
      <xdr:colOff>461963</xdr:colOff>
      <xdr:row>171</xdr:row>
      <xdr:rowOff>104775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6CB536-295B-4BB9-9E20-E60220705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552450</xdr:colOff>
      <xdr:row>172</xdr:row>
      <xdr:rowOff>142875</xdr:rowOff>
    </xdr:from>
    <xdr:to>
      <xdr:col>38</xdr:col>
      <xdr:colOff>509588</xdr:colOff>
      <xdr:row>194</xdr:row>
      <xdr:rowOff>66675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FDFD91-1C02-4DFC-A478-6FBBC67D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428625</xdr:colOff>
      <xdr:row>198</xdr:row>
      <xdr:rowOff>9525</xdr:rowOff>
    </xdr:from>
    <xdr:to>
      <xdr:col>38</xdr:col>
      <xdr:colOff>385763</xdr:colOff>
      <xdr:row>219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FF1A85-A193-450B-9C0E-0F441DFEC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1057275</xdr:colOff>
      <xdr:row>227</xdr:row>
      <xdr:rowOff>142875</xdr:rowOff>
    </xdr:from>
    <xdr:to>
      <xdr:col>39</xdr:col>
      <xdr:colOff>404813</xdr:colOff>
      <xdr:row>248</xdr:row>
      <xdr:rowOff>66675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C8D7813-F898-45BB-BD78-29AF880B5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790574</xdr:colOff>
      <xdr:row>9</xdr:row>
      <xdr:rowOff>190499</xdr:rowOff>
    </xdr:from>
    <xdr:to>
      <xdr:col>37</xdr:col>
      <xdr:colOff>85724</xdr:colOff>
      <xdr:row>35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5E6A51-E5A8-4074-93A2-2CC9820E6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962024</xdr:colOff>
      <xdr:row>38</xdr:row>
      <xdr:rowOff>142875</xdr:rowOff>
    </xdr:from>
    <xdr:to>
      <xdr:col>20</xdr:col>
      <xdr:colOff>419100</xdr:colOff>
      <xdr:row>65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C30077-6748-48EB-A0FC-67AC796CD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F28282-A2CC-49F9-A510-87D3832DD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585786</xdr:colOff>
      <xdr:row>79</xdr:row>
      <xdr:rowOff>28574</xdr:rowOff>
    </xdr:from>
    <xdr:to>
      <xdr:col>41</xdr:col>
      <xdr:colOff>57149</xdr:colOff>
      <xdr:row>99</xdr:row>
      <xdr:rowOff>133349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5561CF-2863-4ECB-8894-DF3B8505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138112</xdr:colOff>
      <xdr:row>103</xdr:row>
      <xdr:rowOff>161925</xdr:rowOff>
    </xdr:from>
    <xdr:to>
      <xdr:col>42</xdr:col>
      <xdr:colOff>9525</xdr:colOff>
      <xdr:row>125</xdr:row>
      <xdr:rowOff>85725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8BFBF2-04C5-477D-8475-AAE80F6F5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523875</xdr:colOff>
      <xdr:row>125</xdr:row>
      <xdr:rowOff>161925</xdr:rowOff>
    </xdr:from>
    <xdr:to>
      <xdr:col>41</xdr:col>
      <xdr:colOff>395288</xdr:colOff>
      <xdr:row>147</xdr:row>
      <xdr:rowOff>85725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A31281-B167-4F00-BCCE-3F730AAD5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66675</xdr:colOff>
      <xdr:row>151</xdr:row>
      <xdr:rowOff>38100</xdr:rowOff>
    </xdr:from>
    <xdr:to>
      <xdr:col>44</xdr:col>
      <xdr:colOff>557213</xdr:colOff>
      <xdr:row>172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88D8E4-B7A3-431B-949D-69DDFFDC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104775</xdr:colOff>
      <xdr:row>177</xdr:row>
      <xdr:rowOff>0</xdr:rowOff>
    </xdr:from>
    <xdr:to>
      <xdr:col>41</xdr:col>
      <xdr:colOff>585788</xdr:colOff>
      <xdr:row>198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523DF8A-8483-417B-8F21-373671162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314325</xdr:colOff>
      <xdr:row>203</xdr:row>
      <xdr:rowOff>171450</xdr:rowOff>
    </xdr:from>
    <xdr:to>
      <xdr:col>42</xdr:col>
      <xdr:colOff>185738</xdr:colOff>
      <xdr:row>225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75FE0C8-D986-4075-993E-0E905291B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428625</xdr:colOff>
      <xdr:row>231</xdr:row>
      <xdr:rowOff>19050</xdr:rowOff>
    </xdr:from>
    <xdr:to>
      <xdr:col>41</xdr:col>
      <xdr:colOff>300038</xdr:colOff>
      <xdr:row>251</xdr:row>
      <xdr:rowOff>133350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493508C-34D5-41FE-852D-0A4E589CE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138111</xdr:colOff>
      <xdr:row>2</xdr:row>
      <xdr:rowOff>114299</xdr:rowOff>
    </xdr:from>
    <xdr:to>
      <xdr:col>26</xdr:col>
      <xdr:colOff>104775</xdr:colOff>
      <xdr:row>46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67EB98-0B67-7798-FAC3-3AB7BB8127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223836</xdr:colOff>
      <xdr:row>52</xdr:row>
      <xdr:rowOff>47625</xdr:rowOff>
    </xdr:from>
    <xdr:to>
      <xdr:col>18</xdr:col>
      <xdr:colOff>285749</xdr:colOff>
      <xdr:row>84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2B2767E-EA95-7AD4-0B4E-F70C378A9F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66675</xdr:colOff>
      <xdr:row>2</xdr:row>
      <xdr:rowOff>76200</xdr:rowOff>
    </xdr:from>
    <xdr:to>
      <xdr:col>50</xdr:col>
      <xdr:colOff>247650</xdr:colOff>
      <xdr:row>45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40CC33A-D234-41B3-8A73-473F2DFD32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1"/>
  <dimension ref="A1:S277"/>
  <sheetViews>
    <sheetView workbookViewId="0">
      <selection activeCell="B12" sqref="B12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3.710937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t="s">
        <v>18</v>
      </c>
      <c r="B1" t="s">
        <v>38</v>
      </c>
      <c r="C1" t="s">
        <v>39</v>
      </c>
      <c r="D1" t="s">
        <v>28</v>
      </c>
      <c r="F1" s="35" t="s">
        <v>63</v>
      </c>
      <c r="G1" s="35"/>
      <c r="H1" s="35"/>
      <c r="I1" s="35"/>
    </row>
    <row r="2" spans="1:9" x14ac:dyDescent="0.25">
      <c r="A2" t="s">
        <v>20</v>
      </c>
      <c r="B2" s="2">
        <v>143</v>
      </c>
      <c r="C2" s="2">
        <f>CONVERT($B$2,"grain","g")</f>
        <v>9.2662441300000005</v>
      </c>
      <c r="F2" t="s">
        <v>64</v>
      </c>
      <c r="G2" s="2">
        <v>143</v>
      </c>
      <c r="H2" s="2">
        <f>CONVERT($G$2,"grain","g")</f>
        <v>9.2662441300000005</v>
      </c>
    </row>
    <row r="3" spans="1:9" x14ac:dyDescent="0.25">
      <c r="A3" t="s">
        <v>0</v>
      </c>
      <c r="B3" s="2">
        <v>0.26400000000000001</v>
      </c>
      <c r="C3" s="2">
        <f>CONVERT($B$3,"in","mm")</f>
        <v>6.7055999999999996</v>
      </c>
      <c r="F3" t="s">
        <v>65</v>
      </c>
      <c r="G3" s="2">
        <v>0.26400000000000001</v>
      </c>
      <c r="H3" s="2">
        <f>CONVERT($G$3,"in","mm")</f>
        <v>6.7055999999999996</v>
      </c>
    </row>
    <row r="4" spans="1:9" x14ac:dyDescent="0.25">
      <c r="A4" t="s">
        <v>11</v>
      </c>
      <c r="B4" s="2">
        <v>0.625</v>
      </c>
      <c r="C4" s="2"/>
      <c r="F4" t="s">
        <v>11</v>
      </c>
      <c r="G4" s="2" t="s">
        <v>89</v>
      </c>
      <c r="H4" s="2"/>
    </row>
    <row r="5" spans="1:9" x14ac:dyDescent="0.25">
      <c r="A5" t="s">
        <v>21</v>
      </c>
      <c r="B5" s="2">
        <v>0.625</v>
      </c>
      <c r="C5" s="2"/>
      <c r="F5" t="s">
        <v>21</v>
      </c>
      <c r="G5" s="2">
        <v>0.625</v>
      </c>
      <c r="H5" s="2"/>
    </row>
    <row r="6" spans="1:9" x14ac:dyDescent="0.25">
      <c r="A6" t="s">
        <v>22</v>
      </c>
      <c r="B6" s="2">
        <v>3137.5</v>
      </c>
      <c r="C6" s="2">
        <f>CONVERT($B$6,"J","flb")</f>
        <v>2314.1012433574201</v>
      </c>
      <c r="F6" t="s">
        <v>66</v>
      </c>
      <c r="G6" s="2" cm="1">
        <f t="array" ref="G6">MuzzleVelocityToMuzzleEnergyFtLb(G7,G2)</f>
        <v>2314.3541518109801</v>
      </c>
      <c r="H6" s="2" cm="1">
        <f t="array" ref="H6">MuzzleVelocityToMuzzleEnergyJoules(H7,H2)</f>
        <v>3137.8428978206211</v>
      </c>
    </row>
    <row r="7" spans="1:9" x14ac:dyDescent="0.25">
      <c r="A7" t="s">
        <v>19</v>
      </c>
      <c r="B7" s="2" cm="1">
        <f t="array" ref="B7">MuzzleEnergyToMuzzleVelocityMPS(B6,C2)</f>
        <v>822.91503297816291</v>
      </c>
      <c r="C7" s="2" cm="1">
        <f t="array" ref="C7">MuzzleEnergyToMuzzleVelocityFPS(C6,B2)</f>
        <v>2699.8524704007968</v>
      </c>
      <c r="F7" t="s">
        <v>67</v>
      </c>
      <c r="G7" s="2">
        <v>2700</v>
      </c>
      <c r="H7" s="2">
        <f>CONVERT($G$7,"ft","m")</f>
        <v>822.96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5.0999999999999996</v>
      </c>
      <c r="C9" s="2">
        <f>CONVERT($B$9,"m/sec","km/hr")</f>
        <v>18.36</v>
      </c>
    </row>
    <row r="10" spans="1:9" x14ac:dyDescent="0.25">
      <c r="A10" t="s">
        <v>3</v>
      </c>
      <c r="B10" s="2"/>
      <c r="C10" s="2">
        <v>225</v>
      </c>
    </row>
    <row r="11" spans="1:9" x14ac:dyDescent="0.25">
      <c r="A11" s="22" t="s">
        <v>51</v>
      </c>
      <c r="B11" s="2">
        <v>0.25</v>
      </c>
      <c r="C11" s="26"/>
    </row>
    <row r="12" spans="1:9" x14ac:dyDescent="0.25">
      <c r="A12" s="22" t="s">
        <v>52</v>
      </c>
      <c r="B12" s="2" cm="1">
        <f t="array" ref="B12">MOAToMRAD($B$11)</f>
        <v>7.2722052166430393E-2</v>
      </c>
      <c r="C12" s="26">
        <f>$B$12/2</f>
        <v>3.6361026083215196E-2</v>
      </c>
    </row>
    <row r="13" spans="1:9" x14ac:dyDescent="0.25">
      <c r="A13" s="22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2" t="s">
        <v>5</v>
      </c>
      <c r="B14" t="s">
        <v>53</v>
      </c>
    </row>
    <row r="15" spans="1:9" x14ac:dyDescent="0.25">
      <c r="A15" t="s">
        <v>54</v>
      </c>
      <c r="B15" s="23" t="s">
        <v>55</v>
      </c>
      <c r="C15" s="23" t="s">
        <v>56</v>
      </c>
      <c r="D15" s="23" t="s">
        <v>57</v>
      </c>
      <c r="E15" s="23" t="s">
        <v>58</v>
      </c>
    </row>
    <row r="16" spans="1:9" x14ac:dyDescent="0.25">
      <c r="A16" s="22" t="s">
        <v>59</v>
      </c>
      <c r="B16" s="2">
        <v>0.25</v>
      </c>
      <c r="C16">
        <f>$B16/2</f>
        <v>0.125</v>
      </c>
      <c r="D16" s="2">
        <f>$B$16 * $B$18</f>
        <v>0.14544410433286079</v>
      </c>
      <c r="E16" s="24">
        <f>$D16/2</f>
        <v>7.2722052166430393E-2</v>
      </c>
    </row>
    <row r="17" spans="1:17" x14ac:dyDescent="0.25">
      <c r="A17" s="22" t="s">
        <v>60</v>
      </c>
      <c r="B17" s="2">
        <v>0.125</v>
      </c>
      <c r="C17">
        <f t="shared" ref="C17" si="0">$B17/2</f>
        <v>6.25E-2</v>
      </c>
      <c r="D17" s="2">
        <f>$B$17 * $B$18</f>
        <v>7.2722052166430393E-2</v>
      </c>
      <c r="E17" s="24">
        <f>$D17/2</f>
        <v>3.6361026083215196E-2</v>
      </c>
    </row>
    <row r="18" spans="1:17" x14ac:dyDescent="0.25">
      <c r="A18" s="11" t="s">
        <v>61</v>
      </c>
      <c r="B18" s="12">
        <f>$B$12/$B$17</f>
        <v>0.58177641733144314</v>
      </c>
      <c r="C18" s="2"/>
      <c r="J18" s="2">
        <v>4</v>
      </c>
      <c r="K18" s="2">
        <v>4</v>
      </c>
      <c r="L18" s="2">
        <v>4</v>
      </c>
      <c r="M18" s="2">
        <v>4</v>
      </c>
      <c r="N18" s="2">
        <v>4</v>
      </c>
      <c r="O18" s="2">
        <v>5</v>
      </c>
      <c r="P18" s="2">
        <v>3.75</v>
      </c>
    </row>
    <row r="19" spans="1:17" x14ac:dyDescent="0.25">
      <c r="A19" s="27" t="s">
        <v>62</v>
      </c>
      <c r="B19" s="28"/>
      <c r="C19" s="2">
        <f>$C$17*0.61+$C16*0.39</f>
        <v>8.6875000000000008E-2</v>
      </c>
      <c r="D19" s="2"/>
      <c r="E19" s="2" cm="1">
        <f t="array" ref="E19">ProbableAngularPOIError(D17,D16,B12,0.68)</f>
        <v>6.2438971640524865E-2</v>
      </c>
      <c r="J19" s="2"/>
      <c r="K19" s="2"/>
      <c r="L19" s="2"/>
      <c r="M19" s="2"/>
      <c r="N19" s="2"/>
      <c r="O19" s="2"/>
      <c r="P19" s="2"/>
    </row>
    <row r="20" spans="1:17" x14ac:dyDescent="0.25">
      <c r="C20" s="34" t="s">
        <v>24</v>
      </c>
      <c r="D20" s="34"/>
      <c r="E20" s="34"/>
      <c r="F20" s="34"/>
      <c r="G20" s="34"/>
      <c r="H20" s="13"/>
      <c r="I20" s="13"/>
      <c r="J20" s="34" t="s">
        <v>25</v>
      </c>
      <c r="K20" s="34"/>
      <c r="L20" s="34"/>
      <c r="M20" s="34"/>
      <c r="N20" s="34"/>
      <c r="O20" s="13"/>
      <c r="P20" s="13"/>
      <c r="Q20" s="29" t="s">
        <v>30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32</v>
      </c>
      <c r="I21" t="s">
        <v>33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32</v>
      </c>
      <c r="P21" s="30" t="s">
        <v>33</v>
      </c>
      <c r="Q21" s="29" t="s">
        <v>31</v>
      </c>
    </row>
    <row r="22" spans="1:17" x14ac:dyDescent="0.25">
      <c r="A22" s="1">
        <v>0</v>
      </c>
      <c r="B22" s="1">
        <v>3137.5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1">
        <f t="shared" si="1"/>
        <v>-3.81</v>
      </c>
      <c r="Q22" s="32">
        <v>0</v>
      </c>
    </row>
    <row r="23" spans="1:17" x14ac:dyDescent="0.25">
      <c r="A23" s="1">
        <v>25</v>
      </c>
      <c r="B23" s="1">
        <v>3096.5</v>
      </c>
      <c r="C23" s="6">
        <v>-0.26250000000000001</v>
      </c>
      <c r="D23" s="6">
        <v>-0.375</v>
      </c>
      <c r="E23" s="6">
        <v>-0.33300000000000002</v>
      </c>
      <c r="F23" s="6">
        <v>-0.255</v>
      </c>
      <c r="G23" s="6">
        <v>-0.12</v>
      </c>
      <c r="H23" s="6">
        <v>0.125</v>
      </c>
      <c r="I23" s="14">
        <v>0.33300000000000002</v>
      </c>
      <c r="J23" s="9" cm="1">
        <f t="array" ref="J23">TrajectoryDropInCM(C23,$A23,J$18)</f>
        <v>-2.6250009646879255</v>
      </c>
      <c r="K23" s="9" cm="1">
        <f t="array" ref="K23">TrajectoryDropInCM(D23,$A23,K$18)</f>
        <v>-3.7500028125025313</v>
      </c>
      <c r="L23" s="9" cm="1">
        <f t="array" ref="L23">TrajectoryDropInCM(E23,$A23,L$18)</f>
        <v>-3.3300019693900382</v>
      </c>
      <c r="M23" s="9" cm="1">
        <f t="array" ref="M23">TrajectoryDropInCM(F23,$A23,M$18)</f>
        <v>-2.5500008843403683</v>
      </c>
      <c r="N23" s="9" cm="1">
        <f t="array" ref="N23">TrajectoryDropInCM(G23,$A23,N$18)</f>
        <v>-1.2000000921600082</v>
      </c>
      <c r="O23" s="9" cm="1">
        <f t="array" ref="O23">TrajectoryDropInCM(H23,$A23,O$18)</f>
        <v>1.5625002034505526</v>
      </c>
      <c r="P23" s="33" cm="1">
        <f t="array" ref="P23">TrajectoryDropInCM(I23,$A23,P$18)</f>
        <v>3.1218766227272474</v>
      </c>
      <c r="Q23" s="32" cm="1">
        <f t="array" ref="Q23">TrajectoryErrorCM($E$19,1,$A23)</f>
        <v>0.15609742910131216</v>
      </c>
    </row>
    <row r="24" spans="1:17" x14ac:dyDescent="0.25">
      <c r="A24" s="1">
        <v>50</v>
      </c>
      <c r="B24" s="1">
        <v>3052.5</v>
      </c>
      <c r="C24" s="7">
        <v>0</v>
      </c>
      <c r="D24" s="6">
        <v>-6.25E-2</v>
      </c>
      <c r="E24" s="6">
        <v>-3.5000000000000003E-2</v>
      </c>
      <c r="F24" s="6">
        <v>3.5000000000000003E-2</v>
      </c>
      <c r="G24" s="6">
        <v>0.245</v>
      </c>
      <c r="H24" s="6">
        <v>0.41699999999999998</v>
      </c>
      <c r="I24" s="14">
        <v>0.625</v>
      </c>
      <c r="J24" s="9" cm="1">
        <f t="array" ref="J24">TrajectoryDropInCM(C24,$A24,J$18)</f>
        <v>0</v>
      </c>
      <c r="K24" s="9" cm="1">
        <f t="array" ref="K24">TrajectoryDropInCM(D24,$A24,K$18)</f>
        <v>-1.250000026041667</v>
      </c>
      <c r="L24" s="9" cm="1">
        <f t="array" ref="L24">TrajectoryDropInCM(E24,$A24,L$18)</f>
        <v>-0.70000000457333345</v>
      </c>
      <c r="M24" s="9" cm="1">
        <f t="array" ref="M24">TrajectoryDropInCM(F24,$A24,M$18)</f>
        <v>0.70000000457333345</v>
      </c>
      <c r="N24" s="9" cm="1">
        <f t="array" ref="N24">TrajectoryDropInCM(G24,$A24,N$18)</f>
        <v>4.900001568653936</v>
      </c>
      <c r="O24" s="9" cm="1">
        <f t="array" ref="O24">TrajectoryDropInCM(H24,$A24,O$18)</f>
        <v>10.425015106633145</v>
      </c>
      <c r="P24" s="33" cm="1">
        <f t="array" ref="P24">TrajectoryDropInCM(I24,$A24,P$18)</f>
        <v>11.718771457719267</v>
      </c>
      <c r="Q24" s="32" cm="1">
        <f t="array" ref="Q24">TrajectoryErrorCM($E$19,1,$A24)</f>
        <v>0.31219485820262433</v>
      </c>
    </row>
    <row r="25" spans="1:17" x14ac:dyDescent="0.25">
      <c r="A25" s="1">
        <v>75</v>
      </c>
      <c r="B25" s="1">
        <v>3009.5</v>
      </c>
      <c r="C25" s="6">
        <v>8.3000000000000004E-2</v>
      </c>
      <c r="D25" s="6">
        <v>0</v>
      </c>
      <c r="E25" s="6">
        <v>4.2500000000000003E-2</v>
      </c>
      <c r="F25" s="6">
        <v>0.125</v>
      </c>
      <c r="G25" s="6">
        <v>0.25</v>
      </c>
      <c r="H25" s="6">
        <v>0.5</v>
      </c>
      <c r="I25" s="14">
        <v>0.6875</v>
      </c>
      <c r="J25" s="9" cm="1">
        <f t="array" ref="J25">TrajectoryDropInCM(C25,$A25,J$18)</f>
        <v>2.4900000914859239</v>
      </c>
      <c r="K25" s="9" cm="1">
        <f t="array" ref="K25">TrajectoryDropInCM(D25,$A25,K$18)</f>
        <v>0</v>
      </c>
      <c r="L25" s="9" cm="1">
        <f t="array" ref="L25">TrajectoryDropInCM(E25,$A25,L$18)</f>
        <v>1.2750000122825</v>
      </c>
      <c r="M25" s="9" cm="1">
        <f t="array" ref="M25">TrajectoryDropInCM(F25,$A25,M$18)</f>
        <v>3.7500003125000307</v>
      </c>
      <c r="N25" s="9" cm="1">
        <f t="array" ref="N25">TrajectoryDropInCM(G25,$A25,N$18)</f>
        <v>7.500002500001</v>
      </c>
      <c r="O25" s="9" cm="1">
        <f t="array" ref="O25">TrajectoryDropInCM(H25,$A25,O$18)</f>
        <v>18.750039062597658</v>
      </c>
      <c r="P25" s="33" cm="1">
        <f t="array" ref="P25">TrajectoryDropInCM(I25,$A25,P$18)</f>
        <v>19.335980340356286</v>
      </c>
      <c r="Q25" s="32" cm="1">
        <f t="array" ref="Q25">TrajectoryErrorCM($E$19,1,$A25)</f>
        <v>0.46829228730393652</v>
      </c>
    </row>
    <row r="26" spans="1:17" x14ac:dyDescent="0.25">
      <c r="A26" s="1">
        <v>100</v>
      </c>
      <c r="B26" s="1">
        <v>2967.3</v>
      </c>
      <c r="C26" s="6">
        <v>0.125</v>
      </c>
      <c r="D26" s="7">
        <v>0</v>
      </c>
      <c r="E26" s="6">
        <v>0.1</v>
      </c>
      <c r="F26" s="6">
        <v>0.13500000000000001</v>
      </c>
      <c r="G26" s="6">
        <v>0.33300000000000002</v>
      </c>
      <c r="H26" s="6">
        <v>0.5</v>
      </c>
      <c r="I26" s="14">
        <v>0.75</v>
      </c>
      <c r="J26" s="9" cm="1">
        <f t="array" ref="J26">TrajectoryDropInCM(C26,$A26,J$18)</f>
        <v>5.0000004166667074</v>
      </c>
      <c r="K26" s="9" cm="1">
        <f t="array" ref="K26">TrajectoryDropInCM(D26,$A26,K$18)</f>
        <v>0</v>
      </c>
      <c r="L26" s="9" cm="1">
        <f t="array" ref="L26">TrajectoryDropInCM(E26,$A26,L$18)</f>
        <v>4.0000002133333465</v>
      </c>
      <c r="M26" s="9" cm="1">
        <f t="array" ref="M26">TrajectoryDropInCM(F26,$A26,M$18)</f>
        <v>5.4000005248800615</v>
      </c>
      <c r="N26" s="9" cm="1">
        <f t="array" ref="N26">TrajectoryDropInCM(G26,$A26,N$18)</f>
        <v>13.320007877560153</v>
      </c>
      <c r="O26" s="9" cm="1">
        <f t="array" ref="O26">TrajectoryDropInCM(H26,$A26,O$18)</f>
        <v>25.000052083463544</v>
      </c>
      <c r="P26" s="33" cm="1">
        <f t="array" ref="P26">TrajectoryDropInCM(I26,$A26,P$18)</f>
        <v>28.125074157949481</v>
      </c>
      <c r="Q26" s="32" cm="1">
        <f t="array" ref="Q26">TrajectoryErrorCM($E$19,1,$A26)</f>
        <v>0.62438971640524865</v>
      </c>
    </row>
    <row r="27" spans="1:17" x14ac:dyDescent="0.25">
      <c r="A27" s="1">
        <v>125</v>
      </c>
      <c r="B27" s="1">
        <v>2926.1</v>
      </c>
      <c r="C27" s="6">
        <v>8.3000000000000004E-2</v>
      </c>
      <c r="D27" s="6">
        <v>0</v>
      </c>
      <c r="E27" s="6">
        <v>8.3000000000000004E-2</v>
      </c>
      <c r="F27" s="6">
        <v>0.125</v>
      </c>
      <c r="G27" s="6">
        <v>0.26250000000000001</v>
      </c>
      <c r="H27" s="6">
        <v>0.5</v>
      </c>
      <c r="I27" s="14">
        <v>0.745</v>
      </c>
      <c r="J27" s="9" cm="1">
        <f t="array" ref="J27">TrajectoryDropInCM(C27,$A27,J$18)</f>
        <v>4.1500001524765402</v>
      </c>
      <c r="K27" s="9" cm="1">
        <f t="array" ref="K27">TrajectoryDropInCM(D27,$A27,K$18)</f>
        <v>0</v>
      </c>
      <c r="L27" s="9" cm="1">
        <f t="array" ref="L27">TrajectoryDropInCM(E27,$A27,L$18)</f>
        <v>4.1500001524765402</v>
      </c>
      <c r="M27" s="9" cm="1">
        <f t="array" ref="M27">TrajectoryDropInCM(F27,$A27,M$18)</f>
        <v>6.2500005208333844</v>
      </c>
      <c r="N27" s="9" cm="1">
        <f t="array" ref="N27">TrajectoryDropInCM(G27,$A27,N$18)</f>
        <v>13.125004823439628</v>
      </c>
      <c r="O27" s="9" cm="1">
        <f t="array" ref="O27">TrajectoryDropInCM(H27,$A27,O$18)</f>
        <v>31.250065104329426</v>
      </c>
      <c r="P27" s="33" cm="1">
        <f t="array" ref="P27">TrajectoryDropInCM(I27,$A27,P$18)</f>
        <v>34.921965855816502</v>
      </c>
      <c r="Q27" s="32" cm="1">
        <f t="array" ref="Q27">TrajectoryErrorCM($E$19,1,$A27)</f>
        <v>0.78048714550656084</v>
      </c>
    </row>
    <row r="28" spans="1:17" x14ac:dyDescent="0.25">
      <c r="A28" s="1">
        <v>150</v>
      </c>
      <c r="B28" s="1">
        <v>2878.2</v>
      </c>
      <c r="C28" s="6">
        <v>8.3000000000000004E-2</v>
      </c>
      <c r="D28" s="6">
        <v>-0.05</v>
      </c>
      <c r="E28" s="7">
        <v>0</v>
      </c>
      <c r="F28" s="6">
        <v>8.3000000000000004E-2</v>
      </c>
      <c r="G28" s="6">
        <v>0.25</v>
      </c>
      <c r="H28" s="6">
        <v>0.5</v>
      </c>
      <c r="I28" s="14">
        <v>0.66700000000000004</v>
      </c>
      <c r="J28" s="9" cm="1">
        <f t="array" ref="J28">TrajectoryDropInCM(C28,$A28,J$18)</f>
        <v>4.9800001829718479</v>
      </c>
      <c r="K28" s="9" cm="1">
        <f t="array" ref="K28">TrajectoryDropInCM(D28,$A28,K$18)</f>
        <v>-3.0000000400000006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37.500078125195316</v>
      </c>
      <c r="P28" s="33" cm="1">
        <f t="array" ref="P28">TrajectoryDropInCM(I28,$A28,P$18)</f>
        <v>37.518828242441899</v>
      </c>
      <c r="Q28" s="32" cm="1">
        <f t="array" ref="Q28">TrajectoryErrorCM($E$19,1,$A28)</f>
        <v>0.93658457460787303</v>
      </c>
    </row>
    <row r="29" spans="1:17" x14ac:dyDescent="0.25">
      <c r="A29" s="1">
        <v>200</v>
      </c>
      <c r="B29" s="1">
        <v>2793</v>
      </c>
      <c r="C29" s="6">
        <v>0</v>
      </c>
      <c r="D29" s="6">
        <v>-0.125</v>
      </c>
      <c r="E29" s="6">
        <v>-8.3000000000000004E-2</v>
      </c>
      <c r="F29" s="7">
        <v>0</v>
      </c>
      <c r="G29" s="6">
        <v>0.1875</v>
      </c>
      <c r="H29" s="6">
        <v>0.375</v>
      </c>
      <c r="I29" s="14">
        <v>0.625</v>
      </c>
      <c r="J29" s="9" cm="1">
        <f t="array" ref="J29">TrajectoryDropInCM(C29,$A29,J$18)</f>
        <v>0</v>
      </c>
      <c r="K29" s="9" cm="1">
        <f t="array" ref="K29">TrajectoryDropInCM(D29,$A29,K$18)</f>
        <v>-10.000000833333415</v>
      </c>
      <c r="L29" s="9" cm="1">
        <f t="array" ref="L29">TrajectoryDropInCM(E29,$A29,L$18)</f>
        <v>-6.6400002439624641</v>
      </c>
      <c r="M29" s="9" cm="1">
        <f t="array" ref="M29">TrajectoryDropInCM(F29,$A29,M$18)</f>
        <v>0</v>
      </c>
      <c r="N29" s="9" cm="1">
        <f t="array" ref="N29">TrajectoryDropInCM(G29,$A29,N$18)</f>
        <v>15.000002812500634</v>
      </c>
      <c r="O29" s="9" cm="1">
        <f t="array" ref="O29">TrajectoryDropInCM(H29,$A29,O$18)</f>
        <v>37.500043945374294</v>
      </c>
      <c r="P29" s="33" cm="1">
        <f t="array" ref="P29">TrajectoryDropInCM(I29,$A29,P$18)</f>
        <v>46.875085830877069</v>
      </c>
      <c r="Q29" s="32" cm="1">
        <f t="array" ref="Q29">TrajectoryErrorCM($E$19,1,$A29)</f>
        <v>1.2487794328104973</v>
      </c>
    </row>
    <row r="30" spans="1:17" x14ac:dyDescent="0.25">
      <c r="A30" s="1">
        <v>250</v>
      </c>
      <c r="B30" s="1">
        <v>2710.5</v>
      </c>
      <c r="C30" s="6">
        <v>-8.3000000000000004E-2</v>
      </c>
      <c r="D30" s="6">
        <v>-0.1875</v>
      </c>
      <c r="E30" s="6">
        <v>-0.16700000000000001</v>
      </c>
      <c r="F30" s="6">
        <v>-8.3000000000000004E-2</v>
      </c>
      <c r="G30" s="6">
        <v>0.125</v>
      </c>
      <c r="H30" s="6">
        <v>0.33300000000000002</v>
      </c>
      <c r="I30" s="14">
        <v>0.55000000000000004</v>
      </c>
      <c r="J30" s="9" cm="1">
        <f t="array" ref="J30">TrajectoryDropInCM(C30,$A30,J$18)</f>
        <v>-8.3000003049530804</v>
      </c>
      <c r="K30" s="9" cm="1">
        <f t="array" ref="K30">TrajectoryDropInCM(D30,$A30,K$18)</f>
        <v>-18.750003515625792</v>
      </c>
      <c r="L30" s="9" cm="1">
        <f t="array" ref="L30">TrajectoryDropInCM(E30,$A30,L$18)</f>
        <v>-16.700002483980715</v>
      </c>
      <c r="M30" s="9" cm="1">
        <f t="array" ref="M30">TrajectoryDropInCM(F30,$A30,M$18)</f>
        <v>-8.3000003049530804</v>
      </c>
      <c r="N30" s="9" cm="1">
        <f t="array" ref="N30">TrajectoryDropInCM(G30,$A30,N$18)</f>
        <v>12.500001041666769</v>
      </c>
      <c r="O30" s="9" cm="1">
        <f t="array" ref="O30">TrajectoryDropInCM(H30,$A30,O$18)</f>
        <v>41.625038464664534</v>
      </c>
      <c r="P30" s="33" cm="1">
        <f t="array" ref="P30">TrajectoryDropInCM(I30,$A30,P$18)</f>
        <v>51.56257311413809</v>
      </c>
      <c r="Q30" s="32" cm="1">
        <f t="array" ref="Q30">TrajectoryErrorCM($E$19,1,$A30)</f>
        <v>1.5609742910131217</v>
      </c>
    </row>
    <row r="31" spans="1:17" x14ac:dyDescent="0.25">
      <c r="A31" s="1">
        <v>300</v>
      </c>
      <c r="B31" s="1">
        <v>2631.2</v>
      </c>
      <c r="C31" s="6">
        <v>-0.16700000000000001</v>
      </c>
      <c r="D31" s="6">
        <v>-0.26</v>
      </c>
      <c r="E31" s="6">
        <v>-0.25</v>
      </c>
      <c r="F31" s="6">
        <v>-0.16700000000000001</v>
      </c>
      <c r="G31" s="7">
        <v>0</v>
      </c>
      <c r="H31" s="17">
        <v>0.17499999999999999</v>
      </c>
      <c r="I31" s="18">
        <v>0.4375</v>
      </c>
      <c r="J31" s="9" cm="1">
        <f t="array" ref="J31">TrajectoryDropInCM(C31,$A31,J$18)</f>
        <v>-20.040002980776855</v>
      </c>
      <c r="K31" s="9" cm="1">
        <f t="array" ref="K31">TrajectoryDropInCM(D31,$A31,K$18)</f>
        <v>-31.20001124864487</v>
      </c>
      <c r="L31" s="9" cm="1">
        <f t="array" ref="L31">TrajectoryDropInCM(E31,$A31,L$18)</f>
        <v>-30.000010000004</v>
      </c>
      <c r="M31" s="9" cm="1">
        <f t="array" ref="M31">TrajectoryDropInCM(F31,$A31,M$18)</f>
        <v>-20.040002980776855</v>
      </c>
      <c r="N31" s="9" cm="1">
        <f t="array" ref="N31">TrajectoryDropInCM(G31,$A31,N$18)</f>
        <v>0</v>
      </c>
      <c r="O31" s="9" cm="1">
        <f t="array" ref="O31">TrajectoryDropInCM(H31,$A31,O$18)</f>
        <v>26.250006699220808</v>
      </c>
      <c r="P31" s="33" cm="1">
        <f t="array" ref="P31">TrajectoryDropInCM(I31,$A31,P$18)</f>
        <v>49.21879415993677</v>
      </c>
      <c r="Q31" s="32" cm="1">
        <f t="array" ref="Q31">TrajectoryErrorCM($E$19,1,$A31)</f>
        <v>1.8731691492157461</v>
      </c>
    </row>
    <row r="32" spans="1:17" x14ac:dyDescent="0.25">
      <c r="A32" s="1">
        <v>350</v>
      </c>
      <c r="B32" s="1">
        <v>2554.8000000000002</v>
      </c>
      <c r="C32" s="6">
        <v>-0.26</v>
      </c>
      <c r="D32" s="6">
        <v>-0.375</v>
      </c>
      <c r="E32" s="6">
        <v>-0.33300000000000002</v>
      </c>
      <c r="F32" s="6">
        <v>-0.25</v>
      </c>
      <c r="G32" s="6">
        <v>-6.25E-2</v>
      </c>
      <c r="H32" s="6">
        <v>0.125</v>
      </c>
      <c r="I32" s="14">
        <v>0.33300000000000002</v>
      </c>
      <c r="J32" s="9" cm="1">
        <f t="array" ref="J32">TrajectoryDropInCM(C32,$A32,J$18)</f>
        <v>-36.400013123419015</v>
      </c>
      <c r="K32" s="9" cm="1">
        <f t="array" ref="K32">TrajectoryDropInCM(D32,$A32,K$18)</f>
        <v>-52.500039375035435</v>
      </c>
      <c r="L32" s="9" cm="1">
        <f t="array" ref="L32">TrajectoryDropInCM(E32,$A32,L$18)</f>
        <v>-46.620027571460533</v>
      </c>
      <c r="M32" s="9" cm="1">
        <f t="array" ref="M32">TrajectoryDropInCM(F32,$A32,M$18)</f>
        <v>-35.000011666671341</v>
      </c>
      <c r="N32" s="9" cm="1">
        <f t="array" ref="N32">TrajectoryDropInCM(G32,$A32,N$18)</f>
        <v>-8.7500001822916698</v>
      </c>
      <c r="O32" s="9" cm="1">
        <f t="array" ref="O32">TrajectoryDropInCM(H32,$A32,O$18)</f>
        <v>21.875002848307737</v>
      </c>
      <c r="P32" s="33" cm="1">
        <f t="array" ref="P32">TrajectoryDropInCM(I32,$A32,P$18)</f>
        <v>43.706272718181459</v>
      </c>
      <c r="Q32" s="32" cm="1">
        <f t="array" ref="Q32">TrajectoryErrorCM($E$19,1,$A32)</f>
        <v>2.1853640074183702</v>
      </c>
    </row>
    <row r="33" spans="1:17" x14ac:dyDescent="0.25">
      <c r="A33" s="1">
        <v>400</v>
      </c>
      <c r="B33" s="1">
        <v>2475.8000000000002</v>
      </c>
      <c r="C33" s="6">
        <v>-0.4375</v>
      </c>
      <c r="D33" s="6">
        <v>-0.5</v>
      </c>
      <c r="E33" s="6">
        <v>-0.47499999999999998</v>
      </c>
      <c r="F33" s="6">
        <v>-0.375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-70.000071458420877</v>
      </c>
      <c r="K33" s="9" cm="1">
        <f t="array" ref="K33">TrajectoryDropInCM(D33,$A33,K$18)</f>
        <v>-80.000106666837326</v>
      </c>
      <c r="L33" s="9" cm="1">
        <f t="array" ref="L33">TrajectoryDropInCM(E33,$A33,L$18)</f>
        <v>-76.000091453465387</v>
      </c>
      <c r="M33" s="9" cm="1">
        <f t="array" ref="M33">TrajectoryDropInCM(F33,$A33,M$18)</f>
        <v>-60.000045000040501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33" cm="1">
        <f t="array" ref="P33">TrajectoryDropInCM(I33,$A33,P$18)</f>
        <v>37.500010986331986</v>
      </c>
      <c r="Q33" s="32" cm="1">
        <f t="array" ref="Q33">TrajectoryErrorCM($E$19,1,$A33)</f>
        <v>2.4975588656209946</v>
      </c>
    </row>
    <row r="34" spans="1:17" x14ac:dyDescent="0.25">
      <c r="A34" s="1">
        <v>450</v>
      </c>
      <c r="B34" s="1">
        <v>2405</v>
      </c>
      <c r="C34" s="6">
        <v>-0.5</v>
      </c>
      <c r="D34" s="6">
        <v>-0.58299999999999996</v>
      </c>
      <c r="E34" s="6">
        <v>-0.56000000000000005</v>
      </c>
      <c r="F34" s="6">
        <v>-0.5</v>
      </c>
      <c r="G34" s="6">
        <v>-0.255</v>
      </c>
      <c r="H34" s="6">
        <v>-0.125</v>
      </c>
      <c r="I34" s="14">
        <v>0.125</v>
      </c>
      <c r="J34" s="9" cm="1">
        <f t="array" ref="J34">TrajectoryDropInCM(C34,$A34,J$18)</f>
        <v>-90.000120000191998</v>
      </c>
      <c r="K34" s="9" cm="1">
        <f t="array" ref="K34">TrajectoryDropInCM(D34,$A34,K$18)</f>
        <v>-104.94019022948933</v>
      </c>
      <c r="L34" s="9" cm="1">
        <f t="array" ref="L34">TrajectoryDropInCM(E34,$A34,L$18)</f>
        <v>-100.80016859169838</v>
      </c>
      <c r="M34" s="9" cm="1">
        <f t="array" ref="M34">TrajectoryDropInCM(F34,$A34,M$18)</f>
        <v>-90.000120000191998</v>
      </c>
      <c r="N34" s="9" cm="1">
        <f t="array" ref="N34">TrajectoryDropInCM(G34,$A34,N$18)</f>
        <v>-45.900015918126634</v>
      </c>
      <c r="O34" s="9" cm="1">
        <f t="array" ref="O34">TrajectoryDropInCM(H34,$A34,O$18)</f>
        <v>-28.125003662109947</v>
      </c>
      <c r="P34" s="33" cm="1">
        <f t="array" ref="P34">TrajectoryDropInCM(I34,$A34,P$18)</f>
        <v>21.093751544952529</v>
      </c>
      <c r="Q34" s="32" cm="1">
        <f t="array" ref="Q34">TrajectoryErrorCM($E$19,1,$A34)</f>
        <v>2.809753723823619</v>
      </c>
    </row>
    <row r="35" spans="1:17" x14ac:dyDescent="0.25">
      <c r="A35" s="1">
        <v>500</v>
      </c>
      <c r="B35" s="1">
        <v>2332.6</v>
      </c>
      <c r="C35" s="6">
        <v>-0.625</v>
      </c>
      <c r="D35" s="6">
        <v>-0.745</v>
      </c>
      <c r="E35" s="6">
        <v>-0.63300000000000001</v>
      </c>
      <c r="F35" s="6">
        <v>-0.62</v>
      </c>
      <c r="G35" s="6">
        <v>-0.41699999999999998</v>
      </c>
      <c r="H35" s="6">
        <v>-0.18</v>
      </c>
      <c r="I35" s="15">
        <v>0</v>
      </c>
      <c r="J35" s="9" cm="1">
        <f t="array" ref="J35">TrajectoryDropInCM(C35,$A35,J$18)</f>
        <v>-125.0002604173177</v>
      </c>
      <c r="K35" s="9" cm="1">
        <f t="array" ref="K35">TrajectoryDropInCM(D35,$A35,K$18)</f>
        <v>-149.00044106143338</v>
      </c>
      <c r="L35" s="9" cm="1">
        <f t="array" ref="L35">TrajectoryDropInCM(E35,$A35,L$18)</f>
        <v>-126.6002705459066</v>
      </c>
      <c r="M35" s="9" cm="1">
        <f t="array" ref="M35">TrajectoryDropInCM(F35,$A35,M$18)</f>
        <v>-124.00025421715874</v>
      </c>
      <c r="N35" s="9" cm="1">
        <f t="array" ref="N35">TrajectoryDropInCM(G35,$A35,N$18)</f>
        <v>-83.400077345913274</v>
      </c>
      <c r="O35" s="9" cm="1">
        <f t="array" ref="O35">TrajectoryDropInCM(H35,$A35,O$18)</f>
        <v>-45.000012150003933</v>
      </c>
      <c r="P35" s="33" cm="1">
        <f t="array" ref="P35">TrajectoryDropInCM(I35,$A35,P$18)</f>
        <v>0</v>
      </c>
      <c r="Q35" s="32" cm="1">
        <f t="array" ref="Q35">TrajectoryErrorCM($E$19,1,$A35)</f>
        <v>3.1219485820262434</v>
      </c>
    </row>
    <row r="77" spans="1:19" x14ac:dyDescent="0.25">
      <c r="A77" t="s">
        <v>27</v>
      </c>
    </row>
    <row r="78" spans="1:19" x14ac:dyDescent="0.25">
      <c r="A78" t="s">
        <v>81</v>
      </c>
      <c r="K78" t="s">
        <v>82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34</v>
      </c>
      <c r="H79" t="s">
        <v>35</v>
      </c>
      <c r="I79" t="s">
        <v>36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34</v>
      </c>
      <c r="R79" t="s">
        <v>35</v>
      </c>
      <c r="S79" t="s">
        <v>36</v>
      </c>
    </row>
    <row r="80" spans="1:19" x14ac:dyDescent="0.25">
      <c r="A80" s="1">
        <v>0</v>
      </c>
      <c r="B80" s="1">
        <v>823</v>
      </c>
      <c r="C80" s="1">
        <v>3138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823</v>
      </c>
      <c r="M80" s="1">
        <v>3138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811</v>
      </c>
      <c r="C81" s="1">
        <v>3046</v>
      </c>
      <c r="D81" s="1">
        <v>-1.5</v>
      </c>
      <c r="E81" s="1">
        <v>2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817</v>
      </c>
      <c r="M81" s="1">
        <v>3092</v>
      </c>
      <c r="N81" s="1">
        <v>-1.5</v>
      </c>
      <c r="O81" s="1">
        <v>2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799</v>
      </c>
      <c r="C82" s="10">
        <v>2957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811</v>
      </c>
      <c r="M82" s="10">
        <v>3047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787</v>
      </c>
      <c r="C83" s="1">
        <v>2870</v>
      </c>
      <c r="D83" s="1">
        <v>0.5</v>
      </c>
      <c r="E83" s="1">
        <v>-0.2</v>
      </c>
      <c r="F83" s="1">
        <v>-0.1</v>
      </c>
      <c r="G83" s="1">
        <v>0</v>
      </c>
      <c r="H83" s="1">
        <v>0</v>
      </c>
      <c r="I83" s="1">
        <v>0</v>
      </c>
      <c r="J83" s="1"/>
      <c r="K83" s="1">
        <v>75</v>
      </c>
      <c r="L83" s="1">
        <v>805</v>
      </c>
      <c r="M83" s="1">
        <v>3002</v>
      </c>
      <c r="N83" s="1">
        <v>0.5</v>
      </c>
      <c r="O83" s="1">
        <v>-0.2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775</v>
      </c>
      <c r="C84" s="1">
        <v>2785</v>
      </c>
      <c r="D84" s="1">
        <v>-0.1</v>
      </c>
      <c r="E84" s="1">
        <v>0</v>
      </c>
      <c r="F84" s="1">
        <v>0</v>
      </c>
      <c r="G84" s="1">
        <v>0</v>
      </c>
      <c r="H84" s="1">
        <v>0</v>
      </c>
      <c r="I84" s="1">
        <v>0</v>
      </c>
      <c r="J84" s="1"/>
      <c r="K84" s="1">
        <v>100</v>
      </c>
      <c r="L84" s="1">
        <v>799</v>
      </c>
      <c r="M84" s="1">
        <v>2958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764</v>
      </c>
      <c r="C85" s="1">
        <v>2701</v>
      </c>
      <c r="D85" s="1">
        <v>-1.7</v>
      </c>
      <c r="E85" s="1">
        <v>0.5</v>
      </c>
      <c r="F85" s="1">
        <v>0.1</v>
      </c>
      <c r="G85" s="1">
        <v>0</v>
      </c>
      <c r="H85" s="1">
        <v>0</v>
      </c>
      <c r="I85" s="1">
        <v>0</v>
      </c>
      <c r="J85" s="1"/>
      <c r="K85" s="1">
        <v>125</v>
      </c>
      <c r="L85" s="1">
        <v>793</v>
      </c>
      <c r="M85" s="1">
        <v>2914</v>
      </c>
      <c r="N85" s="1">
        <v>-1.4</v>
      </c>
      <c r="O85" s="1">
        <v>0.4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752</v>
      </c>
      <c r="C86" s="1">
        <v>2620</v>
      </c>
      <c r="D86" s="1">
        <v>-4.3</v>
      </c>
      <c r="E86" s="1">
        <v>1</v>
      </c>
      <c r="F86" s="1">
        <v>0.3</v>
      </c>
      <c r="G86" s="1">
        <v>0</v>
      </c>
      <c r="H86" s="1">
        <v>0</v>
      </c>
      <c r="I86" s="1">
        <v>0</v>
      </c>
      <c r="J86" s="1"/>
      <c r="K86" s="1">
        <v>150</v>
      </c>
      <c r="L86" s="1">
        <v>787</v>
      </c>
      <c r="M86" s="1">
        <v>2871</v>
      </c>
      <c r="N86" s="1">
        <v>-3.8</v>
      </c>
      <c r="O86" s="1">
        <v>0.9</v>
      </c>
      <c r="P86" s="1">
        <v>0.3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741</v>
      </c>
      <c r="C87" s="1">
        <v>2541</v>
      </c>
      <c r="D87" s="1">
        <v>-8</v>
      </c>
      <c r="E87" s="1">
        <v>1.6</v>
      </c>
      <c r="F87" s="1">
        <v>0.5</v>
      </c>
      <c r="G87" s="1">
        <v>0</v>
      </c>
      <c r="H87" s="1">
        <v>0</v>
      </c>
      <c r="I87" s="1">
        <v>0</v>
      </c>
      <c r="J87" s="1"/>
      <c r="K87" s="1">
        <v>175</v>
      </c>
      <c r="L87" s="1">
        <v>781</v>
      </c>
      <c r="M87" s="1">
        <v>2828</v>
      </c>
      <c r="N87" s="1">
        <v>-7.2</v>
      </c>
      <c r="O87" s="1">
        <v>1.4</v>
      </c>
      <c r="P87" s="1">
        <v>0.4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729</v>
      </c>
      <c r="C88" s="1">
        <v>2464</v>
      </c>
      <c r="D88" s="1">
        <v>-12.9</v>
      </c>
      <c r="E88" s="1">
        <v>2.2000000000000002</v>
      </c>
      <c r="F88" s="1">
        <v>0.6</v>
      </c>
      <c r="G88" s="1">
        <v>0</v>
      </c>
      <c r="H88" s="1">
        <v>0</v>
      </c>
      <c r="I88" s="1">
        <v>0</v>
      </c>
      <c r="J88" s="1"/>
      <c r="K88" s="1">
        <v>200</v>
      </c>
      <c r="L88" s="1">
        <v>775</v>
      </c>
      <c r="M88" s="1">
        <v>2786</v>
      </c>
      <c r="N88" s="1">
        <v>-11.7</v>
      </c>
      <c r="O88" s="1">
        <v>2</v>
      </c>
      <c r="P88" s="1">
        <v>0.6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718</v>
      </c>
      <c r="C89" s="1">
        <v>2388</v>
      </c>
      <c r="D89" s="1">
        <v>-18.899999999999999</v>
      </c>
      <c r="E89" s="1">
        <v>2.9</v>
      </c>
      <c r="F89" s="1">
        <v>0.8</v>
      </c>
      <c r="G89" s="1">
        <v>0</v>
      </c>
      <c r="H89" s="1">
        <v>0</v>
      </c>
      <c r="I89" s="1">
        <v>0</v>
      </c>
      <c r="J89" s="1"/>
      <c r="K89" s="1">
        <v>225</v>
      </c>
      <c r="L89" s="1">
        <v>770</v>
      </c>
      <c r="M89" s="1">
        <v>2744</v>
      </c>
      <c r="N89" s="1">
        <v>-17.100000000000001</v>
      </c>
      <c r="O89" s="1">
        <v>2.6</v>
      </c>
      <c r="P89" s="1">
        <v>0.8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707</v>
      </c>
      <c r="C90" s="1">
        <v>2314</v>
      </c>
      <c r="D90" s="1">
        <v>-26.1</v>
      </c>
      <c r="E90" s="1">
        <v>3.6</v>
      </c>
      <c r="F90" s="1">
        <v>1</v>
      </c>
      <c r="G90" s="1">
        <v>0</v>
      </c>
      <c r="H90" s="1">
        <v>0</v>
      </c>
      <c r="I90" s="1">
        <v>0</v>
      </c>
      <c r="J90" s="1"/>
      <c r="K90" s="1">
        <v>250</v>
      </c>
      <c r="L90" s="1">
        <v>764</v>
      </c>
      <c r="M90" s="1">
        <v>2703</v>
      </c>
      <c r="N90" s="1">
        <v>-23.5</v>
      </c>
      <c r="O90" s="1">
        <v>3.2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696</v>
      </c>
      <c r="C91" s="1">
        <v>2242</v>
      </c>
      <c r="D91" s="1">
        <v>-34.9</v>
      </c>
      <c r="E91" s="1">
        <v>4.4000000000000004</v>
      </c>
      <c r="F91" s="1">
        <v>1.3</v>
      </c>
      <c r="G91" s="1">
        <v>0</v>
      </c>
      <c r="H91" s="1">
        <v>0</v>
      </c>
      <c r="I91" s="1">
        <v>0</v>
      </c>
      <c r="J91" s="1"/>
      <c r="K91" s="1">
        <v>275</v>
      </c>
      <c r="L91" s="1">
        <v>758</v>
      </c>
      <c r="M91" s="1">
        <v>2662</v>
      </c>
      <c r="N91" s="1">
        <v>-31.2</v>
      </c>
      <c r="O91" s="1">
        <v>3.9</v>
      </c>
      <c r="P91" s="1">
        <v>1.1000000000000001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685</v>
      </c>
      <c r="C92" s="1">
        <v>2172</v>
      </c>
      <c r="D92" s="1">
        <v>-44.6</v>
      </c>
      <c r="E92" s="1">
        <v>5.0999999999999996</v>
      </c>
      <c r="F92" s="1">
        <v>1.5</v>
      </c>
      <c r="G92" s="1">
        <v>0</v>
      </c>
      <c r="H92" s="1">
        <v>0</v>
      </c>
      <c r="I92" s="1">
        <v>0</v>
      </c>
      <c r="J92" s="1"/>
      <c r="K92" s="1">
        <v>300</v>
      </c>
      <c r="L92" s="1">
        <v>752</v>
      </c>
      <c r="M92" s="1">
        <v>2622</v>
      </c>
      <c r="N92" s="1">
        <v>-39.799999999999997</v>
      </c>
      <c r="O92" s="1">
        <v>4.5999999999999996</v>
      </c>
      <c r="P92" s="1">
        <v>1.3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674</v>
      </c>
      <c r="C93" s="1">
        <v>2104</v>
      </c>
      <c r="D93" s="1">
        <v>-55.7</v>
      </c>
      <c r="E93" s="1">
        <v>5.9</v>
      </c>
      <c r="F93" s="1">
        <v>1.7</v>
      </c>
      <c r="G93" s="1">
        <v>0</v>
      </c>
      <c r="H93" s="1">
        <v>0</v>
      </c>
      <c r="I93" s="1">
        <v>0</v>
      </c>
      <c r="J93" s="1"/>
      <c r="K93" s="1">
        <v>325</v>
      </c>
      <c r="L93" s="1">
        <v>747</v>
      </c>
      <c r="M93" s="1">
        <v>2582</v>
      </c>
      <c r="N93" s="1">
        <v>-49.4</v>
      </c>
      <c r="O93" s="1">
        <v>5.2</v>
      </c>
      <c r="P93" s="1">
        <v>1.5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663</v>
      </c>
      <c r="C94" s="1">
        <v>2037</v>
      </c>
      <c r="D94" s="1">
        <v>-68.599999999999994</v>
      </c>
      <c r="E94" s="1">
        <v>6.7</v>
      </c>
      <c r="F94" s="1">
        <v>2</v>
      </c>
      <c r="G94" s="1">
        <v>0</v>
      </c>
      <c r="H94" s="1">
        <v>0</v>
      </c>
      <c r="I94" s="1">
        <v>0</v>
      </c>
      <c r="J94" s="1"/>
      <c r="K94" s="1">
        <v>350</v>
      </c>
      <c r="L94" s="1">
        <v>741</v>
      </c>
      <c r="M94" s="1">
        <v>2543</v>
      </c>
      <c r="N94" s="1">
        <v>-60.5</v>
      </c>
      <c r="O94" s="1">
        <v>5.9</v>
      </c>
      <c r="P94" s="1">
        <v>1.7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652</v>
      </c>
      <c r="C95" s="1">
        <v>1972</v>
      </c>
      <c r="D95" s="1">
        <v>-82.5</v>
      </c>
      <c r="E95" s="1">
        <v>7.6</v>
      </c>
      <c r="F95" s="1">
        <v>2.2000000000000002</v>
      </c>
      <c r="G95" s="1">
        <v>0</v>
      </c>
      <c r="H95" s="1">
        <v>0</v>
      </c>
      <c r="I95" s="1">
        <v>0</v>
      </c>
      <c r="J95" s="1"/>
      <c r="K95" s="1">
        <v>375</v>
      </c>
      <c r="L95" s="1">
        <v>735</v>
      </c>
      <c r="M95" s="1">
        <v>2504</v>
      </c>
      <c r="N95" s="1">
        <v>-72.400000000000006</v>
      </c>
      <c r="O95" s="1">
        <v>6.6</v>
      </c>
      <c r="P95" s="1">
        <v>1.9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642</v>
      </c>
      <c r="C96" s="1">
        <v>1908</v>
      </c>
      <c r="D96" s="1">
        <v>-97.9</v>
      </c>
      <c r="E96" s="1">
        <v>8.4</v>
      </c>
      <c r="F96" s="1">
        <v>2.4</v>
      </c>
      <c r="G96" s="1">
        <v>0</v>
      </c>
      <c r="H96" s="1">
        <v>0</v>
      </c>
      <c r="I96" s="1">
        <v>0</v>
      </c>
      <c r="J96" s="1"/>
      <c r="K96" s="1">
        <v>400</v>
      </c>
      <c r="L96" s="1">
        <v>729</v>
      </c>
      <c r="M96" s="1">
        <v>2466</v>
      </c>
      <c r="N96" s="1">
        <v>-85.4</v>
      </c>
      <c r="O96" s="1">
        <v>7.3</v>
      </c>
      <c r="P96" s="1">
        <v>2.1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631</v>
      </c>
      <c r="C97" s="1">
        <v>1846</v>
      </c>
      <c r="D97" s="1">
        <v>-115.4</v>
      </c>
      <c r="E97" s="1">
        <v>9.3000000000000007</v>
      </c>
      <c r="F97" s="1">
        <v>2.7</v>
      </c>
      <c r="G97" s="1">
        <v>0</v>
      </c>
      <c r="H97" s="1">
        <v>0</v>
      </c>
      <c r="I97" s="1">
        <v>0</v>
      </c>
      <c r="J97" s="1"/>
      <c r="K97" s="1">
        <v>425</v>
      </c>
      <c r="L97" s="1">
        <v>724</v>
      </c>
      <c r="M97" s="1">
        <v>2428</v>
      </c>
      <c r="N97" s="1">
        <v>-100.1</v>
      </c>
      <c r="O97" s="1">
        <v>8.1</v>
      </c>
      <c r="P97" s="1">
        <v>2.4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621</v>
      </c>
      <c r="C98" s="1">
        <v>1786</v>
      </c>
      <c r="D98" s="1">
        <v>-134</v>
      </c>
      <c r="E98" s="1">
        <v>10.199999999999999</v>
      </c>
      <c r="F98" s="1">
        <v>3</v>
      </c>
      <c r="G98" s="1">
        <v>0</v>
      </c>
      <c r="H98" s="1">
        <v>0</v>
      </c>
      <c r="I98" s="1">
        <v>0</v>
      </c>
      <c r="J98" s="1"/>
      <c r="K98" s="1">
        <v>450</v>
      </c>
      <c r="L98" s="1">
        <v>718</v>
      </c>
      <c r="M98" s="1">
        <v>2390</v>
      </c>
      <c r="N98" s="1">
        <v>-115.4</v>
      </c>
      <c r="O98" s="1">
        <v>8.8000000000000007</v>
      </c>
      <c r="P98" s="1">
        <v>2.6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611</v>
      </c>
      <c r="C99" s="1">
        <v>1727</v>
      </c>
      <c r="D99" s="1">
        <v>-154.1</v>
      </c>
      <c r="E99" s="1">
        <v>11.2</v>
      </c>
      <c r="F99" s="1">
        <v>3.2</v>
      </c>
      <c r="G99" s="1">
        <v>0</v>
      </c>
      <c r="H99" s="1">
        <v>0</v>
      </c>
      <c r="I99" s="1">
        <v>0</v>
      </c>
      <c r="J99" s="1"/>
      <c r="K99" s="1">
        <v>475</v>
      </c>
      <c r="L99" s="1">
        <v>713</v>
      </c>
      <c r="M99" s="1">
        <v>2353</v>
      </c>
      <c r="N99" s="1">
        <v>-132</v>
      </c>
      <c r="O99" s="1">
        <v>9.6</v>
      </c>
      <c r="P99" s="1">
        <v>2.8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601</v>
      </c>
      <c r="C100" s="1">
        <v>1672</v>
      </c>
      <c r="D100" s="1">
        <v>-176</v>
      </c>
      <c r="E100" s="1">
        <v>12.1</v>
      </c>
      <c r="F100" s="1">
        <v>3.5</v>
      </c>
      <c r="G100" s="1">
        <v>0</v>
      </c>
      <c r="H100" s="1">
        <v>0</v>
      </c>
      <c r="I100" s="1">
        <v>0</v>
      </c>
      <c r="J100" s="1"/>
      <c r="K100" s="1">
        <v>500</v>
      </c>
      <c r="L100" s="1">
        <v>707</v>
      </c>
      <c r="M100" s="1">
        <v>2318</v>
      </c>
      <c r="N100" s="1">
        <v>-149.69999999999999</v>
      </c>
      <c r="O100" s="1">
        <v>10.3</v>
      </c>
      <c r="P100" s="1">
        <v>3</v>
      </c>
      <c r="Q100" s="1">
        <v>0</v>
      </c>
      <c r="R100" s="1">
        <v>0</v>
      </c>
      <c r="S100" s="1">
        <v>0</v>
      </c>
    </row>
    <row r="102" spans="1:19" x14ac:dyDescent="0.25">
      <c r="A102" t="s">
        <v>75</v>
      </c>
      <c r="K102" t="s">
        <v>83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34</v>
      </c>
      <c r="H103" t="s">
        <v>35</v>
      </c>
      <c r="I103" t="s">
        <v>36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34</v>
      </c>
      <c r="R103" t="s">
        <v>35</v>
      </c>
      <c r="S103" t="s">
        <v>36</v>
      </c>
    </row>
    <row r="104" spans="1:19" x14ac:dyDescent="0.25">
      <c r="A104" s="1">
        <v>0</v>
      </c>
      <c r="B104" s="1">
        <v>823</v>
      </c>
      <c r="C104" s="1">
        <v>3139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823</v>
      </c>
      <c r="M104" s="1">
        <v>3138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811</v>
      </c>
      <c r="C105" s="1">
        <v>3048</v>
      </c>
      <c r="D105" s="1">
        <v>-1.4</v>
      </c>
      <c r="E105" s="1">
        <v>2</v>
      </c>
      <c r="F105" s="1">
        <v>0.6</v>
      </c>
      <c r="G105">
        <v>0</v>
      </c>
      <c r="H105">
        <v>0</v>
      </c>
      <c r="I105">
        <v>0</v>
      </c>
      <c r="K105" s="1">
        <v>25</v>
      </c>
      <c r="L105" s="1">
        <v>817</v>
      </c>
      <c r="M105" s="1">
        <v>3092</v>
      </c>
      <c r="N105" s="1">
        <v>-1.5</v>
      </c>
      <c r="O105" s="1">
        <v>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799</v>
      </c>
      <c r="C106" s="1">
        <v>2959</v>
      </c>
      <c r="D106" s="1">
        <v>0.1</v>
      </c>
      <c r="E106" s="1">
        <v>0</v>
      </c>
      <c r="F106" s="1">
        <v>0</v>
      </c>
      <c r="G106">
        <v>0</v>
      </c>
      <c r="H106">
        <v>0</v>
      </c>
      <c r="I106">
        <v>0</v>
      </c>
      <c r="K106" s="1">
        <v>50</v>
      </c>
      <c r="L106" s="1">
        <v>811</v>
      </c>
      <c r="M106" s="1">
        <v>3047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787</v>
      </c>
      <c r="C107" s="1">
        <v>2872</v>
      </c>
      <c r="D107" s="1">
        <v>0.5</v>
      </c>
      <c r="E107" s="1">
        <v>-0.2</v>
      </c>
      <c r="F107" s="1">
        <v>-0.1</v>
      </c>
      <c r="G107">
        <v>-1</v>
      </c>
      <c r="H107">
        <v>0</v>
      </c>
      <c r="I107">
        <v>0</v>
      </c>
      <c r="K107" s="1">
        <v>75</v>
      </c>
      <c r="L107" s="1">
        <v>805</v>
      </c>
      <c r="M107" s="1">
        <v>3002</v>
      </c>
      <c r="N107" s="1">
        <v>0.5</v>
      </c>
      <c r="O107" s="1">
        <v>-0.2</v>
      </c>
      <c r="P107" s="1">
        <v>-0.1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776</v>
      </c>
      <c r="C108" s="10">
        <v>2788</v>
      </c>
      <c r="D108" s="10">
        <v>0</v>
      </c>
      <c r="E108" s="10">
        <v>0</v>
      </c>
      <c r="F108" s="10">
        <v>0</v>
      </c>
      <c r="G108">
        <v>-1</v>
      </c>
      <c r="H108">
        <v>0</v>
      </c>
      <c r="I108">
        <v>0</v>
      </c>
      <c r="K108" s="1">
        <v>100</v>
      </c>
      <c r="L108" s="1">
        <v>799</v>
      </c>
      <c r="M108" s="1">
        <v>2958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764</v>
      </c>
      <c r="C109" s="1">
        <v>2705</v>
      </c>
      <c r="D109" s="1">
        <v>-1.6</v>
      </c>
      <c r="E109" s="1">
        <v>0.4</v>
      </c>
      <c r="F109" s="1">
        <v>0.1</v>
      </c>
      <c r="G109">
        <v>-2</v>
      </c>
      <c r="H109">
        <v>-1</v>
      </c>
      <c r="I109">
        <v>0</v>
      </c>
      <c r="K109" s="1">
        <v>125</v>
      </c>
      <c r="L109" s="1">
        <v>793</v>
      </c>
      <c r="M109" s="1">
        <v>2914</v>
      </c>
      <c r="N109" s="1">
        <v>-1.4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753</v>
      </c>
      <c r="C110" s="1">
        <v>2624</v>
      </c>
      <c r="D110" s="1">
        <v>-4.0999999999999996</v>
      </c>
      <c r="E110" s="1">
        <v>0.9</v>
      </c>
      <c r="F110" s="1">
        <v>0.3</v>
      </c>
      <c r="G110">
        <v>-3</v>
      </c>
      <c r="H110">
        <v>-1</v>
      </c>
      <c r="I110">
        <v>0</v>
      </c>
      <c r="K110" s="1">
        <v>150</v>
      </c>
      <c r="L110" s="1">
        <v>787</v>
      </c>
      <c r="M110" s="1">
        <v>2871</v>
      </c>
      <c r="N110" s="1">
        <v>-3.8</v>
      </c>
      <c r="O110" s="1">
        <v>0.9</v>
      </c>
      <c r="P110" s="1">
        <v>0.3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741</v>
      </c>
      <c r="C111" s="1">
        <v>2545</v>
      </c>
      <c r="D111" s="1">
        <v>-7.8</v>
      </c>
      <c r="E111" s="1">
        <v>1.5</v>
      </c>
      <c r="F111" s="1">
        <v>0.4</v>
      </c>
      <c r="G111">
        <v>-4</v>
      </c>
      <c r="H111">
        <v>-1</v>
      </c>
      <c r="I111">
        <v>0</v>
      </c>
      <c r="K111" s="1">
        <v>175</v>
      </c>
      <c r="L111" s="1">
        <v>781</v>
      </c>
      <c r="M111" s="1">
        <v>2828</v>
      </c>
      <c r="N111" s="1">
        <v>-7.2</v>
      </c>
      <c r="O111" s="1">
        <v>1.4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730</v>
      </c>
      <c r="C112" s="1">
        <v>2468</v>
      </c>
      <c r="D112" s="1">
        <v>-12.8</v>
      </c>
      <c r="E112" s="1">
        <v>2.2000000000000002</v>
      </c>
      <c r="F112" s="1">
        <v>0.6</v>
      </c>
      <c r="G112">
        <v>-5</v>
      </c>
      <c r="H112">
        <v>-1</v>
      </c>
      <c r="I112">
        <v>0</v>
      </c>
      <c r="K112" s="1">
        <v>200</v>
      </c>
      <c r="L112" s="1">
        <v>775</v>
      </c>
      <c r="M112" s="1">
        <v>2786</v>
      </c>
      <c r="N112" s="1">
        <v>-11.7</v>
      </c>
      <c r="O112" s="1">
        <v>2</v>
      </c>
      <c r="P112" s="1">
        <v>0.6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719</v>
      </c>
      <c r="C113" s="1">
        <v>2393</v>
      </c>
      <c r="D113" s="1">
        <v>-18.7</v>
      </c>
      <c r="E113" s="1">
        <v>2.9</v>
      </c>
      <c r="F113" s="1">
        <v>0.8</v>
      </c>
      <c r="G113">
        <v>-6</v>
      </c>
      <c r="H113">
        <v>-1</v>
      </c>
      <c r="I113">
        <v>0</v>
      </c>
      <c r="K113" s="1">
        <v>225</v>
      </c>
      <c r="L113" s="1">
        <v>770</v>
      </c>
      <c r="M113" s="1">
        <v>2744</v>
      </c>
      <c r="N113" s="1">
        <v>-17.100000000000001</v>
      </c>
      <c r="O113" s="1">
        <v>2.6</v>
      </c>
      <c r="P113" s="1">
        <v>0.8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707</v>
      </c>
      <c r="C114" s="1">
        <v>2319</v>
      </c>
      <c r="D114" s="1">
        <v>-25.9</v>
      </c>
      <c r="E114" s="1">
        <v>3.6</v>
      </c>
      <c r="F114" s="1">
        <v>1</v>
      </c>
      <c r="G114">
        <v>-8</v>
      </c>
      <c r="H114">
        <v>-1</v>
      </c>
      <c r="I114">
        <v>0</v>
      </c>
      <c r="K114" s="1">
        <v>250</v>
      </c>
      <c r="L114" s="1">
        <v>764</v>
      </c>
      <c r="M114" s="1">
        <v>2703</v>
      </c>
      <c r="N114" s="1">
        <v>-23.5</v>
      </c>
      <c r="O114" s="1">
        <v>3.2</v>
      </c>
      <c r="P114" s="1">
        <v>0.9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696</v>
      </c>
      <c r="C115" s="1">
        <v>2248</v>
      </c>
      <c r="D115" s="1">
        <v>-34.6</v>
      </c>
      <c r="E115" s="1">
        <v>4.3</v>
      </c>
      <c r="F115" s="1">
        <v>1.3</v>
      </c>
      <c r="G115">
        <v>-10</v>
      </c>
      <c r="H115">
        <v>-1</v>
      </c>
      <c r="I115">
        <v>0</v>
      </c>
      <c r="K115" s="1">
        <v>275</v>
      </c>
      <c r="L115" s="1">
        <v>758</v>
      </c>
      <c r="M115" s="1">
        <v>2662</v>
      </c>
      <c r="N115" s="1">
        <v>-31.2</v>
      </c>
      <c r="O115" s="1">
        <v>3.9</v>
      </c>
      <c r="P115" s="1">
        <v>1.1000000000000001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686</v>
      </c>
      <c r="C116" s="1">
        <v>2178</v>
      </c>
      <c r="D116" s="1">
        <v>-44.3</v>
      </c>
      <c r="E116" s="1">
        <v>5.0999999999999996</v>
      </c>
      <c r="F116" s="1">
        <v>1.5</v>
      </c>
      <c r="G116">
        <v>-12</v>
      </c>
      <c r="H116">
        <v>-2</v>
      </c>
      <c r="I116">
        <v>0</v>
      </c>
      <c r="K116" s="1">
        <v>300</v>
      </c>
      <c r="L116" s="1">
        <v>752</v>
      </c>
      <c r="M116" s="1">
        <v>2622</v>
      </c>
      <c r="N116" s="1">
        <v>-39.799999999999997</v>
      </c>
      <c r="O116" s="1">
        <v>4.5999999999999996</v>
      </c>
      <c r="P116" s="1">
        <v>1.3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675</v>
      </c>
      <c r="C117" s="1">
        <v>2109</v>
      </c>
      <c r="D117" s="1">
        <v>-55.3</v>
      </c>
      <c r="E117" s="1">
        <v>5.9</v>
      </c>
      <c r="F117" s="1">
        <v>1.7</v>
      </c>
      <c r="G117">
        <v>-14</v>
      </c>
      <c r="H117">
        <v>-2</v>
      </c>
      <c r="I117">
        <v>0</v>
      </c>
      <c r="K117" s="1">
        <v>325</v>
      </c>
      <c r="L117" s="1">
        <v>747</v>
      </c>
      <c r="M117" s="1">
        <v>2582</v>
      </c>
      <c r="N117" s="1">
        <v>-49.4</v>
      </c>
      <c r="O117" s="1">
        <v>5.2</v>
      </c>
      <c r="P117" s="1">
        <v>1.5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664</v>
      </c>
      <c r="C118" s="1">
        <v>2043</v>
      </c>
      <c r="D118" s="1">
        <v>-68.2</v>
      </c>
      <c r="E118" s="1">
        <v>6.7</v>
      </c>
      <c r="F118" s="1">
        <v>1.9</v>
      </c>
      <c r="G118">
        <v>-16</v>
      </c>
      <c r="H118">
        <v>-2</v>
      </c>
      <c r="I118">
        <v>0</v>
      </c>
      <c r="K118" s="1">
        <v>350</v>
      </c>
      <c r="L118" s="1">
        <v>741</v>
      </c>
      <c r="M118" s="1">
        <v>2543</v>
      </c>
      <c r="N118" s="1">
        <v>-60.5</v>
      </c>
      <c r="O118" s="1">
        <v>5.9</v>
      </c>
      <c r="P118" s="1">
        <v>1.7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653</v>
      </c>
      <c r="C119" s="1">
        <v>1978</v>
      </c>
      <c r="D119" s="1">
        <v>-82</v>
      </c>
      <c r="E119" s="1">
        <v>7.5</v>
      </c>
      <c r="F119" s="1">
        <v>2.2000000000000002</v>
      </c>
      <c r="G119">
        <v>-18</v>
      </c>
      <c r="H119">
        <v>-2</v>
      </c>
      <c r="I119">
        <v>0</v>
      </c>
      <c r="K119" s="1">
        <v>375</v>
      </c>
      <c r="L119" s="1">
        <v>735</v>
      </c>
      <c r="M119" s="1">
        <v>2504</v>
      </c>
      <c r="N119" s="1">
        <v>-72.400000000000006</v>
      </c>
      <c r="O119" s="1">
        <v>6.6</v>
      </c>
      <c r="P119" s="1">
        <v>1.9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643</v>
      </c>
      <c r="C120" s="1">
        <v>1914</v>
      </c>
      <c r="D120" s="1">
        <v>-97.4</v>
      </c>
      <c r="E120" s="1">
        <v>8.4</v>
      </c>
      <c r="F120" s="1">
        <v>2.4</v>
      </c>
      <c r="G120">
        <v>-21</v>
      </c>
      <c r="H120">
        <v>-2</v>
      </c>
      <c r="I120">
        <v>-1</v>
      </c>
      <c r="K120" s="1">
        <v>400</v>
      </c>
      <c r="L120" s="1">
        <v>729</v>
      </c>
      <c r="M120" s="1">
        <v>2466</v>
      </c>
      <c r="N120" s="1">
        <v>-85.4</v>
      </c>
      <c r="O120" s="1">
        <v>7.3</v>
      </c>
      <c r="P120" s="1">
        <v>2.1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632</v>
      </c>
      <c r="C121" s="1">
        <v>1853</v>
      </c>
      <c r="D121" s="1">
        <v>-114.8</v>
      </c>
      <c r="E121" s="1">
        <v>9.3000000000000007</v>
      </c>
      <c r="F121" s="1">
        <v>2.7</v>
      </c>
      <c r="G121">
        <v>-24</v>
      </c>
      <c r="H121">
        <v>-2</v>
      </c>
      <c r="I121">
        <v>-1</v>
      </c>
      <c r="K121" s="1">
        <v>425</v>
      </c>
      <c r="L121" s="1">
        <v>724</v>
      </c>
      <c r="M121" s="1">
        <v>2428</v>
      </c>
      <c r="N121" s="1">
        <v>-100.1</v>
      </c>
      <c r="O121" s="1">
        <v>8.1</v>
      </c>
      <c r="P121" s="1">
        <v>2.4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622</v>
      </c>
      <c r="C122" s="1">
        <v>1793</v>
      </c>
      <c r="D122" s="1">
        <v>-133.30000000000001</v>
      </c>
      <c r="E122" s="1">
        <v>10.199999999999999</v>
      </c>
      <c r="F122" s="1">
        <v>3</v>
      </c>
      <c r="G122">
        <v>-27</v>
      </c>
      <c r="H122">
        <v>-2</v>
      </c>
      <c r="I122">
        <v>-1</v>
      </c>
      <c r="K122" s="1">
        <v>450</v>
      </c>
      <c r="L122" s="1">
        <v>718</v>
      </c>
      <c r="M122" s="1">
        <v>2390</v>
      </c>
      <c r="N122" s="1">
        <v>-115.4</v>
      </c>
      <c r="O122" s="1">
        <v>8.8000000000000007</v>
      </c>
      <c r="P122" s="1">
        <v>2.6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612</v>
      </c>
      <c r="C123" s="1">
        <v>1734</v>
      </c>
      <c r="D123" s="1">
        <v>-153.4</v>
      </c>
      <c r="E123" s="1">
        <v>11.1</v>
      </c>
      <c r="F123" s="1">
        <v>3.2</v>
      </c>
      <c r="G123">
        <v>-31</v>
      </c>
      <c r="H123">
        <v>-2</v>
      </c>
      <c r="I123">
        <v>-1</v>
      </c>
      <c r="K123" s="1">
        <v>475</v>
      </c>
      <c r="L123" s="1">
        <v>713</v>
      </c>
      <c r="M123" s="1">
        <v>2353</v>
      </c>
      <c r="N123" s="1">
        <v>-132</v>
      </c>
      <c r="O123" s="1">
        <v>9.6</v>
      </c>
      <c r="P123" s="1">
        <v>2.8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602</v>
      </c>
      <c r="C124" s="1">
        <v>1679</v>
      </c>
      <c r="D124" s="1">
        <v>-175.2</v>
      </c>
      <c r="E124" s="1">
        <v>12.1</v>
      </c>
      <c r="F124" s="1">
        <v>3.5</v>
      </c>
      <c r="G124">
        <v>-34</v>
      </c>
      <c r="H124">
        <v>-3</v>
      </c>
      <c r="I124">
        <v>-1</v>
      </c>
      <c r="K124" s="1">
        <v>500</v>
      </c>
      <c r="L124" s="1">
        <v>707</v>
      </c>
      <c r="M124" s="1">
        <v>2318</v>
      </c>
      <c r="N124" s="1">
        <v>-149.69999999999999</v>
      </c>
      <c r="O124" s="1">
        <v>10.3</v>
      </c>
      <c r="P124" s="1">
        <v>3</v>
      </c>
      <c r="Q124" s="1">
        <v>0</v>
      </c>
      <c r="R124" s="1">
        <v>0</v>
      </c>
      <c r="S124" s="1">
        <v>0</v>
      </c>
    </row>
    <row r="126" spans="1:19" x14ac:dyDescent="0.25">
      <c r="A126" t="s">
        <v>76</v>
      </c>
      <c r="K126" t="s">
        <v>84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34</v>
      </c>
      <c r="H127" t="s">
        <v>35</v>
      </c>
      <c r="I127" t="s">
        <v>36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34</v>
      </c>
      <c r="R127" t="s">
        <v>35</v>
      </c>
      <c r="S127" t="s">
        <v>36</v>
      </c>
    </row>
    <row r="128" spans="1:19" x14ac:dyDescent="0.25">
      <c r="A128" s="1">
        <v>0</v>
      </c>
      <c r="B128" s="1">
        <v>823</v>
      </c>
      <c r="C128" s="1">
        <v>3139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823</v>
      </c>
      <c r="M128" s="1">
        <v>3138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811</v>
      </c>
      <c r="C129" s="1">
        <v>3048</v>
      </c>
      <c r="D129" s="1">
        <v>-0.7</v>
      </c>
      <c r="E129" s="1">
        <v>1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817</v>
      </c>
      <c r="M129" s="1">
        <v>3092</v>
      </c>
      <c r="N129" s="1">
        <v>-0.8</v>
      </c>
      <c r="O129" s="1">
        <v>1.2</v>
      </c>
      <c r="P129" s="1">
        <v>0.3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799</v>
      </c>
      <c r="C130" s="1">
        <v>2959</v>
      </c>
      <c r="D130" s="1">
        <v>1.4</v>
      </c>
      <c r="E130" s="1">
        <v>-1</v>
      </c>
      <c r="F130" s="1">
        <v>-0.3</v>
      </c>
      <c r="G130">
        <v>0</v>
      </c>
      <c r="H130">
        <v>0</v>
      </c>
      <c r="I130">
        <v>0</v>
      </c>
      <c r="K130" s="1">
        <v>50</v>
      </c>
      <c r="L130" s="1">
        <v>811</v>
      </c>
      <c r="M130" s="1">
        <v>3047</v>
      </c>
      <c r="N130" s="1">
        <v>1.3</v>
      </c>
      <c r="O130" s="1">
        <v>-0.9</v>
      </c>
      <c r="P130" s="1">
        <v>-0.3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787</v>
      </c>
      <c r="C131" s="1">
        <v>2872</v>
      </c>
      <c r="D131" s="1">
        <v>2.6</v>
      </c>
      <c r="E131" s="1">
        <v>-1.2</v>
      </c>
      <c r="F131" s="1">
        <v>-0.3</v>
      </c>
      <c r="G131">
        <v>-1</v>
      </c>
      <c r="H131">
        <v>0</v>
      </c>
      <c r="I131">
        <v>0</v>
      </c>
      <c r="K131" s="1">
        <v>75</v>
      </c>
      <c r="L131" s="1">
        <v>805</v>
      </c>
      <c r="M131" s="1">
        <v>3002</v>
      </c>
      <c r="N131" s="1">
        <v>2.4</v>
      </c>
      <c r="O131" s="1">
        <v>-1.1000000000000001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776</v>
      </c>
      <c r="C132" s="1">
        <v>2788</v>
      </c>
      <c r="D132" s="1">
        <v>2.8</v>
      </c>
      <c r="E132" s="1">
        <v>-1</v>
      </c>
      <c r="F132" s="1">
        <v>-0.3</v>
      </c>
      <c r="G132">
        <v>-1</v>
      </c>
      <c r="H132">
        <v>0</v>
      </c>
      <c r="I132">
        <v>0</v>
      </c>
      <c r="K132" s="1">
        <v>100</v>
      </c>
      <c r="L132" s="1">
        <v>799</v>
      </c>
      <c r="M132" s="1">
        <v>2958</v>
      </c>
      <c r="N132" s="1">
        <v>2.6</v>
      </c>
      <c r="O132" s="1">
        <v>-0.9</v>
      </c>
      <c r="P132" s="1">
        <v>-0.3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764</v>
      </c>
      <c r="C133" s="1">
        <v>2705</v>
      </c>
      <c r="D133" s="1">
        <v>1.9</v>
      </c>
      <c r="E133" s="1">
        <v>-0.5</v>
      </c>
      <c r="F133" s="1">
        <v>-0.2</v>
      </c>
      <c r="G133">
        <v>-2</v>
      </c>
      <c r="H133">
        <v>-1</v>
      </c>
      <c r="I133">
        <v>0</v>
      </c>
      <c r="K133" s="1">
        <v>125</v>
      </c>
      <c r="L133" s="1">
        <v>793</v>
      </c>
      <c r="M133" s="1">
        <v>2914</v>
      </c>
      <c r="N133" s="1">
        <v>1.8</v>
      </c>
      <c r="O133" s="1">
        <v>-0.5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753</v>
      </c>
      <c r="C134" s="10">
        <v>2624</v>
      </c>
      <c r="D134" s="10">
        <v>0</v>
      </c>
      <c r="E134" s="10">
        <v>0</v>
      </c>
      <c r="F134" s="10">
        <v>0</v>
      </c>
      <c r="G134">
        <v>-3</v>
      </c>
      <c r="H134">
        <v>-1</v>
      </c>
      <c r="I134">
        <v>0</v>
      </c>
      <c r="K134" s="1">
        <v>150</v>
      </c>
      <c r="L134" s="1">
        <v>787</v>
      </c>
      <c r="M134" s="1">
        <v>2871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741</v>
      </c>
      <c r="C135" s="1">
        <v>2545</v>
      </c>
      <c r="D135" s="1">
        <v>-3</v>
      </c>
      <c r="E135" s="1">
        <v>0.6</v>
      </c>
      <c r="F135" s="1">
        <v>0.2</v>
      </c>
      <c r="G135">
        <v>-4</v>
      </c>
      <c r="H135">
        <v>-1</v>
      </c>
      <c r="I135">
        <v>0</v>
      </c>
      <c r="K135" s="1">
        <v>175</v>
      </c>
      <c r="L135" s="1">
        <v>781</v>
      </c>
      <c r="M135" s="1">
        <v>2828</v>
      </c>
      <c r="N135" s="1">
        <v>-2.7</v>
      </c>
      <c r="O135" s="1">
        <v>0.5</v>
      </c>
      <c r="P135" s="1">
        <v>0.2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730</v>
      </c>
      <c r="C136" s="1">
        <v>2468</v>
      </c>
      <c r="D136" s="1">
        <v>-7.2</v>
      </c>
      <c r="E136" s="1">
        <v>1.2</v>
      </c>
      <c r="F136" s="1">
        <v>0.4</v>
      </c>
      <c r="G136">
        <v>-5</v>
      </c>
      <c r="H136">
        <v>-1</v>
      </c>
      <c r="I136">
        <v>0</v>
      </c>
      <c r="K136" s="1">
        <v>200</v>
      </c>
      <c r="L136" s="1">
        <v>775</v>
      </c>
      <c r="M136" s="1">
        <v>2786</v>
      </c>
      <c r="N136" s="1">
        <v>-6.6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719</v>
      </c>
      <c r="C137" s="1">
        <v>2393</v>
      </c>
      <c r="D137" s="1">
        <v>-12.5</v>
      </c>
      <c r="E137" s="1">
        <v>1.9</v>
      </c>
      <c r="F137" s="1">
        <v>0.6</v>
      </c>
      <c r="G137">
        <v>-6</v>
      </c>
      <c r="H137">
        <v>-1</v>
      </c>
      <c r="I137">
        <v>0</v>
      </c>
      <c r="K137" s="1">
        <v>225</v>
      </c>
      <c r="L137" s="1">
        <v>770</v>
      </c>
      <c r="M137" s="1">
        <v>2744</v>
      </c>
      <c r="N137" s="1">
        <v>-11.4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707</v>
      </c>
      <c r="C138" s="1">
        <v>2319</v>
      </c>
      <c r="D138" s="1">
        <v>-19</v>
      </c>
      <c r="E138" s="1">
        <v>2.6</v>
      </c>
      <c r="F138" s="1">
        <v>0.8</v>
      </c>
      <c r="G138">
        <v>-8</v>
      </c>
      <c r="H138">
        <v>-1</v>
      </c>
      <c r="I138">
        <v>0</v>
      </c>
      <c r="K138" s="1">
        <v>250</v>
      </c>
      <c r="L138" s="1">
        <v>764</v>
      </c>
      <c r="M138" s="1">
        <v>2703</v>
      </c>
      <c r="N138" s="1">
        <v>-17.100000000000001</v>
      </c>
      <c r="O138" s="1">
        <v>2.4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696</v>
      </c>
      <c r="C139" s="1">
        <v>2248</v>
      </c>
      <c r="D139" s="1">
        <v>-27</v>
      </c>
      <c r="E139" s="1">
        <v>3.4</v>
      </c>
      <c r="F139" s="1">
        <v>1</v>
      </c>
      <c r="G139">
        <v>-10</v>
      </c>
      <c r="H139">
        <v>-1</v>
      </c>
      <c r="I139">
        <v>0</v>
      </c>
      <c r="K139" s="1">
        <v>275</v>
      </c>
      <c r="L139" s="1">
        <v>758</v>
      </c>
      <c r="M139" s="1">
        <v>2662</v>
      </c>
      <c r="N139" s="1">
        <v>-24.2</v>
      </c>
      <c r="O139" s="1">
        <v>3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686</v>
      </c>
      <c r="C140" s="1">
        <v>2178</v>
      </c>
      <c r="D140" s="1">
        <v>-36</v>
      </c>
      <c r="E140" s="1">
        <v>4.0999999999999996</v>
      </c>
      <c r="F140" s="1">
        <v>1.2</v>
      </c>
      <c r="G140">
        <v>-12</v>
      </c>
      <c r="H140">
        <v>-2</v>
      </c>
      <c r="I140">
        <v>0</v>
      </c>
      <c r="K140" s="1">
        <v>300</v>
      </c>
      <c r="L140" s="1">
        <v>752</v>
      </c>
      <c r="M140" s="1">
        <v>2622</v>
      </c>
      <c r="N140" s="1">
        <v>-32.200000000000003</v>
      </c>
      <c r="O140" s="1">
        <v>3.7</v>
      </c>
      <c r="P140" s="1">
        <v>1.1000000000000001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675</v>
      </c>
      <c r="C141" s="1">
        <v>2109</v>
      </c>
      <c r="D141" s="1">
        <v>-46.4</v>
      </c>
      <c r="E141" s="1">
        <v>4.9000000000000004</v>
      </c>
      <c r="F141" s="1">
        <v>1.4</v>
      </c>
      <c r="G141">
        <v>-14</v>
      </c>
      <c r="H141">
        <v>-2</v>
      </c>
      <c r="I141">
        <v>0</v>
      </c>
      <c r="K141" s="1">
        <v>325</v>
      </c>
      <c r="L141" s="1">
        <v>747</v>
      </c>
      <c r="M141" s="1">
        <v>2582</v>
      </c>
      <c r="N141" s="1">
        <v>-41.1</v>
      </c>
      <c r="O141" s="1">
        <v>4.4000000000000004</v>
      </c>
      <c r="P141" s="1">
        <v>1.3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664</v>
      </c>
      <c r="C142" s="1">
        <v>2043</v>
      </c>
      <c r="D142" s="1">
        <v>-58.5</v>
      </c>
      <c r="E142" s="1">
        <v>5.7</v>
      </c>
      <c r="F142" s="1">
        <v>1.7</v>
      </c>
      <c r="G142">
        <v>-16</v>
      </c>
      <c r="H142">
        <v>-2</v>
      </c>
      <c r="I142">
        <v>0</v>
      </c>
      <c r="K142" s="1">
        <v>350</v>
      </c>
      <c r="L142" s="1">
        <v>741</v>
      </c>
      <c r="M142" s="1">
        <v>2543</v>
      </c>
      <c r="N142" s="1">
        <v>-51.6</v>
      </c>
      <c r="O142" s="1">
        <v>5.0999999999999996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653</v>
      </c>
      <c r="C143" s="1">
        <v>1978</v>
      </c>
      <c r="D143" s="1">
        <v>-71.7</v>
      </c>
      <c r="E143" s="1">
        <v>6.6</v>
      </c>
      <c r="F143" s="1">
        <v>1.9</v>
      </c>
      <c r="G143">
        <v>-18</v>
      </c>
      <c r="H143">
        <v>-2</v>
      </c>
      <c r="I143">
        <v>0</v>
      </c>
      <c r="K143" s="1">
        <v>375</v>
      </c>
      <c r="L143" s="1">
        <v>735</v>
      </c>
      <c r="M143" s="1">
        <v>2504</v>
      </c>
      <c r="N143" s="1">
        <v>-62.9</v>
      </c>
      <c r="O143" s="1">
        <v>5.8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643</v>
      </c>
      <c r="C144" s="1">
        <v>1914</v>
      </c>
      <c r="D144" s="1">
        <v>-86.3</v>
      </c>
      <c r="E144" s="1">
        <v>7.4</v>
      </c>
      <c r="F144" s="1">
        <v>2.2000000000000002</v>
      </c>
      <c r="G144">
        <v>-21</v>
      </c>
      <c r="H144">
        <v>-2</v>
      </c>
      <c r="I144">
        <v>-1</v>
      </c>
      <c r="K144" s="1">
        <v>400</v>
      </c>
      <c r="L144" s="1">
        <v>729</v>
      </c>
      <c r="M144" s="1">
        <v>2466</v>
      </c>
      <c r="N144" s="1">
        <v>-75.2</v>
      </c>
      <c r="O144" s="1">
        <v>6.5</v>
      </c>
      <c r="P144" s="1">
        <v>1.9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632</v>
      </c>
      <c r="C145" s="1">
        <v>1853</v>
      </c>
      <c r="D145" s="1">
        <v>-103.1</v>
      </c>
      <c r="E145" s="1">
        <v>8.3000000000000007</v>
      </c>
      <c r="F145" s="1">
        <v>2.4</v>
      </c>
      <c r="G145">
        <v>-24</v>
      </c>
      <c r="H145">
        <v>-2</v>
      </c>
      <c r="I145">
        <v>-1</v>
      </c>
      <c r="K145" s="1">
        <v>425</v>
      </c>
      <c r="L145" s="1">
        <v>724</v>
      </c>
      <c r="M145" s="1">
        <v>2428</v>
      </c>
      <c r="N145" s="1">
        <v>-89.3</v>
      </c>
      <c r="O145" s="1">
        <v>7.2</v>
      </c>
      <c r="P145" s="1">
        <v>2.1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622</v>
      </c>
      <c r="C146" s="1">
        <v>1793</v>
      </c>
      <c r="D146" s="1">
        <v>-120.9</v>
      </c>
      <c r="E146" s="1">
        <v>9.1999999999999993</v>
      </c>
      <c r="F146" s="1">
        <v>2.7</v>
      </c>
      <c r="G146">
        <v>-27</v>
      </c>
      <c r="H146">
        <v>-2</v>
      </c>
      <c r="I146">
        <v>-1</v>
      </c>
      <c r="K146" s="1">
        <v>450</v>
      </c>
      <c r="L146" s="1">
        <v>718</v>
      </c>
      <c r="M146" s="1">
        <v>2390</v>
      </c>
      <c r="N146" s="1">
        <v>-104</v>
      </c>
      <c r="O146" s="1">
        <v>7.9</v>
      </c>
      <c r="P146" s="1">
        <v>2.2999999999999998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612</v>
      </c>
      <c r="C147" s="1">
        <v>1734</v>
      </c>
      <c r="D147" s="1">
        <v>-140.30000000000001</v>
      </c>
      <c r="E147" s="1">
        <v>10.199999999999999</v>
      </c>
      <c r="F147" s="1">
        <v>3</v>
      </c>
      <c r="G147">
        <v>-31</v>
      </c>
      <c r="H147">
        <v>-2</v>
      </c>
      <c r="I147">
        <v>-1</v>
      </c>
      <c r="K147" s="1">
        <v>475</v>
      </c>
      <c r="L147" s="1">
        <v>713</v>
      </c>
      <c r="M147" s="1">
        <v>2353</v>
      </c>
      <c r="N147" s="1">
        <v>-119.9</v>
      </c>
      <c r="O147" s="1">
        <v>8.6999999999999993</v>
      </c>
      <c r="P147" s="1">
        <v>2.5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602</v>
      </c>
      <c r="C148" s="1">
        <v>1679</v>
      </c>
      <c r="D148" s="1">
        <v>-161.5</v>
      </c>
      <c r="E148" s="1">
        <v>11.1</v>
      </c>
      <c r="F148" s="1">
        <v>3.2</v>
      </c>
      <c r="G148">
        <v>-34</v>
      </c>
      <c r="H148">
        <v>-3</v>
      </c>
      <c r="I148">
        <v>-1</v>
      </c>
      <c r="K148" s="1">
        <v>500</v>
      </c>
      <c r="L148" s="1">
        <v>707</v>
      </c>
      <c r="M148" s="1">
        <v>2318</v>
      </c>
      <c r="N148" s="1">
        <v>-137.1</v>
      </c>
      <c r="O148" s="1">
        <v>9.4</v>
      </c>
      <c r="P148" s="1">
        <v>2.7</v>
      </c>
      <c r="Q148" s="1">
        <v>0</v>
      </c>
      <c r="R148" s="1">
        <v>0</v>
      </c>
      <c r="S148" s="1">
        <v>0</v>
      </c>
    </row>
    <row r="150" spans="1:19" x14ac:dyDescent="0.25">
      <c r="A150" t="s">
        <v>77</v>
      </c>
      <c r="K150" t="s">
        <v>85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34</v>
      </c>
      <c r="H151" t="s">
        <v>35</v>
      </c>
      <c r="I151" t="s">
        <v>36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34</v>
      </c>
      <c r="R151" t="s">
        <v>35</v>
      </c>
      <c r="S151" t="s">
        <v>36</v>
      </c>
    </row>
    <row r="152" spans="1:19" x14ac:dyDescent="0.25">
      <c r="A152" s="1">
        <v>0</v>
      </c>
      <c r="B152" s="1">
        <v>823</v>
      </c>
      <c r="C152" s="1">
        <v>3139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823</v>
      </c>
      <c r="M152" s="1">
        <v>3138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811</v>
      </c>
      <c r="C153" s="1">
        <v>3048</v>
      </c>
      <c r="D153" s="1">
        <v>0.2</v>
      </c>
      <c r="E153" s="1">
        <v>-0.2</v>
      </c>
      <c r="F153" s="1">
        <v>-0.1</v>
      </c>
      <c r="G153">
        <v>0</v>
      </c>
      <c r="H153">
        <v>0</v>
      </c>
      <c r="I153">
        <v>0</v>
      </c>
      <c r="K153" s="1">
        <v>25</v>
      </c>
      <c r="L153" s="1">
        <v>817</v>
      </c>
      <c r="M153" s="1">
        <v>3092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799</v>
      </c>
      <c r="C154" s="1">
        <v>2959</v>
      </c>
      <c r="D154" s="1">
        <v>3.3</v>
      </c>
      <c r="E154" s="1">
        <v>-2.2000000000000002</v>
      </c>
      <c r="F154" s="1">
        <v>-0.6</v>
      </c>
      <c r="G154">
        <v>0</v>
      </c>
      <c r="H154">
        <v>0</v>
      </c>
      <c r="I154">
        <v>0</v>
      </c>
      <c r="K154" s="1">
        <v>50</v>
      </c>
      <c r="L154" s="1">
        <v>811</v>
      </c>
      <c r="M154" s="1">
        <v>3047</v>
      </c>
      <c r="N154" s="1">
        <v>2.9</v>
      </c>
      <c r="O154" s="1">
        <v>-2</v>
      </c>
      <c r="P154" s="1">
        <v>-0.6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787</v>
      </c>
      <c r="C155" s="1">
        <v>2872</v>
      </c>
      <c r="D155" s="1">
        <v>5.3</v>
      </c>
      <c r="E155" s="1">
        <v>-2.4</v>
      </c>
      <c r="F155" s="1">
        <v>-0.7</v>
      </c>
      <c r="G155">
        <v>-1</v>
      </c>
      <c r="H155">
        <v>0</v>
      </c>
      <c r="I155">
        <v>0</v>
      </c>
      <c r="K155" s="1">
        <v>75</v>
      </c>
      <c r="L155" s="1">
        <v>805</v>
      </c>
      <c r="M155" s="1">
        <v>3002</v>
      </c>
      <c r="N155" s="1">
        <v>4.8</v>
      </c>
      <c r="O155" s="1">
        <v>-2.2000000000000002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776</v>
      </c>
      <c r="C156" s="1">
        <v>2788</v>
      </c>
      <c r="D156" s="1">
        <v>6.4</v>
      </c>
      <c r="E156" s="1">
        <v>-2.2000000000000002</v>
      </c>
      <c r="F156" s="1">
        <v>-0.6</v>
      </c>
      <c r="G156">
        <v>-1</v>
      </c>
      <c r="H156">
        <v>0</v>
      </c>
      <c r="I156">
        <v>0</v>
      </c>
      <c r="K156" s="1">
        <v>100</v>
      </c>
      <c r="L156" s="1">
        <v>799</v>
      </c>
      <c r="M156" s="1">
        <v>2958</v>
      </c>
      <c r="N156" s="1">
        <v>5.8</v>
      </c>
      <c r="O156" s="1">
        <v>-2</v>
      </c>
      <c r="P156" s="1">
        <v>-0.6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764</v>
      </c>
      <c r="C157" s="1">
        <v>2705</v>
      </c>
      <c r="D157" s="1">
        <v>6.4</v>
      </c>
      <c r="E157" s="1">
        <v>-1.8</v>
      </c>
      <c r="F157" s="1">
        <v>-0.5</v>
      </c>
      <c r="G157">
        <v>-2</v>
      </c>
      <c r="H157">
        <v>-1</v>
      </c>
      <c r="I157">
        <v>0</v>
      </c>
      <c r="K157" s="1">
        <v>125</v>
      </c>
      <c r="L157" s="1">
        <v>793</v>
      </c>
      <c r="M157" s="1">
        <v>2914</v>
      </c>
      <c r="N157" s="1">
        <v>5.9</v>
      </c>
      <c r="O157" s="1">
        <v>-1.6</v>
      </c>
      <c r="P157" s="1">
        <v>-0.5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753</v>
      </c>
      <c r="C158" s="1">
        <v>2624</v>
      </c>
      <c r="D158" s="1">
        <v>5.4</v>
      </c>
      <c r="E158" s="1">
        <v>-1.2</v>
      </c>
      <c r="F158" s="1">
        <v>-0.4</v>
      </c>
      <c r="G158">
        <v>-3</v>
      </c>
      <c r="H158">
        <v>-1</v>
      </c>
      <c r="I158">
        <v>0</v>
      </c>
      <c r="K158" s="1">
        <v>150</v>
      </c>
      <c r="L158" s="1">
        <v>787</v>
      </c>
      <c r="M158" s="1">
        <v>2871</v>
      </c>
      <c r="N158" s="1">
        <v>4.9000000000000004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741</v>
      </c>
      <c r="C159" s="1">
        <v>2545</v>
      </c>
      <c r="D159" s="1">
        <v>3.3</v>
      </c>
      <c r="E159" s="1">
        <v>-0.7</v>
      </c>
      <c r="F159" s="1">
        <v>-0.2</v>
      </c>
      <c r="G159">
        <v>-4</v>
      </c>
      <c r="H159">
        <v>-1</v>
      </c>
      <c r="I159">
        <v>0</v>
      </c>
      <c r="K159" s="1">
        <v>175</v>
      </c>
      <c r="L159" s="1">
        <v>781</v>
      </c>
      <c r="M159" s="1">
        <v>2828</v>
      </c>
      <c r="N159" s="1">
        <v>3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730</v>
      </c>
      <c r="C160" s="10">
        <v>2468</v>
      </c>
      <c r="D160" s="10">
        <v>0</v>
      </c>
      <c r="E160" s="10">
        <v>0</v>
      </c>
      <c r="F160" s="10">
        <v>0</v>
      </c>
      <c r="G160">
        <v>-5</v>
      </c>
      <c r="H160">
        <v>-1</v>
      </c>
      <c r="I160">
        <v>0</v>
      </c>
      <c r="K160" s="1">
        <v>200</v>
      </c>
      <c r="L160" s="1">
        <v>775</v>
      </c>
      <c r="M160" s="1">
        <v>2786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719</v>
      </c>
      <c r="C161" s="1">
        <v>2393</v>
      </c>
      <c r="D161" s="1">
        <v>-4.4000000000000004</v>
      </c>
      <c r="E161" s="1">
        <v>0.7</v>
      </c>
      <c r="F161" s="1">
        <v>0.2</v>
      </c>
      <c r="G161">
        <v>-6</v>
      </c>
      <c r="H161">
        <v>-1</v>
      </c>
      <c r="I161">
        <v>0</v>
      </c>
      <c r="K161" s="1">
        <v>225</v>
      </c>
      <c r="L161" s="1">
        <v>770</v>
      </c>
      <c r="M161" s="1">
        <v>2744</v>
      </c>
      <c r="N161" s="1">
        <v>-4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707</v>
      </c>
      <c r="C162" s="1">
        <v>2319</v>
      </c>
      <c r="D162" s="1">
        <v>-10</v>
      </c>
      <c r="E162" s="1">
        <v>1.4</v>
      </c>
      <c r="F162" s="1">
        <v>0.4</v>
      </c>
      <c r="G162">
        <v>-8</v>
      </c>
      <c r="H162">
        <v>-1</v>
      </c>
      <c r="I162">
        <v>0</v>
      </c>
      <c r="K162" s="1">
        <v>250</v>
      </c>
      <c r="L162" s="1">
        <v>764</v>
      </c>
      <c r="M162" s="1">
        <v>2703</v>
      </c>
      <c r="N162" s="1">
        <v>-8.9</v>
      </c>
      <c r="O162" s="1">
        <v>1.2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696</v>
      </c>
      <c r="C163" s="1">
        <v>2248</v>
      </c>
      <c r="D163" s="1">
        <v>-17</v>
      </c>
      <c r="E163" s="1">
        <v>2.1</v>
      </c>
      <c r="F163" s="1">
        <v>0.6</v>
      </c>
      <c r="G163">
        <v>-10</v>
      </c>
      <c r="H163">
        <v>-1</v>
      </c>
      <c r="I163">
        <v>0</v>
      </c>
      <c r="K163" s="1">
        <v>275</v>
      </c>
      <c r="L163" s="1">
        <v>758</v>
      </c>
      <c r="M163" s="1">
        <v>2662</v>
      </c>
      <c r="N163" s="1">
        <v>-15.2</v>
      </c>
      <c r="O163" s="1">
        <v>1.9</v>
      </c>
      <c r="P163" s="1">
        <v>0.6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686</v>
      </c>
      <c r="C164" s="1">
        <v>2178</v>
      </c>
      <c r="D164" s="1">
        <v>-25.2</v>
      </c>
      <c r="E164" s="1">
        <v>2.9</v>
      </c>
      <c r="F164" s="1">
        <v>0.8</v>
      </c>
      <c r="G164">
        <v>-12</v>
      </c>
      <c r="H164">
        <v>-2</v>
      </c>
      <c r="I164">
        <v>0</v>
      </c>
      <c r="K164" s="1">
        <v>300</v>
      </c>
      <c r="L164" s="1">
        <v>752</v>
      </c>
      <c r="M164" s="1">
        <v>2622</v>
      </c>
      <c r="N164" s="1">
        <v>-22.3</v>
      </c>
      <c r="O164" s="1">
        <v>2.6</v>
      </c>
      <c r="P164" s="1">
        <v>0.7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675</v>
      </c>
      <c r="C165" s="1">
        <v>2109</v>
      </c>
      <c r="D165" s="1">
        <v>-34.6</v>
      </c>
      <c r="E165" s="1">
        <v>3.7</v>
      </c>
      <c r="F165" s="1">
        <v>1.1000000000000001</v>
      </c>
      <c r="G165">
        <v>-14</v>
      </c>
      <c r="H165">
        <v>-2</v>
      </c>
      <c r="I165">
        <v>0</v>
      </c>
      <c r="K165" s="1">
        <v>325</v>
      </c>
      <c r="L165" s="1">
        <v>747</v>
      </c>
      <c r="M165" s="1">
        <v>2582</v>
      </c>
      <c r="N165" s="1">
        <v>-30.5</v>
      </c>
      <c r="O165" s="1">
        <v>3.2</v>
      </c>
      <c r="P165" s="1">
        <v>0.9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664</v>
      </c>
      <c r="C166" s="1">
        <v>2043</v>
      </c>
      <c r="D166" s="1">
        <v>-45.8</v>
      </c>
      <c r="E166" s="1">
        <v>4.5</v>
      </c>
      <c r="F166" s="1">
        <v>1.3</v>
      </c>
      <c r="G166">
        <v>-16</v>
      </c>
      <c r="H166">
        <v>-2</v>
      </c>
      <c r="I166">
        <v>0</v>
      </c>
      <c r="K166" s="1">
        <v>350</v>
      </c>
      <c r="L166" s="1">
        <v>741</v>
      </c>
      <c r="M166" s="1">
        <v>2543</v>
      </c>
      <c r="N166" s="1">
        <v>-40.1</v>
      </c>
      <c r="O166" s="1">
        <v>3.9</v>
      </c>
      <c r="P166" s="1">
        <v>1.1000000000000001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653</v>
      </c>
      <c r="C167" s="1">
        <v>1978</v>
      </c>
      <c r="D167" s="1">
        <v>-58.1</v>
      </c>
      <c r="E167" s="1">
        <v>5.3</v>
      </c>
      <c r="F167" s="1">
        <v>1.5</v>
      </c>
      <c r="G167">
        <v>-18</v>
      </c>
      <c r="H167">
        <v>-2</v>
      </c>
      <c r="I167">
        <v>0</v>
      </c>
      <c r="K167" s="1">
        <v>375</v>
      </c>
      <c r="L167" s="1">
        <v>735</v>
      </c>
      <c r="M167" s="1">
        <v>2504</v>
      </c>
      <c r="N167" s="1">
        <v>-50.6</v>
      </c>
      <c r="O167" s="1">
        <v>4.5999999999999996</v>
      </c>
      <c r="P167" s="1">
        <v>1.3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643</v>
      </c>
      <c r="C168" s="1">
        <v>1914</v>
      </c>
      <c r="D168" s="1">
        <v>-71.900000000000006</v>
      </c>
      <c r="E168" s="1">
        <v>6.2</v>
      </c>
      <c r="F168" s="1">
        <v>1.8</v>
      </c>
      <c r="G168">
        <v>-21</v>
      </c>
      <c r="H168">
        <v>-2</v>
      </c>
      <c r="I168">
        <v>-1</v>
      </c>
      <c r="K168" s="1">
        <v>400</v>
      </c>
      <c r="L168" s="1">
        <v>729</v>
      </c>
      <c r="M168" s="1">
        <v>2466</v>
      </c>
      <c r="N168" s="1">
        <v>-62.1</v>
      </c>
      <c r="O168" s="1">
        <v>5.3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632</v>
      </c>
      <c r="C169" s="1">
        <v>1853</v>
      </c>
      <c r="D169" s="1">
        <v>-87.7</v>
      </c>
      <c r="E169" s="1">
        <v>7.1</v>
      </c>
      <c r="F169" s="1">
        <v>2.1</v>
      </c>
      <c r="G169">
        <v>-24</v>
      </c>
      <c r="H169">
        <v>-2</v>
      </c>
      <c r="I169">
        <v>-1</v>
      </c>
      <c r="K169" s="1">
        <v>425</v>
      </c>
      <c r="L169" s="1">
        <v>724</v>
      </c>
      <c r="M169" s="1">
        <v>2428</v>
      </c>
      <c r="N169" s="1">
        <v>-75.3</v>
      </c>
      <c r="O169" s="1">
        <v>6.1</v>
      </c>
      <c r="P169" s="1">
        <v>1.8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622</v>
      </c>
      <c r="C170" s="1">
        <v>1793</v>
      </c>
      <c r="D170" s="1">
        <v>-104.6</v>
      </c>
      <c r="E170" s="1">
        <v>8</v>
      </c>
      <c r="F170" s="1">
        <v>2.2999999999999998</v>
      </c>
      <c r="G170">
        <v>-27</v>
      </c>
      <c r="H170">
        <v>-2</v>
      </c>
      <c r="I170">
        <v>-1</v>
      </c>
      <c r="K170" s="1">
        <v>450</v>
      </c>
      <c r="L170" s="1">
        <v>718</v>
      </c>
      <c r="M170" s="1">
        <v>2390</v>
      </c>
      <c r="N170" s="1">
        <v>-89.3</v>
      </c>
      <c r="O170" s="1">
        <v>6.8</v>
      </c>
      <c r="P170" s="1">
        <v>2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612</v>
      </c>
      <c r="C171" s="1">
        <v>1734</v>
      </c>
      <c r="D171" s="1">
        <v>-123.2</v>
      </c>
      <c r="E171" s="1">
        <v>8.9</v>
      </c>
      <c r="F171" s="1">
        <v>2.6</v>
      </c>
      <c r="G171">
        <v>-31</v>
      </c>
      <c r="H171">
        <v>-2</v>
      </c>
      <c r="I171">
        <v>-1</v>
      </c>
      <c r="K171" s="1">
        <v>475</v>
      </c>
      <c r="L171" s="1">
        <v>713</v>
      </c>
      <c r="M171" s="1">
        <v>2353</v>
      </c>
      <c r="N171" s="1">
        <v>-104.4</v>
      </c>
      <c r="O171" s="1">
        <v>7.6</v>
      </c>
      <c r="P171" s="1">
        <v>2.2000000000000002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602</v>
      </c>
      <c r="C172" s="1">
        <v>1679</v>
      </c>
      <c r="D172" s="1">
        <v>-143.4</v>
      </c>
      <c r="E172" s="1">
        <v>9.9</v>
      </c>
      <c r="F172" s="1">
        <v>2.9</v>
      </c>
      <c r="G172">
        <v>-34</v>
      </c>
      <c r="H172">
        <v>-3</v>
      </c>
      <c r="I172">
        <v>-1</v>
      </c>
      <c r="K172" s="1">
        <v>500</v>
      </c>
      <c r="L172" s="1">
        <v>707</v>
      </c>
      <c r="M172" s="1">
        <v>2318</v>
      </c>
      <c r="N172" s="1">
        <v>-120.7</v>
      </c>
      <c r="O172" s="1">
        <v>8.3000000000000007</v>
      </c>
      <c r="P172" s="1">
        <v>2.4</v>
      </c>
      <c r="Q172" s="1">
        <v>0</v>
      </c>
      <c r="R172" s="1">
        <v>0</v>
      </c>
      <c r="S172" s="1">
        <v>0</v>
      </c>
    </row>
    <row r="174" spans="1:19" x14ac:dyDescent="0.25">
      <c r="A174" t="s">
        <v>78</v>
      </c>
      <c r="K174" t="s">
        <v>86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34</v>
      </c>
      <c r="H175" t="s">
        <v>35</v>
      </c>
      <c r="I175" t="s">
        <v>36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34</v>
      </c>
      <c r="R175" t="s">
        <v>35</v>
      </c>
      <c r="S175" t="s">
        <v>36</v>
      </c>
    </row>
    <row r="176" spans="1:19" x14ac:dyDescent="0.25">
      <c r="A176" s="1">
        <v>0</v>
      </c>
      <c r="B176" s="1">
        <v>823</v>
      </c>
      <c r="C176" s="1">
        <v>3139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823</v>
      </c>
      <c r="M176" s="1">
        <v>3138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811</v>
      </c>
      <c r="C177" s="1">
        <v>3048</v>
      </c>
      <c r="D177" s="1">
        <v>2.2000000000000002</v>
      </c>
      <c r="E177" s="1">
        <v>-3.1</v>
      </c>
      <c r="F177" s="1">
        <v>-0.9</v>
      </c>
      <c r="G177">
        <v>0</v>
      </c>
      <c r="H177">
        <v>0</v>
      </c>
      <c r="I177">
        <v>0</v>
      </c>
      <c r="K177" s="1">
        <v>25</v>
      </c>
      <c r="L177" s="1">
        <v>817</v>
      </c>
      <c r="M177" s="1">
        <v>3092</v>
      </c>
      <c r="N177" s="1">
        <v>1.8</v>
      </c>
      <c r="O177" s="1">
        <v>-2.5</v>
      </c>
      <c r="P177" s="1">
        <v>-0.7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799</v>
      </c>
      <c r="C178" s="1">
        <v>2959</v>
      </c>
      <c r="D178" s="1">
        <v>7.5</v>
      </c>
      <c r="E178" s="1">
        <v>-5.0999999999999996</v>
      </c>
      <c r="F178" s="1">
        <v>-1.5</v>
      </c>
      <c r="G178">
        <v>0</v>
      </c>
      <c r="H178">
        <v>0</v>
      </c>
      <c r="I178">
        <v>0</v>
      </c>
      <c r="K178" s="1">
        <v>50</v>
      </c>
      <c r="L178" s="1">
        <v>811</v>
      </c>
      <c r="M178" s="1">
        <v>3047</v>
      </c>
      <c r="N178" s="1">
        <v>6.7</v>
      </c>
      <c r="O178" s="1">
        <v>-4.5999999999999996</v>
      </c>
      <c r="P178" s="1">
        <v>-1.3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787</v>
      </c>
      <c r="C179" s="1">
        <v>2872</v>
      </c>
      <c r="D179" s="1">
        <v>11.6</v>
      </c>
      <c r="E179" s="1">
        <v>-5.3</v>
      </c>
      <c r="F179" s="1">
        <v>-1.6</v>
      </c>
      <c r="G179">
        <v>-1</v>
      </c>
      <c r="H179">
        <v>0</v>
      </c>
      <c r="I179">
        <v>0</v>
      </c>
      <c r="K179" s="1">
        <v>75</v>
      </c>
      <c r="L179" s="1">
        <v>805</v>
      </c>
      <c r="M179" s="1">
        <v>3002</v>
      </c>
      <c r="N179" s="1">
        <v>10.5</v>
      </c>
      <c r="O179" s="1">
        <v>-4.8</v>
      </c>
      <c r="P179" s="1">
        <v>-1.4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776</v>
      </c>
      <c r="C180" s="1">
        <v>2788</v>
      </c>
      <c r="D180" s="1">
        <v>14.8</v>
      </c>
      <c r="E180" s="1">
        <v>-5.0999999999999996</v>
      </c>
      <c r="F180" s="1">
        <v>-1.5</v>
      </c>
      <c r="G180">
        <v>-1</v>
      </c>
      <c r="H180">
        <v>0</v>
      </c>
      <c r="I180">
        <v>0</v>
      </c>
      <c r="K180" s="1">
        <v>100</v>
      </c>
      <c r="L180" s="1">
        <v>799</v>
      </c>
      <c r="M180" s="1">
        <v>2958</v>
      </c>
      <c r="N180" s="1">
        <v>13.3</v>
      </c>
      <c r="O180" s="1">
        <v>-4.5999999999999996</v>
      </c>
      <c r="P180" s="1">
        <v>-1.3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764</v>
      </c>
      <c r="C181" s="1">
        <v>2705</v>
      </c>
      <c r="D181" s="1">
        <v>17</v>
      </c>
      <c r="E181" s="1">
        <v>-4.7</v>
      </c>
      <c r="F181" s="1">
        <v>-1.4</v>
      </c>
      <c r="G181">
        <v>-2</v>
      </c>
      <c r="H181">
        <v>-1</v>
      </c>
      <c r="I181">
        <v>0</v>
      </c>
      <c r="K181" s="1">
        <v>125</v>
      </c>
      <c r="L181" s="1">
        <v>793</v>
      </c>
      <c r="M181" s="1">
        <v>2914</v>
      </c>
      <c r="N181" s="1">
        <v>15.2</v>
      </c>
      <c r="O181" s="1">
        <v>-4.2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753</v>
      </c>
      <c r="C182" s="1">
        <v>2624</v>
      </c>
      <c r="D182" s="1">
        <v>18.100000000000001</v>
      </c>
      <c r="E182" s="1">
        <v>-4.0999999999999996</v>
      </c>
      <c r="F182" s="1">
        <v>-1.2</v>
      </c>
      <c r="G182">
        <v>-3</v>
      </c>
      <c r="H182">
        <v>-1</v>
      </c>
      <c r="I182">
        <v>0</v>
      </c>
      <c r="K182" s="1">
        <v>150</v>
      </c>
      <c r="L182" s="1">
        <v>787</v>
      </c>
      <c r="M182" s="1">
        <v>2871</v>
      </c>
      <c r="N182" s="1">
        <v>16.100000000000001</v>
      </c>
      <c r="O182" s="1">
        <v>-3.7</v>
      </c>
      <c r="P182" s="1">
        <v>-1.1000000000000001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741</v>
      </c>
      <c r="C183" s="1">
        <v>2545</v>
      </c>
      <c r="D183" s="1">
        <v>18.100000000000001</v>
      </c>
      <c r="E183" s="1">
        <v>-3.6</v>
      </c>
      <c r="F183" s="1">
        <v>-1</v>
      </c>
      <c r="G183">
        <v>-4</v>
      </c>
      <c r="H183">
        <v>-1</v>
      </c>
      <c r="I183">
        <v>0</v>
      </c>
      <c r="K183" s="1">
        <v>175</v>
      </c>
      <c r="L183" s="1">
        <v>781</v>
      </c>
      <c r="M183" s="1">
        <v>2828</v>
      </c>
      <c r="N183" s="1">
        <v>16</v>
      </c>
      <c r="O183" s="1">
        <v>-3.2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730</v>
      </c>
      <c r="C184" s="1">
        <v>2468</v>
      </c>
      <c r="D184" s="1">
        <v>16.899999999999999</v>
      </c>
      <c r="E184" s="1">
        <v>-2.9</v>
      </c>
      <c r="F184" s="1">
        <v>-0.8</v>
      </c>
      <c r="G184">
        <v>-5</v>
      </c>
      <c r="H184">
        <v>-1</v>
      </c>
      <c r="I184">
        <v>0</v>
      </c>
      <c r="K184" s="1">
        <v>200</v>
      </c>
      <c r="L184" s="1">
        <v>775</v>
      </c>
      <c r="M184" s="1">
        <v>2786</v>
      </c>
      <c r="N184" s="1">
        <v>14.9</v>
      </c>
      <c r="O184" s="1">
        <v>-2.6</v>
      </c>
      <c r="P184" s="1">
        <v>-0.7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719</v>
      </c>
      <c r="C185" s="1">
        <v>2393</v>
      </c>
      <c r="D185" s="1">
        <v>14.6</v>
      </c>
      <c r="E185" s="1">
        <v>-2.2000000000000002</v>
      </c>
      <c r="F185" s="1">
        <v>-0.6</v>
      </c>
      <c r="G185">
        <v>-6</v>
      </c>
      <c r="H185">
        <v>-1</v>
      </c>
      <c r="I185">
        <v>0</v>
      </c>
      <c r="K185" s="1">
        <v>225</v>
      </c>
      <c r="L185" s="1">
        <v>770</v>
      </c>
      <c r="M185" s="1">
        <v>2744</v>
      </c>
      <c r="N185" s="1">
        <v>12.8</v>
      </c>
      <c r="O185" s="1">
        <v>-2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707</v>
      </c>
      <c r="C186" s="1">
        <v>2319</v>
      </c>
      <c r="D186" s="1">
        <v>11.1</v>
      </c>
      <c r="E186" s="1">
        <v>-1.5</v>
      </c>
      <c r="F186" s="1">
        <v>-0.4</v>
      </c>
      <c r="G186">
        <v>-8</v>
      </c>
      <c r="H186">
        <v>-1</v>
      </c>
      <c r="I186">
        <v>0</v>
      </c>
      <c r="K186" s="1">
        <v>250</v>
      </c>
      <c r="L186" s="1">
        <v>764</v>
      </c>
      <c r="M186" s="1">
        <v>2703</v>
      </c>
      <c r="N186" s="1">
        <v>9.6999999999999993</v>
      </c>
      <c r="O186" s="1">
        <v>-1.3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696</v>
      </c>
      <c r="C187" s="1">
        <v>2247</v>
      </c>
      <c r="D187" s="1">
        <v>6.2</v>
      </c>
      <c r="E187" s="1">
        <v>-0.8</v>
      </c>
      <c r="F187" s="1">
        <v>-0.2</v>
      </c>
      <c r="G187">
        <v>-10</v>
      </c>
      <c r="H187">
        <v>-1</v>
      </c>
      <c r="I187">
        <v>0</v>
      </c>
      <c r="K187" s="1">
        <v>275</v>
      </c>
      <c r="L187" s="1">
        <v>758</v>
      </c>
      <c r="M187" s="1">
        <v>2662</v>
      </c>
      <c r="N187" s="1">
        <v>5.3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686</v>
      </c>
      <c r="C188" s="10">
        <v>2178</v>
      </c>
      <c r="D188" s="10">
        <v>0.1</v>
      </c>
      <c r="E188" s="10">
        <v>0</v>
      </c>
      <c r="F188" s="10">
        <v>0</v>
      </c>
      <c r="G188">
        <v>-12</v>
      </c>
      <c r="H188">
        <v>-2</v>
      </c>
      <c r="I188">
        <v>0</v>
      </c>
      <c r="K188" s="1">
        <v>300</v>
      </c>
      <c r="L188" s="1">
        <v>752</v>
      </c>
      <c r="M188" s="1">
        <v>2622</v>
      </c>
      <c r="N188" s="1">
        <v>0.1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675</v>
      </c>
      <c r="C189" s="1">
        <v>2109</v>
      </c>
      <c r="D189" s="1">
        <v>-7.2</v>
      </c>
      <c r="E189" s="1">
        <v>0.8</v>
      </c>
      <c r="F189" s="1">
        <v>0.2</v>
      </c>
      <c r="G189">
        <v>-14</v>
      </c>
      <c r="H189">
        <v>-2</v>
      </c>
      <c r="I189">
        <v>0</v>
      </c>
      <c r="K189" s="1">
        <v>325</v>
      </c>
      <c r="L189" s="1">
        <v>747</v>
      </c>
      <c r="M189" s="1">
        <v>2582</v>
      </c>
      <c r="N189" s="1">
        <v>-6.3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664</v>
      </c>
      <c r="C190" s="1">
        <v>2043</v>
      </c>
      <c r="D190" s="1">
        <v>-16.3</v>
      </c>
      <c r="E190" s="1">
        <v>1.6</v>
      </c>
      <c r="F190" s="1">
        <v>0.5</v>
      </c>
      <c r="G190">
        <v>-16</v>
      </c>
      <c r="H190">
        <v>-2</v>
      </c>
      <c r="I190">
        <v>0</v>
      </c>
      <c r="K190" s="1">
        <v>350</v>
      </c>
      <c r="L190" s="1">
        <v>741</v>
      </c>
      <c r="M190" s="1">
        <v>2543</v>
      </c>
      <c r="N190" s="1">
        <v>-14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653</v>
      </c>
      <c r="C191" s="1">
        <v>1978</v>
      </c>
      <c r="D191" s="1">
        <v>-26.5</v>
      </c>
      <c r="E191" s="1">
        <v>2.4</v>
      </c>
      <c r="F191" s="1">
        <v>0.7</v>
      </c>
      <c r="G191">
        <v>-18</v>
      </c>
      <c r="H191">
        <v>-2</v>
      </c>
      <c r="I191">
        <v>0</v>
      </c>
      <c r="K191" s="1">
        <v>375</v>
      </c>
      <c r="L191" s="1">
        <v>735</v>
      </c>
      <c r="M191" s="1">
        <v>2504</v>
      </c>
      <c r="N191" s="1">
        <v>-22.6</v>
      </c>
      <c r="O191" s="1">
        <v>2.1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643</v>
      </c>
      <c r="C192" s="1">
        <v>1914</v>
      </c>
      <c r="D192" s="1">
        <v>-38.200000000000003</v>
      </c>
      <c r="E192" s="1">
        <v>3.3</v>
      </c>
      <c r="F192" s="1">
        <v>1</v>
      </c>
      <c r="G192">
        <v>-21</v>
      </c>
      <c r="H192">
        <v>-2</v>
      </c>
      <c r="I192">
        <v>-1</v>
      </c>
      <c r="K192" s="1">
        <v>400</v>
      </c>
      <c r="L192" s="1">
        <v>729</v>
      </c>
      <c r="M192" s="1">
        <v>2466</v>
      </c>
      <c r="N192" s="1">
        <v>-32.299999999999997</v>
      </c>
      <c r="O192" s="1">
        <v>2.8</v>
      </c>
      <c r="P192" s="1">
        <v>0.8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632</v>
      </c>
      <c r="C193" s="1">
        <v>1853</v>
      </c>
      <c r="D193" s="1">
        <v>-51.9</v>
      </c>
      <c r="E193" s="1">
        <v>4.2</v>
      </c>
      <c r="F193" s="1">
        <v>1.2</v>
      </c>
      <c r="G193">
        <v>-24</v>
      </c>
      <c r="H193">
        <v>-2</v>
      </c>
      <c r="I193">
        <v>-1</v>
      </c>
      <c r="K193" s="1">
        <v>425</v>
      </c>
      <c r="L193" s="1">
        <v>724</v>
      </c>
      <c r="M193" s="1">
        <v>2428</v>
      </c>
      <c r="N193" s="1">
        <v>-43.6</v>
      </c>
      <c r="O193" s="1">
        <v>3.5</v>
      </c>
      <c r="P193" s="1">
        <v>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622</v>
      </c>
      <c r="C194" s="1">
        <v>1793</v>
      </c>
      <c r="D194" s="1">
        <v>-66.7</v>
      </c>
      <c r="E194" s="1">
        <v>5.0999999999999996</v>
      </c>
      <c r="F194" s="1">
        <v>1.5</v>
      </c>
      <c r="G194">
        <v>-27</v>
      </c>
      <c r="H194">
        <v>-2</v>
      </c>
      <c r="I194">
        <v>-1</v>
      </c>
      <c r="K194" s="1">
        <v>450</v>
      </c>
      <c r="L194" s="1">
        <v>718</v>
      </c>
      <c r="M194" s="1">
        <v>2390</v>
      </c>
      <c r="N194" s="1">
        <v>-55.7</v>
      </c>
      <c r="O194" s="1">
        <v>4.3</v>
      </c>
      <c r="P194" s="1">
        <v>1.2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612</v>
      </c>
      <c r="C195" s="1">
        <v>1734</v>
      </c>
      <c r="D195" s="1">
        <v>-83.2</v>
      </c>
      <c r="E195" s="1">
        <v>6</v>
      </c>
      <c r="F195" s="1">
        <v>1.8</v>
      </c>
      <c r="G195">
        <v>-31</v>
      </c>
      <c r="H195">
        <v>-2</v>
      </c>
      <c r="I195">
        <v>-1</v>
      </c>
      <c r="K195" s="1">
        <v>475</v>
      </c>
      <c r="L195" s="1">
        <v>713</v>
      </c>
      <c r="M195" s="1">
        <v>2353</v>
      </c>
      <c r="N195" s="1">
        <v>-69</v>
      </c>
      <c r="O195" s="1">
        <v>5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602</v>
      </c>
      <c r="C196" s="1">
        <v>1679</v>
      </c>
      <c r="D196" s="1">
        <v>-101.3</v>
      </c>
      <c r="E196" s="1">
        <v>7</v>
      </c>
      <c r="F196" s="1">
        <v>2</v>
      </c>
      <c r="G196">
        <v>-34</v>
      </c>
      <c r="H196">
        <v>-3</v>
      </c>
      <c r="I196">
        <v>-1</v>
      </c>
      <c r="K196" s="1">
        <v>500</v>
      </c>
      <c r="L196" s="1">
        <v>707</v>
      </c>
      <c r="M196" s="1">
        <v>2318</v>
      </c>
      <c r="N196" s="1">
        <v>-83.5</v>
      </c>
      <c r="O196" s="1">
        <v>5.7</v>
      </c>
      <c r="P196" s="1">
        <v>1.7</v>
      </c>
      <c r="Q196" s="1">
        <v>0</v>
      </c>
      <c r="R196" s="1">
        <v>0</v>
      </c>
      <c r="S196" s="1">
        <v>0</v>
      </c>
    </row>
    <row r="198" spans="1:19" x14ac:dyDescent="0.25">
      <c r="A198" t="s">
        <v>79</v>
      </c>
      <c r="K198" t="s">
        <v>87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34</v>
      </c>
      <c r="H199" t="s">
        <v>35</v>
      </c>
      <c r="I199" t="s">
        <v>36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34</v>
      </c>
      <c r="R199" t="s">
        <v>35</v>
      </c>
      <c r="S199" t="s">
        <v>36</v>
      </c>
    </row>
    <row r="200" spans="1:19" x14ac:dyDescent="0.25">
      <c r="A200" s="1">
        <v>0</v>
      </c>
      <c r="B200" s="1">
        <v>823</v>
      </c>
      <c r="C200" s="1">
        <v>3139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823</v>
      </c>
      <c r="M200" s="1">
        <v>3138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811</v>
      </c>
      <c r="C201" s="1">
        <v>3048</v>
      </c>
      <c r="D201" s="1">
        <v>2.2000000000000002</v>
      </c>
      <c r="E201" s="1">
        <v>-3.1</v>
      </c>
      <c r="F201" s="1">
        <v>-0.9</v>
      </c>
      <c r="G201">
        <v>0</v>
      </c>
      <c r="H201">
        <v>0</v>
      </c>
      <c r="I201">
        <v>0</v>
      </c>
      <c r="K201" s="1">
        <v>25</v>
      </c>
      <c r="L201" s="1">
        <v>817</v>
      </c>
      <c r="M201" s="1">
        <v>3092</v>
      </c>
      <c r="N201" s="1">
        <v>3.8</v>
      </c>
      <c r="O201" s="1">
        <v>-5.3</v>
      </c>
      <c r="P201" s="1">
        <v>-1.5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799</v>
      </c>
      <c r="C202" s="1">
        <v>2959</v>
      </c>
      <c r="D202" s="1">
        <v>7.5</v>
      </c>
      <c r="E202" s="1">
        <v>-5.0999999999999996</v>
      </c>
      <c r="F202" s="1">
        <v>-1.5</v>
      </c>
      <c r="G202">
        <v>0</v>
      </c>
      <c r="H202">
        <v>0</v>
      </c>
      <c r="I202">
        <v>0</v>
      </c>
      <c r="K202" s="1">
        <v>50</v>
      </c>
      <c r="L202" s="1">
        <v>811</v>
      </c>
      <c r="M202" s="1">
        <v>3047</v>
      </c>
      <c r="N202" s="1">
        <v>10.8</v>
      </c>
      <c r="O202" s="1">
        <v>-7.4</v>
      </c>
      <c r="P202" s="1">
        <v>-2.1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787</v>
      </c>
      <c r="C203" s="1">
        <v>2872</v>
      </c>
      <c r="D203" s="1">
        <v>11.6</v>
      </c>
      <c r="E203" s="1">
        <v>-5.3</v>
      </c>
      <c r="F203" s="1">
        <v>-1.6</v>
      </c>
      <c r="G203">
        <v>-1</v>
      </c>
      <c r="H203">
        <v>0</v>
      </c>
      <c r="I203">
        <v>0</v>
      </c>
      <c r="K203" s="1">
        <v>75</v>
      </c>
      <c r="L203" s="1">
        <v>805</v>
      </c>
      <c r="M203" s="1">
        <v>3002</v>
      </c>
      <c r="N203" s="1">
        <v>16.600000000000001</v>
      </c>
      <c r="O203" s="1">
        <v>-7.6</v>
      </c>
      <c r="P203" s="1">
        <v>-2.2000000000000002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776</v>
      </c>
      <c r="C204" s="1">
        <v>2788</v>
      </c>
      <c r="D204" s="1">
        <v>14.8</v>
      </c>
      <c r="E204" s="1">
        <v>-5.0999999999999996</v>
      </c>
      <c r="F204" s="1">
        <v>-1.5</v>
      </c>
      <c r="G204">
        <v>-1</v>
      </c>
      <c r="H204">
        <v>0</v>
      </c>
      <c r="I204">
        <v>0</v>
      </c>
      <c r="K204" s="1">
        <v>100</v>
      </c>
      <c r="L204" s="1">
        <v>799</v>
      </c>
      <c r="M204" s="1">
        <v>2958</v>
      </c>
      <c r="N204" s="1">
        <v>21.4</v>
      </c>
      <c r="O204" s="1">
        <v>-7.4</v>
      </c>
      <c r="P204" s="1">
        <v>-2.1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764</v>
      </c>
      <c r="C205" s="1">
        <v>2705</v>
      </c>
      <c r="D205" s="1">
        <v>17</v>
      </c>
      <c r="E205" s="1">
        <v>-4.7</v>
      </c>
      <c r="F205" s="1">
        <v>-1.4</v>
      </c>
      <c r="G205">
        <v>-2</v>
      </c>
      <c r="H205">
        <v>-1</v>
      </c>
      <c r="I205">
        <v>0</v>
      </c>
      <c r="K205" s="1">
        <v>125</v>
      </c>
      <c r="L205" s="1">
        <v>793</v>
      </c>
      <c r="M205" s="1">
        <v>2914</v>
      </c>
      <c r="N205" s="1">
        <v>25.4</v>
      </c>
      <c r="O205" s="1">
        <v>-7</v>
      </c>
      <c r="P205" s="1">
        <v>-2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753</v>
      </c>
      <c r="C206" s="1">
        <v>2624</v>
      </c>
      <c r="D206" s="1">
        <v>18.100000000000001</v>
      </c>
      <c r="E206" s="1">
        <v>-4.0999999999999996</v>
      </c>
      <c r="F206" s="1">
        <v>-1.2</v>
      </c>
      <c r="G206">
        <v>-3</v>
      </c>
      <c r="H206">
        <v>-1</v>
      </c>
      <c r="I206">
        <v>0</v>
      </c>
      <c r="K206" s="1">
        <v>150</v>
      </c>
      <c r="L206" s="1">
        <v>787</v>
      </c>
      <c r="M206" s="1">
        <v>2871</v>
      </c>
      <c r="N206" s="1">
        <v>28.3</v>
      </c>
      <c r="O206" s="1">
        <v>-6.5</v>
      </c>
      <c r="P206" s="1">
        <v>-1.9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741</v>
      </c>
      <c r="C207" s="1">
        <v>2545</v>
      </c>
      <c r="D207" s="1">
        <v>18.100000000000001</v>
      </c>
      <c r="E207" s="1">
        <v>-3.6</v>
      </c>
      <c r="F207" s="1">
        <v>-1</v>
      </c>
      <c r="G207">
        <v>-4</v>
      </c>
      <c r="H207">
        <v>-1</v>
      </c>
      <c r="I207">
        <v>0</v>
      </c>
      <c r="K207" s="1">
        <v>175</v>
      </c>
      <c r="L207" s="1">
        <v>781</v>
      </c>
      <c r="M207" s="1">
        <v>2828</v>
      </c>
      <c r="N207" s="1">
        <v>30.3</v>
      </c>
      <c r="O207" s="1">
        <v>-6</v>
      </c>
      <c r="P207" s="1">
        <v>-1.7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730</v>
      </c>
      <c r="C208" s="1">
        <v>2468</v>
      </c>
      <c r="D208" s="1">
        <v>16.899999999999999</v>
      </c>
      <c r="E208" s="1">
        <v>-2.9</v>
      </c>
      <c r="F208" s="1">
        <v>-0.8</v>
      </c>
      <c r="G208">
        <v>-5</v>
      </c>
      <c r="H208">
        <v>-1</v>
      </c>
      <c r="I208">
        <v>0</v>
      </c>
      <c r="K208" s="1">
        <v>200</v>
      </c>
      <c r="L208" s="1">
        <v>775</v>
      </c>
      <c r="M208" s="1">
        <v>2786</v>
      </c>
      <c r="N208" s="1">
        <v>31.2</v>
      </c>
      <c r="O208" s="1">
        <v>-5.4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719</v>
      </c>
      <c r="C209" s="1">
        <v>2393</v>
      </c>
      <c r="D209" s="1">
        <v>14.6</v>
      </c>
      <c r="E209" s="1">
        <v>-2.2000000000000002</v>
      </c>
      <c r="F209" s="1">
        <v>-0.6</v>
      </c>
      <c r="G209">
        <v>-6</v>
      </c>
      <c r="H209">
        <v>-1</v>
      </c>
      <c r="I209">
        <v>0</v>
      </c>
      <c r="K209" s="1">
        <v>225</v>
      </c>
      <c r="L209" s="1">
        <v>770</v>
      </c>
      <c r="M209" s="1">
        <v>2744</v>
      </c>
      <c r="N209" s="1">
        <v>31.1</v>
      </c>
      <c r="O209" s="1">
        <v>-4.8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707</v>
      </c>
      <c r="C210" s="1">
        <v>2319</v>
      </c>
      <c r="D210" s="1">
        <v>11.1</v>
      </c>
      <c r="E210" s="1">
        <v>-1.5</v>
      </c>
      <c r="F210" s="1">
        <v>-0.4</v>
      </c>
      <c r="G210">
        <v>-8</v>
      </c>
      <c r="H210">
        <v>-1</v>
      </c>
      <c r="I210">
        <v>0</v>
      </c>
      <c r="K210" s="1">
        <v>250</v>
      </c>
      <c r="L210" s="1">
        <v>764</v>
      </c>
      <c r="M210" s="1">
        <v>2703</v>
      </c>
      <c r="N210" s="1">
        <v>30</v>
      </c>
      <c r="O210" s="1">
        <v>-4.0999999999999996</v>
      </c>
      <c r="P210" s="1">
        <v>-1.2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696</v>
      </c>
      <c r="C211" s="1">
        <v>2247</v>
      </c>
      <c r="D211" s="1">
        <v>6.2</v>
      </c>
      <c r="E211" s="1">
        <v>-0.8</v>
      </c>
      <c r="F211" s="1">
        <v>-0.2</v>
      </c>
      <c r="G211">
        <v>-10</v>
      </c>
      <c r="H211">
        <v>-1</v>
      </c>
      <c r="I211">
        <v>0</v>
      </c>
      <c r="K211" s="1">
        <v>275</v>
      </c>
      <c r="L211" s="1">
        <v>758</v>
      </c>
      <c r="M211" s="1">
        <v>2662</v>
      </c>
      <c r="N211" s="1">
        <v>27.7</v>
      </c>
      <c r="O211" s="1">
        <v>-3.5</v>
      </c>
      <c r="P211" s="1">
        <v>-1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686</v>
      </c>
      <c r="C212" s="1">
        <v>2178</v>
      </c>
      <c r="D212" s="1">
        <v>0.1</v>
      </c>
      <c r="E212" s="1">
        <v>0</v>
      </c>
      <c r="F212" s="1">
        <v>0</v>
      </c>
      <c r="G212">
        <v>-12</v>
      </c>
      <c r="H212">
        <v>-2</v>
      </c>
      <c r="I212">
        <v>0</v>
      </c>
      <c r="K212" s="1">
        <v>300</v>
      </c>
      <c r="L212" s="1">
        <v>752</v>
      </c>
      <c r="M212" s="1">
        <v>2622</v>
      </c>
      <c r="N212" s="1">
        <v>24.5</v>
      </c>
      <c r="O212" s="1">
        <v>-2.8</v>
      </c>
      <c r="P212" s="1">
        <v>-0.8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675</v>
      </c>
      <c r="C213" s="1">
        <v>2109</v>
      </c>
      <c r="D213" s="1">
        <v>-7.2</v>
      </c>
      <c r="E213" s="1">
        <v>0.8</v>
      </c>
      <c r="F213" s="1">
        <v>0.2</v>
      </c>
      <c r="G213">
        <v>-14</v>
      </c>
      <c r="H213">
        <v>-2</v>
      </c>
      <c r="I213">
        <v>0</v>
      </c>
      <c r="K213" s="1">
        <v>325</v>
      </c>
      <c r="L213" s="1">
        <v>747</v>
      </c>
      <c r="M213" s="1">
        <v>2582</v>
      </c>
      <c r="N213" s="1">
        <v>20.100000000000001</v>
      </c>
      <c r="O213" s="1">
        <v>-2.1</v>
      </c>
      <c r="P213" s="1">
        <v>-0.6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664</v>
      </c>
      <c r="C214" s="1">
        <v>2043</v>
      </c>
      <c r="D214" s="1">
        <v>-16.3</v>
      </c>
      <c r="E214" s="1">
        <v>1.6</v>
      </c>
      <c r="F214" s="1">
        <v>0.5</v>
      </c>
      <c r="G214">
        <v>-16</v>
      </c>
      <c r="H214">
        <v>-2</v>
      </c>
      <c r="I214">
        <v>0</v>
      </c>
      <c r="K214" s="1">
        <v>350</v>
      </c>
      <c r="L214" s="1">
        <v>741</v>
      </c>
      <c r="M214" s="1">
        <v>2543</v>
      </c>
      <c r="N214" s="1">
        <v>14.5</v>
      </c>
      <c r="O214" s="1">
        <v>-1.4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653</v>
      </c>
      <c r="C215" s="1">
        <v>1978</v>
      </c>
      <c r="D215" s="1">
        <v>-26.5</v>
      </c>
      <c r="E215" s="1">
        <v>2.4</v>
      </c>
      <c r="F215" s="1">
        <v>0.7</v>
      </c>
      <c r="G215">
        <v>-18</v>
      </c>
      <c r="H215">
        <v>-2</v>
      </c>
      <c r="I215">
        <v>0</v>
      </c>
      <c r="K215" s="1">
        <v>375</v>
      </c>
      <c r="L215" s="1">
        <v>735</v>
      </c>
      <c r="M215" s="1">
        <v>2504</v>
      </c>
      <c r="N215" s="1">
        <v>7.9</v>
      </c>
      <c r="O215" s="1">
        <v>-0.7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643</v>
      </c>
      <c r="C216" s="10">
        <v>1914</v>
      </c>
      <c r="D216" s="10">
        <v>-38.200000000000003</v>
      </c>
      <c r="E216" s="10">
        <v>3.3</v>
      </c>
      <c r="F216" s="10">
        <v>1</v>
      </c>
      <c r="G216">
        <v>-21</v>
      </c>
      <c r="H216">
        <v>-2</v>
      </c>
      <c r="I216">
        <v>-1</v>
      </c>
      <c r="K216" s="1">
        <v>400</v>
      </c>
      <c r="L216" s="1">
        <v>729</v>
      </c>
      <c r="M216" s="1">
        <v>2466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632</v>
      </c>
      <c r="C217" s="1">
        <v>1853</v>
      </c>
      <c r="D217" s="1">
        <v>-51.9</v>
      </c>
      <c r="E217" s="1">
        <v>4.2</v>
      </c>
      <c r="F217" s="1">
        <v>1.2</v>
      </c>
      <c r="G217">
        <v>-24</v>
      </c>
      <c r="H217">
        <v>-2</v>
      </c>
      <c r="I217">
        <v>-1</v>
      </c>
      <c r="K217" s="1">
        <v>425</v>
      </c>
      <c r="L217" s="1">
        <v>724</v>
      </c>
      <c r="M217" s="1">
        <v>2428</v>
      </c>
      <c r="N217" s="1">
        <v>-9</v>
      </c>
      <c r="O217" s="1">
        <v>0.7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622</v>
      </c>
      <c r="C218" s="1">
        <v>1793</v>
      </c>
      <c r="D218" s="1">
        <v>-66.7</v>
      </c>
      <c r="E218" s="1">
        <v>5.0999999999999996</v>
      </c>
      <c r="F218" s="1">
        <v>1.5</v>
      </c>
      <c r="G218">
        <v>-27</v>
      </c>
      <c r="H218">
        <v>-2</v>
      </c>
      <c r="I218">
        <v>-1</v>
      </c>
      <c r="K218" s="1">
        <v>450</v>
      </c>
      <c r="L218" s="1">
        <v>718</v>
      </c>
      <c r="M218" s="1">
        <v>2390</v>
      </c>
      <c r="N218" s="1">
        <v>-19.100000000000001</v>
      </c>
      <c r="O218" s="1">
        <v>1.5</v>
      </c>
      <c r="P218" s="1">
        <v>0.4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612</v>
      </c>
      <c r="C219" s="1">
        <v>1734</v>
      </c>
      <c r="D219" s="1">
        <v>-83.2</v>
      </c>
      <c r="E219" s="1">
        <v>6</v>
      </c>
      <c r="F219" s="1">
        <v>1.8</v>
      </c>
      <c r="G219">
        <v>-31</v>
      </c>
      <c r="H219">
        <v>-2</v>
      </c>
      <c r="I219">
        <v>-1</v>
      </c>
      <c r="K219" s="1">
        <v>475</v>
      </c>
      <c r="L219" s="1">
        <v>713</v>
      </c>
      <c r="M219" s="1">
        <v>2353</v>
      </c>
      <c r="N219" s="1">
        <v>-30.4</v>
      </c>
      <c r="O219" s="1">
        <v>2.2000000000000002</v>
      </c>
      <c r="P219" s="1">
        <v>0.6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602</v>
      </c>
      <c r="C220" s="1">
        <v>1679</v>
      </c>
      <c r="D220" s="1">
        <v>-101.3</v>
      </c>
      <c r="E220" s="1">
        <v>7</v>
      </c>
      <c r="F220" s="1">
        <v>2</v>
      </c>
      <c r="G220">
        <v>-34</v>
      </c>
      <c r="H220">
        <v>-3</v>
      </c>
      <c r="I220">
        <v>-1</v>
      </c>
      <c r="K220" s="1">
        <v>500</v>
      </c>
      <c r="L220" s="1">
        <v>707</v>
      </c>
      <c r="M220" s="1">
        <v>2318</v>
      </c>
      <c r="N220" s="1">
        <v>-42.9</v>
      </c>
      <c r="O220" s="1">
        <v>3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80</v>
      </c>
      <c r="K222" t="s">
        <v>88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34</v>
      </c>
      <c r="H223" t="s">
        <v>35</v>
      </c>
      <c r="I223" t="s">
        <v>36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34</v>
      </c>
      <c r="R223" t="s">
        <v>35</v>
      </c>
      <c r="S223" t="s">
        <v>36</v>
      </c>
    </row>
    <row r="224" spans="1:19" x14ac:dyDescent="0.25">
      <c r="A224" s="1">
        <v>0</v>
      </c>
      <c r="B224" s="1">
        <v>823</v>
      </c>
      <c r="C224" s="1">
        <v>3139</v>
      </c>
      <c r="D224" s="1">
        <v>-3.8</v>
      </c>
      <c r="E224" s="1">
        <v>0</v>
      </c>
      <c r="F224" s="1">
        <v>0</v>
      </c>
      <c r="G224">
        <v>0</v>
      </c>
      <c r="H224">
        <v>0</v>
      </c>
      <c r="I224">
        <v>0</v>
      </c>
      <c r="K224" s="1">
        <v>0</v>
      </c>
      <c r="L224" s="1">
        <v>823</v>
      </c>
      <c r="M224" s="1">
        <v>3138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811</v>
      </c>
      <c r="C225" s="1">
        <v>3048</v>
      </c>
      <c r="D225" s="1">
        <v>7.3</v>
      </c>
      <c r="E225" s="1">
        <v>-10.1</v>
      </c>
      <c r="F225" s="1">
        <v>-2.9</v>
      </c>
      <c r="G225">
        <v>0</v>
      </c>
      <c r="H225">
        <v>0</v>
      </c>
      <c r="I225">
        <v>0</v>
      </c>
      <c r="K225" s="1">
        <v>25</v>
      </c>
      <c r="L225" s="1">
        <v>817</v>
      </c>
      <c r="M225" s="1">
        <v>3092</v>
      </c>
      <c r="N225" s="1">
        <v>6</v>
      </c>
      <c r="O225" s="1">
        <v>-8.3000000000000007</v>
      </c>
      <c r="P225" s="1">
        <v>-2.4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799</v>
      </c>
      <c r="C226" s="1">
        <v>2959</v>
      </c>
      <c r="D226" s="1">
        <v>17.8</v>
      </c>
      <c r="E226" s="1">
        <v>-12.1</v>
      </c>
      <c r="F226" s="1">
        <v>-3.5</v>
      </c>
      <c r="G226">
        <v>0</v>
      </c>
      <c r="H226">
        <v>0</v>
      </c>
      <c r="I226">
        <v>0</v>
      </c>
      <c r="K226" s="1">
        <v>50</v>
      </c>
      <c r="L226" s="1">
        <v>811</v>
      </c>
      <c r="M226" s="1">
        <v>3047</v>
      </c>
      <c r="N226" s="1">
        <v>15.2</v>
      </c>
      <c r="O226" s="1">
        <v>-10.3</v>
      </c>
      <c r="P226" s="1">
        <v>-3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787</v>
      </c>
      <c r="C227" s="1">
        <v>2872</v>
      </c>
      <c r="D227" s="1">
        <v>27</v>
      </c>
      <c r="E227" s="1">
        <v>-12.4</v>
      </c>
      <c r="F227" s="1">
        <v>-3.6</v>
      </c>
      <c r="G227">
        <v>-1</v>
      </c>
      <c r="H227">
        <v>0</v>
      </c>
      <c r="I227">
        <v>0</v>
      </c>
      <c r="K227" s="1">
        <v>75</v>
      </c>
      <c r="L227" s="1">
        <v>805</v>
      </c>
      <c r="M227" s="1">
        <v>3002</v>
      </c>
      <c r="N227" s="1">
        <v>23.1</v>
      </c>
      <c r="O227" s="1">
        <v>-10.6</v>
      </c>
      <c r="P227" s="1">
        <v>-3.1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776</v>
      </c>
      <c r="C228" s="1">
        <v>2787</v>
      </c>
      <c r="D228" s="1">
        <v>35.200000000000003</v>
      </c>
      <c r="E228" s="1">
        <v>-12.1</v>
      </c>
      <c r="F228" s="1">
        <v>-3.5</v>
      </c>
      <c r="G228">
        <v>-1</v>
      </c>
      <c r="H228">
        <v>0</v>
      </c>
      <c r="I228">
        <v>0</v>
      </c>
      <c r="K228" s="1">
        <v>100</v>
      </c>
      <c r="L228" s="1">
        <v>799</v>
      </c>
      <c r="M228" s="1">
        <v>2958</v>
      </c>
      <c r="N228" s="1">
        <v>30</v>
      </c>
      <c r="O228" s="1">
        <v>-10.3</v>
      </c>
      <c r="P228" s="1">
        <v>-3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764</v>
      </c>
      <c r="C229" s="1">
        <v>2705</v>
      </c>
      <c r="D229" s="1">
        <v>42.6</v>
      </c>
      <c r="E229" s="1">
        <v>-11.7</v>
      </c>
      <c r="F229" s="1">
        <v>-3.4</v>
      </c>
      <c r="G229">
        <v>-2</v>
      </c>
      <c r="H229">
        <v>-1</v>
      </c>
      <c r="I229">
        <v>0</v>
      </c>
      <c r="K229" s="1">
        <v>125</v>
      </c>
      <c r="L229" s="1">
        <v>793</v>
      </c>
      <c r="M229" s="1">
        <v>2914</v>
      </c>
      <c r="N229" s="1">
        <v>36.299999999999997</v>
      </c>
      <c r="O229" s="1">
        <v>-9.9</v>
      </c>
      <c r="P229" s="1">
        <v>-2.9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753</v>
      </c>
      <c r="C230" s="1">
        <v>2624</v>
      </c>
      <c r="D230" s="1">
        <v>48.7</v>
      </c>
      <c r="E230" s="1">
        <v>-11.2</v>
      </c>
      <c r="F230" s="1">
        <v>-3.2</v>
      </c>
      <c r="G230">
        <v>-3</v>
      </c>
      <c r="H230">
        <v>-1</v>
      </c>
      <c r="I230">
        <v>0</v>
      </c>
      <c r="K230" s="1">
        <v>150</v>
      </c>
      <c r="L230" s="1">
        <v>787</v>
      </c>
      <c r="M230" s="1">
        <v>2871</v>
      </c>
      <c r="N230" s="1">
        <v>41.3</v>
      </c>
      <c r="O230" s="1">
        <v>-9.5</v>
      </c>
      <c r="P230" s="1">
        <v>-2.8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741</v>
      </c>
      <c r="C231" s="1">
        <v>2545</v>
      </c>
      <c r="D231" s="1">
        <v>53.8</v>
      </c>
      <c r="E231" s="1">
        <v>-10.6</v>
      </c>
      <c r="F231" s="1">
        <v>-3.1</v>
      </c>
      <c r="G231">
        <v>-4</v>
      </c>
      <c r="H231">
        <v>-1</v>
      </c>
      <c r="I231">
        <v>0</v>
      </c>
      <c r="K231" s="1">
        <v>175</v>
      </c>
      <c r="L231" s="1">
        <v>781</v>
      </c>
      <c r="M231" s="1">
        <v>2828</v>
      </c>
      <c r="N231" s="1">
        <v>45.4</v>
      </c>
      <c r="O231" s="1">
        <v>-8.9</v>
      </c>
      <c r="P231" s="1">
        <v>-2.6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730</v>
      </c>
      <c r="C232" s="1">
        <v>2468</v>
      </c>
      <c r="D232" s="1">
        <v>57.8</v>
      </c>
      <c r="E232" s="1">
        <v>-9.9</v>
      </c>
      <c r="F232" s="1">
        <v>-2.9</v>
      </c>
      <c r="G232">
        <v>-5</v>
      </c>
      <c r="H232">
        <v>-1</v>
      </c>
      <c r="I232">
        <v>0</v>
      </c>
      <c r="K232" s="1">
        <v>200</v>
      </c>
      <c r="L232" s="1">
        <v>775</v>
      </c>
      <c r="M232" s="1">
        <v>2786</v>
      </c>
      <c r="N232" s="1">
        <v>48.5</v>
      </c>
      <c r="O232" s="1">
        <v>-8.3000000000000007</v>
      </c>
      <c r="P232" s="1">
        <v>-2.4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719</v>
      </c>
      <c r="C233" s="1">
        <v>2393</v>
      </c>
      <c r="D233" s="1">
        <v>60.6</v>
      </c>
      <c r="E233" s="1">
        <v>-9.3000000000000007</v>
      </c>
      <c r="F233" s="1">
        <v>-2.7</v>
      </c>
      <c r="G233">
        <v>-6</v>
      </c>
      <c r="H233">
        <v>-1</v>
      </c>
      <c r="I233">
        <v>0</v>
      </c>
      <c r="K233" s="1">
        <v>225</v>
      </c>
      <c r="L233" s="1">
        <v>770</v>
      </c>
      <c r="M233" s="1">
        <v>2744</v>
      </c>
      <c r="N233" s="1">
        <v>50.6</v>
      </c>
      <c r="O233" s="1">
        <v>-7.7</v>
      </c>
      <c r="P233" s="1">
        <v>-2.2000000000000002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707</v>
      </c>
      <c r="C234" s="1">
        <v>2319</v>
      </c>
      <c r="D234" s="1">
        <v>62.1</v>
      </c>
      <c r="E234" s="1">
        <v>-8.6</v>
      </c>
      <c r="F234" s="1">
        <v>-2.5</v>
      </c>
      <c r="G234">
        <v>-8</v>
      </c>
      <c r="H234">
        <v>-1</v>
      </c>
      <c r="I234">
        <v>0</v>
      </c>
      <c r="K234" s="1">
        <v>250</v>
      </c>
      <c r="L234" s="1">
        <v>764</v>
      </c>
      <c r="M234" s="1">
        <v>2703</v>
      </c>
      <c r="N234" s="1">
        <v>51.6</v>
      </c>
      <c r="O234" s="1">
        <v>-7.1</v>
      </c>
      <c r="P234" s="1">
        <v>-2.1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696</v>
      </c>
      <c r="C235" s="1">
        <v>2247</v>
      </c>
      <c r="D235" s="1">
        <v>62.4</v>
      </c>
      <c r="E235" s="1">
        <v>-7.8</v>
      </c>
      <c r="F235" s="1">
        <v>-2.2999999999999998</v>
      </c>
      <c r="G235">
        <v>-10</v>
      </c>
      <c r="H235">
        <v>-1</v>
      </c>
      <c r="I235">
        <v>0</v>
      </c>
      <c r="K235" s="1">
        <v>275</v>
      </c>
      <c r="L235" s="1">
        <v>758</v>
      </c>
      <c r="M235" s="1">
        <v>2662</v>
      </c>
      <c r="N235" s="1">
        <v>51.5</v>
      </c>
      <c r="O235" s="1">
        <v>-6.4</v>
      </c>
      <c r="P235" s="1">
        <v>-1.9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686</v>
      </c>
      <c r="C236" s="1">
        <v>2177</v>
      </c>
      <c r="D236" s="1">
        <v>61.4</v>
      </c>
      <c r="E236" s="1">
        <v>-7</v>
      </c>
      <c r="F236" s="1">
        <v>-2</v>
      </c>
      <c r="G236">
        <v>-12</v>
      </c>
      <c r="H236">
        <v>-2</v>
      </c>
      <c r="I236">
        <v>0</v>
      </c>
      <c r="K236" s="1">
        <v>300</v>
      </c>
      <c r="L236" s="1">
        <v>752</v>
      </c>
      <c r="M236" s="1">
        <v>2622</v>
      </c>
      <c r="N236" s="1">
        <v>50.4</v>
      </c>
      <c r="O236" s="1">
        <v>-5.8</v>
      </c>
      <c r="P236" s="1">
        <v>-1.7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675</v>
      </c>
      <c r="C237" s="1">
        <v>2109</v>
      </c>
      <c r="D237" s="1">
        <v>59.1</v>
      </c>
      <c r="E237" s="1">
        <v>-6.3</v>
      </c>
      <c r="F237" s="1">
        <v>-1.8</v>
      </c>
      <c r="G237">
        <v>-14</v>
      </c>
      <c r="H237">
        <v>-2</v>
      </c>
      <c r="I237">
        <v>0</v>
      </c>
      <c r="K237" s="1">
        <v>325</v>
      </c>
      <c r="L237" s="1">
        <v>747</v>
      </c>
      <c r="M237" s="1">
        <v>2582</v>
      </c>
      <c r="N237" s="1">
        <v>48.2</v>
      </c>
      <c r="O237" s="1">
        <v>-5.0999999999999996</v>
      </c>
      <c r="P237" s="1">
        <v>-1.5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664</v>
      </c>
      <c r="C238" s="1">
        <v>2043</v>
      </c>
      <c r="D238" s="1">
        <v>55.3</v>
      </c>
      <c r="E238" s="1">
        <v>-5.4</v>
      </c>
      <c r="F238" s="1">
        <v>-1.6</v>
      </c>
      <c r="G238">
        <v>-16</v>
      </c>
      <c r="H238">
        <v>-2</v>
      </c>
      <c r="I238">
        <v>0</v>
      </c>
      <c r="K238" s="1">
        <v>350</v>
      </c>
      <c r="L238" s="1">
        <v>741</v>
      </c>
      <c r="M238" s="1">
        <v>2543</v>
      </c>
      <c r="N238" s="1">
        <v>44.8</v>
      </c>
      <c r="O238" s="1">
        <v>-4.4000000000000004</v>
      </c>
      <c r="P238" s="1">
        <v>-1.3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653</v>
      </c>
      <c r="C239" s="1">
        <v>1978</v>
      </c>
      <c r="D239" s="1">
        <v>50.1</v>
      </c>
      <c r="E239" s="1">
        <v>-4.5999999999999996</v>
      </c>
      <c r="F239" s="1">
        <v>-1.3</v>
      </c>
      <c r="G239">
        <v>-18</v>
      </c>
      <c r="H239">
        <v>-2</v>
      </c>
      <c r="I239">
        <v>0</v>
      </c>
      <c r="K239" s="1">
        <v>375</v>
      </c>
      <c r="L239" s="1">
        <v>735</v>
      </c>
      <c r="M239" s="1">
        <v>2504</v>
      </c>
      <c r="N239" s="1">
        <v>40.299999999999997</v>
      </c>
      <c r="O239" s="1">
        <v>-3.7</v>
      </c>
      <c r="P239" s="1">
        <v>-1.1000000000000001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643</v>
      </c>
      <c r="C240" s="1">
        <v>1914</v>
      </c>
      <c r="D240" s="1">
        <v>43.5</v>
      </c>
      <c r="E240" s="1">
        <v>-3.7</v>
      </c>
      <c r="F240" s="1">
        <v>-1.1000000000000001</v>
      </c>
      <c r="G240">
        <v>-21</v>
      </c>
      <c r="H240">
        <v>-2</v>
      </c>
      <c r="I240">
        <v>-1</v>
      </c>
      <c r="K240" s="1">
        <v>400</v>
      </c>
      <c r="L240" s="1">
        <v>729</v>
      </c>
      <c r="M240" s="1">
        <v>2465</v>
      </c>
      <c r="N240" s="1">
        <v>34.799999999999997</v>
      </c>
      <c r="O240" s="1">
        <v>-3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632</v>
      </c>
      <c r="C241" s="1">
        <v>1853</v>
      </c>
      <c r="D241" s="1">
        <v>35</v>
      </c>
      <c r="E241" s="1">
        <v>-2.8</v>
      </c>
      <c r="F241" s="1">
        <v>-0.8</v>
      </c>
      <c r="G241">
        <v>-24</v>
      </c>
      <c r="H241">
        <v>-2</v>
      </c>
      <c r="I241">
        <v>-1</v>
      </c>
      <c r="K241" s="1">
        <v>425</v>
      </c>
      <c r="L241" s="1">
        <v>724</v>
      </c>
      <c r="M241" s="1">
        <v>2427</v>
      </c>
      <c r="N241" s="1">
        <v>27.8</v>
      </c>
      <c r="O241" s="1">
        <v>-2.2000000000000002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622</v>
      </c>
      <c r="C242" s="1">
        <v>1793</v>
      </c>
      <c r="D242" s="1">
        <v>25.2</v>
      </c>
      <c r="E242" s="1">
        <v>-1.9</v>
      </c>
      <c r="F242" s="1">
        <v>-0.6</v>
      </c>
      <c r="G242">
        <v>-27</v>
      </c>
      <c r="H242">
        <v>-2</v>
      </c>
      <c r="I242">
        <v>-1</v>
      </c>
      <c r="K242" s="1">
        <v>450</v>
      </c>
      <c r="L242" s="1">
        <v>718</v>
      </c>
      <c r="M242" s="1">
        <v>2390</v>
      </c>
      <c r="N242" s="1">
        <v>19.8</v>
      </c>
      <c r="O242" s="1">
        <v>-1.5</v>
      </c>
      <c r="P242" s="1">
        <v>-0.4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612</v>
      </c>
      <c r="C243" s="1">
        <v>1734</v>
      </c>
      <c r="D243" s="1">
        <v>13.8</v>
      </c>
      <c r="E243" s="1">
        <v>-1</v>
      </c>
      <c r="F243" s="1">
        <v>-0.3</v>
      </c>
      <c r="G243">
        <v>-31</v>
      </c>
      <c r="H243">
        <v>-2</v>
      </c>
      <c r="I243">
        <v>-1</v>
      </c>
      <c r="K243" s="1">
        <v>475</v>
      </c>
      <c r="L243" s="1">
        <v>713</v>
      </c>
      <c r="M243" s="1">
        <v>2353</v>
      </c>
      <c r="N243" s="1">
        <v>10.7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0">
        <v>500</v>
      </c>
      <c r="B244" s="10">
        <v>602</v>
      </c>
      <c r="C244" s="10">
        <v>1679</v>
      </c>
      <c r="D244" s="10">
        <v>0.7</v>
      </c>
      <c r="E244" s="10">
        <v>0</v>
      </c>
      <c r="F244" s="10">
        <v>0</v>
      </c>
      <c r="G244">
        <v>-34</v>
      </c>
      <c r="H244">
        <v>-3</v>
      </c>
      <c r="I244">
        <v>-1</v>
      </c>
      <c r="K244" s="1">
        <v>500</v>
      </c>
      <c r="L244" s="1">
        <v>707</v>
      </c>
      <c r="M244" s="1">
        <v>2318</v>
      </c>
      <c r="N244" s="1">
        <v>0.3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t="s">
        <v>41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32</v>
      </c>
      <c r="H246" s="13" t="s">
        <v>33</v>
      </c>
      <c r="I246" s="19" t="s">
        <v>42</v>
      </c>
    </row>
    <row r="247" spans="1:19" x14ac:dyDescent="0.25">
      <c r="A247" t="s">
        <v>43</v>
      </c>
      <c r="B247" s="20" cm="1">
        <f t="array" ref="B247">INDEX(LINEST(J$22:J$35,$A$22:$A$35^{1,2}), 1,3)</f>
        <v>-7.4335625112312158</v>
      </c>
      <c r="C247" s="20" cm="1">
        <f t="array" ref="C247">INDEX(LINEST(K$22:K$35,$A$22:$A$35^{1,2,3}), 1,4)</f>
        <v>-4.1995436153450214</v>
      </c>
      <c r="D247" s="21" cm="1">
        <f t="array" ref="D247">INDEX(LINEST(L$22:L$35,$A$22:$A$35^{1,2,3}), 1,4)</f>
        <v>-5.9369988713414692</v>
      </c>
      <c r="E247" s="21" cm="1">
        <f t="array" ref="E247">INDEX(LINEST(M$22:M$35,$A$22:$A$35^{1,2,3}), 1,4)</f>
        <v>-4.6282066397844623</v>
      </c>
      <c r="F247" s="21" cm="1">
        <f t="array" ref="F247">INDEX(LINEST(N$22:N$35,$A$22:$A$35^{1,2,3}), 1,4)</f>
        <v>-4.4771146578380439</v>
      </c>
      <c r="G247" s="21" cm="1">
        <f t="array" ref="G247">INDEX(LINEST(O$22:O$35,$A$22:$A$35^{1,2,3}), 1,4)</f>
        <v>-7.2601362292226117</v>
      </c>
      <c r="H247" s="21" cm="1">
        <f t="array" ref="H247">INDEX(LINEST(P$22:P$35,$A$22:$A$35^{1,2,3}), 1,4)</f>
        <v>-4.9585607726681449</v>
      </c>
      <c r="I247" s="21" cm="1">
        <f t="array" ref="I247">INDEX(LINEST(B$22:B$35,$A$22:$A$35^{1,2,3}), 1,4)</f>
        <v>3139.2578377699911</v>
      </c>
    </row>
    <row r="248" spans="1:19" x14ac:dyDescent="0.25">
      <c r="A248" t="s">
        <v>44</v>
      </c>
      <c r="B248" s="21" cm="1">
        <f t="array" ref="B248">INDEX(LINEST(J$22:J$35,$A$22:$A$35^{1,2}), 1,2)</f>
        <v>0.22216823158524562</v>
      </c>
      <c r="C248" s="20" cm="1">
        <f t="array" ref="C248">INDEX(LINEST(K$22:K$35,$A$22:$A$35^{1,2,3}), 1,3)</f>
        <v>7.9412438524408213E-2</v>
      </c>
      <c r="D248" s="21" cm="1">
        <f t="array" ref="D248">INDEX(LINEST(L$22:L$35,$A$22:$A$35^{1,2,3}), 1,3)</f>
        <v>0.18180214310791701</v>
      </c>
      <c r="E248" s="21" cm="1">
        <f t="array" ref="E248">INDEX(LINEST(M$22:M$35,$A$22:$A$35^{1,2,3}), 1,3)</f>
        <v>0.14680847453202298</v>
      </c>
      <c r="F248" s="21" cm="1">
        <f t="array" ref="F248">INDEX(LINEST(N$22:N$35,$A$22:$A$35^{1,2,3}), 1,3)</f>
        <v>0.20508606579835834</v>
      </c>
      <c r="G248" s="21" cm="1">
        <f t="array" ref="G248">INDEX(LINEST(O$22:O$35,$A$22:$A$35^{1,2,3}), 1,3)</f>
        <v>0.44608719882878078</v>
      </c>
      <c r="H248" s="21" cm="1">
        <f t="array" ref="H248">INDEX(LINEST(P$22:P$35,$A$22:$A$35^{1,2,3}), 1,3)</f>
        <v>0.37662319393892107</v>
      </c>
      <c r="I248" s="21" cm="1">
        <f t="array" ref="I248">INDEX(LINEST(B$22:B$35,$A$22:$A$35^{1,2,3}), 1,3)</f>
        <v>-1.7390934023741493</v>
      </c>
    </row>
    <row r="249" spans="1:19" x14ac:dyDescent="0.25">
      <c r="A249" t="s">
        <v>45</v>
      </c>
      <c r="B249" s="21" cm="1">
        <f t="array" ref="B249">INDEX(LINEST(J$22:J$35,$A$22:$A$35^{1,2}), 1)</f>
        <v>-9.1066522637717857E-4</v>
      </c>
      <c r="C249" s="21" cm="1">
        <f t="array" ref="C249">INDEX(LINEST(K$22:K$35,$A$22:$A$35^{1,2,3}), 1,2)</f>
        <v>-3.5332318103150555E-4</v>
      </c>
      <c r="D249" s="21" cm="1">
        <f t="array" ref="D249">INDEX(LINEST(L$22:L$35,$A$22:$A$35^{1,2,3}), 1,2)</f>
        <v>-9.392421719862864E-4</v>
      </c>
      <c r="E249" s="21" cm="1">
        <f t="array" ref="E249">INDEX(LINEST(M$22:M$35,$A$22:$A$35^{1,2,3}), 1,2)</f>
        <v>-4.7844238215697922E-4</v>
      </c>
      <c r="F249" s="21" cm="1">
        <f t="array" ref="F249">INDEX(LINEST(N$22:N$35,$A$22:$A$35^{1,2,3}), 1,2)</f>
        <v>-4.2170718414348774E-4</v>
      </c>
      <c r="G249" s="21" cm="1">
        <f t="array" ref="G249">INDEX(LINEST(O$22:O$35,$A$22:$A$35^{1,2,3}), 1,2)</f>
        <v>-1.0975895236941672E-3</v>
      </c>
      <c r="H249" s="21" cm="1">
        <f t="array" ref="H249">INDEX(LINEST(P$22:P$35,$A$22:$A$35^{1,2,3}), 1,2)</f>
        <v>-5.0631865354230519E-4</v>
      </c>
      <c r="I249" s="21" cm="1">
        <f t="array" ref="I249">INDEX(LINEST(B$22:B$35,$A$22:$A$35^{1,2,3}), 1,2)</f>
        <v>-2.787303264385311E-6</v>
      </c>
    </row>
    <row r="250" spans="1:19" x14ac:dyDescent="0.25">
      <c r="A250" t="s">
        <v>46</v>
      </c>
      <c r="B250" s="20" cm="1">
        <f t="array" ref="B250">INDEX(LINEST(J$22:J$35,$A$22:$A$35^{1,2,3}), 1)</f>
        <v>-3.7314888315781299E-7</v>
      </c>
      <c r="C250" s="20" cm="1">
        <f t="array" ref="C250">INDEX(LINEST(K$22:K$35,$A$22:$A$35^{1,2,3}), 1)</f>
        <v>-7.5649109935062345E-7</v>
      </c>
      <c r="D250" s="21" cm="1">
        <f t="array" ref="D250">INDEX(LINEST(L$22:L$35,$A$22:$A$35^{1,2,3}), 1)</f>
        <v>1.7094580285731799E-7</v>
      </c>
      <c r="E250" s="21" cm="1">
        <f t="array" ref="E250">INDEX(LINEST(M$22:M$35,$A$22:$A$35^{1,2,3}), 1)</f>
        <v>-5.8766057858565884E-7</v>
      </c>
      <c r="F250" s="21" cm="1">
        <f t="array" ref="F250">INDEX(LINEST(N$22:N$35,$A$22:$A$35^{1,2,3}), 1)</f>
        <v>-5.8880237753392248E-7</v>
      </c>
      <c r="G250" s="21" cm="1">
        <f t="array" ref="G250">INDEX(LINEST(O$22:O$35,$A$22:$A$35^{1,2,3}), 1)</f>
        <v>7.8249096633187296E-8</v>
      </c>
      <c r="H250" s="21" cm="1">
        <f t="array" ref="H250">INDEX(LINEST(P$22:P$35,$A$22:$A$35^{1,2,3}), 1)</f>
        <v>-4.5132901320097146E-7</v>
      </c>
      <c r="I250" s="21" cm="1">
        <f t="array" ref="I250">INDEX(LINEST(B$22:B$35,$A$22:$A$35^{1,2,3}), 1)</f>
        <v>5.188667217912372E-7</v>
      </c>
    </row>
    <row r="251" spans="1:19" x14ac:dyDescent="0.25">
      <c r="A251" t="s">
        <v>47</v>
      </c>
      <c r="B251" s="20"/>
      <c r="C251" s="20"/>
      <c r="D251" s="21"/>
      <c r="E251" s="21"/>
      <c r="F251" s="21"/>
      <c r="G251" s="21"/>
      <c r="H251" s="21"/>
      <c r="I251" s="21"/>
    </row>
    <row r="252" spans="1:19" x14ac:dyDescent="0.25">
      <c r="A252" t="s">
        <v>48</v>
      </c>
      <c r="B252" s="20"/>
      <c r="C252" s="20"/>
      <c r="D252" s="21"/>
      <c r="E252" s="21"/>
      <c r="F252" s="21"/>
      <c r="G252" s="21"/>
      <c r="H252" s="21"/>
      <c r="I252" s="21"/>
    </row>
    <row r="253" spans="1:19" x14ac:dyDescent="0.25">
      <c r="A253" t="s">
        <v>49</v>
      </c>
      <c r="B253" s="20"/>
      <c r="C253" s="20"/>
      <c r="D253" s="21"/>
      <c r="E253" s="21"/>
      <c r="F253" s="21"/>
      <c r="G253" s="21"/>
      <c r="H253" s="21"/>
      <c r="I253" s="21"/>
    </row>
    <row r="254" spans="1:19" x14ac:dyDescent="0.25">
      <c r="B254" s="20"/>
      <c r="C254" s="20"/>
      <c r="D254" s="20"/>
      <c r="E254" s="20"/>
      <c r="F254" s="20"/>
      <c r="G254" s="20"/>
      <c r="H254" s="20"/>
      <c r="I254" s="20"/>
    </row>
    <row r="255" spans="1:19" x14ac:dyDescent="0.25">
      <c r="A255" t="s">
        <v>50</v>
      </c>
    </row>
    <row r="256" spans="1:19" x14ac:dyDescent="0.25">
      <c r="A256" s="22" t="s">
        <v>4</v>
      </c>
      <c r="B256" s="23"/>
      <c r="C256" s="23"/>
    </row>
    <row r="257" spans="1:9" x14ac:dyDescent="0.25">
      <c r="A257" s="1">
        <v>0</v>
      </c>
      <c r="B257" s="2" cm="1">
        <f t="array" ref="B257">TrajectoryToComeUp(B$247:B$249,$A257)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3139.2578377699911</v>
      </c>
    </row>
    <row r="258" spans="1:9" x14ac:dyDescent="0.25">
      <c r="A258" s="1">
        <v>25</v>
      </c>
      <c r="B258" s="2" cm="1">
        <f t="array" ref="B258">TrajectoryToComeUp(B$247:B$249,$A258)</f>
        <v>0.97940899523432479</v>
      </c>
      <c r="C258" s="2" cm="1">
        <f t="array" ref="C258">TrajectoryToComeUp(C$247:C$250,$A258)</f>
        <v>0.97875192552274415</v>
      </c>
      <c r="D258" s="2" cm="1">
        <f t="array" ref="D258">TrajectoryToComeUp(D$247:D$250,$A258)</f>
        <v>0.79052024918613084</v>
      </c>
      <c r="E258" s="2" cm="1">
        <f t="array" ref="E258">TrajectoryToComeUp(E$247:E$250,$A258)</f>
        <v>0.50648138474896032</v>
      </c>
      <c r="F258" s="2" cm="1">
        <f t="array" ref="F258">TrajectoryToComeUp(F$247:F$250,$A258)</f>
        <v>-0.1509079839529068</v>
      </c>
      <c r="G258" s="2" cm="1">
        <f t="array" ref="G258">TrajectoryToComeUp(G$247:G$250,$A258)</f>
        <v>-1.2829091725291788</v>
      </c>
      <c r="H258" s="2" cm="1">
        <f t="array" ref="H258">TrajectoryToComeUp(H$247:H$250,$A258)</f>
        <v>-1.6534071606038705</v>
      </c>
      <c r="I258" s="2" cm="1">
        <f t="array" ref="I258">EvaluatePolynomial(I$247:I$250,$A258)</f>
        <v>3095.7868679386252</v>
      </c>
    </row>
    <row r="259" spans="1:9" x14ac:dyDescent="0.25">
      <c r="A259" s="1">
        <v>50</v>
      </c>
      <c r="B259" s="2" cm="1">
        <f t="array" ref="B259">TrajectoryToComeUp(B$247:B$249,$A259)</f>
        <v>-0.2796372004176238</v>
      </c>
      <c r="C259" s="2" cm="1">
        <f t="array" ref="C259">TrajectoryToComeUp(C$247:C$250,$A259)</f>
        <v>0.24135820582444054</v>
      </c>
      <c r="D259" s="2" cm="1">
        <f t="array" ref="D259">TrajectoryToComeUp(D$247:D$250,$A259)</f>
        <v>-0.16527421588916585</v>
      </c>
      <c r="E259" s="2" cm="1">
        <f t="array" ref="E259">TrajectoryToComeUp(E$247:E$250,$A259)</f>
        <v>-0.28853071182020612</v>
      </c>
      <c r="F259" s="2" cm="1">
        <f t="array" ref="F259">TrajectoryToComeUp(F$247:F$250,$A259)</f>
        <v>-0.92986407490588263</v>
      </c>
      <c r="G259" s="2" cm="1">
        <f t="array" ref="G259">TrajectoryToComeUp(G$247:G$250,$A259)</f>
        <v>-2.4620062080120317</v>
      </c>
      <c r="H259" s="2" cm="1">
        <f t="array" ref="H259">TrajectoryToComeUp(H$247:H$250,$A259)</f>
        <v>-2.510077232754405</v>
      </c>
      <c r="I259" s="2" cm="1">
        <f t="array" ref="I259">EvaluatePolynomial(I$247:I$250,$A259)</f>
        <v>3052.3610577333466</v>
      </c>
    </row>
    <row r="260" spans="1:9" x14ac:dyDescent="0.25">
      <c r="A260" s="1">
        <v>75</v>
      </c>
      <c r="B260" s="2" cm="1">
        <f t="array" ref="B260">TrajectoryToComeUp(B$247:B$249,$A260)</f>
        <v>-0.54754172790541011</v>
      </c>
      <c r="C260" s="2" cm="1">
        <f t="array" ref="C260">TrajectoryToComeUp(C$247:C$250,$A260)</f>
        <v>7.3359773580689153E-2</v>
      </c>
      <c r="D260" s="2" cm="1">
        <f t="array" ref="D260">TrajectoryToComeUp(D$247:D$250,$A260)</f>
        <v>-0.33160565398798358</v>
      </c>
      <c r="E260" s="2" cm="1">
        <f t="array" ref="E260">TrajectoryToComeUp(E$247:E$250,$A260)</f>
        <v>-0.45910283251912376</v>
      </c>
      <c r="F260" s="2" cm="1">
        <f t="array" ref="F260">TrajectoryToComeUp(F$247:F$250,$A260)</f>
        <v>-1.1045115150946121</v>
      </c>
      <c r="G260" s="2" cm="1">
        <f t="array" ref="G260">TrajectoryToComeUp(G$247:G$250,$A260)</f>
        <v>-2.6740631933064511</v>
      </c>
      <c r="H260" s="2" cm="1">
        <f t="array" ref="H260">TrajectoryToComeUp(H$247:H$250,$A260)</f>
        <v>-2.6999642558841748</v>
      </c>
      <c r="I260" s="2" cm="1">
        <f t="array" ref="I260">EvaluatePolynomial(I$247:I$250,$A260)</f>
        <v>3009.0290509093234</v>
      </c>
    </row>
    <row r="261" spans="1:9" x14ac:dyDescent="0.25">
      <c r="A261" s="1">
        <v>100</v>
      </c>
      <c r="B261" s="2" cm="1">
        <f t="array" ref="B261">TrajectoryToComeUp(B$247:B$249,$A261)</f>
        <v>-0.56766083835215597</v>
      </c>
      <c r="C261" s="2" cm="1">
        <f t="array" ref="C261">TrajectoryToComeUp(C$247:C$250,$A261)</f>
        <v>5.4802267256987891E-2</v>
      </c>
      <c r="D261" s="2" cm="1">
        <f t="array" ref="D261">TrajectoryToComeUp(D$247:D$250,$A261)</f>
        <v>-0.30217395224446869</v>
      </c>
      <c r="E261" s="2" cm="1">
        <f t="array" ref="E261">TrajectoryToComeUp(E$247:E$250,$A261)</f>
        <v>-0.46805564132623845</v>
      </c>
      <c r="F261" s="2" cm="1">
        <f t="array" ref="F261">TrajectoryToComeUp(F$247:F$250,$A261)</f>
        <v>-1.1225617703028989</v>
      </c>
      <c r="G261" s="2" cm="1">
        <f t="array" ref="G261">TrajectoryToComeUp(G$247:G$250,$A261)</f>
        <v>-2.6450937513346977</v>
      </c>
      <c r="H261" s="2" cm="1">
        <f t="array" ref="H261">TrajectoryToComeUp(H$247:H$250,$A261)</f>
        <v>-2.7189243072599938</v>
      </c>
      <c r="I261" s="2" cm="1">
        <f t="array" ref="I261">EvaluatePolynomial(I$247:I$250,$A261)</f>
        <v>2965.8394912217236</v>
      </c>
    </row>
    <row r="262" spans="1:9" x14ac:dyDescent="0.25">
      <c r="A262" s="1">
        <v>125</v>
      </c>
      <c r="B262" s="2" cm="1">
        <f t="array" ref="B262">TrajectoryToComeUp(B$247:B$249,$A262)</f>
        <v>-0.48866578198248567</v>
      </c>
      <c r="C262" s="2" cm="1">
        <f t="array" ref="C262">TrajectoryToComeUp(C$247:C$250,$A262)</f>
        <v>0.10169481454643643</v>
      </c>
      <c r="D262" s="2" cm="1">
        <f t="array" ref="D262">TrajectoryToComeUp(D$247:D$250,$A262)</f>
        <v>-0.19571908808545044</v>
      </c>
      <c r="E262" s="2" cm="1">
        <f t="array" ref="E262">TrajectoryToComeUp(E$247:E$250,$A262)</f>
        <v>-0.40795327103723955</v>
      </c>
      <c r="F262" s="2" cm="1">
        <f t="array" ref="F262">TrajectoryToComeUp(F$247:F$250,$A262)</f>
        <v>-1.0735571336875047</v>
      </c>
      <c r="G262" s="2" cm="1">
        <f t="array" ref="G262">TrajectoryToComeUp(G$247:G$250,$A262)</f>
        <v>-2.5203006066812255</v>
      </c>
      <c r="H262" s="2" cm="1">
        <f t="array" ref="H262">TrajectoryToComeUp(H$247:H$250,$A262)</f>
        <v>-2.6661286023352262</v>
      </c>
      <c r="I262" s="2" cm="1">
        <f t="array" ref="I262">EvaluatePolynomial(I$247:I$250,$A262)</f>
        <v>2922.841022425715</v>
      </c>
    </row>
    <row r="263" spans="1:9" x14ac:dyDescent="0.25">
      <c r="A263" s="1">
        <v>150</v>
      </c>
      <c r="B263" s="2" cm="1">
        <f t="array" ref="B263">TrajectoryToComeUp(B$247:B$249,$A263)</f>
        <v>-0.3601136422046074</v>
      </c>
      <c r="C263" s="2" cm="1">
        <f t="array" ref="C263">TrajectoryToComeUp(C$247:C$250,$A263)</f>
        <v>0.18604045801340127</v>
      </c>
      <c r="D263" s="2" cm="1">
        <f t="array" ref="D263">TrajectoryToComeUp(D$247:D$250,$A263)</f>
        <v>-5.1821053986539023E-2</v>
      </c>
      <c r="E263" s="2" cm="1">
        <f t="array" ref="E263">TrajectoryToComeUp(E$247:E$250,$A263)</f>
        <v>-0.30965043258402353</v>
      </c>
      <c r="F263" s="2" cm="1">
        <f t="array" ref="F263">TrajectoryToComeUp(F$247:F$250,$A263)</f>
        <v>-0.98734503630068304</v>
      </c>
      <c r="G263" s="2" cm="1">
        <f t="array" ref="G263">TrajectoryToComeUp(G$247:G$250,$A263)</f>
        <v>-2.3480846675408498</v>
      </c>
      <c r="H263" s="2" cm="1">
        <f t="array" ref="H263">TrajectoryToComeUp(H$247:H$250,$A263)</f>
        <v>-2.5746342129276578</v>
      </c>
      <c r="I263" s="2" cm="1">
        <f t="array" ref="I263">EvaluatePolynomial(I$247:I$250,$A263)</f>
        <v>2880.0822882764655</v>
      </c>
    </row>
    <row r="264" spans="1:9" x14ac:dyDescent="0.25">
      <c r="A264" s="1">
        <v>175</v>
      </c>
      <c r="B264" s="2" cm="1">
        <f t="array" ref="B264">TrajectoryToComeUp(B$247:B$249,$A264)</f>
        <v>-0.20324316905061005</v>
      </c>
      <c r="C264" s="2" cm="1">
        <f t="array" ref="C264">TrajectoryToComeUp(C$247:C$250,$A264)</f>
        <v>0.29584050161403941</v>
      </c>
      <c r="D264" s="2" cm="1">
        <f t="array" ref="D264">TrajectoryToComeUp(D$247:D$250,$A264)</f>
        <v>0.11255729613414719</v>
      </c>
      <c r="E264" s="2" cm="1">
        <f t="array" ref="E264">TrajectoryToComeUp(E$247:E$250,$A264)</f>
        <v>-0.1863705735088316</v>
      </c>
      <c r="F264" s="2" cm="1">
        <f t="array" ref="F264">TrajectoryToComeUp(F$247:F$250,$A264)</f>
        <v>-0.87671723430768489</v>
      </c>
      <c r="G264" s="2" cm="1">
        <f t="array" ref="G264">TrajectoryToComeUp(G$247:G$250,$A264)</f>
        <v>-2.1491891802827796</v>
      </c>
      <c r="H264" s="2" cm="1">
        <f t="array" ref="H264">TrajectoryToComeUp(H$247:H$250,$A264)</f>
        <v>-2.4586084555306282</v>
      </c>
      <c r="I264" s="2" cm="1">
        <f t="array" ref="I264">EvaluatePolynomial(I$247:I$250,$A264)</f>
        <v>2837.6119325291429</v>
      </c>
    </row>
    <row r="265" spans="1:9" x14ac:dyDescent="0.25">
      <c r="A265" s="1">
        <v>200</v>
      </c>
      <c r="B265" s="2" cm="1">
        <f t="array" ref="B265">TrajectoryToComeUp(B$247:B$249,$A265)</f>
        <v>-2.867373753653828E-2</v>
      </c>
      <c r="C265" s="2" cm="1">
        <f t="array" ref="C265">TrajectoryToComeUp(C$247:C$250,$A265)</f>
        <v>0.42509559732642949</v>
      </c>
      <c r="D265" s="2" cm="1">
        <f t="array" ref="D265">TrajectoryToComeUp(D$247:D$250,$A265)</f>
        <v>0.28893453531754903</v>
      </c>
      <c r="E265" s="2" cm="1">
        <f t="array" ref="E265">TrajectoryToComeUp(E$247:E$250,$A265)</f>
        <v>-4.4725417582784747E-2</v>
      </c>
      <c r="F265" s="2" cm="1">
        <f t="array" ref="F265">TrajectoryToComeUp(F$247:F$250,$A265)</f>
        <v>-0.74806960579113679</v>
      </c>
      <c r="G265" s="2" cm="1">
        <f t="array" ref="G265">TrajectoryToComeUp(G$247:G$250,$A265)</f>
        <v>-1.9339857680916177</v>
      </c>
      <c r="H265" s="2" cm="1">
        <f t="array" ref="H265">TrajectoryToComeUp(H$247:H$250,$A265)</f>
        <v>-2.3251349883908046</v>
      </c>
      <c r="I265" s="2" cm="1">
        <f t="array" ref="I265">EvaluatePolynomial(I$247:I$250,$A265)</f>
        <v>2795.4785989389156</v>
      </c>
    </row>
    <row r="266" spans="1:9" x14ac:dyDescent="0.25">
      <c r="A266" s="1">
        <v>225</v>
      </c>
      <c r="B266" s="2" cm="1">
        <f t="array" ref="B266">TrajectoryToComeUp(B$247:B$249,$A266)</f>
        <v>0.15769499955091626</v>
      </c>
      <c r="C266" s="2" cm="1">
        <f t="array" ref="C266">TrajectoryToComeUp(C$247:C$250,$A266)</f>
        <v>0.57047277402728147</v>
      </c>
      <c r="D266" s="2" cm="1">
        <f t="array" ref="D266">TrajectoryToComeUp(D$247:D$250,$A266)</f>
        <v>0.47259875969752235</v>
      </c>
      <c r="E266" s="2" cm="1">
        <f t="array" ref="E266">TrajectoryToComeUp(E$247:E$250,$A266)</f>
        <v>0.11161185532127274</v>
      </c>
      <c r="F266" s="2" cm="1">
        <f t="array" ref="F266">TrajectoryToComeUp(F$247:F$250,$A266)</f>
        <v>-0.60495541635249683</v>
      </c>
      <c r="G266" s="2" cm="1">
        <f t="array" ref="G266">TrajectoryToComeUp(G$247:G$250,$A266)</f>
        <v>-1.7082364438476998</v>
      </c>
      <c r="H266" s="2" cm="1">
        <f t="array" ref="H266">TrajectoryToComeUp(H$247:H$250,$A266)</f>
        <v>-2.1781491772007815</v>
      </c>
      <c r="I266" s="2" cm="1">
        <f t="array" ref="I266">EvaluatePolynomial(I$247:I$250,$A266)</f>
        <v>2753.7309312609514</v>
      </c>
    </row>
    <row r="267" spans="1:9" x14ac:dyDescent="0.25">
      <c r="A267" s="1">
        <v>250</v>
      </c>
      <c r="B267" s="2" cm="1">
        <f t="array" ref="B267">TrajectoryToComeUp(B$247:B$249,$A267)</f>
        <v>0.35232325053973879</v>
      </c>
      <c r="C267" s="2" cm="1">
        <f t="array" ref="C267">TrajectoryToComeUp(C$247:C$250,$A267)</f>
        <v>0.72997224904262226</v>
      </c>
      <c r="D267" s="2" cm="1">
        <f t="array" ref="D267">TrajectoryToComeUp(D$247:D$250,$A267)</f>
        <v>0.66072282695438089</v>
      </c>
      <c r="E267" s="2" cm="1">
        <f t="array" ref="E267">TrajectoryToComeUp(E$247:E$250,$A267)</f>
        <v>0.28043733727963366</v>
      </c>
      <c r="F267" s="2" cm="1">
        <f t="array" ref="F267">TrajectoryToComeUp(F$247:F$250,$A267)</f>
        <v>-0.44950662535264063</v>
      </c>
      <c r="G267" s="2" cm="1">
        <f t="array" ref="G267">TrajectoryToComeUp(G$247:G$250,$A267)</f>
        <v>-1.4753984152792272</v>
      </c>
      <c r="H267" s="2" cm="1">
        <f t="array" ref="H267">TrajectoryToComeUp(H$247:H$250,$A267)</f>
        <v>-2.0200122413761146</v>
      </c>
      <c r="I267" s="2" cm="1">
        <f t="array" ref="I267">EvaluatePolynomial(I$247:I$250,$A267)</f>
        <v>2712.4175732504177</v>
      </c>
    </row>
    <row r="268" spans="1:9" x14ac:dyDescent="0.25">
      <c r="A268" s="1">
        <v>275</v>
      </c>
      <c r="B268" s="2" cm="1">
        <f t="array" ref="B268">TrajectoryToComeUp(B$247:B$249,$A268)</f>
        <v>0.55295842072955625</v>
      </c>
      <c r="C268" s="2" cm="1">
        <f t="array" ref="C268">TrajectoryToComeUp(C$247:C$250,$A268)</f>
        <v>0.90232143339810433</v>
      </c>
      <c r="D268" s="2" cm="1">
        <f t="array" ref="D268">TrajectoryToComeUp(D$247:D$250,$A268)</f>
        <v>0.85150764652105149</v>
      </c>
      <c r="E268" s="2" cm="1">
        <f t="array" ref="E268">TrajectoryToComeUp(E$247:E$250,$A268)</f>
        <v>0.46034854143175713</v>
      </c>
      <c r="F268" s="2" cm="1">
        <f t="array" ref="F268">TrajectoryToComeUp(F$247:F$250,$A268)</f>
        <v>-0.28307993420303418</v>
      </c>
      <c r="G268" s="2" cm="1">
        <f t="array" ref="G268">TrajectoryToComeUp(G$247:G$250,$A268)</f>
        <v>-1.2376717236677826</v>
      </c>
      <c r="H268" s="2" cm="1">
        <f t="array" ref="H268">TrajectoryToComeUp(H$247:H$250,$A268)</f>
        <v>-1.8522267750903405</v>
      </c>
      <c r="I268" s="2" cm="1">
        <f t="array" ref="I268">EvaluatePolynomial(I$247:I$250,$A268)</f>
        <v>2671.5871686624828</v>
      </c>
    </row>
    <row r="269" spans="1:9" x14ac:dyDescent="0.25">
      <c r="A269" s="1">
        <v>300</v>
      </c>
      <c r="B269" s="2" cm="1">
        <f t="array" ref="B269">TrajectoryToComeUp(B$247:B$249,$A269)</f>
        <v>0.75809878032012001</v>
      </c>
      <c r="C269" s="2" cm="1">
        <f t="array" ref="C269">TrajectoryToComeUp(C$247:C$250,$A269)</f>
        <v>1.0866719344441631</v>
      </c>
      <c r="D269" s="2" cm="1">
        <f t="array" ref="D269">TrajectoryToComeUp(D$247:D$250,$A269)</f>
        <v>1.0437538246861517</v>
      </c>
      <c r="E269" s="2" cm="1">
        <f t="array" ref="E269">TrajectoryToComeUp(E$247:E$250,$A269)</f>
        <v>0.65041047653728312</v>
      </c>
      <c r="F269" s="2" cm="1">
        <f t="array" ref="F269">TrajectoryToComeUp(F$247:F$250,$A269)</f>
        <v>-0.10657981051132188</v>
      </c>
      <c r="G269" s="2" cm="1">
        <f t="array" ref="G269">TrajectoryToComeUp(G$247:G$250,$A269)</f>
        <v>-0.99652306320108774</v>
      </c>
      <c r="H269" s="2" cm="1">
        <f t="array" ref="H269">TrajectoryToComeUp(H$247:H$250,$A269)</f>
        <v>-1.675794507792483</v>
      </c>
      <c r="I269" s="2" cm="1">
        <f t="array" ref="I269">EvaluatePolynomial(I$247:I$250,$A269)</f>
        <v>2631.2883612523151</v>
      </c>
    </row>
    <row r="270" spans="1:9" x14ac:dyDescent="0.25">
      <c r="A270" s="1">
        <v>325</v>
      </c>
      <c r="B270" s="2" cm="1">
        <f t="array" ref="B270">TrajectoryToComeUp(B$247:B$249,$A270)</f>
        <v>0.96670467021895001</v>
      </c>
      <c r="C270" s="2" cm="1">
        <f t="array" ref="C270">TrajectoryToComeUp(C$247:C$250,$A270)</f>
        <v>1.2824364034234075</v>
      </c>
      <c r="D270" s="2" cm="1">
        <f t="array" ref="D270">TrajectoryToComeUp(D$247:D$250,$A270)</f>
        <v>1.2366310119571868</v>
      </c>
      <c r="E270" s="2" cm="1">
        <f t="array" ref="E270">TrajectoryToComeUp(E$247:E$250,$A270)</f>
        <v>0.84997584096826895</v>
      </c>
      <c r="F270" s="2" cm="1">
        <f t="array" ref="F270">TrajectoryToComeUp(F$247:F$250,$A270)</f>
        <v>7.9367575840281826E-2</v>
      </c>
      <c r="G270" s="2" cm="1">
        <f t="array" ref="G270">TrajectoryToComeUp(G$247:G$250,$A270)</f>
        <v>-0.75296783754756502</v>
      </c>
      <c r="H270" s="2" cm="1">
        <f t="array" ref="H270">TrajectoryToComeUp(H$247:H$250,$A270)</f>
        <v>-1.4914089444857113</v>
      </c>
      <c r="I270" s="2" cm="1">
        <f t="array" ref="I270">EvaluatePolynomial(I$247:I$250,$A270)</f>
        <v>2591.5697947750818</v>
      </c>
    </row>
    <row r="271" spans="1:9" x14ac:dyDescent="0.25">
      <c r="A271" s="1">
        <v>350</v>
      </c>
      <c r="B271" s="2" cm="1">
        <f t="array" ref="B271">TrajectoryToComeUp(B$247:B$249,$A271)</f>
        <v>1.1780334767885605</v>
      </c>
      <c r="C271" s="2" cm="1">
        <f t="array" ref="C271">TrajectoryToComeUp(C$247:C$250,$A271)</f>
        <v>1.4891953055091303</v>
      </c>
      <c r="D271" s="2" cm="1">
        <f t="array" ref="D271">TrajectoryToComeUp(D$247:D$250,$A271)</f>
        <v>1.4295461015538025</v>
      </c>
      <c r="E271" s="2" cm="1">
        <f t="array" ref="E271">TrajectoryToComeUp(E$247:E$250,$A271)</f>
        <v>1.0585822764190427</v>
      </c>
      <c r="F271" s="2" cm="1">
        <f t="array" ref="F271">TrajectoryToComeUp(F$247:F$250,$A271)</f>
        <v>0.27431496065019439</v>
      </c>
      <c r="G271" s="2" cm="1">
        <f t="array" ref="G271">TrajectoryToComeUp(G$247:G$250,$A271)</f>
        <v>-0.50773133504180235</v>
      </c>
      <c r="H271" s="2" cm="1">
        <f t="array" ref="H271">TrajectoryToComeUp(H$247:H$250,$A271)</f>
        <v>-1.2995654458865771</v>
      </c>
      <c r="I271" s="2" cm="1">
        <f t="array" ref="I271">EvaluatePolynomial(I$247:I$250,$A271)</f>
        <v>2552.4801129859511</v>
      </c>
    </row>
    <row r="272" spans="1:9" x14ac:dyDescent="0.25">
      <c r="A272" s="1">
        <v>375</v>
      </c>
      <c r="B272" s="2" cm="1">
        <f t="array" ref="B272">TrajectoryToComeUp(B$247:B$249,$A272)</f>
        <v>1.3915406166947959</v>
      </c>
      <c r="C272" s="2" cm="1">
        <f t="array" ref="C272">TrajectoryToComeUp(C$247:C$250,$A272)</f>
        <v>1.7066409818284118</v>
      </c>
      <c r="D272" s="2" cm="1">
        <f t="array" ref="D272">TrajectoryToComeUp(D$247:D$250,$A272)</f>
        <v>1.6220641485037399</v>
      </c>
      <c r="E272" s="2" cm="1">
        <f t="array" ref="E272">TrajectoryToComeUp(E$247:E$250,$A272)</f>
        <v>1.275890720132111</v>
      </c>
      <c r="F272" s="2" cm="1">
        <f t="array" ref="F272">TrajectoryToComeUp(F$247:F$250,$A272)</f>
        <v>0.47793435017058855</v>
      </c>
      <c r="G272" s="2" cm="1">
        <f t="array" ref="G272">TrajectoryToComeUp(G$247:G$250,$A272)</f>
        <v>-0.26134543379583064</v>
      </c>
      <c r="H272" s="2" cm="1">
        <f t="array" ref="H272">TrajectoryToComeUp(H$247:H$250,$A272)</f>
        <v>-1.1006272765205496</v>
      </c>
      <c r="I272" s="2" cm="1">
        <f t="array" ref="I272">EvaluatePolynomial(I$247:I$250,$A272)</f>
        <v>2514.0679596400905</v>
      </c>
    </row>
    <row r="273" spans="1:9" x14ac:dyDescent="0.25">
      <c r="A273" s="1">
        <v>400</v>
      </c>
      <c r="B273" s="2" cm="1">
        <f t="array" ref="B273">TrajectoryToComeUp(B$247:B$249,$A273)</f>
        <v>1.6068176524370383</v>
      </c>
      <c r="C273" s="2" cm="1">
        <f t="array" ref="C273">TrajectoryToComeUp(C$247:C$250,$A273)</f>
        <v>1.9345426882265633</v>
      </c>
      <c r="D273" s="2" cm="1">
        <f t="array" ref="D273">TrajectoryToComeUp(D$247:D$250,$A273)</f>
        <v>1.8138589440778032</v>
      </c>
      <c r="E273" s="2" cm="1">
        <f t="array" ref="E273">TrajectoryToComeUp(E$247:E$250,$A273)</f>
        <v>1.5016468750393528</v>
      </c>
      <c r="F273" s="2" cm="1">
        <f t="array" ref="F273">TrajectoryToComeUp(F$247:F$250,$A273)</f>
        <v>0.68997974909059456</v>
      </c>
      <c r="G273" s="2" cm="1">
        <f t="array" ref="G273">TrajectoryToComeUp(G$247:G$250,$A273)</f>
        <v>-1.4209042393673156E-2</v>
      </c>
      <c r="H273" s="2" cm="1">
        <f t="array" ref="H273">TrajectoryToComeUp(H$247:H$250,$A273)</f>
        <v>-0.89486688478173215</v>
      </c>
      <c r="I273" s="2" cm="1">
        <f t="array" ref="I273">EvaluatePolynomial(I$247:I$250,$A273)</f>
        <v>2476.3819784926691</v>
      </c>
    </row>
    <row r="274" spans="1:9" x14ac:dyDescent="0.25">
      <c r="A274" s="1">
        <v>425</v>
      </c>
      <c r="B274" s="2" cm="1">
        <f t="array" ref="B274">TrajectoryToComeUp(B$247:B$249,$A274)</f>
        <v>1.823552249455993</v>
      </c>
      <c r="C274" s="2" cm="1">
        <f t="array" ref="C274">TrajectoryToComeUp(C$247:C$250,$A274)</f>
        <v>2.1727239732911747</v>
      </c>
      <c r="D274" s="2" cm="1">
        <f t="array" ref="D274">TrajectoryToComeUp(D$247:D$250,$A274)</f>
        <v>2.0046810345419037</v>
      </c>
      <c r="E274" s="2" cm="1">
        <f t="array" ref="E274">TrajectoryToComeUp(E$247:E$250,$A274)</f>
        <v>1.7356562786769125</v>
      </c>
      <c r="F274" s="2" cm="1">
        <f t="array" ref="F274">TrajectoryToComeUp(F$247:F$250,$A274)</f>
        <v>0.91026304334895869</v>
      </c>
      <c r="G274" s="2" cm="1">
        <f t="array" ref="G274">TrajectoryToComeUp(G$247:G$250,$A274)</f>
        <v>0.23337279142394651</v>
      </c>
      <c r="H274" s="2" cm="1">
        <f t="array" ref="H274">TrajectoryToComeUp(H$247:H$250,$A274)</f>
        <v>-0.68249261355973179</v>
      </c>
      <c r="I274" s="2" cm="1">
        <f t="array" ref="I274">EvaluatePolynomial(I$247:I$250,$A274)</f>
        <v>2439.4708132988535</v>
      </c>
    </row>
    <row r="275" spans="1:9" x14ac:dyDescent="0.25">
      <c r="A275" s="1">
        <v>450</v>
      </c>
      <c r="B275" s="2" cm="1">
        <f t="array" ref="B275">TrajectoryToComeUp(B$247:B$249,$A275)</f>
        <v>2.0415014808722076</v>
      </c>
      <c r="C275" s="2" cm="1">
        <f t="array" ref="C275">TrajectoryToComeUp(C$247:C$250,$A275)</f>
        <v>2.4210475970348173</v>
      </c>
      <c r="D275" s="2" cm="1">
        <f t="array" ref="D275">TrajectoryToComeUp(D$247:D$250,$A275)</f>
        <v>2.1943364003250823</v>
      </c>
      <c r="E275" s="2" cm="1">
        <f t="array" ref="E275">TrajectoryToComeUp(E$247:E$250,$A275)</f>
        <v>1.9777676824617905</v>
      </c>
      <c r="F275" s="2" cm="1">
        <f t="array" ref="F275">TrajectoryToComeUp(F$247:F$250,$A275)</f>
        <v>1.13863792200915</v>
      </c>
      <c r="G275" s="2" cm="1">
        <f t="array" ref="G275">TrajectoryToComeUp(G$247:G$250,$A275)</f>
        <v>0.48116280830313113</v>
      </c>
      <c r="H275" s="2" cm="1">
        <f t="array" ref="H275">TrajectoryToComeUp(H$247:H$250,$A275)</f>
        <v>-0.4636665073242448</v>
      </c>
      <c r="I275" s="2" cm="1">
        <f t="array" ref="I275">EvaluatePolynomial(I$247:I$250,$A275)</f>
        <v>2403.3831078138123</v>
      </c>
    </row>
    <row r="276" spans="1:9" x14ac:dyDescent="0.25">
      <c r="A276" s="1">
        <v>475</v>
      </c>
      <c r="B276" s="2" cm="1">
        <f t="array" ref="B276">TrajectoryToComeUp(B$247:B$249,$A276)</f>
        <v>2.2604735623071672</v>
      </c>
      <c r="C276" s="2" cm="1">
        <f t="array" ref="C276">TrajectoryToComeUp(C$247:C$250,$A276)</f>
        <v>2.6794052120989926</v>
      </c>
      <c r="D276" s="2" cm="1">
        <f t="array" ref="D276">TrajectoryToComeUp(D$247:D$250,$A276)</f>
        <v>2.3826718680818453</v>
      </c>
      <c r="E276" s="2" cm="1">
        <f t="array" ref="E276">TrajectoryToComeUp(E$247:E$250,$A276)</f>
        <v>2.2278616796179347</v>
      </c>
      <c r="F276" s="2" cm="1">
        <f t="array" ref="F276">TrajectoryToComeUp(F$247:F$250,$A276)</f>
        <v>1.374988876437065</v>
      </c>
      <c r="G276" s="2" cm="1">
        <f t="array" ref="G276">TrajectoryToComeUp(G$247:G$250,$A276)</f>
        <v>0.7289736982276489</v>
      </c>
      <c r="H276" s="2" cm="1">
        <f t="array" ref="H276">TrajectoryToComeUp(H$247:H$250,$A276)</f>
        <v>-0.23851649591976595</v>
      </c>
      <c r="I276" s="2" cm="1">
        <f t="array" ref="I276">EvaluatePolynomial(I$247:I$250,$A276)</f>
        <v>2368.1675057927137</v>
      </c>
    </row>
    <row r="277" spans="1:9" x14ac:dyDescent="0.25">
      <c r="A277" s="10">
        <v>500</v>
      </c>
      <c r="B277" s="2" cm="1">
        <f t="array" ref="B277">TrajectoryToComeUp(B$247:B$249,$A277)</f>
        <v>2.4803150662580609</v>
      </c>
      <c r="C277" s="2" cm="1">
        <f t="array" ref="C277">TrajectoryToComeUp(C$247:C$250,$A277)</f>
        <v>2.9477101405969046</v>
      </c>
      <c r="D277" s="2" cm="1">
        <f t="array" ref="D277">TrajectoryToComeUp(D$247:D$250,$A277)</f>
        <v>2.5695648991357962</v>
      </c>
      <c r="E277" s="2" cm="1">
        <f t="array" ref="E277">TrajectoryToComeUp(E$247:E$250,$A277)</f>
        <v>2.4858427447245033</v>
      </c>
      <c r="F277" s="2" cm="1">
        <f t="array" ref="F277">TrajectoryToComeUp(F$247:F$250,$A277)</f>
        <v>1.6192234997254225</v>
      </c>
      <c r="G277" s="2" cm="1">
        <f t="array" ref="G277">TrajectoryToComeUp(G$247:G$250,$A277)</f>
        <v>0.97665561318451177</v>
      </c>
      <c r="H277" s="2" cm="1">
        <f t="array" ref="H277">TrajectoryToComeUp(H$247:H$250,$A277)</f>
        <v>-7.1449232218932738E-3</v>
      </c>
      <c r="I277" s="2" cm="1">
        <f t="array" ref="I277">EvaluatePolynomial(I$247:I$250,$A277)</f>
        <v>2333.8726509907247</v>
      </c>
    </row>
  </sheetData>
  <mergeCells count="3">
    <mergeCell ref="C20:G20"/>
    <mergeCell ref="J20:N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42155-17DB-4432-9E7B-C04BC33D6407}">
  <sheetPr codeName="Sheet5"/>
  <dimension ref="A1:S277"/>
  <sheetViews>
    <sheetView workbookViewId="0">
      <selection activeCell="O19" sqref="O19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19.8554687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t="s">
        <v>18</v>
      </c>
      <c r="B1" t="s">
        <v>38</v>
      </c>
      <c r="C1" t="s">
        <v>39</v>
      </c>
      <c r="D1" t="s">
        <v>112</v>
      </c>
      <c r="F1" s="35" t="s">
        <v>63</v>
      </c>
      <c r="G1" s="35"/>
      <c r="H1" s="35"/>
      <c r="I1" s="35"/>
    </row>
    <row r="2" spans="1:9" x14ac:dyDescent="0.25">
      <c r="A2" t="s">
        <v>20</v>
      </c>
      <c r="B2" s="2">
        <v>143</v>
      </c>
      <c r="C2" s="2">
        <f>CONVERT($B$2,"grain","g")</f>
        <v>9.2662441300000005</v>
      </c>
      <c r="F2" t="s">
        <v>64</v>
      </c>
      <c r="G2" s="2">
        <v>143</v>
      </c>
      <c r="H2" s="2">
        <f>CONVERT($G$2,"grain","g")</f>
        <v>9.2662441300000005</v>
      </c>
    </row>
    <row r="3" spans="1:9" x14ac:dyDescent="0.25">
      <c r="A3" t="s">
        <v>0</v>
      </c>
      <c r="B3" s="2">
        <v>0.26400000000000001</v>
      </c>
      <c r="C3" s="2">
        <f>CONVERT($B$3,"in","mm")</f>
        <v>6.7055999999999996</v>
      </c>
      <c r="F3" t="s">
        <v>65</v>
      </c>
      <c r="G3" s="2">
        <v>0.26400000000000001</v>
      </c>
      <c r="H3" s="2">
        <f>CONVERT($G$3,"in","mm")</f>
        <v>6.7055999999999996</v>
      </c>
    </row>
    <row r="4" spans="1:9" x14ac:dyDescent="0.25">
      <c r="A4" t="s">
        <v>11</v>
      </c>
      <c r="B4" s="2">
        <v>0.625</v>
      </c>
      <c r="C4" s="2"/>
      <c r="F4" t="s">
        <v>11</v>
      </c>
      <c r="G4" s="2" t="s">
        <v>89</v>
      </c>
      <c r="H4" s="2"/>
    </row>
    <row r="5" spans="1:9" x14ac:dyDescent="0.25">
      <c r="A5" t="s">
        <v>21</v>
      </c>
      <c r="B5" s="2">
        <v>0.625</v>
      </c>
      <c r="C5" s="2"/>
      <c r="F5" t="s">
        <v>21</v>
      </c>
      <c r="G5" s="2">
        <v>0.625</v>
      </c>
      <c r="H5" s="2"/>
    </row>
    <row r="6" spans="1:9" x14ac:dyDescent="0.25">
      <c r="A6" t="s">
        <v>22</v>
      </c>
      <c r="B6" s="2">
        <v>3137.5</v>
      </c>
      <c r="C6" s="2">
        <f>CONVERT($B$6,"J","flb")</f>
        <v>2314.1012433574201</v>
      </c>
      <c r="F6" t="s">
        <v>66</v>
      </c>
      <c r="G6" s="2" cm="1">
        <f t="array" ref="G6">MuzzleVelocityToMuzzleEnergyFtLb(G7,G2)</f>
        <v>2314.3541518109801</v>
      </c>
      <c r="H6" s="2" cm="1">
        <f t="array" ref="H6">MuzzleVelocityToMuzzleEnergyJoules(H7,H2)</f>
        <v>3137.8428978206211</v>
      </c>
    </row>
    <row r="7" spans="1:9" x14ac:dyDescent="0.25">
      <c r="A7" t="s">
        <v>19</v>
      </c>
      <c r="B7" s="2" cm="1">
        <f t="array" ref="B7">MuzzleEnergyToMuzzleVelocityMPS(B6,C2)</f>
        <v>822.91503297816291</v>
      </c>
      <c r="C7" s="2" cm="1">
        <f t="array" ref="C7">MuzzleEnergyToMuzzleVelocityFPS(C6,B2)</f>
        <v>2699.8524704007968</v>
      </c>
      <c r="F7" t="s">
        <v>67</v>
      </c>
      <c r="G7" s="2">
        <v>2700</v>
      </c>
      <c r="H7" s="2">
        <f>CONVERT($G$7,"ft","m")</f>
        <v>822.96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4</v>
      </c>
      <c r="C9" s="2">
        <f>CONVERT($B$9,"m/sec","km/hr")</f>
        <v>14.4</v>
      </c>
    </row>
    <row r="10" spans="1:9" x14ac:dyDescent="0.25">
      <c r="A10" t="s">
        <v>3</v>
      </c>
      <c r="B10" s="2">
        <v>180</v>
      </c>
      <c r="C10" s="2"/>
    </row>
    <row r="11" spans="1:9" x14ac:dyDescent="0.25">
      <c r="A11" s="22" t="s">
        <v>51</v>
      </c>
      <c r="B11" s="2">
        <v>0.25</v>
      </c>
      <c r="C11" s="26"/>
    </row>
    <row r="12" spans="1:9" x14ac:dyDescent="0.25">
      <c r="A12" s="22" t="s">
        <v>52</v>
      </c>
      <c r="B12" s="2" cm="1">
        <f t="array" ref="B12">MOAToMRAD($B$11)</f>
        <v>7.2722052166430393E-2</v>
      </c>
      <c r="C12" s="26">
        <f>$B$12/2</f>
        <v>3.6361026083215196E-2</v>
      </c>
    </row>
    <row r="13" spans="1:9" x14ac:dyDescent="0.25">
      <c r="A13" s="22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2" t="s">
        <v>5</v>
      </c>
      <c r="B14" t="s">
        <v>53</v>
      </c>
    </row>
    <row r="15" spans="1:9" x14ac:dyDescent="0.25">
      <c r="A15" t="s">
        <v>54</v>
      </c>
      <c r="B15" s="23" t="s">
        <v>55</v>
      </c>
      <c r="C15" s="23" t="s">
        <v>56</v>
      </c>
      <c r="D15" s="23" t="s">
        <v>57</v>
      </c>
      <c r="E15" s="23" t="s">
        <v>58</v>
      </c>
    </row>
    <row r="16" spans="1:9" x14ac:dyDescent="0.25">
      <c r="A16" s="22" t="s">
        <v>59</v>
      </c>
      <c r="B16" s="2">
        <v>0.25</v>
      </c>
      <c r="C16">
        <f>$B16/2</f>
        <v>0.125</v>
      </c>
      <c r="D16" s="2">
        <f>$B$16 * $B$18</f>
        <v>0.14544410433286079</v>
      </c>
      <c r="E16" s="24">
        <f>$D16/2</f>
        <v>7.2722052166430393E-2</v>
      </c>
    </row>
    <row r="17" spans="1:17" x14ac:dyDescent="0.25">
      <c r="A17" s="22" t="s">
        <v>60</v>
      </c>
      <c r="B17" s="2">
        <v>0.125</v>
      </c>
      <c r="C17">
        <f t="shared" ref="C17" si="0">$B17/2</f>
        <v>6.25E-2</v>
      </c>
      <c r="D17" s="2">
        <f>$B$17 * $B$18</f>
        <v>7.2722052166430393E-2</v>
      </c>
      <c r="E17" s="24">
        <f>$D17/2</f>
        <v>3.6361026083215196E-2</v>
      </c>
    </row>
    <row r="18" spans="1:17" x14ac:dyDescent="0.25">
      <c r="A18" s="11" t="s">
        <v>61</v>
      </c>
      <c r="B18" s="12">
        <f>$B$12/$B$17</f>
        <v>0.58177641733144314</v>
      </c>
      <c r="C18" s="2"/>
      <c r="J18" s="2">
        <v>3.75</v>
      </c>
      <c r="K18" s="2">
        <v>3.75</v>
      </c>
      <c r="L18" s="2">
        <v>3.75</v>
      </c>
      <c r="M18" s="2">
        <v>4.25</v>
      </c>
      <c r="N18" s="2">
        <v>4</v>
      </c>
      <c r="O18" s="2">
        <v>4</v>
      </c>
      <c r="P18" s="2">
        <v>3.75</v>
      </c>
    </row>
    <row r="19" spans="1:17" x14ac:dyDescent="0.25">
      <c r="A19" s="27" t="s">
        <v>62</v>
      </c>
      <c r="B19" s="28"/>
      <c r="C19" s="2">
        <f>$C$17*0.61+$C16*0.39</f>
        <v>8.6875000000000008E-2</v>
      </c>
      <c r="D19" s="2"/>
      <c r="E19" s="2" cm="1">
        <f t="array" ref="E19">ProbableAngularPOIError(D17,D16,B12,0.68)</f>
        <v>6.2438971640524865E-2</v>
      </c>
      <c r="J19" s="2"/>
      <c r="K19" s="2"/>
      <c r="L19" s="2"/>
      <c r="M19" s="2"/>
      <c r="N19" s="2"/>
      <c r="O19" s="2"/>
      <c r="P19" s="2"/>
    </row>
    <row r="20" spans="1:17" x14ac:dyDescent="0.25">
      <c r="C20" s="34" t="s">
        <v>24</v>
      </c>
      <c r="D20" s="34"/>
      <c r="E20" s="34"/>
      <c r="F20" s="34"/>
      <c r="G20" s="34"/>
      <c r="H20" s="13"/>
      <c r="I20" s="13"/>
      <c r="J20" s="34" t="s">
        <v>25</v>
      </c>
      <c r="K20" s="34"/>
      <c r="L20" s="34"/>
      <c r="M20" s="34"/>
      <c r="N20" s="34"/>
      <c r="O20" s="13"/>
      <c r="P20" s="13"/>
      <c r="Q20" s="29" t="s">
        <v>30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32</v>
      </c>
      <c r="I21" t="s">
        <v>33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32</v>
      </c>
      <c r="P21" s="30" t="s">
        <v>33</v>
      </c>
      <c r="Q21" s="29" t="s">
        <v>31</v>
      </c>
    </row>
    <row r="22" spans="1:17" x14ac:dyDescent="0.25">
      <c r="A22" s="1">
        <v>0</v>
      </c>
      <c r="B22" s="1">
        <v>3137.5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1">
        <f t="shared" si="1"/>
        <v>-3.81</v>
      </c>
      <c r="Q22" s="32">
        <v>0</v>
      </c>
    </row>
    <row r="23" spans="1:17" x14ac:dyDescent="0.25">
      <c r="A23" s="1">
        <v>25</v>
      </c>
      <c r="B23" s="1">
        <v>3055.4</v>
      </c>
      <c r="C23" s="6">
        <v>-0.26</v>
      </c>
      <c r="D23" s="6">
        <v>-0.4</v>
      </c>
      <c r="E23" s="6">
        <v>-0.33300000000000002</v>
      </c>
      <c r="F23" s="6">
        <v>-0.25</v>
      </c>
      <c r="G23" s="6">
        <v>-6.25E-2</v>
      </c>
      <c r="H23" s="6">
        <v>0.16700000000000001</v>
      </c>
      <c r="I23" s="14">
        <v>0.45</v>
      </c>
      <c r="J23" s="9" cm="1">
        <f t="array" ref="J23">TrajectoryDropInCM(C23,$A23,J$18)</f>
        <v>-2.4375007723831064</v>
      </c>
      <c r="K23" s="9" cm="1">
        <f t="array" ref="K23">TrajectoryDropInCM(D23,$A23,K$18)</f>
        <v>-3.7500028125025313</v>
      </c>
      <c r="L23" s="9" cm="1">
        <f t="array" ref="L23">TrajectoryDropInCM(E23,$A23,L$18)</f>
        <v>-3.1218766227272474</v>
      </c>
      <c r="M23" s="9" cm="1">
        <f t="array" ref="M23">TrajectoryDropInCM(F23,$A23,M$18)</f>
        <v>-2.65625099955286</v>
      </c>
      <c r="N23" s="9" cm="1">
        <f t="array" ref="N23">TrajectoryDropInCM(G23,$A23,N$18)</f>
        <v>-0.62500001302083352</v>
      </c>
      <c r="O23" s="9" cm="1">
        <f t="array" ref="O23">TrajectoryDropInCM(H23,$A23,O$18)</f>
        <v>1.6700002483980712</v>
      </c>
      <c r="P23" s="33" cm="1">
        <f t="array" ref="P23">TrajectoryDropInCM(I23,$A23,P$18)</f>
        <v>4.2187540045211627</v>
      </c>
      <c r="Q23" s="32" cm="1">
        <f t="array" ref="Q23">TrajectoryErrorCM($E$19,1,$A23)</f>
        <v>0.15609742910131216</v>
      </c>
    </row>
    <row r="24" spans="1:17" x14ac:dyDescent="0.25">
      <c r="A24" s="1">
        <v>50</v>
      </c>
      <c r="B24" s="1">
        <v>2969.1</v>
      </c>
      <c r="C24" s="7">
        <v>0</v>
      </c>
      <c r="D24" s="6">
        <v>-6.25E-2</v>
      </c>
      <c r="E24" s="6">
        <v>-3.1199999999999999E-2</v>
      </c>
      <c r="F24" s="6">
        <v>8.3000000000000004E-2</v>
      </c>
      <c r="G24" s="6">
        <v>0.25</v>
      </c>
      <c r="H24" s="6">
        <v>0.5</v>
      </c>
      <c r="I24" s="14">
        <v>0.75</v>
      </c>
      <c r="J24" s="9" cm="1">
        <f t="array" ref="J24">TrajectoryDropInCM(C24,$A24,J$18)</f>
        <v>0</v>
      </c>
      <c r="K24" s="9" cm="1">
        <f t="array" ref="K24">TrajectoryDropInCM(D24,$A24,K$18)</f>
        <v>-1.1718750214576725</v>
      </c>
      <c r="L24" s="9" cm="1">
        <f t="array" ref="L24">TrajectoryDropInCM(E24,$A24,L$18)</f>
        <v>-0.58500000266935503</v>
      </c>
      <c r="M24" s="9" cm="1">
        <f t="array" ref="M24">TrajectoryDropInCM(F24,$A24,M$18)</f>
        <v>1.763750073155981</v>
      </c>
      <c r="N24" s="9" cm="1">
        <f t="array" ref="N24">TrajectoryDropInCM(G24,$A24,N$18)</f>
        <v>5.0000016666673339</v>
      </c>
      <c r="O24" s="9" cm="1">
        <f t="array" ref="O24">TrajectoryDropInCM(H24,$A24,O$18)</f>
        <v>10.000013333354666</v>
      </c>
      <c r="P24" s="33" cm="1">
        <f t="array" ref="P24">TrajectoryDropInCM(I24,$A24,P$18)</f>
        <v>14.06253707897474</v>
      </c>
      <c r="Q24" s="32" cm="1">
        <f t="array" ref="Q24">TrajectoryErrorCM($E$19,1,$A24)</f>
        <v>0.31219485820262433</v>
      </c>
    </row>
    <row r="25" spans="1:17" x14ac:dyDescent="0.25">
      <c r="A25" s="1">
        <v>75</v>
      </c>
      <c r="B25" s="1">
        <v>2885.8</v>
      </c>
      <c r="C25" s="6">
        <v>0.1</v>
      </c>
      <c r="D25" s="6">
        <v>0</v>
      </c>
      <c r="E25" s="6">
        <v>6.25E-2</v>
      </c>
      <c r="F25" s="6">
        <v>0.125</v>
      </c>
      <c r="G25" s="6">
        <v>0.33300000000000002</v>
      </c>
      <c r="H25" s="6">
        <v>0.6</v>
      </c>
      <c r="I25" s="14">
        <v>0.83299999999999996</v>
      </c>
      <c r="J25" s="9" cm="1">
        <f t="array" ref="J25">TrajectoryDropInCM(C25,$A25,J$18)</f>
        <v>2.8125001318359453</v>
      </c>
      <c r="K25" s="9" cm="1">
        <f t="array" ref="K25">TrajectoryDropInCM(D25,$A25,K$18)</f>
        <v>0</v>
      </c>
      <c r="L25" s="9" cm="1">
        <f t="array" ref="L25">TrajectoryDropInCM(E25,$A25,L$18)</f>
        <v>1.757812532186509</v>
      </c>
      <c r="M25" s="9" cm="1">
        <f t="array" ref="M25">TrajectoryDropInCM(F25,$A25,M$18)</f>
        <v>3.9843753748321964</v>
      </c>
      <c r="N25" s="9" cm="1">
        <f t="array" ref="N25">TrajectoryDropInCM(G25,$A25,N$18)</f>
        <v>9.9900059081701151</v>
      </c>
      <c r="O25" s="9" cm="1">
        <f t="array" ref="O25">TrajectoryDropInCM(H25,$A25,O$18)</f>
        <v>18.000034560079627</v>
      </c>
      <c r="P25" s="33" cm="1">
        <f t="array" ref="P25">TrajectoryDropInCM(I25,$A25,P$18)</f>
        <v>23.428201202726623</v>
      </c>
      <c r="Q25" s="32" cm="1">
        <f t="array" ref="Q25">TrajectoryErrorCM($E$19,1,$A25)</f>
        <v>0.46829228730393652</v>
      </c>
    </row>
    <row r="26" spans="1:17" x14ac:dyDescent="0.25">
      <c r="A26" s="1">
        <v>100</v>
      </c>
      <c r="B26" s="1">
        <v>2792.3</v>
      </c>
      <c r="C26" s="6">
        <v>0.1</v>
      </c>
      <c r="D26" s="7">
        <v>0</v>
      </c>
      <c r="E26" s="6">
        <v>6.25E-2</v>
      </c>
      <c r="F26" s="6">
        <v>0.13</v>
      </c>
      <c r="G26" s="6">
        <v>0.33300000000000002</v>
      </c>
      <c r="H26" s="6">
        <v>0.61699999999999999</v>
      </c>
      <c r="I26" s="14">
        <v>0.85</v>
      </c>
      <c r="J26" s="9" cm="1">
        <f t="array" ref="J26">TrajectoryDropInCM(C26,$A26,J$18)</f>
        <v>3.7500001757812602</v>
      </c>
      <c r="K26" s="9" cm="1">
        <f t="array" ref="K26">TrajectoryDropInCM(D26,$A26,K$18)</f>
        <v>0</v>
      </c>
      <c r="L26" s="9" cm="1">
        <f t="array" ref="L26">TrajectoryDropInCM(E26,$A26,L$18)</f>
        <v>2.3437500429153451</v>
      </c>
      <c r="M26" s="9" cm="1">
        <f t="array" ref="M26">TrajectoryDropInCM(F26,$A26,M$18)</f>
        <v>5.5250005621803302</v>
      </c>
      <c r="N26" s="9" cm="1">
        <f t="array" ref="N26">TrajectoryDropInCM(G26,$A26,N$18)</f>
        <v>13.320007877560153</v>
      </c>
      <c r="O26" s="9" cm="1">
        <f t="array" ref="O26">TrajectoryDropInCM(H26,$A26,O$18)</f>
        <v>24.680050108946194</v>
      </c>
      <c r="P26" s="33" cm="1">
        <f t="array" ref="P26">TrajectoryDropInCM(I26,$A26,P$18)</f>
        <v>31.875107952098876</v>
      </c>
      <c r="Q26" s="32" cm="1">
        <f t="array" ref="Q26">TrajectoryErrorCM($E$19,1,$A26)</f>
        <v>0.62438971640524865</v>
      </c>
    </row>
    <row r="27" spans="1:17" x14ac:dyDescent="0.25">
      <c r="A27" s="1">
        <v>125</v>
      </c>
      <c r="B27" s="1">
        <v>2715.4</v>
      </c>
      <c r="C27" s="6">
        <v>0.1</v>
      </c>
      <c r="D27" s="6">
        <v>0</v>
      </c>
      <c r="E27" s="6">
        <v>6.25E-2</v>
      </c>
      <c r="F27" s="6">
        <v>0.125</v>
      </c>
      <c r="G27" s="6">
        <v>0.33300000000000002</v>
      </c>
      <c r="H27" s="6">
        <v>0.5625</v>
      </c>
      <c r="I27" s="14">
        <v>0.83299999999999996</v>
      </c>
      <c r="J27" s="9" cm="1">
        <f t="array" ref="J27">TrajectoryDropInCM(C27,$A27,J$18)</f>
        <v>4.6875002197265747</v>
      </c>
      <c r="K27" s="9" cm="1">
        <f t="array" ref="K27">TrajectoryDropInCM(D27,$A27,K$18)</f>
        <v>0</v>
      </c>
      <c r="L27" s="9" cm="1">
        <f t="array" ref="L27">TrajectoryDropInCM(E27,$A27,L$18)</f>
        <v>2.9296875536441815</v>
      </c>
      <c r="M27" s="9" cm="1">
        <f t="array" ref="M27">TrajectoryDropInCM(F27,$A27,M$18)</f>
        <v>6.640625624720327</v>
      </c>
      <c r="N27" s="9" cm="1">
        <f t="array" ref="N27">TrajectoryDropInCM(G27,$A27,N$18)</f>
        <v>16.650009846950191</v>
      </c>
      <c r="O27" s="9" cm="1">
        <f t="array" ref="O27">TrajectoryDropInCM(H27,$A27,O$18)</f>
        <v>28.125047461033603</v>
      </c>
      <c r="P27" s="33" cm="1">
        <f t="array" ref="P27">TrajectoryDropInCM(I27,$A27,P$18)</f>
        <v>39.047002004544375</v>
      </c>
      <c r="Q27" s="32" cm="1">
        <f t="array" ref="Q27">TrajectoryErrorCM($E$19,1,$A27)</f>
        <v>0.78048714550656084</v>
      </c>
    </row>
    <row r="28" spans="1:17" x14ac:dyDescent="0.25">
      <c r="A28" s="1">
        <v>150</v>
      </c>
      <c r="B28" s="1">
        <v>2629</v>
      </c>
      <c r="C28" s="6">
        <v>8.3000000000000004E-2</v>
      </c>
      <c r="D28" s="6">
        <v>-0.05</v>
      </c>
      <c r="E28" s="7">
        <v>0</v>
      </c>
      <c r="F28" s="6">
        <v>8.3000000000000004E-2</v>
      </c>
      <c r="G28" s="6">
        <v>0.3125</v>
      </c>
      <c r="H28" s="6">
        <v>0.55000000000000004</v>
      </c>
      <c r="I28" s="14">
        <v>0.8125</v>
      </c>
      <c r="J28" s="9" cm="1">
        <f t="array" ref="J28">TrajectoryDropInCM(C28,$A28,J$18)</f>
        <v>4.668750150764156</v>
      </c>
      <c r="K28" s="9" cm="1">
        <f t="array" ref="K28">TrajectoryDropInCM(D28,$A28,K$18)</f>
        <v>-2.8125000329589844</v>
      </c>
      <c r="L28" s="9" cm="1">
        <f t="array" ref="L28">TrajectoryDropInCM(E28,$A28,L$18)</f>
        <v>0</v>
      </c>
      <c r="M28" s="9" cm="1">
        <f t="array" ref="M28">TrajectoryDropInCM(F28,$A28,M$18)</f>
        <v>5.2912502194679423</v>
      </c>
      <c r="N28" s="9" cm="1">
        <f t="array" ref="N28">TrajectoryDropInCM(G28,$A28,N$18)</f>
        <v>18.750009765631106</v>
      </c>
      <c r="O28" s="9" cm="1">
        <f t="array" ref="O28">TrajectoryDropInCM(H28,$A28,O$18)</f>
        <v>33.000053240103078</v>
      </c>
      <c r="P28" s="33" cm="1">
        <f t="array" ref="P28">TrajectoryDropInCM(I28,$A28,P$18)</f>
        <v>45.703266428042113</v>
      </c>
      <c r="Q28" s="32" cm="1">
        <f t="array" ref="Q28">TrajectoryErrorCM($E$19,1,$A28)</f>
        <v>0.93658457460787303</v>
      </c>
    </row>
    <row r="29" spans="1:17" x14ac:dyDescent="0.25">
      <c r="A29" s="1">
        <v>200</v>
      </c>
      <c r="B29" s="1">
        <v>2477.6</v>
      </c>
      <c r="C29" s="6">
        <v>0</v>
      </c>
      <c r="D29" s="6">
        <v>-0.125</v>
      </c>
      <c r="E29" s="6">
        <v>-8.3000000000000004E-2</v>
      </c>
      <c r="F29" s="7">
        <v>0</v>
      </c>
      <c r="G29" s="6">
        <v>0.24</v>
      </c>
      <c r="H29" s="6">
        <v>0.45</v>
      </c>
      <c r="I29" s="14">
        <v>0.75</v>
      </c>
      <c r="J29" s="9" cm="1">
        <f t="array" ref="J29">TrajectoryDropInCM(C29,$A29,J$18)</f>
        <v>0</v>
      </c>
      <c r="K29" s="9" cm="1">
        <f t="array" ref="K29">TrajectoryDropInCM(D29,$A29,K$18)</f>
        <v>-9.3750006866455688</v>
      </c>
      <c r="L29" s="9" cm="1">
        <f t="array" ref="L29">TrajectoryDropInCM(E29,$A29,L$18)</f>
        <v>-6.225000201018875</v>
      </c>
      <c r="M29" s="9" cm="1">
        <f t="array" ref="M29">TrajectoryDropInCM(F29,$A29,M$18)</f>
        <v>0</v>
      </c>
      <c r="N29" s="9" cm="1">
        <f t="array" ref="N29">TrajectoryDropInCM(G29,$A29,N$18)</f>
        <v>19.200005898242171</v>
      </c>
      <c r="O29" s="9" cm="1">
        <f t="array" ref="O29">TrajectoryDropInCM(H29,$A29,O$18)</f>
        <v>36.000038880050383</v>
      </c>
      <c r="P29" s="33" cm="1">
        <f t="array" ref="P29">TrajectoryDropInCM(I29,$A29,P$18)</f>
        <v>56.250148315898961</v>
      </c>
      <c r="Q29" s="32" cm="1">
        <f t="array" ref="Q29">TrajectoryErrorCM($E$19,1,$A29)</f>
        <v>1.2487794328104973</v>
      </c>
    </row>
    <row r="30" spans="1:17" x14ac:dyDescent="0.25">
      <c r="A30" s="1">
        <v>250</v>
      </c>
      <c r="B30" s="1">
        <v>2326.9</v>
      </c>
      <c r="C30" s="6">
        <v>-0.125</v>
      </c>
      <c r="D30" s="6">
        <v>-0.1875</v>
      </c>
      <c r="E30" s="6">
        <v>-0.16700000000000001</v>
      </c>
      <c r="F30" s="6">
        <v>-0.1</v>
      </c>
      <c r="G30" s="6">
        <v>0.125</v>
      </c>
      <c r="H30" s="6">
        <v>0.35</v>
      </c>
      <c r="I30" s="14">
        <v>0.625</v>
      </c>
      <c r="J30" s="9" cm="1">
        <f t="array" ref="J30">TrajectoryDropInCM(C30,$A30,J$18)</f>
        <v>-11.71875085830696</v>
      </c>
      <c r="K30" s="9" cm="1">
        <f t="array" ref="K30">TrajectoryDropInCM(D30,$A30,K$18)</f>
        <v>-17.578127896786309</v>
      </c>
      <c r="L30" s="9" cm="1">
        <f t="array" ref="L30">TrajectoryDropInCM(E30,$A30,L$18)</f>
        <v>-15.656252046736993</v>
      </c>
      <c r="M30" s="9" cm="1">
        <f t="array" ref="M30">TrajectoryDropInCM(F30,$A30,M$18)</f>
        <v>-10.625000639713587</v>
      </c>
      <c r="N30" s="9" cm="1">
        <f t="array" ref="N30">TrajectoryDropInCM(G30,$A30,N$18)</f>
        <v>12.500001041666769</v>
      </c>
      <c r="O30" s="9" cm="1">
        <f t="array" ref="O30">TrajectoryDropInCM(H30,$A30,O$18)</f>
        <v>35.000022866684603</v>
      </c>
      <c r="P30" s="33" cm="1">
        <f t="array" ref="P30">TrajectoryDropInCM(I30,$A30,P$18)</f>
        <v>58.593857288596332</v>
      </c>
      <c r="Q30" s="32" cm="1">
        <f t="array" ref="Q30">TrajectoryErrorCM($E$19,1,$A30)</f>
        <v>1.5609742910131217</v>
      </c>
    </row>
    <row r="31" spans="1:17" x14ac:dyDescent="0.25">
      <c r="A31" s="1">
        <v>300</v>
      </c>
      <c r="B31" s="1">
        <v>2187.6</v>
      </c>
      <c r="C31" s="6">
        <v>-0.1875</v>
      </c>
      <c r="D31" s="6">
        <v>-0.3125</v>
      </c>
      <c r="E31" s="6">
        <v>-0.25</v>
      </c>
      <c r="F31" s="6">
        <v>-0.1875</v>
      </c>
      <c r="G31" s="7">
        <v>0</v>
      </c>
      <c r="H31" s="17">
        <v>0.25</v>
      </c>
      <c r="I31" s="18">
        <v>0.5</v>
      </c>
      <c r="J31" s="9" cm="1">
        <f t="array" ref="J31">TrajectoryDropInCM(C31,$A31,J$18)</f>
        <v>-21.093753476143569</v>
      </c>
      <c r="K31" s="9" cm="1">
        <f t="array" ref="K31">TrajectoryDropInCM(D31,$A31,K$18)</f>
        <v>-35.156266093262929</v>
      </c>
      <c r="L31" s="9" cm="1">
        <f t="array" ref="L31">TrajectoryDropInCM(E31,$A31,L$18)</f>
        <v>-28.12500823974899</v>
      </c>
      <c r="M31" s="9" cm="1">
        <f t="array" ref="M31">TrajectoryDropInCM(F31,$A31,M$18)</f>
        <v>-23.906255060235353</v>
      </c>
      <c r="N31" s="9" cm="1">
        <f t="array" ref="N31">TrajectoryDropInCM(G31,$A31,N$18)</f>
        <v>0</v>
      </c>
      <c r="O31" s="9" cm="1">
        <f t="array" ref="O31">TrajectoryDropInCM(H31,$A31,O$18)</f>
        <v>30.000010000004</v>
      </c>
      <c r="P31" s="33" cm="1">
        <f t="array" ref="P31">TrajectoryDropInCM(I31,$A31,P$18)</f>
        <v>56.250065918061445</v>
      </c>
      <c r="Q31" s="32" cm="1">
        <f t="array" ref="Q31">TrajectoryErrorCM($E$19,1,$A31)</f>
        <v>1.8731691492157461</v>
      </c>
    </row>
    <row r="32" spans="1:17" x14ac:dyDescent="0.25">
      <c r="A32" s="1">
        <v>350</v>
      </c>
      <c r="B32" s="1">
        <v>2049.8000000000002</v>
      </c>
      <c r="C32" s="6">
        <v>-0.35</v>
      </c>
      <c r="D32" s="6">
        <v>-0.45</v>
      </c>
      <c r="E32" s="6">
        <v>-0.4</v>
      </c>
      <c r="F32" s="6">
        <v>-0.3125</v>
      </c>
      <c r="G32" s="6">
        <v>-0.1</v>
      </c>
      <c r="H32" s="6">
        <v>0.125</v>
      </c>
      <c r="I32" s="14">
        <v>0.41699999999999998</v>
      </c>
      <c r="J32" s="9" cm="1">
        <f t="array" ref="J32">TrajectoryDropInCM(C32,$A32,J$18)</f>
        <v>-45.937526378192004</v>
      </c>
      <c r="K32" s="9" cm="1">
        <f t="array" ref="K32">TrajectoryDropInCM(D32,$A32,K$18)</f>
        <v>-59.062556063296277</v>
      </c>
      <c r="L32" s="9" cm="1">
        <f t="array" ref="L32">TrajectoryDropInCM(E32,$A32,L$18)</f>
        <v>-52.500039375035435</v>
      </c>
      <c r="M32" s="9" cm="1">
        <f t="array" ref="M32">TrajectoryDropInCM(F32,$A32,M$18)</f>
        <v>-46.484402331530461</v>
      </c>
      <c r="N32" s="9" cm="1">
        <f t="array" ref="N32">TrajectoryDropInCM(G32,$A32,N$18)</f>
        <v>-14.000000746666712</v>
      </c>
      <c r="O32" s="9" cm="1">
        <f t="array" ref="O32">TrajectoryDropInCM(H32,$A32,O$18)</f>
        <v>17.500001458333479</v>
      </c>
      <c r="P32" s="33" cm="1">
        <f t="array" ref="P32">TrajectoryDropInCM(I32,$A32,P$18)</f>
        <v>54.731294611742079</v>
      </c>
      <c r="Q32" s="32" cm="1">
        <f t="array" ref="Q32">TrajectoryErrorCM($E$19,1,$A32)</f>
        <v>2.1853640074183702</v>
      </c>
    </row>
    <row r="33" spans="1:17" x14ac:dyDescent="0.25">
      <c r="A33" s="1">
        <v>400</v>
      </c>
      <c r="B33" s="1">
        <v>1922.9</v>
      </c>
      <c r="C33" s="6">
        <v>-0.47499999999999998</v>
      </c>
      <c r="D33" s="6">
        <v>-0.5625</v>
      </c>
      <c r="E33" s="6">
        <v>-0.5</v>
      </c>
      <c r="F33" s="6">
        <v>-0.41699999999999998</v>
      </c>
      <c r="G33" s="6">
        <v>-0.25</v>
      </c>
      <c r="H33" s="7">
        <v>0</v>
      </c>
      <c r="I33" s="14">
        <v>0.25</v>
      </c>
      <c r="J33" s="9" cm="1">
        <f t="array" ref="J33">TrajectoryDropInCM(C33,$A33,J$18)</f>
        <v>-71.250075355320234</v>
      </c>
      <c r="K33" s="9" cm="1">
        <f t="array" ref="K33">TrajectoryDropInCM(D33,$A33,K$18)</f>
        <v>-84.375125141366524</v>
      </c>
      <c r="L33" s="9" cm="1">
        <f t="array" ref="L33">TrajectoryDropInCM(E33,$A33,L$18)</f>
        <v>-75.000087890748588</v>
      </c>
      <c r="M33" s="9" cm="1">
        <f t="array" ref="M33">TrajectoryDropInCM(F33,$A33,M$18)</f>
        <v>-70.890074218852831</v>
      </c>
      <c r="N33" s="9" cm="1">
        <f t="array" ref="N33">TrajectoryDropInCM(G33,$A33,N$18)</f>
        <v>-40.000013333338671</v>
      </c>
      <c r="O33" s="9" cm="1">
        <f t="array" ref="O33">TrajectoryDropInCM(H33,$A33,O$18)</f>
        <v>0</v>
      </c>
      <c r="P33" s="33" cm="1">
        <f t="array" ref="P33">TrajectoryDropInCM(I33,$A33,P$18)</f>
        <v>37.500010986331986</v>
      </c>
      <c r="Q33" s="32" cm="1">
        <f t="array" ref="Q33">TrajectoryErrorCM($E$19,1,$A33)</f>
        <v>2.4975588656209946</v>
      </c>
    </row>
    <row r="34" spans="1:17" x14ac:dyDescent="0.25">
      <c r="A34" s="1">
        <v>450</v>
      </c>
      <c r="B34" s="1">
        <v>1798.7</v>
      </c>
      <c r="C34" s="6">
        <v>-0.6</v>
      </c>
      <c r="D34" s="6">
        <v>-0.74</v>
      </c>
      <c r="E34" s="6">
        <v>-0.65</v>
      </c>
      <c r="F34" s="6">
        <v>-0.58299999999999996</v>
      </c>
      <c r="G34" s="6">
        <v>-0.375</v>
      </c>
      <c r="H34" s="6">
        <v>-0.125</v>
      </c>
      <c r="I34" s="14">
        <v>0.15</v>
      </c>
      <c r="J34" s="9" cm="1">
        <f t="array" ref="J34">TrajectoryDropInCM(C34,$A34,J$18)</f>
        <v>-101.25017085972097</v>
      </c>
      <c r="K34" s="9" cm="1">
        <f t="array" ref="K34">TrajectoryDropInCM(D34,$A34,K$18)</f>
        <v>-124.87532053950297</v>
      </c>
      <c r="L34" s="9" cm="1">
        <f t="array" ref="L34">TrajectoryDropInCM(E34,$A34,L$18)</f>
        <v>-109.6877172331823</v>
      </c>
      <c r="M34" s="9" cm="1">
        <f t="array" ref="M34">TrajectoryDropInCM(F34,$A34,M$18)</f>
        <v>-111.49897817327714</v>
      </c>
      <c r="N34" s="9" cm="1">
        <f t="array" ref="N34">TrajectoryDropInCM(G34,$A34,N$18)</f>
        <v>-67.50005062504556</v>
      </c>
      <c r="O34" s="9" cm="1">
        <f t="array" ref="O34">TrajectoryDropInCM(H34,$A34,O$18)</f>
        <v>-22.500001875000187</v>
      </c>
      <c r="P34" s="33" cm="1">
        <f t="array" ref="P34">TrajectoryDropInCM(I34,$A34,P$18)</f>
        <v>25.312502669678071</v>
      </c>
      <c r="Q34" s="32" cm="1">
        <f t="array" ref="Q34">TrajectoryErrorCM($E$19,1,$A34)</f>
        <v>2.809753723823619</v>
      </c>
    </row>
    <row r="35" spans="1:17" x14ac:dyDescent="0.25">
      <c r="A35" s="1">
        <v>500</v>
      </c>
      <c r="B35" s="1">
        <v>1678.1</v>
      </c>
      <c r="C35" s="6">
        <v>-0.75</v>
      </c>
      <c r="D35" s="6">
        <v>-0.83299999999999996</v>
      </c>
      <c r="E35" s="6">
        <v>-0.8</v>
      </c>
      <c r="F35" s="6">
        <v>-0.7</v>
      </c>
      <c r="G35" s="6">
        <v>-0.5</v>
      </c>
      <c r="H35" s="6">
        <v>-0.25</v>
      </c>
      <c r="I35" s="15">
        <v>0</v>
      </c>
      <c r="J35" s="9" cm="1">
        <f t="array" ref="J35">TrajectoryDropInCM(C35,$A35,J$18)</f>
        <v>-140.62537078974739</v>
      </c>
      <c r="K35" s="9" cm="1">
        <f t="array" ref="K35">TrajectoryDropInCM(D35,$A35,K$18)</f>
        <v>-156.1880080181775</v>
      </c>
      <c r="L35" s="9" cm="1">
        <f t="array" ref="L35">TrajectoryDropInCM(E35,$A35,L$18)</f>
        <v>-150.00045000162001</v>
      </c>
      <c r="M35" s="9" cm="1">
        <f t="array" ref="M35">TrajectoryDropInCM(F35,$A35,M$18)</f>
        <v>-148.75043884504319</v>
      </c>
      <c r="N35" s="9" cm="1">
        <f t="array" ref="N35">TrajectoryDropInCM(G35,$A35,N$18)</f>
        <v>-100.00013333354664</v>
      </c>
      <c r="O35" s="9" cm="1">
        <f t="array" ref="O35">TrajectoryDropInCM(H35,$A35,O$18)</f>
        <v>-50.000016666673339</v>
      </c>
      <c r="P35" s="33" cm="1">
        <f t="array" ref="P35">TrajectoryDropInCM(I35,$A35,P$18)</f>
        <v>0</v>
      </c>
      <c r="Q35" s="32" cm="1">
        <f t="array" ref="Q35">TrajectoryErrorCM($E$19,1,$A35)</f>
        <v>3.1219485820262434</v>
      </c>
    </row>
    <row r="77" spans="1:19" x14ac:dyDescent="0.25">
      <c r="A77" t="s">
        <v>27</v>
      </c>
    </row>
    <row r="78" spans="1:19" x14ac:dyDescent="0.25">
      <c r="A78" t="s">
        <v>81</v>
      </c>
      <c r="K78" t="s">
        <v>82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34</v>
      </c>
      <c r="H79" t="s">
        <v>35</v>
      </c>
      <c r="I79" t="s">
        <v>36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34</v>
      </c>
      <c r="R79" t="s">
        <v>35</v>
      </c>
      <c r="S79" t="s">
        <v>36</v>
      </c>
    </row>
    <row r="80" spans="1:19" x14ac:dyDescent="0.25">
      <c r="A80" s="1">
        <v>0</v>
      </c>
      <c r="B80" s="1">
        <v>823</v>
      </c>
      <c r="C80" s="1">
        <v>3138</v>
      </c>
      <c r="D80" s="1">
        <v>-8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823</v>
      </c>
      <c r="M80" s="1">
        <v>3138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811</v>
      </c>
      <c r="C81" s="1">
        <v>3046</v>
      </c>
      <c r="D81" s="1">
        <v>-3.6</v>
      </c>
      <c r="E81" s="1">
        <v>4.9000000000000004</v>
      </c>
      <c r="F81" s="1">
        <v>1.4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817</v>
      </c>
      <c r="M81" s="1">
        <v>3092</v>
      </c>
      <c r="N81" s="1">
        <v>-1.5</v>
      </c>
      <c r="O81" s="1">
        <v>2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799</v>
      </c>
      <c r="C82" s="10">
        <v>2956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811</v>
      </c>
      <c r="M82" s="10">
        <v>3047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787</v>
      </c>
      <c r="C83" s="1">
        <v>2868</v>
      </c>
      <c r="D83" s="1">
        <v>2.5</v>
      </c>
      <c r="E83" s="1">
        <v>-1.2</v>
      </c>
      <c r="F83" s="1">
        <v>-0.3</v>
      </c>
      <c r="G83" s="1">
        <v>0</v>
      </c>
      <c r="H83" s="1">
        <v>0</v>
      </c>
      <c r="I83" s="1">
        <v>0</v>
      </c>
      <c r="J83" s="1"/>
      <c r="K83" s="1">
        <v>75</v>
      </c>
      <c r="L83" s="1">
        <v>805</v>
      </c>
      <c r="M83" s="1">
        <v>3002</v>
      </c>
      <c r="N83" s="1">
        <v>0.5</v>
      </c>
      <c r="O83" s="1">
        <v>-0.2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775</v>
      </c>
      <c r="C84" s="1">
        <v>2783</v>
      </c>
      <c r="D84" s="1">
        <v>4.0999999999999996</v>
      </c>
      <c r="E84" s="1">
        <v>-1.4</v>
      </c>
      <c r="F84" s="1">
        <v>-0.4</v>
      </c>
      <c r="G84" s="1">
        <v>0</v>
      </c>
      <c r="H84" s="1">
        <v>0</v>
      </c>
      <c r="I84" s="1">
        <v>0</v>
      </c>
      <c r="J84" s="1"/>
      <c r="K84" s="1">
        <v>100</v>
      </c>
      <c r="L84" s="1">
        <v>799</v>
      </c>
      <c r="M84" s="1">
        <v>2958</v>
      </c>
      <c r="N84" s="1">
        <v>0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763</v>
      </c>
      <c r="C85" s="1">
        <v>2699</v>
      </c>
      <c r="D85" s="1">
        <v>4.5999999999999996</v>
      </c>
      <c r="E85" s="1">
        <v>-1.3</v>
      </c>
      <c r="F85" s="1">
        <v>-0.4</v>
      </c>
      <c r="G85" s="1">
        <v>0</v>
      </c>
      <c r="H85" s="1">
        <v>0</v>
      </c>
      <c r="I85" s="1">
        <v>0</v>
      </c>
      <c r="J85" s="1"/>
      <c r="K85" s="1">
        <v>125</v>
      </c>
      <c r="L85" s="1">
        <v>793</v>
      </c>
      <c r="M85" s="1">
        <v>2914</v>
      </c>
      <c r="N85" s="1">
        <v>-1.4</v>
      </c>
      <c r="O85" s="1">
        <v>0.4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752</v>
      </c>
      <c r="C86" s="1">
        <v>2618</v>
      </c>
      <c r="D86" s="1">
        <v>4</v>
      </c>
      <c r="E86" s="1">
        <v>-0.9</v>
      </c>
      <c r="F86" s="1">
        <v>-0.3</v>
      </c>
      <c r="G86" s="1">
        <v>0</v>
      </c>
      <c r="H86" s="1">
        <v>0</v>
      </c>
      <c r="I86" s="1">
        <v>0</v>
      </c>
      <c r="J86" s="1"/>
      <c r="K86" s="1">
        <v>150</v>
      </c>
      <c r="L86" s="1">
        <v>787</v>
      </c>
      <c r="M86" s="1">
        <v>2871</v>
      </c>
      <c r="N86" s="1">
        <v>-3.8</v>
      </c>
      <c r="O86" s="1">
        <v>0.9</v>
      </c>
      <c r="P86" s="1">
        <v>0.3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740</v>
      </c>
      <c r="C87" s="1">
        <v>2538</v>
      </c>
      <c r="D87" s="1">
        <v>2.4</v>
      </c>
      <c r="E87" s="1">
        <v>-0.5</v>
      </c>
      <c r="F87" s="1">
        <v>-0.1</v>
      </c>
      <c r="G87" s="1">
        <v>0</v>
      </c>
      <c r="H87" s="1">
        <v>0</v>
      </c>
      <c r="I87" s="1">
        <v>0</v>
      </c>
      <c r="J87" s="1"/>
      <c r="K87" s="1">
        <v>175</v>
      </c>
      <c r="L87" s="1">
        <v>781</v>
      </c>
      <c r="M87" s="1">
        <v>2828</v>
      </c>
      <c r="N87" s="1">
        <v>-7.2</v>
      </c>
      <c r="O87" s="1">
        <v>1.4</v>
      </c>
      <c r="P87" s="1">
        <v>0.4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729</v>
      </c>
      <c r="C88" s="1">
        <v>2460</v>
      </c>
      <c r="D88" s="1">
        <v>-0.5</v>
      </c>
      <c r="E88" s="1">
        <v>0.1</v>
      </c>
      <c r="F88" s="1">
        <v>0</v>
      </c>
      <c r="G88" s="1">
        <v>0</v>
      </c>
      <c r="H88" s="1">
        <v>0</v>
      </c>
      <c r="I88" s="1">
        <v>0</v>
      </c>
      <c r="J88" s="1"/>
      <c r="K88" s="1">
        <v>200</v>
      </c>
      <c r="L88" s="1">
        <v>775</v>
      </c>
      <c r="M88" s="1">
        <v>2786</v>
      </c>
      <c r="N88" s="1">
        <v>-11.7</v>
      </c>
      <c r="O88" s="1">
        <v>2</v>
      </c>
      <c r="P88" s="1">
        <v>0.6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717</v>
      </c>
      <c r="C89" s="1">
        <v>2384</v>
      </c>
      <c r="D89" s="1">
        <v>-4.4000000000000004</v>
      </c>
      <c r="E89" s="1">
        <v>0.7</v>
      </c>
      <c r="F89" s="1">
        <v>0.2</v>
      </c>
      <c r="G89" s="1">
        <v>0</v>
      </c>
      <c r="H89" s="1">
        <v>0</v>
      </c>
      <c r="I89" s="1">
        <v>0</v>
      </c>
      <c r="J89" s="1"/>
      <c r="K89" s="1">
        <v>225</v>
      </c>
      <c r="L89" s="1">
        <v>770</v>
      </c>
      <c r="M89" s="1">
        <v>2744</v>
      </c>
      <c r="N89" s="1">
        <v>-17.100000000000001</v>
      </c>
      <c r="O89" s="1">
        <v>2.6</v>
      </c>
      <c r="P89" s="1">
        <v>0.8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706</v>
      </c>
      <c r="C90" s="1">
        <v>2310</v>
      </c>
      <c r="D90" s="1">
        <v>-9.6</v>
      </c>
      <c r="E90" s="1">
        <v>1.3</v>
      </c>
      <c r="F90" s="1">
        <v>0.4</v>
      </c>
      <c r="G90" s="1">
        <v>0</v>
      </c>
      <c r="H90" s="1">
        <v>0</v>
      </c>
      <c r="I90" s="1">
        <v>0</v>
      </c>
      <c r="J90" s="1"/>
      <c r="K90" s="1">
        <v>250</v>
      </c>
      <c r="L90" s="1">
        <v>764</v>
      </c>
      <c r="M90" s="1">
        <v>2703</v>
      </c>
      <c r="N90" s="1">
        <v>-23.5</v>
      </c>
      <c r="O90" s="1">
        <v>3.2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695</v>
      </c>
      <c r="C91" s="1">
        <v>2238</v>
      </c>
      <c r="D91" s="1">
        <v>-16.2</v>
      </c>
      <c r="E91" s="1">
        <v>2</v>
      </c>
      <c r="F91" s="1">
        <v>0.6</v>
      </c>
      <c r="G91" s="1">
        <v>0</v>
      </c>
      <c r="H91" s="1">
        <v>0</v>
      </c>
      <c r="I91" s="1">
        <v>0</v>
      </c>
      <c r="J91" s="1"/>
      <c r="K91" s="1">
        <v>275</v>
      </c>
      <c r="L91" s="1">
        <v>758</v>
      </c>
      <c r="M91" s="1">
        <v>2662</v>
      </c>
      <c r="N91" s="1">
        <v>-31.2</v>
      </c>
      <c r="O91" s="1">
        <v>3.9</v>
      </c>
      <c r="P91" s="1">
        <v>1.1000000000000001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684</v>
      </c>
      <c r="C92" s="1">
        <v>2167</v>
      </c>
      <c r="D92" s="1">
        <v>-23.9</v>
      </c>
      <c r="E92" s="1">
        <v>2.7</v>
      </c>
      <c r="F92" s="1">
        <v>0.8</v>
      </c>
      <c r="G92" s="1">
        <v>0</v>
      </c>
      <c r="H92" s="1">
        <v>0</v>
      </c>
      <c r="I92" s="1">
        <v>0</v>
      </c>
      <c r="J92" s="1"/>
      <c r="K92" s="1">
        <v>300</v>
      </c>
      <c r="L92" s="1">
        <v>752</v>
      </c>
      <c r="M92" s="1">
        <v>2622</v>
      </c>
      <c r="N92" s="1">
        <v>-39.799999999999997</v>
      </c>
      <c r="O92" s="1">
        <v>4.5999999999999996</v>
      </c>
      <c r="P92" s="1">
        <v>1.3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673</v>
      </c>
      <c r="C93" s="1">
        <v>2099</v>
      </c>
      <c r="D93" s="1">
        <v>-32.9</v>
      </c>
      <c r="E93" s="1">
        <v>3.5</v>
      </c>
      <c r="F93" s="1">
        <v>1</v>
      </c>
      <c r="G93" s="1">
        <v>0</v>
      </c>
      <c r="H93" s="1">
        <v>0</v>
      </c>
      <c r="I93" s="1">
        <v>0</v>
      </c>
      <c r="J93" s="1"/>
      <c r="K93" s="1">
        <v>325</v>
      </c>
      <c r="L93" s="1">
        <v>747</v>
      </c>
      <c r="M93" s="1">
        <v>2582</v>
      </c>
      <c r="N93" s="1">
        <v>-49.4</v>
      </c>
      <c r="O93" s="1">
        <v>5.2</v>
      </c>
      <c r="P93" s="1">
        <v>1.5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662</v>
      </c>
      <c r="C94" s="1">
        <v>2032</v>
      </c>
      <c r="D94" s="1">
        <v>-43.7</v>
      </c>
      <c r="E94" s="1">
        <v>4.3</v>
      </c>
      <c r="F94" s="1">
        <v>1.2</v>
      </c>
      <c r="G94" s="1">
        <v>0</v>
      </c>
      <c r="H94" s="1">
        <v>0</v>
      </c>
      <c r="I94" s="1">
        <v>0</v>
      </c>
      <c r="J94" s="1"/>
      <c r="K94" s="1">
        <v>350</v>
      </c>
      <c r="L94" s="1">
        <v>741</v>
      </c>
      <c r="M94" s="1">
        <v>2543</v>
      </c>
      <c r="N94" s="1">
        <v>-60.5</v>
      </c>
      <c r="O94" s="1">
        <v>5.9</v>
      </c>
      <c r="P94" s="1">
        <v>1.7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651</v>
      </c>
      <c r="C95" s="1">
        <v>1966</v>
      </c>
      <c r="D95" s="1">
        <v>-55.6</v>
      </c>
      <c r="E95" s="1">
        <v>5.0999999999999996</v>
      </c>
      <c r="F95" s="1">
        <v>1.5</v>
      </c>
      <c r="G95" s="1">
        <v>0</v>
      </c>
      <c r="H95" s="1">
        <v>0</v>
      </c>
      <c r="I95" s="1">
        <v>0</v>
      </c>
      <c r="J95" s="1"/>
      <c r="K95" s="1">
        <v>375</v>
      </c>
      <c r="L95" s="1">
        <v>735</v>
      </c>
      <c r="M95" s="1">
        <v>2504</v>
      </c>
      <c r="N95" s="1">
        <v>-72.400000000000006</v>
      </c>
      <c r="O95" s="1">
        <v>6.6</v>
      </c>
      <c r="P95" s="1">
        <v>1.9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641</v>
      </c>
      <c r="C96" s="1">
        <v>1902</v>
      </c>
      <c r="D96" s="1">
        <v>-69</v>
      </c>
      <c r="E96" s="1">
        <v>5.9</v>
      </c>
      <c r="F96" s="1">
        <v>1.7</v>
      </c>
      <c r="G96" s="1">
        <v>0</v>
      </c>
      <c r="H96" s="1">
        <v>0</v>
      </c>
      <c r="I96" s="1">
        <v>0</v>
      </c>
      <c r="J96" s="1"/>
      <c r="K96" s="1">
        <v>400</v>
      </c>
      <c r="L96" s="1">
        <v>729</v>
      </c>
      <c r="M96" s="1">
        <v>2466</v>
      </c>
      <c r="N96" s="1">
        <v>-85.4</v>
      </c>
      <c r="O96" s="1">
        <v>7.3</v>
      </c>
      <c r="P96" s="1">
        <v>2.1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630</v>
      </c>
      <c r="C97" s="1">
        <v>1840</v>
      </c>
      <c r="D97" s="1">
        <v>-84.4</v>
      </c>
      <c r="E97" s="1">
        <v>6.8</v>
      </c>
      <c r="F97" s="1">
        <v>2</v>
      </c>
      <c r="G97" s="1">
        <v>0</v>
      </c>
      <c r="H97" s="1">
        <v>0</v>
      </c>
      <c r="I97" s="1">
        <v>0</v>
      </c>
      <c r="J97" s="1"/>
      <c r="K97" s="1">
        <v>425</v>
      </c>
      <c r="L97" s="1">
        <v>724</v>
      </c>
      <c r="M97" s="1">
        <v>2428</v>
      </c>
      <c r="N97" s="1">
        <v>-100.1</v>
      </c>
      <c r="O97" s="1">
        <v>8.1</v>
      </c>
      <c r="P97" s="1">
        <v>2.4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620</v>
      </c>
      <c r="C98" s="1">
        <v>1780</v>
      </c>
      <c r="D98" s="1">
        <v>-101</v>
      </c>
      <c r="E98" s="1">
        <v>7.7</v>
      </c>
      <c r="F98" s="1">
        <v>2.2000000000000002</v>
      </c>
      <c r="G98" s="1">
        <v>0</v>
      </c>
      <c r="H98" s="1">
        <v>0</v>
      </c>
      <c r="I98" s="1">
        <v>0</v>
      </c>
      <c r="J98" s="1"/>
      <c r="K98" s="1">
        <v>450</v>
      </c>
      <c r="L98" s="1">
        <v>718</v>
      </c>
      <c r="M98" s="1">
        <v>2390</v>
      </c>
      <c r="N98" s="1">
        <v>-115.4</v>
      </c>
      <c r="O98" s="1">
        <v>8.8000000000000007</v>
      </c>
      <c r="P98" s="1">
        <v>2.6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609</v>
      </c>
      <c r="C99" s="1">
        <v>1721</v>
      </c>
      <c r="D99" s="1">
        <v>-119.1</v>
      </c>
      <c r="E99" s="1">
        <v>8.6</v>
      </c>
      <c r="F99" s="1">
        <v>2.5</v>
      </c>
      <c r="G99" s="1">
        <v>0</v>
      </c>
      <c r="H99" s="1">
        <v>0</v>
      </c>
      <c r="I99" s="1">
        <v>0</v>
      </c>
      <c r="J99" s="1"/>
      <c r="K99" s="1">
        <v>475</v>
      </c>
      <c r="L99" s="1">
        <v>713</v>
      </c>
      <c r="M99" s="1">
        <v>2353</v>
      </c>
      <c r="N99" s="1">
        <v>-132</v>
      </c>
      <c r="O99" s="1">
        <v>9.6</v>
      </c>
      <c r="P99" s="1">
        <v>2.8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600</v>
      </c>
      <c r="C100" s="1">
        <v>1665</v>
      </c>
      <c r="D100" s="1">
        <v>-139</v>
      </c>
      <c r="E100" s="1">
        <v>9.6</v>
      </c>
      <c r="F100" s="1">
        <v>2.8</v>
      </c>
      <c r="G100" s="1">
        <v>0</v>
      </c>
      <c r="H100" s="1">
        <v>0</v>
      </c>
      <c r="I100" s="1">
        <v>0</v>
      </c>
      <c r="J100" s="1"/>
      <c r="K100" s="1">
        <v>500</v>
      </c>
      <c r="L100" s="1">
        <v>707</v>
      </c>
      <c r="M100" s="1">
        <v>2318</v>
      </c>
      <c r="N100" s="1">
        <v>-149.69999999999999</v>
      </c>
      <c r="O100" s="1">
        <v>10.3</v>
      </c>
      <c r="P100" s="1">
        <v>3</v>
      </c>
      <c r="Q100" s="1">
        <v>0</v>
      </c>
      <c r="R100" s="1">
        <v>0</v>
      </c>
      <c r="S100" s="1">
        <v>0</v>
      </c>
    </row>
    <row r="102" spans="1:19" x14ac:dyDescent="0.25">
      <c r="A102" t="s">
        <v>75</v>
      </c>
      <c r="K102" t="s">
        <v>83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34</v>
      </c>
      <c r="H103" t="s">
        <v>35</v>
      </c>
      <c r="I103" t="s">
        <v>36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34</v>
      </c>
      <c r="R103" t="s">
        <v>35</v>
      </c>
      <c r="S103" t="s">
        <v>36</v>
      </c>
    </row>
    <row r="104" spans="1:19" x14ac:dyDescent="0.25">
      <c r="A104" s="1">
        <v>0</v>
      </c>
      <c r="B104" s="1">
        <v>823</v>
      </c>
      <c r="C104" s="1">
        <v>3138</v>
      </c>
      <c r="D104" s="1">
        <v>-8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823</v>
      </c>
      <c r="M104" s="1">
        <v>3138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811</v>
      </c>
      <c r="C105" s="1">
        <v>3046</v>
      </c>
      <c r="D105" s="1">
        <v>-4.5999999999999996</v>
      </c>
      <c r="E105" s="1">
        <v>6.3</v>
      </c>
      <c r="F105" s="1">
        <v>1.8</v>
      </c>
      <c r="G105">
        <v>0</v>
      </c>
      <c r="H105">
        <v>0</v>
      </c>
      <c r="I105">
        <v>0</v>
      </c>
      <c r="K105" s="1">
        <v>25</v>
      </c>
      <c r="L105" s="1">
        <v>817</v>
      </c>
      <c r="M105" s="1">
        <v>3092</v>
      </c>
      <c r="N105" s="1">
        <v>-1.5</v>
      </c>
      <c r="O105" s="1">
        <v>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799</v>
      </c>
      <c r="C106" s="1">
        <v>2956</v>
      </c>
      <c r="D106" s="1">
        <v>-2</v>
      </c>
      <c r="E106" s="1">
        <v>1.4</v>
      </c>
      <c r="F106" s="1">
        <v>0.4</v>
      </c>
      <c r="G106">
        <v>0</v>
      </c>
      <c r="H106">
        <v>0</v>
      </c>
      <c r="I106">
        <v>0</v>
      </c>
      <c r="K106" s="1">
        <v>50</v>
      </c>
      <c r="L106" s="1">
        <v>811</v>
      </c>
      <c r="M106" s="1">
        <v>3047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787</v>
      </c>
      <c r="C107" s="1">
        <v>2868</v>
      </c>
      <c r="D107" s="1">
        <v>-0.5</v>
      </c>
      <c r="E107" s="1">
        <v>0.2</v>
      </c>
      <c r="F107" s="1">
        <v>0.1</v>
      </c>
      <c r="G107">
        <v>0</v>
      </c>
      <c r="H107">
        <v>0</v>
      </c>
      <c r="I107">
        <v>0</v>
      </c>
      <c r="K107" s="1">
        <v>75</v>
      </c>
      <c r="L107" s="1">
        <v>805</v>
      </c>
      <c r="M107" s="1">
        <v>3002</v>
      </c>
      <c r="N107" s="1">
        <v>0.5</v>
      </c>
      <c r="O107" s="1">
        <v>-0.2</v>
      </c>
      <c r="P107" s="1">
        <v>-0.1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775</v>
      </c>
      <c r="C108" s="10">
        <v>2783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>
        <v>100</v>
      </c>
      <c r="L108" s="1">
        <v>799</v>
      </c>
      <c r="M108" s="1">
        <v>2958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763</v>
      </c>
      <c r="C109" s="1">
        <v>2699</v>
      </c>
      <c r="D109" s="1">
        <v>-0.5</v>
      </c>
      <c r="E109" s="1">
        <v>0.1</v>
      </c>
      <c r="F109" s="1">
        <v>0</v>
      </c>
      <c r="G109">
        <v>0</v>
      </c>
      <c r="H109">
        <v>0</v>
      </c>
      <c r="I109">
        <v>0</v>
      </c>
      <c r="K109" s="1">
        <v>125</v>
      </c>
      <c r="L109" s="1">
        <v>793</v>
      </c>
      <c r="M109" s="1">
        <v>2914</v>
      </c>
      <c r="N109" s="1">
        <v>-1.4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752</v>
      </c>
      <c r="C110" s="1">
        <v>2618</v>
      </c>
      <c r="D110" s="1">
        <v>-2.1</v>
      </c>
      <c r="E110" s="1">
        <v>0.5</v>
      </c>
      <c r="F110" s="1">
        <v>0.1</v>
      </c>
      <c r="G110">
        <v>0</v>
      </c>
      <c r="H110">
        <v>0</v>
      </c>
      <c r="I110">
        <v>0</v>
      </c>
      <c r="K110" s="1">
        <v>150</v>
      </c>
      <c r="L110" s="1">
        <v>787</v>
      </c>
      <c r="M110" s="1">
        <v>2871</v>
      </c>
      <c r="N110" s="1">
        <v>-3.8</v>
      </c>
      <c r="O110" s="1">
        <v>0.9</v>
      </c>
      <c r="P110" s="1">
        <v>0.3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740</v>
      </c>
      <c r="C111" s="1">
        <v>2538</v>
      </c>
      <c r="D111" s="1">
        <v>-4.7</v>
      </c>
      <c r="E111" s="1">
        <v>0.9</v>
      </c>
      <c r="F111" s="1">
        <v>0.3</v>
      </c>
      <c r="G111">
        <v>0</v>
      </c>
      <c r="H111">
        <v>0</v>
      </c>
      <c r="I111">
        <v>0</v>
      </c>
      <c r="K111" s="1">
        <v>175</v>
      </c>
      <c r="L111" s="1">
        <v>781</v>
      </c>
      <c r="M111" s="1">
        <v>2828</v>
      </c>
      <c r="N111" s="1">
        <v>-7.2</v>
      </c>
      <c r="O111" s="1">
        <v>1.4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729</v>
      </c>
      <c r="C112" s="1">
        <v>2460</v>
      </c>
      <c r="D112" s="1">
        <v>-8.6</v>
      </c>
      <c r="E112" s="1">
        <v>1.5</v>
      </c>
      <c r="F112" s="1">
        <v>0.4</v>
      </c>
      <c r="G112">
        <v>0</v>
      </c>
      <c r="H112">
        <v>0</v>
      </c>
      <c r="I112">
        <v>0</v>
      </c>
      <c r="K112" s="1">
        <v>200</v>
      </c>
      <c r="L112" s="1">
        <v>775</v>
      </c>
      <c r="M112" s="1">
        <v>2786</v>
      </c>
      <c r="N112" s="1">
        <v>-11.7</v>
      </c>
      <c r="O112" s="1">
        <v>2</v>
      </c>
      <c r="P112" s="1">
        <v>0.6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717</v>
      </c>
      <c r="C113" s="1">
        <v>2384</v>
      </c>
      <c r="D113" s="1">
        <v>-13.6</v>
      </c>
      <c r="E113" s="1">
        <v>2.1</v>
      </c>
      <c r="F113" s="1">
        <v>0.6</v>
      </c>
      <c r="G113">
        <v>0</v>
      </c>
      <c r="H113">
        <v>0</v>
      </c>
      <c r="I113">
        <v>0</v>
      </c>
      <c r="K113" s="1">
        <v>225</v>
      </c>
      <c r="L113" s="1">
        <v>770</v>
      </c>
      <c r="M113" s="1">
        <v>2744</v>
      </c>
      <c r="N113" s="1">
        <v>-17.100000000000001</v>
      </c>
      <c r="O113" s="1">
        <v>2.6</v>
      </c>
      <c r="P113" s="1">
        <v>0.8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706</v>
      </c>
      <c r="C114" s="1">
        <v>2310</v>
      </c>
      <c r="D114" s="1">
        <v>-19.7</v>
      </c>
      <c r="E114" s="1">
        <v>2.7</v>
      </c>
      <c r="F114" s="1">
        <v>0.8</v>
      </c>
      <c r="G114">
        <v>0</v>
      </c>
      <c r="H114">
        <v>0</v>
      </c>
      <c r="I114">
        <v>0</v>
      </c>
      <c r="K114" s="1">
        <v>250</v>
      </c>
      <c r="L114" s="1">
        <v>764</v>
      </c>
      <c r="M114" s="1">
        <v>2703</v>
      </c>
      <c r="N114" s="1">
        <v>-23.5</v>
      </c>
      <c r="O114" s="1">
        <v>3.2</v>
      </c>
      <c r="P114" s="1">
        <v>0.9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695</v>
      </c>
      <c r="C115" s="1">
        <v>2238</v>
      </c>
      <c r="D115" s="1">
        <v>-27.4</v>
      </c>
      <c r="E115" s="1">
        <v>3.4</v>
      </c>
      <c r="F115" s="1">
        <v>1</v>
      </c>
      <c r="G115">
        <v>0</v>
      </c>
      <c r="H115">
        <v>0</v>
      </c>
      <c r="I115">
        <v>0</v>
      </c>
      <c r="K115" s="1">
        <v>275</v>
      </c>
      <c r="L115" s="1">
        <v>758</v>
      </c>
      <c r="M115" s="1">
        <v>2662</v>
      </c>
      <c r="N115" s="1">
        <v>-31.2</v>
      </c>
      <c r="O115" s="1">
        <v>3.9</v>
      </c>
      <c r="P115" s="1">
        <v>1.1000000000000001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684</v>
      </c>
      <c r="C116" s="1">
        <v>2168</v>
      </c>
      <c r="D116" s="1">
        <v>-36.1</v>
      </c>
      <c r="E116" s="1">
        <v>4.0999999999999996</v>
      </c>
      <c r="F116" s="1">
        <v>1.2</v>
      </c>
      <c r="G116">
        <v>0</v>
      </c>
      <c r="H116">
        <v>0</v>
      </c>
      <c r="I116">
        <v>0</v>
      </c>
      <c r="K116" s="1">
        <v>300</v>
      </c>
      <c r="L116" s="1">
        <v>752</v>
      </c>
      <c r="M116" s="1">
        <v>2622</v>
      </c>
      <c r="N116" s="1">
        <v>-39.799999999999997</v>
      </c>
      <c r="O116" s="1">
        <v>4.5999999999999996</v>
      </c>
      <c r="P116" s="1">
        <v>1.3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673</v>
      </c>
      <c r="C117" s="1">
        <v>2099</v>
      </c>
      <c r="D117" s="1">
        <v>-46.1</v>
      </c>
      <c r="E117" s="1">
        <v>4.9000000000000004</v>
      </c>
      <c r="F117" s="1">
        <v>1.4</v>
      </c>
      <c r="G117">
        <v>0</v>
      </c>
      <c r="H117">
        <v>0</v>
      </c>
      <c r="I117">
        <v>0</v>
      </c>
      <c r="K117" s="1">
        <v>325</v>
      </c>
      <c r="L117" s="1">
        <v>747</v>
      </c>
      <c r="M117" s="1">
        <v>2582</v>
      </c>
      <c r="N117" s="1">
        <v>-49.4</v>
      </c>
      <c r="O117" s="1">
        <v>5.2</v>
      </c>
      <c r="P117" s="1">
        <v>1.5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662</v>
      </c>
      <c r="C118" s="1">
        <v>2032</v>
      </c>
      <c r="D118" s="1">
        <v>-58</v>
      </c>
      <c r="E118" s="1">
        <v>5.7</v>
      </c>
      <c r="F118" s="1">
        <v>1.7</v>
      </c>
      <c r="G118">
        <v>0</v>
      </c>
      <c r="H118">
        <v>0</v>
      </c>
      <c r="I118">
        <v>0</v>
      </c>
      <c r="K118" s="1">
        <v>350</v>
      </c>
      <c r="L118" s="1">
        <v>741</v>
      </c>
      <c r="M118" s="1">
        <v>2543</v>
      </c>
      <c r="N118" s="1">
        <v>-60.5</v>
      </c>
      <c r="O118" s="1">
        <v>5.9</v>
      </c>
      <c r="P118" s="1">
        <v>1.7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651</v>
      </c>
      <c r="C119" s="1">
        <v>1966</v>
      </c>
      <c r="D119" s="1">
        <v>-70.900000000000006</v>
      </c>
      <c r="E119" s="1">
        <v>6.5</v>
      </c>
      <c r="F119" s="1">
        <v>1.9</v>
      </c>
      <c r="G119">
        <v>0</v>
      </c>
      <c r="H119">
        <v>0</v>
      </c>
      <c r="I119">
        <v>0</v>
      </c>
      <c r="K119" s="1">
        <v>375</v>
      </c>
      <c r="L119" s="1">
        <v>735</v>
      </c>
      <c r="M119" s="1">
        <v>2504</v>
      </c>
      <c r="N119" s="1">
        <v>-72.400000000000006</v>
      </c>
      <c r="O119" s="1">
        <v>6.6</v>
      </c>
      <c r="P119" s="1">
        <v>1.9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641</v>
      </c>
      <c r="C120" s="1">
        <v>1902</v>
      </c>
      <c r="D120" s="1">
        <v>-85.2</v>
      </c>
      <c r="E120" s="1">
        <v>7.3</v>
      </c>
      <c r="F120" s="1">
        <v>2.1</v>
      </c>
      <c r="G120">
        <v>0</v>
      </c>
      <c r="H120">
        <v>0</v>
      </c>
      <c r="I120">
        <v>0</v>
      </c>
      <c r="K120" s="1">
        <v>400</v>
      </c>
      <c r="L120" s="1">
        <v>729</v>
      </c>
      <c r="M120" s="1">
        <v>2466</v>
      </c>
      <c r="N120" s="1">
        <v>-85.4</v>
      </c>
      <c r="O120" s="1">
        <v>7.3</v>
      </c>
      <c r="P120" s="1">
        <v>2.1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630</v>
      </c>
      <c r="C121" s="1">
        <v>1840</v>
      </c>
      <c r="D121" s="1">
        <v>-101.7</v>
      </c>
      <c r="E121" s="1">
        <v>8.1999999999999993</v>
      </c>
      <c r="F121" s="1">
        <v>2.4</v>
      </c>
      <c r="G121">
        <v>0</v>
      </c>
      <c r="H121">
        <v>0</v>
      </c>
      <c r="I121">
        <v>0</v>
      </c>
      <c r="K121" s="1">
        <v>425</v>
      </c>
      <c r="L121" s="1">
        <v>724</v>
      </c>
      <c r="M121" s="1">
        <v>2428</v>
      </c>
      <c r="N121" s="1">
        <v>-100.1</v>
      </c>
      <c r="O121" s="1">
        <v>8.1</v>
      </c>
      <c r="P121" s="1">
        <v>2.4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620</v>
      </c>
      <c r="C122" s="1">
        <v>1780</v>
      </c>
      <c r="D122" s="1">
        <v>-119.2</v>
      </c>
      <c r="E122" s="1">
        <v>9.1</v>
      </c>
      <c r="F122" s="1">
        <v>2.6</v>
      </c>
      <c r="G122">
        <v>0</v>
      </c>
      <c r="H122">
        <v>0</v>
      </c>
      <c r="I122">
        <v>0</v>
      </c>
      <c r="K122" s="1">
        <v>450</v>
      </c>
      <c r="L122" s="1">
        <v>718</v>
      </c>
      <c r="M122" s="1">
        <v>2390</v>
      </c>
      <c r="N122" s="1">
        <v>-115.4</v>
      </c>
      <c r="O122" s="1">
        <v>8.8000000000000007</v>
      </c>
      <c r="P122" s="1">
        <v>2.6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609</v>
      </c>
      <c r="C123" s="1">
        <v>1721</v>
      </c>
      <c r="D123" s="1">
        <v>-138.4</v>
      </c>
      <c r="E123" s="1">
        <v>10</v>
      </c>
      <c r="F123" s="1">
        <v>2.9</v>
      </c>
      <c r="G123">
        <v>0</v>
      </c>
      <c r="H123">
        <v>0</v>
      </c>
      <c r="I123">
        <v>0</v>
      </c>
      <c r="K123" s="1">
        <v>475</v>
      </c>
      <c r="L123" s="1">
        <v>713</v>
      </c>
      <c r="M123" s="1">
        <v>2353</v>
      </c>
      <c r="N123" s="1">
        <v>-132</v>
      </c>
      <c r="O123" s="1">
        <v>9.6</v>
      </c>
      <c r="P123" s="1">
        <v>2.8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600</v>
      </c>
      <c r="C124" s="1">
        <v>1666</v>
      </c>
      <c r="D124" s="1">
        <v>-159.30000000000001</v>
      </c>
      <c r="E124" s="1">
        <v>11</v>
      </c>
      <c r="F124" s="1">
        <v>3.2</v>
      </c>
      <c r="G124">
        <v>0</v>
      </c>
      <c r="H124">
        <v>0</v>
      </c>
      <c r="I124">
        <v>0</v>
      </c>
      <c r="K124" s="1">
        <v>500</v>
      </c>
      <c r="L124" s="1">
        <v>707</v>
      </c>
      <c r="M124" s="1">
        <v>2318</v>
      </c>
      <c r="N124" s="1">
        <v>-149.69999999999999</v>
      </c>
      <c r="O124" s="1">
        <v>10.3</v>
      </c>
      <c r="P124" s="1">
        <v>3</v>
      </c>
      <c r="Q124" s="1">
        <v>0</v>
      </c>
      <c r="R124" s="1">
        <v>0</v>
      </c>
      <c r="S124" s="1">
        <v>0</v>
      </c>
    </row>
    <row r="126" spans="1:19" x14ac:dyDescent="0.25">
      <c r="A126" t="s">
        <v>76</v>
      </c>
      <c r="K126" t="s">
        <v>84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34</v>
      </c>
      <c r="H127" t="s">
        <v>35</v>
      </c>
      <c r="I127" t="s">
        <v>36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34</v>
      </c>
      <c r="R127" t="s">
        <v>35</v>
      </c>
      <c r="S127" t="s">
        <v>36</v>
      </c>
    </row>
    <row r="128" spans="1:19" x14ac:dyDescent="0.25">
      <c r="A128" s="1">
        <v>0</v>
      </c>
      <c r="B128" s="1">
        <v>823</v>
      </c>
      <c r="C128" s="1">
        <v>3138</v>
      </c>
      <c r="D128" s="1">
        <v>-8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823</v>
      </c>
      <c r="M128" s="1">
        <v>3138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811</v>
      </c>
      <c r="C129" s="1">
        <v>3046</v>
      </c>
      <c r="D129" s="1">
        <v>-4.2</v>
      </c>
      <c r="E129" s="1">
        <v>5.9</v>
      </c>
      <c r="F129" s="1">
        <v>1.7</v>
      </c>
      <c r="G129">
        <v>0</v>
      </c>
      <c r="H129">
        <v>0</v>
      </c>
      <c r="I129">
        <v>0</v>
      </c>
      <c r="K129" s="1">
        <v>25</v>
      </c>
      <c r="L129" s="1">
        <v>817</v>
      </c>
      <c r="M129" s="1">
        <v>3092</v>
      </c>
      <c r="N129" s="1">
        <v>-0.8</v>
      </c>
      <c r="O129" s="1">
        <v>1.2</v>
      </c>
      <c r="P129" s="1">
        <v>0.3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799</v>
      </c>
      <c r="C130" s="1">
        <v>2956</v>
      </c>
      <c r="D130" s="1">
        <v>-1.3</v>
      </c>
      <c r="E130" s="1">
        <v>0.9</v>
      </c>
      <c r="F130" s="1">
        <v>0.3</v>
      </c>
      <c r="G130">
        <v>0</v>
      </c>
      <c r="H130">
        <v>0</v>
      </c>
      <c r="I130">
        <v>0</v>
      </c>
      <c r="K130" s="1">
        <v>50</v>
      </c>
      <c r="L130" s="1">
        <v>811</v>
      </c>
      <c r="M130" s="1">
        <v>3047</v>
      </c>
      <c r="N130" s="1">
        <v>1.3</v>
      </c>
      <c r="O130" s="1">
        <v>-0.9</v>
      </c>
      <c r="P130" s="1">
        <v>-0.3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787</v>
      </c>
      <c r="C131" s="1">
        <v>2868</v>
      </c>
      <c r="D131" s="1">
        <v>0.5</v>
      </c>
      <c r="E131" s="1">
        <v>-0.2</v>
      </c>
      <c r="F131" s="1">
        <v>-0.1</v>
      </c>
      <c r="G131">
        <v>0</v>
      </c>
      <c r="H131">
        <v>0</v>
      </c>
      <c r="I131">
        <v>0</v>
      </c>
      <c r="K131" s="1">
        <v>75</v>
      </c>
      <c r="L131" s="1">
        <v>805</v>
      </c>
      <c r="M131" s="1">
        <v>3002</v>
      </c>
      <c r="N131" s="1">
        <v>2.4</v>
      </c>
      <c r="O131" s="1">
        <v>-1.1000000000000001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775</v>
      </c>
      <c r="C132" s="1">
        <v>2783</v>
      </c>
      <c r="D132" s="1">
        <v>1.4</v>
      </c>
      <c r="E132" s="1">
        <v>-0.5</v>
      </c>
      <c r="F132" s="1">
        <v>-0.1</v>
      </c>
      <c r="G132">
        <v>0</v>
      </c>
      <c r="H132">
        <v>0</v>
      </c>
      <c r="I132">
        <v>0</v>
      </c>
      <c r="K132" s="1">
        <v>100</v>
      </c>
      <c r="L132" s="1">
        <v>799</v>
      </c>
      <c r="M132" s="1">
        <v>2958</v>
      </c>
      <c r="N132" s="1">
        <v>2.6</v>
      </c>
      <c r="O132" s="1">
        <v>-0.9</v>
      </c>
      <c r="P132" s="1">
        <v>-0.3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763</v>
      </c>
      <c r="C133" s="1">
        <v>2699</v>
      </c>
      <c r="D133" s="1">
        <v>1.2</v>
      </c>
      <c r="E133" s="1">
        <v>-0.3</v>
      </c>
      <c r="F133" s="1">
        <v>-0.1</v>
      </c>
      <c r="G133">
        <v>0</v>
      </c>
      <c r="H133">
        <v>0</v>
      </c>
      <c r="I133">
        <v>0</v>
      </c>
      <c r="K133" s="1">
        <v>125</v>
      </c>
      <c r="L133" s="1">
        <v>793</v>
      </c>
      <c r="M133" s="1">
        <v>2914</v>
      </c>
      <c r="N133" s="1">
        <v>1.8</v>
      </c>
      <c r="O133" s="1">
        <v>-0.5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752</v>
      </c>
      <c r="C134" s="10">
        <v>2618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>
        <v>150</v>
      </c>
      <c r="L134" s="1">
        <v>787</v>
      </c>
      <c r="M134" s="1">
        <v>2871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740</v>
      </c>
      <c r="C135" s="1">
        <v>2538</v>
      </c>
      <c r="D135" s="1">
        <v>-2.2999999999999998</v>
      </c>
      <c r="E135" s="1">
        <v>0.5</v>
      </c>
      <c r="F135" s="1">
        <v>0.1</v>
      </c>
      <c r="G135">
        <v>0</v>
      </c>
      <c r="H135">
        <v>0</v>
      </c>
      <c r="I135">
        <v>0</v>
      </c>
      <c r="K135" s="1">
        <v>175</v>
      </c>
      <c r="L135" s="1">
        <v>781</v>
      </c>
      <c r="M135" s="1">
        <v>2828</v>
      </c>
      <c r="N135" s="1">
        <v>-2.7</v>
      </c>
      <c r="O135" s="1">
        <v>0.5</v>
      </c>
      <c r="P135" s="1">
        <v>0.2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729</v>
      </c>
      <c r="C136" s="1">
        <v>2460</v>
      </c>
      <c r="D136" s="1">
        <v>-5.9</v>
      </c>
      <c r="E136" s="1">
        <v>1</v>
      </c>
      <c r="F136" s="1">
        <v>0.3</v>
      </c>
      <c r="G136">
        <v>0</v>
      </c>
      <c r="H136">
        <v>0</v>
      </c>
      <c r="I136">
        <v>0</v>
      </c>
      <c r="K136" s="1">
        <v>200</v>
      </c>
      <c r="L136" s="1">
        <v>775</v>
      </c>
      <c r="M136" s="1">
        <v>2786</v>
      </c>
      <c r="N136" s="1">
        <v>-6.6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717</v>
      </c>
      <c r="C137" s="1">
        <v>2384</v>
      </c>
      <c r="D137" s="1">
        <v>-10.5</v>
      </c>
      <c r="E137" s="1">
        <v>1.6</v>
      </c>
      <c r="F137" s="1">
        <v>0.5</v>
      </c>
      <c r="G137">
        <v>0</v>
      </c>
      <c r="H137">
        <v>0</v>
      </c>
      <c r="I137">
        <v>0</v>
      </c>
      <c r="K137" s="1">
        <v>225</v>
      </c>
      <c r="L137" s="1">
        <v>770</v>
      </c>
      <c r="M137" s="1">
        <v>2744</v>
      </c>
      <c r="N137" s="1">
        <v>-11.4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706</v>
      </c>
      <c r="C138" s="1">
        <v>2310</v>
      </c>
      <c r="D138" s="1">
        <v>-16.3</v>
      </c>
      <c r="E138" s="1">
        <v>2.2000000000000002</v>
      </c>
      <c r="F138" s="1">
        <v>0.7</v>
      </c>
      <c r="G138">
        <v>0</v>
      </c>
      <c r="H138">
        <v>0</v>
      </c>
      <c r="I138">
        <v>0</v>
      </c>
      <c r="K138" s="1">
        <v>250</v>
      </c>
      <c r="L138" s="1">
        <v>764</v>
      </c>
      <c r="M138" s="1">
        <v>2703</v>
      </c>
      <c r="N138" s="1">
        <v>-17.100000000000001</v>
      </c>
      <c r="O138" s="1">
        <v>2.4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695</v>
      </c>
      <c r="C139" s="1">
        <v>2238</v>
      </c>
      <c r="D139" s="1">
        <v>-23.6</v>
      </c>
      <c r="E139" s="1">
        <v>2.9</v>
      </c>
      <c r="F139" s="1">
        <v>0.9</v>
      </c>
      <c r="G139">
        <v>0</v>
      </c>
      <c r="H139">
        <v>0</v>
      </c>
      <c r="I139">
        <v>0</v>
      </c>
      <c r="K139" s="1">
        <v>275</v>
      </c>
      <c r="L139" s="1">
        <v>758</v>
      </c>
      <c r="M139" s="1">
        <v>2662</v>
      </c>
      <c r="N139" s="1">
        <v>-24.2</v>
      </c>
      <c r="O139" s="1">
        <v>3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684</v>
      </c>
      <c r="C140" s="1">
        <v>2167</v>
      </c>
      <c r="D140" s="1">
        <v>-32</v>
      </c>
      <c r="E140" s="1">
        <v>3.7</v>
      </c>
      <c r="F140" s="1">
        <v>1.1000000000000001</v>
      </c>
      <c r="G140">
        <v>0</v>
      </c>
      <c r="H140">
        <v>0</v>
      </c>
      <c r="I140">
        <v>0</v>
      </c>
      <c r="K140" s="1">
        <v>300</v>
      </c>
      <c r="L140" s="1">
        <v>752</v>
      </c>
      <c r="M140" s="1">
        <v>2622</v>
      </c>
      <c r="N140" s="1">
        <v>-32.200000000000003</v>
      </c>
      <c r="O140" s="1">
        <v>3.7</v>
      </c>
      <c r="P140" s="1">
        <v>1.1000000000000001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673</v>
      </c>
      <c r="C141" s="1">
        <v>2099</v>
      </c>
      <c r="D141" s="1">
        <v>-41.6</v>
      </c>
      <c r="E141" s="1">
        <v>4.4000000000000004</v>
      </c>
      <c r="F141" s="1">
        <v>1.3</v>
      </c>
      <c r="G141">
        <v>0</v>
      </c>
      <c r="H141">
        <v>0</v>
      </c>
      <c r="I141">
        <v>0</v>
      </c>
      <c r="K141" s="1">
        <v>325</v>
      </c>
      <c r="L141" s="1">
        <v>747</v>
      </c>
      <c r="M141" s="1">
        <v>2582</v>
      </c>
      <c r="N141" s="1">
        <v>-41.1</v>
      </c>
      <c r="O141" s="1">
        <v>4.4000000000000004</v>
      </c>
      <c r="P141" s="1">
        <v>1.3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662</v>
      </c>
      <c r="C142" s="1">
        <v>2032</v>
      </c>
      <c r="D142" s="1">
        <v>-53.1</v>
      </c>
      <c r="E142" s="1">
        <v>5.2</v>
      </c>
      <c r="F142" s="1">
        <v>1.5</v>
      </c>
      <c r="G142">
        <v>0</v>
      </c>
      <c r="H142">
        <v>0</v>
      </c>
      <c r="I142">
        <v>0</v>
      </c>
      <c r="K142" s="1">
        <v>350</v>
      </c>
      <c r="L142" s="1">
        <v>741</v>
      </c>
      <c r="M142" s="1">
        <v>2543</v>
      </c>
      <c r="N142" s="1">
        <v>-51.6</v>
      </c>
      <c r="O142" s="1">
        <v>5.0999999999999996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651</v>
      </c>
      <c r="C143" s="1">
        <v>1966</v>
      </c>
      <c r="D143" s="1">
        <v>-65.7</v>
      </c>
      <c r="E143" s="1">
        <v>6</v>
      </c>
      <c r="F143" s="1">
        <v>1.8</v>
      </c>
      <c r="G143">
        <v>0</v>
      </c>
      <c r="H143">
        <v>0</v>
      </c>
      <c r="I143">
        <v>0</v>
      </c>
      <c r="K143" s="1">
        <v>375</v>
      </c>
      <c r="L143" s="1">
        <v>735</v>
      </c>
      <c r="M143" s="1">
        <v>2504</v>
      </c>
      <c r="N143" s="1">
        <v>-62.9</v>
      </c>
      <c r="O143" s="1">
        <v>5.8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641</v>
      </c>
      <c r="C144" s="1">
        <v>1902</v>
      </c>
      <c r="D144" s="1">
        <v>-79.7</v>
      </c>
      <c r="E144" s="1">
        <v>6.9</v>
      </c>
      <c r="F144" s="1">
        <v>2</v>
      </c>
      <c r="G144">
        <v>0</v>
      </c>
      <c r="H144">
        <v>0</v>
      </c>
      <c r="I144">
        <v>0</v>
      </c>
      <c r="K144" s="1">
        <v>400</v>
      </c>
      <c r="L144" s="1">
        <v>729</v>
      </c>
      <c r="M144" s="1">
        <v>2466</v>
      </c>
      <c r="N144" s="1">
        <v>-75.2</v>
      </c>
      <c r="O144" s="1">
        <v>6.5</v>
      </c>
      <c r="P144" s="1">
        <v>1.9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630</v>
      </c>
      <c r="C145" s="1">
        <v>1840</v>
      </c>
      <c r="D145" s="1">
        <v>-95.8</v>
      </c>
      <c r="E145" s="1">
        <v>7.7</v>
      </c>
      <c r="F145" s="1">
        <v>2.2999999999999998</v>
      </c>
      <c r="G145">
        <v>0</v>
      </c>
      <c r="H145">
        <v>0</v>
      </c>
      <c r="I145">
        <v>0</v>
      </c>
      <c r="K145" s="1">
        <v>425</v>
      </c>
      <c r="L145" s="1">
        <v>724</v>
      </c>
      <c r="M145" s="1">
        <v>2428</v>
      </c>
      <c r="N145" s="1">
        <v>-89.3</v>
      </c>
      <c r="O145" s="1">
        <v>7.2</v>
      </c>
      <c r="P145" s="1">
        <v>2.1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620</v>
      </c>
      <c r="C146" s="1">
        <v>1780</v>
      </c>
      <c r="D146" s="1">
        <v>-113</v>
      </c>
      <c r="E146" s="1">
        <v>8.6</v>
      </c>
      <c r="F146" s="1">
        <v>2.5</v>
      </c>
      <c r="G146">
        <v>0</v>
      </c>
      <c r="H146">
        <v>0</v>
      </c>
      <c r="I146">
        <v>0</v>
      </c>
      <c r="K146" s="1">
        <v>450</v>
      </c>
      <c r="L146" s="1">
        <v>718</v>
      </c>
      <c r="M146" s="1">
        <v>2390</v>
      </c>
      <c r="N146" s="1">
        <v>-104</v>
      </c>
      <c r="O146" s="1">
        <v>7.9</v>
      </c>
      <c r="P146" s="1">
        <v>2.2999999999999998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609</v>
      </c>
      <c r="C147" s="1">
        <v>1721</v>
      </c>
      <c r="D147" s="1">
        <v>-131.9</v>
      </c>
      <c r="E147" s="1">
        <v>9.6</v>
      </c>
      <c r="F147" s="1">
        <v>2.8</v>
      </c>
      <c r="G147">
        <v>0</v>
      </c>
      <c r="H147">
        <v>0</v>
      </c>
      <c r="I147">
        <v>0</v>
      </c>
      <c r="K147" s="1">
        <v>475</v>
      </c>
      <c r="L147" s="1">
        <v>713</v>
      </c>
      <c r="M147" s="1">
        <v>2353</v>
      </c>
      <c r="N147" s="1">
        <v>-119.9</v>
      </c>
      <c r="O147" s="1">
        <v>8.6999999999999993</v>
      </c>
      <c r="P147" s="1">
        <v>2.5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600</v>
      </c>
      <c r="C148" s="1">
        <v>1666</v>
      </c>
      <c r="D148" s="1">
        <v>-152.4</v>
      </c>
      <c r="E148" s="1">
        <v>10.5</v>
      </c>
      <c r="F148" s="1">
        <v>3.1</v>
      </c>
      <c r="G148">
        <v>0</v>
      </c>
      <c r="H148">
        <v>0</v>
      </c>
      <c r="I148">
        <v>0</v>
      </c>
      <c r="K148" s="1">
        <v>500</v>
      </c>
      <c r="L148" s="1">
        <v>707</v>
      </c>
      <c r="M148" s="1">
        <v>2318</v>
      </c>
      <c r="N148" s="1">
        <v>-137.1</v>
      </c>
      <c r="O148" s="1">
        <v>9.4</v>
      </c>
      <c r="P148" s="1">
        <v>2.7</v>
      </c>
      <c r="Q148" s="1">
        <v>0</v>
      </c>
      <c r="R148" s="1">
        <v>0</v>
      </c>
      <c r="S148" s="1">
        <v>0</v>
      </c>
    </row>
    <row r="150" spans="1:19" x14ac:dyDescent="0.25">
      <c r="A150" t="s">
        <v>77</v>
      </c>
      <c r="K150" t="s">
        <v>85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34</v>
      </c>
      <c r="H151" t="s">
        <v>35</v>
      </c>
      <c r="I151" t="s">
        <v>36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34</v>
      </c>
      <c r="R151" t="s">
        <v>35</v>
      </c>
      <c r="S151" t="s">
        <v>36</v>
      </c>
    </row>
    <row r="152" spans="1:19" x14ac:dyDescent="0.25">
      <c r="A152" s="1">
        <v>0</v>
      </c>
      <c r="B152" s="1">
        <v>823</v>
      </c>
      <c r="C152" s="1">
        <v>3138</v>
      </c>
      <c r="D152" s="1">
        <v>-8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823</v>
      </c>
      <c r="M152" s="1">
        <v>3138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811</v>
      </c>
      <c r="C153" s="1">
        <v>3046</v>
      </c>
      <c r="D153" s="1">
        <v>-4.2</v>
      </c>
      <c r="E153" s="1">
        <v>5.9</v>
      </c>
      <c r="F153" s="1">
        <v>1.7</v>
      </c>
      <c r="G153">
        <v>0</v>
      </c>
      <c r="H153">
        <v>0</v>
      </c>
      <c r="I153">
        <v>0</v>
      </c>
      <c r="K153" s="1">
        <v>25</v>
      </c>
      <c r="L153" s="1">
        <v>817</v>
      </c>
      <c r="M153" s="1">
        <v>3092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799</v>
      </c>
      <c r="C154" s="1">
        <v>2956</v>
      </c>
      <c r="D154" s="1">
        <v>-1.3</v>
      </c>
      <c r="E154" s="1">
        <v>0.9</v>
      </c>
      <c r="F154" s="1">
        <v>0.3</v>
      </c>
      <c r="G154">
        <v>0</v>
      </c>
      <c r="H154">
        <v>0</v>
      </c>
      <c r="I154">
        <v>0</v>
      </c>
      <c r="K154" s="1">
        <v>50</v>
      </c>
      <c r="L154" s="1">
        <v>811</v>
      </c>
      <c r="M154" s="1">
        <v>3047</v>
      </c>
      <c r="N154" s="1">
        <v>2.9</v>
      </c>
      <c r="O154" s="1">
        <v>-2</v>
      </c>
      <c r="P154" s="1">
        <v>-0.6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787</v>
      </c>
      <c r="C155" s="1">
        <v>2868</v>
      </c>
      <c r="D155" s="1">
        <v>0.5</v>
      </c>
      <c r="E155" s="1">
        <v>-0.2</v>
      </c>
      <c r="F155" s="1">
        <v>-0.1</v>
      </c>
      <c r="G155">
        <v>0</v>
      </c>
      <c r="H155">
        <v>0</v>
      </c>
      <c r="I155">
        <v>0</v>
      </c>
      <c r="K155" s="1">
        <v>75</v>
      </c>
      <c r="L155" s="1">
        <v>805</v>
      </c>
      <c r="M155" s="1">
        <v>3002</v>
      </c>
      <c r="N155" s="1">
        <v>4.8</v>
      </c>
      <c r="O155" s="1">
        <v>-2.2000000000000002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775</v>
      </c>
      <c r="C156" s="1">
        <v>2783</v>
      </c>
      <c r="D156" s="1">
        <v>1.4</v>
      </c>
      <c r="E156" s="1">
        <v>-0.5</v>
      </c>
      <c r="F156" s="1">
        <v>-0.1</v>
      </c>
      <c r="G156">
        <v>0</v>
      </c>
      <c r="H156">
        <v>0</v>
      </c>
      <c r="I156">
        <v>0</v>
      </c>
      <c r="K156" s="1">
        <v>100</v>
      </c>
      <c r="L156" s="1">
        <v>799</v>
      </c>
      <c r="M156" s="1">
        <v>2958</v>
      </c>
      <c r="N156" s="1">
        <v>5.8</v>
      </c>
      <c r="O156" s="1">
        <v>-2</v>
      </c>
      <c r="P156" s="1">
        <v>-0.6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763</v>
      </c>
      <c r="C157" s="1">
        <v>2699</v>
      </c>
      <c r="D157" s="1">
        <v>1.2</v>
      </c>
      <c r="E157" s="1">
        <v>-0.3</v>
      </c>
      <c r="F157" s="1">
        <v>-0.1</v>
      </c>
      <c r="G157">
        <v>0</v>
      </c>
      <c r="H157">
        <v>0</v>
      </c>
      <c r="I157">
        <v>0</v>
      </c>
      <c r="K157" s="1">
        <v>125</v>
      </c>
      <c r="L157" s="1">
        <v>793</v>
      </c>
      <c r="M157" s="1">
        <v>2914</v>
      </c>
      <c r="N157" s="1">
        <v>5.9</v>
      </c>
      <c r="O157" s="1">
        <v>-1.6</v>
      </c>
      <c r="P157" s="1">
        <v>-0.5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752</v>
      </c>
      <c r="C158" s="1">
        <v>2618</v>
      </c>
      <c r="D158" s="1">
        <v>0</v>
      </c>
      <c r="E158" s="1">
        <v>0</v>
      </c>
      <c r="F158" s="1">
        <v>0</v>
      </c>
      <c r="G158">
        <v>0</v>
      </c>
      <c r="H158">
        <v>0</v>
      </c>
      <c r="I158">
        <v>0</v>
      </c>
      <c r="K158" s="1">
        <v>150</v>
      </c>
      <c r="L158" s="1">
        <v>787</v>
      </c>
      <c r="M158" s="1">
        <v>2871</v>
      </c>
      <c r="N158" s="1">
        <v>4.9000000000000004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740</v>
      </c>
      <c r="C159" s="1">
        <v>2538</v>
      </c>
      <c r="D159" s="1">
        <v>-2.2999999999999998</v>
      </c>
      <c r="E159" s="1">
        <v>0.5</v>
      </c>
      <c r="F159" s="1">
        <v>0.1</v>
      </c>
      <c r="G159">
        <v>0</v>
      </c>
      <c r="H159">
        <v>0</v>
      </c>
      <c r="I159">
        <v>0</v>
      </c>
      <c r="K159" s="1">
        <v>175</v>
      </c>
      <c r="L159" s="1">
        <v>781</v>
      </c>
      <c r="M159" s="1">
        <v>2828</v>
      </c>
      <c r="N159" s="1">
        <v>3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729</v>
      </c>
      <c r="C160" s="10">
        <v>2460</v>
      </c>
      <c r="D160" s="10">
        <v>-5.9</v>
      </c>
      <c r="E160" s="10">
        <v>1</v>
      </c>
      <c r="F160" s="10">
        <v>0.3</v>
      </c>
      <c r="G160">
        <v>0</v>
      </c>
      <c r="H160">
        <v>0</v>
      </c>
      <c r="I160">
        <v>0</v>
      </c>
      <c r="K160" s="1">
        <v>200</v>
      </c>
      <c r="L160" s="1">
        <v>775</v>
      </c>
      <c r="M160" s="1">
        <v>2786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717</v>
      </c>
      <c r="C161" s="1">
        <v>2384</v>
      </c>
      <c r="D161" s="1">
        <v>-10.5</v>
      </c>
      <c r="E161" s="1">
        <v>1.6</v>
      </c>
      <c r="F161" s="1">
        <v>0.5</v>
      </c>
      <c r="G161">
        <v>0</v>
      </c>
      <c r="H161">
        <v>0</v>
      </c>
      <c r="I161">
        <v>0</v>
      </c>
      <c r="K161" s="1">
        <v>225</v>
      </c>
      <c r="L161" s="1">
        <v>770</v>
      </c>
      <c r="M161" s="1">
        <v>2744</v>
      </c>
      <c r="N161" s="1">
        <v>-4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706</v>
      </c>
      <c r="C162" s="1">
        <v>2310</v>
      </c>
      <c r="D162" s="1">
        <v>-16.3</v>
      </c>
      <c r="E162" s="1">
        <v>2.2000000000000002</v>
      </c>
      <c r="F162" s="1">
        <v>0.7</v>
      </c>
      <c r="G162">
        <v>0</v>
      </c>
      <c r="H162">
        <v>0</v>
      </c>
      <c r="I162">
        <v>0</v>
      </c>
      <c r="K162" s="1">
        <v>250</v>
      </c>
      <c r="L162" s="1">
        <v>764</v>
      </c>
      <c r="M162" s="1">
        <v>2703</v>
      </c>
      <c r="N162" s="1">
        <v>-8.9</v>
      </c>
      <c r="O162" s="1">
        <v>1.2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695</v>
      </c>
      <c r="C163" s="1">
        <v>2238</v>
      </c>
      <c r="D163" s="1">
        <v>-23.6</v>
      </c>
      <c r="E163" s="1">
        <v>2.9</v>
      </c>
      <c r="F163" s="1">
        <v>0.9</v>
      </c>
      <c r="G163">
        <v>0</v>
      </c>
      <c r="H163">
        <v>0</v>
      </c>
      <c r="I163">
        <v>0</v>
      </c>
      <c r="K163" s="1">
        <v>275</v>
      </c>
      <c r="L163" s="1">
        <v>758</v>
      </c>
      <c r="M163" s="1">
        <v>2662</v>
      </c>
      <c r="N163" s="1">
        <v>-15.2</v>
      </c>
      <c r="O163" s="1">
        <v>1.9</v>
      </c>
      <c r="P163" s="1">
        <v>0.6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684</v>
      </c>
      <c r="C164" s="1">
        <v>2167</v>
      </c>
      <c r="D164" s="1">
        <v>-32</v>
      </c>
      <c r="E164" s="1">
        <v>3.7</v>
      </c>
      <c r="F164" s="1">
        <v>1.1000000000000001</v>
      </c>
      <c r="G164">
        <v>0</v>
      </c>
      <c r="H164">
        <v>0</v>
      </c>
      <c r="I164">
        <v>0</v>
      </c>
      <c r="K164" s="1">
        <v>300</v>
      </c>
      <c r="L164" s="1">
        <v>752</v>
      </c>
      <c r="M164" s="1">
        <v>2622</v>
      </c>
      <c r="N164" s="1">
        <v>-22.3</v>
      </c>
      <c r="O164" s="1">
        <v>2.6</v>
      </c>
      <c r="P164" s="1">
        <v>0.7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673</v>
      </c>
      <c r="C165" s="1">
        <v>2099</v>
      </c>
      <c r="D165" s="1">
        <v>-41.6</v>
      </c>
      <c r="E165" s="1">
        <v>4.4000000000000004</v>
      </c>
      <c r="F165" s="1">
        <v>1.3</v>
      </c>
      <c r="G165">
        <v>0</v>
      </c>
      <c r="H165">
        <v>0</v>
      </c>
      <c r="I165">
        <v>0</v>
      </c>
      <c r="K165" s="1">
        <v>325</v>
      </c>
      <c r="L165" s="1">
        <v>747</v>
      </c>
      <c r="M165" s="1">
        <v>2582</v>
      </c>
      <c r="N165" s="1">
        <v>-30.5</v>
      </c>
      <c r="O165" s="1">
        <v>3.2</v>
      </c>
      <c r="P165" s="1">
        <v>0.9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662</v>
      </c>
      <c r="C166" s="1">
        <v>2032</v>
      </c>
      <c r="D166" s="1">
        <v>-53.1</v>
      </c>
      <c r="E166" s="1">
        <v>5.2</v>
      </c>
      <c r="F166" s="1">
        <v>1.5</v>
      </c>
      <c r="G166">
        <v>0</v>
      </c>
      <c r="H166">
        <v>0</v>
      </c>
      <c r="I166">
        <v>0</v>
      </c>
      <c r="K166" s="1">
        <v>350</v>
      </c>
      <c r="L166" s="1">
        <v>741</v>
      </c>
      <c r="M166" s="1">
        <v>2543</v>
      </c>
      <c r="N166" s="1">
        <v>-40.1</v>
      </c>
      <c r="O166" s="1">
        <v>3.9</v>
      </c>
      <c r="P166" s="1">
        <v>1.1000000000000001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651</v>
      </c>
      <c r="C167" s="1">
        <v>1966</v>
      </c>
      <c r="D167" s="1">
        <v>-65.7</v>
      </c>
      <c r="E167" s="1">
        <v>6</v>
      </c>
      <c r="F167" s="1">
        <v>1.8</v>
      </c>
      <c r="G167">
        <v>0</v>
      </c>
      <c r="H167">
        <v>0</v>
      </c>
      <c r="I167">
        <v>0</v>
      </c>
      <c r="K167" s="1">
        <v>375</v>
      </c>
      <c r="L167" s="1">
        <v>735</v>
      </c>
      <c r="M167" s="1">
        <v>2504</v>
      </c>
      <c r="N167" s="1">
        <v>-50.6</v>
      </c>
      <c r="O167" s="1">
        <v>4.5999999999999996</v>
      </c>
      <c r="P167" s="1">
        <v>1.3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641</v>
      </c>
      <c r="C168" s="1">
        <v>1902</v>
      </c>
      <c r="D168" s="1">
        <v>-79.7</v>
      </c>
      <c r="E168" s="1">
        <v>6.9</v>
      </c>
      <c r="F168" s="1">
        <v>2</v>
      </c>
      <c r="G168">
        <v>0</v>
      </c>
      <c r="H168">
        <v>0</v>
      </c>
      <c r="I168">
        <v>0</v>
      </c>
      <c r="K168" s="1">
        <v>400</v>
      </c>
      <c r="L168" s="1">
        <v>729</v>
      </c>
      <c r="M168" s="1">
        <v>2466</v>
      </c>
      <c r="N168" s="1">
        <v>-62.1</v>
      </c>
      <c r="O168" s="1">
        <v>5.3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630</v>
      </c>
      <c r="C169" s="1">
        <v>1840</v>
      </c>
      <c r="D169" s="1">
        <v>-95.8</v>
      </c>
      <c r="E169" s="1">
        <v>7.7</v>
      </c>
      <c r="F169" s="1">
        <v>2.2999999999999998</v>
      </c>
      <c r="G169">
        <v>0</v>
      </c>
      <c r="H169">
        <v>0</v>
      </c>
      <c r="I169">
        <v>0</v>
      </c>
      <c r="K169" s="1">
        <v>425</v>
      </c>
      <c r="L169" s="1">
        <v>724</v>
      </c>
      <c r="M169" s="1">
        <v>2428</v>
      </c>
      <c r="N169" s="1">
        <v>-75.3</v>
      </c>
      <c r="O169" s="1">
        <v>6.1</v>
      </c>
      <c r="P169" s="1">
        <v>1.8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620</v>
      </c>
      <c r="C170" s="1">
        <v>1780</v>
      </c>
      <c r="D170" s="1">
        <v>-113</v>
      </c>
      <c r="E170" s="1">
        <v>8.6</v>
      </c>
      <c r="F170" s="1">
        <v>2.5</v>
      </c>
      <c r="G170">
        <v>0</v>
      </c>
      <c r="H170">
        <v>0</v>
      </c>
      <c r="I170">
        <v>0</v>
      </c>
      <c r="K170" s="1">
        <v>450</v>
      </c>
      <c r="L170" s="1">
        <v>718</v>
      </c>
      <c r="M170" s="1">
        <v>2390</v>
      </c>
      <c r="N170" s="1">
        <v>-89.3</v>
      </c>
      <c r="O170" s="1">
        <v>6.8</v>
      </c>
      <c r="P170" s="1">
        <v>2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609</v>
      </c>
      <c r="C171" s="1">
        <v>1721</v>
      </c>
      <c r="D171" s="1">
        <v>-131.9</v>
      </c>
      <c r="E171" s="1">
        <v>9.6</v>
      </c>
      <c r="F171" s="1">
        <v>2.8</v>
      </c>
      <c r="G171">
        <v>0</v>
      </c>
      <c r="H171">
        <v>0</v>
      </c>
      <c r="I171">
        <v>0</v>
      </c>
      <c r="K171" s="1">
        <v>475</v>
      </c>
      <c r="L171" s="1">
        <v>713</v>
      </c>
      <c r="M171" s="1">
        <v>2353</v>
      </c>
      <c r="N171" s="1">
        <v>-104.4</v>
      </c>
      <c r="O171" s="1">
        <v>7.6</v>
      </c>
      <c r="P171" s="1">
        <v>2.2000000000000002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600</v>
      </c>
      <c r="C172" s="1">
        <v>1666</v>
      </c>
      <c r="D172" s="1">
        <v>-152.4</v>
      </c>
      <c r="E172" s="1">
        <v>10.5</v>
      </c>
      <c r="F172" s="1">
        <v>3.1</v>
      </c>
      <c r="G172">
        <v>0</v>
      </c>
      <c r="H172">
        <v>0</v>
      </c>
      <c r="I172">
        <v>0</v>
      </c>
      <c r="K172" s="1">
        <v>500</v>
      </c>
      <c r="L172" s="1">
        <v>707</v>
      </c>
      <c r="M172" s="1">
        <v>2318</v>
      </c>
      <c r="N172" s="1">
        <v>-120.7</v>
      </c>
      <c r="O172" s="1">
        <v>8.3000000000000007</v>
      </c>
      <c r="P172" s="1">
        <v>2.4</v>
      </c>
      <c r="Q172" s="1">
        <v>0</v>
      </c>
      <c r="R172" s="1">
        <v>0</v>
      </c>
      <c r="S172" s="1">
        <v>0</v>
      </c>
    </row>
    <row r="174" spans="1:19" x14ac:dyDescent="0.25">
      <c r="A174" t="s">
        <v>78</v>
      </c>
      <c r="K174" t="s">
        <v>86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34</v>
      </c>
      <c r="H175" t="s">
        <v>35</v>
      </c>
      <c r="I175" t="s">
        <v>36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34</v>
      </c>
      <c r="R175" t="s">
        <v>35</v>
      </c>
      <c r="S175" t="s">
        <v>36</v>
      </c>
    </row>
    <row r="176" spans="1:19" x14ac:dyDescent="0.25">
      <c r="A176" s="1">
        <v>0</v>
      </c>
      <c r="B176" s="1">
        <v>823</v>
      </c>
      <c r="C176" s="1">
        <v>3138</v>
      </c>
      <c r="D176" s="1">
        <v>-8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823</v>
      </c>
      <c r="M176" s="1">
        <v>3138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811</v>
      </c>
      <c r="C177" s="1">
        <v>3046</v>
      </c>
      <c r="D177" s="1">
        <v>-1.6</v>
      </c>
      <c r="E177" s="1">
        <v>2.2000000000000002</v>
      </c>
      <c r="F177" s="1">
        <v>0.6</v>
      </c>
      <c r="G177">
        <v>0</v>
      </c>
      <c r="H177">
        <v>0</v>
      </c>
      <c r="I177">
        <v>0</v>
      </c>
      <c r="K177" s="1">
        <v>25</v>
      </c>
      <c r="L177" s="1">
        <v>817</v>
      </c>
      <c r="M177" s="1">
        <v>3092</v>
      </c>
      <c r="N177" s="1">
        <v>1.8</v>
      </c>
      <c r="O177" s="1">
        <v>-2.5</v>
      </c>
      <c r="P177" s="1">
        <v>-0.7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799</v>
      </c>
      <c r="C178" s="1">
        <v>2956</v>
      </c>
      <c r="D178" s="1">
        <v>4</v>
      </c>
      <c r="E178" s="1">
        <v>-2.7</v>
      </c>
      <c r="F178" s="1">
        <v>-0.8</v>
      </c>
      <c r="G178">
        <v>0</v>
      </c>
      <c r="H178">
        <v>0</v>
      </c>
      <c r="I178">
        <v>0</v>
      </c>
      <c r="K178" s="1">
        <v>50</v>
      </c>
      <c r="L178" s="1">
        <v>811</v>
      </c>
      <c r="M178" s="1">
        <v>3047</v>
      </c>
      <c r="N178" s="1">
        <v>6.7</v>
      </c>
      <c r="O178" s="1">
        <v>-4.5999999999999996</v>
      </c>
      <c r="P178" s="1">
        <v>-1.3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787</v>
      </c>
      <c r="C179" s="1">
        <v>2868</v>
      </c>
      <c r="D179" s="1">
        <v>8.5</v>
      </c>
      <c r="E179" s="1">
        <v>-3.9</v>
      </c>
      <c r="F179" s="1">
        <v>-1.1000000000000001</v>
      </c>
      <c r="G179">
        <v>0</v>
      </c>
      <c r="H179">
        <v>0</v>
      </c>
      <c r="I179">
        <v>0</v>
      </c>
      <c r="K179" s="1">
        <v>75</v>
      </c>
      <c r="L179" s="1">
        <v>805</v>
      </c>
      <c r="M179" s="1">
        <v>3002</v>
      </c>
      <c r="N179" s="1">
        <v>10.5</v>
      </c>
      <c r="O179" s="1">
        <v>-4.8</v>
      </c>
      <c r="P179" s="1">
        <v>-1.4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775</v>
      </c>
      <c r="C180" s="1">
        <v>2783</v>
      </c>
      <c r="D180" s="1">
        <v>12</v>
      </c>
      <c r="E180" s="1">
        <v>-4.0999999999999996</v>
      </c>
      <c r="F180" s="1">
        <v>-1.2</v>
      </c>
      <c r="G180">
        <v>0</v>
      </c>
      <c r="H180">
        <v>0</v>
      </c>
      <c r="I180">
        <v>0</v>
      </c>
      <c r="K180" s="1">
        <v>100</v>
      </c>
      <c r="L180" s="1">
        <v>799</v>
      </c>
      <c r="M180" s="1">
        <v>2958</v>
      </c>
      <c r="N180" s="1">
        <v>13.3</v>
      </c>
      <c r="O180" s="1">
        <v>-4.5999999999999996</v>
      </c>
      <c r="P180" s="1">
        <v>-1.3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763</v>
      </c>
      <c r="C181" s="1">
        <v>2699</v>
      </c>
      <c r="D181" s="1">
        <v>14.5</v>
      </c>
      <c r="E181" s="1">
        <v>-4</v>
      </c>
      <c r="F181" s="1">
        <v>-1.2</v>
      </c>
      <c r="G181">
        <v>0</v>
      </c>
      <c r="H181">
        <v>0</v>
      </c>
      <c r="I181">
        <v>0</v>
      </c>
      <c r="K181" s="1">
        <v>125</v>
      </c>
      <c r="L181" s="1">
        <v>793</v>
      </c>
      <c r="M181" s="1">
        <v>2914</v>
      </c>
      <c r="N181" s="1">
        <v>15.2</v>
      </c>
      <c r="O181" s="1">
        <v>-4.2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752</v>
      </c>
      <c r="C182" s="1">
        <v>2618</v>
      </c>
      <c r="D182" s="1">
        <v>15.9</v>
      </c>
      <c r="E182" s="1">
        <v>-3.7</v>
      </c>
      <c r="F182" s="1">
        <v>-1.1000000000000001</v>
      </c>
      <c r="G182">
        <v>0</v>
      </c>
      <c r="H182">
        <v>0</v>
      </c>
      <c r="I182">
        <v>0</v>
      </c>
      <c r="K182" s="1">
        <v>150</v>
      </c>
      <c r="L182" s="1">
        <v>787</v>
      </c>
      <c r="M182" s="1">
        <v>2871</v>
      </c>
      <c r="N182" s="1">
        <v>16.100000000000001</v>
      </c>
      <c r="O182" s="1">
        <v>-3.7</v>
      </c>
      <c r="P182" s="1">
        <v>-1.1000000000000001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740</v>
      </c>
      <c r="C183" s="1">
        <v>2538</v>
      </c>
      <c r="D183" s="1">
        <v>16.3</v>
      </c>
      <c r="E183" s="1">
        <v>-3.2</v>
      </c>
      <c r="F183" s="1">
        <v>-0.9</v>
      </c>
      <c r="G183">
        <v>0</v>
      </c>
      <c r="H183">
        <v>0</v>
      </c>
      <c r="I183">
        <v>0</v>
      </c>
      <c r="K183" s="1">
        <v>175</v>
      </c>
      <c r="L183" s="1">
        <v>781</v>
      </c>
      <c r="M183" s="1">
        <v>2828</v>
      </c>
      <c r="N183" s="1">
        <v>16</v>
      </c>
      <c r="O183" s="1">
        <v>-3.2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729</v>
      </c>
      <c r="C184" s="1">
        <v>2460</v>
      </c>
      <c r="D184" s="1">
        <v>15.4</v>
      </c>
      <c r="E184" s="1">
        <v>-2.6</v>
      </c>
      <c r="F184" s="1">
        <v>-0.8</v>
      </c>
      <c r="G184">
        <v>0</v>
      </c>
      <c r="H184">
        <v>0</v>
      </c>
      <c r="I184">
        <v>0</v>
      </c>
      <c r="K184" s="1">
        <v>200</v>
      </c>
      <c r="L184" s="1">
        <v>775</v>
      </c>
      <c r="M184" s="1">
        <v>2786</v>
      </c>
      <c r="N184" s="1">
        <v>14.9</v>
      </c>
      <c r="O184" s="1">
        <v>-2.6</v>
      </c>
      <c r="P184" s="1">
        <v>-0.7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717</v>
      </c>
      <c r="C185" s="1">
        <v>2384</v>
      </c>
      <c r="D185" s="1">
        <v>13.4</v>
      </c>
      <c r="E185" s="1">
        <v>-2.1</v>
      </c>
      <c r="F185" s="1">
        <v>-0.6</v>
      </c>
      <c r="G185">
        <v>0</v>
      </c>
      <c r="H185">
        <v>0</v>
      </c>
      <c r="I185">
        <v>0</v>
      </c>
      <c r="K185" s="1">
        <v>225</v>
      </c>
      <c r="L185" s="1">
        <v>770</v>
      </c>
      <c r="M185" s="1">
        <v>2744</v>
      </c>
      <c r="N185" s="1">
        <v>12.8</v>
      </c>
      <c r="O185" s="1">
        <v>-2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706</v>
      </c>
      <c r="C186" s="1">
        <v>2310</v>
      </c>
      <c r="D186" s="1">
        <v>10.3</v>
      </c>
      <c r="E186" s="1">
        <v>-1.4</v>
      </c>
      <c r="F186" s="1">
        <v>-0.4</v>
      </c>
      <c r="G186">
        <v>0</v>
      </c>
      <c r="H186">
        <v>0</v>
      </c>
      <c r="I186">
        <v>0</v>
      </c>
      <c r="K186" s="1">
        <v>250</v>
      </c>
      <c r="L186" s="1">
        <v>764</v>
      </c>
      <c r="M186" s="1">
        <v>2703</v>
      </c>
      <c r="N186" s="1">
        <v>9.6999999999999993</v>
      </c>
      <c r="O186" s="1">
        <v>-1.3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695</v>
      </c>
      <c r="C187" s="1">
        <v>2238</v>
      </c>
      <c r="D187" s="1">
        <v>5.7</v>
      </c>
      <c r="E187" s="1">
        <v>-0.7</v>
      </c>
      <c r="F187" s="1">
        <v>-0.2</v>
      </c>
      <c r="G187">
        <v>0</v>
      </c>
      <c r="H187">
        <v>0</v>
      </c>
      <c r="I187">
        <v>0</v>
      </c>
      <c r="K187" s="1">
        <v>275</v>
      </c>
      <c r="L187" s="1">
        <v>758</v>
      </c>
      <c r="M187" s="1">
        <v>2662</v>
      </c>
      <c r="N187" s="1">
        <v>5.3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684</v>
      </c>
      <c r="C188" s="10">
        <v>2167</v>
      </c>
      <c r="D188" s="10">
        <v>-0.1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752</v>
      </c>
      <c r="M188" s="1">
        <v>2622</v>
      </c>
      <c r="N188" s="1">
        <v>0.1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673</v>
      </c>
      <c r="C189" s="1">
        <v>2099</v>
      </c>
      <c r="D189" s="1">
        <v>-7.1</v>
      </c>
      <c r="E189" s="1">
        <v>0.8</v>
      </c>
      <c r="F189" s="1">
        <v>0.2</v>
      </c>
      <c r="G189">
        <v>0</v>
      </c>
      <c r="H189">
        <v>0</v>
      </c>
      <c r="I189">
        <v>0</v>
      </c>
      <c r="K189" s="1">
        <v>325</v>
      </c>
      <c r="L189" s="1">
        <v>747</v>
      </c>
      <c r="M189" s="1">
        <v>2582</v>
      </c>
      <c r="N189" s="1">
        <v>-6.3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662</v>
      </c>
      <c r="C190" s="1">
        <v>2031</v>
      </c>
      <c r="D190" s="1">
        <v>-15.9</v>
      </c>
      <c r="E190" s="1">
        <v>1.6</v>
      </c>
      <c r="F190" s="1">
        <v>0.5</v>
      </c>
      <c r="G190">
        <v>0</v>
      </c>
      <c r="H190">
        <v>0</v>
      </c>
      <c r="I190">
        <v>0</v>
      </c>
      <c r="K190" s="1">
        <v>350</v>
      </c>
      <c r="L190" s="1">
        <v>741</v>
      </c>
      <c r="M190" s="1">
        <v>2543</v>
      </c>
      <c r="N190" s="1">
        <v>-14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651</v>
      </c>
      <c r="C191" s="1">
        <v>1966</v>
      </c>
      <c r="D191" s="1">
        <v>-25.8</v>
      </c>
      <c r="E191" s="1">
        <v>2.4</v>
      </c>
      <c r="F191" s="1">
        <v>0.7</v>
      </c>
      <c r="G191">
        <v>0</v>
      </c>
      <c r="H191">
        <v>0</v>
      </c>
      <c r="I191">
        <v>0</v>
      </c>
      <c r="K191" s="1">
        <v>375</v>
      </c>
      <c r="L191" s="1">
        <v>735</v>
      </c>
      <c r="M191" s="1">
        <v>2504</v>
      </c>
      <c r="N191" s="1">
        <v>-22.6</v>
      </c>
      <c r="O191" s="1">
        <v>2.1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641</v>
      </c>
      <c r="C192" s="1">
        <v>1902</v>
      </c>
      <c r="D192" s="1">
        <v>-37.200000000000003</v>
      </c>
      <c r="E192" s="1">
        <v>3.2</v>
      </c>
      <c r="F192" s="1">
        <v>0.9</v>
      </c>
      <c r="G192">
        <v>0</v>
      </c>
      <c r="H192">
        <v>0</v>
      </c>
      <c r="I192">
        <v>0</v>
      </c>
      <c r="K192" s="1">
        <v>400</v>
      </c>
      <c r="L192" s="1">
        <v>729</v>
      </c>
      <c r="M192" s="1">
        <v>2466</v>
      </c>
      <c r="N192" s="1">
        <v>-32.299999999999997</v>
      </c>
      <c r="O192" s="1">
        <v>2.8</v>
      </c>
      <c r="P192" s="1">
        <v>0.8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630</v>
      </c>
      <c r="C193" s="1">
        <v>1840</v>
      </c>
      <c r="D193" s="1">
        <v>-50.7</v>
      </c>
      <c r="E193" s="1">
        <v>4.0999999999999996</v>
      </c>
      <c r="F193" s="1">
        <v>1.2</v>
      </c>
      <c r="G193">
        <v>0</v>
      </c>
      <c r="H193">
        <v>0</v>
      </c>
      <c r="I193">
        <v>0</v>
      </c>
      <c r="K193" s="1">
        <v>425</v>
      </c>
      <c r="L193" s="1">
        <v>724</v>
      </c>
      <c r="M193" s="1">
        <v>2428</v>
      </c>
      <c r="N193" s="1">
        <v>-43.6</v>
      </c>
      <c r="O193" s="1">
        <v>3.5</v>
      </c>
      <c r="P193" s="1">
        <v>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620</v>
      </c>
      <c r="C194" s="1">
        <v>1780</v>
      </c>
      <c r="D194" s="1">
        <v>-65.2</v>
      </c>
      <c r="E194" s="1">
        <v>5</v>
      </c>
      <c r="F194" s="1">
        <v>1.4</v>
      </c>
      <c r="G194">
        <v>0</v>
      </c>
      <c r="H194">
        <v>0</v>
      </c>
      <c r="I194">
        <v>0</v>
      </c>
      <c r="K194" s="1">
        <v>450</v>
      </c>
      <c r="L194" s="1">
        <v>718</v>
      </c>
      <c r="M194" s="1">
        <v>2390</v>
      </c>
      <c r="N194" s="1">
        <v>-55.7</v>
      </c>
      <c r="O194" s="1">
        <v>4.3</v>
      </c>
      <c r="P194" s="1">
        <v>1.2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609</v>
      </c>
      <c r="C195" s="1">
        <v>1721</v>
      </c>
      <c r="D195" s="1">
        <v>-81.400000000000006</v>
      </c>
      <c r="E195" s="1">
        <v>5.9</v>
      </c>
      <c r="F195" s="1">
        <v>1.7</v>
      </c>
      <c r="G195">
        <v>0</v>
      </c>
      <c r="H195">
        <v>0</v>
      </c>
      <c r="I195">
        <v>0</v>
      </c>
      <c r="K195" s="1">
        <v>475</v>
      </c>
      <c r="L195" s="1">
        <v>713</v>
      </c>
      <c r="M195" s="1">
        <v>2353</v>
      </c>
      <c r="N195" s="1">
        <v>-69</v>
      </c>
      <c r="O195" s="1">
        <v>5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600</v>
      </c>
      <c r="C196" s="1">
        <v>1665</v>
      </c>
      <c r="D196" s="1">
        <v>-99.4</v>
      </c>
      <c r="E196" s="1">
        <v>6.8</v>
      </c>
      <c r="F196" s="1">
        <v>2</v>
      </c>
      <c r="G196">
        <v>0</v>
      </c>
      <c r="H196">
        <v>0</v>
      </c>
      <c r="I196">
        <v>0</v>
      </c>
      <c r="K196" s="1">
        <v>500</v>
      </c>
      <c r="L196" s="1">
        <v>707</v>
      </c>
      <c r="M196" s="1">
        <v>2318</v>
      </c>
      <c r="N196" s="1">
        <v>-83.5</v>
      </c>
      <c r="O196" s="1">
        <v>5.7</v>
      </c>
      <c r="P196" s="1">
        <v>1.7</v>
      </c>
      <c r="Q196" s="1">
        <v>0</v>
      </c>
      <c r="R196" s="1">
        <v>0</v>
      </c>
      <c r="S196" s="1">
        <v>0</v>
      </c>
    </row>
    <row r="198" spans="1:19" x14ac:dyDescent="0.25">
      <c r="A198" t="s">
        <v>79</v>
      </c>
      <c r="K198" t="s">
        <v>87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34</v>
      </c>
      <c r="H199" t="s">
        <v>35</v>
      </c>
      <c r="I199" t="s">
        <v>36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34</v>
      </c>
      <c r="R199" t="s">
        <v>35</v>
      </c>
      <c r="S199" t="s">
        <v>36</v>
      </c>
    </row>
    <row r="200" spans="1:19" x14ac:dyDescent="0.25">
      <c r="A200" s="1">
        <v>0</v>
      </c>
      <c r="B200" s="1">
        <v>823</v>
      </c>
      <c r="C200" s="1">
        <v>3138</v>
      </c>
      <c r="D200" s="1">
        <v>-8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823</v>
      </c>
      <c r="M200" s="1">
        <v>3138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811</v>
      </c>
      <c r="C201" s="1">
        <v>3046</v>
      </c>
      <c r="D201" s="1">
        <v>0.7</v>
      </c>
      <c r="E201" s="1">
        <v>-1</v>
      </c>
      <c r="F201" s="1">
        <v>-0.3</v>
      </c>
      <c r="G201">
        <v>0</v>
      </c>
      <c r="H201">
        <v>0</v>
      </c>
      <c r="I201">
        <v>0</v>
      </c>
      <c r="K201" s="1">
        <v>25</v>
      </c>
      <c r="L201" s="1">
        <v>817</v>
      </c>
      <c r="M201" s="1">
        <v>3092</v>
      </c>
      <c r="N201" s="1">
        <v>3.8</v>
      </c>
      <c r="O201" s="1">
        <v>-5.3</v>
      </c>
      <c r="P201" s="1">
        <v>-1.5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799</v>
      </c>
      <c r="C202" s="1">
        <v>2956</v>
      </c>
      <c r="D202" s="1">
        <v>8.6999999999999993</v>
      </c>
      <c r="E202" s="1">
        <v>-5.9</v>
      </c>
      <c r="F202" s="1">
        <v>-1.7</v>
      </c>
      <c r="G202">
        <v>0</v>
      </c>
      <c r="H202">
        <v>0</v>
      </c>
      <c r="I202">
        <v>0</v>
      </c>
      <c r="K202" s="1">
        <v>50</v>
      </c>
      <c r="L202" s="1">
        <v>811</v>
      </c>
      <c r="M202" s="1">
        <v>3047</v>
      </c>
      <c r="N202" s="1">
        <v>10.8</v>
      </c>
      <c r="O202" s="1">
        <v>-7.4</v>
      </c>
      <c r="P202" s="1">
        <v>-2.1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787</v>
      </c>
      <c r="C203" s="1">
        <v>2868</v>
      </c>
      <c r="D203" s="1">
        <v>15.5</v>
      </c>
      <c r="E203" s="1">
        <v>-7.1</v>
      </c>
      <c r="F203" s="1">
        <v>-2.1</v>
      </c>
      <c r="G203">
        <v>0</v>
      </c>
      <c r="H203">
        <v>0</v>
      </c>
      <c r="I203">
        <v>0</v>
      </c>
      <c r="K203" s="1">
        <v>75</v>
      </c>
      <c r="L203" s="1">
        <v>805</v>
      </c>
      <c r="M203" s="1">
        <v>3002</v>
      </c>
      <c r="N203" s="1">
        <v>16.600000000000001</v>
      </c>
      <c r="O203" s="1">
        <v>-7.6</v>
      </c>
      <c r="P203" s="1">
        <v>-2.2000000000000002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775</v>
      </c>
      <c r="C204" s="1">
        <v>2783</v>
      </c>
      <c r="D204" s="1">
        <v>21.3</v>
      </c>
      <c r="E204" s="1">
        <v>-7.3</v>
      </c>
      <c r="F204" s="1">
        <v>-2.1</v>
      </c>
      <c r="G204">
        <v>0</v>
      </c>
      <c r="H204">
        <v>0</v>
      </c>
      <c r="I204">
        <v>0</v>
      </c>
      <c r="K204" s="1">
        <v>100</v>
      </c>
      <c r="L204" s="1">
        <v>799</v>
      </c>
      <c r="M204" s="1">
        <v>2958</v>
      </c>
      <c r="N204" s="1">
        <v>21.4</v>
      </c>
      <c r="O204" s="1">
        <v>-7.4</v>
      </c>
      <c r="P204" s="1">
        <v>-2.1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763</v>
      </c>
      <c r="C205" s="1">
        <v>2699</v>
      </c>
      <c r="D205" s="1">
        <v>26.2</v>
      </c>
      <c r="E205" s="1">
        <v>-7.2</v>
      </c>
      <c r="F205" s="1">
        <v>-2.1</v>
      </c>
      <c r="G205">
        <v>0</v>
      </c>
      <c r="H205">
        <v>0</v>
      </c>
      <c r="I205">
        <v>0</v>
      </c>
      <c r="K205" s="1">
        <v>125</v>
      </c>
      <c r="L205" s="1">
        <v>793</v>
      </c>
      <c r="M205" s="1">
        <v>2914</v>
      </c>
      <c r="N205" s="1">
        <v>25.4</v>
      </c>
      <c r="O205" s="1">
        <v>-7</v>
      </c>
      <c r="P205" s="1">
        <v>-2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752</v>
      </c>
      <c r="C206" s="1">
        <v>2618</v>
      </c>
      <c r="D206" s="1">
        <v>29.9</v>
      </c>
      <c r="E206" s="1">
        <v>-6.9</v>
      </c>
      <c r="F206" s="1">
        <v>-2</v>
      </c>
      <c r="G206">
        <v>0</v>
      </c>
      <c r="H206">
        <v>0</v>
      </c>
      <c r="I206">
        <v>0</v>
      </c>
      <c r="K206" s="1">
        <v>150</v>
      </c>
      <c r="L206" s="1">
        <v>787</v>
      </c>
      <c r="M206" s="1">
        <v>2871</v>
      </c>
      <c r="N206" s="1">
        <v>28.3</v>
      </c>
      <c r="O206" s="1">
        <v>-6.5</v>
      </c>
      <c r="P206" s="1">
        <v>-1.9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740</v>
      </c>
      <c r="C207" s="1">
        <v>2538</v>
      </c>
      <c r="D207" s="1">
        <v>32.6</v>
      </c>
      <c r="E207" s="1">
        <v>-6.4</v>
      </c>
      <c r="F207" s="1">
        <v>-1.9</v>
      </c>
      <c r="G207">
        <v>0</v>
      </c>
      <c r="H207">
        <v>0</v>
      </c>
      <c r="I207">
        <v>0</v>
      </c>
      <c r="K207" s="1">
        <v>175</v>
      </c>
      <c r="L207" s="1">
        <v>781</v>
      </c>
      <c r="M207" s="1">
        <v>2828</v>
      </c>
      <c r="N207" s="1">
        <v>30.3</v>
      </c>
      <c r="O207" s="1">
        <v>-6</v>
      </c>
      <c r="P207" s="1">
        <v>-1.7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729</v>
      </c>
      <c r="C208" s="1">
        <v>2460</v>
      </c>
      <c r="D208" s="1">
        <v>34.1</v>
      </c>
      <c r="E208" s="1">
        <v>-5.9</v>
      </c>
      <c r="F208" s="1">
        <v>-1.7</v>
      </c>
      <c r="G208">
        <v>0</v>
      </c>
      <c r="H208">
        <v>0</v>
      </c>
      <c r="I208">
        <v>0</v>
      </c>
      <c r="K208" s="1">
        <v>200</v>
      </c>
      <c r="L208" s="1">
        <v>775</v>
      </c>
      <c r="M208" s="1">
        <v>2786</v>
      </c>
      <c r="N208" s="1">
        <v>31.2</v>
      </c>
      <c r="O208" s="1">
        <v>-5.4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717</v>
      </c>
      <c r="C209" s="1">
        <v>2384</v>
      </c>
      <c r="D209" s="1">
        <v>34.4</v>
      </c>
      <c r="E209" s="1">
        <v>-5.3</v>
      </c>
      <c r="F209" s="1">
        <v>-1.5</v>
      </c>
      <c r="G209">
        <v>0</v>
      </c>
      <c r="H209">
        <v>0</v>
      </c>
      <c r="I209">
        <v>0</v>
      </c>
      <c r="K209" s="1">
        <v>225</v>
      </c>
      <c r="L209" s="1">
        <v>770</v>
      </c>
      <c r="M209" s="1">
        <v>2744</v>
      </c>
      <c r="N209" s="1">
        <v>31.1</v>
      </c>
      <c r="O209" s="1">
        <v>-4.8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706</v>
      </c>
      <c r="C210" s="1">
        <v>2310</v>
      </c>
      <c r="D210" s="1">
        <v>33.5</v>
      </c>
      <c r="E210" s="1">
        <v>-4.5999999999999996</v>
      </c>
      <c r="F210" s="1">
        <v>-1.3</v>
      </c>
      <c r="G210">
        <v>0</v>
      </c>
      <c r="H210">
        <v>0</v>
      </c>
      <c r="I210">
        <v>0</v>
      </c>
      <c r="K210" s="1">
        <v>250</v>
      </c>
      <c r="L210" s="1">
        <v>764</v>
      </c>
      <c r="M210" s="1">
        <v>2703</v>
      </c>
      <c r="N210" s="1">
        <v>30</v>
      </c>
      <c r="O210" s="1">
        <v>-4.0999999999999996</v>
      </c>
      <c r="P210" s="1">
        <v>-1.2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695</v>
      </c>
      <c r="C211" s="1">
        <v>2238</v>
      </c>
      <c r="D211" s="1">
        <v>31.3</v>
      </c>
      <c r="E211" s="1">
        <v>-3.9</v>
      </c>
      <c r="F211" s="1">
        <v>-1.1000000000000001</v>
      </c>
      <c r="G211">
        <v>0</v>
      </c>
      <c r="H211">
        <v>0</v>
      </c>
      <c r="I211">
        <v>0</v>
      </c>
      <c r="K211" s="1">
        <v>275</v>
      </c>
      <c r="L211" s="1">
        <v>758</v>
      </c>
      <c r="M211" s="1">
        <v>2662</v>
      </c>
      <c r="N211" s="1">
        <v>27.7</v>
      </c>
      <c r="O211" s="1">
        <v>-3.5</v>
      </c>
      <c r="P211" s="1">
        <v>-1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684</v>
      </c>
      <c r="C212" s="1">
        <v>2167</v>
      </c>
      <c r="D212" s="1">
        <v>27.9</v>
      </c>
      <c r="E212" s="1">
        <v>-3.2</v>
      </c>
      <c r="F212" s="1">
        <v>-0.9</v>
      </c>
      <c r="G212">
        <v>0</v>
      </c>
      <c r="H212">
        <v>0</v>
      </c>
      <c r="I212">
        <v>0</v>
      </c>
      <c r="K212" s="1">
        <v>300</v>
      </c>
      <c r="L212" s="1">
        <v>752</v>
      </c>
      <c r="M212" s="1">
        <v>2622</v>
      </c>
      <c r="N212" s="1">
        <v>24.5</v>
      </c>
      <c r="O212" s="1">
        <v>-2.8</v>
      </c>
      <c r="P212" s="1">
        <v>-0.8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673</v>
      </c>
      <c r="C213" s="1">
        <v>2099</v>
      </c>
      <c r="D213" s="1">
        <v>23.1</v>
      </c>
      <c r="E213" s="1">
        <v>-2.4</v>
      </c>
      <c r="F213" s="1">
        <v>-0.7</v>
      </c>
      <c r="G213">
        <v>0</v>
      </c>
      <c r="H213">
        <v>0</v>
      </c>
      <c r="I213">
        <v>0</v>
      </c>
      <c r="K213" s="1">
        <v>325</v>
      </c>
      <c r="L213" s="1">
        <v>747</v>
      </c>
      <c r="M213" s="1">
        <v>2582</v>
      </c>
      <c r="N213" s="1">
        <v>20.100000000000001</v>
      </c>
      <c r="O213" s="1">
        <v>-2.1</v>
      </c>
      <c r="P213" s="1">
        <v>-0.6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662</v>
      </c>
      <c r="C214" s="1">
        <v>2031</v>
      </c>
      <c r="D214" s="1">
        <v>16.7</v>
      </c>
      <c r="E214" s="1">
        <v>-1.6</v>
      </c>
      <c r="F214" s="1">
        <v>-0.5</v>
      </c>
      <c r="G214">
        <v>0</v>
      </c>
      <c r="H214">
        <v>0</v>
      </c>
      <c r="I214">
        <v>0</v>
      </c>
      <c r="K214" s="1">
        <v>350</v>
      </c>
      <c r="L214" s="1">
        <v>741</v>
      </c>
      <c r="M214" s="1">
        <v>2543</v>
      </c>
      <c r="N214" s="1">
        <v>14.5</v>
      </c>
      <c r="O214" s="1">
        <v>-1.4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651</v>
      </c>
      <c r="C215" s="1">
        <v>1966</v>
      </c>
      <c r="D215" s="1">
        <v>9.1</v>
      </c>
      <c r="E215" s="1">
        <v>-0.8</v>
      </c>
      <c r="F215" s="1">
        <v>-0.2</v>
      </c>
      <c r="G215">
        <v>0</v>
      </c>
      <c r="H215">
        <v>0</v>
      </c>
      <c r="I215">
        <v>0</v>
      </c>
      <c r="K215" s="1">
        <v>375</v>
      </c>
      <c r="L215" s="1">
        <v>735</v>
      </c>
      <c r="M215" s="1">
        <v>2504</v>
      </c>
      <c r="N215" s="1">
        <v>7.9</v>
      </c>
      <c r="O215" s="1">
        <v>-0.7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641</v>
      </c>
      <c r="C216" s="10">
        <v>1902</v>
      </c>
      <c r="D216" s="10">
        <v>0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729</v>
      </c>
      <c r="M216" s="1">
        <v>2466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630</v>
      </c>
      <c r="C217" s="1">
        <v>1840</v>
      </c>
      <c r="D217" s="1">
        <v>-11</v>
      </c>
      <c r="E217" s="1">
        <v>0.9</v>
      </c>
      <c r="F217" s="1">
        <v>0.3</v>
      </c>
      <c r="G217">
        <v>0</v>
      </c>
      <c r="H217">
        <v>0</v>
      </c>
      <c r="I217">
        <v>0</v>
      </c>
      <c r="K217" s="1">
        <v>425</v>
      </c>
      <c r="L217" s="1">
        <v>724</v>
      </c>
      <c r="M217" s="1">
        <v>2428</v>
      </c>
      <c r="N217" s="1">
        <v>-9</v>
      </c>
      <c r="O217" s="1">
        <v>0.7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620</v>
      </c>
      <c r="C218" s="1">
        <v>1779</v>
      </c>
      <c r="D218" s="1">
        <v>-23.3</v>
      </c>
      <c r="E218" s="1">
        <v>1.8</v>
      </c>
      <c r="F218" s="1">
        <v>0.5</v>
      </c>
      <c r="G218">
        <v>0</v>
      </c>
      <c r="H218">
        <v>0</v>
      </c>
      <c r="I218">
        <v>0</v>
      </c>
      <c r="K218" s="1">
        <v>450</v>
      </c>
      <c r="L218" s="1">
        <v>718</v>
      </c>
      <c r="M218" s="1">
        <v>2390</v>
      </c>
      <c r="N218" s="1">
        <v>-19.100000000000001</v>
      </c>
      <c r="O218" s="1">
        <v>1.5</v>
      </c>
      <c r="P218" s="1">
        <v>0.4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609</v>
      </c>
      <c r="C219" s="1">
        <v>1721</v>
      </c>
      <c r="D219" s="1">
        <v>-37.200000000000003</v>
      </c>
      <c r="E219" s="1">
        <v>2.7</v>
      </c>
      <c r="F219" s="1">
        <v>0.8</v>
      </c>
      <c r="G219">
        <v>0</v>
      </c>
      <c r="H219">
        <v>0</v>
      </c>
      <c r="I219">
        <v>0</v>
      </c>
      <c r="K219" s="1">
        <v>475</v>
      </c>
      <c r="L219" s="1">
        <v>713</v>
      </c>
      <c r="M219" s="1">
        <v>2353</v>
      </c>
      <c r="N219" s="1">
        <v>-30.4</v>
      </c>
      <c r="O219" s="1">
        <v>2.2000000000000002</v>
      </c>
      <c r="P219" s="1">
        <v>0.6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600</v>
      </c>
      <c r="C220" s="1">
        <v>1665</v>
      </c>
      <c r="D220" s="1">
        <v>-52.8</v>
      </c>
      <c r="E220" s="1">
        <v>3.6</v>
      </c>
      <c r="F220" s="1">
        <v>1.1000000000000001</v>
      </c>
      <c r="G220">
        <v>0</v>
      </c>
      <c r="H220">
        <v>0</v>
      </c>
      <c r="I220">
        <v>0</v>
      </c>
      <c r="K220" s="1">
        <v>500</v>
      </c>
      <c r="L220" s="1">
        <v>707</v>
      </c>
      <c r="M220" s="1">
        <v>2318</v>
      </c>
      <c r="N220" s="1">
        <v>-42.9</v>
      </c>
      <c r="O220" s="1">
        <v>3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80</v>
      </c>
      <c r="K222" t="s">
        <v>88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34</v>
      </c>
      <c r="H223" t="s">
        <v>35</v>
      </c>
      <c r="I223" t="s">
        <v>36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34</v>
      </c>
      <c r="R223" t="s">
        <v>35</v>
      </c>
      <c r="S223" t="s">
        <v>36</v>
      </c>
    </row>
    <row r="224" spans="1:19" x14ac:dyDescent="0.25">
      <c r="A224" s="1">
        <v>0</v>
      </c>
      <c r="B224" s="1">
        <v>823</v>
      </c>
      <c r="C224" s="1">
        <v>3138</v>
      </c>
      <c r="D224" s="1">
        <v>-8</v>
      </c>
      <c r="E224" s="1">
        <v>0</v>
      </c>
      <c r="F224" s="1">
        <v>0</v>
      </c>
      <c r="G224">
        <v>0</v>
      </c>
      <c r="H224">
        <v>0</v>
      </c>
      <c r="I224">
        <v>0</v>
      </c>
      <c r="K224" s="1">
        <v>0</v>
      </c>
      <c r="L224" s="1">
        <v>823</v>
      </c>
      <c r="M224" s="1">
        <v>3138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811</v>
      </c>
      <c r="C225" s="1">
        <v>3046</v>
      </c>
      <c r="D225" s="1">
        <v>3.3</v>
      </c>
      <c r="E225" s="1">
        <v>-4.5999999999999996</v>
      </c>
      <c r="F225" s="1">
        <v>-1.3</v>
      </c>
      <c r="G225">
        <v>0</v>
      </c>
      <c r="H225">
        <v>0</v>
      </c>
      <c r="I225">
        <v>0</v>
      </c>
      <c r="K225" s="1">
        <v>25</v>
      </c>
      <c r="L225" s="1">
        <v>817</v>
      </c>
      <c r="M225" s="1">
        <v>3092</v>
      </c>
      <c r="N225" s="1">
        <v>6</v>
      </c>
      <c r="O225" s="1">
        <v>-8.3000000000000007</v>
      </c>
      <c r="P225" s="1">
        <v>-2.4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799</v>
      </c>
      <c r="C226" s="1">
        <v>2956</v>
      </c>
      <c r="D226" s="1">
        <v>14.1</v>
      </c>
      <c r="E226" s="1">
        <v>-9.6</v>
      </c>
      <c r="F226" s="1">
        <v>-2.8</v>
      </c>
      <c r="G226">
        <v>0</v>
      </c>
      <c r="H226">
        <v>0</v>
      </c>
      <c r="I226">
        <v>0</v>
      </c>
      <c r="K226" s="1">
        <v>50</v>
      </c>
      <c r="L226" s="1">
        <v>811</v>
      </c>
      <c r="M226" s="1">
        <v>3047</v>
      </c>
      <c r="N226" s="1">
        <v>15.2</v>
      </c>
      <c r="O226" s="1">
        <v>-10.3</v>
      </c>
      <c r="P226" s="1">
        <v>-3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787</v>
      </c>
      <c r="C227" s="1">
        <v>2868</v>
      </c>
      <c r="D227" s="1">
        <v>23.4</v>
      </c>
      <c r="E227" s="1">
        <v>-10.7</v>
      </c>
      <c r="F227" s="1">
        <v>-3.1</v>
      </c>
      <c r="G227">
        <v>0</v>
      </c>
      <c r="H227">
        <v>0</v>
      </c>
      <c r="I227">
        <v>0</v>
      </c>
      <c r="K227" s="1">
        <v>75</v>
      </c>
      <c r="L227" s="1">
        <v>805</v>
      </c>
      <c r="M227" s="1">
        <v>3002</v>
      </c>
      <c r="N227" s="1">
        <v>23.1</v>
      </c>
      <c r="O227" s="1">
        <v>-10.6</v>
      </c>
      <c r="P227" s="1">
        <v>-3.1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775</v>
      </c>
      <c r="C228" s="1">
        <v>2783</v>
      </c>
      <c r="D228" s="1">
        <v>31.9</v>
      </c>
      <c r="E228" s="1">
        <v>-11</v>
      </c>
      <c r="F228" s="1">
        <v>-3.2</v>
      </c>
      <c r="G228">
        <v>0</v>
      </c>
      <c r="H228">
        <v>0</v>
      </c>
      <c r="I228">
        <v>0</v>
      </c>
      <c r="K228" s="1">
        <v>100</v>
      </c>
      <c r="L228" s="1">
        <v>799</v>
      </c>
      <c r="M228" s="1">
        <v>2958</v>
      </c>
      <c r="N228" s="1">
        <v>30</v>
      </c>
      <c r="O228" s="1">
        <v>-10.3</v>
      </c>
      <c r="P228" s="1">
        <v>-3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763</v>
      </c>
      <c r="C229" s="1">
        <v>2699</v>
      </c>
      <c r="D229" s="1">
        <v>39.5</v>
      </c>
      <c r="E229" s="1">
        <v>-10.8</v>
      </c>
      <c r="F229" s="1">
        <v>-3.1</v>
      </c>
      <c r="G229">
        <v>0</v>
      </c>
      <c r="H229">
        <v>0</v>
      </c>
      <c r="I229">
        <v>0</v>
      </c>
      <c r="K229" s="1">
        <v>125</v>
      </c>
      <c r="L229" s="1">
        <v>793</v>
      </c>
      <c r="M229" s="1">
        <v>2914</v>
      </c>
      <c r="N229" s="1">
        <v>36.299999999999997</v>
      </c>
      <c r="O229" s="1">
        <v>-9.9</v>
      </c>
      <c r="P229" s="1">
        <v>-2.9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752</v>
      </c>
      <c r="C230" s="1">
        <v>2618</v>
      </c>
      <c r="D230" s="1">
        <v>45.8</v>
      </c>
      <c r="E230" s="1">
        <v>-10.5</v>
      </c>
      <c r="F230" s="1">
        <v>-3.1</v>
      </c>
      <c r="G230">
        <v>0</v>
      </c>
      <c r="H230">
        <v>0</v>
      </c>
      <c r="I230">
        <v>0</v>
      </c>
      <c r="K230" s="1">
        <v>150</v>
      </c>
      <c r="L230" s="1">
        <v>787</v>
      </c>
      <c r="M230" s="1">
        <v>2871</v>
      </c>
      <c r="N230" s="1">
        <v>41.3</v>
      </c>
      <c r="O230" s="1">
        <v>-9.5</v>
      </c>
      <c r="P230" s="1">
        <v>-2.8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740</v>
      </c>
      <c r="C231" s="1">
        <v>2538</v>
      </c>
      <c r="D231" s="1">
        <v>51.1</v>
      </c>
      <c r="E231" s="1">
        <v>-10</v>
      </c>
      <c r="F231" s="1">
        <v>-2.9</v>
      </c>
      <c r="G231">
        <v>0</v>
      </c>
      <c r="H231">
        <v>0</v>
      </c>
      <c r="I231">
        <v>0</v>
      </c>
      <c r="K231" s="1">
        <v>175</v>
      </c>
      <c r="L231" s="1">
        <v>781</v>
      </c>
      <c r="M231" s="1">
        <v>2828</v>
      </c>
      <c r="N231" s="1">
        <v>45.4</v>
      </c>
      <c r="O231" s="1">
        <v>-8.9</v>
      </c>
      <c r="P231" s="1">
        <v>-2.6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729</v>
      </c>
      <c r="C232" s="1">
        <v>2460</v>
      </c>
      <c r="D232" s="1">
        <v>55.3</v>
      </c>
      <c r="E232" s="1">
        <v>-9.5</v>
      </c>
      <c r="F232" s="1">
        <v>-2.8</v>
      </c>
      <c r="G232">
        <v>0</v>
      </c>
      <c r="H232">
        <v>0</v>
      </c>
      <c r="I232">
        <v>0</v>
      </c>
      <c r="K232" s="1">
        <v>200</v>
      </c>
      <c r="L232" s="1">
        <v>775</v>
      </c>
      <c r="M232" s="1">
        <v>2786</v>
      </c>
      <c r="N232" s="1">
        <v>48.5</v>
      </c>
      <c r="O232" s="1">
        <v>-8.3000000000000007</v>
      </c>
      <c r="P232" s="1">
        <v>-2.4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717</v>
      </c>
      <c r="C233" s="1">
        <v>2384</v>
      </c>
      <c r="D233" s="1">
        <v>58.3</v>
      </c>
      <c r="E233" s="1">
        <v>-8.9</v>
      </c>
      <c r="F233" s="1">
        <v>-2.6</v>
      </c>
      <c r="G233">
        <v>0</v>
      </c>
      <c r="H233">
        <v>0</v>
      </c>
      <c r="I233">
        <v>0</v>
      </c>
      <c r="K233" s="1">
        <v>225</v>
      </c>
      <c r="L233" s="1">
        <v>770</v>
      </c>
      <c r="M233" s="1">
        <v>2744</v>
      </c>
      <c r="N233" s="1">
        <v>50.6</v>
      </c>
      <c r="O233" s="1">
        <v>-7.7</v>
      </c>
      <c r="P233" s="1">
        <v>-2.2000000000000002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706</v>
      </c>
      <c r="C234" s="1">
        <v>2310</v>
      </c>
      <c r="D234" s="1">
        <v>60</v>
      </c>
      <c r="E234" s="1">
        <v>-8.3000000000000007</v>
      </c>
      <c r="F234" s="1">
        <v>-2.4</v>
      </c>
      <c r="G234">
        <v>0</v>
      </c>
      <c r="H234">
        <v>0</v>
      </c>
      <c r="I234">
        <v>0</v>
      </c>
      <c r="K234" s="1">
        <v>250</v>
      </c>
      <c r="L234" s="1">
        <v>764</v>
      </c>
      <c r="M234" s="1">
        <v>2703</v>
      </c>
      <c r="N234" s="1">
        <v>51.6</v>
      </c>
      <c r="O234" s="1">
        <v>-7.1</v>
      </c>
      <c r="P234" s="1">
        <v>-2.1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695</v>
      </c>
      <c r="C235" s="1">
        <v>2238</v>
      </c>
      <c r="D235" s="1">
        <v>60.5</v>
      </c>
      <c r="E235" s="1">
        <v>-7.6</v>
      </c>
      <c r="F235" s="1">
        <v>-2.2000000000000002</v>
      </c>
      <c r="G235">
        <v>0</v>
      </c>
      <c r="H235">
        <v>0</v>
      </c>
      <c r="I235">
        <v>0</v>
      </c>
      <c r="K235" s="1">
        <v>275</v>
      </c>
      <c r="L235" s="1">
        <v>758</v>
      </c>
      <c r="M235" s="1">
        <v>2662</v>
      </c>
      <c r="N235" s="1">
        <v>51.5</v>
      </c>
      <c r="O235" s="1">
        <v>-6.4</v>
      </c>
      <c r="P235" s="1">
        <v>-1.9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684</v>
      </c>
      <c r="C236" s="1">
        <v>2167</v>
      </c>
      <c r="D236" s="1">
        <v>59.7</v>
      </c>
      <c r="E236" s="1">
        <v>-6.8</v>
      </c>
      <c r="F236" s="1">
        <v>-2</v>
      </c>
      <c r="G236">
        <v>0</v>
      </c>
      <c r="H236">
        <v>0</v>
      </c>
      <c r="I236">
        <v>0</v>
      </c>
      <c r="K236" s="1">
        <v>300</v>
      </c>
      <c r="L236" s="1">
        <v>752</v>
      </c>
      <c r="M236" s="1">
        <v>2622</v>
      </c>
      <c r="N236" s="1">
        <v>50.4</v>
      </c>
      <c r="O236" s="1">
        <v>-5.8</v>
      </c>
      <c r="P236" s="1">
        <v>-1.7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673</v>
      </c>
      <c r="C237" s="1">
        <v>2099</v>
      </c>
      <c r="D237" s="1">
        <v>57.5</v>
      </c>
      <c r="E237" s="1">
        <v>-6.1</v>
      </c>
      <c r="F237" s="1">
        <v>-1.8</v>
      </c>
      <c r="G237">
        <v>0</v>
      </c>
      <c r="H237">
        <v>0</v>
      </c>
      <c r="I237">
        <v>0</v>
      </c>
      <c r="K237" s="1">
        <v>325</v>
      </c>
      <c r="L237" s="1">
        <v>747</v>
      </c>
      <c r="M237" s="1">
        <v>2582</v>
      </c>
      <c r="N237" s="1">
        <v>48.2</v>
      </c>
      <c r="O237" s="1">
        <v>-5.0999999999999996</v>
      </c>
      <c r="P237" s="1">
        <v>-1.5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662</v>
      </c>
      <c r="C238" s="1">
        <v>2031</v>
      </c>
      <c r="D238" s="1">
        <v>53.8</v>
      </c>
      <c r="E238" s="1">
        <v>-5.3</v>
      </c>
      <c r="F238" s="1">
        <v>-1.5</v>
      </c>
      <c r="G238">
        <v>0</v>
      </c>
      <c r="H238">
        <v>0</v>
      </c>
      <c r="I238">
        <v>0</v>
      </c>
      <c r="K238" s="1">
        <v>350</v>
      </c>
      <c r="L238" s="1">
        <v>741</v>
      </c>
      <c r="M238" s="1">
        <v>2543</v>
      </c>
      <c r="N238" s="1">
        <v>44.8</v>
      </c>
      <c r="O238" s="1">
        <v>-4.4000000000000004</v>
      </c>
      <c r="P238" s="1">
        <v>-1.3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651</v>
      </c>
      <c r="C239" s="1">
        <v>1966</v>
      </c>
      <c r="D239" s="1">
        <v>48.8</v>
      </c>
      <c r="E239" s="1">
        <v>-4.5</v>
      </c>
      <c r="F239" s="1">
        <v>-1.3</v>
      </c>
      <c r="G239">
        <v>0</v>
      </c>
      <c r="H239">
        <v>0</v>
      </c>
      <c r="I239">
        <v>0</v>
      </c>
      <c r="K239" s="1">
        <v>375</v>
      </c>
      <c r="L239" s="1">
        <v>735</v>
      </c>
      <c r="M239" s="1">
        <v>2504</v>
      </c>
      <c r="N239" s="1">
        <v>40.299999999999997</v>
      </c>
      <c r="O239" s="1">
        <v>-3.7</v>
      </c>
      <c r="P239" s="1">
        <v>-1.1000000000000001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641</v>
      </c>
      <c r="C240" s="1">
        <v>1902</v>
      </c>
      <c r="D240" s="1">
        <v>42.4</v>
      </c>
      <c r="E240" s="1">
        <v>-3.6</v>
      </c>
      <c r="F240" s="1">
        <v>-1.1000000000000001</v>
      </c>
      <c r="G240">
        <v>0</v>
      </c>
      <c r="H240">
        <v>0</v>
      </c>
      <c r="I240">
        <v>0</v>
      </c>
      <c r="K240" s="1">
        <v>400</v>
      </c>
      <c r="L240" s="1">
        <v>729</v>
      </c>
      <c r="M240" s="1">
        <v>2465</v>
      </c>
      <c r="N240" s="1">
        <v>34.799999999999997</v>
      </c>
      <c r="O240" s="1">
        <v>-3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630</v>
      </c>
      <c r="C241" s="1">
        <v>1840</v>
      </c>
      <c r="D241" s="1">
        <v>34</v>
      </c>
      <c r="E241" s="1">
        <v>-2.8</v>
      </c>
      <c r="F241" s="1">
        <v>-0.8</v>
      </c>
      <c r="G241">
        <v>0</v>
      </c>
      <c r="H241">
        <v>0</v>
      </c>
      <c r="I241">
        <v>0</v>
      </c>
      <c r="K241" s="1">
        <v>425</v>
      </c>
      <c r="L241" s="1">
        <v>724</v>
      </c>
      <c r="M241" s="1">
        <v>2427</v>
      </c>
      <c r="N241" s="1">
        <v>27.8</v>
      </c>
      <c r="O241" s="1">
        <v>-2.2000000000000002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620</v>
      </c>
      <c r="C242" s="1">
        <v>1779</v>
      </c>
      <c r="D242" s="1">
        <v>24.4</v>
      </c>
      <c r="E242" s="1">
        <v>-1.9</v>
      </c>
      <c r="F242" s="1">
        <v>-0.5</v>
      </c>
      <c r="G242">
        <v>0</v>
      </c>
      <c r="H242">
        <v>0</v>
      </c>
      <c r="I242">
        <v>0</v>
      </c>
      <c r="K242" s="1">
        <v>450</v>
      </c>
      <c r="L242" s="1">
        <v>718</v>
      </c>
      <c r="M242" s="1">
        <v>2390</v>
      </c>
      <c r="N242" s="1">
        <v>19.8</v>
      </c>
      <c r="O242" s="1">
        <v>-1.5</v>
      </c>
      <c r="P242" s="1">
        <v>-0.4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609</v>
      </c>
      <c r="C243" s="1">
        <v>1720</v>
      </c>
      <c r="D243" s="1">
        <v>13.1</v>
      </c>
      <c r="E243" s="1">
        <v>-0.9</v>
      </c>
      <c r="F243" s="1">
        <v>-0.3</v>
      </c>
      <c r="G243">
        <v>0</v>
      </c>
      <c r="H243">
        <v>0</v>
      </c>
      <c r="I243">
        <v>0</v>
      </c>
      <c r="K243" s="1">
        <v>475</v>
      </c>
      <c r="L243" s="1">
        <v>713</v>
      </c>
      <c r="M243" s="1">
        <v>2353</v>
      </c>
      <c r="N243" s="1">
        <v>10.7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0">
        <v>500</v>
      </c>
      <c r="B244" s="10">
        <v>599</v>
      </c>
      <c r="C244" s="10">
        <v>1665</v>
      </c>
      <c r="D244" s="10">
        <v>0.1</v>
      </c>
      <c r="E244" s="10">
        <v>0</v>
      </c>
      <c r="F244" s="10">
        <v>0</v>
      </c>
      <c r="G244">
        <v>0</v>
      </c>
      <c r="H244">
        <v>0</v>
      </c>
      <c r="I244">
        <v>0</v>
      </c>
      <c r="K244" s="1">
        <v>500</v>
      </c>
      <c r="L244" s="1">
        <v>707</v>
      </c>
      <c r="M244" s="1">
        <v>2318</v>
      </c>
      <c r="N244" s="1">
        <v>0.3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t="s">
        <v>41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32</v>
      </c>
      <c r="H246" s="13" t="s">
        <v>33</v>
      </c>
      <c r="I246" s="19" t="s">
        <v>42</v>
      </c>
    </row>
    <row r="247" spans="1:19" x14ac:dyDescent="0.25">
      <c r="A247" t="s">
        <v>43</v>
      </c>
      <c r="B247" s="20" cm="1">
        <f t="array" ref="B247">INDEX(LINEST(J$22:J$35,$A$22:$A$35^{1,2}), 1,3)</f>
        <v>-8.0872389984415634</v>
      </c>
      <c r="C247" s="20" cm="1">
        <f t="array" ref="C247">INDEX(LINEST(K$22:K$35,$A$22:$A$35^{1,2,3}), 1,4)</f>
        <v>-5.5712464926126799</v>
      </c>
      <c r="D247" s="21" cm="1">
        <f t="array" ref="D247">INDEX(LINEST(L$22:L$35,$A$22:$A$35^{1,2,3}), 1,4)</f>
        <v>-4.5439640217324957</v>
      </c>
      <c r="E247" s="21" cm="1">
        <f t="array" ref="E247">INDEX(LINEST(M$22:M$35,$A$22:$A$35^{1,2,3}), 1,4)</f>
        <v>-5.0058412535504715</v>
      </c>
      <c r="F247" s="21" cm="1">
        <f t="array" ref="F247">INDEX(LINEST(N$22:N$35,$A$22:$A$35^{1,2,3}), 1,4)</f>
        <v>-6.0493208782986301</v>
      </c>
      <c r="G247" s="21" cm="1">
        <f t="array" ref="G247">INDEX(LINEST(O$22:O$35,$A$22:$A$35^{1,2,3}), 1,4)</f>
        <v>-5.6246147499285719</v>
      </c>
      <c r="H247" s="21" cm="1">
        <f t="array" ref="H247">INDEX(LINEST(P$22:P$35,$A$22:$A$35^{1,2,3}), 1,4)</f>
        <v>-5.4952466131337765</v>
      </c>
      <c r="I247" s="21" cm="1">
        <f t="array" ref="I247">INDEX(LINEST(B$22:B$35,$A$22:$A$35^{1,2,3}), 1,4)</f>
        <v>3142.5646733740186</v>
      </c>
    </row>
    <row r="248" spans="1:19" x14ac:dyDescent="0.25">
      <c r="A248" t="s">
        <v>44</v>
      </c>
      <c r="B248" s="21" cm="1">
        <f t="array" ref="B248">INDEX(LINEST(J$22:J$35,$A$22:$A$35^{1,2}), 1,2)</f>
        <v>0.24068161653421966</v>
      </c>
      <c r="C248" s="20" cm="1">
        <f t="array" ref="C248">INDEX(LINEST(K$22:K$35,$A$22:$A$35^{1,2,3}), 1,3)</f>
        <v>0.12998783841460329</v>
      </c>
      <c r="D248" s="21" cm="1">
        <f t="array" ref="D248">INDEX(LINEST(L$22:L$35,$A$22:$A$35^{1,2,3}), 1,3)</f>
        <v>0.11646967009044994</v>
      </c>
      <c r="E248" s="21" cm="1">
        <f t="array" ref="E248">INDEX(LINEST(M$22:M$35,$A$22:$A$35^{1,2,3}), 1,3)</f>
        <v>0.16997873892928866</v>
      </c>
      <c r="F248" s="21" cm="1">
        <f t="array" ref="F248">INDEX(LINEST(N$22:N$35,$A$22:$A$35^{1,2,3}), 1,3)</f>
        <v>0.28200275720186829</v>
      </c>
      <c r="G248" s="21" cm="1">
        <f t="array" ref="G248">INDEX(LINEST(O$22:O$35,$A$22:$A$35^{1,2,3}), 1,3)</f>
        <v>0.37548685261252435</v>
      </c>
      <c r="H248" s="21" cm="1">
        <f t="array" ref="H248">INDEX(LINEST(P$22:P$35,$A$22:$A$35^{1,2,3}), 1,3)</f>
        <v>0.44498320040818601</v>
      </c>
      <c r="I248" s="21" cm="1">
        <f t="array" ref="I248">INDEX(LINEST(B$22:B$35,$A$22:$A$35^{1,2,3}), 1,3)</f>
        <v>-3.6114758465682701</v>
      </c>
    </row>
    <row r="249" spans="1:19" x14ac:dyDescent="0.25">
      <c r="A249" t="s">
        <v>45</v>
      </c>
      <c r="B249" s="21" cm="1">
        <f t="array" ref="B249">INDEX(LINEST(J$22:J$35,$A$22:$A$35^{1,2}), 1)</f>
        <v>-1.0006459540549363E-3</v>
      </c>
      <c r="C249" s="21" cm="1">
        <f t="array" ref="C249">INDEX(LINEST(K$22:K$35,$A$22:$A$35^{1,2,3}), 1,2)</f>
        <v>-6.3231577684690868E-4</v>
      </c>
      <c r="D249" s="21" cm="1">
        <f t="array" ref="D249">INDEX(LINEST(L$22:L$35,$A$22:$A$35^{1,2,3}), 1,2)</f>
        <v>-4.5340205758504122E-4</v>
      </c>
      <c r="E249" s="21" cm="1">
        <f t="array" ref="E249">INDEX(LINEST(M$22:M$35,$A$22:$A$35^{1,2,3}), 1,2)</f>
        <v>-5.8573306678057929E-4</v>
      </c>
      <c r="F249" s="21" cm="1">
        <f t="array" ref="F249">INDEX(LINEST(N$22:N$35,$A$22:$A$35^{1,2,3}), 1,2)</f>
        <v>-7.4179656514602901E-4</v>
      </c>
      <c r="G249" s="21" cm="1">
        <f t="array" ref="G249">INDEX(LINEST(O$22:O$35,$A$22:$A$35^{1,2,3}), 1,2)</f>
        <v>-7.7093043277531794E-4</v>
      </c>
      <c r="H249" s="21" cm="1">
        <f t="array" ref="H249">INDEX(LINEST(P$22:P$35,$A$22:$A$35^{1,2,3}), 1,2)</f>
        <v>-6.4240862645472232E-4</v>
      </c>
      <c r="I249" s="21" cm="1">
        <f t="array" ref="I249">INDEX(LINEST(B$22:B$35,$A$22:$A$35^{1,2,3}), 1,2)</f>
        <v>1.4793980027560277E-3</v>
      </c>
    </row>
    <row r="250" spans="1:19" x14ac:dyDescent="0.25">
      <c r="A250" t="s">
        <v>46</v>
      </c>
      <c r="B250" s="20" cm="1">
        <f t="array" ref="B250">INDEX(LINEST(J$22:J$35,$A$22:$A$35^{1,2,3}), 1)</f>
        <v>-5.9562127952078907E-7</v>
      </c>
      <c r="C250" s="20" cm="1">
        <f t="array" ref="C250">INDEX(LINEST(K$22:K$35,$A$22:$A$35^{1,2,3}), 1)</f>
        <v>-4.8469838225210554E-7</v>
      </c>
      <c r="D250" s="21" cm="1">
        <f t="array" ref="D250">INDEX(LINEST(L$22:L$35,$A$22:$A$35^{1,2,3}), 1)</f>
        <v>-7.2071758752167001E-7</v>
      </c>
      <c r="E250" s="21" cm="1">
        <f t="array" ref="E250">INDEX(LINEST(M$22:M$35,$A$22:$A$35^{1,2,3}), 1)</f>
        <v>-6.6867262432822067E-7</v>
      </c>
      <c r="F250" s="21" cm="1">
        <f t="array" ref="F250">INDEX(LINEST(N$22:N$35,$A$22:$A$35^{1,2,3}), 1)</f>
        <v>-4.0625630711087241E-7</v>
      </c>
      <c r="G250" s="21" cm="1">
        <f t="array" ref="G250">INDEX(LINEST(O$22:O$35,$A$22:$A$35^{1,2,3}), 1)</f>
        <v>-3.2003648114250826E-7</v>
      </c>
      <c r="H250" s="21" cm="1">
        <f t="array" ref="H250">INDEX(LINEST(P$22:P$35,$A$22:$A$35^{1,2,3}), 1)</f>
        <v>-4.5033059681293323E-7</v>
      </c>
      <c r="I250" s="21" cm="1">
        <f t="array" ref="I250">INDEX(LINEST(B$22:B$35,$A$22:$A$35^{1,2,3}), 1)</f>
        <v>-2.1535828563839903E-7</v>
      </c>
    </row>
    <row r="251" spans="1:19" x14ac:dyDescent="0.25">
      <c r="A251" t="s">
        <v>47</v>
      </c>
      <c r="B251" s="20"/>
      <c r="C251" s="20"/>
      <c r="D251" s="21"/>
      <c r="E251" s="21"/>
      <c r="F251" s="21"/>
      <c r="G251" s="21"/>
      <c r="H251" s="21"/>
      <c r="I251" s="21"/>
    </row>
    <row r="252" spans="1:19" x14ac:dyDescent="0.25">
      <c r="A252" t="s">
        <v>48</v>
      </c>
      <c r="B252" s="20"/>
      <c r="C252" s="20"/>
      <c r="D252" s="21"/>
      <c r="E252" s="21"/>
      <c r="F252" s="21"/>
      <c r="G252" s="21"/>
      <c r="H252" s="21"/>
      <c r="I252" s="21"/>
    </row>
    <row r="253" spans="1:19" x14ac:dyDescent="0.25">
      <c r="A253" t="s">
        <v>49</v>
      </c>
      <c r="B253" s="20"/>
      <c r="C253" s="20"/>
      <c r="D253" s="21"/>
      <c r="E253" s="21"/>
      <c r="F253" s="21"/>
      <c r="G253" s="21"/>
      <c r="H253" s="21"/>
      <c r="I253" s="21"/>
    </row>
    <row r="254" spans="1:19" x14ac:dyDescent="0.25">
      <c r="B254" s="20"/>
      <c r="C254" s="20"/>
      <c r="D254" s="20"/>
      <c r="E254" s="20"/>
      <c r="F254" s="20"/>
      <c r="G254" s="20"/>
      <c r="H254" s="20"/>
      <c r="I254" s="20"/>
    </row>
    <row r="255" spans="1:19" x14ac:dyDescent="0.25">
      <c r="A255" t="s">
        <v>50</v>
      </c>
    </row>
    <row r="256" spans="1:19" x14ac:dyDescent="0.25">
      <c r="A256" s="22" t="s">
        <v>4</v>
      </c>
      <c r="B256" s="23"/>
      <c r="C256" s="23"/>
    </row>
    <row r="257" spans="1:9" x14ac:dyDescent="0.25">
      <c r="A257" s="1">
        <v>0</v>
      </c>
      <c r="B257" s="2" cm="1">
        <f t="array" ref="B257">TrajectoryToComeUp(B$247:B$249,$A257)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3142.5646733740186</v>
      </c>
    </row>
    <row r="258" spans="1:9" x14ac:dyDescent="0.25">
      <c r="A258" s="1">
        <v>25</v>
      </c>
      <c r="B258" s="2" cm="1">
        <f t="array" ref="B258">TrajectoryToComeUp(B$247:B$249,$A258)</f>
        <v>1.0782409225481628</v>
      </c>
      <c r="C258" s="2" cm="1">
        <f t="array" ref="C258">TrajectoryToComeUp(C$247:C$250,$A258)</f>
        <v>1.0897285219998418</v>
      </c>
      <c r="D258" s="2" cm="1">
        <f t="array" ref="D258">TrajectoryToComeUp(D$247:D$250,$A258)</f>
        <v>0.77074390710676965</v>
      </c>
      <c r="E258" s="2" cm="1">
        <f t="array" ref="E258">TrajectoryToComeUp(E$247:E$250,$A258)</f>
        <v>0.45316158272449814</v>
      </c>
      <c r="F258" s="2" cm="1">
        <f t="array" ref="F258">TrajectoryToComeUp(F$247:F$250,$A258)</f>
        <v>-0.21231097749328046</v>
      </c>
      <c r="G258" s="2" cm="1">
        <f t="array" ref="G258">TrajectoryToComeUp(G$247:G$250,$A258)</f>
        <v>-1.3102897899528443</v>
      </c>
      <c r="H258" s="2" cm="1">
        <f t="array" ref="H258">TrajectoryToComeUp(H$247:H$250,$A258)</f>
        <v>-2.0883166359845879</v>
      </c>
      <c r="I258" s="2" cm="1">
        <f t="array" ref="I258">EvaluatePolynomial(I$247:I$250,$A258)</f>
        <v>3053.1990359883212</v>
      </c>
    </row>
    <row r="259" spans="1:9" x14ac:dyDescent="0.25">
      <c r="A259" s="1">
        <v>50</v>
      </c>
      <c r="B259" s="2" cm="1">
        <f t="array" ref="B259">TrajectoryToComeUp(B$247:B$249,$A259)</f>
        <v>-0.28904538862641582</v>
      </c>
      <c r="C259" s="2" cm="1">
        <f t="array" ref="C259">TrajectoryToComeUp(C$247:C$250,$A259)</f>
        <v>0.14264626235626013</v>
      </c>
      <c r="D259" s="2" cm="1">
        <f t="array" ref="D259">TrajectoryToComeUp(D$247:D$250,$A259)</f>
        <v>-1.1184928077437933E-2</v>
      </c>
      <c r="E259" s="2" cm="1">
        <f t="array" ref="E259">TrajectoryToComeUp(E$247:E$250,$A259)</f>
        <v>-0.3890357895842973</v>
      </c>
      <c r="F259" s="2" cm="1">
        <f t="array" ref="F259">TrajectoryToComeUp(F$247:F$250,$A259)</f>
        <v>-1.2291087061081705</v>
      </c>
      <c r="G259" s="2" cm="1">
        <f t="array" ref="G259">TrajectoryToComeUp(G$247:G$250,$A259)</f>
        <v>-2.2364794477233079</v>
      </c>
      <c r="H259" s="2" cm="1">
        <f t="array" ref="H259">TrajectoryToComeUp(H$247:H$250,$A259)</f>
        <v>-3.0183201033074205</v>
      </c>
      <c r="I259" s="2" cm="1">
        <f t="array" ref="I259">EvaluatePolynomial(I$247:I$250,$A259)</f>
        <v>2965.6624562667903</v>
      </c>
    </row>
    <row r="260" spans="1:9" x14ac:dyDescent="0.25">
      <c r="A260" s="1">
        <v>75</v>
      </c>
      <c r="B260" s="2" cm="1">
        <f t="array" ref="B260">TrajectoryToComeUp(B$247:B$249,$A260)</f>
        <v>-0.57803316667545257</v>
      </c>
      <c r="C260" s="2" cm="1">
        <f t="array" ref="C260">TrajectoryToComeUp(C$247:C$250,$A260)</f>
        <v>-5.5544401827479828E-2</v>
      </c>
      <c r="D260" s="2" cm="1">
        <f t="array" ref="D260">TrajectoryToComeUp(D$247:D$250,$A260)</f>
        <v>-0.17824292385329182</v>
      </c>
      <c r="E260" s="2" cm="1">
        <f t="array" ref="E260">TrajectoryToComeUp(E$247:E$250,$A260)</f>
        <v>-0.55542925361559348</v>
      </c>
      <c r="F260" s="2" cm="1">
        <f t="array" ref="F260">TrajectoryToComeUp(F$247:F$250,$A260)</f>
        <v>-1.4342521137776905</v>
      </c>
      <c r="G260" s="2" cm="1">
        <f t="array" ref="G260">TrajectoryToComeUp(G$247:G$250,$A260)</f>
        <v>-2.4087200161556797</v>
      </c>
      <c r="H260" s="2" cm="1">
        <f t="array" ref="H260">TrajectoryToComeUp(H$247:H$250,$A260)</f>
        <v>-3.2099948897522537</v>
      </c>
      <c r="I260" s="2" cm="1">
        <f t="array" ref="I260">EvaluatePolynomial(I$247:I$250,$A260)</f>
        <v>2879.9347443701472</v>
      </c>
    </row>
    <row r="261" spans="1:9" x14ac:dyDescent="0.25">
      <c r="A261" s="1">
        <v>100</v>
      </c>
      <c r="B261" s="2" cm="1">
        <f t="array" ref="B261">TrajectoryToComeUp(B$247:B$249,$A261)</f>
        <v>-0.59744631144310412</v>
      </c>
      <c r="C261" s="2" cm="1">
        <f t="array" ref="C261">TrajectoryToComeUp(C$247:C$250,$A261)</f>
        <v>-6.1968119812645633E-2</v>
      </c>
      <c r="D261" s="2" cm="1">
        <f t="array" ref="D261">TrajectoryToComeUp(D$247:D$250,$A261)</f>
        <v>-0.18482648239404151</v>
      </c>
      <c r="E261" s="2" cm="1">
        <f t="array" ref="E261">TrajectoryToComeUp(E$247:E$250,$A261)</f>
        <v>-0.54660293472443811</v>
      </c>
      <c r="F261" s="2" cm="1">
        <f t="array" ref="F261">TrajectoryToComeUp(F$247:F$250,$A261)</f>
        <v>-1.4326732883317037</v>
      </c>
      <c r="G261" s="2" cm="1">
        <f t="array" ref="G261">TrajectoryToComeUp(G$247:G$250,$A261)</f>
        <v>-2.3894729702428172</v>
      </c>
      <c r="H261" s="2" cm="1">
        <f t="array" ref="H261">TrajectoryToComeUp(H$247:H$250,$A261)</f>
        <v>-3.2128656566324669</v>
      </c>
      <c r="I261" s="2" cm="1">
        <f t="array" ref="I261">EvaluatePolynomial(I$247:I$250,$A261)</f>
        <v>2795.9957104591135</v>
      </c>
    </row>
    <row r="262" spans="1:9" x14ac:dyDescent="0.25">
      <c r="A262" s="1">
        <v>125</v>
      </c>
      <c r="B262" s="2" cm="1">
        <f t="array" ref="B262">TrajectoryToComeUp(B$247:B$249,$A262)</f>
        <v>-0.50902960289820109</v>
      </c>
      <c r="C262" s="2" cm="1">
        <f t="array" ref="C262">TrajectoryToComeUp(C$247:C$250,$A262)</f>
        <v>1.1950178548508834E-2</v>
      </c>
      <c r="D262" s="2" cm="1">
        <f t="array" ref="D262">TrajectoryToComeUp(D$247:D$250,$A262)</f>
        <v>-0.12181488413433719</v>
      </c>
      <c r="E262" s="2" cm="1">
        <f t="array" ref="E262">TrajectoryToComeUp(E$247:E$250,$A262)</f>
        <v>-0.46267365798184029</v>
      </c>
      <c r="F262" s="2" cm="1">
        <f t="array" ref="F262">TrajectoryToComeUp(F$247:F$250,$A262)</f>
        <v>-1.3453586473361825</v>
      </c>
      <c r="G262" s="2" cm="1">
        <f t="array" ref="G262">TrajectoryToComeUp(G$247:G$250,$A262)</f>
        <v>-2.2912306049832933</v>
      </c>
      <c r="H262" s="2" cm="1">
        <f t="array" ref="H262">TrajectoryToComeUp(H$247:H$250,$A262)</f>
        <v>-3.1368373362107342</v>
      </c>
      <c r="I262" s="2" cm="1">
        <f t="array" ref="I262">EvaluatePolynomial(I$247:I$250,$A262)</f>
        <v>2713.8251646944104</v>
      </c>
    </row>
    <row r="263" spans="1:9" x14ac:dyDescent="0.25">
      <c r="A263" s="1">
        <v>150</v>
      </c>
      <c r="B263" s="2" cm="1">
        <f t="array" ref="B263">TrajectoryToComeUp(B$247:B$249,$A263)</f>
        <v>-0.36669796769702123</v>
      </c>
      <c r="C263" s="2" cm="1">
        <f t="array" ref="C263">TrajectoryToComeUp(C$247:C$250,$A263)</f>
        <v>0.12906884997189927</v>
      </c>
      <c r="D263" s="2" cm="1">
        <f t="array" ref="D263">TrajectoryToComeUp(D$247:D$250,$A263)</f>
        <v>-1.9501222552395385E-2</v>
      </c>
      <c r="E263" s="2" cm="1">
        <f t="array" ref="E263">TrajectoryToComeUp(E$247:E$250,$A263)</f>
        <v>-0.33701369841147011</v>
      </c>
      <c r="F263" s="2" cm="1">
        <f t="array" ref="F263">TrajectoryToComeUp(F$247:F$250,$A263)</f>
        <v>-1.2126369966464512</v>
      </c>
      <c r="G263" s="2" cm="1">
        <f t="array" ref="G263">TrajectoryToComeUp(G$247:G$250,$A263)</f>
        <v>-2.1514903520432975</v>
      </c>
      <c r="H263" s="2" cm="1">
        <f t="array" ref="H263">TrajectoryToComeUp(H$247:H$250,$A263)</f>
        <v>-3.0185449059079481</v>
      </c>
      <c r="I263" s="2" cm="1">
        <f t="array" ref="I263">EvaluatePolynomial(I$247:I$250,$A263)</f>
        <v>2633.4029172367591</v>
      </c>
    </row>
    <row r="264" spans="1:9" x14ac:dyDescent="0.25">
      <c r="A264" s="1">
        <v>175</v>
      </c>
      <c r="B264" s="2" cm="1">
        <f t="array" ref="B264">TrajectoryToComeUp(B$247:B$249,$A264)</f>
        <v>-0.19355780297796879</v>
      </c>
      <c r="C264" s="2" cm="1">
        <f t="array" ref="C264">TrajectoryToComeUp(C$247:C$250,$A264)</f>
        <v>0.2734700473357749</v>
      </c>
      <c r="D264" s="2" cm="1">
        <f t="array" ref="D264">TrajectoryToComeUp(D$247:D$250,$A264)</f>
        <v>0.10913174800397682</v>
      </c>
      <c r="E264" s="2" cm="1">
        <f t="array" ref="E264">TrajectoryToComeUp(E$247:E$250,$A264)</f>
        <v>-0.18392545959489973</v>
      </c>
      <c r="F264" s="2" cm="1">
        <f t="array" ref="F264">TrajectoryToComeUp(F$247:F$250,$A264)</f>
        <v>-1.0517921102005059</v>
      </c>
      <c r="G264" s="2" cm="1">
        <f t="array" ref="G264">TrajectoryToComeUp(G$247:G$250,$A264)</f>
        <v>-1.9863225392797685</v>
      </c>
      <c r="H264" s="2" cm="1">
        <f t="array" ref="H264">TrajectoryToComeUp(H$247:H$250,$A264)</f>
        <v>-2.8736890703330626</v>
      </c>
      <c r="I264" s="2" cm="1">
        <f t="array" ref="I264">EvaluatePolynomial(I$247:I$250,$A264)</f>
        <v>2554.7087782468816</v>
      </c>
    </row>
    <row r="265" spans="1:9" x14ac:dyDescent="0.25">
      <c r="A265" s="1">
        <v>200</v>
      </c>
      <c r="B265" s="2" cm="1">
        <f t="array" ref="B265">TrajectoryToComeUp(B$247:B$249,$A265)</f>
        <v>-1.1623073102458386E-3</v>
      </c>
      <c r="C265" s="2" cm="1">
        <f t="array" ref="C265">TrajectoryToComeUp(C$247:C$250,$A265)</f>
        <v>0.43719484707926054</v>
      </c>
      <c r="D265" s="2" cm="1">
        <f t="array" ref="D265">TrajectoryToComeUp(D$247:D$250,$A265)</f>
        <v>0.25759265036087581</v>
      </c>
      <c r="E265" s="2" cm="1">
        <f t="array" ref="E265">TrajectoryToComeUp(E$247:E$250,$A265)</f>
        <v>-1.0560143322916181E-2</v>
      </c>
      <c r="F265" s="2" cm="1">
        <f t="array" ref="F265">TrajectoryToComeUp(F$247:F$250,$A265)</f>
        <v>-0.87146587496734451</v>
      </c>
      <c r="G265" s="2" cm="1">
        <f t="array" ref="G265">TrajectoryToComeUp(G$247:G$250,$A265)</f>
        <v>-1.8037623306211756</v>
      </c>
      <c r="H265" s="2" cm="1">
        <f t="array" ref="H265">TrajectoryToComeUp(H$247:H$250,$A265)</f>
        <v>-2.7101201817905536</v>
      </c>
      <c r="I265" s="2" cm="1">
        <f t="array" ref="I265">EvaluatePolynomial(I$247:I$250,$A265)</f>
        <v>2477.7225578854986</v>
      </c>
    </row>
    <row r="266" spans="1:9" x14ac:dyDescent="0.25">
      <c r="A266" s="1">
        <v>225</v>
      </c>
      <c r="B266" s="2" cm="1">
        <f t="array" ref="B266">TrajectoryToComeUp(B$247:B$249,$A266)</f>
        <v>0.20407007565659069</v>
      </c>
      <c r="C266" s="2" cm="1">
        <f t="array" ref="C266">TrajectoryToComeUp(C$247:C$250,$A266)</f>
        <v>0.61582162500187021</v>
      </c>
      <c r="D266" s="2" cm="1">
        <f t="array" ref="D266">TrajectoryToComeUp(D$247:D$250,$A266)</f>
        <v>0.42227516386613306</v>
      </c>
      <c r="E266" s="2" cm="1">
        <f t="array" ref="E266">TrajectoryToComeUp(E$247:E$250,$A266)</f>
        <v>0.17910936052071055</v>
      </c>
      <c r="F266" s="2" cm="1">
        <f t="array" ref="F266">TrajectoryToComeUp(F$247:F$250,$A266)</f>
        <v>-0.67645933926307711</v>
      </c>
      <c r="G266" s="2" cm="1">
        <f t="array" ref="G266">TrajectoryToComeUp(G$247:G$250,$A266)</f>
        <v>-1.6082737060277801</v>
      </c>
      <c r="H266" s="2" cm="1">
        <f t="array" ref="H266">TrajectoryToComeUp(H$247:H$250,$A266)</f>
        <v>-2.532199547116242</v>
      </c>
      <c r="I266" s="2" cm="1">
        <f t="array" ref="I266">EvaluatePolynomial(I$247:I$250,$A266)</f>
        <v>2402.4240663133319</v>
      </c>
    </row>
    <row r="267" spans="1:9" x14ac:dyDescent="0.25">
      <c r="A267" s="1">
        <v>250</v>
      </c>
      <c r="B267" s="2" cm="1">
        <f t="array" ref="B267">TrajectoryToComeUp(B$247:B$249,$A267)</f>
        <v>0.41828827973280669</v>
      </c>
      <c r="C267" s="2" cm="1">
        <f t="array" ref="C267">TrajectoryToComeUp(C$247:C$250,$A267)</f>
        <v>0.80669740658331179</v>
      </c>
      <c r="D267" s="2" cm="1">
        <f t="array" ref="D267">TrajectoryToComeUp(D$247:D$250,$A267)</f>
        <v>0.60101549612844718</v>
      </c>
      <c r="E267" s="2" cm="1">
        <f t="array" ref="E267">TrajectoryToComeUp(E$247:E$250,$A267)</f>
        <v>0.38269931800571833</v>
      </c>
      <c r="F267" s="2" cm="1">
        <f t="array" ref="F267">TrajectoryToComeUp(F$247:F$250,$A267)</f>
        <v>-0.46965313207736981</v>
      </c>
      <c r="G267" s="2" cm="1">
        <f t="array" ref="G267">TrajectoryToComeUp(G$247:G$250,$A267)</f>
        <v>-1.4025350534757379</v>
      </c>
      <c r="H267" s="2" cm="1">
        <f t="array" ref="H267">TrajectoryToComeUp(H$247:H$250,$A267)</f>
        <v>-2.3425439504116197</v>
      </c>
      <c r="I267" s="2" cm="1">
        <f t="array" ref="I267">EvaluatePolynomial(I$247:I$250,$A267)</f>
        <v>2328.7931136911029</v>
      </c>
    </row>
    <row r="268" spans="1:9" x14ac:dyDescent="0.25">
      <c r="A268" s="1">
        <v>275</v>
      </c>
      <c r="B268" s="2" cm="1">
        <f t="array" ref="B268">TrajectoryToComeUp(B$247:B$249,$A268)</f>
        <v>0.63904162643402596</v>
      </c>
      <c r="C268" s="2" cm="1">
        <f t="array" ref="C268">TrajectoryToComeUp(C$247:C$250,$A268)</f>
        <v>1.0081339353106729</v>
      </c>
      <c r="D268" s="2" cm="1">
        <f t="array" ref="D268">TrajectoryToComeUp(D$247:D$250,$A268)</f>
        <v>0.79243668835335423</v>
      </c>
      <c r="E268" s="2" cm="1">
        <f t="array" ref="E268">TrajectoryToComeUp(E$247:E$250,$A268)</f>
        <v>0.59869280754012211</v>
      </c>
      <c r="F268" s="2" cm="1">
        <f t="array" ref="F268">TrajectoryToComeUp(F$247:F$250,$A268)</f>
        <v>-0.2528803809491012</v>
      </c>
      <c r="G268" s="2" cm="1">
        <f t="array" ref="G268">TrajectoryToComeUp(G$247:G$250,$A268)</f>
        <v>-1.1882508016771491</v>
      </c>
      <c r="H268" s="2" cm="1">
        <f t="array" ref="H268">TrajectoryToComeUp(H$247:H$250,$A268)</f>
        <v>-2.1428186179230919</v>
      </c>
      <c r="I268" s="2" cm="1">
        <f t="array" ref="I268">EvaluatePolynomial(I$247:I$250,$A268)</f>
        <v>2256.8095101795329</v>
      </c>
    </row>
    <row r="269" spans="1:9" x14ac:dyDescent="0.25">
      <c r="A269" s="1">
        <v>300</v>
      </c>
      <c r="B269" s="2" cm="1">
        <f t="array" ref="B269">TrajectoryToComeUp(B$247:B$249,$A269)</f>
        <v>0.8646963301039976</v>
      </c>
      <c r="C269" s="2" cm="1">
        <f t="array" ref="C269">TrajectoryToComeUp(C$247:C$250,$A269)</f>
        <v>1.2190057068420108</v>
      </c>
      <c r="D269" s="2" cm="1">
        <f t="array" ref="D269">TrajectoryToComeUp(D$247:D$250,$A269)</f>
        <v>0.9956207680112108</v>
      </c>
      <c r="E269" s="2" cm="1">
        <f t="array" ref="E269">TrajectoryToComeUp(E$247:E$250,$A269)</f>
        <v>0.82607854806259895</v>
      </c>
      <c r="F269" s="2" cm="1">
        <f t="array" ref="F269">TrajectoryToComeUp(F$247:F$250,$A269)</f>
        <v>-2.7363170904189705E-2</v>
      </c>
      <c r="G269" s="2" cm="1">
        <f t="array" ref="G269">TrajectoryToComeUp(G$247:G$250,$A269)</f>
        <v>-0.96655723644008007</v>
      </c>
      <c r="H269" s="2" cm="1">
        <f t="array" ref="H269">TrajectoryToComeUp(H$247:H$250,$A269)</f>
        <v>-1.9341337004815939</v>
      </c>
      <c r="I269" s="2" cm="1">
        <f t="array" ref="I269">EvaluatePolynomial(I$247:I$250,$A269)</f>
        <v>2186.4530659393431</v>
      </c>
    </row>
    <row r="270" spans="1:9" x14ac:dyDescent="0.25">
      <c r="A270" s="1">
        <v>325</v>
      </c>
      <c r="B270" s="2" cm="1">
        <f t="array" ref="B270">TrajectoryToComeUp(B$247:B$249,$A270)</f>
        <v>1.0941213083653174</v>
      </c>
      <c r="C270" s="2" cm="1">
        <f t="array" ref="C270">TrajectoryToComeUp(C$247:C$250,$A270)</f>
        <v>1.438533525863674</v>
      </c>
      <c r="D270" s="2" cm="1">
        <f t="array" ref="D270">TrajectoryToComeUp(D$247:D$250,$A270)</f>
        <v>1.2099322156584176</v>
      </c>
      <c r="E270" s="2" cm="1">
        <f t="array" ref="E270">TrajectoryToComeUp(E$247:E$250,$A270)</f>
        <v>1.064156421915309</v>
      </c>
      <c r="F270" s="2" cm="1">
        <f t="array" ref="F270">TrajectoryToComeUp(F$247:F$250,$A270)</f>
        <v>0.2060524391932668</v>
      </c>
      <c r="G270" s="2" cm="1">
        <f t="array" ref="G270">TrajectoryToComeUp(G$247:G$250,$A270)</f>
        <v>-0.73824101717011426</v>
      </c>
      <c r="H270" s="2" cm="1">
        <f t="array" ref="H270">TrajectoryToComeUp(H$247:H$250,$A270)</f>
        <v>-1.717257764047005</v>
      </c>
      <c r="I270" s="2" cm="1">
        <f t="array" ref="I270">EvaluatePolynomial(I$247:I$250,$A270)</f>
        <v>2117.7035911312555</v>
      </c>
    </row>
    <row r="271" spans="1:9" x14ac:dyDescent="0.25">
      <c r="A271" s="1">
        <v>350</v>
      </c>
      <c r="B271" s="2" cm="1">
        <f t="array" ref="B271">TrajectoryToComeUp(B$247:B$249,$A271)</f>
        <v>1.326508645234125</v>
      </c>
      <c r="C271" s="2" cm="1">
        <f t="array" ref="C271">TrajectoryToComeUp(C$247:C$250,$A271)</f>
        <v>1.6661608242944816</v>
      </c>
      <c r="D271" s="2" cm="1">
        <f t="array" ref="D271">TrajectoryToComeUp(D$247:D$250,$A271)</f>
        <v>1.434917088835262</v>
      </c>
      <c r="E271" s="2" cm="1">
        <f t="array" ref="E271">TrajectoryToComeUp(E$247:E$250,$A271)</f>
        <v>1.3124263450569389</v>
      </c>
      <c r="F271" s="2" cm="1">
        <f t="array" ref="F271">TrajectoryToComeUp(F$247:F$250,$A271)</f>
        <v>0.44676212158319811</v>
      </c>
      <c r="G271" s="2" cm="1">
        <f t="array" ref="G271">TrajectoryToComeUp(G$247:G$250,$A271)</f>
        <v>-0.50386404344267022</v>
      </c>
      <c r="H271" s="2" cm="1">
        <f t="array" ref="H271">TrajectoryToComeUp(H$247:H$250,$A271)</f>
        <v>-1.4927397843049521</v>
      </c>
      <c r="I271" s="2" cm="1">
        <f t="array" ref="I271">EvaluatePolynomial(I$247:I$250,$A271)</f>
        <v>2050.5408959159913</v>
      </c>
    </row>
    <row r="272" spans="1:9" x14ac:dyDescent="0.25">
      <c r="A272" s="1">
        <v>375</v>
      </c>
      <c r="B272" s="2" cm="1">
        <f t="array" ref="B272">TrajectoryToComeUp(B$247:B$249,$A272)</f>
        <v>1.5612658689889229</v>
      </c>
      <c r="C272" s="2" cm="1">
        <f t="array" ref="C272">TrajectoryToComeUp(C$247:C$250,$A272)</f>
        <v>1.9014794522082363</v>
      </c>
      <c r="D272" s="2" cm="1">
        <f t="array" ref="D272">TrajectoryToComeUp(D$247:D$250,$A272)</f>
        <v>1.6702424964046203</v>
      </c>
      <c r="E272" s="2" cm="1">
        <f t="array" ref="E272">TrajectoryToComeUp(E$247:E$250,$A272)</f>
        <v>1.5705215891905251</v>
      </c>
      <c r="F272" s="2" cm="1">
        <f t="array" ref="F272">TrajectoryToComeUp(F$247:F$250,$A272)</f>
        <v>0.69432270257488693</v>
      </c>
      <c r="G272" s="2" cm="1">
        <f t="array" ref="G272">TrajectoryToComeUp(G$247:G$250,$A272)</f>
        <v>-0.26383837494638723</v>
      </c>
      <c r="H272" s="2" cm="1">
        <f t="array" ref="H272">TrajectoryToComeUp(H$247:H$250,$A272)</f>
        <v>-1.2609823434248968</v>
      </c>
      <c r="I272" s="2" cm="1">
        <f t="array" ref="I272">EvaluatePolynomial(I$247:I$250,$A272)</f>
        <v>1984.9447904542712</v>
      </c>
    </row>
    <row r="273" spans="1:9" x14ac:dyDescent="0.25">
      <c r="A273" s="1">
        <v>400</v>
      </c>
      <c r="B273" s="2" cm="1">
        <f t="array" ref="B273">TrajectoryToComeUp(B$247:B$249,$A273)</f>
        <v>1.7979486258385877</v>
      </c>
      <c r="C273" s="2" cm="1">
        <f t="array" ref="C273">TrajectoryToComeUp(C$247:C$250,$A273)</f>
        <v>2.1441832971602879</v>
      </c>
      <c r="D273" s="2" cm="1">
        <f t="array" ref="D273">TrajectoryToComeUp(D$247:D$250,$A273)</f>
        <v>1.9156587700136498</v>
      </c>
      <c r="E273" s="2" cm="1">
        <f t="array" ref="E273">TrajectoryToComeUp(E$247:E$250,$A273)</f>
        <v>1.8381671080933453</v>
      </c>
      <c r="F273" s="2" cm="1">
        <f t="array" ref="F273">TrajectoryToComeUp(F$247:F$250,$A273)</f>
        <v>0.94840180190029488</v>
      </c>
      <c r="G273" s="2" cm="1">
        <f t="array" ref="G273">TrajectoryToComeUp(G$247:G$250,$A273)</f>
        <v>-1.8473056447744014E-2</v>
      </c>
      <c r="H273" s="2" cm="1">
        <f t="array" ref="H273">TrajectoryToComeUp(H$247:H$250,$A273)</f>
        <v>-1.0222873780339334</v>
      </c>
      <c r="I273" s="2" cm="1">
        <f t="array" ref="I273">EvaluatePolynomial(I$247:I$250,$A273)</f>
        <v>1920.8950849068174</v>
      </c>
    </row>
    <row r="274" spans="1:9" x14ac:dyDescent="0.25">
      <c r="A274" s="1">
        <v>425</v>
      </c>
      <c r="B274" s="2" cm="1">
        <f t="array" ref="B274">TrajectoryToComeUp(B$247:B$249,$A274)</f>
        <v>2.0362171158252016</v>
      </c>
      <c r="C274" s="2" cm="1">
        <f t="array" ref="C274">TrajectoryToComeUp(C$247:C$250,$A274)</f>
        <v>2.3940382731635519</v>
      </c>
      <c r="D274" s="2" cm="1">
        <f t="array" ref="D274">TrajectoryToComeUp(D$247:D$250,$A274)</f>
        <v>2.1709749868042949</v>
      </c>
      <c r="E274" s="2" cm="1">
        <f t="array" ref="E274">TrajectoryToComeUp(E$247:E$250,$A274)</f>
        <v>2.1151525723009645</v>
      </c>
      <c r="F274" s="2" cm="1">
        <f t="array" ref="F274">TrajectoryToComeUp(F$247:F$250,$A274)</f>
        <v>1.2087452464132742</v>
      </c>
      <c r="G274" s="2" cm="1">
        <f t="array" ref="G274">TrajectoryToComeUp(G$247:G$250,$A274)</f>
        <v>0.23199558370242093</v>
      </c>
      <c r="H274" s="2" cm="1">
        <f t="array" ref="H274">TrajectoryToComeUp(H$247:H$250,$A274)</f>
        <v>-0.77688578084689941</v>
      </c>
      <c r="I274" s="2" cm="1">
        <f t="array" ref="I274">EvaluatePolynomial(I$247:I$250,$A274)</f>
        <v>1858.3715894343511</v>
      </c>
    </row>
    <row r="275" spans="1:9" x14ac:dyDescent="0.25">
      <c r="A275" s="1">
        <v>450</v>
      </c>
      <c r="B275" s="2" cm="1">
        <f t="array" ref="B275">TrajectoryToComeUp(B$247:B$249,$A275)</f>
        <v>2.2758070500926073</v>
      </c>
      <c r="C275" s="2" cm="1">
        <f t="array" ref="C275">TrajectoryToComeUp(C$247:C$250,$A275)</f>
        <v>2.6508623133391849</v>
      </c>
      <c r="D275" s="2" cm="1">
        <f t="array" ref="D275">TrajectoryToComeUp(D$247:D$250,$A275)</f>
        <v>2.4360426512202906</v>
      </c>
      <c r="E275" s="2" cm="1">
        <f t="array" ref="E275">TrajectoryToComeUp(E$247:E$250,$A275)</f>
        <v>2.4013143922299331</v>
      </c>
      <c r="F275" s="2" cm="1">
        <f t="array" ref="F275">TrajectoryToComeUp(F$247:F$250,$A275)</f>
        <v>1.475155345889045</v>
      </c>
      <c r="G275" s="2" cm="1">
        <f t="array" ref="G275">TrajectoryToComeUp(G$247:G$250,$A275)</f>
        <v>0.48738373456456807</v>
      </c>
      <c r="H275" s="2" cm="1">
        <f t="array" ref="H275">TrajectoryToComeUp(H$247:H$250,$A275)</f>
        <v>-0.52495713508644704</v>
      </c>
      <c r="I275" s="2" cm="1">
        <f t="array" ref="I275">EvaluatePolynomial(I$247:I$250,$A275)</f>
        <v>1797.3541141975936</v>
      </c>
    </row>
    <row r="276" spans="1:9" x14ac:dyDescent="0.25">
      <c r="A276" s="1">
        <v>475</v>
      </c>
      <c r="B276" s="2" cm="1">
        <f t="array" ref="B276">TrajectoryToComeUp(B$247:B$249,$A276)</f>
        <v>2.5165097795438367</v>
      </c>
      <c r="C276" s="2" cm="1">
        <f t="array" ref="C276">TrajectoryToComeUp(C$247:C$250,$A276)</f>
        <v>2.9145116806775744</v>
      </c>
      <c r="D276" s="2" cm="1">
        <f t="array" ref="D276">TrajectoryToComeUp(D$247:D$250,$A276)</f>
        <v>2.7107445299277408</v>
      </c>
      <c r="E276" s="2" cm="1">
        <f t="array" ref="E276">TrajectoryToComeUp(E$247:E$250,$A276)</f>
        <v>2.6965234182091069</v>
      </c>
      <c r="F276" s="2" cm="1">
        <f t="array" ref="F276">TrajectoryToComeUp(F$247:F$250,$A276)</f>
        <v>1.7474760290975162</v>
      </c>
      <c r="G276" s="2" cm="1">
        <f t="array" ref="G276">TrajectoryToComeUp(G$247:G$250,$A276)</f>
        <v>0.74754628223906028</v>
      </c>
      <c r="H276" s="2" cm="1">
        <f t="array" ref="H276">TrajectoryToComeUp(H$247:H$250,$A276)</f>
        <v>-0.26664321698098481</v>
      </c>
      <c r="I276" s="2" cm="1">
        <f t="array" ref="I276">EvaluatePolynomial(I$247:I$250,$A276)</f>
        <v>1737.8224693572663</v>
      </c>
    </row>
    <row r="277" spans="1:9" x14ac:dyDescent="0.25">
      <c r="A277" s="10">
        <v>500</v>
      </c>
      <c r="B277" s="2" cm="1">
        <f t="array" ref="B277">TrajectoryToComeUp(B$247:B$249,$A277)</f>
        <v>2.758158384901316</v>
      </c>
      <c r="C277" s="2" cm="1">
        <f t="array" ref="C277">TrajectoryToComeUp(C$247:C$250,$A277)</f>
        <v>3.1848713855710282</v>
      </c>
      <c r="D277" s="2" cm="1">
        <f t="array" ref="D277">TrajectoryToComeUp(D$247:D$250,$A277)</f>
        <v>2.9949868362595318</v>
      </c>
      <c r="E277" s="2" cm="1">
        <f t="array" ref="E277">TrajectoryToComeUp(E$247:E$250,$A277)</f>
        <v>3.0006763305015705</v>
      </c>
      <c r="F277" s="2" cm="1">
        <f t="array" ref="F277">TrajectoryToComeUp(F$247:F$250,$A277)</f>
        <v>2.0255824390546153</v>
      </c>
      <c r="G277" s="2" cm="1">
        <f t="array" ref="G277">TrajectoryToComeUp(G$247:G$250,$A277)</f>
        <v>1.0123671356061885</v>
      </c>
      <c r="H277" s="2" cm="1">
        <f t="array" ref="H277">TrajectoryToComeUp(H$247:H$250,$A277)</f>
        <v>-2.0574475132400976E-3</v>
      </c>
      <c r="I277" s="2" cm="1">
        <f t="array" ref="I277">EvaluatePolynomial(I$247:I$250,$A277)</f>
        <v>1679.7564650740906</v>
      </c>
    </row>
  </sheetData>
  <mergeCells count="3">
    <mergeCell ref="F1:I1"/>
    <mergeCell ref="C20:G20"/>
    <mergeCell ref="J20:N20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74D47-F432-4863-9EF4-99AB69591884}">
  <sheetPr codeName="Sheet2"/>
  <dimension ref="A1:S277"/>
  <sheetViews>
    <sheetView workbookViewId="0">
      <selection activeCell="H6" sqref="H6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3.5703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6.28515625" customWidth="1"/>
    <col min="12" max="12" width="16" customWidth="1"/>
    <col min="13" max="13" width="13.28515625" customWidth="1"/>
    <col min="14" max="14" width="14" customWidth="1"/>
    <col min="15" max="15" width="13.42578125" customWidth="1"/>
    <col min="16" max="16" width="15.5703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s="22" t="s">
        <v>18</v>
      </c>
      <c r="B1" t="s">
        <v>38</v>
      </c>
      <c r="C1" t="s">
        <v>40</v>
      </c>
      <c r="D1" t="s">
        <v>29</v>
      </c>
      <c r="F1" s="35" t="s">
        <v>63</v>
      </c>
      <c r="G1" s="35"/>
      <c r="H1" s="35"/>
      <c r="I1" s="35"/>
    </row>
    <row r="2" spans="1:9" x14ac:dyDescent="0.25">
      <c r="A2" s="22" t="s">
        <v>20</v>
      </c>
      <c r="B2" s="2">
        <v>140</v>
      </c>
      <c r="C2" s="2">
        <f>CONVERT($B$2,"grain","g")</f>
        <v>9.0718473999999993</v>
      </c>
      <c r="F2" t="s">
        <v>64</v>
      </c>
      <c r="G2" s="2">
        <v>140</v>
      </c>
      <c r="H2" s="2">
        <f>CONVERT($G$2,"grain","g")</f>
        <v>9.0718473999999993</v>
      </c>
    </row>
    <row r="3" spans="1:9" x14ac:dyDescent="0.25">
      <c r="A3" s="22" t="s">
        <v>0</v>
      </c>
      <c r="B3" s="2">
        <v>0.26400000000000001</v>
      </c>
      <c r="C3" s="2">
        <f>CONVERT($B$3,"in","mm")</f>
        <v>6.7055999999999996</v>
      </c>
      <c r="F3" t="s">
        <v>65</v>
      </c>
      <c r="G3" s="2">
        <v>0.26400000000000001</v>
      </c>
      <c r="H3" s="2">
        <f>CONVERT($G$3,"in","mm")</f>
        <v>6.7055999999999996</v>
      </c>
    </row>
    <row r="4" spans="1:9" x14ac:dyDescent="0.25">
      <c r="A4" s="22" t="s">
        <v>11</v>
      </c>
      <c r="B4" s="2">
        <v>0.439</v>
      </c>
      <c r="C4" s="2"/>
      <c r="F4" t="s">
        <v>11</v>
      </c>
      <c r="G4" s="2" t="s">
        <v>89</v>
      </c>
      <c r="H4" s="2"/>
    </row>
    <row r="5" spans="1:9" x14ac:dyDescent="0.25">
      <c r="A5" s="22" t="s">
        <v>21</v>
      </c>
      <c r="B5" s="2">
        <v>0.439</v>
      </c>
      <c r="C5" s="2"/>
      <c r="F5" t="s">
        <v>21</v>
      </c>
      <c r="G5" s="2">
        <v>0.439</v>
      </c>
      <c r="H5" s="2"/>
    </row>
    <row r="6" spans="1:9" x14ac:dyDescent="0.25">
      <c r="A6" s="22" t="s">
        <v>22</v>
      </c>
      <c r="B6" s="2">
        <v>3129.2</v>
      </c>
      <c r="C6" s="2">
        <f>CONVERT($B$6,"J","flb")</f>
        <v>2307.9794775184187</v>
      </c>
      <c r="F6" t="s">
        <v>66</v>
      </c>
      <c r="G6" s="2" cm="1">
        <f t="array" ref="G6">MuzzleVelocityToMuzzleEnergyFtLb(G7,G2)</f>
        <v>2307.9548061774412</v>
      </c>
      <c r="H6" s="2" cm="1">
        <f t="array" ref="H6">MuzzleVelocityToMuzzleEnergyJoules(H7,H2)</f>
        <v>3129.1665501530929</v>
      </c>
    </row>
    <row r="7" spans="1:9" x14ac:dyDescent="0.25">
      <c r="A7" s="22" t="s">
        <v>19</v>
      </c>
      <c r="B7" s="2" cm="1">
        <f t="array" ref="B7">MuzzleEnergyToMuzzleVelocityMPS(B6,C2)</f>
        <v>830.58443931301701</v>
      </c>
      <c r="C7" s="2" cm="1">
        <f t="array" ref="C7">MuzzleEnergyToMuzzleVelocityFPS(C6,B2)</f>
        <v>2725.0145646752526</v>
      </c>
      <c r="F7" t="s">
        <v>67</v>
      </c>
      <c r="G7" s="2">
        <v>2725</v>
      </c>
      <c r="H7" s="2">
        <f>CONVERT($G$7,"ft","m")</f>
        <v>830.58</v>
      </c>
    </row>
    <row r="8" spans="1:9" x14ac:dyDescent="0.25">
      <c r="A8" s="22" t="s">
        <v>1</v>
      </c>
      <c r="B8" s="2">
        <v>0</v>
      </c>
      <c r="C8" s="2"/>
    </row>
    <row r="9" spans="1:9" x14ac:dyDescent="0.25">
      <c r="A9" s="22" t="s">
        <v>2</v>
      </c>
      <c r="B9" s="2">
        <v>14.5</v>
      </c>
      <c r="C9" s="2">
        <f>CONVERT($B$9,"m/sec","km/hr")</f>
        <v>52.2</v>
      </c>
    </row>
    <row r="10" spans="1:9" x14ac:dyDescent="0.25">
      <c r="A10" s="22" t="s">
        <v>3</v>
      </c>
      <c r="B10" s="2">
        <v>0</v>
      </c>
      <c r="C10" s="2">
        <v>210</v>
      </c>
    </row>
    <row r="11" spans="1:9" x14ac:dyDescent="0.25">
      <c r="A11" s="22" t="s">
        <v>51</v>
      </c>
      <c r="B11" s="2">
        <v>0.5</v>
      </c>
      <c r="C11" s="26"/>
    </row>
    <row r="12" spans="1:9" x14ac:dyDescent="0.25">
      <c r="A12" s="22" t="s">
        <v>52</v>
      </c>
      <c r="B12" s="2" cm="1">
        <f t="array" ref="B12">MOAToMRAD($B$11)</f>
        <v>0.14544410433286079</v>
      </c>
      <c r="C12" s="26">
        <f>$B$12/2</f>
        <v>7.2722052166430393E-2</v>
      </c>
    </row>
    <row r="13" spans="1:9" x14ac:dyDescent="0.25">
      <c r="A13" s="22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2" t="s">
        <v>5</v>
      </c>
      <c r="B14" t="s">
        <v>53</v>
      </c>
    </row>
    <row r="15" spans="1:9" x14ac:dyDescent="0.25">
      <c r="A15" t="s">
        <v>54</v>
      </c>
      <c r="B15" s="23" t="s">
        <v>55</v>
      </c>
      <c r="C15" s="23" t="s">
        <v>56</v>
      </c>
      <c r="D15" s="23" t="s">
        <v>57</v>
      </c>
      <c r="E15" s="23" t="s">
        <v>58</v>
      </c>
    </row>
    <row r="16" spans="1:9" x14ac:dyDescent="0.25">
      <c r="A16" s="22" t="s">
        <v>59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</row>
    <row r="17" spans="1:17" x14ac:dyDescent="0.25">
      <c r="A17" s="22" t="s">
        <v>60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</row>
    <row r="18" spans="1:17" x14ac:dyDescent="0.25">
      <c r="A18" s="11" t="s">
        <v>61</v>
      </c>
      <c r="B18" s="12">
        <f>$B$12/$B$17</f>
        <v>0.58177641733144314</v>
      </c>
      <c r="C18" s="2"/>
      <c r="J18" s="2">
        <v>5</v>
      </c>
      <c r="K18" s="2">
        <v>4.25</v>
      </c>
      <c r="L18" s="2">
        <v>4.25</v>
      </c>
      <c r="M18" s="2">
        <v>4.2</v>
      </c>
      <c r="N18" s="2">
        <v>4.1500000000000004</v>
      </c>
      <c r="O18" s="2">
        <v>4</v>
      </c>
      <c r="P18" s="2">
        <v>4</v>
      </c>
    </row>
    <row r="19" spans="1:17" x14ac:dyDescent="0.25">
      <c r="A19" s="27" t="s">
        <v>62</v>
      </c>
      <c r="B19" s="28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7" x14ac:dyDescent="0.25">
      <c r="C20" s="34" t="s">
        <v>24</v>
      </c>
      <c r="D20" s="34"/>
      <c r="E20" s="34"/>
      <c r="F20" s="34"/>
      <c r="G20" s="34"/>
      <c r="H20" s="13"/>
      <c r="I20" s="13"/>
      <c r="J20" s="34" t="s">
        <v>25</v>
      </c>
      <c r="K20" s="34"/>
      <c r="L20" s="34"/>
      <c r="M20" s="34"/>
      <c r="N20" s="34"/>
      <c r="O20" s="13"/>
      <c r="P20" s="13"/>
      <c r="Q20" s="29" t="s">
        <v>30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32</v>
      </c>
      <c r="I21" t="s">
        <v>33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32</v>
      </c>
      <c r="P21" s="30" t="s">
        <v>33</v>
      </c>
      <c r="Q21" s="29" t="s">
        <v>31</v>
      </c>
    </row>
    <row r="22" spans="1:17" x14ac:dyDescent="0.25">
      <c r="A22" s="1">
        <v>0</v>
      </c>
      <c r="B22" s="1">
        <v>3129.2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1">
        <f t="shared" si="1"/>
        <v>-3.81</v>
      </c>
      <c r="Q22" s="32">
        <v>0</v>
      </c>
    </row>
    <row r="23" spans="1:17" x14ac:dyDescent="0.25">
      <c r="A23" s="1">
        <v>25</v>
      </c>
      <c r="B23" s="1">
        <v>3071.2</v>
      </c>
      <c r="C23" s="6">
        <v>-0.26</v>
      </c>
      <c r="D23" s="6">
        <v>-0.375</v>
      </c>
      <c r="E23" s="6">
        <v>-0.36499999999999999</v>
      </c>
      <c r="F23" s="6">
        <v>-0.25</v>
      </c>
      <c r="G23" s="6">
        <v>-8.3000000000000004E-2</v>
      </c>
      <c r="H23" s="6">
        <v>0.125</v>
      </c>
      <c r="I23" s="14">
        <v>0.37</v>
      </c>
      <c r="J23" s="9" cm="1">
        <f t="array" ref="J23">TrajectoryDropInCM(C23,$A23,J$18)</f>
        <v>-3.2500018308345711</v>
      </c>
      <c r="K23" s="9" cm="1">
        <f t="array" ref="K23">TrajectoryDropInCM(D23,$A23,K$18)</f>
        <v>-3.9843783734928069</v>
      </c>
      <c r="L23" s="9" cm="1">
        <f t="array" ref="L23">TrajectoryDropInCM(E23,$A23,L$18)</f>
        <v>-3.8781281107460299</v>
      </c>
      <c r="M23" s="9" cm="1">
        <f t="array" ref="M23">TrajectoryDropInCM(F23,$A23,M$18)</f>
        <v>-2.6250009646879255</v>
      </c>
      <c r="N23" s="9" cm="1">
        <f t="array" ref="N23">TrajectoryDropInCM(G23,$A23,N$18)</f>
        <v>-0.86112503405629071</v>
      </c>
      <c r="O23" s="9" cm="1">
        <f t="array" ref="O23">TrajectoryDropInCM(H23,$A23,O$18)</f>
        <v>1.2500001041666768</v>
      </c>
      <c r="P23" s="33" cm="1">
        <f t="array" ref="P23">TrajectoryDropInCM(I23,$A23,P$18)</f>
        <v>3.7000027014957007</v>
      </c>
      <c r="Q23" s="32" cm="1">
        <f t="array" ref="Q23">TrajectoryErrorCM($E$19,1,$A23)</f>
        <v>0.37561137059069255</v>
      </c>
    </row>
    <row r="24" spans="1:17" x14ac:dyDescent="0.25">
      <c r="A24" s="1">
        <v>50</v>
      </c>
      <c r="B24" s="1">
        <v>3010.5</v>
      </c>
      <c r="C24" s="7">
        <v>0</v>
      </c>
      <c r="D24" s="6">
        <v>-8.3000000000000004E-2</v>
      </c>
      <c r="E24" s="6">
        <v>-6.25E-2</v>
      </c>
      <c r="F24" s="6">
        <v>6.25E-2</v>
      </c>
      <c r="G24" s="6">
        <v>0.245</v>
      </c>
      <c r="H24" s="6">
        <v>0.41699999999999998</v>
      </c>
      <c r="I24" s="14">
        <v>0.66700000000000004</v>
      </c>
      <c r="J24" s="9" cm="1">
        <f t="array" ref="J24">TrajectoryDropInCM(C24,$A24,J$18)</f>
        <v>0</v>
      </c>
      <c r="K24" s="9" cm="1">
        <f t="array" ref="K24">TrajectoryDropInCM(D24,$A24,K$18)</f>
        <v>-1.763750073155981</v>
      </c>
      <c r="L24" s="9" cm="1">
        <f t="array" ref="L24">TrajectoryDropInCM(E24,$A24,L$18)</f>
        <v>-1.3281250312360138</v>
      </c>
      <c r="M24" s="9" cm="1">
        <f t="array" ref="M24">TrajectoryDropInCM(F24,$A24,M$18)</f>
        <v>1.3125000301464853</v>
      </c>
      <c r="N24" s="9" cm="1">
        <f t="array" ref="N24">TrajectoryDropInCM(G24,$A24,N$18)</f>
        <v>5.0837517518280357</v>
      </c>
      <c r="O24" s="9" cm="1">
        <f t="array" ref="O24">TrajectoryDropInCM(H24,$A24,O$18)</f>
        <v>8.3400077345913282</v>
      </c>
      <c r="P24" s="33" cm="1">
        <f t="array" ref="P24">TrajectoryDropInCM(I24,$A24,P$18)</f>
        <v>13.34003165245951</v>
      </c>
      <c r="Q24" s="32" cm="1">
        <f t="array" ref="Q24">TrajectoryErrorCM($E$19,1,$A24)</f>
        <v>0.7512227411813851</v>
      </c>
    </row>
    <row r="25" spans="1:17" x14ac:dyDescent="0.25">
      <c r="A25" s="1">
        <v>75</v>
      </c>
      <c r="B25" s="1">
        <v>2951</v>
      </c>
      <c r="C25" s="6">
        <v>8.3000000000000004E-2</v>
      </c>
      <c r="D25" s="6">
        <v>0</v>
      </c>
      <c r="E25" s="6">
        <v>8.3000000000000004E-2</v>
      </c>
      <c r="F25" s="6">
        <v>0.125</v>
      </c>
      <c r="G25" s="6">
        <v>0.36499999999999999</v>
      </c>
      <c r="H25" s="6">
        <v>0.5</v>
      </c>
      <c r="I25" s="14">
        <v>0.75</v>
      </c>
      <c r="J25" s="9" cm="1">
        <f t="array" ref="J25">TrajectoryDropInCM(C25,$A25,J$18)</f>
        <v>3.1125001786834505</v>
      </c>
      <c r="K25" s="9" cm="1">
        <f t="array" ref="K25">TrajectoryDropInCM(D25,$A25,K$18)</f>
        <v>0</v>
      </c>
      <c r="L25" s="9" cm="1">
        <f t="array" ref="L25">TrajectoryDropInCM(E25,$A25,L$18)</f>
        <v>2.6456251097339711</v>
      </c>
      <c r="M25" s="9" cm="1">
        <f t="array" ref="M25">TrajectoryDropInCM(F25,$A25,M$18)</f>
        <v>3.9375003617578521</v>
      </c>
      <c r="N25" s="9" cm="1">
        <f t="array" ref="N25">TrajectoryDropInCM(G25,$A25,N$18)</f>
        <v>11.360633688869825</v>
      </c>
      <c r="O25" s="9" cm="1">
        <f t="array" ref="O25">TrajectoryDropInCM(H25,$A25,O$18)</f>
        <v>15.000020000031999</v>
      </c>
      <c r="P25" s="33" cm="1">
        <f t="array" ref="P25">TrajectoryDropInCM(I25,$A25,P$18)</f>
        <v>22.500067500243006</v>
      </c>
      <c r="Q25" s="32" cm="1">
        <f t="array" ref="Q25">TrajectoryErrorCM($E$19,1,$A25)</f>
        <v>1.1268341117720777</v>
      </c>
    </row>
    <row r="26" spans="1:17" x14ac:dyDescent="0.25">
      <c r="A26" s="1">
        <v>100</v>
      </c>
      <c r="B26" s="1">
        <v>2893.3</v>
      </c>
      <c r="C26" s="6">
        <v>0.125</v>
      </c>
      <c r="D26" s="7">
        <v>0</v>
      </c>
      <c r="E26" s="6">
        <v>6.25E-2</v>
      </c>
      <c r="F26" s="6">
        <v>0.125</v>
      </c>
      <c r="G26" s="6">
        <v>0.33300000000000002</v>
      </c>
      <c r="H26" s="6">
        <v>0.51</v>
      </c>
      <c r="I26" s="14">
        <v>0.75</v>
      </c>
      <c r="J26" s="9" cm="1">
        <f t="array" ref="J26">TrajectoryDropInCM(C26,$A26,J$18)</f>
        <v>6.2500008138022105</v>
      </c>
      <c r="K26" s="9" cm="1">
        <f t="array" ref="K26">TrajectoryDropInCM(D26,$A26,K$18)</f>
        <v>0</v>
      </c>
      <c r="L26" s="9" cm="1">
        <f t="array" ref="L26">TrajectoryDropInCM(E26,$A26,L$18)</f>
        <v>2.6562500624720276</v>
      </c>
      <c r="M26" s="9" cm="1">
        <f t="array" ref="M26">TrajectoryDropInCM(F26,$A26,M$18)</f>
        <v>5.2500004823438031</v>
      </c>
      <c r="N26" s="9" cm="1">
        <f t="array" ref="N26">TrajectoryDropInCM(G26,$A26,N$18)</f>
        <v>13.819508797435024</v>
      </c>
      <c r="O26" s="9" cm="1">
        <f t="array" ref="O26">TrajectoryDropInCM(H26,$A26,O$18)</f>
        <v>20.400028298927108</v>
      </c>
      <c r="P26" s="33" cm="1">
        <f t="array" ref="P26">TrajectoryDropInCM(I26,$A26,P$18)</f>
        <v>30.000090000324004</v>
      </c>
      <c r="Q26" s="32" cm="1">
        <f t="array" ref="Q26">TrajectoryErrorCM($E$19,1,$A26)</f>
        <v>1.5024454823627702</v>
      </c>
    </row>
    <row r="27" spans="1:17" x14ac:dyDescent="0.25">
      <c r="A27" s="1">
        <v>125</v>
      </c>
      <c r="B27" s="1">
        <v>2836.9</v>
      </c>
      <c r="C27" s="6">
        <v>0.125</v>
      </c>
      <c r="D27" s="6">
        <v>0</v>
      </c>
      <c r="E27" s="6">
        <v>0.05</v>
      </c>
      <c r="F27" s="6">
        <v>0.125</v>
      </c>
      <c r="G27" s="6">
        <v>0.26500000000000001</v>
      </c>
      <c r="H27" s="6">
        <v>0.5</v>
      </c>
      <c r="I27" s="14">
        <v>0.75</v>
      </c>
      <c r="J27" s="9" cm="1">
        <f t="array" ref="J27">TrajectoryDropInCM(C27,$A27,J$18)</f>
        <v>7.8125010172527629</v>
      </c>
      <c r="K27" s="9" cm="1">
        <f t="array" ref="K27">TrajectoryDropInCM(D27,$A27,K$18)</f>
        <v>0</v>
      </c>
      <c r="L27" s="9" cm="1">
        <f t="array" ref="L27">TrajectoryDropInCM(E27,$A27,L$18)</f>
        <v>2.6562500399820976</v>
      </c>
      <c r="M27" s="9" cm="1">
        <f t="array" ref="M27">TrajectoryDropInCM(F27,$A27,M$18)</f>
        <v>6.5625006029297532</v>
      </c>
      <c r="N27" s="9" cm="1">
        <f t="array" ref="N27">TrajectoryDropInCM(G27,$A27,N$18)</f>
        <v>13.746880542055628</v>
      </c>
      <c r="O27" s="9" cm="1">
        <f t="array" ref="O27">TrajectoryDropInCM(H27,$A27,O$18)</f>
        <v>25.000033333386661</v>
      </c>
      <c r="P27" s="33" cm="1">
        <f t="array" ref="P27">TrajectoryDropInCM(I27,$A27,P$18)</f>
        <v>37.500112500405002</v>
      </c>
      <c r="Q27" s="32" cm="1">
        <f t="array" ref="Q27">TrajectoryErrorCM($E$19,1,$A27)</f>
        <v>1.8780568529534629</v>
      </c>
    </row>
    <row r="28" spans="1:17" x14ac:dyDescent="0.25">
      <c r="A28" s="1">
        <v>150</v>
      </c>
      <c r="B28" s="1">
        <v>2773</v>
      </c>
      <c r="C28" s="6">
        <v>8.3000000000000004E-2</v>
      </c>
      <c r="D28" s="6">
        <v>-6.25E-2</v>
      </c>
      <c r="E28" s="7">
        <v>0</v>
      </c>
      <c r="F28" s="6">
        <v>0.12</v>
      </c>
      <c r="G28" s="6">
        <v>0.25</v>
      </c>
      <c r="H28" s="6">
        <v>0.5</v>
      </c>
      <c r="I28" s="14">
        <v>0.745</v>
      </c>
      <c r="J28" s="9" cm="1">
        <f t="array" ref="J28">TrajectoryDropInCM(C28,$A28,J$18)</f>
        <v>6.225000357366901</v>
      </c>
      <c r="K28" s="9" cm="1">
        <f t="array" ref="K28">TrajectoryDropInCM(D28,$A28,K$18)</f>
        <v>-3.9843750937080409</v>
      </c>
      <c r="L28" s="9" cm="1">
        <f t="array" ref="L28">TrajectoryDropInCM(E28,$A28,L$18)</f>
        <v>0</v>
      </c>
      <c r="M28" s="9" cm="1">
        <f t="array" ref="M28">TrajectoryDropInCM(F28,$A28,M$18)</f>
        <v>7.5600006401203874</v>
      </c>
      <c r="N28" s="9" cm="1">
        <f t="array" ref="N28">TrajectoryDropInCM(G28,$A28,N$18)</f>
        <v>15.562505583859826</v>
      </c>
      <c r="O28" s="9" cm="1">
        <f t="array" ref="O28">TrajectoryDropInCM(H28,$A28,O$18)</f>
        <v>30.000040000063997</v>
      </c>
      <c r="P28" s="33" cm="1">
        <f t="array" ref="P28">TrajectoryDropInCM(I28,$A28,P$18)</f>
        <v>44.700132318430015</v>
      </c>
      <c r="Q28" s="32" cm="1">
        <f t="array" ref="Q28">TrajectoryErrorCM($E$19,1,$A28)</f>
        <v>2.2536682235441554</v>
      </c>
    </row>
    <row r="29" spans="1:17" x14ac:dyDescent="0.25">
      <c r="A29" s="1">
        <v>200</v>
      </c>
      <c r="B29" s="1">
        <v>2658.8</v>
      </c>
      <c r="C29" s="6">
        <v>0</v>
      </c>
      <c r="D29" s="6">
        <v>-0.125</v>
      </c>
      <c r="E29" s="6">
        <v>-8.3299999999999999E-2</v>
      </c>
      <c r="F29" s="7">
        <v>0</v>
      </c>
      <c r="G29" s="6">
        <v>0.16700000000000001</v>
      </c>
      <c r="H29" s="6">
        <v>0.41699999999999998</v>
      </c>
      <c r="I29" s="14">
        <v>0.65</v>
      </c>
      <c r="J29" s="9" cm="1">
        <f t="array" ref="J29">TrajectoryDropInCM(C29,$A29,J$18)</f>
        <v>0</v>
      </c>
      <c r="K29" s="9" cm="1">
        <f t="array" ref="K29">TrajectoryDropInCM(D29,$A29,K$18)</f>
        <v>-10.625000999552523</v>
      </c>
      <c r="L29" s="9" cm="1">
        <f t="array" ref="L29">TrajectoryDropInCM(E29,$A29,L$18)</f>
        <v>-7.0805002958084371</v>
      </c>
      <c r="M29" s="9" cm="1">
        <f t="array" ref="M29">TrajectoryDropInCM(F29,$A29,M$18)</f>
        <v>0</v>
      </c>
      <c r="N29" s="9" cm="1">
        <f t="array" ref="N29">TrajectoryDropInCM(G29,$A29,N$18)</f>
        <v>13.861002219231091</v>
      </c>
      <c r="O29" s="9" cm="1">
        <f t="array" ref="O29">TrajectoryDropInCM(H29,$A29,O$18)</f>
        <v>33.360030938365313</v>
      </c>
      <c r="P29" s="33" cm="1">
        <f t="array" ref="P29">TrajectoryDropInCM(I29,$A29,P$18)</f>
        <v>52.000117173650175</v>
      </c>
      <c r="Q29" s="32" cm="1">
        <f t="array" ref="Q29">TrajectoryErrorCM($E$19,1,$A29)</f>
        <v>3.0048909647255404</v>
      </c>
    </row>
    <row r="30" spans="1:17" x14ac:dyDescent="0.25">
      <c r="A30" s="1">
        <v>250</v>
      </c>
      <c r="B30" s="1">
        <v>2550.9</v>
      </c>
      <c r="C30" s="6">
        <v>-8.3000000000000004E-2</v>
      </c>
      <c r="D30" s="6">
        <v>-0.1875</v>
      </c>
      <c r="E30" s="6">
        <v>-0.16700000000000001</v>
      </c>
      <c r="F30" s="6">
        <v>-0.1</v>
      </c>
      <c r="G30" s="6">
        <v>0.125</v>
      </c>
      <c r="H30" s="6">
        <v>0.33300000000000002</v>
      </c>
      <c r="I30" s="14">
        <v>0.55000000000000004</v>
      </c>
      <c r="J30" s="9" cm="1">
        <f t="array" ref="J30">TrajectoryDropInCM(C30,$A30,J$18)</f>
        <v>-10.375000595611501</v>
      </c>
      <c r="K30" s="9" cm="1">
        <f t="array" ref="K30">TrajectoryDropInCM(D30,$A30,K$18)</f>
        <v>-19.921879216862795</v>
      </c>
      <c r="L30" s="9" cm="1">
        <f t="array" ref="L30">TrajectoryDropInCM(E30,$A30,L$18)</f>
        <v>-17.74375297944275</v>
      </c>
      <c r="M30" s="9" cm="1">
        <f t="array" ref="M30">TrajectoryDropInCM(F30,$A30,M$18)</f>
        <v>-10.500000617400044</v>
      </c>
      <c r="N30" s="9" cm="1">
        <f t="array" ref="N30">TrajectoryDropInCM(G30,$A30,N$18)</f>
        <v>12.968751163303754</v>
      </c>
      <c r="O30" s="9" cm="1">
        <f t="array" ref="O30">TrajectoryDropInCM(H30,$A30,O$18)</f>
        <v>33.300019693900381</v>
      </c>
      <c r="P30" s="33" cm="1">
        <f t="array" ref="P30">TrajectoryDropInCM(I30,$A30,P$18)</f>
        <v>55.000088733505123</v>
      </c>
      <c r="Q30" s="32" cm="1">
        <f t="array" ref="Q30">TrajectoryErrorCM($E$19,1,$A30)</f>
        <v>3.7561137059069258</v>
      </c>
    </row>
    <row r="31" spans="1:17" x14ac:dyDescent="0.25">
      <c r="A31" s="1">
        <v>300</v>
      </c>
      <c r="B31" s="1">
        <v>2448.5</v>
      </c>
      <c r="C31" s="6">
        <v>-0.16700000000000001</v>
      </c>
      <c r="D31" s="6">
        <v>-0.26500000000000001</v>
      </c>
      <c r="E31" s="6">
        <v>-0.25</v>
      </c>
      <c r="F31" s="6">
        <v>-0.16700000000000001</v>
      </c>
      <c r="G31" s="7">
        <v>0</v>
      </c>
      <c r="H31" s="17">
        <v>0.25</v>
      </c>
      <c r="I31" s="18">
        <v>0.45</v>
      </c>
      <c r="J31" s="9" cm="1">
        <f t="array" ref="J31">TrajectoryDropInCM(C31,$A31,J$18)</f>
        <v>-25.050005821830375</v>
      </c>
      <c r="K31" s="9" cm="1">
        <f t="array" ref="K31">TrajectoryDropInCM(D31,$A31,K$18)</f>
        <v>-33.787514285802189</v>
      </c>
      <c r="L31" s="9" cm="1">
        <f t="array" ref="L31">TrajectoryDropInCM(E31,$A31,L$18)</f>
        <v>-31.875011994634324</v>
      </c>
      <c r="M31" s="9" cm="1">
        <f t="array" ref="M31">TrajectoryDropInCM(F31,$A31,M$18)</f>
        <v>-21.042003450621866</v>
      </c>
      <c r="N31" s="9" cm="1">
        <f t="array" ref="N31">TrajectoryDropInCM(G31,$A31,N$18)</f>
        <v>0</v>
      </c>
      <c r="O31" s="9" cm="1">
        <f t="array" ref="O31">TrajectoryDropInCM(H31,$A31,O$18)</f>
        <v>30.000010000004</v>
      </c>
      <c r="P31" s="33" cm="1">
        <f t="array" ref="P31">TrajectoryDropInCM(I31,$A31,P$18)</f>
        <v>54.000058320075574</v>
      </c>
      <c r="Q31" s="32" cm="1">
        <f t="array" ref="Q31">TrajectoryErrorCM($E$19,1,$A31)</f>
        <v>4.5073364470883108</v>
      </c>
    </row>
    <row r="32" spans="1:17" x14ac:dyDescent="0.25">
      <c r="A32" s="1">
        <v>350</v>
      </c>
      <c r="B32" s="1">
        <v>2344.8000000000002</v>
      </c>
      <c r="C32" s="6">
        <v>-0.3</v>
      </c>
      <c r="D32" s="6">
        <v>-0.41699999999999998</v>
      </c>
      <c r="E32" s="6">
        <v>-0.36699999999999999</v>
      </c>
      <c r="F32" s="6">
        <v>-0.25</v>
      </c>
      <c r="G32" s="6">
        <v>-8.3000000000000004E-2</v>
      </c>
      <c r="H32" s="6">
        <v>0.125</v>
      </c>
      <c r="I32" s="14">
        <v>0.33300000000000002</v>
      </c>
      <c r="J32" s="9" cm="1">
        <f t="array" ref="J32">TrajectoryDropInCM(C32,$A32,J$18)</f>
        <v>-52.500039375035435</v>
      </c>
      <c r="K32" s="9" cm="1">
        <f t="array" ref="K32">TrajectoryDropInCM(D32,$A32,K$18)</f>
        <v>-62.028814941496222</v>
      </c>
      <c r="L32" s="9" cm="1">
        <f t="array" ref="L32">TrajectoryDropInCM(E32,$A32,L$18)</f>
        <v>-54.591294270272485</v>
      </c>
      <c r="M32" s="9" cm="1">
        <f t="array" ref="M32">TrajectoryDropInCM(F32,$A32,M$18)</f>
        <v>-36.75001350563096</v>
      </c>
      <c r="N32" s="9" cm="1">
        <f t="array" ref="N32">TrajectoryDropInCM(G32,$A32,N$18)</f>
        <v>-12.055750476788072</v>
      </c>
      <c r="O32" s="9" cm="1">
        <f t="array" ref="O32">TrajectoryDropInCM(H32,$A32,O$18)</f>
        <v>17.500001458333479</v>
      </c>
      <c r="P32" s="33" cm="1">
        <f t="array" ref="P32">TrajectoryDropInCM(I32,$A32,P$18)</f>
        <v>46.620027571460533</v>
      </c>
      <c r="Q32" s="32" cm="1">
        <f t="array" ref="Q32">TrajectoryErrorCM($E$19,1,$A32)</f>
        <v>5.2585591882696958</v>
      </c>
    </row>
    <row r="33" spans="1:17" x14ac:dyDescent="0.25">
      <c r="A33" s="1">
        <v>400</v>
      </c>
      <c r="B33" s="1">
        <v>2246.1999999999998</v>
      </c>
      <c r="C33" s="6">
        <v>-0.41699999999999998</v>
      </c>
      <c r="D33" s="6">
        <v>-0.5</v>
      </c>
      <c r="E33" s="6">
        <v>-0.47499999999999998</v>
      </c>
      <c r="F33" s="6">
        <v>-0.41699999999999998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-83.400120853065161</v>
      </c>
      <c r="K33" s="9" cm="1">
        <f t="array" ref="K33">TrajectoryDropInCM(D33,$A33,K$18)</f>
        <v>-85.000127942939443</v>
      </c>
      <c r="L33" s="9" cm="1">
        <f t="array" ref="L33">TrajectoryDropInCM(E33,$A33,L$18)</f>
        <v>-80.75010969505837</v>
      </c>
      <c r="M33" s="9" cm="1">
        <f t="array" ref="M33">TrajectoryDropInCM(F33,$A33,M$18)</f>
        <v>-70.056071630058455</v>
      </c>
      <c r="N33" s="9" cm="1">
        <f t="array" ref="N33">TrajectoryDropInCM(G33,$A33,N$18)</f>
        <v>-31.125006281841127</v>
      </c>
      <c r="O33" s="9" cm="1">
        <f t="array" ref="O33">TrajectoryDropInCM(H33,$A33,O$18)</f>
        <v>0</v>
      </c>
      <c r="P33" s="33" cm="1">
        <f t="array" ref="P33">TrajectoryDropInCM(I33,$A33,P$18)</f>
        <v>40.000013333338671</v>
      </c>
      <c r="Q33" s="32" cm="1">
        <f t="array" ref="Q33">TrajectoryErrorCM($E$19,1,$A33)</f>
        <v>6.0097819294510808</v>
      </c>
    </row>
    <row r="34" spans="1:17" x14ac:dyDescent="0.25">
      <c r="A34" s="1">
        <v>450</v>
      </c>
      <c r="B34" s="1">
        <v>2146</v>
      </c>
      <c r="C34" s="6">
        <v>-0.5</v>
      </c>
      <c r="D34" s="6">
        <v>-0.625</v>
      </c>
      <c r="E34" s="6">
        <v>-0.58299999999999996</v>
      </c>
      <c r="F34" s="6">
        <v>-0.5</v>
      </c>
      <c r="G34" s="6">
        <v>-0.33300000000000002</v>
      </c>
      <c r="H34" s="6">
        <v>-0.125</v>
      </c>
      <c r="I34" s="14">
        <v>0.125</v>
      </c>
      <c r="J34" s="9" cm="1">
        <f t="array" ref="J34">TrajectoryDropInCM(C34,$A34,J$18)</f>
        <v>-112.50023437558593</v>
      </c>
      <c r="K34" s="9" cm="1">
        <f t="array" ref="K34">TrajectoryDropInCM(D34,$A34,K$18)</f>
        <v>-119.5315311249084</v>
      </c>
      <c r="L34" s="9" cm="1">
        <f t="array" ref="L34">TrajectoryDropInCM(E34,$A34,L$18)</f>
        <v>-111.49897817327714</v>
      </c>
      <c r="M34" s="9" cm="1">
        <f t="array" ref="M34">TrajectoryDropInCM(F34,$A34,M$18)</f>
        <v>-94.50013891524506</v>
      </c>
      <c r="N34" s="9" cm="1">
        <f t="array" ref="N34">TrajectoryDropInCM(G34,$A34,N$18)</f>
        <v>-62.187789588457598</v>
      </c>
      <c r="O34" s="9" cm="1">
        <f t="array" ref="O34">TrajectoryDropInCM(H34,$A34,O$18)</f>
        <v>-22.500001875000187</v>
      </c>
      <c r="P34" s="33" cm="1">
        <f t="array" ref="P34">TrajectoryDropInCM(I34,$A34,P$18)</f>
        <v>22.500001875000187</v>
      </c>
      <c r="Q34" s="32" cm="1">
        <f t="array" ref="Q34">TrajectoryErrorCM($E$19,1,$A34)</f>
        <v>6.7610046706324667</v>
      </c>
    </row>
    <row r="35" spans="1:17" x14ac:dyDescent="0.25">
      <c r="A35" s="1">
        <v>500</v>
      </c>
      <c r="B35" s="1">
        <v>2059.1999999999998</v>
      </c>
      <c r="C35" s="6">
        <v>-0.66700000000000004</v>
      </c>
      <c r="D35" s="6">
        <v>-0.75</v>
      </c>
      <c r="E35" s="6">
        <v>-0.66700000000000004</v>
      </c>
      <c r="F35" s="6">
        <v>-0.625</v>
      </c>
      <c r="G35" s="6">
        <v>-0.45</v>
      </c>
      <c r="H35" s="6">
        <v>-0.25</v>
      </c>
      <c r="I35" s="15">
        <v>0</v>
      </c>
      <c r="J35" s="9" cm="1">
        <f t="array" ref="J35">TrajectoryDropInCM(C35,$A35,J$18)</f>
        <v>-166.75061821308995</v>
      </c>
      <c r="K35" s="9" cm="1">
        <f t="array" ref="K35">TrajectoryDropInCM(D35,$A35,K$18)</f>
        <v>-159.37553976049438</v>
      </c>
      <c r="L35" s="9" cm="1">
        <f t="array" ref="L35">TrajectoryDropInCM(E35,$A35,L$18)</f>
        <v>-141.73787965964513</v>
      </c>
      <c r="M35" s="9" cm="1">
        <f t="array" ref="M35">TrajectoryDropInCM(F35,$A35,M$18)</f>
        <v>-131.25030146567468</v>
      </c>
      <c r="N35" s="9" cm="1">
        <f t="array" ref="N35">TrajectoryDropInCM(G35,$A35,N$18)</f>
        <v>-93.375108550339718</v>
      </c>
      <c r="O35" s="9" cm="1">
        <f t="array" ref="O35">TrajectoryDropInCM(H35,$A35,O$18)</f>
        <v>-50.000016666673339</v>
      </c>
      <c r="P35" s="33" cm="1">
        <f t="array" ref="P35">TrajectoryDropInCM(I35,$A35,P$18)</f>
        <v>0</v>
      </c>
      <c r="Q35" s="32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68</v>
      </c>
      <c r="K78" t="s">
        <v>90</v>
      </c>
      <c r="L78" s="2">
        <f>$B$4</f>
        <v>0.439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34</v>
      </c>
      <c r="H79" t="s">
        <v>35</v>
      </c>
      <c r="I79" t="s">
        <v>36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34</v>
      </c>
      <c r="R79" t="s">
        <v>35</v>
      </c>
      <c r="S79" t="s">
        <v>36</v>
      </c>
    </row>
    <row r="80" spans="1:19" x14ac:dyDescent="0.25">
      <c r="A80" s="1">
        <v>0</v>
      </c>
      <c r="B80" s="1">
        <v>831</v>
      </c>
      <c r="C80" s="1">
        <v>3129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831</v>
      </c>
      <c r="M80" s="1">
        <v>3130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813</v>
      </c>
      <c r="C81" s="1">
        <v>3002</v>
      </c>
      <c r="D81" s="1">
        <v>-1.5</v>
      </c>
      <c r="E81" s="1">
        <v>2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822</v>
      </c>
      <c r="M81" s="1">
        <v>3065</v>
      </c>
      <c r="N81" s="1">
        <v>-1.5</v>
      </c>
      <c r="O81" s="1">
        <v>2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797</v>
      </c>
      <c r="C82" s="10">
        <v>2880</v>
      </c>
      <c r="D82" s="10">
        <v>0</v>
      </c>
      <c r="E82" s="10">
        <v>0</v>
      </c>
      <c r="F82" s="10">
        <v>0</v>
      </c>
      <c r="G82" s="1">
        <v>-1</v>
      </c>
      <c r="H82" s="10">
        <v>-1</v>
      </c>
      <c r="I82" s="10">
        <v>0</v>
      </c>
      <c r="J82" s="10"/>
      <c r="K82" s="10">
        <v>50</v>
      </c>
      <c r="L82" s="10">
        <v>813</v>
      </c>
      <c r="M82" s="10">
        <v>3001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780</v>
      </c>
      <c r="C83" s="1">
        <v>2761</v>
      </c>
      <c r="D83" s="1">
        <v>0.5</v>
      </c>
      <c r="E83" s="1">
        <v>-0.2</v>
      </c>
      <c r="F83" s="1">
        <v>-0.1</v>
      </c>
      <c r="G83" s="1">
        <v>-2</v>
      </c>
      <c r="H83" s="1">
        <v>-1</v>
      </c>
      <c r="I83" s="1">
        <v>0</v>
      </c>
      <c r="J83" s="1"/>
      <c r="K83" s="1">
        <v>75</v>
      </c>
      <c r="L83" s="1">
        <v>805</v>
      </c>
      <c r="M83" s="1">
        <v>2939</v>
      </c>
      <c r="N83" s="1">
        <v>0.5</v>
      </c>
      <c r="O83" s="1">
        <v>-0.2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764</v>
      </c>
      <c r="C84" s="1">
        <v>2647</v>
      </c>
      <c r="D84" s="1">
        <v>-0.1</v>
      </c>
      <c r="E84" s="1">
        <v>0</v>
      </c>
      <c r="F84" s="1">
        <v>0</v>
      </c>
      <c r="G84" s="1">
        <v>-4</v>
      </c>
      <c r="H84" s="1">
        <v>-1</v>
      </c>
      <c r="I84" s="1">
        <v>0</v>
      </c>
      <c r="J84" s="1"/>
      <c r="K84" s="1">
        <v>100</v>
      </c>
      <c r="L84" s="1">
        <v>796</v>
      </c>
      <c r="M84" s="1">
        <v>2877</v>
      </c>
      <c r="N84" s="1">
        <v>0.1</v>
      </c>
      <c r="O84" s="1">
        <v>0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748</v>
      </c>
      <c r="C85" s="1">
        <v>2536</v>
      </c>
      <c r="D85" s="1">
        <v>-1.8</v>
      </c>
      <c r="E85" s="1">
        <v>0.5</v>
      </c>
      <c r="F85" s="1">
        <v>0.1</v>
      </c>
      <c r="G85" s="1">
        <v>-6</v>
      </c>
      <c r="H85" s="1">
        <v>-2</v>
      </c>
      <c r="I85" s="1">
        <v>0</v>
      </c>
      <c r="J85" s="1"/>
      <c r="K85" s="1">
        <v>125</v>
      </c>
      <c r="L85" s="1">
        <v>788</v>
      </c>
      <c r="M85" s="1">
        <v>2817</v>
      </c>
      <c r="N85" s="1">
        <v>-1.4</v>
      </c>
      <c r="O85" s="1">
        <v>0.4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732</v>
      </c>
      <c r="C86" s="1">
        <v>2429</v>
      </c>
      <c r="D86" s="1">
        <v>-4.5</v>
      </c>
      <c r="E86" s="1">
        <v>1</v>
      </c>
      <c r="F86" s="1">
        <v>0.3</v>
      </c>
      <c r="G86" s="1">
        <v>-8</v>
      </c>
      <c r="H86" s="1">
        <v>-2</v>
      </c>
      <c r="I86" s="1">
        <v>-1</v>
      </c>
      <c r="J86" s="1"/>
      <c r="K86" s="1">
        <v>150</v>
      </c>
      <c r="L86" s="1">
        <v>780</v>
      </c>
      <c r="M86" s="1">
        <v>2758</v>
      </c>
      <c r="N86" s="1">
        <v>-3.8</v>
      </c>
      <c r="O86" s="1">
        <v>0.9</v>
      </c>
      <c r="P86" s="1">
        <v>0.3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716</v>
      </c>
      <c r="C87" s="1">
        <v>2326</v>
      </c>
      <c r="D87" s="1">
        <v>-8.3000000000000007</v>
      </c>
      <c r="E87" s="1">
        <v>1.6</v>
      </c>
      <c r="F87" s="1">
        <v>0.5</v>
      </c>
      <c r="G87" s="1">
        <v>-11</v>
      </c>
      <c r="H87" s="1">
        <v>-2</v>
      </c>
      <c r="I87" s="1">
        <v>-1</v>
      </c>
      <c r="J87" s="1"/>
      <c r="K87" s="1">
        <v>175</v>
      </c>
      <c r="L87" s="1">
        <v>771</v>
      </c>
      <c r="M87" s="1">
        <v>2699</v>
      </c>
      <c r="N87" s="1">
        <v>-7.2</v>
      </c>
      <c r="O87" s="1">
        <v>1.4</v>
      </c>
      <c r="P87" s="1">
        <v>0.4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700</v>
      </c>
      <c r="C88" s="1">
        <v>2226</v>
      </c>
      <c r="D88" s="1">
        <v>-13.6</v>
      </c>
      <c r="E88" s="1">
        <v>2.2999999999999998</v>
      </c>
      <c r="F88" s="1">
        <v>0.7</v>
      </c>
      <c r="G88" s="1">
        <v>-14</v>
      </c>
      <c r="H88" s="1">
        <v>-3</v>
      </c>
      <c r="I88" s="1">
        <v>-1</v>
      </c>
      <c r="J88" s="1"/>
      <c r="K88" s="1">
        <v>200</v>
      </c>
      <c r="L88" s="1">
        <v>763</v>
      </c>
      <c r="M88" s="1">
        <v>2642</v>
      </c>
      <c r="N88" s="1">
        <v>-11.8</v>
      </c>
      <c r="O88" s="1">
        <v>2</v>
      </c>
      <c r="P88" s="1">
        <v>0.6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685</v>
      </c>
      <c r="C89" s="1">
        <v>2129</v>
      </c>
      <c r="D89" s="1">
        <v>-20</v>
      </c>
      <c r="E89" s="1">
        <v>3.1</v>
      </c>
      <c r="F89" s="1">
        <v>0.9</v>
      </c>
      <c r="G89" s="1">
        <v>-18</v>
      </c>
      <c r="H89" s="1">
        <v>-3</v>
      </c>
      <c r="I89" s="1">
        <v>-1</v>
      </c>
      <c r="J89" s="1"/>
      <c r="K89" s="1">
        <v>225</v>
      </c>
      <c r="L89" s="1">
        <v>755</v>
      </c>
      <c r="M89" s="1">
        <v>2585</v>
      </c>
      <c r="N89" s="1">
        <v>-17.2</v>
      </c>
      <c r="O89" s="1">
        <v>2.6</v>
      </c>
      <c r="P89" s="1">
        <v>0.8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670</v>
      </c>
      <c r="C90" s="1">
        <v>2036</v>
      </c>
      <c r="D90" s="1">
        <v>-27.7</v>
      </c>
      <c r="E90" s="1">
        <v>3.8</v>
      </c>
      <c r="F90" s="1">
        <v>1.1000000000000001</v>
      </c>
      <c r="G90" s="1">
        <v>-23</v>
      </c>
      <c r="H90" s="1">
        <v>-3</v>
      </c>
      <c r="I90" s="1">
        <v>-1</v>
      </c>
      <c r="J90" s="1"/>
      <c r="K90" s="1">
        <v>250</v>
      </c>
      <c r="L90" s="1">
        <v>747</v>
      </c>
      <c r="M90" s="1">
        <v>2529</v>
      </c>
      <c r="N90" s="1">
        <v>-23.8</v>
      </c>
      <c r="O90" s="1">
        <v>3.3</v>
      </c>
      <c r="P90" s="1">
        <v>1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655</v>
      </c>
      <c r="C91" s="1">
        <v>1946</v>
      </c>
      <c r="D91" s="1">
        <v>-37.1</v>
      </c>
      <c r="E91" s="1">
        <v>4.5999999999999996</v>
      </c>
      <c r="F91" s="1">
        <v>1.3</v>
      </c>
      <c r="G91" s="1">
        <v>-28</v>
      </c>
      <c r="H91" s="1">
        <v>-4</v>
      </c>
      <c r="I91" s="1">
        <v>-1</v>
      </c>
      <c r="J91" s="1"/>
      <c r="K91" s="1">
        <v>275</v>
      </c>
      <c r="L91" s="1">
        <v>739</v>
      </c>
      <c r="M91" s="1">
        <v>2475</v>
      </c>
      <c r="N91" s="1">
        <v>-31.8</v>
      </c>
      <c r="O91" s="1">
        <v>4</v>
      </c>
      <c r="P91" s="1">
        <v>1.2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640</v>
      </c>
      <c r="C92" s="1">
        <v>1859</v>
      </c>
      <c r="D92" s="1">
        <v>-47.7</v>
      </c>
      <c r="E92" s="1">
        <v>5.5</v>
      </c>
      <c r="F92" s="1">
        <v>1.6</v>
      </c>
      <c r="G92" s="1">
        <v>-34</v>
      </c>
      <c r="H92" s="1">
        <v>-4</v>
      </c>
      <c r="I92" s="1">
        <v>-1</v>
      </c>
      <c r="J92" s="1"/>
      <c r="K92" s="1">
        <v>300</v>
      </c>
      <c r="L92" s="1">
        <v>730</v>
      </c>
      <c r="M92" s="1">
        <v>2421</v>
      </c>
      <c r="N92" s="1">
        <v>-40.6</v>
      </c>
      <c r="O92" s="1">
        <v>4.5999999999999996</v>
      </c>
      <c r="P92" s="1">
        <v>1.4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626</v>
      </c>
      <c r="C93" s="1">
        <v>1775</v>
      </c>
      <c r="D93" s="1">
        <v>-59.9</v>
      </c>
      <c r="E93" s="1">
        <v>6.3</v>
      </c>
      <c r="F93" s="1">
        <v>1.8</v>
      </c>
      <c r="G93" s="1">
        <v>-40</v>
      </c>
      <c r="H93" s="1">
        <v>-5</v>
      </c>
      <c r="I93" s="1">
        <v>-1</v>
      </c>
      <c r="J93" s="1"/>
      <c r="K93" s="1">
        <v>325</v>
      </c>
      <c r="L93" s="1">
        <v>722</v>
      </c>
      <c r="M93" s="1">
        <v>2368</v>
      </c>
      <c r="N93" s="1">
        <v>-50.5</v>
      </c>
      <c r="O93" s="1">
        <v>5.4</v>
      </c>
      <c r="P93" s="1">
        <v>1.6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611</v>
      </c>
      <c r="C94" s="1">
        <v>1695</v>
      </c>
      <c r="D94" s="1">
        <v>-74.2</v>
      </c>
      <c r="E94" s="1">
        <v>7.3</v>
      </c>
      <c r="F94" s="1">
        <v>2.1</v>
      </c>
      <c r="G94" s="1">
        <v>-47</v>
      </c>
      <c r="H94" s="1">
        <v>-5</v>
      </c>
      <c r="I94" s="1">
        <v>-2</v>
      </c>
      <c r="J94" s="1"/>
      <c r="K94" s="1">
        <v>350</v>
      </c>
      <c r="L94" s="1">
        <v>714</v>
      </c>
      <c r="M94" s="1">
        <v>2316</v>
      </c>
      <c r="N94" s="1">
        <v>-62.1</v>
      </c>
      <c r="O94" s="1">
        <v>6.1</v>
      </c>
      <c r="P94" s="1">
        <v>1.8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597</v>
      </c>
      <c r="C95" s="1">
        <v>1617</v>
      </c>
      <c r="D95" s="1">
        <v>-89.7</v>
      </c>
      <c r="E95" s="1">
        <v>8.1999999999999993</v>
      </c>
      <c r="F95" s="1">
        <v>2.4</v>
      </c>
      <c r="G95" s="1">
        <v>-54</v>
      </c>
      <c r="H95" s="1">
        <v>-5</v>
      </c>
      <c r="I95" s="1">
        <v>-2</v>
      </c>
      <c r="J95" s="1"/>
      <c r="K95" s="1">
        <v>375</v>
      </c>
      <c r="L95" s="1">
        <v>707</v>
      </c>
      <c r="M95" s="1">
        <v>2265</v>
      </c>
      <c r="N95" s="1">
        <v>-74.5</v>
      </c>
      <c r="O95" s="1">
        <v>6.8</v>
      </c>
      <c r="P95" s="1">
        <v>2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583</v>
      </c>
      <c r="C96" s="1">
        <v>1543</v>
      </c>
      <c r="D96" s="1">
        <v>-107</v>
      </c>
      <c r="E96" s="1">
        <v>9.1999999999999993</v>
      </c>
      <c r="F96" s="1">
        <v>2.7</v>
      </c>
      <c r="G96" s="1">
        <v>-62</v>
      </c>
      <c r="H96" s="1">
        <v>-6</v>
      </c>
      <c r="I96" s="1">
        <v>-2</v>
      </c>
      <c r="J96" s="1"/>
      <c r="K96" s="1">
        <v>400</v>
      </c>
      <c r="L96" s="1">
        <v>699</v>
      </c>
      <c r="M96" s="1">
        <v>2214</v>
      </c>
      <c r="N96" s="1">
        <v>-88.1</v>
      </c>
      <c r="O96" s="1">
        <v>7.6</v>
      </c>
      <c r="P96" s="1">
        <v>2.2000000000000002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569</v>
      </c>
      <c r="C97" s="1">
        <v>1471</v>
      </c>
      <c r="D97" s="1">
        <v>-126.9</v>
      </c>
      <c r="E97" s="1">
        <v>10.3</v>
      </c>
      <c r="F97" s="1">
        <v>3</v>
      </c>
      <c r="G97" s="1">
        <v>-71</v>
      </c>
      <c r="H97" s="1">
        <v>-6</v>
      </c>
      <c r="I97" s="1">
        <v>-2</v>
      </c>
      <c r="J97" s="1"/>
      <c r="K97" s="1">
        <v>425</v>
      </c>
      <c r="L97" s="1">
        <v>691</v>
      </c>
      <c r="M97" s="1">
        <v>2165</v>
      </c>
      <c r="N97" s="1">
        <v>-103.6</v>
      </c>
      <c r="O97" s="1">
        <v>8.4</v>
      </c>
      <c r="P97" s="1">
        <v>2.4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556</v>
      </c>
      <c r="C98" s="1">
        <v>1402</v>
      </c>
      <c r="D98" s="1">
        <v>-148.19999999999999</v>
      </c>
      <c r="E98" s="1">
        <v>11.3</v>
      </c>
      <c r="F98" s="1">
        <v>3.3</v>
      </c>
      <c r="G98" s="1">
        <v>-81</v>
      </c>
      <c r="H98" s="1">
        <v>-7</v>
      </c>
      <c r="I98" s="1">
        <v>-2</v>
      </c>
      <c r="J98" s="1"/>
      <c r="K98" s="1">
        <v>450</v>
      </c>
      <c r="L98" s="1">
        <v>683</v>
      </c>
      <c r="M98" s="1">
        <v>2116</v>
      </c>
      <c r="N98" s="1">
        <v>-119.9</v>
      </c>
      <c r="O98" s="1">
        <v>9.1999999999999993</v>
      </c>
      <c r="P98" s="1">
        <v>2.7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543</v>
      </c>
      <c r="C99" s="1">
        <v>1336</v>
      </c>
      <c r="D99" s="1">
        <v>-171.6</v>
      </c>
      <c r="E99" s="1">
        <v>12.4</v>
      </c>
      <c r="F99" s="1">
        <v>3.6</v>
      </c>
      <c r="G99" s="1">
        <v>-91</v>
      </c>
      <c r="H99" s="1">
        <v>-7</v>
      </c>
      <c r="I99" s="1">
        <v>-2</v>
      </c>
      <c r="J99" s="1"/>
      <c r="K99" s="1">
        <v>475</v>
      </c>
      <c r="L99" s="1">
        <v>675</v>
      </c>
      <c r="M99" s="1">
        <v>2068</v>
      </c>
      <c r="N99" s="1">
        <v>-137.4</v>
      </c>
      <c r="O99" s="1">
        <v>10</v>
      </c>
      <c r="P99" s="1">
        <v>2.9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530</v>
      </c>
      <c r="C100" s="1">
        <v>1275</v>
      </c>
      <c r="D100" s="1">
        <v>-197.1</v>
      </c>
      <c r="E100" s="1">
        <v>13.6</v>
      </c>
      <c r="F100" s="1">
        <v>3.9</v>
      </c>
      <c r="G100" s="1">
        <v>-101</v>
      </c>
      <c r="H100" s="1">
        <v>-8</v>
      </c>
      <c r="I100" s="1">
        <v>-2</v>
      </c>
      <c r="J100" s="1"/>
      <c r="K100" s="1">
        <v>500</v>
      </c>
      <c r="L100" s="1">
        <v>668</v>
      </c>
      <c r="M100" s="1">
        <v>2023</v>
      </c>
      <c r="N100" s="1">
        <v>-156.4</v>
      </c>
      <c r="O100" s="1">
        <v>10.8</v>
      </c>
      <c r="P100" s="1">
        <v>3.1</v>
      </c>
      <c r="Q100" s="1">
        <v>0</v>
      </c>
      <c r="R100" s="1">
        <v>0</v>
      </c>
      <c r="S100" s="1">
        <v>0</v>
      </c>
    </row>
    <row r="102" spans="1:19" x14ac:dyDescent="0.25">
      <c r="A102" t="s">
        <v>74</v>
      </c>
      <c r="K102" t="s">
        <v>91</v>
      </c>
      <c r="L102">
        <f>$B$4</f>
        <v>0.439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34</v>
      </c>
      <c r="H103" t="s">
        <v>35</v>
      </c>
      <c r="I103" t="s">
        <v>36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34</v>
      </c>
      <c r="R103" t="s">
        <v>35</v>
      </c>
      <c r="S103" t="s">
        <v>36</v>
      </c>
    </row>
    <row r="104" spans="1:19" x14ac:dyDescent="0.25">
      <c r="A104" s="1">
        <v>0</v>
      </c>
      <c r="B104" s="1">
        <v>831</v>
      </c>
      <c r="C104" s="1">
        <v>3129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831</v>
      </c>
      <c r="M104" s="1">
        <v>3130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813</v>
      </c>
      <c r="C105" s="1">
        <v>3002</v>
      </c>
      <c r="D105" s="1">
        <v>-1.4</v>
      </c>
      <c r="E105" s="1">
        <v>2</v>
      </c>
      <c r="F105" s="1">
        <v>0.6</v>
      </c>
      <c r="G105">
        <v>0</v>
      </c>
      <c r="H105">
        <v>0</v>
      </c>
      <c r="I105">
        <v>0</v>
      </c>
      <c r="K105" s="1">
        <v>25</v>
      </c>
      <c r="L105" s="1">
        <v>822</v>
      </c>
      <c r="M105" s="1">
        <v>3065</v>
      </c>
      <c r="N105" s="1">
        <v>-1.5</v>
      </c>
      <c r="O105" s="1">
        <v>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797</v>
      </c>
      <c r="C106" s="1">
        <v>2880</v>
      </c>
      <c r="D106" s="1">
        <v>0.1</v>
      </c>
      <c r="E106" s="1">
        <v>0</v>
      </c>
      <c r="F106" s="1">
        <v>0</v>
      </c>
      <c r="G106">
        <v>-1</v>
      </c>
      <c r="H106">
        <v>-1</v>
      </c>
      <c r="I106">
        <v>0</v>
      </c>
      <c r="K106" s="1">
        <v>50</v>
      </c>
      <c r="L106" s="1">
        <v>813</v>
      </c>
      <c r="M106" s="1">
        <v>3001</v>
      </c>
      <c r="N106" s="1">
        <v>0</v>
      </c>
      <c r="O106" s="1">
        <v>0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780</v>
      </c>
      <c r="C107" s="1">
        <v>2761</v>
      </c>
      <c r="D107" s="1">
        <v>0.5</v>
      </c>
      <c r="E107" s="1">
        <v>-0.2</v>
      </c>
      <c r="F107" s="1">
        <v>-0.1</v>
      </c>
      <c r="G107">
        <v>-2</v>
      </c>
      <c r="H107">
        <v>-1</v>
      </c>
      <c r="I107">
        <v>0</v>
      </c>
      <c r="K107" s="1">
        <v>75</v>
      </c>
      <c r="L107" s="1">
        <v>805</v>
      </c>
      <c r="M107" s="1">
        <v>2939</v>
      </c>
      <c r="N107" s="1">
        <v>0.5</v>
      </c>
      <c r="O107" s="1">
        <v>-0.2</v>
      </c>
      <c r="P107" s="1">
        <v>-0.1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764</v>
      </c>
      <c r="C108" s="10">
        <v>2647</v>
      </c>
      <c r="D108" s="10">
        <v>0</v>
      </c>
      <c r="E108" s="10">
        <v>0</v>
      </c>
      <c r="F108" s="10">
        <v>0</v>
      </c>
      <c r="G108">
        <v>-4</v>
      </c>
      <c r="H108">
        <v>-1</v>
      </c>
      <c r="I108">
        <v>0</v>
      </c>
      <c r="K108" s="1">
        <v>100</v>
      </c>
      <c r="L108" s="1">
        <v>796</v>
      </c>
      <c r="M108" s="1">
        <v>2877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748</v>
      </c>
      <c r="C109" s="1">
        <v>2536</v>
      </c>
      <c r="D109" s="1">
        <v>-1.6</v>
      </c>
      <c r="E109" s="1">
        <v>0.4</v>
      </c>
      <c r="F109" s="1">
        <v>0.1</v>
      </c>
      <c r="G109">
        <v>-6</v>
      </c>
      <c r="H109">
        <v>-2</v>
      </c>
      <c r="I109">
        <v>0</v>
      </c>
      <c r="K109" s="1">
        <v>125</v>
      </c>
      <c r="L109" s="1">
        <v>788</v>
      </c>
      <c r="M109" s="1">
        <v>2817</v>
      </c>
      <c r="N109" s="1">
        <v>-1.4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732</v>
      </c>
      <c r="C110" s="1">
        <v>2429</v>
      </c>
      <c r="D110" s="1">
        <v>-4.3</v>
      </c>
      <c r="E110" s="1">
        <v>1</v>
      </c>
      <c r="F110" s="1">
        <v>0.3</v>
      </c>
      <c r="G110">
        <v>-8</v>
      </c>
      <c r="H110">
        <v>-2</v>
      </c>
      <c r="I110">
        <v>-1</v>
      </c>
      <c r="K110" s="1">
        <v>150</v>
      </c>
      <c r="L110" s="1">
        <v>780</v>
      </c>
      <c r="M110" s="1">
        <v>2758</v>
      </c>
      <c r="N110" s="1">
        <v>-3.8</v>
      </c>
      <c r="O110" s="1">
        <v>0.9</v>
      </c>
      <c r="P110" s="1">
        <v>0.3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716</v>
      </c>
      <c r="C111" s="1">
        <v>2326</v>
      </c>
      <c r="D111" s="1">
        <v>-8.1</v>
      </c>
      <c r="E111" s="1">
        <v>1.6</v>
      </c>
      <c r="F111" s="1">
        <v>0.5</v>
      </c>
      <c r="G111">
        <v>-11</v>
      </c>
      <c r="H111">
        <v>-2</v>
      </c>
      <c r="I111">
        <v>-1</v>
      </c>
      <c r="K111" s="1">
        <v>175</v>
      </c>
      <c r="L111" s="1">
        <v>771</v>
      </c>
      <c r="M111" s="1">
        <v>2699</v>
      </c>
      <c r="N111" s="1">
        <v>-7.2</v>
      </c>
      <c r="O111" s="1">
        <v>1.4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700</v>
      </c>
      <c r="C112" s="1">
        <v>2226</v>
      </c>
      <c r="D112" s="1">
        <v>-13.4</v>
      </c>
      <c r="E112" s="1">
        <v>2.2999999999999998</v>
      </c>
      <c r="F112" s="1">
        <v>0.7</v>
      </c>
      <c r="G112">
        <v>-14</v>
      </c>
      <c r="H112">
        <v>-3</v>
      </c>
      <c r="I112">
        <v>-1</v>
      </c>
      <c r="K112" s="1">
        <v>200</v>
      </c>
      <c r="L112" s="1">
        <v>763</v>
      </c>
      <c r="M112" s="1">
        <v>2642</v>
      </c>
      <c r="N112" s="1">
        <v>-11.8</v>
      </c>
      <c r="O112" s="1">
        <v>2</v>
      </c>
      <c r="P112" s="1">
        <v>0.6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685</v>
      </c>
      <c r="C113" s="1">
        <v>2129</v>
      </c>
      <c r="D113" s="1">
        <v>-19.7</v>
      </c>
      <c r="E113" s="1">
        <v>3</v>
      </c>
      <c r="F113" s="1">
        <v>0.9</v>
      </c>
      <c r="G113">
        <v>-18</v>
      </c>
      <c r="H113">
        <v>-3</v>
      </c>
      <c r="I113">
        <v>-1</v>
      </c>
      <c r="K113" s="1">
        <v>225</v>
      </c>
      <c r="L113" s="1">
        <v>755</v>
      </c>
      <c r="M113" s="1">
        <v>2585</v>
      </c>
      <c r="N113" s="1">
        <v>-17.3</v>
      </c>
      <c r="O113" s="1">
        <v>2.6</v>
      </c>
      <c r="P113" s="1">
        <v>0.8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670</v>
      </c>
      <c r="C114" s="1">
        <v>2036</v>
      </c>
      <c r="D114" s="1">
        <v>-27.4</v>
      </c>
      <c r="E114" s="1">
        <v>3.8</v>
      </c>
      <c r="F114" s="1">
        <v>1.1000000000000001</v>
      </c>
      <c r="G114">
        <v>-23</v>
      </c>
      <c r="H114">
        <v>-3</v>
      </c>
      <c r="I114">
        <v>-1</v>
      </c>
      <c r="K114" s="1">
        <v>250</v>
      </c>
      <c r="L114" s="1">
        <v>747</v>
      </c>
      <c r="M114" s="1">
        <v>2529</v>
      </c>
      <c r="N114" s="1">
        <v>-23.9</v>
      </c>
      <c r="O114" s="1">
        <v>3.3</v>
      </c>
      <c r="P114" s="1">
        <v>1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655</v>
      </c>
      <c r="C115" s="1">
        <v>1946</v>
      </c>
      <c r="D115" s="1">
        <v>-36.799999999999997</v>
      </c>
      <c r="E115" s="1">
        <v>4.5999999999999996</v>
      </c>
      <c r="F115" s="1">
        <v>1.3</v>
      </c>
      <c r="G115">
        <v>-28</v>
      </c>
      <c r="H115">
        <v>-4</v>
      </c>
      <c r="I115">
        <v>-1</v>
      </c>
      <c r="K115" s="1">
        <v>275</v>
      </c>
      <c r="L115" s="1">
        <v>739</v>
      </c>
      <c r="M115" s="1">
        <v>2475</v>
      </c>
      <c r="N115" s="1">
        <v>-31.9</v>
      </c>
      <c r="O115" s="1">
        <v>4</v>
      </c>
      <c r="P115" s="1">
        <v>1.2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640</v>
      </c>
      <c r="C116" s="1">
        <v>1859</v>
      </c>
      <c r="D116" s="1">
        <v>-47.4</v>
      </c>
      <c r="E116" s="1">
        <v>5.4</v>
      </c>
      <c r="F116" s="1">
        <v>1.6</v>
      </c>
      <c r="G116">
        <v>-34</v>
      </c>
      <c r="H116">
        <v>-4</v>
      </c>
      <c r="I116">
        <v>-1</v>
      </c>
      <c r="K116" s="1">
        <v>300</v>
      </c>
      <c r="L116" s="1">
        <v>730</v>
      </c>
      <c r="M116" s="1">
        <v>2421</v>
      </c>
      <c r="N116" s="1">
        <v>-40.700000000000003</v>
      </c>
      <c r="O116" s="1">
        <v>4.7</v>
      </c>
      <c r="P116" s="1">
        <v>1.4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626</v>
      </c>
      <c r="C117" s="1">
        <v>1775</v>
      </c>
      <c r="D117" s="1">
        <v>-59.5</v>
      </c>
      <c r="E117" s="1">
        <v>6.3</v>
      </c>
      <c r="F117" s="1">
        <v>1.8</v>
      </c>
      <c r="G117">
        <v>-40</v>
      </c>
      <c r="H117">
        <v>-5</v>
      </c>
      <c r="I117">
        <v>-1</v>
      </c>
      <c r="K117" s="1">
        <v>325</v>
      </c>
      <c r="L117" s="1">
        <v>722</v>
      </c>
      <c r="M117" s="1">
        <v>2368</v>
      </c>
      <c r="N117" s="1">
        <v>-50.7</v>
      </c>
      <c r="O117" s="1">
        <v>5.4</v>
      </c>
      <c r="P117" s="1">
        <v>1.6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611</v>
      </c>
      <c r="C118" s="1">
        <v>1695</v>
      </c>
      <c r="D118" s="1">
        <v>-73.8</v>
      </c>
      <c r="E118" s="1">
        <v>7.2</v>
      </c>
      <c r="F118" s="1">
        <v>2.1</v>
      </c>
      <c r="G118">
        <v>-47</v>
      </c>
      <c r="H118">
        <v>-5</v>
      </c>
      <c r="I118">
        <v>-2</v>
      </c>
      <c r="K118" s="1">
        <v>350</v>
      </c>
      <c r="L118" s="1">
        <v>714</v>
      </c>
      <c r="M118" s="1">
        <v>2316</v>
      </c>
      <c r="N118" s="1">
        <v>-62.3</v>
      </c>
      <c r="O118" s="1">
        <v>6.1</v>
      </c>
      <c r="P118" s="1">
        <v>1.8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597</v>
      </c>
      <c r="C119" s="1">
        <v>1617</v>
      </c>
      <c r="D119" s="1">
        <v>-89.3</v>
      </c>
      <c r="E119" s="1">
        <v>8.1999999999999993</v>
      </c>
      <c r="F119" s="1">
        <v>2.4</v>
      </c>
      <c r="G119">
        <v>-54</v>
      </c>
      <c r="H119">
        <v>-5</v>
      </c>
      <c r="I119">
        <v>-2</v>
      </c>
      <c r="K119" s="1">
        <v>375</v>
      </c>
      <c r="L119" s="1">
        <v>707</v>
      </c>
      <c r="M119" s="1">
        <v>2265</v>
      </c>
      <c r="N119" s="1">
        <v>-74.7</v>
      </c>
      <c r="O119" s="1">
        <v>6.8</v>
      </c>
      <c r="P119" s="1">
        <v>2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583</v>
      </c>
      <c r="C120" s="1">
        <v>1543</v>
      </c>
      <c r="D120" s="1">
        <v>-106.5</v>
      </c>
      <c r="E120" s="1">
        <v>9.1999999999999993</v>
      </c>
      <c r="F120" s="1">
        <v>2.7</v>
      </c>
      <c r="G120">
        <v>-62</v>
      </c>
      <c r="H120">
        <v>-6</v>
      </c>
      <c r="I120">
        <v>-2</v>
      </c>
      <c r="K120" s="1">
        <v>400</v>
      </c>
      <c r="L120" s="1">
        <v>699</v>
      </c>
      <c r="M120" s="1">
        <v>2214</v>
      </c>
      <c r="N120" s="1">
        <v>-88.3</v>
      </c>
      <c r="O120" s="1">
        <v>7.6</v>
      </c>
      <c r="P120" s="1">
        <v>2.2000000000000002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569</v>
      </c>
      <c r="C121" s="1">
        <v>1471</v>
      </c>
      <c r="D121" s="1">
        <v>-126.5</v>
      </c>
      <c r="E121" s="1">
        <v>10.199999999999999</v>
      </c>
      <c r="F121" s="1">
        <v>3</v>
      </c>
      <c r="G121">
        <v>-71</v>
      </c>
      <c r="H121">
        <v>-6</v>
      </c>
      <c r="I121">
        <v>-2</v>
      </c>
      <c r="K121" s="1">
        <v>425</v>
      </c>
      <c r="L121" s="1">
        <v>691</v>
      </c>
      <c r="M121" s="1">
        <v>2165</v>
      </c>
      <c r="N121" s="1">
        <v>-103.8</v>
      </c>
      <c r="O121" s="1">
        <v>8.4</v>
      </c>
      <c r="P121" s="1">
        <v>2.4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556</v>
      </c>
      <c r="C122" s="1">
        <v>1402</v>
      </c>
      <c r="D122" s="1">
        <v>-147.69999999999999</v>
      </c>
      <c r="E122" s="1">
        <v>11.3</v>
      </c>
      <c r="F122" s="1">
        <v>3.3</v>
      </c>
      <c r="G122">
        <v>-81</v>
      </c>
      <c r="H122">
        <v>-7</v>
      </c>
      <c r="I122">
        <v>-2</v>
      </c>
      <c r="K122" s="1">
        <v>450</v>
      </c>
      <c r="L122" s="1">
        <v>683</v>
      </c>
      <c r="M122" s="1">
        <v>2116</v>
      </c>
      <c r="N122" s="1">
        <v>-120</v>
      </c>
      <c r="O122" s="1">
        <v>9.1999999999999993</v>
      </c>
      <c r="P122" s="1">
        <v>2.7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543</v>
      </c>
      <c r="C123" s="1">
        <v>1336</v>
      </c>
      <c r="D123" s="1">
        <v>-171</v>
      </c>
      <c r="E123" s="1">
        <v>12.4</v>
      </c>
      <c r="F123" s="1">
        <v>3.6</v>
      </c>
      <c r="G123">
        <v>-91</v>
      </c>
      <c r="H123">
        <v>-7</v>
      </c>
      <c r="I123">
        <v>-2</v>
      </c>
      <c r="K123" s="1">
        <v>475</v>
      </c>
      <c r="L123" s="1">
        <v>675</v>
      </c>
      <c r="M123" s="1">
        <v>2068</v>
      </c>
      <c r="N123" s="1">
        <v>-137.6</v>
      </c>
      <c r="O123" s="1">
        <v>10</v>
      </c>
      <c r="P123" s="1">
        <v>2.9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530</v>
      </c>
      <c r="C124" s="1">
        <v>1275</v>
      </c>
      <c r="D124" s="1">
        <v>-196.6</v>
      </c>
      <c r="E124" s="1">
        <v>13.5</v>
      </c>
      <c r="F124" s="1">
        <v>3.9</v>
      </c>
      <c r="G124">
        <v>-101</v>
      </c>
      <c r="H124">
        <v>-8</v>
      </c>
      <c r="I124">
        <v>-2</v>
      </c>
      <c r="K124" s="1">
        <v>500</v>
      </c>
      <c r="L124" s="1">
        <v>668</v>
      </c>
      <c r="M124" s="1">
        <v>2023</v>
      </c>
      <c r="N124" s="1">
        <v>-156.6</v>
      </c>
      <c r="O124" s="1">
        <v>10.8</v>
      </c>
      <c r="P124" s="1">
        <v>3.1</v>
      </c>
      <c r="Q124" s="1">
        <v>0</v>
      </c>
      <c r="R124" s="1">
        <v>0</v>
      </c>
      <c r="S124" s="1">
        <v>0</v>
      </c>
    </row>
    <row r="126" spans="1:19" x14ac:dyDescent="0.25">
      <c r="A126" t="s">
        <v>73</v>
      </c>
      <c r="K126" t="s">
        <v>92</v>
      </c>
      <c r="L126">
        <f>$B$4</f>
        <v>0.439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34</v>
      </c>
      <c r="H127" t="s">
        <v>35</v>
      </c>
      <c r="I127" t="s">
        <v>36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34</v>
      </c>
      <c r="R127" t="s">
        <v>35</v>
      </c>
      <c r="S127" t="s">
        <v>36</v>
      </c>
    </row>
    <row r="128" spans="1:19" x14ac:dyDescent="0.25">
      <c r="A128" s="1">
        <v>0</v>
      </c>
      <c r="B128" s="1">
        <v>831</v>
      </c>
      <c r="C128" s="1">
        <v>3129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831</v>
      </c>
      <c r="M128" s="1">
        <v>3130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813</v>
      </c>
      <c r="C129" s="1">
        <v>3002</v>
      </c>
      <c r="D129" s="1">
        <v>-0.7</v>
      </c>
      <c r="E129" s="1">
        <v>1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822</v>
      </c>
      <c r="M129" s="1">
        <v>3065</v>
      </c>
      <c r="N129" s="1">
        <v>-0.8</v>
      </c>
      <c r="O129" s="1">
        <v>1.2</v>
      </c>
      <c r="P129" s="1">
        <v>0.3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797</v>
      </c>
      <c r="C130" s="1">
        <v>2880</v>
      </c>
      <c r="D130" s="1">
        <v>1.5</v>
      </c>
      <c r="E130" s="1">
        <v>-1</v>
      </c>
      <c r="F130" s="1">
        <v>-0.3</v>
      </c>
      <c r="G130">
        <v>-1</v>
      </c>
      <c r="H130">
        <v>-1</v>
      </c>
      <c r="I130">
        <v>0</v>
      </c>
      <c r="K130" s="1">
        <v>50</v>
      </c>
      <c r="L130" s="1">
        <v>813</v>
      </c>
      <c r="M130" s="1">
        <v>3001</v>
      </c>
      <c r="N130" s="1">
        <v>1.3</v>
      </c>
      <c r="O130" s="1">
        <v>-0.9</v>
      </c>
      <c r="P130" s="1">
        <v>-0.3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780</v>
      </c>
      <c r="C131" s="1">
        <v>2761</v>
      </c>
      <c r="D131" s="1">
        <v>2.7</v>
      </c>
      <c r="E131" s="1">
        <v>-1.2</v>
      </c>
      <c r="F131" s="1">
        <v>-0.4</v>
      </c>
      <c r="G131">
        <v>-2</v>
      </c>
      <c r="H131">
        <v>-1</v>
      </c>
      <c r="I131">
        <v>0</v>
      </c>
      <c r="K131" s="1">
        <v>75</v>
      </c>
      <c r="L131" s="1">
        <v>805</v>
      </c>
      <c r="M131" s="1">
        <v>2939</v>
      </c>
      <c r="N131" s="1">
        <v>2.4</v>
      </c>
      <c r="O131" s="1">
        <v>-1.1000000000000001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764</v>
      </c>
      <c r="C132" s="1">
        <v>2647</v>
      </c>
      <c r="D132" s="1">
        <v>2.9</v>
      </c>
      <c r="E132" s="1">
        <v>-1</v>
      </c>
      <c r="F132" s="1">
        <v>-0.3</v>
      </c>
      <c r="G132">
        <v>-4</v>
      </c>
      <c r="H132">
        <v>-1</v>
      </c>
      <c r="I132">
        <v>0</v>
      </c>
      <c r="K132" s="1">
        <v>100</v>
      </c>
      <c r="L132" s="1">
        <v>796</v>
      </c>
      <c r="M132" s="1">
        <v>2877</v>
      </c>
      <c r="N132" s="1">
        <v>2.6</v>
      </c>
      <c r="O132" s="1">
        <v>-0.9</v>
      </c>
      <c r="P132" s="1">
        <v>-0.3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748</v>
      </c>
      <c r="C133" s="1">
        <v>2536</v>
      </c>
      <c r="D133" s="1">
        <v>2</v>
      </c>
      <c r="E133" s="1">
        <v>-0.6</v>
      </c>
      <c r="F133" s="1">
        <v>-0.2</v>
      </c>
      <c r="G133">
        <v>-6</v>
      </c>
      <c r="H133">
        <v>-2</v>
      </c>
      <c r="I133">
        <v>0</v>
      </c>
      <c r="K133" s="1">
        <v>125</v>
      </c>
      <c r="L133" s="1">
        <v>788</v>
      </c>
      <c r="M133" s="1">
        <v>2817</v>
      </c>
      <c r="N133" s="1">
        <v>1.8</v>
      </c>
      <c r="O133" s="1">
        <v>-0.5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732</v>
      </c>
      <c r="C134" s="10">
        <v>2429</v>
      </c>
      <c r="D134" s="10">
        <v>0.1</v>
      </c>
      <c r="E134" s="10">
        <v>0</v>
      </c>
      <c r="F134" s="10">
        <v>0</v>
      </c>
      <c r="G134">
        <v>-8</v>
      </c>
      <c r="H134">
        <v>-2</v>
      </c>
      <c r="I134">
        <v>-1</v>
      </c>
      <c r="K134" s="1">
        <v>150</v>
      </c>
      <c r="L134" s="1">
        <v>780</v>
      </c>
      <c r="M134" s="1">
        <v>2758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716</v>
      </c>
      <c r="C135" s="1">
        <v>2326</v>
      </c>
      <c r="D135" s="1">
        <v>-3.1</v>
      </c>
      <c r="E135" s="1">
        <v>0.6</v>
      </c>
      <c r="F135" s="1">
        <v>0.2</v>
      </c>
      <c r="G135">
        <v>-11</v>
      </c>
      <c r="H135">
        <v>-2</v>
      </c>
      <c r="I135">
        <v>-1</v>
      </c>
      <c r="K135" s="1">
        <v>175</v>
      </c>
      <c r="L135" s="1">
        <v>771</v>
      </c>
      <c r="M135" s="1">
        <v>2699</v>
      </c>
      <c r="N135" s="1">
        <v>-2.7</v>
      </c>
      <c r="O135" s="1">
        <v>0.5</v>
      </c>
      <c r="P135" s="1">
        <v>0.2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700</v>
      </c>
      <c r="C136" s="1">
        <v>2226</v>
      </c>
      <c r="D136" s="1">
        <v>-7.6</v>
      </c>
      <c r="E136" s="1">
        <v>1.3</v>
      </c>
      <c r="F136" s="1">
        <v>0.4</v>
      </c>
      <c r="G136">
        <v>-14</v>
      </c>
      <c r="H136">
        <v>-3</v>
      </c>
      <c r="I136">
        <v>-1</v>
      </c>
      <c r="K136" s="1">
        <v>200</v>
      </c>
      <c r="L136" s="1">
        <v>763</v>
      </c>
      <c r="M136" s="1">
        <v>2642</v>
      </c>
      <c r="N136" s="1">
        <v>-6.7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685</v>
      </c>
      <c r="C137" s="1">
        <v>2129</v>
      </c>
      <c r="D137" s="1">
        <v>-13.2</v>
      </c>
      <c r="E137" s="1">
        <v>2</v>
      </c>
      <c r="F137" s="1">
        <v>0.6</v>
      </c>
      <c r="G137">
        <v>-18</v>
      </c>
      <c r="H137">
        <v>-3</v>
      </c>
      <c r="I137">
        <v>-1</v>
      </c>
      <c r="K137" s="1">
        <v>225</v>
      </c>
      <c r="L137" s="1">
        <v>755</v>
      </c>
      <c r="M137" s="1">
        <v>2585</v>
      </c>
      <c r="N137" s="1">
        <v>-11.5</v>
      </c>
      <c r="O137" s="1">
        <v>1.8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670</v>
      </c>
      <c r="C138" s="1">
        <v>2036</v>
      </c>
      <c r="D138" s="1">
        <v>-20.100000000000001</v>
      </c>
      <c r="E138" s="1">
        <v>2.8</v>
      </c>
      <c r="F138" s="1">
        <v>0.8</v>
      </c>
      <c r="G138">
        <v>-23</v>
      </c>
      <c r="H138">
        <v>-3</v>
      </c>
      <c r="I138">
        <v>-1</v>
      </c>
      <c r="K138" s="1">
        <v>250</v>
      </c>
      <c r="L138" s="1">
        <v>747</v>
      </c>
      <c r="M138" s="1">
        <v>2529</v>
      </c>
      <c r="N138" s="1">
        <v>-17.5</v>
      </c>
      <c r="O138" s="1">
        <v>2.4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655</v>
      </c>
      <c r="C139" s="1">
        <v>1946</v>
      </c>
      <c r="D139" s="1">
        <v>-28.8</v>
      </c>
      <c r="E139" s="1">
        <v>3.6</v>
      </c>
      <c r="F139" s="1">
        <v>1</v>
      </c>
      <c r="G139">
        <v>-28</v>
      </c>
      <c r="H139">
        <v>-4</v>
      </c>
      <c r="I139">
        <v>-1</v>
      </c>
      <c r="K139" s="1">
        <v>275</v>
      </c>
      <c r="L139" s="1">
        <v>739</v>
      </c>
      <c r="M139" s="1">
        <v>2475</v>
      </c>
      <c r="N139" s="1">
        <v>-24.8</v>
      </c>
      <c r="O139" s="1">
        <v>3.1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640</v>
      </c>
      <c r="C140" s="1">
        <v>1859</v>
      </c>
      <c r="D140" s="1">
        <v>-38.700000000000003</v>
      </c>
      <c r="E140" s="1">
        <v>4.4000000000000004</v>
      </c>
      <c r="F140" s="1">
        <v>1.3</v>
      </c>
      <c r="G140">
        <v>-34</v>
      </c>
      <c r="H140">
        <v>-4</v>
      </c>
      <c r="I140">
        <v>-1</v>
      </c>
      <c r="K140" s="1">
        <v>300</v>
      </c>
      <c r="L140" s="1">
        <v>730</v>
      </c>
      <c r="M140" s="1">
        <v>2421</v>
      </c>
      <c r="N140" s="1">
        <v>-33</v>
      </c>
      <c r="O140" s="1">
        <v>3.8</v>
      </c>
      <c r="P140" s="1">
        <v>1.1000000000000001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626</v>
      </c>
      <c r="C141" s="1">
        <v>1775</v>
      </c>
      <c r="D141" s="1">
        <v>-50.1</v>
      </c>
      <c r="E141" s="1">
        <v>5.3</v>
      </c>
      <c r="F141" s="1">
        <v>1.5</v>
      </c>
      <c r="G141">
        <v>-40</v>
      </c>
      <c r="H141">
        <v>-5</v>
      </c>
      <c r="I141">
        <v>-1</v>
      </c>
      <c r="K141" s="1">
        <v>325</v>
      </c>
      <c r="L141" s="1">
        <v>722</v>
      </c>
      <c r="M141" s="1">
        <v>2368</v>
      </c>
      <c r="N141" s="1">
        <v>-42.3</v>
      </c>
      <c r="O141" s="1">
        <v>4.5</v>
      </c>
      <c r="P141" s="1">
        <v>1.3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611</v>
      </c>
      <c r="C142" s="1">
        <v>1695</v>
      </c>
      <c r="D142" s="1">
        <v>-63.6</v>
      </c>
      <c r="E142" s="1">
        <v>6.2</v>
      </c>
      <c r="F142" s="1">
        <v>1.8</v>
      </c>
      <c r="G142">
        <v>-47</v>
      </c>
      <c r="H142">
        <v>-5</v>
      </c>
      <c r="I142">
        <v>-2</v>
      </c>
      <c r="K142" s="1">
        <v>350</v>
      </c>
      <c r="L142" s="1">
        <v>714</v>
      </c>
      <c r="M142" s="1">
        <v>2316</v>
      </c>
      <c r="N142" s="1">
        <v>-53.2</v>
      </c>
      <c r="O142" s="1">
        <v>5.2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597</v>
      </c>
      <c r="C143" s="1">
        <v>1617</v>
      </c>
      <c r="D143" s="1">
        <v>-78.3</v>
      </c>
      <c r="E143" s="1">
        <v>7.2</v>
      </c>
      <c r="F143" s="1">
        <v>2.1</v>
      </c>
      <c r="G143">
        <v>-54</v>
      </c>
      <c r="H143">
        <v>-5</v>
      </c>
      <c r="I143">
        <v>-2</v>
      </c>
      <c r="K143" s="1">
        <v>375</v>
      </c>
      <c r="L143" s="1">
        <v>707</v>
      </c>
      <c r="M143" s="1">
        <v>2265</v>
      </c>
      <c r="N143" s="1">
        <v>-65</v>
      </c>
      <c r="O143" s="1">
        <v>6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583</v>
      </c>
      <c r="C144" s="1">
        <v>1543</v>
      </c>
      <c r="D144" s="1">
        <v>-94.9</v>
      </c>
      <c r="E144" s="1">
        <v>8.1999999999999993</v>
      </c>
      <c r="F144" s="1">
        <v>2.4</v>
      </c>
      <c r="G144">
        <v>-62</v>
      </c>
      <c r="H144">
        <v>-6</v>
      </c>
      <c r="I144">
        <v>-2</v>
      </c>
      <c r="K144" s="1">
        <v>400</v>
      </c>
      <c r="L144" s="1">
        <v>699</v>
      </c>
      <c r="M144" s="1">
        <v>2214</v>
      </c>
      <c r="N144" s="1">
        <v>-78</v>
      </c>
      <c r="O144" s="1">
        <v>6.7</v>
      </c>
      <c r="P144" s="1">
        <v>2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569</v>
      </c>
      <c r="C145" s="1">
        <v>1471</v>
      </c>
      <c r="D145" s="1">
        <v>-114.1</v>
      </c>
      <c r="E145" s="1">
        <v>9.1999999999999993</v>
      </c>
      <c r="F145" s="1">
        <v>2.7</v>
      </c>
      <c r="G145">
        <v>-71</v>
      </c>
      <c r="H145">
        <v>-6</v>
      </c>
      <c r="I145">
        <v>-2</v>
      </c>
      <c r="K145" s="1">
        <v>425</v>
      </c>
      <c r="L145" s="1">
        <v>691</v>
      </c>
      <c r="M145" s="1">
        <v>2165</v>
      </c>
      <c r="N145" s="1">
        <v>-92.8</v>
      </c>
      <c r="O145" s="1">
        <v>7.5</v>
      </c>
      <c r="P145" s="1">
        <v>2.2000000000000002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556</v>
      </c>
      <c r="C146" s="1">
        <v>1402</v>
      </c>
      <c r="D146" s="1">
        <v>-134.6</v>
      </c>
      <c r="E146" s="1">
        <v>10.3</v>
      </c>
      <c r="F146" s="1">
        <v>3</v>
      </c>
      <c r="G146">
        <v>-81</v>
      </c>
      <c r="H146">
        <v>-7</v>
      </c>
      <c r="I146">
        <v>-2</v>
      </c>
      <c r="K146" s="1">
        <v>450</v>
      </c>
      <c r="L146" s="1">
        <v>683</v>
      </c>
      <c r="M146" s="1">
        <v>2116</v>
      </c>
      <c r="N146" s="1">
        <v>-108.5</v>
      </c>
      <c r="O146" s="1">
        <v>8.3000000000000007</v>
      </c>
      <c r="P146" s="1">
        <v>2.4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543</v>
      </c>
      <c r="C147" s="1">
        <v>1336</v>
      </c>
      <c r="D147" s="1">
        <v>-157.19999999999999</v>
      </c>
      <c r="E147" s="1">
        <v>11.4</v>
      </c>
      <c r="F147" s="1">
        <v>3.3</v>
      </c>
      <c r="G147">
        <v>-91</v>
      </c>
      <c r="H147">
        <v>-7</v>
      </c>
      <c r="I147">
        <v>-2</v>
      </c>
      <c r="K147" s="1">
        <v>475</v>
      </c>
      <c r="L147" s="1">
        <v>675</v>
      </c>
      <c r="M147" s="1">
        <v>2068</v>
      </c>
      <c r="N147" s="1">
        <v>-125.4</v>
      </c>
      <c r="O147" s="1">
        <v>9.1</v>
      </c>
      <c r="P147" s="1">
        <v>2.6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530</v>
      </c>
      <c r="C148" s="1">
        <v>1275</v>
      </c>
      <c r="D148" s="1">
        <v>-182</v>
      </c>
      <c r="E148" s="1">
        <v>12.5</v>
      </c>
      <c r="F148" s="1">
        <v>3.6</v>
      </c>
      <c r="G148">
        <v>-101</v>
      </c>
      <c r="H148">
        <v>-8</v>
      </c>
      <c r="I148">
        <v>-2</v>
      </c>
      <c r="K148" s="1">
        <v>500</v>
      </c>
      <c r="L148" s="1">
        <v>668</v>
      </c>
      <c r="M148" s="1">
        <v>2023</v>
      </c>
      <c r="N148" s="1">
        <v>-143.69999999999999</v>
      </c>
      <c r="O148" s="1">
        <v>9.9</v>
      </c>
      <c r="P148" s="1">
        <v>2.9</v>
      </c>
      <c r="Q148" s="1">
        <v>0</v>
      </c>
      <c r="R148" s="1">
        <v>0</v>
      </c>
      <c r="S148" s="1">
        <v>0</v>
      </c>
    </row>
    <row r="150" spans="1:19" x14ac:dyDescent="0.25">
      <c r="A150" t="s">
        <v>72</v>
      </c>
      <c r="K150" t="s">
        <v>93</v>
      </c>
      <c r="L150">
        <f>$B$4</f>
        <v>0.439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34</v>
      </c>
      <c r="H151" t="s">
        <v>35</v>
      </c>
      <c r="I151" t="s">
        <v>36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34</v>
      </c>
      <c r="R151" t="s">
        <v>35</v>
      </c>
      <c r="S151" t="s">
        <v>36</v>
      </c>
    </row>
    <row r="152" spans="1:19" x14ac:dyDescent="0.25">
      <c r="A152" s="1">
        <v>0</v>
      </c>
      <c r="B152" s="1">
        <v>831</v>
      </c>
      <c r="C152" s="1">
        <v>3129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831</v>
      </c>
      <c r="M152" s="1">
        <v>3130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813</v>
      </c>
      <c r="C153" s="1">
        <v>3002</v>
      </c>
      <c r="D153" s="1">
        <v>0.2</v>
      </c>
      <c r="E153" s="1">
        <v>-0.3</v>
      </c>
      <c r="F153" s="1">
        <v>-0.1</v>
      </c>
      <c r="G153">
        <v>0</v>
      </c>
      <c r="H153">
        <v>0</v>
      </c>
      <c r="I153">
        <v>0</v>
      </c>
      <c r="K153" s="1">
        <v>25</v>
      </c>
      <c r="L153" s="1">
        <v>822</v>
      </c>
      <c r="M153" s="1">
        <v>3065</v>
      </c>
      <c r="N153" s="1">
        <v>0</v>
      </c>
      <c r="O153" s="1">
        <v>0</v>
      </c>
      <c r="P153" s="1">
        <v>0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797</v>
      </c>
      <c r="C154" s="1">
        <v>2880</v>
      </c>
      <c r="D154" s="1">
        <v>3.5</v>
      </c>
      <c r="E154" s="1">
        <v>-2.4</v>
      </c>
      <c r="F154" s="1">
        <v>-0.7</v>
      </c>
      <c r="G154">
        <v>-1</v>
      </c>
      <c r="H154">
        <v>-1</v>
      </c>
      <c r="I154">
        <v>0</v>
      </c>
      <c r="K154" s="1">
        <v>50</v>
      </c>
      <c r="L154" s="1">
        <v>813</v>
      </c>
      <c r="M154" s="1">
        <v>3001</v>
      </c>
      <c r="N154" s="1">
        <v>3</v>
      </c>
      <c r="O154" s="1">
        <v>-2</v>
      </c>
      <c r="P154" s="1">
        <v>-0.6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780</v>
      </c>
      <c r="C155" s="1">
        <v>2761</v>
      </c>
      <c r="D155" s="1">
        <v>5.6</v>
      </c>
      <c r="E155" s="1">
        <v>-2.6</v>
      </c>
      <c r="F155" s="1">
        <v>-0.7</v>
      </c>
      <c r="G155">
        <v>-2</v>
      </c>
      <c r="H155">
        <v>-1</v>
      </c>
      <c r="I155">
        <v>0</v>
      </c>
      <c r="K155" s="1">
        <v>75</v>
      </c>
      <c r="L155" s="1">
        <v>805</v>
      </c>
      <c r="M155" s="1">
        <v>2939</v>
      </c>
      <c r="N155" s="1">
        <v>4.9000000000000004</v>
      </c>
      <c r="O155" s="1">
        <v>-2.2000000000000002</v>
      </c>
      <c r="P155" s="1">
        <v>-0.7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764</v>
      </c>
      <c r="C156" s="1">
        <v>2647</v>
      </c>
      <c r="D156" s="1">
        <v>6.7</v>
      </c>
      <c r="E156" s="1">
        <v>-2.2999999999999998</v>
      </c>
      <c r="F156" s="1">
        <v>-0.7</v>
      </c>
      <c r="G156">
        <v>-4</v>
      </c>
      <c r="H156">
        <v>-1</v>
      </c>
      <c r="I156">
        <v>0</v>
      </c>
      <c r="K156" s="1">
        <v>100</v>
      </c>
      <c r="L156" s="1">
        <v>796</v>
      </c>
      <c r="M156" s="1">
        <v>2877</v>
      </c>
      <c r="N156" s="1">
        <v>5.9</v>
      </c>
      <c r="O156" s="1">
        <v>-2</v>
      </c>
      <c r="P156" s="1">
        <v>-0.6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748</v>
      </c>
      <c r="C157" s="1">
        <v>2536</v>
      </c>
      <c r="D157" s="1">
        <v>6.8</v>
      </c>
      <c r="E157" s="1">
        <v>-1.9</v>
      </c>
      <c r="F157" s="1">
        <v>-0.5</v>
      </c>
      <c r="G157">
        <v>-6</v>
      </c>
      <c r="H157">
        <v>-2</v>
      </c>
      <c r="I157">
        <v>0</v>
      </c>
      <c r="K157" s="1">
        <v>125</v>
      </c>
      <c r="L157" s="1">
        <v>788</v>
      </c>
      <c r="M157" s="1">
        <v>2817</v>
      </c>
      <c r="N157" s="1">
        <v>6</v>
      </c>
      <c r="O157" s="1">
        <v>-1.6</v>
      </c>
      <c r="P157" s="1">
        <v>-0.5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732</v>
      </c>
      <c r="C158" s="1">
        <v>2429</v>
      </c>
      <c r="D158" s="1">
        <v>5.8</v>
      </c>
      <c r="E158" s="1">
        <v>-1.3</v>
      </c>
      <c r="F158" s="1">
        <v>-0.4</v>
      </c>
      <c r="G158">
        <v>-8</v>
      </c>
      <c r="H158">
        <v>-2</v>
      </c>
      <c r="I158">
        <v>-1</v>
      </c>
      <c r="K158" s="1">
        <v>150</v>
      </c>
      <c r="L158" s="1">
        <v>780</v>
      </c>
      <c r="M158" s="1">
        <v>2758</v>
      </c>
      <c r="N158" s="1">
        <v>5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716</v>
      </c>
      <c r="C159" s="1">
        <v>2326</v>
      </c>
      <c r="D159" s="1">
        <v>3.6</v>
      </c>
      <c r="E159" s="1">
        <v>-0.7</v>
      </c>
      <c r="F159" s="1">
        <v>-0.2</v>
      </c>
      <c r="G159">
        <v>-11</v>
      </c>
      <c r="H159">
        <v>-2</v>
      </c>
      <c r="I159">
        <v>-1</v>
      </c>
      <c r="K159" s="1">
        <v>175</v>
      </c>
      <c r="L159" s="1">
        <v>771</v>
      </c>
      <c r="M159" s="1">
        <v>2699</v>
      </c>
      <c r="N159" s="1">
        <v>3.1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700</v>
      </c>
      <c r="C160" s="10">
        <v>2226</v>
      </c>
      <c r="D160" s="10">
        <v>0.1</v>
      </c>
      <c r="E160" s="10">
        <v>0</v>
      </c>
      <c r="F160" s="10">
        <v>0</v>
      </c>
      <c r="G160">
        <v>-14</v>
      </c>
      <c r="H160">
        <v>-3</v>
      </c>
      <c r="I160">
        <v>-1</v>
      </c>
      <c r="K160" s="1">
        <v>200</v>
      </c>
      <c r="L160" s="1">
        <v>763</v>
      </c>
      <c r="M160" s="1">
        <v>2642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685</v>
      </c>
      <c r="C161" s="1">
        <v>2129</v>
      </c>
      <c r="D161" s="1">
        <v>-4.5999999999999996</v>
      </c>
      <c r="E161" s="1">
        <v>0.7</v>
      </c>
      <c r="F161" s="1">
        <v>0.2</v>
      </c>
      <c r="G161">
        <v>-18</v>
      </c>
      <c r="H161">
        <v>-3</v>
      </c>
      <c r="I161">
        <v>-1</v>
      </c>
      <c r="K161" s="1">
        <v>225</v>
      </c>
      <c r="L161" s="1">
        <v>755</v>
      </c>
      <c r="M161" s="1">
        <v>2585</v>
      </c>
      <c r="N161" s="1">
        <v>-4.0999999999999996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670</v>
      </c>
      <c r="C162" s="1">
        <v>2036</v>
      </c>
      <c r="D162" s="1">
        <v>-10.6</v>
      </c>
      <c r="E162" s="1">
        <v>1.5</v>
      </c>
      <c r="F162" s="1">
        <v>0.4</v>
      </c>
      <c r="G162">
        <v>-23</v>
      </c>
      <c r="H162">
        <v>-3</v>
      </c>
      <c r="I162">
        <v>-1</v>
      </c>
      <c r="K162" s="1">
        <v>250</v>
      </c>
      <c r="L162" s="1">
        <v>747</v>
      </c>
      <c r="M162" s="1">
        <v>2529</v>
      </c>
      <c r="N162" s="1">
        <v>-9.1999999999999993</v>
      </c>
      <c r="O162" s="1">
        <v>1.3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655</v>
      </c>
      <c r="C163" s="1">
        <v>1946</v>
      </c>
      <c r="D163" s="1">
        <v>-18.3</v>
      </c>
      <c r="E163" s="1">
        <v>2.2999999999999998</v>
      </c>
      <c r="F163" s="1">
        <v>0.7</v>
      </c>
      <c r="G163">
        <v>-28</v>
      </c>
      <c r="H163">
        <v>-4</v>
      </c>
      <c r="I163">
        <v>-1</v>
      </c>
      <c r="K163" s="1">
        <v>275</v>
      </c>
      <c r="L163" s="1">
        <v>739</v>
      </c>
      <c r="M163" s="1">
        <v>2475</v>
      </c>
      <c r="N163" s="1">
        <v>-15.6</v>
      </c>
      <c r="O163" s="1">
        <v>2</v>
      </c>
      <c r="P163" s="1">
        <v>0.6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640</v>
      </c>
      <c r="C164" s="1">
        <v>1859</v>
      </c>
      <c r="D164" s="1">
        <v>-27.3</v>
      </c>
      <c r="E164" s="1">
        <v>3.1</v>
      </c>
      <c r="F164" s="1">
        <v>0.9</v>
      </c>
      <c r="G164">
        <v>-34</v>
      </c>
      <c r="H164">
        <v>-4</v>
      </c>
      <c r="I164">
        <v>-1</v>
      </c>
      <c r="K164" s="1">
        <v>300</v>
      </c>
      <c r="L164" s="1">
        <v>730</v>
      </c>
      <c r="M164" s="1">
        <v>2421</v>
      </c>
      <c r="N164" s="1">
        <v>-23</v>
      </c>
      <c r="O164" s="1">
        <v>2.6</v>
      </c>
      <c r="P164" s="1">
        <v>0.8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626</v>
      </c>
      <c r="C165" s="1">
        <v>1775</v>
      </c>
      <c r="D165" s="1">
        <v>-37.700000000000003</v>
      </c>
      <c r="E165" s="1">
        <v>4</v>
      </c>
      <c r="F165" s="1">
        <v>1.2</v>
      </c>
      <c r="G165">
        <v>-40</v>
      </c>
      <c r="H165">
        <v>-5</v>
      </c>
      <c r="I165">
        <v>-1</v>
      </c>
      <c r="K165" s="1">
        <v>325</v>
      </c>
      <c r="L165" s="1">
        <v>722</v>
      </c>
      <c r="M165" s="1">
        <v>2368</v>
      </c>
      <c r="N165" s="1">
        <v>-31.5</v>
      </c>
      <c r="O165" s="1">
        <v>3.3</v>
      </c>
      <c r="P165" s="1">
        <v>1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611</v>
      </c>
      <c r="C166" s="1">
        <v>1695</v>
      </c>
      <c r="D166" s="1">
        <v>-50.3</v>
      </c>
      <c r="E166" s="1">
        <v>4.9000000000000004</v>
      </c>
      <c r="F166" s="1">
        <v>1.4</v>
      </c>
      <c r="G166">
        <v>-47</v>
      </c>
      <c r="H166">
        <v>-5</v>
      </c>
      <c r="I166">
        <v>-2</v>
      </c>
      <c r="K166" s="1">
        <v>350</v>
      </c>
      <c r="L166" s="1">
        <v>714</v>
      </c>
      <c r="M166" s="1">
        <v>2316</v>
      </c>
      <c r="N166" s="1">
        <v>-41.6</v>
      </c>
      <c r="O166" s="1">
        <v>4.0999999999999996</v>
      </c>
      <c r="P166" s="1">
        <v>1.2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597</v>
      </c>
      <c r="C167" s="1">
        <v>1617</v>
      </c>
      <c r="D167" s="1">
        <v>-64.099999999999994</v>
      </c>
      <c r="E167" s="1">
        <v>5.9</v>
      </c>
      <c r="F167" s="1">
        <v>1.7</v>
      </c>
      <c r="G167">
        <v>-54</v>
      </c>
      <c r="H167">
        <v>-5</v>
      </c>
      <c r="I167">
        <v>-2</v>
      </c>
      <c r="K167" s="1">
        <v>375</v>
      </c>
      <c r="L167" s="1">
        <v>707</v>
      </c>
      <c r="M167" s="1">
        <v>2265</v>
      </c>
      <c r="N167" s="1">
        <v>-52.6</v>
      </c>
      <c r="O167" s="1">
        <v>4.8</v>
      </c>
      <c r="P167" s="1">
        <v>1.4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583</v>
      </c>
      <c r="C168" s="1">
        <v>1543</v>
      </c>
      <c r="D168" s="1">
        <v>-79.7</v>
      </c>
      <c r="E168" s="1">
        <v>6.9</v>
      </c>
      <c r="F168" s="1">
        <v>2</v>
      </c>
      <c r="G168">
        <v>-62</v>
      </c>
      <c r="H168">
        <v>-6</v>
      </c>
      <c r="I168">
        <v>-2</v>
      </c>
      <c r="K168" s="1">
        <v>400</v>
      </c>
      <c r="L168" s="1">
        <v>699</v>
      </c>
      <c r="M168" s="1">
        <v>2214</v>
      </c>
      <c r="N168" s="1">
        <v>-64.7</v>
      </c>
      <c r="O168" s="1">
        <v>5.6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569</v>
      </c>
      <c r="C169" s="1">
        <v>1471</v>
      </c>
      <c r="D169" s="1">
        <v>-97.9</v>
      </c>
      <c r="E169" s="1">
        <v>7.9</v>
      </c>
      <c r="F169" s="1">
        <v>2.2999999999999998</v>
      </c>
      <c r="G169">
        <v>-71</v>
      </c>
      <c r="H169">
        <v>-6</v>
      </c>
      <c r="I169">
        <v>-2</v>
      </c>
      <c r="K169" s="1">
        <v>425</v>
      </c>
      <c r="L169" s="1">
        <v>691</v>
      </c>
      <c r="M169" s="1">
        <v>2165</v>
      </c>
      <c r="N169" s="1">
        <v>-78.7</v>
      </c>
      <c r="O169" s="1">
        <v>6.4</v>
      </c>
      <c r="P169" s="1">
        <v>1.9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556</v>
      </c>
      <c r="C170" s="1">
        <v>1402</v>
      </c>
      <c r="D170" s="1">
        <v>-117.5</v>
      </c>
      <c r="E170" s="1">
        <v>9</v>
      </c>
      <c r="F170" s="1">
        <v>2.6</v>
      </c>
      <c r="G170">
        <v>-81</v>
      </c>
      <c r="H170">
        <v>-7</v>
      </c>
      <c r="I170">
        <v>-2</v>
      </c>
      <c r="K170" s="1">
        <v>450</v>
      </c>
      <c r="L170" s="1">
        <v>683</v>
      </c>
      <c r="M170" s="1">
        <v>2116</v>
      </c>
      <c r="N170" s="1">
        <v>-93.5</v>
      </c>
      <c r="O170" s="1">
        <v>7.1</v>
      </c>
      <c r="P170" s="1">
        <v>2.1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543</v>
      </c>
      <c r="C171" s="1">
        <v>1336</v>
      </c>
      <c r="D171" s="1">
        <v>-139.19999999999999</v>
      </c>
      <c r="E171" s="1">
        <v>10.1</v>
      </c>
      <c r="F171" s="1">
        <v>2.9</v>
      </c>
      <c r="G171">
        <v>-91</v>
      </c>
      <c r="H171">
        <v>-7</v>
      </c>
      <c r="I171">
        <v>-2</v>
      </c>
      <c r="K171" s="1">
        <v>475</v>
      </c>
      <c r="L171" s="1">
        <v>675</v>
      </c>
      <c r="M171" s="1">
        <v>2068</v>
      </c>
      <c r="N171" s="1">
        <v>-109.6</v>
      </c>
      <c r="O171" s="1">
        <v>7.9</v>
      </c>
      <c r="P171" s="1">
        <v>2.2999999999999998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530</v>
      </c>
      <c r="C172" s="1">
        <v>1275</v>
      </c>
      <c r="D172" s="1">
        <v>-163.1</v>
      </c>
      <c r="E172" s="1">
        <v>11.2</v>
      </c>
      <c r="F172" s="1">
        <v>3.3</v>
      </c>
      <c r="G172">
        <v>-101</v>
      </c>
      <c r="H172">
        <v>-8</v>
      </c>
      <c r="I172">
        <v>-2</v>
      </c>
      <c r="K172" s="1">
        <v>500</v>
      </c>
      <c r="L172" s="1">
        <v>668</v>
      </c>
      <c r="M172" s="1">
        <v>2023</v>
      </c>
      <c r="N172" s="1">
        <v>-127.1</v>
      </c>
      <c r="O172" s="1">
        <v>8.8000000000000007</v>
      </c>
      <c r="P172" s="1">
        <v>2.5</v>
      </c>
      <c r="Q172" s="1">
        <v>0</v>
      </c>
      <c r="R172" s="1">
        <v>0</v>
      </c>
      <c r="S172" s="1">
        <v>0</v>
      </c>
    </row>
    <row r="174" spans="1:19" x14ac:dyDescent="0.25">
      <c r="A174" t="s">
        <v>71</v>
      </c>
      <c r="K174" t="s">
        <v>94</v>
      </c>
      <c r="L174">
        <f>$B$4</f>
        <v>0.439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34</v>
      </c>
      <c r="H175" t="s">
        <v>35</v>
      </c>
      <c r="I175" t="s">
        <v>36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34</v>
      </c>
      <c r="R175" t="s">
        <v>35</v>
      </c>
      <c r="S175" t="s">
        <v>36</v>
      </c>
    </row>
    <row r="176" spans="1:19" x14ac:dyDescent="0.25">
      <c r="A176" s="1">
        <v>0</v>
      </c>
      <c r="B176" s="1">
        <v>831</v>
      </c>
      <c r="C176" s="1">
        <v>3129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831</v>
      </c>
      <c r="M176" s="1">
        <v>3130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813</v>
      </c>
      <c r="C177" s="1">
        <v>3002</v>
      </c>
      <c r="D177" s="1">
        <v>2.5</v>
      </c>
      <c r="E177" s="1">
        <v>-3.5</v>
      </c>
      <c r="F177" s="1">
        <v>-1</v>
      </c>
      <c r="G177">
        <v>0</v>
      </c>
      <c r="H177">
        <v>0</v>
      </c>
      <c r="I177">
        <v>0</v>
      </c>
      <c r="K177" s="1">
        <v>25</v>
      </c>
      <c r="L177" s="1">
        <v>822</v>
      </c>
      <c r="M177" s="1">
        <v>3065</v>
      </c>
      <c r="N177" s="1">
        <v>1.9</v>
      </c>
      <c r="O177" s="1">
        <v>-2.6</v>
      </c>
      <c r="P177" s="1">
        <v>-0.8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797</v>
      </c>
      <c r="C178" s="1">
        <v>2880</v>
      </c>
      <c r="D178" s="1">
        <v>8.1</v>
      </c>
      <c r="E178" s="1">
        <v>-5.5</v>
      </c>
      <c r="F178" s="1">
        <v>-1.6</v>
      </c>
      <c r="G178">
        <v>-1</v>
      </c>
      <c r="H178">
        <v>-1</v>
      </c>
      <c r="I178">
        <v>0</v>
      </c>
      <c r="K178" s="1">
        <v>50</v>
      </c>
      <c r="L178" s="1">
        <v>813</v>
      </c>
      <c r="M178" s="1">
        <v>3001</v>
      </c>
      <c r="N178" s="1">
        <v>6.8</v>
      </c>
      <c r="O178" s="1">
        <v>-4.7</v>
      </c>
      <c r="P178" s="1">
        <v>-1.4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780</v>
      </c>
      <c r="C179" s="1">
        <v>2761</v>
      </c>
      <c r="D179" s="1">
        <v>12.5</v>
      </c>
      <c r="E179" s="1">
        <v>-5.7</v>
      </c>
      <c r="F179" s="1">
        <v>-1.7</v>
      </c>
      <c r="G179">
        <v>-2</v>
      </c>
      <c r="H179">
        <v>-1</v>
      </c>
      <c r="I179">
        <v>0</v>
      </c>
      <c r="K179" s="1">
        <v>75</v>
      </c>
      <c r="L179" s="1">
        <v>805</v>
      </c>
      <c r="M179" s="1">
        <v>2939</v>
      </c>
      <c r="N179" s="1">
        <v>10.7</v>
      </c>
      <c r="O179" s="1">
        <v>-4.9000000000000004</v>
      </c>
      <c r="P179" s="1">
        <v>-1.4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764</v>
      </c>
      <c r="C180" s="1">
        <v>2647</v>
      </c>
      <c r="D180" s="1">
        <v>15.9</v>
      </c>
      <c r="E180" s="1">
        <v>-5.5</v>
      </c>
      <c r="F180" s="1">
        <v>-1.6</v>
      </c>
      <c r="G180">
        <v>-4</v>
      </c>
      <c r="H180">
        <v>-1</v>
      </c>
      <c r="I180">
        <v>0</v>
      </c>
      <c r="K180" s="1">
        <v>100</v>
      </c>
      <c r="L180" s="1">
        <v>796</v>
      </c>
      <c r="M180" s="1">
        <v>2877</v>
      </c>
      <c r="N180" s="1">
        <v>13.6</v>
      </c>
      <c r="O180" s="1">
        <v>-4.7</v>
      </c>
      <c r="P180" s="1">
        <v>-1.4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748</v>
      </c>
      <c r="C181" s="1">
        <v>2536</v>
      </c>
      <c r="D181" s="1">
        <v>18.399999999999999</v>
      </c>
      <c r="E181" s="1">
        <v>-5</v>
      </c>
      <c r="F181" s="1">
        <v>-1.5</v>
      </c>
      <c r="G181">
        <v>-6</v>
      </c>
      <c r="H181">
        <v>-2</v>
      </c>
      <c r="I181">
        <v>0</v>
      </c>
      <c r="K181" s="1">
        <v>125</v>
      </c>
      <c r="L181" s="1">
        <v>788</v>
      </c>
      <c r="M181" s="1">
        <v>2817</v>
      </c>
      <c r="N181" s="1">
        <v>15.6</v>
      </c>
      <c r="O181" s="1">
        <v>-4.3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732</v>
      </c>
      <c r="C182" s="1">
        <v>2429</v>
      </c>
      <c r="D182" s="1">
        <v>19.600000000000001</v>
      </c>
      <c r="E182" s="1">
        <v>-4.5</v>
      </c>
      <c r="F182" s="1">
        <v>-1.3</v>
      </c>
      <c r="G182">
        <v>-8</v>
      </c>
      <c r="H182">
        <v>-2</v>
      </c>
      <c r="I182">
        <v>-1</v>
      </c>
      <c r="K182" s="1">
        <v>150</v>
      </c>
      <c r="L182" s="1">
        <v>780</v>
      </c>
      <c r="M182" s="1">
        <v>2758</v>
      </c>
      <c r="N182" s="1">
        <v>16.5</v>
      </c>
      <c r="O182" s="1">
        <v>-3.8</v>
      </c>
      <c r="P182" s="1">
        <v>-1.1000000000000001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716</v>
      </c>
      <c r="C183" s="1">
        <v>2326</v>
      </c>
      <c r="D183" s="1">
        <v>19.7</v>
      </c>
      <c r="E183" s="1">
        <v>-3.9</v>
      </c>
      <c r="F183" s="1">
        <v>-1.1000000000000001</v>
      </c>
      <c r="G183">
        <v>-11</v>
      </c>
      <c r="H183">
        <v>-2</v>
      </c>
      <c r="I183">
        <v>-1</v>
      </c>
      <c r="K183" s="1">
        <v>175</v>
      </c>
      <c r="L183" s="1">
        <v>771</v>
      </c>
      <c r="M183" s="1">
        <v>2699</v>
      </c>
      <c r="N183" s="1">
        <v>16.5</v>
      </c>
      <c r="O183" s="1">
        <v>-3.2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700</v>
      </c>
      <c r="C184" s="1">
        <v>2226</v>
      </c>
      <c r="D184" s="1">
        <v>18.5</v>
      </c>
      <c r="E184" s="1">
        <v>-3.2</v>
      </c>
      <c r="F184" s="1">
        <v>-0.9</v>
      </c>
      <c r="G184">
        <v>-14</v>
      </c>
      <c r="H184">
        <v>-3</v>
      </c>
      <c r="I184">
        <v>-1</v>
      </c>
      <c r="K184" s="1">
        <v>200</v>
      </c>
      <c r="L184" s="1">
        <v>763</v>
      </c>
      <c r="M184" s="1">
        <v>2642</v>
      </c>
      <c r="N184" s="1">
        <v>15.4</v>
      </c>
      <c r="O184" s="1">
        <v>-2.6</v>
      </c>
      <c r="P184" s="1">
        <v>-0.8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685</v>
      </c>
      <c r="C185" s="1">
        <v>2129</v>
      </c>
      <c r="D185" s="1">
        <v>16.100000000000001</v>
      </c>
      <c r="E185" s="1">
        <v>-2.5</v>
      </c>
      <c r="F185" s="1">
        <v>-0.7</v>
      </c>
      <c r="G185">
        <v>-18</v>
      </c>
      <c r="H185">
        <v>-3</v>
      </c>
      <c r="I185">
        <v>-1</v>
      </c>
      <c r="K185" s="1">
        <v>225</v>
      </c>
      <c r="L185" s="1">
        <v>755</v>
      </c>
      <c r="M185" s="1">
        <v>2585</v>
      </c>
      <c r="N185" s="1">
        <v>13.2</v>
      </c>
      <c r="O185" s="1">
        <v>-2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670</v>
      </c>
      <c r="C186" s="1">
        <v>2036</v>
      </c>
      <c r="D186" s="1">
        <v>12.4</v>
      </c>
      <c r="E186" s="1">
        <v>-1.7</v>
      </c>
      <c r="F186" s="1">
        <v>-0.5</v>
      </c>
      <c r="G186">
        <v>-23</v>
      </c>
      <c r="H186">
        <v>-3</v>
      </c>
      <c r="I186">
        <v>-1</v>
      </c>
      <c r="K186" s="1">
        <v>250</v>
      </c>
      <c r="L186" s="1">
        <v>747</v>
      </c>
      <c r="M186" s="1">
        <v>2529</v>
      </c>
      <c r="N186" s="1">
        <v>10</v>
      </c>
      <c r="O186" s="1">
        <v>-1.4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655</v>
      </c>
      <c r="C187" s="1">
        <v>1946</v>
      </c>
      <c r="D187" s="1">
        <v>7</v>
      </c>
      <c r="E187" s="1">
        <v>-0.9</v>
      </c>
      <c r="F187" s="1">
        <v>-0.3</v>
      </c>
      <c r="G187">
        <v>-28</v>
      </c>
      <c r="H187">
        <v>-4</v>
      </c>
      <c r="I187">
        <v>-1</v>
      </c>
      <c r="K187" s="1">
        <v>275</v>
      </c>
      <c r="L187" s="1">
        <v>739</v>
      </c>
      <c r="M187" s="1">
        <v>2474</v>
      </c>
      <c r="N187" s="1">
        <v>5.5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640</v>
      </c>
      <c r="C188" s="10">
        <v>1859</v>
      </c>
      <c r="D188" s="10">
        <v>0.4</v>
      </c>
      <c r="E188" s="10">
        <v>0</v>
      </c>
      <c r="F188" s="10">
        <v>0</v>
      </c>
      <c r="G188">
        <v>-34</v>
      </c>
      <c r="H188">
        <v>-4</v>
      </c>
      <c r="I188">
        <v>-1</v>
      </c>
      <c r="K188" s="1">
        <v>300</v>
      </c>
      <c r="L188" s="1">
        <v>730</v>
      </c>
      <c r="M188" s="1">
        <v>2421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626</v>
      </c>
      <c r="C189" s="1">
        <v>1775</v>
      </c>
      <c r="D189" s="1">
        <v>-7.8</v>
      </c>
      <c r="E189" s="1">
        <v>0.8</v>
      </c>
      <c r="F189" s="1">
        <v>0.2</v>
      </c>
      <c r="G189">
        <v>-40</v>
      </c>
      <c r="H189">
        <v>-5</v>
      </c>
      <c r="I189">
        <v>-1</v>
      </c>
      <c r="K189" s="1">
        <v>325</v>
      </c>
      <c r="L189" s="1">
        <v>722</v>
      </c>
      <c r="M189" s="1">
        <v>2368</v>
      </c>
      <c r="N189" s="1">
        <v>-6.6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611</v>
      </c>
      <c r="C190" s="1">
        <v>1695</v>
      </c>
      <c r="D190" s="1">
        <v>-18</v>
      </c>
      <c r="E190" s="1">
        <v>1.8</v>
      </c>
      <c r="F190" s="1">
        <v>0.5</v>
      </c>
      <c r="G190">
        <v>-47</v>
      </c>
      <c r="H190">
        <v>-5</v>
      </c>
      <c r="I190">
        <v>-2</v>
      </c>
      <c r="K190" s="1">
        <v>350</v>
      </c>
      <c r="L190" s="1">
        <v>714</v>
      </c>
      <c r="M190" s="1">
        <v>2316</v>
      </c>
      <c r="N190" s="1">
        <v>-14.7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597</v>
      </c>
      <c r="C191" s="1">
        <v>1617</v>
      </c>
      <c r="D191" s="1">
        <v>-29.6</v>
      </c>
      <c r="E191" s="1">
        <v>2.7</v>
      </c>
      <c r="F191" s="1">
        <v>0.8</v>
      </c>
      <c r="G191">
        <v>-54</v>
      </c>
      <c r="H191">
        <v>-5</v>
      </c>
      <c r="I191">
        <v>-2</v>
      </c>
      <c r="K191" s="1">
        <v>375</v>
      </c>
      <c r="L191" s="1">
        <v>707</v>
      </c>
      <c r="M191" s="1">
        <v>2264</v>
      </c>
      <c r="N191" s="1">
        <v>-23.8</v>
      </c>
      <c r="O191" s="1">
        <v>2.2000000000000002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583</v>
      </c>
      <c r="C192" s="1">
        <v>1543</v>
      </c>
      <c r="D192" s="1">
        <v>-42.9</v>
      </c>
      <c r="E192" s="1">
        <v>3.7</v>
      </c>
      <c r="F192" s="1">
        <v>1.1000000000000001</v>
      </c>
      <c r="G192">
        <v>-62</v>
      </c>
      <c r="H192">
        <v>-6</v>
      </c>
      <c r="I192">
        <v>-2</v>
      </c>
      <c r="K192" s="1">
        <v>400</v>
      </c>
      <c r="L192" s="1">
        <v>699</v>
      </c>
      <c r="M192" s="1">
        <v>2214</v>
      </c>
      <c r="N192" s="1">
        <v>-34</v>
      </c>
      <c r="O192" s="1">
        <v>2.9</v>
      </c>
      <c r="P192" s="1">
        <v>0.9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569</v>
      </c>
      <c r="C193" s="1">
        <v>1471</v>
      </c>
      <c r="D193" s="1">
        <v>-58.7</v>
      </c>
      <c r="E193" s="1">
        <v>4.7</v>
      </c>
      <c r="F193" s="1">
        <v>1.4</v>
      </c>
      <c r="G193">
        <v>-71</v>
      </c>
      <c r="H193">
        <v>-6</v>
      </c>
      <c r="I193">
        <v>-2</v>
      </c>
      <c r="K193" s="1">
        <v>425</v>
      </c>
      <c r="L193" s="1">
        <v>691</v>
      </c>
      <c r="M193" s="1">
        <v>2165</v>
      </c>
      <c r="N193" s="1">
        <v>-46.1</v>
      </c>
      <c r="O193" s="1">
        <v>3.7</v>
      </c>
      <c r="P193" s="1">
        <v>1.1000000000000001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556</v>
      </c>
      <c r="C194" s="1">
        <v>1402</v>
      </c>
      <c r="D194" s="1">
        <v>-76.099999999999994</v>
      </c>
      <c r="E194" s="1">
        <v>5.8</v>
      </c>
      <c r="F194" s="1">
        <v>1.7</v>
      </c>
      <c r="G194">
        <v>-81</v>
      </c>
      <c r="H194">
        <v>-7</v>
      </c>
      <c r="I194">
        <v>-2</v>
      </c>
      <c r="K194" s="1">
        <v>450</v>
      </c>
      <c r="L194" s="1">
        <v>683</v>
      </c>
      <c r="M194" s="1">
        <v>2116</v>
      </c>
      <c r="N194" s="1">
        <v>-59</v>
      </c>
      <c r="O194" s="1">
        <v>4.5</v>
      </c>
      <c r="P194" s="1">
        <v>1.3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543</v>
      </c>
      <c r="C195" s="1">
        <v>1336</v>
      </c>
      <c r="D195" s="1">
        <v>-95.5</v>
      </c>
      <c r="E195" s="1">
        <v>6.9</v>
      </c>
      <c r="F195" s="1">
        <v>2</v>
      </c>
      <c r="G195">
        <v>-91</v>
      </c>
      <c r="H195">
        <v>-7</v>
      </c>
      <c r="I195">
        <v>-2</v>
      </c>
      <c r="K195" s="1">
        <v>475</v>
      </c>
      <c r="L195" s="1">
        <v>675</v>
      </c>
      <c r="M195" s="1">
        <v>2068</v>
      </c>
      <c r="N195" s="1">
        <v>-73.2</v>
      </c>
      <c r="O195" s="1">
        <v>5.3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530</v>
      </c>
      <c r="C196" s="1">
        <v>1275</v>
      </c>
      <c r="D196" s="1">
        <v>-117.1</v>
      </c>
      <c r="E196" s="1">
        <v>8.1</v>
      </c>
      <c r="F196" s="1">
        <v>2.2999999999999998</v>
      </c>
      <c r="G196">
        <v>-101</v>
      </c>
      <c r="H196">
        <v>-8</v>
      </c>
      <c r="I196">
        <v>-2</v>
      </c>
      <c r="K196" s="1">
        <v>500</v>
      </c>
      <c r="L196" s="1">
        <v>668</v>
      </c>
      <c r="M196" s="1">
        <v>2023</v>
      </c>
      <c r="N196" s="1">
        <v>-88.8</v>
      </c>
      <c r="O196" s="1">
        <v>6.1</v>
      </c>
      <c r="P196" s="1">
        <v>1.8</v>
      </c>
      <c r="Q196" s="1">
        <v>0</v>
      </c>
      <c r="R196" s="1">
        <v>0</v>
      </c>
      <c r="S196" s="1">
        <v>0</v>
      </c>
    </row>
    <row r="198" spans="1:19" x14ac:dyDescent="0.25">
      <c r="A198" t="s">
        <v>70</v>
      </c>
      <c r="K198" t="s">
        <v>95</v>
      </c>
      <c r="L198">
        <f>$B$4</f>
        <v>0.439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34</v>
      </c>
      <c r="H199" t="s">
        <v>35</v>
      </c>
      <c r="I199" t="s">
        <v>36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34</v>
      </c>
      <c r="R199" t="s">
        <v>35</v>
      </c>
      <c r="S199" t="s">
        <v>36</v>
      </c>
    </row>
    <row r="200" spans="1:19" x14ac:dyDescent="0.25">
      <c r="A200" s="1">
        <v>0</v>
      </c>
      <c r="B200" s="1">
        <v>831</v>
      </c>
      <c r="C200" s="1">
        <v>3129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831</v>
      </c>
      <c r="M200" s="1">
        <v>3130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813</v>
      </c>
      <c r="C201" s="1">
        <v>3002</v>
      </c>
      <c r="D201" s="1">
        <v>5.3</v>
      </c>
      <c r="E201" s="1">
        <v>-7.3</v>
      </c>
      <c r="F201" s="1">
        <v>-2.1</v>
      </c>
      <c r="G201">
        <v>0</v>
      </c>
      <c r="H201">
        <v>0</v>
      </c>
      <c r="I201">
        <v>0</v>
      </c>
      <c r="K201" s="1">
        <v>25</v>
      </c>
      <c r="L201" s="1">
        <v>822</v>
      </c>
      <c r="M201" s="1">
        <v>3065</v>
      </c>
      <c r="N201" s="1">
        <v>4</v>
      </c>
      <c r="O201" s="1">
        <v>-5.6</v>
      </c>
      <c r="P201" s="1">
        <v>-1.6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797</v>
      </c>
      <c r="C202" s="1">
        <v>2880</v>
      </c>
      <c r="D202" s="1">
        <v>13.6</v>
      </c>
      <c r="E202" s="1">
        <v>-9.3000000000000007</v>
      </c>
      <c r="F202" s="1">
        <v>-2.7</v>
      </c>
      <c r="G202">
        <v>-1</v>
      </c>
      <c r="H202">
        <v>-1</v>
      </c>
      <c r="I202">
        <v>0</v>
      </c>
      <c r="K202" s="1">
        <v>50</v>
      </c>
      <c r="L202" s="1">
        <v>813</v>
      </c>
      <c r="M202" s="1">
        <v>3001</v>
      </c>
      <c r="N202" s="1">
        <v>11.2</v>
      </c>
      <c r="O202" s="1">
        <v>-7.6</v>
      </c>
      <c r="P202" s="1">
        <v>-2.2000000000000002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780</v>
      </c>
      <c r="C203" s="1">
        <v>2761</v>
      </c>
      <c r="D203" s="1">
        <v>20.8</v>
      </c>
      <c r="E203" s="1">
        <v>-9.5</v>
      </c>
      <c r="F203" s="1">
        <v>-2.8</v>
      </c>
      <c r="G203">
        <v>-2</v>
      </c>
      <c r="H203">
        <v>-1</v>
      </c>
      <c r="I203">
        <v>0</v>
      </c>
      <c r="K203" s="1">
        <v>75</v>
      </c>
      <c r="L203" s="1">
        <v>805</v>
      </c>
      <c r="M203" s="1">
        <v>2939</v>
      </c>
      <c r="N203" s="1">
        <v>17.100000000000001</v>
      </c>
      <c r="O203" s="1">
        <v>-7.8</v>
      </c>
      <c r="P203" s="1">
        <v>-2.2999999999999998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764</v>
      </c>
      <c r="C204" s="1">
        <v>2647</v>
      </c>
      <c r="D204" s="1">
        <v>26.9</v>
      </c>
      <c r="E204" s="1">
        <v>-9.3000000000000007</v>
      </c>
      <c r="F204" s="1">
        <v>-2.7</v>
      </c>
      <c r="G204">
        <v>-4</v>
      </c>
      <c r="H204">
        <v>-1</v>
      </c>
      <c r="I204">
        <v>0</v>
      </c>
      <c r="K204" s="1">
        <v>100</v>
      </c>
      <c r="L204" s="1">
        <v>796</v>
      </c>
      <c r="M204" s="1">
        <v>2877</v>
      </c>
      <c r="N204" s="1">
        <v>22.1</v>
      </c>
      <c r="O204" s="1">
        <v>-7.6</v>
      </c>
      <c r="P204" s="1">
        <v>-2.2000000000000002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748</v>
      </c>
      <c r="C205" s="1">
        <v>2536</v>
      </c>
      <c r="D205" s="1">
        <v>32.1</v>
      </c>
      <c r="E205" s="1">
        <v>-8.8000000000000007</v>
      </c>
      <c r="F205" s="1">
        <v>-2.6</v>
      </c>
      <c r="G205">
        <v>-6</v>
      </c>
      <c r="H205">
        <v>-2</v>
      </c>
      <c r="I205">
        <v>0</v>
      </c>
      <c r="K205" s="1">
        <v>125</v>
      </c>
      <c r="L205" s="1">
        <v>788</v>
      </c>
      <c r="M205" s="1">
        <v>2817</v>
      </c>
      <c r="N205" s="1">
        <v>26.3</v>
      </c>
      <c r="O205" s="1">
        <v>-7.2</v>
      </c>
      <c r="P205" s="1">
        <v>-2.1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732</v>
      </c>
      <c r="C206" s="1">
        <v>2429</v>
      </c>
      <c r="D206" s="1">
        <v>36.1</v>
      </c>
      <c r="E206" s="1">
        <v>-8.3000000000000007</v>
      </c>
      <c r="F206" s="1">
        <v>-2.4</v>
      </c>
      <c r="G206">
        <v>-8</v>
      </c>
      <c r="H206">
        <v>-2</v>
      </c>
      <c r="I206">
        <v>-1</v>
      </c>
      <c r="K206" s="1">
        <v>150</v>
      </c>
      <c r="L206" s="1">
        <v>780</v>
      </c>
      <c r="M206" s="1">
        <v>2758</v>
      </c>
      <c r="N206" s="1">
        <v>29.4</v>
      </c>
      <c r="O206" s="1">
        <v>-6.7</v>
      </c>
      <c r="P206" s="1">
        <v>-2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716</v>
      </c>
      <c r="C207" s="1">
        <v>2326</v>
      </c>
      <c r="D207" s="1">
        <v>38.9</v>
      </c>
      <c r="E207" s="1">
        <v>-7.7</v>
      </c>
      <c r="F207" s="1">
        <v>-2.2000000000000002</v>
      </c>
      <c r="G207">
        <v>-11</v>
      </c>
      <c r="H207">
        <v>-2</v>
      </c>
      <c r="I207">
        <v>-1</v>
      </c>
      <c r="K207" s="1">
        <v>175</v>
      </c>
      <c r="L207" s="1">
        <v>771</v>
      </c>
      <c r="M207" s="1">
        <v>2699</v>
      </c>
      <c r="N207" s="1">
        <v>31.5</v>
      </c>
      <c r="O207" s="1">
        <v>-6.2</v>
      </c>
      <c r="P207" s="1">
        <v>-1.8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700</v>
      </c>
      <c r="C208" s="1">
        <v>2226</v>
      </c>
      <c r="D208" s="1">
        <v>40.6</v>
      </c>
      <c r="E208" s="1">
        <v>-7</v>
      </c>
      <c r="F208" s="1">
        <v>-2</v>
      </c>
      <c r="G208">
        <v>-14</v>
      </c>
      <c r="H208">
        <v>-3</v>
      </c>
      <c r="I208">
        <v>-1</v>
      </c>
      <c r="K208" s="1">
        <v>200</v>
      </c>
      <c r="L208" s="1">
        <v>763</v>
      </c>
      <c r="M208" s="1">
        <v>2641</v>
      </c>
      <c r="N208" s="1">
        <v>32.6</v>
      </c>
      <c r="O208" s="1">
        <v>-5.6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685</v>
      </c>
      <c r="C209" s="1">
        <v>2129</v>
      </c>
      <c r="D209" s="1">
        <v>40.9</v>
      </c>
      <c r="E209" s="1">
        <v>-6.2</v>
      </c>
      <c r="F209" s="1">
        <v>-1.8</v>
      </c>
      <c r="G209">
        <v>-18</v>
      </c>
      <c r="H209">
        <v>-3</v>
      </c>
      <c r="I209">
        <v>-1</v>
      </c>
      <c r="K209" s="1">
        <v>225</v>
      </c>
      <c r="L209" s="1">
        <v>755</v>
      </c>
      <c r="M209" s="1">
        <v>2585</v>
      </c>
      <c r="N209" s="1">
        <v>32.5</v>
      </c>
      <c r="O209" s="1">
        <v>-5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670</v>
      </c>
      <c r="C210" s="1">
        <v>2036</v>
      </c>
      <c r="D210" s="1">
        <v>39.799999999999997</v>
      </c>
      <c r="E210" s="1">
        <v>-5.5</v>
      </c>
      <c r="F210" s="1">
        <v>-1.6</v>
      </c>
      <c r="G210">
        <v>-23</v>
      </c>
      <c r="H210">
        <v>-3</v>
      </c>
      <c r="I210">
        <v>-1</v>
      </c>
      <c r="K210" s="1">
        <v>250</v>
      </c>
      <c r="L210" s="1">
        <v>747</v>
      </c>
      <c r="M210" s="1">
        <v>2529</v>
      </c>
      <c r="N210" s="1">
        <v>31.4</v>
      </c>
      <c r="O210" s="1">
        <v>-4.3</v>
      </c>
      <c r="P210" s="1">
        <v>-1.3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655</v>
      </c>
      <c r="C211" s="1">
        <v>1946</v>
      </c>
      <c r="D211" s="1">
        <v>37.299999999999997</v>
      </c>
      <c r="E211" s="1">
        <v>-4.7</v>
      </c>
      <c r="F211" s="1">
        <v>-1.4</v>
      </c>
      <c r="G211">
        <v>-28</v>
      </c>
      <c r="H211">
        <v>-4</v>
      </c>
      <c r="I211">
        <v>-1</v>
      </c>
      <c r="K211" s="1">
        <v>275</v>
      </c>
      <c r="L211" s="1">
        <v>739</v>
      </c>
      <c r="M211" s="1">
        <v>2474</v>
      </c>
      <c r="N211" s="1">
        <v>29.1</v>
      </c>
      <c r="O211" s="1">
        <v>-3.6</v>
      </c>
      <c r="P211" s="1">
        <v>-1.1000000000000001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640</v>
      </c>
      <c r="C212" s="1">
        <v>1859</v>
      </c>
      <c r="D212" s="1">
        <v>33.4</v>
      </c>
      <c r="E212" s="1">
        <v>-3.8</v>
      </c>
      <c r="F212" s="1">
        <v>-1.1000000000000001</v>
      </c>
      <c r="G212">
        <v>-34</v>
      </c>
      <c r="H212">
        <v>-4</v>
      </c>
      <c r="I212">
        <v>-1</v>
      </c>
      <c r="K212" s="1">
        <v>300</v>
      </c>
      <c r="L212" s="1">
        <v>730</v>
      </c>
      <c r="M212" s="1">
        <v>2421</v>
      </c>
      <c r="N212" s="1">
        <v>25.8</v>
      </c>
      <c r="O212" s="1">
        <v>-3</v>
      </c>
      <c r="P212" s="1">
        <v>-0.9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626</v>
      </c>
      <c r="C213" s="1">
        <v>1775</v>
      </c>
      <c r="D213" s="1">
        <v>27.9</v>
      </c>
      <c r="E213" s="1">
        <v>-3</v>
      </c>
      <c r="F213" s="1">
        <v>-0.9</v>
      </c>
      <c r="G213">
        <v>-40</v>
      </c>
      <c r="H213">
        <v>-5</v>
      </c>
      <c r="I213">
        <v>-1</v>
      </c>
      <c r="K213" s="1">
        <v>325</v>
      </c>
      <c r="L213" s="1">
        <v>722</v>
      </c>
      <c r="M213" s="1">
        <v>2368</v>
      </c>
      <c r="N213" s="1">
        <v>21.3</v>
      </c>
      <c r="O213" s="1">
        <v>-2.2999999999999998</v>
      </c>
      <c r="P213" s="1">
        <v>-0.7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611</v>
      </c>
      <c r="C214" s="1">
        <v>1695</v>
      </c>
      <c r="D214" s="1">
        <v>20.5</v>
      </c>
      <c r="E214" s="1">
        <v>-2</v>
      </c>
      <c r="F214" s="1">
        <v>-0.6</v>
      </c>
      <c r="G214">
        <v>-47</v>
      </c>
      <c r="H214">
        <v>-5</v>
      </c>
      <c r="I214">
        <v>-2</v>
      </c>
      <c r="K214" s="1">
        <v>350</v>
      </c>
      <c r="L214" s="1">
        <v>714</v>
      </c>
      <c r="M214" s="1">
        <v>2316</v>
      </c>
      <c r="N214" s="1">
        <v>15.3</v>
      </c>
      <c r="O214" s="1">
        <v>-1.5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597</v>
      </c>
      <c r="C215" s="1">
        <v>1617</v>
      </c>
      <c r="D215" s="1">
        <v>11.7</v>
      </c>
      <c r="E215" s="1">
        <v>-1.1000000000000001</v>
      </c>
      <c r="F215" s="1">
        <v>-0.3</v>
      </c>
      <c r="G215">
        <v>-54</v>
      </c>
      <c r="H215">
        <v>-5</v>
      </c>
      <c r="I215">
        <v>-2</v>
      </c>
      <c r="K215" s="1">
        <v>375</v>
      </c>
      <c r="L215" s="1">
        <v>707</v>
      </c>
      <c r="M215" s="1">
        <v>2264</v>
      </c>
      <c r="N215" s="1">
        <v>8.4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583</v>
      </c>
      <c r="C216" s="10">
        <v>1543</v>
      </c>
      <c r="D216" s="10">
        <v>1.1000000000000001</v>
      </c>
      <c r="E216" s="10">
        <v>-0.1</v>
      </c>
      <c r="F216" s="10">
        <v>0</v>
      </c>
      <c r="G216">
        <v>-62</v>
      </c>
      <c r="H216">
        <v>-6</v>
      </c>
      <c r="I216">
        <v>-2</v>
      </c>
      <c r="K216" s="1">
        <v>400</v>
      </c>
      <c r="L216" s="1">
        <v>699</v>
      </c>
      <c r="M216" s="1">
        <v>2214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569</v>
      </c>
      <c r="C217" s="1">
        <v>1471</v>
      </c>
      <c r="D217" s="1">
        <v>-12</v>
      </c>
      <c r="E217" s="1">
        <v>1</v>
      </c>
      <c r="F217" s="1">
        <v>0.3</v>
      </c>
      <c r="G217">
        <v>-71</v>
      </c>
      <c r="H217">
        <v>-6</v>
      </c>
      <c r="I217">
        <v>-2</v>
      </c>
      <c r="K217" s="1">
        <v>425</v>
      </c>
      <c r="L217" s="1">
        <v>691</v>
      </c>
      <c r="M217" s="1">
        <v>2165</v>
      </c>
      <c r="N217" s="1">
        <v>-9.6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556</v>
      </c>
      <c r="C218" s="1">
        <v>1402</v>
      </c>
      <c r="D218" s="1">
        <v>-26.6</v>
      </c>
      <c r="E218" s="1">
        <v>2</v>
      </c>
      <c r="F218" s="1">
        <v>0.6</v>
      </c>
      <c r="G218">
        <v>-81</v>
      </c>
      <c r="H218">
        <v>-7</v>
      </c>
      <c r="I218">
        <v>-2</v>
      </c>
      <c r="K218" s="1">
        <v>450</v>
      </c>
      <c r="L218" s="1">
        <v>683</v>
      </c>
      <c r="M218" s="1">
        <v>2116</v>
      </c>
      <c r="N218" s="1">
        <v>-20.399999999999999</v>
      </c>
      <c r="O218" s="1">
        <v>1.6</v>
      </c>
      <c r="P218" s="1">
        <v>0.5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543</v>
      </c>
      <c r="C219" s="1">
        <v>1336</v>
      </c>
      <c r="D219" s="1">
        <v>-43.2</v>
      </c>
      <c r="E219" s="1">
        <v>3.1</v>
      </c>
      <c r="F219" s="1">
        <v>0.9</v>
      </c>
      <c r="G219">
        <v>-91</v>
      </c>
      <c r="H219">
        <v>-7</v>
      </c>
      <c r="I219">
        <v>-2</v>
      </c>
      <c r="K219" s="1">
        <v>475</v>
      </c>
      <c r="L219" s="1">
        <v>675</v>
      </c>
      <c r="M219" s="1">
        <v>2068</v>
      </c>
      <c r="N219" s="1">
        <v>-32.5</v>
      </c>
      <c r="O219" s="1">
        <v>2.4</v>
      </c>
      <c r="P219" s="1">
        <v>0.7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530</v>
      </c>
      <c r="C220" s="1">
        <v>1275</v>
      </c>
      <c r="D220" s="1">
        <v>-62.1</v>
      </c>
      <c r="E220" s="1">
        <v>4.3</v>
      </c>
      <c r="F220" s="1">
        <v>1.2</v>
      </c>
      <c r="G220">
        <v>-101</v>
      </c>
      <c r="H220">
        <v>-8</v>
      </c>
      <c r="I220">
        <v>-2</v>
      </c>
      <c r="K220" s="1">
        <v>500</v>
      </c>
      <c r="L220" s="1">
        <v>668</v>
      </c>
      <c r="M220" s="1">
        <v>2023</v>
      </c>
      <c r="N220" s="1">
        <v>-46</v>
      </c>
      <c r="O220" s="1">
        <v>3.2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69</v>
      </c>
      <c r="K222" t="s">
        <v>96</v>
      </c>
      <c r="L222">
        <f>$B$4</f>
        <v>0.439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34</v>
      </c>
      <c r="H223" t="s">
        <v>35</v>
      </c>
      <c r="I223" t="s">
        <v>36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34</v>
      </c>
      <c r="R223" t="s">
        <v>35</v>
      </c>
      <c r="S223" t="s">
        <v>36</v>
      </c>
    </row>
    <row r="224" spans="1:19" x14ac:dyDescent="0.25">
      <c r="A224" s="1">
        <v>0</v>
      </c>
      <c r="B224" s="1">
        <v>831</v>
      </c>
      <c r="C224" s="1">
        <v>3129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831</v>
      </c>
      <c r="M224" s="1">
        <v>3130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813</v>
      </c>
      <c r="C225" s="1">
        <v>3002</v>
      </c>
      <c r="D225" s="1">
        <v>8.5</v>
      </c>
      <c r="E225" s="1">
        <v>-11.7</v>
      </c>
      <c r="F225" s="1">
        <v>-3.4</v>
      </c>
      <c r="G225" s="2">
        <v>0</v>
      </c>
      <c r="H225" s="2">
        <v>0</v>
      </c>
      <c r="I225" s="2">
        <v>0</v>
      </c>
      <c r="K225" s="1">
        <v>25</v>
      </c>
      <c r="L225" s="1">
        <v>822</v>
      </c>
      <c r="M225" s="1">
        <v>3065</v>
      </c>
      <c r="N225" s="1">
        <v>6.3</v>
      </c>
      <c r="O225" s="1">
        <v>-8.8000000000000007</v>
      </c>
      <c r="P225" s="1">
        <v>-2.5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797</v>
      </c>
      <c r="C226" s="1">
        <v>2880</v>
      </c>
      <c r="D226" s="1">
        <v>20.2</v>
      </c>
      <c r="E226" s="1">
        <v>-13.7</v>
      </c>
      <c r="F226" s="1">
        <v>-4</v>
      </c>
      <c r="G226" s="2">
        <v>-1</v>
      </c>
      <c r="H226" s="2">
        <v>-1</v>
      </c>
      <c r="I226" s="2">
        <v>0</v>
      </c>
      <c r="K226" s="1">
        <v>50</v>
      </c>
      <c r="L226" s="1">
        <v>813</v>
      </c>
      <c r="M226" s="1">
        <v>3001</v>
      </c>
      <c r="N226" s="1">
        <v>15.8</v>
      </c>
      <c r="O226" s="1">
        <v>-10.8</v>
      </c>
      <c r="P226" s="1">
        <v>-3.1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780</v>
      </c>
      <c r="C227" s="1">
        <v>2761</v>
      </c>
      <c r="D227" s="1">
        <v>30.5</v>
      </c>
      <c r="E227" s="1">
        <v>-14</v>
      </c>
      <c r="F227" s="1">
        <v>-4.0999999999999996</v>
      </c>
      <c r="G227" s="2">
        <v>-2</v>
      </c>
      <c r="H227" s="2">
        <v>-1</v>
      </c>
      <c r="I227" s="2">
        <v>0</v>
      </c>
      <c r="K227" s="1">
        <v>75</v>
      </c>
      <c r="L227" s="1">
        <v>805</v>
      </c>
      <c r="M227" s="1">
        <v>2939</v>
      </c>
      <c r="N227" s="1">
        <v>24.1</v>
      </c>
      <c r="O227" s="1">
        <v>-11</v>
      </c>
      <c r="P227" s="1">
        <v>-3.2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764</v>
      </c>
      <c r="C228" s="1">
        <v>2647</v>
      </c>
      <c r="D228" s="1">
        <v>39.799999999999997</v>
      </c>
      <c r="E228" s="1">
        <v>-13.7</v>
      </c>
      <c r="F228" s="1">
        <v>-4</v>
      </c>
      <c r="G228" s="2">
        <v>-4</v>
      </c>
      <c r="H228" s="2">
        <v>-1</v>
      </c>
      <c r="I228" s="2">
        <v>0</v>
      </c>
      <c r="K228" s="1">
        <v>100</v>
      </c>
      <c r="L228" s="1">
        <v>796</v>
      </c>
      <c r="M228" s="1">
        <v>2877</v>
      </c>
      <c r="N228" s="1">
        <v>31.4</v>
      </c>
      <c r="O228" s="1">
        <v>-10.8</v>
      </c>
      <c r="P228" s="1">
        <v>-3.1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748</v>
      </c>
      <c r="C229" s="1">
        <v>2536</v>
      </c>
      <c r="D229" s="1">
        <v>48.4</v>
      </c>
      <c r="E229" s="1">
        <v>-13.3</v>
      </c>
      <c r="F229" s="1">
        <v>-3.9</v>
      </c>
      <c r="G229" s="2">
        <v>-6</v>
      </c>
      <c r="H229" s="2">
        <v>-2</v>
      </c>
      <c r="I229" s="2">
        <v>0</v>
      </c>
      <c r="K229" s="1">
        <v>125</v>
      </c>
      <c r="L229" s="1">
        <v>788</v>
      </c>
      <c r="M229" s="1">
        <v>2817</v>
      </c>
      <c r="N229" s="1">
        <v>38</v>
      </c>
      <c r="O229" s="1">
        <v>-10.4</v>
      </c>
      <c r="P229" s="1">
        <v>-3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732</v>
      </c>
      <c r="C230" s="1">
        <v>2429</v>
      </c>
      <c r="D230" s="1">
        <v>55.5</v>
      </c>
      <c r="E230" s="1">
        <v>-12.7</v>
      </c>
      <c r="F230" s="1">
        <v>-3.7</v>
      </c>
      <c r="G230" s="2">
        <v>-8</v>
      </c>
      <c r="H230" s="2">
        <v>-2</v>
      </c>
      <c r="I230" s="2">
        <v>-1</v>
      </c>
      <c r="K230" s="1">
        <v>150</v>
      </c>
      <c r="L230" s="1">
        <v>780</v>
      </c>
      <c r="M230" s="1">
        <v>2758</v>
      </c>
      <c r="N230" s="1">
        <v>43.3</v>
      </c>
      <c r="O230" s="1">
        <v>-9.9</v>
      </c>
      <c r="P230" s="1">
        <v>-2.9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716</v>
      </c>
      <c r="C231" s="1">
        <v>2326</v>
      </c>
      <c r="D231" s="1">
        <v>61.5</v>
      </c>
      <c r="E231" s="1">
        <v>-12.1</v>
      </c>
      <c r="F231" s="1">
        <v>-3.5</v>
      </c>
      <c r="G231" s="2">
        <v>-11</v>
      </c>
      <c r="H231" s="2">
        <v>-2</v>
      </c>
      <c r="I231" s="2">
        <v>-1</v>
      </c>
      <c r="K231" s="1">
        <v>175</v>
      </c>
      <c r="L231" s="1">
        <v>771</v>
      </c>
      <c r="M231" s="1">
        <v>2699</v>
      </c>
      <c r="N231" s="1">
        <v>47.7</v>
      </c>
      <c r="O231" s="1">
        <v>-9.4</v>
      </c>
      <c r="P231" s="1">
        <v>-2.7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700</v>
      </c>
      <c r="C232" s="1">
        <v>2226</v>
      </c>
      <c r="D232" s="1">
        <v>66.5</v>
      </c>
      <c r="E232" s="1">
        <v>-11.4</v>
      </c>
      <c r="F232" s="1">
        <v>-3.3</v>
      </c>
      <c r="G232" s="2">
        <v>-14</v>
      </c>
      <c r="H232" s="2">
        <v>-3</v>
      </c>
      <c r="I232" s="2">
        <v>-1</v>
      </c>
      <c r="K232" s="1">
        <v>200</v>
      </c>
      <c r="L232" s="1">
        <v>763</v>
      </c>
      <c r="M232" s="1">
        <v>2641</v>
      </c>
      <c r="N232" s="1">
        <v>51.2</v>
      </c>
      <c r="O232" s="1">
        <v>-8.8000000000000007</v>
      </c>
      <c r="P232" s="1">
        <v>-2.6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685</v>
      </c>
      <c r="C233" s="1">
        <v>2129</v>
      </c>
      <c r="D233" s="1">
        <v>70</v>
      </c>
      <c r="E233" s="1">
        <v>-10.7</v>
      </c>
      <c r="F233" s="1">
        <v>-3.1</v>
      </c>
      <c r="G233" s="2">
        <v>-18</v>
      </c>
      <c r="H233" s="2">
        <v>-3</v>
      </c>
      <c r="I233" s="2">
        <v>-1</v>
      </c>
      <c r="K233" s="1">
        <v>225</v>
      </c>
      <c r="L233" s="1">
        <v>755</v>
      </c>
      <c r="M233" s="1">
        <v>2585</v>
      </c>
      <c r="N233" s="1">
        <v>53.4</v>
      </c>
      <c r="O233" s="1">
        <v>-8.1999999999999993</v>
      </c>
      <c r="P233" s="1">
        <v>-2.4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670</v>
      </c>
      <c r="C234" s="1">
        <v>2036</v>
      </c>
      <c r="D234" s="1">
        <v>72.099999999999994</v>
      </c>
      <c r="E234" s="1">
        <v>-9.9</v>
      </c>
      <c r="F234" s="1">
        <v>-2.9</v>
      </c>
      <c r="G234" s="2">
        <v>-23</v>
      </c>
      <c r="H234" s="2">
        <v>-3</v>
      </c>
      <c r="I234" s="2">
        <v>-1</v>
      </c>
      <c r="K234" s="1">
        <v>250</v>
      </c>
      <c r="L234" s="1">
        <v>747</v>
      </c>
      <c r="M234" s="1">
        <v>2529</v>
      </c>
      <c r="N234" s="1">
        <v>54.6</v>
      </c>
      <c r="O234" s="1">
        <v>-7.5</v>
      </c>
      <c r="P234" s="1">
        <v>-2.2000000000000002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655</v>
      </c>
      <c r="C235" s="1">
        <v>1946</v>
      </c>
      <c r="D235" s="1">
        <v>72.900000000000006</v>
      </c>
      <c r="E235" s="1">
        <v>-9.1</v>
      </c>
      <c r="F235" s="1">
        <v>-2.6</v>
      </c>
      <c r="G235" s="2">
        <v>-28</v>
      </c>
      <c r="H235" s="2">
        <v>-4</v>
      </c>
      <c r="I235" s="2">
        <v>-1</v>
      </c>
      <c r="K235" s="1">
        <v>275</v>
      </c>
      <c r="L235" s="1">
        <v>739</v>
      </c>
      <c r="M235" s="1">
        <v>2474</v>
      </c>
      <c r="N235" s="1">
        <v>54.7</v>
      </c>
      <c r="O235" s="1">
        <v>-6.8</v>
      </c>
      <c r="P235" s="1">
        <v>-2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640</v>
      </c>
      <c r="C236" s="1">
        <v>1859</v>
      </c>
      <c r="D236" s="1">
        <v>72.2</v>
      </c>
      <c r="E236" s="1">
        <v>-8.3000000000000007</v>
      </c>
      <c r="F236" s="1">
        <v>-2.4</v>
      </c>
      <c r="G236" s="2">
        <v>-34</v>
      </c>
      <c r="H236" s="2">
        <v>-4</v>
      </c>
      <c r="I236" s="2">
        <v>-1</v>
      </c>
      <c r="K236" s="1">
        <v>300</v>
      </c>
      <c r="L236" s="1">
        <v>730</v>
      </c>
      <c r="M236" s="1">
        <v>2421</v>
      </c>
      <c r="N236" s="1">
        <v>53.6</v>
      </c>
      <c r="O236" s="1">
        <v>-6.1</v>
      </c>
      <c r="P236" s="1">
        <v>-1.8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626</v>
      </c>
      <c r="C237" s="1">
        <v>1775</v>
      </c>
      <c r="D237" s="1">
        <v>69.900000000000006</v>
      </c>
      <c r="E237" s="1">
        <v>-7.4</v>
      </c>
      <c r="F237" s="1">
        <v>-2.2000000000000002</v>
      </c>
      <c r="G237" s="2">
        <v>-40</v>
      </c>
      <c r="H237" s="2">
        <v>-5</v>
      </c>
      <c r="I237" s="2">
        <v>-1</v>
      </c>
      <c r="K237" s="1">
        <v>325</v>
      </c>
      <c r="L237" s="1">
        <v>722</v>
      </c>
      <c r="M237" s="1">
        <v>2368</v>
      </c>
      <c r="N237" s="1">
        <v>51.4</v>
      </c>
      <c r="O237" s="1">
        <v>-5.4</v>
      </c>
      <c r="P237" s="1">
        <v>-1.6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611</v>
      </c>
      <c r="C238" s="1">
        <v>1695</v>
      </c>
      <c r="D238" s="1">
        <v>65.900000000000006</v>
      </c>
      <c r="E238" s="1">
        <v>-6.5</v>
      </c>
      <c r="F238" s="1">
        <v>-1.9</v>
      </c>
      <c r="G238" s="2">
        <v>-47</v>
      </c>
      <c r="H238" s="2">
        <v>-5</v>
      </c>
      <c r="I238" s="2">
        <v>-2</v>
      </c>
      <c r="K238" s="1">
        <v>350</v>
      </c>
      <c r="L238" s="1">
        <v>714</v>
      </c>
      <c r="M238" s="1">
        <v>2316</v>
      </c>
      <c r="N238" s="1">
        <v>47.9</v>
      </c>
      <c r="O238" s="1">
        <v>-4.7</v>
      </c>
      <c r="P238" s="1">
        <v>-1.4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597</v>
      </c>
      <c r="C239" s="1">
        <v>1617</v>
      </c>
      <c r="D239" s="1">
        <v>60.2</v>
      </c>
      <c r="E239" s="1">
        <v>-5.5</v>
      </c>
      <c r="F239" s="1">
        <v>-1.6</v>
      </c>
      <c r="G239" s="2">
        <v>-54</v>
      </c>
      <c r="H239" s="2">
        <v>-5</v>
      </c>
      <c r="I239" s="2">
        <v>-2</v>
      </c>
      <c r="K239" s="1">
        <v>375</v>
      </c>
      <c r="L239" s="1">
        <v>707</v>
      </c>
      <c r="M239" s="1">
        <v>2264</v>
      </c>
      <c r="N239" s="1">
        <v>43.2</v>
      </c>
      <c r="O239" s="1">
        <v>-4</v>
      </c>
      <c r="P239" s="1">
        <v>-1.2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583</v>
      </c>
      <c r="C240" s="1">
        <v>1542</v>
      </c>
      <c r="D240" s="1">
        <v>52.8</v>
      </c>
      <c r="E240" s="1">
        <v>-4.5</v>
      </c>
      <c r="F240" s="1">
        <v>-1.3</v>
      </c>
      <c r="G240" s="2">
        <v>-62</v>
      </c>
      <c r="H240" s="2">
        <v>-6</v>
      </c>
      <c r="I240" s="2">
        <v>-2</v>
      </c>
      <c r="K240" s="1">
        <v>400</v>
      </c>
      <c r="L240" s="1">
        <v>699</v>
      </c>
      <c r="M240" s="1">
        <v>2214</v>
      </c>
      <c r="N240" s="1">
        <v>37.299999999999997</v>
      </c>
      <c r="O240" s="1">
        <v>-3.2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569</v>
      </c>
      <c r="C241" s="1">
        <v>1471</v>
      </c>
      <c r="D241" s="1">
        <v>43.1</v>
      </c>
      <c r="E241" s="1">
        <v>-3.5</v>
      </c>
      <c r="F241" s="1">
        <v>-1</v>
      </c>
      <c r="G241" s="2">
        <v>-71</v>
      </c>
      <c r="H241" s="2">
        <v>-6</v>
      </c>
      <c r="I241" s="2">
        <v>-2</v>
      </c>
      <c r="K241" s="1">
        <v>425</v>
      </c>
      <c r="L241" s="1">
        <v>691</v>
      </c>
      <c r="M241" s="1">
        <v>2165</v>
      </c>
      <c r="N241" s="1">
        <v>29.9</v>
      </c>
      <c r="O241" s="1">
        <v>-2.4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556</v>
      </c>
      <c r="C242" s="1">
        <v>1402</v>
      </c>
      <c r="D242" s="1">
        <v>31.7</v>
      </c>
      <c r="E242" s="1">
        <v>-2.4</v>
      </c>
      <c r="F242" s="1">
        <v>-0.7</v>
      </c>
      <c r="G242" s="2">
        <v>-81</v>
      </c>
      <c r="H242" s="2">
        <v>-7</v>
      </c>
      <c r="I242" s="2">
        <v>-2</v>
      </c>
      <c r="K242" s="1">
        <v>450</v>
      </c>
      <c r="L242" s="1">
        <v>683</v>
      </c>
      <c r="M242" s="1">
        <v>2116</v>
      </c>
      <c r="N242" s="1">
        <v>21.4</v>
      </c>
      <c r="O242" s="1">
        <v>-1.6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543</v>
      </c>
      <c r="C243" s="1">
        <v>1336</v>
      </c>
      <c r="D243" s="1">
        <v>18.2</v>
      </c>
      <c r="E243" s="1">
        <v>-1.3</v>
      </c>
      <c r="F243" s="1">
        <v>-0.4</v>
      </c>
      <c r="G243" s="2">
        <v>-91</v>
      </c>
      <c r="H243" s="2">
        <v>-7</v>
      </c>
      <c r="I243" s="2">
        <v>-2</v>
      </c>
      <c r="K243" s="1">
        <v>475</v>
      </c>
      <c r="L243" s="1">
        <v>675</v>
      </c>
      <c r="M243" s="1">
        <v>2068</v>
      </c>
      <c r="N243" s="1">
        <v>11.6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0">
        <v>500</v>
      </c>
      <c r="B244" s="10">
        <v>530</v>
      </c>
      <c r="C244" s="10">
        <v>1275</v>
      </c>
      <c r="D244" s="10">
        <v>2.5</v>
      </c>
      <c r="E244" s="10">
        <v>-0.2</v>
      </c>
      <c r="F244" s="10">
        <v>0</v>
      </c>
      <c r="G244" s="2">
        <v>-101</v>
      </c>
      <c r="H244" s="2">
        <v>-8</v>
      </c>
      <c r="I244" s="2">
        <v>-2</v>
      </c>
      <c r="K244" s="1">
        <v>500</v>
      </c>
      <c r="L244" s="1">
        <v>668</v>
      </c>
      <c r="M244" s="1">
        <v>2023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t="s">
        <v>41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32</v>
      </c>
      <c r="H246" s="13" t="s">
        <v>33</v>
      </c>
      <c r="I246" s="19" t="s">
        <v>42</v>
      </c>
    </row>
    <row r="247" spans="1:19" x14ac:dyDescent="0.25">
      <c r="A247" t="s">
        <v>43</v>
      </c>
      <c r="B247" s="20" cm="1">
        <f t="array" ref="B247">INDEX(LINEST(J$22:J$35,$A$22:$A$35^{1,2,3}), 1,4)</f>
        <v>-5.8848323146934085</v>
      </c>
      <c r="C247" s="20" cm="1">
        <f t="array" ref="C247">INDEX(LINEST(K$22:K$35,$A$22:$A$35^{1,2,3}), 1,4)</f>
        <v>-5.0517354146842059</v>
      </c>
      <c r="D247" s="21" cm="1">
        <f t="array" ref="D247">INDEX(LINEST(L$22:L$35,$A$22:$A$35^{1,2,3}), 1,4)</f>
        <v>-6.1046910959232159</v>
      </c>
      <c r="E247" s="21" cm="1">
        <f t="array" ref="E247">INDEX(LINEST(M$22:M$35,$A$22:$A$35^{1,2,3}), 1,4)</f>
        <v>-5.2742060376103037</v>
      </c>
      <c r="F247" s="21" cm="1">
        <f t="array" ref="F247">INDEX(LINEST(N$22:N$35,$A$22:$A$35^{1,2,3}), 1,4)</f>
        <v>-4.2726544146545429</v>
      </c>
      <c r="G247" s="21" cm="1">
        <f t="array" ref="G247">INDEX(LINEST(O$22:O$35,$A$22:$A$35^{1,2,3}), 1,4)</f>
        <v>-5.4259861697866967</v>
      </c>
      <c r="H247" s="21" cm="1">
        <f t="array" ref="H247">INDEX(LINEST(P$22:P$35,$A$22:$A$35^{1,2,3}), 1,4)</f>
        <v>-5.3969424992302084</v>
      </c>
      <c r="I247" s="21" cm="1">
        <f t="array" ref="I247">INDEX(LINEST(B$22:B$35,$A$22:$A$35^{1,2,3}), 1,4)</f>
        <v>3131.0964917311439</v>
      </c>
    </row>
    <row r="248" spans="1:19" x14ac:dyDescent="0.25">
      <c r="A248" t="s">
        <v>44</v>
      </c>
      <c r="B248" s="21" cm="1">
        <f t="array" ref="B248">INDEX(LINEST(J$22:J$35,$A$22:$A$35^{1,2,3}), 1,3)</f>
        <v>0.18511599669470294</v>
      </c>
      <c r="C248" s="20" cm="1">
        <f t="array" ref="C248">INDEX(LINEST(K$22:K$35,$A$22:$A$35^{1,2,3}), 1,3)</f>
        <v>0.10750299154181166</v>
      </c>
      <c r="D248" s="21" cm="1">
        <f t="array" ref="D248">INDEX(LINEST(L$22:L$35,$A$22:$A$35^{1,2,3}), 1,3)</f>
        <v>0.17836613238399798</v>
      </c>
      <c r="E248" s="21" cm="1">
        <f t="array" ref="E248">INDEX(LINEST(M$22:M$35,$A$22:$A$35^{1,2,3}), 1,3)</f>
        <v>0.17953742122424404</v>
      </c>
      <c r="F248" s="21" cm="1">
        <f t="array" ref="F248">INDEX(LINEST(N$22:N$35,$A$22:$A$35^{1,2,3}), 1,3)</f>
        <v>0.21854888029400321</v>
      </c>
      <c r="G248" s="21" cm="1">
        <f t="array" ref="G248">INDEX(LINEST(O$22:O$35,$A$22:$A$35^{1,2,3}), 1,3)</f>
        <v>0.3180134277833192</v>
      </c>
      <c r="H248" s="21" cm="1">
        <f t="array" ref="H248">INDEX(LINEST(P$22:P$35,$A$22:$A$35^{1,2,3}), 1,3)</f>
        <v>0.42946305042064237</v>
      </c>
      <c r="I248" s="21" cm="1">
        <f t="array" ref="I248">INDEX(LINEST(B$22:B$35,$A$22:$A$35^{1,2,3}), 1,3)</f>
        <v>-2.4418340751538463</v>
      </c>
    </row>
    <row r="249" spans="1:19" x14ac:dyDescent="0.25">
      <c r="A249" t="s">
        <v>45</v>
      </c>
      <c r="B249" s="21" cm="1">
        <f t="array" ref="B249">INDEX(LINEST(J$22:J$35,$A$22:$A$35^{1,2,3}), 1,2)</f>
        <v>-6.1548881723697847E-4</v>
      </c>
      <c r="C249" s="21" cm="1">
        <f t="array" ref="C249">INDEX(LINEST(K$22:K$35,$A$22:$A$35^{1,2,3}), 1,2)</f>
        <v>-5.3101878865112473E-4</v>
      </c>
      <c r="D249" s="21" cm="1">
        <f t="array" ref="D249">INDEX(LINEST(L$22:L$35,$A$22:$A$35^{1,2,3}), 1,2)</f>
        <v>-9.0458066444509908E-4</v>
      </c>
      <c r="E249" s="21" cm="1">
        <f t="array" ref="E249">INDEX(LINEST(M$22:M$35,$A$22:$A$35^{1,2,3}), 1,2)</f>
        <v>-6.6459943202504376E-4</v>
      </c>
      <c r="F249" s="21" cm="1">
        <f t="array" ref="F249">INDEX(LINEST(N$22:N$35,$A$22:$A$35^{1,2,3}), 1,2)</f>
        <v>-4.5714282718413663E-4</v>
      </c>
      <c r="G249" s="21" cm="1">
        <f t="array" ref="G249">INDEX(LINEST(O$22:O$35,$A$22:$A$35^{1,2,3}), 1,2)</f>
        <v>-4.8890156754730421E-4</v>
      </c>
      <c r="H249" s="21" cm="1">
        <f t="array" ref="H249">INDEX(LINEST(P$22:P$35,$A$22:$A$35^{1,2,3}), 1,2)</f>
        <v>-6.6262516119549762E-4</v>
      </c>
      <c r="I249" s="21" cm="1">
        <f t="array" ref="I249">INDEX(LINEST(B$22:B$35,$A$22:$A$35^{1,2,3}), 1,2)</f>
        <v>4.3583372914361354E-4</v>
      </c>
    </row>
    <row r="250" spans="1:19" x14ac:dyDescent="0.25">
      <c r="A250" t="s">
        <v>46</v>
      </c>
      <c r="B250" s="20" cm="1">
        <f t="array" ref="B250">INDEX(LINEST(J$22:J$35,$A$22:$A$35^{1,2,3}), 1)</f>
        <v>-7.797226513138071E-7</v>
      </c>
      <c r="C250" s="20" cm="1">
        <f t="array" ref="C250">INDEX(LINEST(K$22:K$35,$A$22:$A$35^{1,2,3}), 1)</f>
        <v>-6.0493809095296037E-7</v>
      </c>
      <c r="D250" s="21" cm="1">
        <f t="array" ref="D250">INDEX(LINEST(L$22:L$35,$A$22:$A$35^{1,2,3}), 1)</f>
        <v>-2.7926105117420634E-9</v>
      </c>
      <c r="E250" s="21" cm="1">
        <f t="array" ref="E250">INDEX(LINEST(M$22:M$35,$A$22:$A$35^{1,2,3}), 1)</f>
        <v>-3.9940779343279301E-7</v>
      </c>
      <c r="F250" s="21" cm="1">
        <f t="array" ref="F250">INDEX(LINEST(N$22:N$35,$A$22:$A$35^{1,2,3}), 1)</f>
        <v>-6.7639149573689935E-7</v>
      </c>
      <c r="G250" s="21" cm="1">
        <f t="array" ref="G250">INDEX(LINEST(O$22:O$35,$A$22:$A$35^{1,2,3}), 1)</f>
        <v>-6.5969298291991523E-7</v>
      </c>
      <c r="H250" s="21" cm="1">
        <f t="array" ref="H250">INDEX(LINEST(P$22:P$35,$A$22:$A$35^{1,2,3}), 1)</f>
        <v>-3.4630113620165415E-7</v>
      </c>
      <c r="I250" s="21" cm="1">
        <f t="array" ref="I250">INDEX(LINEST(B$22:B$35,$A$22:$A$35^{1,2,3}), 1)</f>
        <v>3.142621599860155E-7</v>
      </c>
    </row>
    <row r="251" spans="1:19" x14ac:dyDescent="0.25">
      <c r="A251" t="s">
        <v>47</v>
      </c>
      <c r="B251" s="20"/>
      <c r="C251" s="20"/>
      <c r="D251" s="21"/>
      <c r="E251" s="21"/>
      <c r="F251" s="21"/>
      <c r="G251" s="21"/>
      <c r="H251" s="21"/>
      <c r="I251" s="21"/>
    </row>
    <row r="252" spans="1:19" x14ac:dyDescent="0.25">
      <c r="A252" t="s">
        <v>48</v>
      </c>
      <c r="B252" s="20"/>
      <c r="C252" s="20"/>
      <c r="D252" s="21"/>
      <c r="E252" s="21"/>
      <c r="F252" s="21"/>
      <c r="G252" s="21"/>
      <c r="H252" s="21"/>
      <c r="I252" s="21"/>
    </row>
    <row r="253" spans="1:19" x14ac:dyDescent="0.25">
      <c r="A253" t="s">
        <v>49</v>
      </c>
      <c r="B253" s="20"/>
      <c r="C253" s="20"/>
      <c r="D253" s="21"/>
      <c r="E253" s="21"/>
      <c r="F253" s="21"/>
      <c r="G253" s="21"/>
      <c r="H253" s="21"/>
      <c r="I253" s="21"/>
    </row>
    <row r="254" spans="1:19" x14ac:dyDescent="0.25">
      <c r="B254" s="20"/>
      <c r="C254" s="20"/>
      <c r="D254" s="20"/>
      <c r="E254" s="20"/>
      <c r="F254" s="20"/>
      <c r="G254" s="20"/>
      <c r="H254" s="20"/>
      <c r="I254" s="20"/>
    </row>
    <row r="255" spans="1:19" x14ac:dyDescent="0.25">
      <c r="A255" t="s">
        <v>50</v>
      </c>
    </row>
    <row r="256" spans="1:19" x14ac:dyDescent="0.25">
      <c r="A256" s="22" t="s">
        <v>4</v>
      </c>
      <c r="B256" s="23"/>
      <c r="C256" s="23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3131.0964917311439</v>
      </c>
    </row>
    <row r="258" spans="1:9" x14ac:dyDescent="0.25">
      <c r="A258" s="1">
        <v>25</v>
      </c>
      <c r="B258" s="2" cm="1">
        <f t="array" ref="B258">TrajectoryToComeUp(B$247:B$250,$A258)</f>
        <v>0.66151842981028997</v>
      </c>
      <c r="C258" s="2" cm="1">
        <f t="array" ref="C258">TrajectoryToComeUp(C$247:C$250,$A258)</f>
        <v>1.0821998106868032</v>
      </c>
      <c r="D258" s="2" cm="1">
        <f t="array" ref="D258">TrajectoryToComeUp(D$247:D$250,$A258)</f>
        <v>0.88437773445627976</v>
      </c>
      <c r="E258" s="2" cm="1">
        <f t="array" ref="E258">TrajectoryToComeUp(E$247:E$250,$A258)</f>
        <v>0.48295435951689697</v>
      </c>
      <c r="F258" s="2" cm="1">
        <f t="array" ref="F258">TrajectoryToComeUp(F$247:F$250,$A258)</f>
        <v>-0.35791388343382519</v>
      </c>
      <c r="G258" s="2" cm="1">
        <f t="array" ref="G258">TrajectoryToComeUp(G$247:G$250,$A258)</f>
        <v>-0.88339133688843763</v>
      </c>
      <c r="H258" s="2" cm="1">
        <f t="array" ref="H258">TrajectoryToComeUp(H$247:H$250,$A258)</f>
        <v>-1.9680328321142058</v>
      </c>
      <c r="I258" s="2" cm="1">
        <f t="array" ref="I258">EvaluatePolynomial(I$247:I$250,$A258)</f>
        <v>3070.3279462792625</v>
      </c>
    </row>
    <row r="259" spans="1:9" x14ac:dyDescent="0.25">
      <c r="A259" s="1">
        <v>50</v>
      </c>
      <c r="B259" s="2" cm="1">
        <f t="array" ref="B259">TrajectoryToComeUp(B$247:B$250,$A259)</f>
        <v>-0.3469560291070134</v>
      </c>
      <c r="C259" s="2" cm="1">
        <f t="array" ref="C259">TrajectoryToComeUp(C$247:C$250,$A259)</f>
        <v>0.21595001411811099</v>
      </c>
      <c r="D259" s="2" cm="1">
        <f t="array" ref="D259">TrajectoryToComeUp(D$247:D$250,$A259)</f>
        <v>-0.11036295716999356</v>
      </c>
      <c r="E259" s="2" cm="1">
        <f t="array" ref="E259">TrajectoryToComeUp(E$247:E$250,$A259)</f>
        <v>-0.39824809387203808</v>
      </c>
      <c r="F259" s="2" cm="1">
        <f t="array" ref="F259">TrajectoryToComeUp(F$247:F$250,$A259)</f>
        <v>-1.0854767190236327</v>
      </c>
      <c r="G259" s="2" cm="1">
        <f t="array" ref="G259">TrajectoryToComeUp(G$247:G$250,$A259)</f>
        <v>-1.8339939355292023</v>
      </c>
      <c r="H259" s="2" cm="1">
        <f t="array" ref="H259">TrajectoryToComeUp(H$247:H$250,$A259)</f>
        <v>-2.8752718953575918</v>
      </c>
      <c r="I259" s="2" cm="1">
        <f t="array" ref="I259">EvaluatePolynomial(I$247:I$250,$A259)</f>
        <v>3010.1336550663091</v>
      </c>
    </row>
    <row r="260" spans="1:9" x14ac:dyDescent="0.25">
      <c r="A260" s="1">
        <v>75</v>
      </c>
      <c r="B260" s="2" cm="1">
        <f t="array" ref="B260">TrajectoryToComeUp(B$247:B$250,$A260)</f>
        <v>-0.56103964625710601</v>
      </c>
      <c r="C260" s="2" cm="1">
        <f t="array" ref="C260">TrajectoryToComeUp(C$247:C$250,$A260)</f>
        <v>3.0826665644225065E-2</v>
      </c>
      <c r="D260" s="2" cm="1">
        <f t="array" ref="D260">TrajectoryToComeUp(D$247:D$250,$A260)</f>
        <v>-0.29110992837510796</v>
      </c>
      <c r="E260" s="2" cm="1">
        <f t="array" ref="E260">TrajectoryToComeUp(E$247:E$250,$A260)</f>
        <v>-0.57123047816168926</v>
      </c>
      <c r="F260" s="2" cm="1">
        <f t="array" ref="F260">TrajectoryToComeUp(F$247:F$250,$A260)</f>
        <v>-1.2348974056294564</v>
      </c>
      <c r="G260" s="2" cm="1">
        <f t="array" ref="G260">TrajectoryToComeUp(G$247:G$250,$A260)</f>
        <v>-2.0528855492452425</v>
      </c>
      <c r="H260" s="2" cm="1">
        <f t="array" ref="H260">TrajectoryToComeUp(H$247:H$250,$A260)</f>
        <v>-3.0585898611677633</v>
      </c>
      <c r="I260" s="2" cm="1">
        <f t="array" ref="I260">EvaluatePolynomial(I$247:I$250,$A260)</f>
        <v>2950.5430801697826</v>
      </c>
    </row>
    <row r="261" spans="1:9" x14ac:dyDescent="0.25">
      <c r="A261" s="1">
        <v>100</v>
      </c>
      <c r="B261" s="2" cm="1">
        <f t="array" ref="B261">TrajectoryToComeUp(B$247:B$250,$A261)</f>
        <v>-0.56921565310932931</v>
      </c>
      <c r="C261" s="2" cm="1">
        <f t="array" ref="C261">TrajectoryToComeUp(C$247:C$250,$A261)</f>
        <v>2.1656223796724865E-2</v>
      </c>
      <c r="D261" s="2" cm="1">
        <f t="array" ref="D261">TrajectoryToComeUp(D$247:D$250,$A261)</f>
        <v>-0.26833228875138493</v>
      </c>
      <c r="E261" s="2" cm="1">
        <f t="array" ref="E261">TrajectoryToComeUp(E$247:E$250,$A261)</f>
        <v>-0.56341339711308702</v>
      </c>
      <c r="F261" s="2" cm="1">
        <f t="array" ref="F261">TrajectoryToComeUp(F$247:F$250,$A261)</f>
        <v>-1.2334413847167511</v>
      </c>
      <c r="G261" s="2" cm="1">
        <f t="array" ref="G261">TrajectoryToComeUp(G$247:G$250,$A261)</f>
        <v>-2.0826647950152264</v>
      </c>
      <c r="H261" s="2" cm="1">
        <f t="array" ref="H261">TrajectoryToComeUp(H$247:H$250,$A261)</f>
        <v>-3.0576809794677402</v>
      </c>
      <c r="I261" s="2" cm="1">
        <f t="array" ref="I261">EvaluatePolynomial(I$247:I$250,$A261)</f>
        <v>2891.5856836671815</v>
      </c>
    </row>
    <row r="262" spans="1:9" x14ac:dyDescent="0.25">
      <c r="A262" s="1">
        <v>125</v>
      </c>
      <c r="B262" s="2" cm="1">
        <f t="array" ref="B262">TrajectoryToComeUp(B$247:B$250,$A262)</f>
        <v>-0.48918069595755126</v>
      </c>
      <c r="C262" s="2" cm="1">
        <f t="array" ref="C262">TrajectoryToComeUp(C$247:C$250,$A262)</f>
        <v>8.7403980281925892E-2</v>
      </c>
      <c r="D262" s="2" cm="1">
        <f t="array" ref="D262">TrajectoryToComeUp(D$247:D$250,$A262)</f>
        <v>-0.164123860217289</v>
      </c>
      <c r="E262" s="2" cm="1">
        <f t="array" ref="E262">TrajectoryToComeUp(E$247:E$250,$A262)</f>
        <v>-0.48028097147843757</v>
      </c>
      <c r="F262" s="2" cm="1">
        <f t="array" ref="F262">TrajectoryToComeUp(F$247:F$250,$A262)</f>
        <v>-1.1665617445786074</v>
      </c>
      <c r="G262" s="2" cm="1">
        <f t="array" ref="G262">TrajectoryToComeUp(G$247:G$250,$A262)</f>
        <v>-2.0318513962348894</v>
      </c>
      <c r="H262" s="2" cm="1">
        <f t="array" ref="H262">TrajectoryToComeUp(H$247:H$250,$A262)</f>
        <v>-2.9804841002421267</v>
      </c>
      <c r="I262" s="2" cm="1">
        <f t="array" ref="I262">EvaluatePolynomial(I$247:I$250,$A262)</f>
        <v>2833.2909276360047</v>
      </c>
    </row>
    <row r="263" spans="1:9" x14ac:dyDescent="0.25">
      <c r="A263" s="1">
        <v>150</v>
      </c>
      <c r="B263" s="2" cm="1">
        <f t="array" ref="B263">TrajectoryToComeUp(B$247:B$250,$A263)</f>
        <v>-0.36016699023306126</v>
      </c>
      <c r="C263" s="2" cm="1">
        <f t="array" ref="C263">TrajectoryToComeUp(C$247:C$250,$A263)</f>
        <v>0.19439169900193368</v>
      </c>
      <c r="D263" s="2" cm="1">
        <f t="array" ref="D263">TrajectoryToComeUp(D$247:D$250,$A263)</f>
        <v>-1.9182583412308246E-2</v>
      </c>
      <c r="E263" s="2" cm="1">
        <f t="array" ref="E263">TrajectoryToComeUp(E$247:E$250,$A263)</f>
        <v>-0.35699457484180935</v>
      </c>
      <c r="F263" s="2" cm="1">
        <f t="array" ref="F263">TrajectoryToComeUp(F$247:F$250,$A263)</f>
        <v>-1.0627428479793888</v>
      </c>
      <c r="G263" s="2" cm="1">
        <f t="array" ref="G263">TrajectoryToComeUp(G$247:G$250,$A263)</f>
        <v>-1.9366185940361418</v>
      </c>
      <c r="H263" s="2" cm="1">
        <f t="array" ref="H263">TrajectoryToComeUp(H$247:H$250,$A263)</f>
        <v>-2.8629788401524578</v>
      </c>
      <c r="I263" s="2" cm="1">
        <f t="array" ref="I263">EvaluatePolynomial(I$247:I$250,$A263)</f>
        <v>2775.6882741537511</v>
      </c>
    </row>
    <row r="264" spans="1:9" x14ac:dyDescent="0.25">
      <c r="A264" s="1">
        <v>175</v>
      </c>
      <c r="B264" s="2" cm="1">
        <f t="array" ref="B264">TrajectoryToComeUp(B$247:B$250,$A264)</f>
        <v>-0.19898834254926887</v>
      </c>
      <c r="C264" s="2" cm="1">
        <f t="array" ref="C264">TrajectoryToComeUp(C$247:C$250,$A264)</f>
        <v>0.32818585020050756</v>
      </c>
      <c r="D264" s="2" cm="1">
        <f t="array" ref="D264">TrajectoryToComeUp(D$247:D$250,$A264)</f>
        <v>0.1490495671037769</v>
      </c>
      <c r="E264" s="2" cm="1">
        <f t="array" ref="E264">TrajectoryToComeUp(E$247:E$250,$A264)</f>
        <v>-0.20862336731066078</v>
      </c>
      <c r="F264" s="2" cm="1">
        <f t="array" ref="F264">TrajectoryToComeUp(F$247:F$250,$A264)</f>
        <v>-0.93419227896096513</v>
      </c>
      <c r="G264" s="2" cm="1">
        <f t="array" ref="G264">TrajectoryToComeUp(G$247:G$250,$A264)</f>
        <v>-1.8124692060469458</v>
      </c>
      <c r="H264" s="2" cm="1">
        <f t="array" ref="H264">TrajectoryToComeUp(H$247:H$250,$A264)</f>
        <v>-2.7205850349108203</v>
      </c>
      <c r="I264" s="2" cm="1">
        <f t="array" ref="I264">EvaluatePolynomial(I$247:I$250,$A264)</f>
        <v>2718.8071852979192</v>
      </c>
    </row>
    <row r="265" spans="1:9" x14ac:dyDescent="0.25">
      <c r="A265" s="1">
        <v>200</v>
      </c>
      <c r="B265" s="2" cm="1">
        <f t="array" ref="B265">TrajectoryToComeUp(B$247:B$250,$A265)</f>
        <v>-1.4051656212879161E-2</v>
      </c>
      <c r="C265" s="2" cm="1">
        <f t="array" ref="C265">TrajectoryToComeUp(C$247:C$250,$A265)</f>
        <v>0.48156966899952736</v>
      </c>
      <c r="D265" s="2" cm="1">
        <f t="array" ref="D265">TrajectoryToComeUp(D$247:D$250,$A265)</f>
        <v>0.33185160405107605</v>
      </c>
      <c r="E265" s="2" cm="1">
        <f t="array" ref="E265">TrajectoryToComeUp(E$247:E$250,$A265)</f>
        <v>-4.2701928938720587E-2</v>
      </c>
      <c r="F265" s="2" cm="1">
        <f t="array" ref="F265">TrajectoryToComeUp(F$247:F$250,$A265)</f>
        <v>-0.78701382954427179</v>
      </c>
      <c r="G265" s="2" cm="1">
        <f t="array" ref="G265">TrajectoryToComeUp(G$247:G$250,$A265)</f>
        <v>-1.667154641081283</v>
      </c>
      <c r="H265" s="2" cm="1">
        <f t="array" ref="H265">TrajectoryToComeUp(H$247:H$250,$A265)</f>
        <v>-2.5610126023732565</v>
      </c>
      <c r="I265" s="2" cm="1">
        <f t="array" ref="I265">EvaluatePolynomial(I$247:I$250,$A265)</f>
        <v>2662.6771231460075</v>
      </c>
    </row>
    <row r="266" spans="1:9" x14ac:dyDescent="0.25">
      <c r="A266" s="1">
        <v>225</v>
      </c>
      <c r="B266" s="2" cm="1">
        <f t="array" ref="B266">TrajectoryToComeUp(B$247:B$250,$A266)</f>
        <v>0.18997256693904963</v>
      </c>
      <c r="C266" s="2" cm="1">
        <f t="array" ref="C266">TrajectoryToComeUp(C$247:C$250,$A266)</f>
        <v>0.65053384157781491</v>
      </c>
      <c r="D266" s="2" cm="1">
        <f t="array" ref="D266">TrajectoryToComeUp(D$247:D$250,$A266)</f>
        <v>0.52437853449631644</v>
      </c>
      <c r="E266" s="2" cm="1">
        <f t="array" ref="E266">TrajectoryToComeUp(E$247:E$250,$A266)</f>
        <v>0.13658386246638418</v>
      </c>
      <c r="F266" s="2" cm="1">
        <f t="array" ref="F266">TrajectoryToComeUp(F$247:F$250,$A266)</f>
        <v>-0.62459849529649536</v>
      </c>
      <c r="G266" s="2" cm="1">
        <f t="array" ref="G266">TrajectoryToComeUp(G$247:G$250,$A266)</f>
        <v>-1.5049812373691416</v>
      </c>
      <c r="H266" s="2" cm="1">
        <f t="array" ref="H266">TrajectoryToComeUp(H$247:H$250,$A266)</f>
        <v>-2.3885448302375685</v>
      </c>
      <c r="I266" s="2" cm="1">
        <f t="array" ref="I266">EvaluatePolynomial(I$247:I$250,$A266)</f>
        <v>2607.3275497755149</v>
      </c>
    </row>
    <row r="267" spans="1:9" x14ac:dyDescent="0.25">
      <c r="A267" s="1">
        <v>250</v>
      </c>
      <c r="B267" s="2" cm="1">
        <f t="array" ref="B267">TrajectoryToComeUp(B$247:B$250,$A267)</f>
        <v>0.41028202580428264</v>
      </c>
      <c r="C267" s="2" cm="1">
        <f t="array" ref="C267">TrajectoryToComeUp(C$247:C$250,$A267)</f>
        <v>0.83267277964266373</v>
      </c>
      <c r="D267" s="2" cm="1">
        <f t="array" ref="D267">TrajectoryToComeUp(D$247:D$250,$A267)</f>
        <v>0.7237233626795353</v>
      </c>
      <c r="E267" s="2" cm="1">
        <f t="array" ref="E267">TrajectoryToComeUp(E$247:E$250,$A267)</f>
        <v>0.32672248022007677</v>
      </c>
      <c r="F267" s="2" cm="1">
        <f t="array" ref="F267">TrajectoryToComeUp(F$247:F$250,$A267)</f>
        <v>-0.44898087355794686</v>
      </c>
      <c r="G267" s="2" cm="1">
        <f t="array" ref="G267">TrajectoryToComeUp(G$247:G$250,$A267)</f>
        <v>-1.3285327978485164</v>
      </c>
      <c r="H267" s="2" cm="1">
        <f t="array" ref="H267">TrajectoryToComeUp(H$247:H$250,$A267)</f>
        <v>-2.2057516911224373</v>
      </c>
      <c r="I267" s="2" cm="1">
        <f t="array" ref="I267">EvaluatePolynomial(I$247:I$250,$A267)</f>
        <v>2552.7879272639398</v>
      </c>
    </row>
    <row r="268" spans="1:9" x14ac:dyDescent="0.25">
      <c r="A268" s="1">
        <v>275</v>
      </c>
      <c r="B268" s="2" cm="1">
        <f t="array" ref="B268">TrajectoryToComeUp(B$247:B$250,$A268)</f>
        <v>0.6450934378632156</v>
      </c>
      <c r="C268" s="2" cm="1">
        <f t="array" ref="C268">TrajectoryToComeUp(C$247:C$250,$A268)</f>
        <v>1.026455654280533</v>
      </c>
      <c r="D268" s="2" cm="1">
        <f t="array" ref="D268">TrajectoryToComeUp(D$247:D$250,$A268)</f>
        <v>0.92803618220802819</v>
      </c>
      <c r="E268" s="2" cm="1">
        <f t="array" ref="E268">TrajectoryToComeUp(E$247:E$250,$A268)</f>
        <v>0.52611568006853604</v>
      </c>
      <c r="F268" s="2" cm="1">
        <f t="array" ref="F268">TrajectoryToComeUp(F$247:F$250,$A268)</f>
        <v>-0.26145570809064284</v>
      </c>
      <c r="G268" s="2" cm="1">
        <f t="array" ref="G268">TrajectoryToComeUp(G$247:G$250,$A268)</f>
        <v>-1.1394535607526757</v>
      </c>
      <c r="H268" s="2" cm="1">
        <f t="array" ref="H268">TrajectoryToComeUp(H$247:H$250,$A268)</f>
        <v>-2.0142686221488422</v>
      </c>
      <c r="I268" s="2" cm="1">
        <f t="array" ref="I268">EvaluatePolynomial(I$247:I$250,$A268)</f>
        <v>2499.0877176887811</v>
      </c>
    </row>
    <row r="269" spans="1:9" x14ac:dyDescent="0.25">
      <c r="A269" s="1">
        <v>300</v>
      </c>
      <c r="B269" s="2" cm="1">
        <f t="array" ref="B269">TrajectoryToComeUp(B$247:B$250,$A269)</f>
        <v>0.89321794810277966</v>
      </c>
      <c r="C269" s="2" cm="1">
        <f t="array" ref="C269">TrajectoryToComeUp(C$247:C$250,$A269)</f>
        <v>1.2308619128823954</v>
      </c>
      <c r="D269" s="2" cm="1">
        <f t="array" ref="D269">TrajectoryToComeUp(D$247:D$250,$A269)</f>
        <v>1.136083722153326</v>
      </c>
      <c r="E269" s="2" cm="1">
        <f t="array" ref="E269">TrajectoryToComeUp(E$247:E$250,$A269)</f>
        <v>0.73369796584254776</v>
      </c>
      <c r="F269" s="2" cm="1">
        <f t="array" ref="F269">TrajectoryToComeUp(F$247:F$250,$A269)</f>
        <v>-6.2886161402594787E-2</v>
      </c>
      <c r="G269" s="2" cm="1">
        <f t="array" ref="G269">TrajectoryToComeUp(G$247:G$250,$A269)</f>
        <v>-0.93883968490379921</v>
      </c>
      <c r="H269" s="2" cm="1">
        <f t="array" ref="H269">TrajectoryToComeUp(H$247:H$250,$A269)</f>
        <v>-1.8151859147307685</v>
      </c>
      <c r="I269" s="2" cm="1">
        <f t="array" ref="I269">EvaluatePolynomial(I$247:I$250,$A269)</f>
        <v>2446.2563831275379</v>
      </c>
    </row>
    <row r="270" spans="1:9" x14ac:dyDescent="0.25">
      <c r="A270" s="1">
        <v>325</v>
      </c>
      <c r="B270" s="2" cm="1">
        <f t="array" ref="B270">TrajectoryToComeUp(B$247:B$250,$A270)</f>
        <v>1.1538325030523873</v>
      </c>
      <c r="C270" s="2" cm="1">
        <f t="array" ref="C270">TrajectoryToComeUp(C$247:C$250,$A270)</f>
        <v>1.4451850190266171</v>
      </c>
      <c r="D270" s="2" cm="1">
        <f t="array" ref="D270">TrajectoryToComeUp(D$247:D$250,$A270)</f>
        <v>1.3470121795649492</v>
      </c>
      <c r="E270" s="2" cm="1">
        <f t="array" ref="E270">TrajectoryToComeUp(E$247:E$250,$A270)</f>
        <v>0.94873168634804128</v>
      </c>
      <c r="F270" s="2" cm="1">
        <f t="array" ref="F270">TrajectoryToComeUp(F$247:F$250,$A270)</f>
        <v>0.14613019246218995</v>
      </c>
      <c r="G270" s="2" cm="1">
        <f t="array" ref="G270">TrajectoryToComeUp(G$247:G$250,$A270)</f>
        <v>-0.72745004948647141</v>
      </c>
      <c r="H270" s="2" cm="1">
        <f t="array" ref="H270">TrajectoryToComeUp(H$247:H$250,$A270)</f>
        <v>-1.6092583860009757</v>
      </c>
      <c r="I270" s="2" cm="1">
        <f t="array" ref="I270">EvaluatePolynomial(I$247:I$250,$A270)</f>
        <v>2394.3233856577081</v>
      </c>
    </row>
    <row r="271" spans="1:9" x14ac:dyDescent="0.25">
      <c r="A271" s="1">
        <v>350</v>
      </c>
      <c r="B271" s="2" cm="1">
        <f t="array" ref="B271">TrajectoryToComeUp(B$247:B$250,$A271)</f>
        <v>1.4263492073759063</v>
      </c>
      <c r="C271" s="2" cm="1">
        <f t="array" ref="C271">TrajectoryToComeUp(C$247:C$250,$A271)</f>
        <v>1.6689203038406026</v>
      </c>
      <c r="D271" s="2" cm="1">
        <f t="array" ref="D271">TrajectoryToComeUp(D$247:D$250,$A271)</f>
        <v>1.5602116951925573</v>
      </c>
      <c r="E271" s="2" cm="1">
        <f t="array" ref="E271">TrajectoryToComeUp(E$247:E$250,$A271)</f>
        <v>1.1706899478749642</v>
      </c>
      <c r="F271" s="2" cm="1">
        <f t="array" ref="F271">TrajectoryToComeUp(F$247:F$250,$A271)</f>
        <v>0.36516651490084912</v>
      </c>
      <c r="G271" s="2" cm="1">
        <f t="array" ref="G271">TrajectoryToComeUp(G$247:G$250,$A271)</f>
        <v>-0.50582671106111143</v>
      </c>
      <c r="H271" s="2" cm="1">
        <f t="array" ref="H271">TrajectoryToComeUp(H$247:H$250,$A271)</f>
        <v>-1.3970251910542926</v>
      </c>
      <c r="I271" s="2" cm="1">
        <f t="array" ref="I271">EvaluatePolynomial(I$247:I$250,$A271)</f>
        <v>2343.318187356791</v>
      </c>
    </row>
    <row r="272" spans="1:9" x14ac:dyDescent="0.25">
      <c r="A272" s="1">
        <v>375</v>
      </c>
      <c r="B272" s="2" cm="1">
        <f t="array" ref="B272">TrajectoryToComeUp(B$247:B$250,$A272)</f>
        <v>1.7103369378268385</v>
      </c>
      <c r="C272" s="2" cm="1">
        <f t="array" ref="C272">TrajectoryToComeUp(C$247:C$250,$A272)</f>
        <v>1.9016976768177807</v>
      </c>
      <c r="D272" s="2" cm="1">
        <f t="array" ref="D272">TrajectoryToComeUp(D$247:D$250,$A272)</f>
        <v>1.7752350389192315</v>
      </c>
      <c r="E272" s="2" cm="1">
        <f t="array" ref="E272">TrajectoryToComeUp(E$247:E$250,$A272)</f>
        <v>1.3991863617026132</v>
      </c>
      <c r="F272" s="2" cm="1">
        <f t="array" ref="F272">TrajectoryToComeUp(F$247:F$250,$A272)</f>
        <v>0.59390979093794938</v>
      </c>
      <c r="G272" s="2" cm="1">
        <f t="array" ref="G272">TrajectoryToComeUp(G$247:G$250,$A272)</f>
        <v>-0.27436717777202518</v>
      </c>
      <c r="H272" s="2" cm="1">
        <f t="array" ref="H272">TrajectoryToComeUp(H$247:H$250,$A272)</f>
        <v>-1.1788817102935927</v>
      </c>
      <c r="I272" s="2" cm="1">
        <f t="array" ref="I272">EvaluatePolynomial(I$247:I$250,$A272)</f>
        <v>2293.2702503022847</v>
      </c>
    </row>
    <row r="273" spans="1:9" x14ac:dyDescent="0.25">
      <c r="A273" s="1">
        <v>400</v>
      </c>
      <c r="B273" s="2" cm="1">
        <f t="array" ref="B273">TrajectoryToComeUp(B$247:B$250,$A273)</f>
        <v>2.0054723519703108</v>
      </c>
      <c r="C273" s="2" cm="1">
        <f t="array" ref="C273">TrajectoryToComeUp(C$247:C$250,$A273)</f>
        <v>2.1432395700782241</v>
      </c>
      <c r="D273" s="2" cm="1">
        <f t="array" ref="D273">TrajectoryToComeUp(D$247:D$250,$A273)</f>
        <v>1.9917467881572839</v>
      </c>
      <c r="E273" s="2" cm="1">
        <f t="array" ref="E273">TrajectoryToComeUp(E$247:E$250,$A273)</f>
        <v>1.6339311362904612</v>
      </c>
      <c r="F273" s="2" cm="1">
        <f t="array" ref="F273">TrajectoryToComeUp(F$247:F$250,$A273)</f>
        <v>0.83212525934191683</v>
      </c>
      <c r="G273" s="2" cm="1">
        <f t="array" ref="G273">TrajectoryToComeUp(G$247:G$250,$A273)</f>
        <v>-3.3369580727443213E-2</v>
      </c>
      <c r="H273" s="2" cm="1">
        <f t="array" ref="H273">TrajectoryToComeUp(H$247:H$250,$A273)</f>
        <v>-0.95512447902103115</v>
      </c>
      <c r="I273" s="2" cm="1">
        <f t="array" ref="I273">EvaluatePolynomial(I$247:I$250,$A273)</f>
        <v>2244.2090365716886</v>
      </c>
    </row>
    <row r="274" spans="1:9" x14ac:dyDescent="0.25">
      <c r="A274" s="1">
        <v>425</v>
      </c>
      <c r="B274" s="2" cm="1">
        <f t="array" ref="B274">TrajectoryToComeUp(B$247:B$250,$A274)</f>
        <v>2.3115081879443617</v>
      </c>
      <c r="C274" s="2" cm="1">
        <f t="array" ref="C274">TrajectoryToComeUp(C$247:C$250,$A274)</f>
        <v>2.3933337258313996</v>
      </c>
      <c r="D274" s="2" cm="1">
        <f t="array" ref="D274">TrajectoryToComeUp(D$247:D$250,$A274)</f>
        <v>2.2094904432808367</v>
      </c>
      <c r="E274" s="2" cm="1">
        <f t="array" ref="E274">TrajectoryToComeUp(E$247:E$250,$A274)</f>
        <v>1.8747026663428086</v>
      </c>
      <c r="F274" s="2" cm="1">
        <f t="array" ref="F274">TrajectoryToComeUp(F$247:F$250,$A274)</f>
        <v>1.0796333968180181</v>
      </c>
      <c r="G274" s="2" cm="1">
        <f t="array" ref="G274">TrajectoryToComeUp(G$247:G$250,$A274)</f>
        <v>0.21693809746045825</v>
      </c>
      <c r="H274" s="2" cm="1">
        <f t="array" ref="H274">TrajectoryToComeUp(H$247:H$250,$A274)</f>
        <v>-0.72598025952649237</v>
      </c>
      <c r="I274" s="2" cm="1">
        <f t="array" ref="I274">EvaluatePolynomial(I$247:I$250,$A274)</f>
        <v>2196.164008242501</v>
      </c>
    </row>
    <row r="275" spans="1:9" x14ac:dyDescent="0.25">
      <c r="A275" s="1">
        <v>450</v>
      </c>
      <c r="B275" s="2" cm="1">
        <f t="array" ref="B275">TrajectoryToComeUp(B$247:B$250,$A275)</f>
        <v>2.6282521309674647</v>
      </c>
      <c r="C275" s="2" cm="1">
        <f t="array" ref="C275">TrajectoryToComeUp(C$247:C$250,$A275)</f>
        <v>2.6518150546846724</v>
      </c>
      <c r="D275" s="2" cm="1">
        <f t="array" ref="D275">TrajectoryToComeUp(D$247:D$250,$A275)</f>
        <v>2.4282665045808707</v>
      </c>
      <c r="E275" s="2" cm="1">
        <f t="array" ref="E275">TrajectoryToComeUp(E$247:E$250,$A275)</f>
        <v>2.1213285921852245</v>
      </c>
      <c r="F275" s="2" cm="1">
        <f t="array" ref="F275">TrajectoryToComeUp(F$247:F$250,$A275)</f>
        <v>1.3362945741370158</v>
      </c>
      <c r="G275" s="2" cm="1">
        <f t="array" ref="G275">TrajectoryToComeUp(G$247:G$250,$A275)</f>
        <v>0.47637853698220983</v>
      </c>
      <c r="H275" s="2" cm="1">
        <f t="array" ref="H275">TrajectoryToComeUp(H$247:H$250,$A275)</f>
        <v>-0.49162542247988589</v>
      </c>
      <c r="I275" s="2" cm="1">
        <f t="array" ref="I275">EvaluatePolynomial(I$247:I$250,$A275)</f>
        <v>2149.1646273922206</v>
      </c>
    </row>
    <row r="276" spans="1:9" x14ac:dyDescent="0.25">
      <c r="A276" s="1">
        <v>475</v>
      </c>
      <c r="B276" s="2" cm="1">
        <f t="array" ref="B276">TrajectoryToComeUp(B$247:B$250,$A276)</f>
        <v>2.9555523535805208</v>
      </c>
      <c r="C276" s="2" cm="1">
        <f t="array" ref="C276">TrajectoryToComeUp(C$247:C$250,$A276)</f>
        <v>2.9185532229070104</v>
      </c>
      <c r="D276" s="2" cm="1">
        <f t="array" ref="D276">TrajectoryToComeUp(D$247:D$250,$A276)</f>
        <v>2.6479174722871108</v>
      </c>
      <c r="E276" s="2" cm="1">
        <f t="array" ref="E276">TrajectoryToComeUp(E$247:E$250,$A276)</f>
        <v>2.3736728403905265</v>
      </c>
      <c r="F276" s="2" cm="1">
        <f t="array" ref="F276">TrajectoryToComeUp(F$247:F$250,$A276)</f>
        <v>1.6019985576968814</v>
      </c>
      <c r="G276" s="2" cm="1">
        <f t="array" ref="G276">TrajectoryToComeUp(G$247:G$250,$A276)</f>
        <v>0.74481174851454468</v>
      </c>
      <c r="H276" s="2" cm="1">
        <f t="array" ref="H276">TrajectoryToComeUp(H$247:H$250,$A276)</f>
        <v>-0.25219920788377059</v>
      </c>
      <c r="I276" s="2" cm="1">
        <f t="array" ref="I276">EvaluatePolynomial(I$247:I$250,$A276)</f>
        <v>2103.2403560983462</v>
      </c>
    </row>
    <row r="277" spans="1:9" x14ac:dyDescent="0.25">
      <c r="A277" s="10">
        <v>500</v>
      </c>
      <c r="B277" s="2" cm="1">
        <f t="array" ref="B277">TrajectoryToComeUp(B$247:B$250,$A277)</f>
        <v>3.2932873938162488</v>
      </c>
      <c r="C277" s="2" cm="1">
        <f t="array" ref="C277">TrajectoryToComeUp(C$247:C$250,$A277)</f>
        <v>3.1934439635135918</v>
      </c>
      <c r="D277" s="2" cm="1">
        <f t="array" ref="D277">TrajectoryToComeUp(D$247:D$250,$A277)</f>
        <v>2.8683173465833351</v>
      </c>
      <c r="E277" s="2" cm="1">
        <f t="array" ref="E277">TrajectoryToComeUp(E$247:E$250,$A277)</f>
        <v>2.6316265522169675</v>
      </c>
      <c r="F277" s="2" cm="1">
        <f t="array" ref="F277">TrajectoryToComeUp(F$247:F$250,$A277)</f>
        <v>1.8766571606159903</v>
      </c>
      <c r="G277" s="2" cm="1">
        <f t="array" ref="G277">TrajectoryToComeUp(G$247:G$250,$A277)</f>
        <v>1.0221257405988511</v>
      </c>
      <c r="H277" s="2" cm="1">
        <f t="array" ref="H277">TrajectoryToComeUp(H$247:H$250,$A277)</f>
        <v>-7.8130077401960402E-3</v>
      </c>
      <c r="I277" s="2" cm="1">
        <f t="array" ref="I277">EvaluatePolynomial(I$247:I$250,$A277)</f>
        <v>2058.4206564383762</v>
      </c>
    </row>
  </sheetData>
  <mergeCells count="3">
    <mergeCell ref="C20:G20"/>
    <mergeCell ref="J20:N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5AE-F2EB-4E88-B0CE-907CE7A04FDE}">
  <sheetPr codeName="Sheet3"/>
  <dimension ref="A1:S277"/>
  <sheetViews>
    <sheetView topLeftCell="A16" workbookViewId="0">
      <selection activeCell="H7" sqref="H7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6.5703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24.85546875" customWidth="1"/>
    <col min="12" max="12" width="18.285156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9" x14ac:dyDescent="0.25">
      <c r="A1" t="s">
        <v>18</v>
      </c>
      <c r="B1" t="s">
        <v>38</v>
      </c>
      <c r="C1" t="s">
        <v>111</v>
      </c>
      <c r="D1" t="s">
        <v>37</v>
      </c>
      <c r="F1" s="35" t="s">
        <v>63</v>
      </c>
      <c r="G1" s="35"/>
      <c r="H1" s="35"/>
      <c r="I1" s="35"/>
    </row>
    <row r="2" spans="1:9" x14ac:dyDescent="0.25">
      <c r="A2" t="s">
        <v>20</v>
      </c>
      <c r="B2" s="2">
        <v>130</v>
      </c>
      <c r="C2" s="2">
        <f>CONVERT($B$2,"grain","g")</f>
        <v>8.4238583000000009</v>
      </c>
      <c r="F2" t="s">
        <v>64</v>
      </c>
      <c r="G2" s="2">
        <v>130</v>
      </c>
      <c r="H2" s="2">
        <f>CONVERT($G$2,"grain","g")</f>
        <v>8.4238583000000009</v>
      </c>
    </row>
    <row r="3" spans="1:9" x14ac:dyDescent="0.25">
      <c r="A3" t="s">
        <v>0</v>
      </c>
      <c r="B3" s="2">
        <v>0.26400000000000001</v>
      </c>
      <c r="C3" s="2">
        <f>CONVERT($B$3,"in","mm")</f>
        <v>6.7055999999999996</v>
      </c>
      <c r="F3" t="s">
        <v>65</v>
      </c>
      <c r="G3" s="2">
        <v>0.26400000000000001</v>
      </c>
      <c r="H3" s="2">
        <f>CONVERT($G$3,"in","mm")</f>
        <v>6.7055999999999996</v>
      </c>
    </row>
    <row r="4" spans="1:9" x14ac:dyDescent="0.25">
      <c r="A4" t="s">
        <v>11</v>
      </c>
      <c r="B4" s="2">
        <v>0.36499999999999999</v>
      </c>
      <c r="C4" s="2"/>
      <c r="F4" t="s">
        <v>11</v>
      </c>
      <c r="G4" s="2"/>
      <c r="H4" s="2"/>
    </row>
    <row r="5" spans="1:9" x14ac:dyDescent="0.25">
      <c r="A5" t="s">
        <v>21</v>
      </c>
      <c r="B5" s="2">
        <v>0.36499999999999999</v>
      </c>
      <c r="C5" s="2"/>
      <c r="F5" t="s">
        <v>21</v>
      </c>
      <c r="G5" s="2">
        <v>0.36499999999999999</v>
      </c>
      <c r="H5" s="2"/>
    </row>
    <row r="6" spans="1:9" x14ac:dyDescent="0.25">
      <c r="A6" t="s">
        <v>22</v>
      </c>
      <c r="B6" s="2">
        <v>3122</v>
      </c>
      <c r="C6" s="2">
        <f>CONVERT($B$6,"J","flb")</f>
        <v>2302.6690300436226</v>
      </c>
      <c r="F6" t="s">
        <v>66</v>
      </c>
      <c r="G6" s="2" cm="1">
        <f t="array" ref="G6">MuzzleVelocityToMuzzleEnergyFtLb(G7,G2)</f>
        <v>2103.9583198281639</v>
      </c>
      <c r="H6" s="2" cm="1">
        <f t="array" ref="H6">MuzzleVelocityToMuzzleEnergyJoules(H7,H2)</f>
        <v>2852.5844525642015</v>
      </c>
    </row>
    <row r="7" spans="1:9" x14ac:dyDescent="0.25">
      <c r="A7" t="s">
        <v>19</v>
      </c>
      <c r="B7" s="2" cm="1">
        <f t="array" ref="B7">MuzzleEnergyToMuzzleVelocityMPS(B6,C2)</f>
        <v>860.94601615703152</v>
      </c>
      <c r="C7" s="2" cm="1">
        <f t="array" ref="C7">MuzzleEnergyToMuzzleVelocityFPS(C6,B2)</f>
        <v>2824.6260372606021</v>
      </c>
      <c r="F7" t="s">
        <v>67</v>
      </c>
      <c r="G7" s="2">
        <v>2700</v>
      </c>
      <c r="H7" s="2">
        <f>CONVERT($G$7,"ft","m")</f>
        <v>822.96</v>
      </c>
    </row>
    <row r="8" spans="1:9" x14ac:dyDescent="0.25">
      <c r="A8" t="s">
        <v>1</v>
      </c>
      <c r="B8" s="2">
        <v>0</v>
      </c>
      <c r="C8" s="2"/>
    </row>
    <row r="9" spans="1:9" x14ac:dyDescent="0.25">
      <c r="A9" t="s">
        <v>2</v>
      </c>
      <c r="B9" s="2">
        <v>12.2</v>
      </c>
      <c r="C9" s="2">
        <f>CONVERT($B$9,"m/sec","km/hr")</f>
        <v>43.92</v>
      </c>
    </row>
    <row r="10" spans="1:9" x14ac:dyDescent="0.25">
      <c r="A10" t="s">
        <v>3</v>
      </c>
      <c r="B10" s="2">
        <v>45</v>
      </c>
      <c r="C10" s="2"/>
    </row>
    <row r="11" spans="1:9" x14ac:dyDescent="0.25">
      <c r="A11" s="22" t="s">
        <v>51</v>
      </c>
      <c r="B11" s="2">
        <v>0.5</v>
      </c>
      <c r="C11" s="26"/>
    </row>
    <row r="12" spans="1:9" x14ac:dyDescent="0.25">
      <c r="A12" s="22" t="s">
        <v>52</v>
      </c>
      <c r="B12" s="2" cm="1">
        <f t="array" ref="B12">MOAToMRAD($B$11)</f>
        <v>0.14544410433286079</v>
      </c>
      <c r="C12" s="26">
        <f>$B$12/2</f>
        <v>7.2722052166430393E-2</v>
      </c>
    </row>
    <row r="13" spans="1:9" x14ac:dyDescent="0.25">
      <c r="A13" s="22" t="s">
        <v>26</v>
      </c>
      <c r="B13" s="2">
        <f>CONVERT(1.5,"in","cm")</f>
        <v>3.81</v>
      </c>
      <c r="D13" s="2">
        <f>CONVERT($B$13,"cm","in")</f>
        <v>1.5</v>
      </c>
    </row>
    <row r="14" spans="1:9" x14ac:dyDescent="0.25">
      <c r="A14" s="22" t="s">
        <v>5</v>
      </c>
      <c r="B14" t="s">
        <v>53</v>
      </c>
    </row>
    <row r="15" spans="1:9" x14ac:dyDescent="0.25">
      <c r="A15" t="s">
        <v>54</v>
      </c>
      <c r="B15" s="23" t="s">
        <v>55</v>
      </c>
      <c r="C15" s="23" t="s">
        <v>56</v>
      </c>
      <c r="D15" s="23" t="s">
        <v>57</v>
      </c>
      <c r="E15" s="23" t="s">
        <v>58</v>
      </c>
    </row>
    <row r="16" spans="1:9" x14ac:dyDescent="0.25">
      <c r="A16" s="22" t="s">
        <v>59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</row>
    <row r="17" spans="1:17" x14ac:dyDescent="0.25">
      <c r="A17" s="22" t="s">
        <v>60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</row>
    <row r="18" spans="1:17" x14ac:dyDescent="0.25">
      <c r="A18" s="11" t="s">
        <v>61</v>
      </c>
      <c r="B18" s="12">
        <f>$B$12/$B$17</f>
        <v>0.58177641733144314</v>
      </c>
      <c r="C18" s="2"/>
      <c r="J18" s="2">
        <v>5</v>
      </c>
      <c r="K18" s="2">
        <v>4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</row>
    <row r="19" spans="1:17" x14ac:dyDescent="0.25">
      <c r="A19" s="27" t="s">
        <v>62</v>
      </c>
      <c r="B19" s="28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7" x14ac:dyDescent="0.25">
      <c r="C20" s="34" t="s">
        <v>24</v>
      </c>
      <c r="D20" s="34"/>
      <c r="E20" s="34"/>
      <c r="F20" s="34"/>
      <c r="G20" s="34"/>
      <c r="H20" s="13"/>
      <c r="I20" s="13"/>
      <c r="J20" s="34" t="s">
        <v>25</v>
      </c>
      <c r="K20" s="34"/>
      <c r="L20" s="34"/>
      <c r="M20" s="34"/>
      <c r="N20" s="34"/>
      <c r="O20" s="13"/>
      <c r="P20" s="13"/>
      <c r="Q20" s="29" t="s">
        <v>30</v>
      </c>
    </row>
    <row r="21" spans="1:17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32</v>
      </c>
      <c r="I21" t="s">
        <v>33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32</v>
      </c>
      <c r="P21" s="30" t="s">
        <v>33</v>
      </c>
      <c r="Q21" s="29" t="s">
        <v>31</v>
      </c>
    </row>
    <row r="22" spans="1:17" x14ac:dyDescent="0.25">
      <c r="A22" s="1">
        <v>0</v>
      </c>
      <c r="B22" s="1">
        <v>3122.9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1">
        <f t="shared" si="1"/>
        <v>-3.81</v>
      </c>
      <c r="Q22" s="32">
        <v>0</v>
      </c>
    </row>
    <row r="23" spans="1:17" x14ac:dyDescent="0.25">
      <c r="A23" s="1">
        <v>25</v>
      </c>
      <c r="B23" s="1">
        <v>3063</v>
      </c>
      <c r="C23" s="6">
        <v>-0.33300000000000002</v>
      </c>
      <c r="D23" s="6">
        <v>-0.4</v>
      </c>
      <c r="E23" s="6">
        <v>-0.375</v>
      </c>
      <c r="F23" s="6">
        <v>-0.33300000000000002</v>
      </c>
      <c r="G23" s="6">
        <v>-0.125</v>
      </c>
      <c r="H23" s="6">
        <v>8.3000000000000004E-2</v>
      </c>
      <c r="I23" s="14">
        <v>0.35</v>
      </c>
      <c r="J23" s="9" cm="1">
        <f t="array" ref="J23">TrajectoryDropInCM(C23,$A23,J$18)</f>
        <v>-4.1625038464664534</v>
      </c>
      <c r="K23" s="9" cm="1">
        <f t="array" ref="K23">TrajectoryDropInCM(D23,$A23,K$18)</f>
        <v>-4.0000034133368292</v>
      </c>
      <c r="L23" s="9" cm="1">
        <f t="array" ref="L23">TrajectoryDropInCM(E23,$A23,L$18)</f>
        <v>-3.9843783734928069</v>
      </c>
      <c r="M23" s="9" cm="1">
        <f t="array" ref="M23">TrajectoryDropInCM(F23,$A23,M$18)</f>
        <v>-3.3300019693900382</v>
      </c>
      <c r="N23" s="9" cm="1">
        <f t="array" ref="N23">TrajectoryDropInCM(G23,$A23,N$18)</f>
        <v>-1.2500001041666768</v>
      </c>
      <c r="O23" s="9" cm="1">
        <f t="array" ref="O23">TrajectoryDropInCM(H23,$A23,O$18)</f>
        <v>0.83000003049530802</v>
      </c>
      <c r="P23" s="33" cm="1">
        <f t="array" ref="P23">TrajectoryDropInCM(I23,$A23,P$18)</f>
        <v>3.5000022866684599</v>
      </c>
      <c r="Q23" s="32" cm="1">
        <f t="array" ref="Q23">TrajectoryErrorCM($E$19,1,$A23)</f>
        <v>0.37561137059069255</v>
      </c>
    </row>
    <row r="24" spans="1:17" x14ac:dyDescent="0.25">
      <c r="A24" s="1">
        <v>50</v>
      </c>
      <c r="B24" s="1">
        <v>2985.5</v>
      </c>
      <c r="C24" s="7">
        <v>0</v>
      </c>
      <c r="D24" s="6">
        <v>-0.1</v>
      </c>
      <c r="E24" s="6">
        <v>-6.3E-2</v>
      </c>
      <c r="F24" s="6">
        <v>0</v>
      </c>
      <c r="G24" s="6">
        <v>0.1875</v>
      </c>
      <c r="H24" s="6">
        <v>0.41699999999999998</v>
      </c>
      <c r="I24" s="14">
        <v>0.625</v>
      </c>
      <c r="J24" s="9" cm="1">
        <f t="array" ref="J24">TrajectoryDropInCM(C24,$A24,J$18)</f>
        <v>0</v>
      </c>
      <c r="K24" s="9" cm="1">
        <f t="array" ref="K24">TrajectoryDropInCM(D24,$A24,K$18)</f>
        <v>-2.0000001066666733</v>
      </c>
      <c r="L24" s="9" cm="1">
        <f t="array" ref="L24">TrajectoryDropInCM(E24,$A24,L$18)</f>
        <v>-1.3387500319916914</v>
      </c>
      <c r="M24" s="9" cm="1">
        <f t="array" ref="M24">TrajectoryDropInCM(F24,$A24,M$18)</f>
        <v>0</v>
      </c>
      <c r="N24" s="9" cm="1">
        <f t="array" ref="N24">TrajectoryDropInCM(G24,$A24,N$18)</f>
        <v>3.7500007031251585</v>
      </c>
      <c r="O24" s="9" cm="1">
        <f t="array" ref="O24">TrajectoryDropInCM(H24,$A24,O$18)</f>
        <v>8.3400077345913282</v>
      </c>
      <c r="P24" s="33" cm="1">
        <f t="array" ref="P24">TrajectoryDropInCM(I24,$A24,P$18)</f>
        <v>12.500026041731772</v>
      </c>
      <c r="Q24" s="32" cm="1">
        <f t="array" ref="Q24">TrajectoryErrorCM($E$19,1,$A24)</f>
        <v>0.7512227411813851</v>
      </c>
    </row>
    <row r="25" spans="1:17" x14ac:dyDescent="0.25">
      <c r="A25" s="1">
        <v>75</v>
      </c>
      <c r="B25" s="1">
        <v>2910.4</v>
      </c>
      <c r="C25" s="6">
        <v>8.3000000000000004E-2</v>
      </c>
      <c r="D25" s="6">
        <v>0</v>
      </c>
      <c r="E25" s="6">
        <v>3.5000000000000003E-2</v>
      </c>
      <c r="F25" s="6">
        <v>0.125</v>
      </c>
      <c r="G25" s="6">
        <v>0.25</v>
      </c>
      <c r="H25" s="6">
        <v>0.5</v>
      </c>
      <c r="I25" s="14">
        <v>0.74</v>
      </c>
      <c r="J25" s="9" cm="1">
        <f t="array" ref="J25">TrajectoryDropInCM(C25,$A25,J$18)</f>
        <v>3.1125001786834505</v>
      </c>
      <c r="K25" s="9" cm="1">
        <f t="array" ref="K25">TrajectoryDropInCM(D25,$A25,K$18)</f>
        <v>0</v>
      </c>
      <c r="L25" s="9" cm="1">
        <f t="array" ref="L25">TrajectoryDropInCM(E25,$A25,L$18)</f>
        <v>1.1156250082283155</v>
      </c>
      <c r="M25" s="9" cm="1">
        <f t="array" ref="M25">TrajectoryDropInCM(F25,$A25,M$18)</f>
        <v>3.7500003125000307</v>
      </c>
      <c r="N25" s="9" cm="1">
        <f t="array" ref="N25">TrajectoryDropInCM(G25,$A25,N$18)</f>
        <v>7.500002500001</v>
      </c>
      <c r="O25" s="9" cm="1">
        <f t="array" ref="O25">TrajectoryDropInCM(H25,$A25,O$18)</f>
        <v>15.000020000031999</v>
      </c>
      <c r="P25" s="33" cm="1">
        <f t="array" ref="P25">TrajectoryDropInCM(I25,$A25,P$18)</f>
        <v>22.200064836067227</v>
      </c>
      <c r="Q25" s="32" cm="1">
        <f t="array" ref="Q25">TrajectoryErrorCM($E$19,1,$A25)</f>
        <v>1.1268341117720777</v>
      </c>
    </row>
    <row r="26" spans="1:17" x14ac:dyDescent="0.25">
      <c r="A26" s="1">
        <v>100</v>
      </c>
      <c r="B26" s="1">
        <v>2837.8</v>
      </c>
      <c r="C26" s="6">
        <v>0.125</v>
      </c>
      <c r="D26" s="7">
        <v>0</v>
      </c>
      <c r="E26" s="6">
        <v>2.5000000000000001E-2</v>
      </c>
      <c r="F26" s="6">
        <v>0.125</v>
      </c>
      <c r="G26" s="6">
        <v>0.255</v>
      </c>
      <c r="H26" s="6">
        <v>0.5</v>
      </c>
      <c r="I26" s="14">
        <v>0.75</v>
      </c>
      <c r="J26" s="9" cm="1">
        <f t="array" ref="J26">TrajectoryDropInCM(C26,$A26,J$18)</f>
        <v>6.2500008138022105</v>
      </c>
      <c r="K26" s="9" cm="1">
        <f t="array" ref="K26">TrajectoryDropInCM(D26,$A26,K$18)</f>
        <v>0</v>
      </c>
      <c r="L26" s="9" cm="1">
        <f t="array" ref="L26">TrajectoryDropInCM(E26,$A26,L$18)</f>
        <v>1.0625000039982098</v>
      </c>
      <c r="M26" s="9" cm="1">
        <f t="array" ref="M26">TrajectoryDropInCM(F26,$A26,M$18)</f>
        <v>5.0000004166667074</v>
      </c>
      <c r="N26" s="9" cm="1">
        <f t="array" ref="N26">TrajectoryDropInCM(G26,$A26,N$18)</f>
        <v>10.200003537361473</v>
      </c>
      <c r="O26" s="9" cm="1">
        <f t="array" ref="O26">TrajectoryDropInCM(H26,$A26,O$18)</f>
        <v>20.000026666709331</v>
      </c>
      <c r="P26" s="33" cm="1">
        <f t="array" ref="P26">TrajectoryDropInCM(I26,$A26,P$18)</f>
        <v>30.000090000324004</v>
      </c>
      <c r="Q26" s="32" cm="1">
        <f t="array" ref="Q26">TrajectoryErrorCM($E$19,1,$A26)</f>
        <v>1.5024454823627702</v>
      </c>
    </row>
    <row r="27" spans="1:17" x14ac:dyDescent="0.25">
      <c r="A27" s="1">
        <v>125</v>
      </c>
      <c r="B27" s="1">
        <v>2767.5</v>
      </c>
      <c r="C27" s="6">
        <v>0.125</v>
      </c>
      <c r="D27" s="6">
        <v>0</v>
      </c>
      <c r="E27" s="6">
        <v>2.5000000000000001E-2</v>
      </c>
      <c r="F27" s="6">
        <v>0.125</v>
      </c>
      <c r="G27" s="6">
        <v>0.25</v>
      </c>
      <c r="H27" s="6">
        <v>0.5</v>
      </c>
      <c r="I27" s="14">
        <v>0.74</v>
      </c>
      <c r="J27" s="9" cm="1">
        <f t="array" ref="J27">TrajectoryDropInCM(C27,$A27,J$18)</f>
        <v>7.8125010172527629</v>
      </c>
      <c r="K27" s="9" cm="1">
        <f t="array" ref="K27">TrajectoryDropInCM(D27,$A27,K$18)</f>
        <v>0</v>
      </c>
      <c r="L27" s="9" cm="1">
        <f t="array" ref="L27">TrajectoryDropInCM(E27,$A27,L$18)</f>
        <v>1.328125004997762</v>
      </c>
      <c r="M27" s="9" cm="1">
        <f t="array" ref="M27">TrajectoryDropInCM(F27,$A27,M$18)</f>
        <v>6.2500005208333844</v>
      </c>
      <c r="N27" s="9" cm="1">
        <f t="array" ref="N27">TrajectoryDropInCM(G27,$A27,N$18)</f>
        <v>12.500004166668335</v>
      </c>
      <c r="O27" s="9" cm="1">
        <f t="array" ref="O27">TrajectoryDropInCM(H27,$A27,O$18)</f>
        <v>25.000033333386661</v>
      </c>
      <c r="P27" s="33" cm="1">
        <f t="array" ref="P27">TrajectoryDropInCM(I27,$A27,P$18)</f>
        <v>37.000108060112048</v>
      </c>
      <c r="Q27" s="32" cm="1">
        <f t="array" ref="Q27">TrajectoryErrorCM($E$19,1,$A27)</f>
        <v>1.8780568529534629</v>
      </c>
    </row>
    <row r="28" spans="1:17" x14ac:dyDescent="0.25">
      <c r="A28" s="1">
        <v>150</v>
      </c>
      <c r="B28" s="1">
        <v>2688.3</v>
      </c>
      <c r="C28" s="6">
        <v>8.3000000000000004E-2</v>
      </c>
      <c r="D28" s="6">
        <v>-2.5000000000000001E-2</v>
      </c>
      <c r="E28" s="7">
        <v>0</v>
      </c>
      <c r="F28" s="6">
        <v>8.3299999999999999E-2</v>
      </c>
      <c r="G28" s="6">
        <v>0.25</v>
      </c>
      <c r="H28" s="6">
        <v>0.47499999999999998</v>
      </c>
      <c r="I28" s="14">
        <v>0.73799999999999999</v>
      </c>
      <c r="J28" s="9" cm="1">
        <f t="array" ref="J28">TrajectoryDropInCM(C28,$A28,J$18)</f>
        <v>6.225000357366901</v>
      </c>
      <c r="K28" s="9" cm="1">
        <f t="array" ref="K28">TrajectoryDropInCM(D28,$A28,K$18)</f>
        <v>-1.5000000050000002</v>
      </c>
      <c r="L28" s="9" cm="1">
        <f t="array" ref="L28">TrajectoryDropInCM(E28,$A28,L$18)</f>
        <v>0</v>
      </c>
      <c r="M28" s="9" cm="1">
        <f t="array" ref="M28">TrajectoryDropInCM(F28,$A28,M$18)</f>
        <v>4.9980001849630602</v>
      </c>
      <c r="N28" s="9" cm="1">
        <f t="array" ref="N28">TrajectoryDropInCM(G28,$A28,N$18)</f>
        <v>15.000005000002</v>
      </c>
      <c r="O28" s="9" cm="1">
        <f t="array" ref="O28">TrajectoryDropInCM(H28,$A28,O$18)</f>
        <v>28.50003429504952</v>
      </c>
      <c r="P28" s="33" cm="1">
        <f t="array" ref="P28">TrajectoryDropInCM(I28,$A28,P$18)</f>
        <v>44.280128623575379</v>
      </c>
      <c r="Q28" s="32" cm="1">
        <f t="array" ref="Q28">TrajectoryErrorCM($E$19,1,$A28)</f>
        <v>2.2536682235441554</v>
      </c>
    </row>
    <row r="29" spans="1:17" x14ac:dyDescent="0.25">
      <c r="A29" s="1">
        <v>200</v>
      </c>
      <c r="B29" s="1">
        <v>2559.9</v>
      </c>
      <c r="C29" s="6">
        <v>0</v>
      </c>
      <c r="D29" s="6">
        <v>-8.3000000000000004E-2</v>
      </c>
      <c r="E29" s="6">
        <v>-8.3000000000000004E-2</v>
      </c>
      <c r="F29" s="7">
        <v>0</v>
      </c>
      <c r="G29" s="6">
        <v>0.1875</v>
      </c>
      <c r="H29" s="6">
        <v>0.38500000000000001</v>
      </c>
      <c r="I29" s="14">
        <v>0.625</v>
      </c>
      <c r="J29" s="9" cm="1">
        <f t="array" ref="J29">TrajectoryDropInCM(C29,$A29,J$18)</f>
        <v>0</v>
      </c>
      <c r="K29" s="9" cm="1">
        <f t="array" ref="K29">TrajectoryDropInCM(D29,$A29,K$18)</f>
        <v>-6.6400002439624641</v>
      </c>
      <c r="L29" s="9" cm="1">
        <f t="array" ref="L29">TrajectoryDropInCM(E29,$A29,L$18)</f>
        <v>-7.0550002926239239</v>
      </c>
      <c r="M29" s="9" cm="1">
        <f t="array" ref="M29">TrajectoryDropInCM(F29,$A29,M$18)</f>
        <v>0</v>
      </c>
      <c r="N29" s="9" cm="1">
        <f t="array" ref="N29">TrajectoryDropInCM(G29,$A29,N$18)</f>
        <v>15.000002812500634</v>
      </c>
      <c r="O29" s="9" cm="1">
        <f t="array" ref="O29">TrajectoryDropInCM(H29,$A29,O$18)</f>
        <v>30.800024348449767</v>
      </c>
      <c r="P29" s="33" cm="1">
        <f t="array" ref="P29">TrajectoryDropInCM(I29,$A29,P$18)</f>
        <v>50.000104166927088</v>
      </c>
      <c r="Q29" s="32" cm="1">
        <f t="array" ref="Q29">TrajectoryErrorCM($E$19,1,$A29)</f>
        <v>3.0048909647255404</v>
      </c>
    </row>
    <row r="30" spans="1:17" x14ac:dyDescent="0.25">
      <c r="A30" s="1">
        <v>250</v>
      </c>
      <c r="B30" s="1">
        <v>2428.5</v>
      </c>
      <c r="C30" s="6">
        <v>-0.1</v>
      </c>
      <c r="D30" s="6">
        <v>-0.1875</v>
      </c>
      <c r="E30" s="6">
        <v>-0.1875</v>
      </c>
      <c r="F30" s="6">
        <v>-8.3000000000000004E-2</v>
      </c>
      <c r="G30" s="6">
        <v>0.1</v>
      </c>
      <c r="H30" s="6">
        <v>0.33300000000000002</v>
      </c>
      <c r="I30" s="14">
        <v>0.52500000000000002</v>
      </c>
      <c r="J30" s="9" cm="1">
        <f t="array" ref="J30">TrajectoryDropInCM(C30,$A30,J$18)</f>
        <v>-12.500001041666769</v>
      </c>
      <c r="K30" s="9" cm="1">
        <f t="array" ref="K30">TrajectoryDropInCM(D30,$A30,K$18)</f>
        <v>-18.750003515625792</v>
      </c>
      <c r="L30" s="9" cm="1">
        <f t="array" ref="L30">TrajectoryDropInCM(E30,$A30,L$18)</f>
        <v>-19.921879216862795</v>
      </c>
      <c r="M30" s="9" cm="1">
        <f t="array" ref="M30">TrajectoryDropInCM(F30,$A30,M$18)</f>
        <v>-8.3000003049530804</v>
      </c>
      <c r="N30" s="9" cm="1">
        <f t="array" ref="N30">TrajectoryDropInCM(G30,$A30,N$18)</f>
        <v>10.000000533333367</v>
      </c>
      <c r="O30" s="9" cm="1">
        <f t="array" ref="O30">TrajectoryDropInCM(H30,$A30,O$18)</f>
        <v>33.300019693900381</v>
      </c>
      <c r="P30" s="33" cm="1">
        <f t="array" ref="P30">TrajectoryDropInCM(I30,$A30,P$18)</f>
        <v>52.500077175136148</v>
      </c>
      <c r="Q30" s="32" cm="1">
        <f t="array" ref="Q30">TrajectoryErrorCM($E$19,1,$A30)</f>
        <v>3.7561137059069258</v>
      </c>
    </row>
    <row r="31" spans="1:17" x14ac:dyDescent="0.25">
      <c r="A31" s="1">
        <v>300</v>
      </c>
      <c r="B31" s="1">
        <v>2295.1999999999998</v>
      </c>
      <c r="C31" s="6">
        <v>-0.16700000000000001</v>
      </c>
      <c r="D31" s="6">
        <v>-0.25</v>
      </c>
      <c r="E31" s="6">
        <v>-0.25</v>
      </c>
      <c r="F31" s="6">
        <v>-0.16700000000000001</v>
      </c>
      <c r="G31" s="7">
        <v>0</v>
      </c>
      <c r="H31" s="17">
        <v>0.248</v>
      </c>
      <c r="I31" s="18">
        <v>0.47499999999999998</v>
      </c>
      <c r="J31" s="9" cm="1">
        <f t="array" ref="J31">TrajectoryDropInCM(C31,$A31,J$18)</f>
        <v>-25.050005821830375</v>
      </c>
      <c r="K31" s="9" cm="1">
        <f t="array" ref="K31">TrajectoryDropInCM(D31,$A31,K$18)</f>
        <v>-30.000010000004</v>
      </c>
      <c r="L31" s="9" cm="1">
        <f t="array" ref="L31">TrajectoryDropInCM(E31,$A31,L$18)</f>
        <v>-31.875011994634324</v>
      </c>
      <c r="M31" s="9" cm="1">
        <f t="array" ref="M31">TrajectoryDropInCM(F31,$A31,M$18)</f>
        <v>-20.040002980776855</v>
      </c>
      <c r="N31" s="9" cm="1">
        <f t="array" ref="N31">TrajectoryDropInCM(G31,$A31,N$18)</f>
        <v>0</v>
      </c>
      <c r="O31" s="9" cm="1">
        <f t="array" ref="O31">TrajectoryDropInCM(H31,$A31,O$18)</f>
        <v>29.76000976191872</v>
      </c>
      <c r="P31" s="33" cm="1">
        <f t="array" ref="P31">TrajectoryDropInCM(I31,$A31,P$18)</f>
        <v>57.00006859009904</v>
      </c>
      <c r="Q31" s="32" cm="1">
        <f t="array" ref="Q31">TrajectoryErrorCM($E$19,1,$A31)</f>
        <v>4.5073364470883108</v>
      </c>
    </row>
    <row r="32" spans="1:17" x14ac:dyDescent="0.25">
      <c r="A32" s="1">
        <v>350</v>
      </c>
      <c r="B32" s="1">
        <v>2180.5</v>
      </c>
      <c r="C32" s="6">
        <v>-0.25</v>
      </c>
      <c r="D32" s="6">
        <v>-0.375</v>
      </c>
      <c r="E32" s="6">
        <v>-0.33300000000000002</v>
      </c>
      <c r="F32" s="6">
        <v>-0.25</v>
      </c>
      <c r="G32" s="6">
        <v>-8.3000000000000004E-2</v>
      </c>
      <c r="H32" s="6">
        <v>0.125</v>
      </c>
      <c r="I32" s="14">
        <v>0.35</v>
      </c>
      <c r="J32" s="9" cm="1">
        <f t="array" ref="J32">TrajectoryDropInCM(C32,$A32,J$18)</f>
        <v>-43.750022786472577</v>
      </c>
      <c r="K32" s="9" cm="1">
        <f t="array" ref="K32">TrajectoryDropInCM(D32,$A32,K$18)</f>
        <v>-52.500039375035435</v>
      </c>
      <c r="L32" s="9" cm="1">
        <f t="array" ref="L32">TrajectoryDropInCM(E32,$A32,L$18)</f>
        <v>-49.533783070946775</v>
      </c>
      <c r="M32" s="9" cm="1">
        <f t="array" ref="M32">TrajectoryDropInCM(F32,$A32,M$18)</f>
        <v>-35.000011666671341</v>
      </c>
      <c r="N32" s="9" cm="1">
        <f t="array" ref="N32">TrajectoryDropInCM(G32,$A32,N$18)</f>
        <v>-11.620000426934313</v>
      </c>
      <c r="O32" s="9" cm="1">
        <f t="array" ref="O32">TrajectoryDropInCM(H32,$A32,O$18)</f>
        <v>17.500001458333479</v>
      </c>
      <c r="P32" s="33" cm="1">
        <f t="array" ref="P32">TrajectoryDropInCM(I32,$A32,P$18)</f>
        <v>49.000032013358435</v>
      </c>
      <c r="Q32" s="32" cm="1">
        <f t="array" ref="Q32">TrajectoryErrorCM($E$19,1,$A32)</f>
        <v>5.2585591882696958</v>
      </c>
    </row>
    <row r="33" spans="1:17" x14ac:dyDescent="0.25">
      <c r="A33" s="1">
        <v>400</v>
      </c>
      <c r="B33" s="1">
        <v>2057</v>
      </c>
      <c r="C33" s="6">
        <v>-0.375</v>
      </c>
      <c r="D33" s="6">
        <v>-0.5</v>
      </c>
      <c r="E33" s="6">
        <v>-0.47499999999999998</v>
      </c>
      <c r="F33" s="6">
        <v>-0.375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-75.000087890748588</v>
      </c>
      <c r="K33" s="9" cm="1">
        <f t="array" ref="K33">TrajectoryDropInCM(D33,$A33,K$18)</f>
        <v>-80.000106666837326</v>
      </c>
      <c r="L33" s="9" cm="1">
        <f t="array" ref="L33">TrajectoryDropInCM(E33,$A33,L$18)</f>
        <v>-80.75010969505837</v>
      </c>
      <c r="M33" s="9" cm="1">
        <f t="array" ref="M33">TrajectoryDropInCM(F33,$A33,M$18)</f>
        <v>-60.000045000040501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33" cm="1">
        <f t="array" ref="P33">TrajectoryDropInCM(I33,$A33,P$18)</f>
        <v>40.000013333338671</v>
      </c>
      <c r="Q33" s="32" cm="1">
        <f t="array" ref="Q33">TrajectoryErrorCM($E$19,1,$A33)</f>
        <v>6.0097819294510808</v>
      </c>
    </row>
    <row r="34" spans="1:17" x14ac:dyDescent="0.25">
      <c r="A34" s="1">
        <v>450</v>
      </c>
      <c r="B34" s="1">
        <v>1951.2</v>
      </c>
      <c r="C34" s="6">
        <v>-0.5</v>
      </c>
      <c r="D34" s="6">
        <v>-0.58299999999999996</v>
      </c>
      <c r="E34" s="6">
        <v>-0.5625</v>
      </c>
      <c r="F34" s="6">
        <v>-0.5</v>
      </c>
      <c r="G34" s="6">
        <v>-0.33300000000000002</v>
      </c>
      <c r="H34" s="6">
        <v>-0.125</v>
      </c>
      <c r="I34" s="14">
        <v>0.125</v>
      </c>
      <c r="J34" s="9" cm="1">
        <f t="array" ref="J34">TrajectoryDropInCM(C34,$A34,J$18)</f>
        <v>-112.50023437558593</v>
      </c>
      <c r="K34" s="9" cm="1">
        <f t="array" ref="K34">TrajectoryDropInCM(D34,$A34,K$18)</f>
        <v>-104.94019022948933</v>
      </c>
      <c r="L34" s="9" cm="1">
        <f t="array" ref="L34">TrajectoryDropInCM(E34,$A34,L$18)</f>
        <v>-107.57832993994833</v>
      </c>
      <c r="M34" s="9" cm="1">
        <f t="array" ref="M34">TrajectoryDropInCM(F34,$A34,M$18)</f>
        <v>-90.000120000191998</v>
      </c>
      <c r="N34" s="9" cm="1">
        <f t="array" ref="N34">TrajectoryDropInCM(G34,$A34,N$18)</f>
        <v>-59.940035449020691</v>
      </c>
      <c r="O34" s="9" cm="1">
        <f t="array" ref="O34">TrajectoryDropInCM(H34,$A34,O$18)</f>
        <v>-22.500001875000187</v>
      </c>
      <c r="P34" s="33" cm="1">
        <f t="array" ref="P34">TrajectoryDropInCM(I34,$A34,P$18)</f>
        <v>22.500001875000187</v>
      </c>
      <c r="Q34" s="32" cm="1">
        <f t="array" ref="Q34">TrajectoryErrorCM($E$19,1,$A34)</f>
        <v>6.7610046706324667</v>
      </c>
    </row>
    <row r="35" spans="1:17" x14ac:dyDescent="0.25">
      <c r="A35" s="1">
        <v>500</v>
      </c>
      <c r="B35" s="1">
        <v>1843.6</v>
      </c>
      <c r="C35" s="6">
        <v>-0.625</v>
      </c>
      <c r="D35" s="6">
        <v>-0.745</v>
      </c>
      <c r="E35" s="6">
        <v>-0.66700000000000004</v>
      </c>
      <c r="F35" s="6">
        <v>-0.625</v>
      </c>
      <c r="G35" s="6">
        <v>-0.4375</v>
      </c>
      <c r="H35" s="6">
        <v>-0.25</v>
      </c>
      <c r="I35" s="15">
        <v>0</v>
      </c>
      <c r="J35" s="9" cm="1">
        <f t="array" ref="J35">TrajectoryDropInCM(C35,$A35,J$18)</f>
        <v>-156.25050862828894</v>
      </c>
      <c r="K35" s="9" cm="1">
        <f t="array" ref="K35">TrajectoryDropInCM(D35,$A35,K$18)</f>
        <v>-149.00044106143338</v>
      </c>
      <c r="L35" s="9" cm="1">
        <f t="array" ref="L35">TrajectoryDropInCM(E35,$A35,L$18)</f>
        <v>-141.73787965964513</v>
      </c>
      <c r="M35" s="9" cm="1">
        <f t="array" ref="M35">TrajectoryDropInCM(F35,$A35,M$18)</f>
        <v>-125.0002604173177</v>
      </c>
      <c r="N35" s="9" cm="1">
        <f t="array" ref="N35">TrajectoryDropInCM(G35,$A35,N$18)</f>
        <v>-87.500089323026103</v>
      </c>
      <c r="O35" s="9" cm="1">
        <f t="array" ref="O35">TrajectoryDropInCM(H35,$A35,O$18)</f>
        <v>-50.000016666673339</v>
      </c>
      <c r="P35" s="33" cm="1">
        <f t="array" ref="P35">TrajectoryDropInCM(I35,$A35,P$18)</f>
        <v>0</v>
      </c>
      <c r="Q35" s="32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104</v>
      </c>
      <c r="B78" s="2">
        <f>$B$5</f>
        <v>0.36499999999999999</v>
      </c>
      <c r="K78" t="s">
        <v>97</v>
      </c>
      <c r="L78" s="2">
        <f>$B$4</f>
        <v>0.36499999999999999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34</v>
      </c>
      <c r="H79" t="s">
        <v>35</v>
      </c>
      <c r="I79" t="s">
        <v>36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34</v>
      </c>
      <c r="R79" t="s">
        <v>35</v>
      </c>
      <c r="S79" t="s">
        <v>36</v>
      </c>
    </row>
    <row r="80" spans="1:19" x14ac:dyDescent="0.25">
      <c r="A80" s="1">
        <v>0</v>
      </c>
      <c r="B80" s="1">
        <v>861</v>
      </c>
      <c r="C80" s="1">
        <v>3122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861</v>
      </c>
      <c r="M80" s="1">
        <v>3122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839</v>
      </c>
      <c r="C81" s="1">
        <v>2968</v>
      </c>
      <c r="D81" s="1">
        <v>-1.5</v>
      </c>
      <c r="E81" s="1">
        <v>2.1</v>
      </c>
      <c r="F81" s="1">
        <v>0.6</v>
      </c>
      <c r="G81" s="1">
        <v>0</v>
      </c>
      <c r="H81" s="1">
        <v>1</v>
      </c>
      <c r="I81" s="1">
        <v>0</v>
      </c>
      <c r="J81" s="1"/>
      <c r="K81" s="1">
        <v>25</v>
      </c>
      <c r="L81" s="1">
        <v>850</v>
      </c>
      <c r="M81" s="1">
        <v>3046</v>
      </c>
      <c r="N81" s="1">
        <v>-1.5</v>
      </c>
      <c r="O81" s="1">
        <v>2.1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818</v>
      </c>
      <c r="C82" s="10">
        <v>2821</v>
      </c>
      <c r="D82" s="10">
        <v>0</v>
      </c>
      <c r="E82" s="10">
        <v>0</v>
      </c>
      <c r="F82" s="10">
        <v>0</v>
      </c>
      <c r="G82" s="1">
        <v>1</v>
      </c>
      <c r="H82" s="10">
        <v>1</v>
      </c>
      <c r="I82" s="10">
        <v>0</v>
      </c>
      <c r="J82" s="10"/>
      <c r="K82" s="10">
        <v>50</v>
      </c>
      <c r="L82" s="10">
        <v>840</v>
      </c>
      <c r="M82" s="10">
        <v>2972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798</v>
      </c>
      <c r="C83" s="1">
        <v>2679</v>
      </c>
      <c r="D83" s="1">
        <v>0.5</v>
      </c>
      <c r="E83" s="1">
        <v>-0.2</v>
      </c>
      <c r="F83" s="1">
        <v>-0.1</v>
      </c>
      <c r="G83" s="1">
        <v>3</v>
      </c>
      <c r="H83" s="1">
        <v>1</v>
      </c>
      <c r="I83" s="1">
        <v>0</v>
      </c>
      <c r="J83" s="1"/>
      <c r="K83" s="1">
        <v>75</v>
      </c>
      <c r="L83" s="1">
        <v>829</v>
      </c>
      <c r="M83" s="1">
        <v>2898</v>
      </c>
      <c r="N83" s="1">
        <v>0.6</v>
      </c>
      <c r="O83" s="1">
        <v>-0.3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777</v>
      </c>
      <c r="C84" s="1">
        <v>2544</v>
      </c>
      <c r="D84" s="1">
        <v>0.1</v>
      </c>
      <c r="E84" s="1">
        <v>0</v>
      </c>
      <c r="F84" s="1">
        <v>0</v>
      </c>
      <c r="G84" s="1">
        <v>5</v>
      </c>
      <c r="H84" s="1">
        <v>2</v>
      </c>
      <c r="I84" s="1">
        <v>0</v>
      </c>
      <c r="J84" s="1"/>
      <c r="K84" s="1">
        <v>100</v>
      </c>
      <c r="L84" s="1">
        <v>819</v>
      </c>
      <c r="M84" s="1">
        <v>2827</v>
      </c>
      <c r="N84" s="1">
        <v>0.3</v>
      </c>
      <c r="O84" s="1">
        <v>-0.1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757</v>
      </c>
      <c r="C85" s="1">
        <v>2413</v>
      </c>
      <c r="D85" s="1">
        <v>-1.4</v>
      </c>
      <c r="E85" s="1">
        <v>0.4</v>
      </c>
      <c r="F85" s="1">
        <v>0.1</v>
      </c>
      <c r="G85" s="1">
        <v>8</v>
      </c>
      <c r="H85" s="1">
        <v>2</v>
      </c>
      <c r="I85" s="1">
        <v>1</v>
      </c>
      <c r="J85" s="1"/>
      <c r="K85" s="1">
        <v>125</v>
      </c>
      <c r="L85" s="1">
        <v>809</v>
      </c>
      <c r="M85" s="1">
        <v>2756</v>
      </c>
      <c r="N85" s="1">
        <v>-0.9</v>
      </c>
      <c r="O85" s="1">
        <v>0.3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737</v>
      </c>
      <c r="C86" s="1">
        <v>2288</v>
      </c>
      <c r="D86" s="1">
        <v>-4</v>
      </c>
      <c r="E86" s="1">
        <v>0.9</v>
      </c>
      <c r="F86" s="1">
        <v>0.3</v>
      </c>
      <c r="G86" s="1">
        <v>11</v>
      </c>
      <c r="H86" s="1">
        <v>3</v>
      </c>
      <c r="I86" s="1">
        <v>1</v>
      </c>
      <c r="J86" s="1"/>
      <c r="K86" s="1">
        <v>150</v>
      </c>
      <c r="L86" s="1">
        <v>799</v>
      </c>
      <c r="M86" s="1">
        <v>2687</v>
      </c>
      <c r="N86" s="1">
        <v>-3.1</v>
      </c>
      <c r="O86" s="1">
        <v>0.7</v>
      </c>
      <c r="P86" s="1">
        <v>0.2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717</v>
      </c>
      <c r="C87" s="1">
        <v>2168</v>
      </c>
      <c r="D87" s="1">
        <v>-7.7</v>
      </c>
      <c r="E87" s="1">
        <v>1.5</v>
      </c>
      <c r="F87" s="1">
        <v>0.4</v>
      </c>
      <c r="G87" s="1">
        <v>16</v>
      </c>
      <c r="H87" s="1">
        <v>3</v>
      </c>
      <c r="I87" s="1">
        <v>1</v>
      </c>
      <c r="J87" s="1"/>
      <c r="K87" s="1">
        <v>175</v>
      </c>
      <c r="L87" s="1">
        <v>789</v>
      </c>
      <c r="M87" s="1">
        <v>2620</v>
      </c>
      <c r="N87" s="1">
        <v>-6.2</v>
      </c>
      <c r="O87" s="1">
        <v>1.2</v>
      </c>
      <c r="P87" s="1">
        <v>0.4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698</v>
      </c>
      <c r="C88" s="1">
        <v>2053</v>
      </c>
      <c r="D88" s="1">
        <v>-12.8</v>
      </c>
      <c r="E88" s="1">
        <v>2.2000000000000002</v>
      </c>
      <c r="F88" s="1">
        <v>0.6</v>
      </c>
      <c r="G88" s="1">
        <v>20</v>
      </c>
      <c r="H88" s="1">
        <v>4</v>
      </c>
      <c r="I88" s="1">
        <v>1</v>
      </c>
      <c r="J88" s="1"/>
      <c r="K88" s="1">
        <v>200</v>
      </c>
      <c r="L88" s="1">
        <v>779</v>
      </c>
      <c r="M88" s="1">
        <v>2553</v>
      </c>
      <c r="N88" s="1">
        <v>-10.4</v>
      </c>
      <c r="O88" s="1">
        <v>1.8</v>
      </c>
      <c r="P88" s="1">
        <v>0.5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679</v>
      </c>
      <c r="C89" s="1">
        <v>1943</v>
      </c>
      <c r="D89" s="1">
        <v>-19</v>
      </c>
      <c r="E89" s="1">
        <v>2.9</v>
      </c>
      <c r="F89" s="1">
        <v>0.8</v>
      </c>
      <c r="G89" s="1">
        <v>26</v>
      </c>
      <c r="H89" s="1">
        <v>4</v>
      </c>
      <c r="I89" s="1">
        <v>1</v>
      </c>
      <c r="J89" s="1"/>
      <c r="K89" s="1">
        <v>225</v>
      </c>
      <c r="L89" s="1">
        <v>769</v>
      </c>
      <c r="M89" s="1">
        <v>2488</v>
      </c>
      <c r="N89" s="1">
        <v>-15.6</v>
      </c>
      <c r="O89" s="1">
        <v>2.4</v>
      </c>
      <c r="P89" s="1">
        <v>0.7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660</v>
      </c>
      <c r="C90" s="1">
        <v>1837</v>
      </c>
      <c r="D90" s="1">
        <v>-26.6</v>
      </c>
      <c r="E90" s="1">
        <v>3.7</v>
      </c>
      <c r="F90" s="1">
        <v>1.1000000000000001</v>
      </c>
      <c r="G90" s="1">
        <v>33</v>
      </c>
      <c r="H90" s="1">
        <v>5</v>
      </c>
      <c r="I90" s="1">
        <v>1</v>
      </c>
      <c r="J90" s="1"/>
      <c r="K90" s="1">
        <v>250</v>
      </c>
      <c r="L90" s="1">
        <v>759</v>
      </c>
      <c r="M90" s="1">
        <v>2424</v>
      </c>
      <c r="N90" s="1">
        <v>-21.7</v>
      </c>
      <c r="O90" s="1">
        <v>3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642</v>
      </c>
      <c r="C91" s="1">
        <v>1736</v>
      </c>
      <c r="D91" s="1">
        <v>-36</v>
      </c>
      <c r="E91" s="1">
        <v>4.5</v>
      </c>
      <c r="F91" s="1">
        <v>1.3</v>
      </c>
      <c r="G91" s="1">
        <v>40</v>
      </c>
      <c r="H91" s="1">
        <v>6</v>
      </c>
      <c r="I91" s="1">
        <v>2</v>
      </c>
      <c r="J91" s="1"/>
      <c r="K91" s="1">
        <v>275</v>
      </c>
      <c r="L91" s="1">
        <v>749</v>
      </c>
      <c r="M91" s="1">
        <v>2362</v>
      </c>
      <c r="N91" s="1">
        <v>-29.2</v>
      </c>
      <c r="O91" s="1">
        <v>3.6</v>
      </c>
      <c r="P91" s="1">
        <v>1.1000000000000001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624</v>
      </c>
      <c r="C92" s="1">
        <v>1639</v>
      </c>
      <c r="D92" s="1">
        <v>-46.6</v>
      </c>
      <c r="E92" s="1">
        <v>5.3</v>
      </c>
      <c r="F92" s="1">
        <v>1.6</v>
      </c>
      <c r="G92" s="1">
        <v>48</v>
      </c>
      <c r="H92" s="1">
        <v>6</v>
      </c>
      <c r="I92" s="1">
        <v>2</v>
      </c>
      <c r="J92" s="1"/>
      <c r="K92" s="1">
        <v>300</v>
      </c>
      <c r="L92" s="1">
        <v>739</v>
      </c>
      <c r="M92" s="1">
        <v>2301</v>
      </c>
      <c r="N92" s="1">
        <v>-37.6</v>
      </c>
      <c r="O92" s="1">
        <v>4.3</v>
      </c>
      <c r="P92" s="1">
        <v>1.3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606</v>
      </c>
      <c r="C93" s="1">
        <v>1546</v>
      </c>
      <c r="D93" s="1">
        <v>-58.9</v>
      </c>
      <c r="E93" s="1">
        <v>6.2</v>
      </c>
      <c r="F93" s="1">
        <v>1.8</v>
      </c>
      <c r="G93" s="1">
        <v>58</v>
      </c>
      <c r="H93" s="1">
        <v>7</v>
      </c>
      <c r="I93" s="1">
        <v>2</v>
      </c>
      <c r="J93" s="1"/>
      <c r="K93" s="1">
        <v>325</v>
      </c>
      <c r="L93" s="1">
        <v>729</v>
      </c>
      <c r="M93" s="1">
        <v>2241</v>
      </c>
      <c r="N93" s="1">
        <v>-47</v>
      </c>
      <c r="O93" s="1">
        <v>5</v>
      </c>
      <c r="P93" s="1">
        <v>1.4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588</v>
      </c>
      <c r="C94" s="1">
        <v>1458</v>
      </c>
      <c r="D94" s="1">
        <v>-73.400000000000006</v>
      </c>
      <c r="E94" s="1">
        <v>7.2</v>
      </c>
      <c r="F94" s="1">
        <v>2.1</v>
      </c>
      <c r="G94" s="1">
        <v>68</v>
      </c>
      <c r="H94" s="1">
        <v>7</v>
      </c>
      <c r="I94" s="1">
        <v>2</v>
      </c>
      <c r="J94" s="1"/>
      <c r="K94" s="1">
        <v>350</v>
      </c>
      <c r="L94" s="1">
        <v>720</v>
      </c>
      <c r="M94" s="1">
        <v>2182</v>
      </c>
      <c r="N94" s="1">
        <v>-58.1</v>
      </c>
      <c r="O94" s="1">
        <v>5.7</v>
      </c>
      <c r="P94" s="1">
        <v>1.7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571</v>
      </c>
      <c r="C95" s="1">
        <v>1374</v>
      </c>
      <c r="D95" s="1">
        <v>-89.4</v>
      </c>
      <c r="E95" s="1">
        <v>8.1999999999999993</v>
      </c>
      <c r="F95" s="1">
        <v>2.4</v>
      </c>
      <c r="G95" s="1">
        <v>79</v>
      </c>
      <c r="H95" s="1">
        <v>8</v>
      </c>
      <c r="I95" s="1">
        <v>2</v>
      </c>
      <c r="J95" s="1"/>
      <c r="K95" s="1">
        <v>375</v>
      </c>
      <c r="L95" s="1">
        <v>710</v>
      </c>
      <c r="M95" s="1">
        <v>2124</v>
      </c>
      <c r="N95" s="1">
        <v>-70</v>
      </c>
      <c r="O95" s="1">
        <v>6.4</v>
      </c>
      <c r="P95" s="1">
        <v>1.9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554</v>
      </c>
      <c r="C96" s="1">
        <v>1293</v>
      </c>
      <c r="D96" s="1">
        <v>-107.3</v>
      </c>
      <c r="E96" s="1">
        <v>9.1999999999999993</v>
      </c>
      <c r="F96" s="1">
        <v>2.7</v>
      </c>
      <c r="G96" s="1">
        <v>91</v>
      </c>
      <c r="H96" s="1">
        <v>9</v>
      </c>
      <c r="I96" s="1">
        <v>2</v>
      </c>
      <c r="J96" s="1"/>
      <c r="K96" s="1">
        <v>400</v>
      </c>
      <c r="L96" s="1">
        <v>701</v>
      </c>
      <c r="M96" s="1">
        <v>2067</v>
      </c>
      <c r="N96" s="1">
        <v>-83.1</v>
      </c>
      <c r="O96" s="1">
        <v>7.1</v>
      </c>
      <c r="P96" s="1">
        <v>2.1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538</v>
      </c>
      <c r="C97" s="1">
        <v>1217</v>
      </c>
      <c r="D97" s="1">
        <v>-128.19999999999999</v>
      </c>
      <c r="E97" s="1">
        <v>10.4</v>
      </c>
      <c r="F97" s="1">
        <v>3</v>
      </c>
      <c r="G97" s="1">
        <v>104</v>
      </c>
      <c r="H97" s="1">
        <v>9</v>
      </c>
      <c r="I97" s="1">
        <v>3</v>
      </c>
      <c r="J97" s="1"/>
      <c r="K97" s="1">
        <v>425</v>
      </c>
      <c r="L97" s="1">
        <v>691</v>
      </c>
      <c r="M97" s="1">
        <v>2012</v>
      </c>
      <c r="N97" s="1">
        <v>-98.1</v>
      </c>
      <c r="O97" s="1">
        <v>7.9</v>
      </c>
      <c r="P97" s="1">
        <v>2.2999999999999998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521</v>
      </c>
      <c r="C98" s="1">
        <v>1145</v>
      </c>
      <c r="D98" s="1">
        <v>-150.69999999999999</v>
      </c>
      <c r="E98" s="1">
        <v>11.5</v>
      </c>
      <c r="F98" s="1">
        <v>3.3</v>
      </c>
      <c r="G98" s="1">
        <v>119</v>
      </c>
      <c r="H98" s="1">
        <v>10</v>
      </c>
      <c r="I98" s="1">
        <v>3</v>
      </c>
      <c r="J98" s="1"/>
      <c r="K98" s="1">
        <v>450</v>
      </c>
      <c r="L98" s="1">
        <v>682</v>
      </c>
      <c r="M98" s="1">
        <v>1958</v>
      </c>
      <c r="N98" s="1">
        <v>-113.8</v>
      </c>
      <c r="O98" s="1">
        <v>8.6999999999999993</v>
      </c>
      <c r="P98" s="1">
        <v>2.5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505</v>
      </c>
      <c r="C99" s="1">
        <v>1076</v>
      </c>
      <c r="D99" s="1">
        <v>-175.5</v>
      </c>
      <c r="E99" s="1">
        <v>12.7</v>
      </c>
      <c r="F99" s="1">
        <v>3.7</v>
      </c>
      <c r="G99" s="1">
        <v>134</v>
      </c>
      <c r="H99" s="1">
        <v>11</v>
      </c>
      <c r="I99" s="1">
        <v>3</v>
      </c>
      <c r="J99" s="1"/>
      <c r="K99" s="1">
        <v>475</v>
      </c>
      <c r="L99" s="1">
        <v>672</v>
      </c>
      <c r="M99" s="1">
        <v>1905</v>
      </c>
      <c r="N99" s="1">
        <v>-130.9</v>
      </c>
      <c r="O99" s="1">
        <v>9.5</v>
      </c>
      <c r="P99" s="1">
        <v>2.8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491</v>
      </c>
      <c r="C100" s="1">
        <v>1014</v>
      </c>
      <c r="D100" s="1">
        <v>-203</v>
      </c>
      <c r="E100" s="1">
        <v>14</v>
      </c>
      <c r="F100" s="1">
        <v>4.0999999999999996</v>
      </c>
      <c r="G100" s="1">
        <v>150</v>
      </c>
      <c r="H100" s="1">
        <v>11</v>
      </c>
      <c r="I100" s="1">
        <v>3</v>
      </c>
      <c r="J100" s="1"/>
      <c r="K100" s="1">
        <v>500</v>
      </c>
      <c r="L100" s="1">
        <v>664</v>
      </c>
      <c r="M100" s="1">
        <v>1855</v>
      </c>
      <c r="N100" s="1">
        <v>-149.4</v>
      </c>
      <c r="O100" s="1">
        <v>10.3</v>
      </c>
      <c r="P100" s="1">
        <v>3</v>
      </c>
      <c r="Q100" s="1">
        <v>0</v>
      </c>
      <c r="R100" s="1">
        <v>0</v>
      </c>
      <c r="S100" s="1">
        <v>0</v>
      </c>
    </row>
    <row r="102" spans="1:19" x14ac:dyDescent="0.25">
      <c r="A102" t="s">
        <v>105</v>
      </c>
      <c r="B102" s="2">
        <f>$B$5</f>
        <v>0.36499999999999999</v>
      </c>
      <c r="K102" t="s">
        <v>98</v>
      </c>
      <c r="L102">
        <f>$B$4</f>
        <v>0.36499999999999999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34</v>
      </c>
      <c r="H103" t="s">
        <v>35</v>
      </c>
      <c r="I103" t="s">
        <v>36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34</v>
      </c>
      <c r="R103" t="s">
        <v>35</v>
      </c>
      <c r="S103" t="s">
        <v>36</v>
      </c>
    </row>
    <row r="104" spans="1:19" x14ac:dyDescent="0.25">
      <c r="A104" s="1">
        <v>0</v>
      </c>
      <c r="B104" s="1">
        <v>861</v>
      </c>
      <c r="C104" s="1">
        <v>3122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861</v>
      </c>
      <c r="M104" s="1">
        <v>3122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839</v>
      </c>
      <c r="C105" s="1">
        <v>2968</v>
      </c>
      <c r="D105" s="1">
        <v>-1.5</v>
      </c>
      <c r="E105" s="1">
        <v>2.1</v>
      </c>
      <c r="F105" s="1">
        <v>0.6</v>
      </c>
      <c r="G105">
        <v>0</v>
      </c>
      <c r="H105">
        <v>1</v>
      </c>
      <c r="I105">
        <v>0</v>
      </c>
      <c r="K105" s="1">
        <v>25</v>
      </c>
      <c r="L105" s="1">
        <v>850</v>
      </c>
      <c r="M105" s="1">
        <v>3046</v>
      </c>
      <c r="N105" s="1">
        <v>-1.6</v>
      </c>
      <c r="O105" s="1">
        <v>2.2000000000000002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818</v>
      </c>
      <c r="C106" s="1">
        <v>2821</v>
      </c>
      <c r="D106" s="1">
        <v>0</v>
      </c>
      <c r="E106" s="1">
        <v>0</v>
      </c>
      <c r="F106" s="1">
        <v>0</v>
      </c>
      <c r="G106">
        <v>1</v>
      </c>
      <c r="H106">
        <v>1</v>
      </c>
      <c r="I106">
        <v>0</v>
      </c>
      <c r="K106" s="1">
        <v>50</v>
      </c>
      <c r="L106" s="1">
        <v>840</v>
      </c>
      <c r="M106" s="1">
        <v>2972</v>
      </c>
      <c r="N106" s="1">
        <v>-0.1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798</v>
      </c>
      <c r="C107" s="1">
        <v>2679</v>
      </c>
      <c r="D107" s="1">
        <v>0.5</v>
      </c>
      <c r="E107" s="1">
        <v>-0.2</v>
      </c>
      <c r="F107" s="1">
        <v>-0.1</v>
      </c>
      <c r="G107">
        <v>3</v>
      </c>
      <c r="H107">
        <v>1</v>
      </c>
      <c r="I107">
        <v>0</v>
      </c>
      <c r="K107" s="1">
        <v>75</v>
      </c>
      <c r="L107" s="1">
        <v>829</v>
      </c>
      <c r="M107" s="1">
        <v>2898</v>
      </c>
      <c r="N107" s="1">
        <v>0.4</v>
      </c>
      <c r="O107" s="1">
        <v>-0.2</v>
      </c>
      <c r="P107" s="1">
        <v>-0.1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777</v>
      </c>
      <c r="C108" s="10">
        <v>2544</v>
      </c>
      <c r="D108" s="10">
        <v>0</v>
      </c>
      <c r="E108" s="10">
        <v>0</v>
      </c>
      <c r="F108" s="10">
        <v>0</v>
      </c>
      <c r="G108">
        <v>5</v>
      </c>
      <c r="H108">
        <v>2</v>
      </c>
      <c r="I108">
        <v>0</v>
      </c>
      <c r="K108" s="1">
        <v>100</v>
      </c>
      <c r="L108" s="1">
        <v>819</v>
      </c>
      <c r="M108" s="1">
        <v>2827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757</v>
      </c>
      <c r="C109" s="1">
        <v>2413</v>
      </c>
      <c r="D109" s="1">
        <v>-1.5</v>
      </c>
      <c r="E109" s="1">
        <v>0.4</v>
      </c>
      <c r="F109" s="1">
        <v>0.1</v>
      </c>
      <c r="G109">
        <v>8</v>
      </c>
      <c r="H109">
        <v>2</v>
      </c>
      <c r="I109">
        <v>1</v>
      </c>
      <c r="K109" s="1">
        <v>125</v>
      </c>
      <c r="L109" s="1">
        <v>809</v>
      </c>
      <c r="M109" s="1">
        <v>2756</v>
      </c>
      <c r="N109" s="1">
        <v>-1.3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737</v>
      </c>
      <c r="C110" s="1">
        <v>2288</v>
      </c>
      <c r="D110" s="1">
        <v>-4.0999999999999996</v>
      </c>
      <c r="E110" s="1">
        <v>0.9</v>
      </c>
      <c r="F110" s="1">
        <v>0.3</v>
      </c>
      <c r="G110">
        <v>11</v>
      </c>
      <c r="H110">
        <v>3</v>
      </c>
      <c r="I110">
        <v>1</v>
      </c>
      <c r="K110" s="1">
        <v>150</v>
      </c>
      <c r="L110" s="1">
        <v>799</v>
      </c>
      <c r="M110" s="1">
        <v>2687</v>
      </c>
      <c r="N110" s="1">
        <v>-3.5</v>
      </c>
      <c r="O110" s="1">
        <v>0.8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717</v>
      </c>
      <c r="C111" s="1">
        <v>2168</v>
      </c>
      <c r="D111" s="1">
        <v>-7.8</v>
      </c>
      <c r="E111" s="1">
        <v>1.5</v>
      </c>
      <c r="F111" s="1">
        <v>0.4</v>
      </c>
      <c r="G111">
        <v>16</v>
      </c>
      <c r="H111">
        <v>3</v>
      </c>
      <c r="I111">
        <v>1</v>
      </c>
      <c r="K111" s="1">
        <v>175</v>
      </c>
      <c r="L111" s="1">
        <v>789</v>
      </c>
      <c r="M111" s="1">
        <v>2620</v>
      </c>
      <c r="N111" s="1">
        <v>-6.7</v>
      </c>
      <c r="O111" s="1">
        <v>1.3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698</v>
      </c>
      <c r="C112" s="1">
        <v>2053</v>
      </c>
      <c r="D112" s="1">
        <v>-12.9</v>
      </c>
      <c r="E112" s="1">
        <v>2.2000000000000002</v>
      </c>
      <c r="F112" s="1">
        <v>0.6</v>
      </c>
      <c r="G112">
        <v>20</v>
      </c>
      <c r="H112">
        <v>4</v>
      </c>
      <c r="I112">
        <v>1</v>
      </c>
      <c r="K112" s="1">
        <v>200</v>
      </c>
      <c r="L112" s="1">
        <v>779</v>
      </c>
      <c r="M112" s="1">
        <v>2553</v>
      </c>
      <c r="N112" s="1">
        <v>-11</v>
      </c>
      <c r="O112" s="1">
        <v>1.9</v>
      </c>
      <c r="P112" s="1">
        <v>0.6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679</v>
      </c>
      <c r="C113" s="1">
        <v>1943</v>
      </c>
      <c r="D113" s="1">
        <v>-19.2</v>
      </c>
      <c r="E113" s="1">
        <v>2.9</v>
      </c>
      <c r="F113" s="1">
        <v>0.9</v>
      </c>
      <c r="G113">
        <v>26</v>
      </c>
      <c r="H113">
        <v>4</v>
      </c>
      <c r="I113">
        <v>1</v>
      </c>
      <c r="K113" s="1">
        <v>225</v>
      </c>
      <c r="L113" s="1">
        <v>769</v>
      </c>
      <c r="M113" s="1">
        <v>2488</v>
      </c>
      <c r="N113" s="1">
        <v>-16.2</v>
      </c>
      <c r="O113" s="1">
        <v>2.5</v>
      </c>
      <c r="P113" s="1">
        <v>0.7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660</v>
      </c>
      <c r="C114" s="1">
        <v>1837</v>
      </c>
      <c r="D114" s="1">
        <v>-26.8</v>
      </c>
      <c r="E114" s="1">
        <v>3.7</v>
      </c>
      <c r="F114" s="1">
        <v>1.1000000000000001</v>
      </c>
      <c r="G114">
        <v>33</v>
      </c>
      <c r="H114">
        <v>5</v>
      </c>
      <c r="I114">
        <v>1</v>
      </c>
      <c r="K114" s="1">
        <v>250</v>
      </c>
      <c r="L114" s="1">
        <v>759</v>
      </c>
      <c r="M114" s="1">
        <v>2424</v>
      </c>
      <c r="N114" s="1">
        <v>-22.4</v>
      </c>
      <c r="O114" s="1">
        <v>3.1</v>
      </c>
      <c r="P114" s="1">
        <v>0.9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642</v>
      </c>
      <c r="C115" s="1">
        <v>1736</v>
      </c>
      <c r="D115" s="1">
        <v>-36.200000000000003</v>
      </c>
      <c r="E115" s="1">
        <v>4.5</v>
      </c>
      <c r="F115" s="1">
        <v>1.3</v>
      </c>
      <c r="G115">
        <v>40</v>
      </c>
      <c r="H115">
        <v>6</v>
      </c>
      <c r="I115">
        <v>2</v>
      </c>
      <c r="K115" s="1">
        <v>275</v>
      </c>
      <c r="L115" s="1">
        <v>749</v>
      </c>
      <c r="M115" s="1">
        <v>2362</v>
      </c>
      <c r="N115" s="1">
        <v>-30</v>
      </c>
      <c r="O115" s="1">
        <v>3.7</v>
      </c>
      <c r="P115" s="1">
        <v>1.1000000000000001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624</v>
      </c>
      <c r="C116" s="1">
        <v>1639</v>
      </c>
      <c r="D116" s="1">
        <v>-46.8</v>
      </c>
      <c r="E116" s="1">
        <v>5.4</v>
      </c>
      <c r="F116" s="1">
        <v>1.6</v>
      </c>
      <c r="G116">
        <v>48</v>
      </c>
      <c r="H116">
        <v>6</v>
      </c>
      <c r="I116">
        <v>2</v>
      </c>
      <c r="K116" s="1">
        <v>300</v>
      </c>
      <c r="L116" s="1">
        <v>739</v>
      </c>
      <c r="M116" s="1">
        <v>2301</v>
      </c>
      <c r="N116" s="1">
        <v>-38.5</v>
      </c>
      <c r="O116" s="1">
        <v>4.4000000000000004</v>
      </c>
      <c r="P116" s="1">
        <v>1.3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606</v>
      </c>
      <c r="C117" s="1">
        <v>1546</v>
      </c>
      <c r="D117" s="1">
        <v>-59.1</v>
      </c>
      <c r="E117" s="1">
        <v>6.3</v>
      </c>
      <c r="F117" s="1">
        <v>1.8</v>
      </c>
      <c r="G117">
        <v>58</v>
      </c>
      <c r="H117">
        <v>7</v>
      </c>
      <c r="I117">
        <v>2</v>
      </c>
      <c r="K117" s="1">
        <v>325</v>
      </c>
      <c r="L117" s="1">
        <v>729</v>
      </c>
      <c r="M117" s="1">
        <v>2241</v>
      </c>
      <c r="N117" s="1">
        <v>-48</v>
      </c>
      <c r="O117" s="1">
        <v>5.0999999999999996</v>
      </c>
      <c r="P117" s="1">
        <v>1.5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588</v>
      </c>
      <c r="C118" s="1">
        <v>1458</v>
      </c>
      <c r="D118" s="1">
        <v>-73.7</v>
      </c>
      <c r="E118" s="1">
        <v>7.2</v>
      </c>
      <c r="F118" s="1">
        <v>2.1</v>
      </c>
      <c r="G118">
        <v>68</v>
      </c>
      <c r="H118">
        <v>7</v>
      </c>
      <c r="I118">
        <v>2</v>
      </c>
      <c r="K118" s="1">
        <v>350</v>
      </c>
      <c r="L118" s="1">
        <v>720</v>
      </c>
      <c r="M118" s="1">
        <v>2182</v>
      </c>
      <c r="N118" s="1">
        <v>-59.2</v>
      </c>
      <c r="O118" s="1">
        <v>5.8</v>
      </c>
      <c r="P118" s="1">
        <v>1.7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571</v>
      </c>
      <c r="C119" s="1">
        <v>1374</v>
      </c>
      <c r="D119" s="1">
        <v>-89.7</v>
      </c>
      <c r="E119" s="1">
        <v>8.1999999999999993</v>
      </c>
      <c r="F119" s="1">
        <v>2.4</v>
      </c>
      <c r="G119">
        <v>79</v>
      </c>
      <c r="H119">
        <v>8</v>
      </c>
      <c r="I119">
        <v>2</v>
      </c>
      <c r="K119" s="1">
        <v>375</v>
      </c>
      <c r="L119" s="1">
        <v>710</v>
      </c>
      <c r="M119" s="1">
        <v>2124</v>
      </c>
      <c r="N119" s="1">
        <v>-71.099999999999994</v>
      </c>
      <c r="O119" s="1">
        <v>6.5</v>
      </c>
      <c r="P119" s="1">
        <v>1.9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554</v>
      </c>
      <c r="C120" s="1">
        <v>1293</v>
      </c>
      <c r="D120" s="1">
        <v>-107.6</v>
      </c>
      <c r="E120" s="1">
        <v>9.3000000000000007</v>
      </c>
      <c r="F120" s="1">
        <v>2.7</v>
      </c>
      <c r="G120">
        <v>91</v>
      </c>
      <c r="H120">
        <v>9</v>
      </c>
      <c r="I120">
        <v>2</v>
      </c>
      <c r="K120" s="1">
        <v>400</v>
      </c>
      <c r="L120" s="1">
        <v>701</v>
      </c>
      <c r="M120" s="1">
        <v>2067</v>
      </c>
      <c r="N120" s="1">
        <v>-84.3</v>
      </c>
      <c r="O120" s="1">
        <v>7.3</v>
      </c>
      <c r="P120" s="1">
        <v>2.1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538</v>
      </c>
      <c r="C121" s="1">
        <v>1217</v>
      </c>
      <c r="D121" s="1">
        <v>-128.5</v>
      </c>
      <c r="E121" s="1">
        <v>10.4</v>
      </c>
      <c r="F121" s="1">
        <v>3</v>
      </c>
      <c r="G121">
        <v>104</v>
      </c>
      <c r="H121">
        <v>9</v>
      </c>
      <c r="I121">
        <v>3</v>
      </c>
      <c r="K121" s="1">
        <v>425</v>
      </c>
      <c r="L121" s="1">
        <v>691</v>
      </c>
      <c r="M121" s="1">
        <v>2012</v>
      </c>
      <c r="N121" s="1">
        <v>-99.3</v>
      </c>
      <c r="O121" s="1">
        <v>8</v>
      </c>
      <c r="P121" s="1">
        <v>2.2999999999999998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521</v>
      </c>
      <c r="C122" s="1">
        <v>1145</v>
      </c>
      <c r="D122" s="1">
        <v>-151</v>
      </c>
      <c r="E122" s="1">
        <v>11.5</v>
      </c>
      <c r="F122" s="1">
        <v>3.4</v>
      </c>
      <c r="G122">
        <v>119</v>
      </c>
      <c r="H122">
        <v>10</v>
      </c>
      <c r="I122">
        <v>3</v>
      </c>
      <c r="K122" s="1">
        <v>450</v>
      </c>
      <c r="L122" s="1">
        <v>682</v>
      </c>
      <c r="M122" s="1">
        <v>1958</v>
      </c>
      <c r="N122" s="1">
        <v>-115.1</v>
      </c>
      <c r="O122" s="1">
        <v>8.8000000000000007</v>
      </c>
      <c r="P122" s="1">
        <v>2.6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505</v>
      </c>
      <c r="C123" s="1">
        <v>1076</v>
      </c>
      <c r="D123" s="1">
        <v>-175.9</v>
      </c>
      <c r="E123" s="1">
        <v>12.7</v>
      </c>
      <c r="F123" s="1">
        <v>3.7</v>
      </c>
      <c r="G123">
        <v>134</v>
      </c>
      <c r="H123">
        <v>11</v>
      </c>
      <c r="I123">
        <v>3</v>
      </c>
      <c r="K123" s="1">
        <v>475</v>
      </c>
      <c r="L123" s="1">
        <v>672</v>
      </c>
      <c r="M123" s="1">
        <v>1905</v>
      </c>
      <c r="N123" s="1">
        <v>-132.30000000000001</v>
      </c>
      <c r="O123" s="1">
        <v>9.6</v>
      </c>
      <c r="P123" s="1">
        <v>2.8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491</v>
      </c>
      <c r="C124" s="1">
        <v>1014</v>
      </c>
      <c r="D124" s="1">
        <v>-203.4</v>
      </c>
      <c r="E124" s="1">
        <v>14</v>
      </c>
      <c r="F124" s="1">
        <v>4.0999999999999996</v>
      </c>
      <c r="G124">
        <v>150</v>
      </c>
      <c r="H124">
        <v>11</v>
      </c>
      <c r="I124">
        <v>3</v>
      </c>
      <c r="K124" s="1">
        <v>500</v>
      </c>
      <c r="L124" s="1">
        <v>664</v>
      </c>
      <c r="M124" s="1">
        <v>1855</v>
      </c>
      <c r="N124" s="1">
        <v>-150.9</v>
      </c>
      <c r="O124" s="1">
        <v>10.4</v>
      </c>
      <c r="P124" s="1">
        <v>3</v>
      </c>
      <c r="Q124" s="1">
        <v>0</v>
      </c>
      <c r="R124" s="1">
        <v>0</v>
      </c>
      <c r="S124" s="1">
        <v>0</v>
      </c>
    </row>
    <row r="126" spans="1:19" x14ac:dyDescent="0.25">
      <c r="A126" t="s">
        <v>106</v>
      </c>
      <c r="B126" s="2">
        <f>$B$5</f>
        <v>0.36499999999999999</v>
      </c>
      <c r="K126" t="s">
        <v>99</v>
      </c>
      <c r="L126">
        <f>$B$4</f>
        <v>0.36499999999999999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34</v>
      </c>
      <c r="H127" t="s">
        <v>35</v>
      </c>
      <c r="I127" t="s">
        <v>36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34</v>
      </c>
      <c r="R127" t="s">
        <v>35</v>
      </c>
      <c r="S127" t="s">
        <v>36</v>
      </c>
    </row>
    <row r="128" spans="1:19" x14ac:dyDescent="0.25">
      <c r="A128" s="1">
        <v>0</v>
      </c>
      <c r="B128" s="1">
        <v>861</v>
      </c>
      <c r="C128" s="1">
        <v>3122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861</v>
      </c>
      <c r="M128" s="1">
        <v>3122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839</v>
      </c>
      <c r="C129" s="1">
        <v>2968</v>
      </c>
      <c r="D129" s="1">
        <v>-0.8</v>
      </c>
      <c r="E129" s="1">
        <v>1.2</v>
      </c>
      <c r="F129" s="1">
        <v>0.3</v>
      </c>
      <c r="G129">
        <v>0</v>
      </c>
      <c r="H129">
        <v>1</v>
      </c>
      <c r="I129">
        <v>0</v>
      </c>
      <c r="K129" s="1">
        <v>25</v>
      </c>
      <c r="L129" s="1">
        <v>850</v>
      </c>
      <c r="M129" s="1">
        <v>3046</v>
      </c>
      <c r="N129" s="1">
        <v>-1</v>
      </c>
      <c r="O129" s="1">
        <v>1.4</v>
      </c>
      <c r="P129" s="1">
        <v>0.4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818</v>
      </c>
      <c r="C130" s="1">
        <v>2821</v>
      </c>
      <c r="D130" s="1">
        <v>1.3</v>
      </c>
      <c r="E130" s="1">
        <v>-0.9</v>
      </c>
      <c r="F130" s="1">
        <v>-0.3</v>
      </c>
      <c r="G130">
        <v>1</v>
      </c>
      <c r="H130">
        <v>1</v>
      </c>
      <c r="I130">
        <v>0</v>
      </c>
      <c r="K130" s="1">
        <v>50</v>
      </c>
      <c r="L130" s="1">
        <v>840</v>
      </c>
      <c r="M130" s="1">
        <v>2972</v>
      </c>
      <c r="N130" s="1">
        <v>1</v>
      </c>
      <c r="O130" s="1">
        <v>-0.7</v>
      </c>
      <c r="P130" s="1">
        <v>-0.2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798</v>
      </c>
      <c r="C131" s="1">
        <v>2679</v>
      </c>
      <c r="D131" s="1">
        <v>2.5</v>
      </c>
      <c r="E131" s="1">
        <v>-1.1000000000000001</v>
      </c>
      <c r="F131" s="1">
        <v>-0.3</v>
      </c>
      <c r="G131">
        <v>3</v>
      </c>
      <c r="H131">
        <v>1</v>
      </c>
      <c r="I131">
        <v>0</v>
      </c>
      <c r="K131" s="1">
        <v>75</v>
      </c>
      <c r="L131" s="1">
        <v>829</v>
      </c>
      <c r="M131" s="1">
        <v>2898</v>
      </c>
      <c r="N131" s="1">
        <v>2.1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777</v>
      </c>
      <c r="C132" s="1">
        <v>2544</v>
      </c>
      <c r="D132" s="1">
        <v>2.7</v>
      </c>
      <c r="E132" s="1">
        <v>-0.9</v>
      </c>
      <c r="F132" s="1">
        <v>-0.3</v>
      </c>
      <c r="G132">
        <v>5</v>
      </c>
      <c r="H132">
        <v>2</v>
      </c>
      <c r="I132">
        <v>0</v>
      </c>
      <c r="K132" s="1">
        <v>100</v>
      </c>
      <c r="L132" s="1">
        <v>819</v>
      </c>
      <c r="M132" s="1">
        <v>2827</v>
      </c>
      <c r="N132" s="1">
        <v>2.4</v>
      </c>
      <c r="O132" s="1">
        <v>-0.8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757</v>
      </c>
      <c r="C133" s="1">
        <v>2413</v>
      </c>
      <c r="D133" s="1">
        <v>1.9</v>
      </c>
      <c r="E133" s="1">
        <v>-0.5</v>
      </c>
      <c r="F133" s="1">
        <v>-0.1</v>
      </c>
      <c r="G133">
        <v>8</v>
      </c>
      <c r="H133">
        <v>2</v>
      </c>
      <c r="I133">
        <v>1</v>
      </c>
      <c r="K133" s="1">
        <v>125</v>
      </c>
      <c r="L133" s="1">
        <v>809</v>
      </c>
      <c r="M133" s="1">
        <v>2756</v>
      </c>
      <c r="N133" s="1">
        <v>1.6</v>
      </c>
      <c r="O133" s="1">
        <v>-0.4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737</v>
      </c>
      <c r="C134" s="10">
        <v>2288</v>
      </c>
      <c r="D134" s="10">
        <v>0</v>
      </c>
      <c r="E134" s="10">
        <v>0</v>
      </c>
      <c r="F134" s="10">
        <v>0</v>
      </c>
      <c r="G134">
        <v>11</v>
      </c>
      <c r="H134">
        <v>3</v>
      </c>
      <c r="I134">
        <v>1</v>
      </c>
      <c r="K134" s="1">
        <v>150</v>
      </c>
      <c r="L134" s="1">
        <v>799</v>
      </c>
      <c r="M134" s="1">
        <v>2687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717</v>
      </c>
      <c r="C135" s="1">
        <v>2168</v>
      </c>
      <c r="D135" s="1">
        <v>-3.1</v>
      </c>
      <c r="E135" s="1">
        <v>0.6</v>
      </c>
      <c r="F135" s="1">
        <v>0.2</v>
      </c>
      <c r="G135">
        <v>16</v>
      </c>
      <c r="H135">
        <v>3</v>
      </c>
      <c r="I135">
        <v>1</v>
      </c>
      <c r="K135" s="1">
        <v>175</v>
      </c>
      <c r="L135" s="1">
        <v>789</v>
      </c>
      <c r="M135" s="1">
        <v>2620</v>
      </c>
      <c r="N135" s="1">
        <v>-2.6</v>
      </c>
      <c r="O135" s="1">
        <v>0.5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698</v>
      </c>
      <c r="C136" s="1">
        <v>2053</v>
      </c>
      <c r="D136" s="1">
        <v>-7.5</v>
      </c>
      <c r="E136" s="1">
        <v>1.3</v>
      </c>
      <c r="F136" s="1">
        <v>0.4</v>
      </c>
      <c r="G136">
        <v>20</v>
      </c>
      <c r="H136">
        <v>4</v>
      </c>
      <c r="I136">
        <v>1</v>
      </c>
      <c r="K136" s="1">
        <v>200</v>
      </c>
      <c r="L136" s="1">
        <v>779</v>
      </c>
      <c r="M136" s="1">
        <v>2553</v>
      </c>
      <c r="N136" s="1">
        <v>-6.3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679</v>
      </c>
      <c r="C137" s="1">
        <v>1943</v>
      </c>
      <c r="D137" s="1">
        <v>-13.1</v>
      </c>
      <c r="E137" s="1">
        <v>2</v>
      </c>
      <c r="F137" s="1">
        <v>0.6</v>
      </c>
      <c r="G137">
        <v>26</v>
      </c>
      <c r="H137">
        <v>4</v>
      </c>
      <c r="I137">
        <v>1</v>
      </c>
      <c r="K137" s="1">
        <v>225</v>
      </c>
      <c r="L137" s="1">
        <v>769</v>
      </c>
      <c r="M137" s="1">
        <v>2488</v>
      </c>
      <c r="N137" s="1">
        <v>-10.9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660</v>
      </c>
      <c r="C138" s="1">
        <v>1837</v>
      </c>
      <c r="D138" s="1">
        <v>-20</v>
      </c>
      <c r="E138" s="1">
        <v>2.8</v>
      </c>
      <c r="F138" s="1">
        <v>0.8</v>
      </c>
      <c r="G138">
        <v>33</v>
      </c>
      <c r="H138">
        <v>5</v>
      </c>
      <c r="I138">
        <v>1</v>
      </c>
      <c r="K138" s="1">
        <v>250</v>
      </c>
      <c r="L138" s="1">
        <v>759</v>
      </c>
      <c r="M138" s="1">
        <v>2424</v>
      </c>
      <c r="N138" s="1">
        <v>-16.600000000000001</v>
      </c>
      <c r="O138" s="1">
        <v>2.2999999999999998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642</v>
      </c>
      <c r="C139" s="1">
        <v>1736</v>
      </c>
      <c r="D139" s="1">
        <v>-28.7</v>
      </c>
      <c r="E139" s="1">
        <v>3.6</v>
      </c>
      <c r="F139" s="1">
        <v>1</v>
      </c>
      <c r="G139">
        <v>40</v>
      </c>
      <c r="H139">
        <v>6</v>
      </c>
      <c r="I139">
        <v>2</v>
      </c>
      <c r="K139" s="1">
        <v>275</v>
      </c>
      <c r="L139" s="1">
        <v>749</v>
      </c>
      <c r="M139" s="1">
        <v>2362</v>
      </c>
      <c r="N139" s="1">
        <v>-23.6</v>
      </c>
      <c r="O139" s="1">
        <v>2.9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624</v>
      </c>
      <c r="C140" s="1">
        <v>1639</v>
      </c>
      <c r="D140" s="1">
        <v>-38.700000000000003</v>
      </c>
      <c r="E140" s="1">
        <v>4.4000000000000004</v>
      </c>
      <c r="F140" s="1">
        <v>1.3</v>
      </c>
      <c r="G140">
        <v>48</v>
      </c>
      <c r="H140">
        <v>6</v>
      </c>
      <c r="I140">
        <v>2</v>
      </c>
      <c r="K140" s="1">
        <v>300</v>
      </c>
      <c r="L140" s="1">
        <v>739</v>
      </c>
      <c r="M140" s="1">
        <v>2301</v>
      </c>
      <c r="N140" s="1">
        <v>-31.4</v>
      </c>
      <c r="O140" s="1">
        <v>3.6</v>
      </c>
      <c r="P140" s="1">
        <v>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606</v>
      </c>
      <c r="C141" s="1">
        <v>1546</v>
      </c>
      <c r="D141" s="1">
        <v>-50.3</v>
      </c>
      <c r="E141" s="1">
        <v>5.3</v>
      </c>
      <c r="F141" s="1">
        <v>1.5</v>
      </c>
      <c r="G141">
        <v>58</v>
      </c>
      <c r="H141">
        <v>7</v>
      </c>
      <c r="I141">
        <v>2</v>
      </c>
      <c r="K141" s="1">
        <v>325</v>
      </c>
      <c r="L141" s="1">
        <v>729</v>
      </c>
      <c r="M141" s="1">
        <v>2241</v>
      </c>
      <c r="N141" s="1">
        <v>-40.4</v>
      </c>
      <c r="O141" s="1">
        <v>4.3</v>
      </c>
      <c r="P141" s="1">
        <v>1.2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588</v>
      </c>
      <c r="C142" s="1">
        <v>1458</v>
      </c>
      <c r="D142" s="1">
        <v>-64.2</v>
      </c>
      <c r="E142" s="1">
        <v>6.3</v>
      </c>
      <c r="F142" s="1">
        <v>1.8</v>
      </c>
      <c r="G142">
        <v>68</v>
      </c>
      <c r="H142">
        <v>7</v>
      </c>
      <c r="I142">
        <v>2</v>
      </c>
      <c r="K142" s="1">
        <v>350</v>
      </c>
      <c r="L142" s="1">
        <v>720</v>
      </c>
      <c r="M142" s="1">
        <v>2182</v>
      </c>
      <c r="N142" s="1">
        <v>-50.9</v>
      </c>
      <c r="O142" s="1">
        <v>5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571</v>
      </c>
      <c r="C143" s="1">
        <v>1374</v>
      </c>
      <c r="D143" s="1">
        <v>-79.5</v>
      </c>
      <c r="E143" s="1">
        <v>7.3</v>
      </c>
      <c r="F143" s="1">
        <v>2.1</v>
      </c>
      <c r="G143">
        <v>79</v>
      </c>
      <c r="H143">
        <v>8</v>
      </c>
      <c r="I143">
        <v>2</v>
      </c>
      <c r="K143" s="1">
        <v>375</v>
      </c>
      <c r="L143" s="1">
        <v>710</v>
      </c>
      <c r="M143" s="1">
        <v>2124</v>
      </c>
      <c r="N143" s="1">
        <v>-62.3</v>
      </c>
      <c r="O143" s="1">
        <v>5.7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554</v>
      </c>
      <c r="C144" s="1">
        <v>1293</v>
      </c>
      <c r="D144" s="1">
        <v>-96.8</v>
      </c>
      <c r="E144" s="1">
        <v>8.3000000000000007</v>
      </c>
      <c r="F144" s="1">
        <v>2.4</v>
      </c>
      <c r="G144">
        <v>91</v>
      </c>
      <c r="H144">
        <v>9</v>
      </c>
      <c r="I144">
        <v>2</v>
      </c>
      <c r="K144" s="1">
        <v>400</v>
      </c>
      <c r="L144" s="1">
        <v>701</v>
      </c>
      <c r="M144" s="1">
        <v>2067</v>
      </c>
      <c r="N144" s="1">
        <v>-74.900000000000006</v>
      </c>
      <c r="O144" s="1">
        <v>6.4</v>
      </c>
      <c r="P144" s="1">
        <v>1.9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538</v>
      </c>
      <c r="C145" s="1">
        <v>1217</v>
      </c>
      <c r="D145" s="1">
        <v>-116.9</v>
      </c>
      <c r="E145" s="1">
        <v>9.5</v>
      </c>
      <c r="F145" s="1">
        <v>2.7</v>
      </c>
      <c r="G145">
        <v>104</v>
      </c>
      <c r="H145">
        <v>9</v>
      </c>
      <c r="I145">
        <v>3</v>
      </c>
      <c r="K145" s="1">
        <v>425</v>
      </c>
      <c r="L145" s="1">
        <v>691</v>
      </c>
      <c r="M145" s="1">
        <v>2012</v>
      </c>
      <c r="N145" s="1">
        <v>-89.3</v>
      </c>
      <c r="O145" s="1">
        <v>7.2</v>
      </c>
      <c r="P145" s="1">
        <v>2.1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521</v>
      </c>
      <c r="C146" s="1">
        <v>1145</v>
      </c>
      <c r="D146" s="1">
        <v>-138.69999999999999</v>
      </c>
      <c r="E146" s="1">
        <v>10.6</v>
      </c>
      <c r="F146" s="1">
        <v>3.1</v>
      </c>
      <c r="G146">
        <v>119</v>
      </c>
      <c r="H146">
        <v>10</v>
      </c>
      <c r="I146">
        <v>3</v>
      </c>
      <c r="K146" s="1">
        <v>450</v>
      </c>
      <c r="L146" s="1">
        <v>682</v>
      </c>
      <c r="M146" s="1">
        <v>1958</v>
      </c>
      <c r="N146" s="1">
        <v>-104.6</v>
      </c>
      <c r="O146" s="1">
        <v>8</v>
      </c>
      <c r="P146" s="1">
        <v>2.2999999999999998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505</v>
      </c>
      <c r="C147" s="1">
        <v>1076</v>
      </c>
      <c r="D147" s="1">
        <v>-163</v>
      </c>
      <c r="E147" s="1">
        <v>11.8</v>
      </c>
      <c r="F147" s="1">
        <v>3.4</v>
      </c>
      <c r="G147">
        <v>134</v>
      </c>
      <c r="H147">
        <v>11</v>
      </c>
      <c r="I147">
        <v>3</v>
      </c>
      <c r="K147" s="1">
        <v>475</v>
      </c>
      <c r="L147" s="1">
        <v>672</v>
      </c>
      <c r="M147" s="1">
        <v>1905</v>
      </c>
      <c r="N147" s="1">
        <v>-121.2</v>
      </c>
      <c r="O147" s="1">
        <v>8.8000000000000007</v>
      </c>
      <c r="P147" s="1">
        <v>2.6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491</v>
      </c>
      <c r="C148" s="1">
        <v>1014</v>
      </c>
      <c r="D148" s="1">
        <v>-189.8</v>
      </c>
      <c r="E148" s="1">
        <v>13.1</v>
      </c>
      <c r="F148" s="1">
        <v>3.8</v>
      </c>
      <c r="G148">
        <v>150</v>
      </c>
      <c r="H148">
        <v>11</v>
      </c>
      <c r="I148">
        <v>3</v>
      </c>
      <c r="K148" s="1">
        <v>500</v>
      </c>
      <c r="L148" s="1">
        <v>664</v>
      </c>
      <c r="M148" s="1">
        <v>1855</v>
      </c>
      <c r="N148" s="1">
        <v>-139.1</v>
      </c>
      <c r="O148" s="1">
        <v>9.6</v>
      </c>
      <c r="P148" s="1">
        <v>2.8</v>
      </c>
      <c r="Q148" s="1">
        <v>0</v>
      </c>
      <c r="R148" s="1">
        <v>0</v>
      </c>
      <c r="S148" s="1">
        <v>0</v>
      </c>
    </row>
    <row r="150" spans="1:19" x14ac:dyDescent="0.25">
      <c r="A150" t="s">
        <v>110</v>
      </c>
      <c r="B150" s="2">
        <f>$B$5</f>
        <v>0.36499999999999999</v>
      </c>
      <c r="K150" t="s">
        <v>100</v>
      </c>
      <c r="L150">
        <f>$B$4</f>
        <v>0.36499999999999999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34</v>
      </c>
      <c r="H151" t="s">
        <v>35</v>
      </c>
      <c r="I151" t="s">
        <v>36</v>
      </c>
      <c r="K151" s="1" t="s">
        <v>12</v>
      </c>
      <c r="L151" s="1" t="s">
        <v>13</v>
      </c>
      <c r="M151" s="1" t="s">
        <v>14</v>
      </c>
      <c r="N151" s="1" t="s">
        <v>15</v>
      </c>
      <c r="O151" s="1" t="s">
        <v>16</v>
      </c>
      <c r="P151" s="1" t="s">
        <v>17</v>
      </c>
      <c r="Q151" s="1" t="s">
        <v>34</v>
      </c>
      <c r="R151" s="1" t="s">
        <v>35</v>
      </c>
      <c r="S151" s="1" t="s">
        <v>36</v>
      </c>
    </row>
    <row r="152" spans="1:19" x14ac:dyDescent="0.25">
      <c r="A152" s="1">
        <v>0</v>
      </c>
      <c r="B152" s="1">
        <v>861</v>
      </c>
      <c r="C152" s="1">
        <v>3122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861</v>
      </c>
      <c r="M152" s="1">
        <v>3122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839</v>
      </c>
      <c r="C153" s="1">
        <v>2968</v>
      </c>
      <c r="D153" s="1">
        <v>0.1</v>
      </c>
      <c r="E153" s="1">
        <v>-0.1</v>
      </c>
      <c r="F153" s="1">
        <v>0</v>
      </c>
      <c r="G153">
        <v>0</v>
      </c>
      <c r="H153">
        <v>1</v>
      </c>
      <c r="I153">
        <v>0</v>
      </c>
      <c r="K153" s="1">
        <v>25</v>
      </c>
      <c r="L153" s="1">
        <v>850</v>
      </c>
      <c r="M153" s="1">
        <v>3046</v>
      </c>
      <c r="N153" s="1">
        <v>-0.2</v>
      </c>
      <c r="O153" s="1">
        <v>0.3</v>
      </c>
      <c r="P153" s="1">
        <v>0.1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818</v>
      </c>
      <c r="C154" s="1">
        <v>2821</v>
      </c>
      <c r="D154" s="1">
        <v>3.2</v>
      </c>
      <c r="E154" s="1">
        <v>-2.2000000000000002</v>
      </c>
      <c r="F154" s="1">
        <v>-0.6</v>
      </c>
      <c r="G154">
        <v>1</v>
      </c>
      <c r="H154">
        <v>1</v>
      </c>
      <c r="I154">
        <v>0</v>
      </c>
      <c r="K154" s="1">
        <v>50</v>
      </c>
      <c r="L154" s="1">
        <v>840</v>
      </c>
      <c r="M154" s="1">
        <v>2972</v>
      </c>
      <c r="N154" s="1">
        <v>2.6</v>
      </c>
      <c r="O154" s="1">
        <v>-1.8</v>
      </c>
      <c r="P154" s="1">
        <v>-0.5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798</v>
      </c>
      <c r="C155" s="1">
        <v>2679</v>
      </c>
      <c r="D155" s="1">
        <v>5.3</v>
      </c>
      <c r="E155" s="1">
        <v>-2.4</v>
      </c>
      <c r="F155" s="1">
        <v>-0.7</v>
      </c>
      <c r="G155">
        <v>3</v>
      </c>
      <c r="H155">
        <v>1</v>
      </c>
      <c r="I155">
        <v>0</v>
      </c>
      <c r="K155" s="1">
        <v>75</v>
      </c>
      <c r="L155" s="1">
        <v>829</v>
      </c>
      <c r="M155" s="1">
        <v>2898</v>
      </c>
      <c r="N155" s="1">
        <v>4.5</v>
      </c>
      <c r="O155" s="1">
        <v>-2.1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777</v>
      </c>
      <c r="C156" s="1">
        <v>2544</v>
      </c>
      <c r="D156" s="1">
        <v>6.4</v>
      </c>
      <c r="E156" s="1">
        <v>-2.2000000000000002</v>
      </c>
      <c r="F156" s="1">
        <v>-0.6</v>
      </c>
      <c r="G156">
        <v>5</v>
      </c>
      <c r="H156">
        <v>2</v>
      </c>
      <c r="I156">
        <v>0</v>
      </c>
      <c r="K156" s="1">
        <v>100</v>
      </c>
      <c r="L156" s="1">
        <v>819</v>
      </c>
      <c r="M156" s="1">
        <v>2827</v>
      </c>
      <c r="N156" s="1">
        <v>5.5</v>
      </c>
      <c r="O156" s="1">
        <v>-1.9</v>
      </c>
      <c r="P156" s="1">
        <v>-0.5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757</v>
      </c>
      <c r="C157" s="1">
        <v>2413</v>
      </c>
      <c r="D157" s="1">
        <v>6.5</v>
      </c>
      <c r="E157" s="1">
        <v>-1.8</v>
      </c>
      <c r="F157" s="1">
        <v>-0.5</v>
      </c>
      <c r="G157">
        <v>8</v>
      </c>
      <c r="H157">
        <v>2</v>
      </c>
      <c r="I157">
        <v>1</v>
      </c>
      <c r="K157" s="1">
        <v>125</v>
      </c>
      <c r="L157" s="1">
        <v>809</v>
      </c>
      <c r="M157" s="1">
        <v>2756</v>
      </c>
      <c r="N157" s="1">
        <v>5.6</v>
      </c>
      <c r="O157" s="1">
        <v>-1.5</v>
      </c>
      <c r="P157" s="1">
        <v>-0.4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737</v>
      </c>
      <c r="C158" s="1">
        <v>2288</v>
      </c>
      <c r="D158" s="1">
        <v>5.5</v>
      </c>
      <c r="E158" s="1">
        <v>-1.3</v>
      </c>
      <c r="F158" s="1">
        <v>-0.4</v>
      </c>
      <c r="G158">
        <v>11</v>
      </c>
      <c r="H158">
        <v>3</v>
      </c>
      <c r="I158">
        <v>1</v>
      </c>
      <c r="K158" s="1">
        <v>150</v>
      </c>
      <c r="L158" s="1">
        <v>799</v>
      </c>
      <c r="M158" s="1">
        <v>2687</v>
      </c>
      <c r="N158" s="1">
        <v>4.7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717</v>
      </c>
      <c r="C159" s="1">
        <v>2168</v>
      </c>
      <c r="D159" s="1">
        <v>3.4</v>
      </c>
      <c r="E159" s="1">
        <v>-0.7</v>
      </c>
      <c r="F159" s="1">
        <v>-0.2</v>
      </c>
      <c r="G159">
        <v>16</v>
      </c>
      <c r="H159">
        <v>3</v>
      </c>
      <c r="I159">
        <v>1</v>
      </c>
      <c r="K159" s="1">
        <v>175</v>
      </c>
      <c r="L159" s="1">
        <v>789</v>
      </c>
      <c r="M159" s="1">
        <v>2620</v>
      </c>
      <c r="N159" s="1">
        <v>2.9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698</v>
      </c>
      <c r="C160" s="10">
        <v>2053</v>
      </c>
      <c r="D160" s="10">
        <v>-0.1</v>
      </c>
      <c r="E160" s="10">
        <v>0</v>
      </c>
      <c r="F160" s="10">
        <v>0</v>
      </c>
      <c r="G160">
        <v>20</v>
      </c>
      <c r="H160">
        <v>4</v>
      </c>
      <c r="I160">
        <v>1</v>
      </c>
      <c r="K160" s="1">
        <v>200</v>
      </c>
      <c r="L160" s="1">
        <v>779</v>
      </c>
      <c r="M160" s="1">
        <v>2553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679</v>
      </c>
      <c r="C161" s="1">
        <v>1943</v>
      </c>
      <c r="D161" s="1">
        <v>-4.8</v>
      </c>
      <c r="E161" s="1">
        <v>0.7</v>
      </c>
      <c r="F161" s="1">
        <v>0.2</v>
      </c>
      <c r="G161">
        <v>26</v>
      </c>
      <c r="H161">
        <v>4</v>
      </c>
      <c r="I161">
        <v>1</v>
      </c>
      <c r="K161" s="1">
        <v>225</v>
      </c>
      <c r="L161" s="1">
        <v>769</v>
      </c>
      <c r="M161" s="1">
        <v>2488</v>
      </c>
      <c r="N161" s="1">
        <v>-3.9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660</v>
      </c>
      <c r="C162" s="1">
        <v>1837</v>
      </c>
      <c r="D162" s="1">
        <v>-10.8</v>
      </c>
      <c r="E162" s="1">
        <v>1.5</v>
      </c>
      <c r="F162" s="1">
        <v>0.4</v>
      </c>
      <c r="G162">
        <v>33</v>
      </c>
      <c r="H162">
        <v>5</v>
      </c>
      <c r="I162">
        <v>1</v>
      </c>
      <c r="K162" s="1">
        <v>250</v>
      </c>
      <c r="L162" s="1">
        <v>759</v>
      </c>
      <c r="M162" s="1">
        <v>2424</v>
      </c>
      <c r="N162" s="1">
        <v>-8.8000000000000007</v>
      </c>
      <c r="O162" s="1">
        <v>1.2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642</v>
      </c>
      <c r="C163" s="1">
        <v>1736</v>
      </c>
      <c r="D163" s="1">
        <v>-18.5</v>
      </c>
      <c r="E163" s="1">
        <v>2.2999999999999998</v>
      </c>
      <c r="F163" s="1">
        <v>0.7</v>
      </c>
      <c r="G163">
        <v>40</v>
      </c>
      <c r="H163">
        <v>6</v>
      </c>
      <c r="I163">
        <v>2</v>
      </c>
      <c r="K163" s="1">
        <v>275</v>
      </c>
      <c r="L163" s="1">
        <v>749</v>
      </c>
      <c r="M163" s="1">
        <v>2362</v>
      </c>
      <c r="N163" s="1">
        <v>-14.9</v>
      </c>
      <c r="O163" s="1">
        <v>1.9</v>
      </c>
      <c r="P163" s="1">
        <v>0.5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624</v>
      </c>
      <c r="C164" s="1">
        <v>1639</v>
      </c>
      <c r="D164" s="1">
        <v>-27.6</v>
      </c>
      <c r="E164" s="1">
        <v>3.2</v>
      </c>
      <c r="F164" s="1">
        <v>0.9</v>
      </c>
      <c r="G164">
        <v>48</v>
      </c>
      <c r="H164">
        <v>6</v>
      </c>
      <c r="I164">
        <v>2</v>
      </c>
      <c r="K164" s="1">
        <v>300</v>
      </c>
      <c r="L164" s="1">
        <v>739</v>
      </c>
      <c r="M164" s="1">
        <v>2301</v>
      </c>
      <c r="N164" s="1">
        <v>-22</v>
      </c>
      <c r="O164" s="1">
        <v>2.5</v>
      </c>
      <c r="P164" s="1">
        <v>0.7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606</v>
      </c>
      <c r="C165" s="1">
        <v>1546</v>
      </c>
      <c r="D165" s="1">
        <v>-38.299999999999997</v>
      </c>
      <c r="E165" s="1">
        <v>4.0999999999999996</v>
      </c>
      <c r="F165" s="1">
        <v>1.2</v>
      </c>
      <c r="G165">
        <v>58</v>
      </c>
      <c r="H165">
        <v>7</v>
      </c>
      <c r="I165">
        <v>2</v>
      </c>
      <c r="K165" s="1">
        <v>325</v>
      </c>
      <c r="L165" s="1">
        <v>729</v>
      </c>
      <c r="M165" s="1">
        <v>2241</v>
      </c>
      <c r="N165" s="1">
        <v>-30.2</v>
      </c>
      <c r="O165" s="1">
        <v>3.2</v>
      </c>
      <c r="P165" s="1">
        <v>0.9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588</v>
      </c>
      <c r="C166" s="1">
        <v>1458</v>
      </c>
      <c r="D166" s="1">
        <v>-51.2</v>
      </c>
      <c r="E166" s="1">
        <v>5</v>
      </c>
      <c r="F166" s="1">
        <v>1.5</v>
      </c>
      <c r="G166">
        <v>68</v>
      </c>
      <c r="H166">
        <v>7</v>
      </c>
      <c r="I166">
        <v>2</v>
      </c>
      <c r="K166" s="1">
        <v>350</v>
      </c>
      <c r="L166" s="1">
        <v>720</v>
      </c>
      <c r="M166" s="1">
        <v>2182</v>
      </c>
      <c r="N166" s="1">
        <v>-40</v>
      </c>
      <c r="O166" s="1">
        <v>3.9</v>
      </c>
      <c r="P166" s="1">
        <v>1.1000000000000001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571</v>
      </c>
      <c r="C167" s="1">
        <v>1374</v>
      </c>
      <c r="D167" s="1">
        <v>-65.599999999999994</v>
      </c>
      <c r="E167" s="1">
        <v>6</v>
      </c>
      <c r="F167" s="1">
        <v>1.7</v>
      </c>
      <c r="G167">
        <v>79</v>
      </c>
      <c r="H167">
        <v>8</v>
      </c>
      <c r="I167">
        <v>2</v>
      </c>
      <c r="K167" s="1">
        <v>375</v>
      </c>
      <c r="L167" s="1">
        <v>710</v>
      </c>
      <c r="M167" s="1">
        <v>2124</v>
      </c>
      <c r="N167" s="1">
        <v>-50.6</v>
      </c>
      <c r="O167" s="1">
        <v>4.5999999999999996</v>
      </c>
      <c r="P167" s="1">
        <v>1.3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554</v>
      </c>
      <c r="C168" s="1">
        <v>1293</v>
      </c>
      <c r="D168" s="1">
        <v>-82</v>
      </c>
      <c r="E168" s="1">
        <v>7.1</v>
      </c>
      <c r="F168" s="1">
        <v>2.1</v>
      </c>
      <c r="G168">
        <v>91</v>
      </c>
      <c r="H168">
        <v>9</v>
      </c>
      <c r="I168">
        <v>2</v>
      </c>
      <c r="K168" s="1">
        <v>400</v>
      </c>
      <c r="L168" s="1">
        <v>701</v>
      </c>
      <c r="M168" s="1">
        <v>2067</v>
      </c>
      <c r="N168" s="1">
        <v>-62.4</v>
      </c>
      <c r="O168" s="1">
        <v>5.4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537</v>
      </c>
      <c r="C169" s="1">
        <v>1217</v>
      </c>
      <c r="D169" s="1">
        <v>-101.3</v>
      </c>
      <c r="E169" s="1">
        <v>8.1999999999999993</v>
      </c>
      <c r="F169" s="1">
        <v>2.4</v>
      </c>
      <c r="G169">
        <v>104</v>
      </c>
      <c r="H169">
        <v>9</v>
      </c>
      <c r="I169">
        <v>3</v>
      </c>
      <c r="K169" s="1">
        <v>425</v>
      </c>
      <c r="L169" s="1">
        <v>691</v>
      </c>
      <c r="M169" s="1">
        <v>2012</v>
      </c>
      <c r="N169" s="1">
        <v>-76</v>
      </c>
      <c r="O169" s="1">
        <v>6.1</v>
      </c>
      <c r="P169" s="1">
        <v>1.8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521</v>
      </c>
      <c r="C170" s="1">
        <v>1145</v>
      </c>
      <c r="D170" s="1">
        <v>-122.1</v>
      </c>
      <c r="E170" s="1">
        <v>9.3000000000000007</v>
      </c>
      <c r="F170" s="1">
        <v>2.7</v>
      </c>
      <c r="G170">
        <v>119</v>
      </c>
      <c r="H170">
        <v>10</v>
      </c>
      <c r="I170">
        <v>3</v>
      </c>
      <c r="K170" s="1">
        <v>450</v>
      </c>
      <c r="L170" s="1">
        <v>682</v>
      </c>
      <c r="M170" s="1">
        <v>1958</v>
      </c>
      <c r="N170" s="1">
        <v>-90.5</v>
      </c>
      <c r="O170" s="1">
        <v>6.9</v>
      </c>
      <c r="P170" s="1">
        <v>2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505</v>
      </c>
      <c r="C171" s="1">
        <v>1076</v>
      </c>
      <c r="D171" s="1">
        <v>-145.5</v>
      </c>
      <c r="E171" s="1">
        <v>10.5</v>
      </c>
      <c r="F171" s="1">
        <v>3.1</v>
      </c>
      <c r="G171">
        <v>134</v>
      </c>
      <c r="H171">
        <v>11</v>
      </c>
      <c r="I171">
        <v>3</v>
      </c>
      <c r="K171" s="1">
        <v>475</v>
      </c>
      <c r="L171" s="1">
        <v>672</v>
      </c>
      <c r="M171" s="1">
        <v>1905</v>
      </c>
      <c r="N171" s="1">
        <v>-106.3</v>
      </c>
      <c r="O171" s="1">
        <v>7.7</v>
      </c>
      <c r="P171" s="1">
        <v>2.2000000000000002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491</v>
      </c>
      <c r="C172" s="1">
        <v>1014</v>
      </c>
      <c r="D172" s="1">
        <v>-171.4</v>
      </c>
      <c r="E172" s="1">
        <v>11.8</v>
      </c>
      <c r="F172" s="1">
        <v>3.4</v>
      </c>
      <c r="G172">
        <v>150</v>
      </c>
      <c r="H172">
        <v>11</v>
      </c>
      <c r="I172">
        <v>3</v>
      </c>
      <c r="K172" s="1">
        <v>500</v>
      </c>
      <c r="L172" s="1">
        <v>664</v>
      </c>
      <c r="M172" s="1">
        <v>1855</v>
      </c>
      <c r="N172" s="1">
        <v>-123.5</v>
      </c>
      <c r="O172" s="1">
        <v>8.5</v>
      </c>
      <c r="P172" s="1">
        <v>2.5</v>
      </c>
      <c r="Q172" s="1">
        <v>0</v>
      </c>
      <c r="R172" s="1">
        <v>0</v>
      </c>
      <c r="S172" s="1">
        <v>0</v>
      </c>
    </row>
    <row r="174" spans="1:19" x14ac:dyDescent="0.25">
      <c r="A174" t="s">
        <v>109</v>
      </c>
      <c r="B174" s="2">
        <f>$B$5</f>
        <v>0.36499999999999999</v>
      </c>
      <c r="K174" t="s">
        <v>101</v>
      </c>
      <c r="L174">
        <f>$B$4</f>
        <v>0.36499999999999999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34</v>
      </c>
      <c r="H175" t="s">
        <v>35</v>
      </c>
      <c r="I175" t="s">
        <v>36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34</v>
      </c>
      <c r="R175" t="s">
        <v>35</v>
      </c>
      <c r="S175" t="s">
        <v>36</v>
      </c>
    </row>
    <row r="176" spans="1:19" x14ac:dyDescent="0.25">
      <c r="A176" s="1">
        <v>0</v>
      </c>
      <c r="B176" s="1">
        <v>861</v>
      </c>
      <c r="C176" s="1">
        <v>3122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861</v>
      </c>
      <c r="M176" s="1">
        <v>3122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839</v>
      </c>
      <c r="C177" s="1">
        <v>2968</v>
      </c>
      <c r="D177" s="1">
        <v>2.4</v>
      </c>
      <c r="E177" s="1">
        <v>-3.3</v>
      </c>
      <c r="F177" s="1">
        <v>-0.9</v>
      </c>
      <c r="G177">
        <v>0</v>
      </c>
      <c r="H177">
        <v>1</v>
      </c>
      <c r="I177">
        <v>0</v>
      </c>
      <c r="K177" s="1">
        <v>25</v>
      </c>
      <c r="L177" s="1">
        <v>850</v>
      </c>
      <c r="M177" s="1">
        <v>3046</v>
      </c>
      <c r="N177" s="1">
        <v>1.6</v>
      </c>
      <c r="O177" s="1">
        <v>-2.2000000000000002</v>
      </c>
      <c r="P177" s="1">
        <v>-0.7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818</v>
      </c>
      <c r="C178" s="1">
        <v>2821</v>
      </c>
      <c r="D178" s="1">
        <v>7.8</v>
      </c>
      <c r="E178" s="1">
        <v>-5.3</v>
      </c>
      <c r="F178" s="1">
        <v>-1.5</v>
      </c>
      <c r="G178">
        <v>1</v>
      </c>
      <c r="H178">
        <v>1</v>
      </c>
      <c r="I178">
        <v>0</v>
      </c>
      <c r="K178" s="1">
        <v>50</v>
      </c>
      <c r="L178" s="1">
        <v>840</v>
      </c>
      <c r="M178" s="1">
        <v>2972</v>
      </c>
      <c r="N178" s="1">
        <v>6.3</v>
      </c>
      <c r="O178" s="1">
        <v>-4.3</v>
      </c>
      <c r="P178" s="1">
        <v>-1.3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798</v>
      </c>
      <c r="C179" s="1">
        <v>2679</v>
      </c>
      <c r="D179" s="1">
        <v>12.1</v>
      </c>
      <c r="E179" s="1">
        <v>-5.6</v>
      </c>
      <c r="F179" s="1">
        <v>-1.6</v>
      </c>
      <c r="G179">
        <v>3</v>
      </c>
      <c r="H179">
        <v>1</v>
      </c>
      <c r="I179">
        <v>0</v>
      </c>
      <c r="K179" s="1">
        <v>75</v>
      </c>
      <c r="L179" s="1">
        <v>829</v>
      </c>
      <c r="M179" s="1">
        <v>2898</v>
      </c>
      <c r="N179" s="1">
        <v>10</v>
      </c>
      <c r="O179" s="1">
        <v>-4.5999999999999996</v>
      </c>
      <c r="P179" s="1">
        <v>-1.3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777</v>
      </c>
      <c r="C180" s="1">
        <v>2544</v>
      </c>
      <c r="D180" s="1">
        <v>15.5</v>
      </c>
      <c r="E180" s="1">
        <v>-5.3</v>
      </c>
      <c r="F180" s="1">
        <v>-1.6</v>
      </c>
      <c r="G180">
        <v>5</v>
      </c>
      <c r="H180">
        <v>2</v>
      </c>
      <c r="I180">
        <v>0</v>
      </c>
      <c r="K180" s="1">
        <v>100</v>
      </c>
      <c r="L180" s="1">
        <v>819</v>
      </c>
      <c r="M180" s="1">
        <v>2827</v>
      </c>
      <c r="N180" s="1">
        <v>12.8</v>
      </c>
      <c r="O180" s="1">
        <v>-4.4000000000000004</v>
      </c>
      <c r="P180" s="1">
        <v>-1.3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757</v>
      </c>
      <c r="C181" s="1">
        <v>2413</v>
      </c>
      <c r="D181" s="1">
        <v>18</v>
      </c>
      <c r="E181" s="1">
        <v>-4.9000000000000004</v>
      </c>
      <c r="F181" s="1">
        <v>-1.4</v>
      </c>
      <c r="G181">
        <v>8</v>
      </c>
      <c r="H181">
        <v>2</v>
      </c>
      <c r="I181">
        <v>1</v>
      </c>
      <c r="K181" s="1">
        <v>125</v>
      </c>
      <c r="L181" s="1">
        <v>809</v>
      </c>
      <c r="M181" s="1">
        <v>2756</v>
      </c>
      <c r="N181" s="1">
        <v>14.8</v>
      </c>
      <c r="O181" s="1">
        <v>-4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737</v>
      </c>
      <c r="C182" s="1">
        <v>2288</v>
      </c>
      <c r="D182" s="1">
        <v>19.2</v>
      </c>
      <c r="E182" s="1">
        <v>-4.4000000000000004</v>
      </c>
      <c r="F182" s="1">
        <v>-1.3</v>
      </c>
      <c r="G182">
        <v>11</v>
      </c>
      <c r="H182">
        <v>3</v>
      </c>
      <c r="I182">
        <v>1</v>
      </c>
      <c r="K182" s="1">
        <v>150</v>
      </c>
      <c r="L182" s="1">
        <v>799</v>
      </c>
      <c r="M182" s="1">
        <v>2687</v>
      </c>
      <c r="N182" s="1">
        <v>15.7</v>
      </c>
      <c r="O182" s="1">
        <v>-3.6</v>
      </c>
      <c r="P182" s="1">
        <v>-1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717</v>
      </c>
      <c r="C183" s="1">
        <v>2168</v>
      </c>
      <c r="D183" s="1">
        <v>19.399999999999999</v>
      </c>
      <c r="E183" s="1">
        <v>-3.8</v>
      </c>
      <c r="F183" s="1">
        <v>-1.1000000000000001</v>
      </c>
      <c r="G183">
        <v>16</v>
      </c>
      <c r="H183">
        <v>3</v>
      </c>
      <c r="I183">
        <v>1</v>
      </c>
      <c r="K183" s="1">
        <v>175</v>
      </c>
      <c r="L183" s="1">
        <v>789</v>
      </c>
      <c r="M183" s="1">
        <v>2620</v>
      </c>
      <c r="N183" s="1">
        <v>15.7</v>
      </c>
      <c r="O183" s="1">
        <v>-3.1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698</v>
      </c>
      <c r="C184" s="1">
        <v>2053</v>
      </c>
      <c r="D184" s="1">
        <v>18.2</v>
      </c>
      <c r="E184" s="1">
        <v>-3.1</v>
      </c>
      <c r="F184" s="1">
        <v>-0.9</v>
      </c>
      <c r="G184">
        <v>20</v>
      </c>
      <c r="H184">
        <v>4</v>
      </c>
      <c r="I184">
        <v>1</v>
      </c>
      <c r="K184" s="1">
        <v>200</v>
      </c>
      <c r="L184" s="1">
        <v>779</v>
      </c>
      <c r="M184" s="1">
        <v>2553</v>
      </c>
      <c r="N184" s="1">
        <v>14.7</v>
      </c>
      <c r="O184" s="1">
        <v>-2.5</v>
      </c>
      <c r="P184" s="1">
        <v>-0.7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679</v>
      </c>
      <c r="C185" s="1">
        <v>1943</v>
      </c>
      <c r="D185" s="1">
        <v>15.8</v>
      </c>
      <c r="E185" s="1">
        <v>-2.4</v>
      </c>
      <c r="F185" s="1">
        <v>-0.7</v>
      </c>
      <c r="G185">
        <v>26</v>
      </c>
      <c r="H185">
        <v>4</v>
      </c>
      <c r="I185">
        <v>1</v>
      </c>
      <c r="K185" s="1">
        <v>225</v>
      </c>
      <c r="L185" s="1">
        <v>769</v>
      </c>
      <c r="M185" s="1">
        <v>2488</v>
      </c>
      <c r="N185" s="1">
        <v>12.6</v>
      </c>
      <c r="O185" s="1">
        <v>-1.9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660</v>
      </c>
      <c r="C186" s="1">
        <v>1837</v>
      </c>
      <c r="D186" s="1">
        <v>12</v>
      </c>
      <c r="E186" s="1">
        <v>-1.7</v>
      </c>
      <c r="F186" s="1">
        <v>-0.5</v>
      </c>
      <c r="G186">
        <v>33</v>
      </c>
      <c r="H186">
        <v>5</v>
      </c>
      <c r="I186">
        <v>1</v>
      </c>
      <c r="K186" s="1">
        <v>250</v>
      </c>
      <c r="L186" s="1">
        <v>759</v>
      </c>
      <c r="M186" s="1">
        <v>2424</v>
      </c>
      <c r="N186" s="1">
        <v>9.6</v>
      </c>
      <c r="O186" s="1">
        <v>-1.3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642</v>
      </c>
      <c r="C187" s="1">
        <v>1736</v>
      </c>
      <c r="D187" s="1">
        <v>6.6</v>
      </c>
      <c r="E187" s="1">
        <v>-0.8</v>
      </c>
      <c r="F187" s="1">
        <v>-0.2</v>
      </c>
      <c r="G187">
        <v>40</v>
      </c>
      <c r="H187">
        <v>6</v>
      </c>
      <c r="I187">
        <v>2</v>
      </c>
      <c r="K187" s="1">
        <v>275</v>
      </c>
      <c r="L187" s="1">
        <v>749</v>
      </c>
      <c r="M187" s="1">
        <v>2362</v>
      </c>
      <c r="N187" s="1">
        <v>5.3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624</v>
      </c>
      <c r="C188" s="10">
        <v>1639</v>
      </c>
      <c r="D188" s="10">
        <v>-0.2</v>
      </c>
      <c r="E188" s="10">
        <v>0</v>
      </c>
      <c r="F188" s="10">
        <v>0</v>
      </c>
      <c r="G188">
        <v>48</v>
      </c>
      <c r="H188">
        <v>6</v>
      </c>
      <c r="I188">
        <v>2</v>
      </c>
      <c r="K188" s="1">
        <v>300</v>
      </c>
      <c r="L188" s="1">
        <v>739</v>
      </c>
      <c r="M188" s="1">
        <v>2301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606</v>
      </c>
      <c r="C189" s="1">
        <v>1546</v>
      </c>
      <c r="D189" s="1">
        <v>-8.6</v>
      </c>
      <c r="E189" s="1">
        <v>0.9</v>
      </c>
      <c r="F189" s="1">
        <v>0.3</v>
      </c>
      <c r="G189">
        <v>58</v>
      </c>
      <c r="H189">
        <v>7</v>
      </c>
      <c r="I189">
        <v>2</v>
      </c>
      <c r="K189" s="1">
        <v>325</v>
      </c>
      <c r="L189" s="1">
        <v>729</v>
      </c>
      <c r="M189" s="1">
        <v>2240</v>
      </c>
      <c r="N189" s="1">
        <v>-6.4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588</v>
      </c>
      <c r="C190" s="1">
        <v>1458</v>
      </c>
      <c r="D190" s="1">
        <v>-19.2</v>
      </c>
      <c r="E190" s="1">
        <v>1.9</v>
      </c>
      <c r="F190" s="1">
        <v>0.5</v>
      </c>
      <c r="G190">
        <v>68</v>
      </c>
      <c r="H190">
        <v>7</v>
      </c>
      <c r="I190">
        <v>2</v>
      </c>
      <c r="K190" s="1">
        <v>350</v>
      </c>
      <c r="L190" s="1">
        <v>720</v>
      </c>
      <c r="M190" s="1">
        <v>2182</v>
      </c>
      <c r="N190" s="1">
        <v>-14.2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571</v>
      </c>
      <c r="C191" s="1">
        <v>1374</v>
      </c>
      <c r="D191" s="1">
        <v>-31.4</v>
      </c>
      <c r="E191" s="1">
        <v>2.9</v>
      </c>
      <c r="F191" s="1">
        <v>0.8</v>
      </c>
      <c r="G191">
        <v>79</v>
      </c>
      <c r="H191">
        <v>8</v>
      </c>
      <c r="I191">
        <v>2</v>
      </c>
      <c r="K191" s="1">
        <v>375</v>
      </c>
      <c r="L191" s="1">
        <v>710</v>
      </c>
      <c r="M191" s="1">
        <v>2124</v>
      </c>
      <c r="N191" s="1">
        <v>-23</v>
      </c>
      <c r="O191" s="1">
        <v>2.1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554</v>
      </c>
      <c r="C192" s="1">
        <v>1293</v>
      </c>
      <c r="D192" s="1">
        <v>-45.5</v>
      </c>
      <c r="E192" s="1">
        <v>3.9</v>
      </c>
      <c r="F192" s="1">
        <v>1.1000000000000001</v>
      </c>
      <c r="G192">
        <v>91</v>
      </c>
      <c r="H192">
        <v>9</v>
      </c>
      <c r="I192">
        <v>2</v>
      </c>
      <c r="K192" s="1">
        <v>400</v>
      </c>
      <c r="L192" s="1">
        <v>701</v>
      </c>
      <c r="M192" s="1">
        <v>2067</v>
      </c>
      <c r="N192" s="1">
        <v>-33</v>
      </c>
      <c r="O192" s="1">
        <v>2.8</v>
      </c>
      <c r="P192" s="1">
        <v>0.8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537</v>
      </c>
      <c r="C193" s="1">
        <v>1217</v>
      </c>
      <c r="D193" s="1">
        <v>-62.4</v>
      </c>
      <c r="E193" s="1">
        <v>5</v>
      </c>
      <c r="F193" s="1">
        <v>1.5</v>
      </c>
      <c r="G193">
        <v>104</v>
      </c>
      <c r="H193">
        <v>9</v>
      </c>
      <c r="I193">
        <v>3</v>
      </c>
      <c r="K193" s="1">
        <v>425</v>
      </c>
      <c r="L193" s="1">
        <v>691</v>
      </c>
      <c r="M193" s="1">
        <v>2012</v>
      </c>
      <c r="N193" s="1">
        <v>-44.8</v>
      </c>
      <c r="O193" s="1">
        <v>3.6</v>
      </c>
      <c r="P193" s="1">
        <v>1.1000000000000001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521</v>
      </c>
      <c r="C194" s="1">
        <v>1145</v>
      </c>
      <c r="D194" s="1">
        <v>-81</v>
      </c>
      <c r="E194" s="1">
        <v>6.2</v>
      </c>
      <c r="F194" s="1">
        <v>1.8</v>
      </c>
      <c r="G194">
        <v>119</v>
      </c>
      <c r="H194">
        <v>10</v>
      </c>
      <c r="I194">
        <v>3</v>
      </c>
      <c r="K194" s="1">
        <v>450</v>
      </c>
      <c r="L194" s="1">
        <v>682</v>
      </c>
      <c r="M194" s="1">
        <v>1958</v>
      </c>
      <c r="N194" s="1">
        <v>-57.4</v>
      </c>
      <c r="O194" s="1">
        <v>4.4000000000000004</v>
      </c>
      <c r="P194" s="1">
        <v>1.3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505</v>
      </c>
      <c r="C195" s="1">
        <v>1076</v>
      </c>
      <c r="D195" s="1">
        <v>-102.1</v>
      </c>
      <c r="E195" s="1">
        <v>7.4</v>
      </c>
      <c r="F195" s="1">
        <v>2.2000000000000002</v>
      </c>
      <c r="G195">
        <v>134</v>
      </c>
      <c r="H195">
        <v>11</v>
      </c>
      <c r="I195">
        <v>3</v>
      </c>
      <c r="K195" s="1">
        <v>475</v>
      </c>
      <c r="L195" s="1">
        <v>672</v>
      </c>
      <c r="M195" s="1">
        <v>1905</v>
      </c>
      <c r="N195" s="1">
        <v>-71.400000000000006</v>
      </c>
      <c r="O195" s="1">
        <v>5.2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491</v>
      </c>
      <c r="C196" s="1">
        <v>1014</v>
      </c>
      <c r="D196" s="1">
        <v>-125.8</v>
      </c>
      <c r="E196" s="1">
        <v>8.6999999999999993</v>
      </c>
      <c r="F196" s="1">
        <v>2.5</v>
      </c>
      <c r="G196">
        <v>150</v>
      </c>
      <c r="H196">
        <v>11</v>
      </c>
      <c r="I196">
        <v>3</v>
      </c>
      <c r="K196" s="1">
        <v>500</v>
      </c>
      <c r="L196" s="1">
        <v>664</v>
      </c>
      <c r="M196" s="1">
        <v>1855</v>
      </c>
      <c r="N196" s="1">
        <v>-86.8</v>
      </c>
      <c r="O196" s="1">
        <v>6</v>
      </c>
      <c r="P196" s="1">
        <v>1.7</v>
      </c>
      <c r="Q196" s="1">
        <v>0</v>
      </c>
      <c r="R196" s="1">
        <v>0</v>
      </c>
      <c r="S196" s="1">
        <v>0</v>
      </c>
    </row>
    <row r="198" spans="1:19" x14ac:dyDescent="0.25">
      <c r="A198" t="s">
        <v>108</v>
      </c>
      <c r="B198" s="2">
        <f>$B$5</f>
        <v>0.36499999999999999</v>
      </c>
      <c r="K198" t="s">
        <v>102</v>
      </c>
      <c r="L198">
        <f>$B$4</f>
        <v>0.36499999999999999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34</v>
      </c>
      <c r="H199" t="s">
        <v>35</v>
      </c>
      <c r="I199" t="s">
        <v>36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34</v>
      </c>
      <c r="R199" t="s">
        <v>35</v>
      </c>
      <c r="S199" t="s">
        <v>36</v>
      </c>
    </row>
    <row r="200" spans="1:19" x14ac:dyDescent="0.25">
      <c r="A200" s="1">
        <v>0</v>
      </c>
      <c r="B200" s="1">
        <v>861</v>
      </c>
      <c r="C200" s="1">
        <v>3122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861</v>
      </c>
      <c r="M200" s="1">
        <v>3122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839</v>
      </c>
      <c r="C201" s="1">
        <v>2968</v>
      </c>
      <c r="D201" s="1">
        <v>5.2</v>
      </c>
      <c r="E201" s="1">
        <v>-7.1</v>
      </c>
      <c r="F201" s="1">
        <v>-2.1</v>
      </c>
      <c r="G201">
        <v>0</v>
      </c>
      <c r="H201">
        <v>1</v>
      </c>
      <c r="I201">
        <v>0</v>
      </c>
      <c r="K201" s="1">
        <v>25</v>
      </c>
      <c r="L201" s="1">
        <v>850</v>
      </c>
      <c r="M201" s="1">
        <v>3046</v>
      </c>
      <c r="N201" s="1">
        <v>3.7</v>
      </c>
      <c r="O201" s="1">
        <v>-5.0999999999999996</v>
      </c>
      <c r="P201" s="1">
        <v>-1.5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818</v>
      </c>
      <c r="C202" s="1">
        <v>2821</v>
      </c>
      <c r="D202" s="1">
        <v>13.5</v>
      </c>
      <c r="E202" s="1">
        <v>-9.1999999999999993</v>
      </c>
      <c r="F202" s="1">
        <v>-2.7</v>
      </c>
      <c r="G202">
        <v>1</v>
      </c>
      <c r="H202">
        <v>1</v>
      </c>
      <c r="I202">
        <v>0</v>
      </c>
      <c r="K202" s="1">
        <v>50</v>
      </c>
      <c r="L202" s="1">
        <v>840</v>
      </c>
      <c r="M202" s="1">
        <v>2971</v>
      </c>
      <c r="N202" s="1">
        <v>10.5</v>
      </c>
      <c r="O202" s="1">
        <v>-7.2</v>
      </c>
      <c r="P202" s="1">
        <v>-2.1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798</v>
      </c>
      <c r="C203" s="1">
        <v>2679</v>
      </c>
      <c r="D203" s="1">
        <v>20.6</v>
      </c>
      <c r="E203" s="1">
        <v>-9.4</v>
      </c>
      <c r="F203" s="1">
        <v>-2.7</v>
      </c>
      <c r="G203">
        <v>3</v>
      </c>
      <c r="H203">
        <v>1</v>
      </c>
      <c r="I203">
        <v>0</v>
      </c>
      <c r="K203" s="1">
        <v>75</v>
      </c>
      <c r="L203" s="1">
        <v>829</v>
      </c>
      <c r="M203" s="1">
        <v>2898</v>
      </c>
      <c r="N203" s="1">
        <v>16.3</v>
      </c>
      <c r="O203" s="1">
        <v>-7.4</v>
      </c>
      <c r="P203" s="1">
        <v>-2.2000000000000002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777</v>
      </c>
      <c r="C204" s="1">
        <v>2544</v>
      </c>
      <c r="D204" s="1">
        <v>26.8</v>
      </c>
      <c r="E204" s="1">
        <v>-9.1999999999999993</v>
      </c>
      <c r="F204" s="1">
        <v>-2.7</v>
      </c>
      <c r="G204">
        <v>5</v>
      </c>
      <c r="H204">
        <v>2</v>
      </c>
      <c r="I204">
        <v>0</v>
      </c>
      <c r="K204" s="1">
        <v>100</v>
      </c>
      <c r="L204" s="1">
        <v>819</v>
      </c>
      <c r="M204" s="1">
        <v>2827</v>
      </c>
      <c r="N204" s="1">
        <v>21.1</v>
      </c>
      <c r="O204" s="1">
        <v>-7.3</v>
      </c>
      <c r="P204" s="1">
        <v>-2.1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757</v>
      </c>
      <c r="C205" s="1">
        <v>2413</v>
      </c>
      <c r="D205" s="1">
        <v>32.1</v>
      </c>
      <c r="E205" s="1">
        <v>-8.8000000000000007</v>
      </c>
      <c r="F205" s="1">
        <v>-2.6</v>
      </c>
      <c r="G205">
        <v>8</v>
      </c>
      <c r="H205">
        <v>2</v>
      </c>
      <c r="I205">
        <v>1</v>
      </c>
      <c r="K205" s="1">
        <v>125</v>
      </c>
      <c r="L205" s="1">
        <v>809</v>
      </c>
      <c r="M205" s="1">
        <v>2756</v>
      </c>
      <c r="N205" s="1">
        <v>25.2</v>
      </c>
      <c r="O205" s="1">
        <v>-6.9</v>
      </c>
      <c r="P205" s="1">
        <v>-2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737</v>
      </c>
      <c r="C206" s="1">
        <v>2288</v>
      </c>
      <c r="D206" s="1">
        <v>36.1</v>
      </c>
      <c r="E206" s="1">
        <v>-8.3000000000000007</v>
      </c>
      <c r="F206" s="1">
        <v>-2.4</v>
      </c>
      <c r="G206">
        <v>11</v>
      </c>
      <c r="H206">
        <v>3</v>
      </c>
      <c r="I206">
        <v>1</v>
      </c>
      <c r="K206" s="1">
        <v>150</v>
      </c>
      <c r="L206" s="1">
        <v>799</v>
      </c>
      <c r="M206" s="1">
        <v>2687</v>
      </c>
      <c r="N206" s="1">
        <v>28.2</v>
      </c>
      <c r="O206" s="1">
        <v>-6.5</v>
      </c>
      <c r="P206" s="1">
        <v>-1.9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717</v>
      </c>
      <c r="C207" s="1">
        <v>2168</v>
      </c>
      <c r="D207" s="1">
        <v>39</v>
      </c>
      <c r="E207" s="1">
        <v>-7.7</v>
      </c>
      <c r="F207" s="1">
        <v>-2.2000000000000002</v>
      </c>
      <c r="G207">
        <v>16</v>
      </c>
      <c r="H207">
        <v>3</v>
      </c>
      <c r="I207">
        <v>1</v>
      </c>
      <c r="K207" s="1">
        <v>175</v>
      </c>
      <c r="L207" s="1">
        <v>789</v>
      </c>
      <c r="M207" s="1">
        <v>2620</v>
      </c>
      <c r="N207" s="1">
        <v>30.2</v>
      </c>
      <c r="O207" s="1">
        <v>-5.9</v>
      </c>
      <c r="P207" s="1">
        <v>-1.7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698</v>
      </c>
      <c r="C208" s="1">
        <v>2053</v>
      </c>
      <c r="D208" s="1">
        <v>40.799999999999997</v>
      </c>
      <c r="E208" s="1">
        <v>-7</v>
      </c>
      <c r="F208" s="1">
        <v>-2</v>
      </c>
      <c r="G208">
        <v>20</v>
      </c>
      <c r="H208">
        <v>4</v>
      </c>
      <c r="I208">
        <v>1</v>
      </c>
      <c r="K208" s="1">
        <v>200</v>
      </c>
      <c r="L208" s="1">
        <v>779</v>
      </c>
      <c r="M208" s="1">
        <v>2553</v>
      </c>
      <c r="N208" s="1">
        <v>31.3</v>
      </c>
      <c r="O208" s="1">
        <v>-5.4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679</v>
      </c>
      <c r="C209" s="1">
        <v>1943</v>
      </c>
      <c r="D209" s="1">
        <v>41.2</v>
      </c>
      <c r="E209" s="1">
        <v>-6.3</v>
      </c>
      <c r="F209" s="1">
        <v>-1.8</v>
      </c>
      <c r="G209">
        <v>26</v>
      </c>
      <c r="H209">
        <v>4</v>
      </c>
      <c r="I209">
        <v>1</v>
      </c>
      <c r="K209" s="1">
        <v>225</v>
      </c>
      <c r="L209" s="1">
        <v>769</v>
      </c>
      <c r="M209" s="1">
        <v>2488</v>
      </c>
      <c r="N209" s="1">
        <v>31.4</v>
      </c>
      <c r="O209" s="1">
        <v>-4.8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660</v>
      </c>
      <c r="C210" s="1">
        <v>1837</v>
      </c>
      <c r="D210" s="1">
        <v>40.200000000000003</v>
      </c>
      <c r="E210" s="1">
        <v>-5.5</v>
      </c>
      <c r="F210" s="1">
        <v>-1.6</v>
      </c>
      <c r="G210">
        <v>33</v>
      </c>
      <c r="H210">
        <v>5</v>
      </c>
      <c r="I210">
        <v>1</v>
      </c>
      <c r="K210" s="1">
        <v>250</v>
      </c>
      <c r="L210" s="1">
        <v>759</v>
      </c>
      <c r="M210" s="1">
        <v>2424</v>
      </c>
      <c r="N210" s="1">
        <v>30.4</v>
      </c>
      <c r="O210" s="1">
        <v>-4.2</v>
      </c>
      <c r="P210" s="1">
        <v>-1.2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642</v>
      </c>
      <c r="C211" s="1">
        <v>1736</v>
      </c>
      <c r="D211" s="1">
        <v>37.6</v>
      </c>
      <c r="E211" s="1">
        <v>-4.7</v>
      </c>
      <c r="F211" s="1">
        <v>-1.4</v>
      </c>
      <c r="G211">
        <v>40</v>
      </c>
      <c r="H211">
        <v>6</v>
      </c>
      <c r="I211">
        <v>2</v>
      </c>
      <c r="K211" s="1">
        <v>275</v>
      </c>
      <c r="L211" s="1">
        <v>749</v>
      </c>
      <c r="M211" s="1">
        <v>2362</v>
      </c>
      <c r="N211" s="1">
        <v>28.2</v>
      </c>
      <c r="O211" s="1">
        <v>-3.5</v>
      </c>
      <c r="P211" s="1">
        <v>-1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624</v>
      </c>
      <c r="C212" s="1">
        <v>1639</v>
      </c>
      <c r="D212" s="1">
        <v>33.6</v>
      </c>
      <c r="E212" s="1">
        <v>-3.8</v>
      </c>
      <c r="F212" s="1">
        <v>-1.1000000000000001</v>
      </c>
      <c r="G212">
        <v>48</v>
      </c>
      <c r="H212">
        <v>6</v>
      </c>
      <c r="I212">
        <v>2</v>
      </c>
      <c r="K212" s="1">
        <v>300</v>
      </c>
      <c r="L212" s="1">
        <v>739</v>
      </c>
      <c r="M212" s="1">
        <v>2301</v>
      </c>
      <c r="N212" s="1">
        <v>25</v>
      </c>
      <c r="O212" s="1">
        <v>-2.9</v>
      </c>
      <c r="P212" s="1">
        <v>-0.8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606</v>
      </c>
      <c r="C213" s="1">
        <v>1546</v>
      </c>
      <c r="D213" s="1">
        <v>27.9</v>
      </c>
      <c r="E213" s="1">
        <v>-3</v>
      </c>
      <c r="F213" s="1">
        <v>-0.9</v>
      </c>
      <c r="G213">
        <v>58</v>
      </c>
      <c r="H213">
        <v>7</v>
      </c>
      <c r="I213">
        <v>2</v>
      </c>
      <c r="K213" s="1">
        <v>325</v>
      </c>
      <c r="L213" s="1">
        <v>729</v>
      </c>
      <c r="M213" s="1">
        <v>2240</v>
      </c>
      <c r="N213" s="1">
        <v>20.6</v>
      </c>
      <c r="O213" s="1">
        <v>-2.2000000000000002</v>
      </c>
      <c r="P213" s="1">
        <v>-0.6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588</v>
      </c>
      <c r="C214" s="1">
        <v>1458</v>
      </c>
      <c r="D214" s="1">
        <v>20.2</v>
      </c>
      <c r="E214" s="1">
        <v>-2</v>
      </c>
      <c r="F214" s="1">
        <v>-0.6</v>
      </c>
      <c r="G214">
        <v>68</v>
      </c>
      <c r="H214">
        <v>7</v>
      </c>
      <c r="I214">
        <v>2</v>
      </c>
      <c r="K214" s="1">
        <v>350</v>
      </c>
      <c r="L214" s="1">
        <v>720</v>
      </c>
      <c r="M214" s="1">
        <v>2182</v>
      </c>
      <c r="N214" s="1">
        <v>14.9</v>
      </c>
      <c r="O214" s="1">
        <v>-1.5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571</v>
      </c>
      <c r="C215" s="1">
        <v>1374</v>
      </c>
      <c r="D215" s="1">
        <v>10.9</v>
      </c>
      <c r="E215" s="1">
        <v>-1</v>
      </c>
      <c r="F215" s="1">
        <v>-0.3</v>
      </c>
      <c r="G215">
        <v>79</v>
      </c>
      <c r="H215">
        <v>8</v>
      </c>
      <c r="I215">
        <v>2</v>
      </c>
      <c r="K215" s="1">
        <v>375</v>
      </c>
      <c r="L215" s="1">
        <v>710</v>
      </c>
      <c r="M215" s="1">
        <v>2124</v>
      </c>
      <c r="N215" s="1">
        <v>8.1999999999999993</v>
      </c>
      <c r="O215" s="1">
        <v>-0.7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554</v>
      </c>
      <c r="C216" s="10">
        <v>1293</v>
      </c>
      <c r="D216" s="10">
        <v>-0.5</v>
      </c>
      <c r="E216" s="10">
        <v>0</v>
      </c>
      <c r="F216" s="10">
        <v>0</v>
      </c>
      <c r="G216">
        <v>91</v>
      </c>
      <c r="H216">
        <v>9</v>
      </c>
      <c r="I216">
        <v>2</v>
      </c>
      <c r="K216" s="1">
        <v>400</v>
      </c>
      <c r="L216" s="1">
        <v>701</v>
      </c>
      <c r="M216" s="1">
        <v>2067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537</v>
      </c>
      <c r="C217" s="1">
        <v>1217</v>
      </c>
      <c r="D217" s="1">
        <v>-14.5</v>
      </c>
      <c r="E217" s="1">
        <v>1.2</v>
      </c>
      <c r="F217" s="1">
        <v>0.3</v>
      </c>
      <c r="G217">
        <v>104</v>
      </c>
      <c r="H217">
        <v>9</v>
      </c>
      <c r="I217">
        <v>3</v>
      </c>
      <c r="K217" s="1">
        <v>425</v>
      </c>
      <c r="L217" s="1">
        <v>691</v>
      </c>
      <c r="M217" s="1">
        <v>2012</v>
      </c>
      <c r="N217" s="1">
        <v>-9.4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521</v>
      </c>
      <c r="C218" s="1">
        <v>1144</v>
      </c>
      <c r="D218" s="1">
        <v>-30.4</v>
      </c>
      <c r="E218" s="1">
        <v>2.2999999999999998</v>
      </c>
      <c r="F218" s="1">
        <v>0.7</v>
      </c>
      <c r="G218">
        <v>119</v>
      </c>
      <c r="H218">
        <v>10</v>
      </c>
      <c r="I218">
        <v>3</v>
      </c>
      <c r="K218" s="1">
        <v>450</v>
      </c>
      <c r="L218" s="1">
        <v>682</v>
      </c>
      <c r="M218" s="1">
        <v>1958</v>
      </c>
      <c r="N218" s="1">
        <v>-20</v>
      </c>
      <c r="O218" s="1">
        <v>1.5</v>
      </c>
      <c r="P218" s="1">
        <v>0.4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505</v>
      </c>
      <c r="C219" s="1">
        <v>1076</v>
      </c>
      <c r="D219" s="1">
        <v>-48.7</v>
      </c>
      <c r="E219" s="1">
        <v>3.5</v>
      </c>
      <c r="F219" s="1">
        <v>1</v>
      </c>
      <c r="G219">
        <v>134</v>
      </c>
      <c r="H219">
        <v>11</v>
      </c>
      <c r="I219">
        <v>3</v>
      </c>
      <c r="K219" s="1">
        <v>475</v>
      </c>
      <c r="L219" s="1">
        <v>672</v>
      </c>
      <c r="M219" s="1">
        <v>1905</v>
      </c>
      <c r="N219" s="1">
        <v>-32</v>
      </c>
      <c r="O219" s="1">
        <v>2.2999999999999998</v>
      </c>
      <c r="P219" s="1">
        <v>0.7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491</v>
      </c>
      <c r="C220" s="1">
        <v>1014</v>
      </c>
      <c r="D220" s="1">
        <v>-69.599999999999994</v>
      </c>
      <c r="E220" s="1">
        <v>4.8</v>
      </c>
      <c r="F220" s="1">
        <v>1.4</v>
      </c>
      <c r="G220">
        <v>150</v>
      </c>
      <c r="H220">
        <v>11</v>
      </c>
      <c r="I220">
        <v>3</v>
      </c>
      <c r="K220" s="1">
        <v>500</v>
      </c>
      <c r="L220" s="1">
        <v>664</v>
      </c>
      <c r="M220" s="1">
        <v>1855</v>
      </c>
      <c r="N220" s="1">
        <v>-45.3</v>
      </c>
      <c r="O220" s="1">
        <v>3.1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107</v>
      </c>
      <c r="B222" s="2">
        <f>$B$5</f>
        <v>0.36499999999999999</v>
      </c>
      <c r="K222" t="s">
        <v>103</v>
      </c>
      <c r="L222">
        <f>$B$4</f>
        <v>0.36499999999999999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34</v>
      </c>
      <c r="H223" t="s">
        <v>35</v>
      </c>
      <c r="I223" t="s">
        <v>36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34</v>
      </c>
      <c r="R223" t="s">
        <v>35</v>
      </c>
      <c r="S223" t="s">
        <v>36</v>
      </c>
    </row>
    <row r="224" spans="1:19" x14ac:dyDescent="0.25">
      <c r="A224" s="1">
        <v>0</v>
      </c>
      <c r="B224" s="1">
        <v>861</v>
      </c>
      <c r="C224" s="1">
        <v>3122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861</v>
      </c>
      <c r="M224" s="1">
        <v>3122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839</v>
      </c>
      <c r="C225" s="1">
        <v>2968</v>
      </c>
      <c r="D225" s="1">
        <v>8.6</v>
      </c>
      <c r="E225" s="1">
        <v>-11.8</v>
      </c>
      <c r="F225" s="1">
        <v>-3.4</v>
      </c>
      <c r="G225" s="2">
        <v>0</v>
      </c>
      <c r="H225" s="2">
        <v>1</v>
      </c>
      <c r="I225" s="2">
        <v>0</v>
      </c>
      <c r="K225" s="1">
        <v>25</v>
      </c>
      <c r="L225" s="1">
        <v>850</v>
      </c>
      <c r="M225" s="1">
        <v>3046</v>
      </c>
      <c r="N225" s="1">
        <v>6</v>
      </c>
      <c r="O225" s="1">
        <v>-8.1999999999999993</v>
      </c>
      <c r="P225" s="1">
        <v>-2.4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818</v>
      </c>
      <c r="C226" s="1">
        <v>2821</v>
      </c>
      <c r="D226" s="1">
        <v>20.399999999999999</v>
      </c>
      <c r="E226" s="1">
        <v>-13.9</v>
      </c>
      <c r="F226" s="1">
        <v>-4</v>
      </c>
      <c r="G226" s="2">
        <v>1</v>
      </c>
      <c r="H226" s="2">
        <v>1</v>
      </c>
      <c r="I226" s="2">
        <v>0</v>
      </c>
      <c r="K226" s="1">
        <v>50</v>
      </c>
      <c r="L226" s="1">
        <v>840</v>
      </c>
      <c r="M226" s="1">
        <v>2971</v>
      </c>
      <c r="N226" s="1">
        <v>15.1</v>
      </c>
      <c r="O226" s="1">
        <v>-10.3</v>
      </c>
      <c r="P226" s="1">
        <v>-3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798</v>
      </c>
      <c r="C227" s="1">
        <v>2679</v>
      </c>
      <c r="D227" s="1">
        <v>30.9</v>
      </c>
      <c r="E227" s="1">
        <v>-14.1</v>
      </c>
      <c r="F227" s="1">
        <v>-4.0999999999999996</v>
      </c>
      <c r="G227" s="2">
        <v>3</v>
      </c>
      <c r="H227" s="2">
        <v>1</v>
      </c>
      <c r="I227" s="2">
        <v>0</v>
      </c>
      <c r="K227" s="1">
        <v>75</v>
      </c>
      <c r="L227" s="1">
        <v>829</v>
      </c>
      <c r="M227" s="1">
        <v>2898</v>
      </c>
      <c r="N227" s="1">
        <v>23.1</v>
      </c>
      <c r="O227" s="1">
        <v>-10.6</v>
      </c>
      <c r="P227" s="1">
        <v>-3.1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777</v>
      </c>
      <c r="C228" s="1">
        <v>2544</v>
      </c>
      <c r="D228" s="1">
        <v>40.5</v>
      </c>
      <c r="E228" s="1">
        <v>-13.9</v>
      </c>
      <c r="F228" s="1">
        <v>-4.0999999999999996</v>
      </c>
      <c r="G228" s="2">
        <v>5</v>
      </c>
      <c r="H228" s="2">
        <v>2</v>
      </c>
      <c r="I228" s="2">
        <v>0</v>
      </c>
      <c r="K228" s="1">
        <v>100</v>
      </c>
      <c r="L228" s="1">
        <v>819</v>
      </c>
      <c r="M228" s="1">
        <v>2827</v>
      </c>
      <c r="N228" s="1">
        <v>30.2</v>
      </c>
      <c r="O228" s="1">
        <v>-10.4</v>
      </c>
      <c r="P228" s="1">
        <v>-3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757</v>
      </c>
      <c r="C229" s="1">
        <v>2413</v>
      </c>
      <c r="D229" s="1">
        <v>49.3</v>
      </c>
      <c r="E229" s="1">
        <v>-13.5</v>
      </c>
      <c r="F229" s="1">
        <v>-3.9</v>
      </c>
      <c r="G229" s="2">
        <v>8</v>
      </c>
      <c r="H229" s="2">
        <v>2</v>
      </c>
      <c r="I229" s="2">
        <v>1</v>
      </c>
      <c r="K229" s="1">
        <v>125</v>
      </c>
      <c r="L229" s="1">
        <v>809</v>
      </c>
      <c r="M229" s="1">
        <v>2756</v>
      </c>
      <c r="N229" s="1">
        <v>36.700000000000003</v>
      </c>
      <c r="O229" s="1">
        <v>-10</v>
      </c>
      <c r="P229" s="1">
        <v>-2.9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737</v>
      </c>
      <c r="C230" s="1">
        <v>2288</v>
      </c>
      <c r="D230" s="1">
        <v>56.7</v>
      </c>
      <c r="E230" s="1">
        <v>-13</v>
      </c>
      <c r="F230" s="1">
        <v>-3.8</v>
      </c>
      <c r="G230" s="2">
        <v>11</v>
      </c>
      <c r="H230" s="2">
        <v>3</v>
      </c>
      <c r="I230" s="2">
        <v>1</v>
      </c>
      <c r="K230" s="1">
        <v>150</v>
      </c>
      <c r="L230" s="1">
        <v>799</v>
      </c>
      <c r="M230" s="1">
        <v>2687</v>
      </c>
      <c r="N230" s="1">
        <v>41.9</v>
      </c>
      <c r="O230" s="1">
        <v>-9.6</v>
      </c>
      <c r="P230" s="1">
        <v>-2.8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717</v>
      </c>
      <c r="C231" s="1">
        <v>2168</v>
      </c>
      <c r="D231" s="1">
        <v>63</v>
      </c>
      <c r="E231" s="1">
        <v>-12.4</v>
      </c>
      <c r="F231" s="1">
        <v>-3.6</v>
      </c>
      <c r="G231" s="2">
        <v>16</v>
      </c>
      <c r="H231" s="2">
        <v>3</v>
      </c>
      <c r="I231" s="2">
        <v>1</v>
      </c>
      <c r="K231" s="1">
        <v>175</v>
      </c>
      <c r="L231" s="1">
        <v>789</v>
      </c>
      <c r="M231" s="1">
        <v>2620</v>
      </c>
      <c r="N231" s="1">
        <v>46.2</v>
      </c>
      <c r="O231" s="1">
        <v>-9.1</v>
      </c>
      <c r="P231" s="1">
        <v>-2.6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698</v>
      </c>
      <c r="C232" s="1">
        <v>2053</v>
      </c>
      <c r="D232" s="1">
        <v>68.3</v>
      </c>
      <c r="E232" s="1">
        <v>-11.7</v>
      </c>
      <c r="F232" s="1">
        <v>-3.4</v>
      </c>
      <c r="G232" s="2">
        <v>20</v>
      </c>
      <c r="H232" s="2">
        <v>4</v>
      </c>
      <c r="I232" s="2">
        <v>1</v>
      </c>
      <c r="K232" s="1">
        <v>200</v>
      </c>
      <c r="L232" s="1">
        <v>779</v>
      </c>
      <c r="M232" s="1">
        <v>2553</v>
      </c>
      <c r="N232" s="1">
        <v>49.6</v>
      </c>
      <c r="O232" s="1">
        <v>-8.5</v>
      </c>
      <c r="P232" s="1">
        <v>-2.5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679</v>
      </c>
      <c r="C233" s="1">
        <v>1943</v>
      </c>
      <c r="D233" s="1">
        <v>72</v>
      </c>
      <c r="E233" s="1">
        <v>-11</v>
      </c>
      <c r="F233" s="1">
        <v>-3.2</v>
      </c>
      <c r="G233" s="2">
        <v>26</v>
      </c>
      <c r="H233" s="2">
        <v>4</v>
      </c>
      <c r="I233" s="2">
        <v>1</v>
      </c>
      <c r="K233" s="1">
        <v>225</v>
      </c>
      <c r="L233" s="1">
        <v>769</v>
      </c>
      <c r="M233" s="1">
        <v>2488</v>
      </c>
      <c r="N233" s="1">
        <v>51.9</v>
      </c>
      <c r="O233" s="1">
        <v>-7.9</v>
      </c>
      <c r="P233" s="1">
        <v>-2.2999999999999998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660</v>
      </c>
      <c r="C234" s="1">
        <v>1837</v>
      </c>
      <c r="D234" s="1">
        <v>74.400000000000006</v>
      </c>
      <c r="E234" s="1">
        <v>-10.199999999999999</v>
      </c>
      <c r="F234" s="1">
        <v>-3</v>
      </c>
      <c r="G234" s="2">
        <v>33</v>
      </c>
      <c r="H234" s="2">
        <v>5</v>
      </c>
      <c r="I234" s="2">
        <v>1</v>
      </c>
      <c r="K234" s="1">
        <v>250</v>
      </c>
      <c r="L234" s="1">
        <v>759</v>
      </c>
      <c r="M234" s="1">
        <v>2424</v>
      </c>
      <c r="N234" s="1">
        <v>53.2</v>
      </c>
      <c r="O234" s="1">
        <v>-7.3</v>
      </c>
      <c r="P234" s="1">
        <v>-2.1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642</v>
      </c>
      <c r="C235" s="1">
        <v>1736</v>
      </c>
      <c r="D235" s="1">
        <v>75.400000000000006</v>
      </c>
      <c r="E235" s="1">
        <v>-9.4</v>
      </c>
      <c r="F235" s="1">
        <v>-2.7</v>
      </c>
      <c r="G235" s="2">
        <v>40</v>
      </c>
      <c r="H235" s="2">
        <v>6</v>
      </c>
      <c r="I235" s="2">
        <v>2</v>
      </c>
      <c r="K235" s="1">
        <v>275</v>
      </c>
      <c r="L235" s="1">
        <v>749</v>
      </c>
      <c r="M235" s="1">
        <v>2362</v>
      </c>
      <c r="N235" s="1">
        <v>53.3</v>
      </c>
      <c r="O235" s="1">
        <v>-6.7</v>
      </c>
      <c r="P235" s="1">
        <v>-1.9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624</v>
      </c>
      <c r="C236" s="1">
        <v>1639</v>
      </c>
      <c r="D236" s="1">
        <v>74.8</v>
      </c>
      <c r="E236" s="1">
        <v>-8.6</v>
      </c>
      <c r="F236" s="1">
        <v>-2.5</v>
      </c>
      <c r="G236" s="2">
        <v>48</v>
      </c>
      <c r="H236" s="2">
        <v>6</v>
      </c>
      <c r="I236" s="2">
        <v>2</v>
      </c>
      <c r="K236" s="1">
        <v>300</v>
      </c>
      <c r="L236" s="1">
        <v>739</v>
      </c>
      <c r="M236" s="1">
        <v>2301</v>
      </c>
      <c r="N236" s="1">
        <v>52.4</v>
      </c>
      <c r="O236" s="1">
        <v>-6</v>
      </c>
      <c r="P236" s="1">
        <v>-1.7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606</v>
      </c>
      <c r="C237" s="1">
        <v>1546</v>
      </c>
      <c r="D237" s="1">
        <v>72.5</v>
      </c>
      <c r="E237" s="1">
        <v>-7.7</v>
      </c>
      <c r="F237" s="1">
        <v>-2.2000000000000002</v>
      </c>
      <c r="G237" s="2">
        <v>58</v>
      </c>
      <c r="H237" s="2">
        <v>7</v>
      </c>
      <c r="I237" s="2">
        <v>2</v>
      </c>
      <c r="K237" s="1">
        <v>325</v>
      </c>
      <c r="L237" s="1">
        <v>729</v>
      </c>
      <c r="M237" s="1">
        <v>2240</v>
      </c>
      <c r="N237" s="1">
        <v>50.3</v>
      </c>
      <c r="O237" s="1">
        <v>-5.3</v>
      </c>
      <c r="P237" s="1">
        <v>-1.5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588</v>
      </c>
      <c r="C238" s="1">
        <v>1458</v>
      </c>
      <c r="D238" s="1">
        <v>68.3</v>
      </c>
      <c r="E238" s="1">
        <v>-6.7</v>
      </c>
      <c r="F238" s="1">
        <v>-1.9</v>
      </c>
      <c r="G238" s="2">
        <v>68</v>
      </c>
      <c r="H238" s="2">
        <v>7</v>
      </c>
      <c r="I238" s="2">
        <v>2</v>
      </c>
      <c r="K238" s="1">
        <v>350</v>
      </c>
      <c r="L238" s="1">
        <v>720</v>
      </c>
      <c r="M238" s="1">
        <v>2182</v>
      </c>
      <c r="N238" s="1">
        <v>46.9</v>
      </c>
      <c r="O238" s="1">
        <v>-4.5999999999999996</v>
      </c>
      <c r="P238" s="1">
        <v>-1.3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571</v>
      </c>
      <c r="C239" s="1">
        <v>1373</v>
      </c>
      <c r="D239" s="1">
        <v>62.3</v>
      </c>
      <c r="E239" s="1">
        <v>-5.7</v>
      </c>
      <c r="F239" s="1">
        <v>-1.7</v>
      </c>
      <c r="G239" s="2">
        <v>79</v>
      </c>
      <c r="H239" s="2">
        <v>8</v>
      </c>
      <c r="I239" s="2">
        <v>2</v>
      </c>
      <c r="K239" s="1">
        <v>375</v>
      </c>
      <c r="L239" s="1">
        <v>710</v>
      </c>
      <c r="M239" s="1">
        <v>2124</v>
      </c>
      <c r="N239" s="1">
        <v>42.4</v>
      </c>
      <c r="O239" s="1">
        <v>-3.9</v>
      </c>
      <c r="P239" s="1">
        <v>-1.1000000000000001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554</v>
      </c>
      <c r="C240" s="1">
        <v>1293</v>
      </c>
      <c r="D240" s="1">
        <v>54.4</v>
      </c>
      <c r="E240" s="1">
        <v>-4.7</v>
      </c>
      <c r="F240" s="1">
        <v>-1.4</v>
      </c>
      <c r="G240" s="2">
        <v>91</v>
      </c>
      <c r="H240" s="2">
        <v>9</v>
      </c>
      <c r="I240" s="2">
        <v>2</v>
      </c>
      <c r="K240" s="1">
        <v>400</v>
      </c>
      <c r="L240" s="1">
        <v>701</v>
      </c>
      <c r="M240" s="1">
        <v>2067</v>
      </c>
      <c r="N240" s="1">
        <v>36.700000000000003</v>
      </c>
      <c r="O240" s="1">
        <v>-3.2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537</v>
      </c>
      <c r="C241" s="1">
        <v>1217</v>
      </c>
      <c r="D241" s="1">
        <v>43.8</v>
      </c>
      <c r="E241" s="1">
        <v>-3.5</v>
      </c>
      <c r="F241" s="1">
        <v>-1</v>
      </c>
      <c r="G241" s="2">
        <v>104</v>
      </c>
      <c r="H241" s="2">
        <v>9</v>
      </c>
      <c r="I241" s="2">
        <v>3</v>
      </c>
      <c r="K241" s="1">
        <v>425</v>
      </c>
      <c r="L241" s="1">
        <v>691</v>
      </c>
      <c r="M241" s="1">
        <v>2012</v>
      </c>
      <c r="N241" s="1">
        <v>29.4</v>
      </c>
      <c r="O241" s="1">
        <v>-2.4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521</v>
      </c>
      <c r="C242" s="1">
        <v>1144</v>
      </c>
      <c r="D242" s="1">
        <v>31.4</v>
      </c>
      <c r="E242" s="1">
        <v>-2.4</v>
      </c>
      <c r="F242" s="1">
        <v>-0.7</v>
      </c>
      <c r="G242" s="2">
        <v>119</v>
      </c>
      <c r="H242" s="2">
        <v>10</v>
      </c>
      <c r="I242" s="2">
        <v>3</v>
      </c>
      <c r="K242" s="1">
        <v>450</v>
      </c>
      <c r="L242" s="1">
        <v>682</v>
      </c>
      <c r="M242" s="1">
        <v>1958</v>
      </c>
      <c r="N242" s="1">
        <v>21.1</v>
      </c>
      <c r="O242" s="1">
        <v>-1.6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505</v>
      </c>
      <c r="C243" s="1">
        <v>1076</v>
      </c>
      <c r="D243" s="1">
        <v>16.5</v>
      </c>
      <c r="E243" s="1">
        <v>-1.2</v>
      </c>
      <c r="F243" s="1">
        <v>-0.3</v>
      </c>
      <c r="G243" s="2">
        <v>134</v>
      </c>
      <c r="H243" s="2">
        <v>11</v>
      </c>
      <c r="I243" s="2">
        <v>3</v>
      </c>
      <c r="K243" s="1">
        <v>475</v>
      </c>
      <c r="L243" s="1">
        <v>672</v>
      </c>
      <c r="M243" s="1">
        <v>1905</v>
      </c>
      <c r="N243" s="1">
        <v>11.4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0">
        <v>500</v>
      </c>
      <c r="B244" s="10">
        <v>491</v>
      </c>
      <c r="C244" s="10">
        <v>1014</v>
      </c>
      <c r="D244" s="10">
        <v>-1</v>
      </c>
      <c r="E244" s="10">
        <v>0.1</v>
      </c>
      <c r="F244" s="10">
        <v>0</v>
      </c>
      <c r="G244" s="2">
        <v>150</v>
      </c>
      <c r="H244" s="2">
        <v>11</v>
      </c>
      <c r="I244" s="2">
        <v>3</v>
      </c>
      <c r="K244" s="1">
        <v>500</v>
      </c>
      <c r="L244" s="1">
        <v>664</v>
      </c>
      <c r="M244" s="1">
        <v>1855</v>
      </c>
      <c r="N244" s="1">
        <v>0.3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t="s">
        <v>41</v>
      </c>
      <c r="B246" s="13" t="s">
        <v>6</v>
      </c>
      <c r="C246" s="13" t="s">
        <v>7</v>
      </c>
      <c r="D246" s="13" t="s">
        <v>8</v>
      </c>
      <c r="E246" s="13" t="s">
        <v>9</v>
      </c>
      <c r="F246" s="13" t="s">
        <v>10</v>
      </c>
      <c r="G246" s="13" t="s">
        <v>32</v>
      </c>
      <c r="H246" s="13" t="s">
        <v>33</v>
      </c>
      <c r="I246" s="19" t="s">
        <v>42</v>
      </c>
    </row>
    <row r="247" spans="1:19" x14ac:dyDescent="0.25">
      <c r="A247" t="s">
        <v>43</v>
      </c>
      <c r="B247" s="20" cm="1">
        <f t="array" ref="B247">INDEX(LINEST(J$22:J$35,$A$22:$A$35^{1,2,3}), 1,4)</f>
        <v>-5.661194720519191</v>
      </c>
      <c r="C247" s="20" cm="1">
        <f t="array" ref="C247">INDEX(LINEST(K$22:K$35,$A$22:$A$35^{1,2,3}), 1,4)</f>
        <v>-4.9889542513984075</v>
      </c>
      <c r="D247" s="21" cm="1">
        <f t="array" ref="D247">INDEX(LINEST(L$22:L$35,$A$22:$A$35^{1,2,3}), 1,4)</f>
        <v>-5.5091511981229235</v>
      </c>
      <c r="E247" s="21" cm="1">
        <f t="array" ref="E247">INDEX(LINEST(M$22:M$35,$A$22:$A$35^{1,2,3}), 1,4)</f>
        <v>-4.9781758568073897</v>
      </c>
      <c r="F247" s="21" cm="1">
        <f t="array" ref="F247">INDEX(LINEST(N$22:N$35,$A$22:$A$35^{1,2,3}), 1,4)</f>
        <v>-5.0530353986052461</v>
      </c>
      <c r="G247" s="21" cm="1">
        <f t="array" ref="G247">INDEX(LINEST(O$22:O$35,$A$22:$A$35^{1,2,3}), 1,4)</f>
        <v>-5.1324670834030428</v>
      </c>
      <c r="H247" s="21" cm="1">
        <f t="array" ref="H247">INDEX(LINEST(P$22:P$35,$A$22:$A$35^{1,2,3}), 1,4)</f>
        <v>-5.0430940961436477</v>
      </c>
      <c r="I247" s="21" cm="1">
        <f t="array" ref="I247">INDEX(LINEST(B$22:B$35,$A$22:$A$35^{1,2,3}), 1,4)</f>
        <v>3130.2399652208483</v>
      </c>
    </row>
    <row r="248" spans="1:19" x14ac:dyDescent="0.25">
      <c r="A248" t="s">
        <v>44</v>
      </c>
      <c r="B248" s="21" cm="1">
        <f t="array" ref="B248">INDEX(LINEST(J$22:J$35,$A$22:$A$35^{1,2,3}), 1,3)</f>
        <v>0.1675703744987754</v>
      </c>
      <c r="C248" s="20" cm="1">
        <f t="array" ref="C248">INDEX(LINEST(K$22:K$35,$A$22:$A$35^{1,2,3}), 1,3)</f>
        <v>9.9256651669184223E-2</v>
      </c>
      <c r="D248" s="21" cm="1">
        <f t="array" ref="D248">INDEX(LINEST(L$22:L$35,$A$22:$A$35^{1,2,3}), 1,3)</f>
        <v>0.13989198559806773</v>
      </c>
      <c r="E248" s="21" cm="1">
        <f t="array" ref="E248">INDEX(LINEST(M$22:M$35,$A$22:$A$35^{1,2,3}), 1,3)</f>
        <v>0.14578822734817001</v>
      </c>
      <c r="F248" s="21" cm="1">
        <f t="array" ref="F248">INDEX(LINEST(N$22:N$35,$A$22:$A$35^{1,2,3}), 1,3)</f>
        <v>0.2053728310701862</v>
      </c>
      <c r="G248" s="21" cm="1">
        <f t="array" ref="G248">INDEX(LINEST(O$22:O$35,$A$22:$A$35^{1,2,3}), 1,3)</f>
        <v>0.30217038524743067</v>
      </c>
      <c r="H248" s="21" cm="1">
        <f t="array" ref="H248">INDEX(LINEST(P$22:P$35,$A$22:$A$35^{1,2,3}), 1,3)</f>
        <v>0.40476070285070331</v>
      </c>
      <c r="I248" s="21" cm="1">
        <f t="array" ref="I248">INDEX(LINEST(B$22:B$35,$A$22:$A$35^{1,2,3}), 1,3)</f>
        <v>-2.9887972984480071</v>
      </c>
    </row>
    <row r="249" spans="1:19" x14ac:dyDescent="0.25">
      <c r="A249" t="s">
        <v>45</v>
      </c>
      <c r="B249" s="21" cm="1">
        <f t="array" ref="B249">INDEX(LINEST(J$22:J$35,$A$22:$A$35^{1,2,3}), 1,2)</f>
        <v>-5.1524032506150075E-4</v>
      </c>
      <c r="C249" s="21" cm="1">
        <f t="array" ref="C249">INDEX(LINEST(K$22:K$35,$A$22:$A$35^{1,2,3}), 1,2)</f>
        <v>-4.1775282769324702E-4</v>
      </c>
      <c r="D249" s="21" cm="1">
        <f t="array" ref="D249">INDEX(LINEST(L$22:L$35,$A$22:$A$35^{1,2,3}), 1,2)</f>
        <v>-6.8566963138050926E-4</v>
      </c>
      <c r="E249" s="21" cm="1">
        <f t="array" ref="E249">INDEX(LINEST(M$22:M$35,$A$22:$A$35^{1,2,3}), 1,2)</f>
        <v>-4.5626353374275105E-4</v>
      </c>
      <c r="F249" s="21" cm="1">
        <f t="array" ref="F249">INDEX(LINEST(N$22:N$35,$A$22:$A$35^{1,2,3}), 1,2)</f>
        <v>-4.1634348619515879E-4</v>
      </c>
      <c r="G249" s="21" cm="1">
        <f t="array" ref="G249">INDEX(LINEST(O$22:O$35,$A$22:$A$35^{1,2,3}), 1,2)</f>
        <v>-4.2390952344181657E-4</v>
      </c>
      <c r="H249" s="21" cm="1">
        <f t="array" ref="H249">INDEX(LINEST(P$22:P$35,$A$22:$A$35^{1,2,3}), 1,2)</f>
        <v>-5.2114394798291358E-4</v>
      </c>
      <c r="I249" s="21" cm="1">
        <f t="array" ref="I249">INDEX(LINEST(B$22:B$35,$A$22:$A$35^{1,2,3}), 1,2)</f>
        <v>5.5103623216376009E-4</v>
      </c>
    </row>
    <row r="250" spans="1:19" x14ac:dyDescent="0.25">
      <c r="A250" t="s">
        <v>46</v>
      </c>
      <c r="B250" s="20" cm="1">
        <f t="array" ref="B250">INDEX(LINEST(J$22:J$35,$A$22:$A$35^{1,2,3}), 1)</f>
        <v>-8.4542863407547994E-7</v>
      </c>
      <c r="C250" s="20" cm="1">
        <f t="array" ref="C250">INDEX(LINEST(K$22:K$35,$A$22:$A$35^{1,2,3}), 1)</f>
        <v>-7.0262169668616518E-7</v>
      </c>
      <c r="D250" s="21" cm="1">
        <f t="array" ref="D250">INDEX(LINEST(L$22:L$35,$A$22:$A$35^{1,2,3}), 1)</f>
        <v>-2.8428101802211581E-7</v>
      </c>
      <c r="E250" s="21" cm="1">
        <f t="array" ref="E250">INDEX(LINEST(M$22:M$35,$A$22:$A$35^{1,2,3}), 1)</f>
        <v>-6.3170478016996055E-7</v>
      </c>
      <c r="F250" s="21" cm="1">
        <f t="array" ref="F250">INDEX(LINEST(N$22:N$35,$A$22:$A$35^{1,2,3}), 1)</f>
        <v>-6.5851085433121996E-7</v>
      </c>
      <c r="G250" s="21" cm="1">
        <f t="array" ref="G250">INDEX(LINEST(O$22:O$35,$A$22:$A$35^{1,2,3}), 1)</f>
        <v>-7.2821256952124495E-7</v>
      </c>
      <c r="H250" s="21" cm="1">
        <f t="array" ref="H250">INDEX(LINEST(P$22:P$35,$A$22:$A$35^{1,2,3}), 1)</f>
        <v>-5.3582026450769878E-7</v>
      </c>
      <c r="I250" s="21" cm="1">
        <f t="array" ref="I250">INDEX(LINEST(B$22:B$35,$A$22:$A$35^{1,2,3}), 1)</f>
        <v>5.7076804337466545E-7</v>
      </c>
    </row>
    <row r="251" spans="1:19" x14ac:dyDescent="0.25">
      <c r="A251" t="s">
        <v>47</v>
      </c>
      <c r="B251" s="20"/>
      <c r="C251" s="20"/>
      <c r="D251" s="21"/>
      <c r="E251" s="21"/>
      <c r="F251" s="21"/>
      <c r="G251" s="21"/>
      <c r="H251" s="21"/>
      <c r="I251" s="21"/>
    </row>
    <row r="252" spans="1:19" x14ac:dyDescent="0.25">
      <c r="A252" t="s">
        <v>48</v>
      </c>
      <c r="B252" s="20"/>
      <c r="C252" s="20"/>
      <c r="D252" s="21"/>
      <c r="E252" s="21"/>
      <c r="F252" s="21"/>
      <c r="G252" s="21"/>
      <c r="H252" s="21"/>
      <c r="I252" s="21"/>
    </row>
    <row r="253" spans="1:19" x14ac:dyDescent="0.25">
      <c r="A253" t="s">
        <v>49</v>
      </c>
      <c r="B253" s="20"/>
      <c r="C253" s="20"/>
      <c r="D253" s="21"/>
      <c r="E253" s="21"/>
      <c r="F253" s="21"/>
      <c r="G253" s="21"/>
      <c r="H253" s="21"/>
      <c r="I253" s="21"/>
    </row>
    <row r="254" spans="1:19" x14ac:dyDescent="0.25">
      <c r="B254" s="20"/>
      <c r="C254" s="20"/>
      <c r="D254" s="20"/>
      <c r="E254" s="20"/>
      <c r="F254" s="20"/>
      <c r="G254" s="20"/>
      <c r="H254" s="20"/>
      <c r="I254" s="20"/>
    </row>
    <row r="255" spans="1:19" x14ac:dyDescent="0.25">
      <c r="A255" t="s">
        <v>50</v>
      </c>
    </row>
    <row r="256" spans="1:19" x14ac:dyDescent="0.25">
      <c r="A256" s="22" t="s">
        <v>4</v>
      </c>
      <c r="B256" s="23"/>
      <c r="C256" s="23"/>
    </row>
    <row r="257" spans="1:9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3130.2399652208483</v>
      </c>
    </row>
    <row r="258" spans="1:9" x14ac:dyDescent="0.25">
      <c r="A258" s="1">
        <v>25</v>
      </c>
      <c r="B258" s="2" cm="1">
        <f t="array" ref="B258">TrajectoryToComeUp(B$247:B$250,$A258)</f>
        <v>0.72286815344826927</v>
      </c>
      <c r="C258" s="2" cm="1">
        <f t="array" ref="C258">TrajectoryToComeUp(C$247:C$250,$A258)</f>
        <v>1.1118447763951211</v>
      </c>
      <c r="D258" s="24" cm="1">
        <f t="array" ref="D258">TrajectoryToComeUp(D$247:D$250,$A258)</f>
        <v>0.97793478747625773</v>
      </c>
      <c r="E258" s="24" cm="1">
        <f t="array" ref="E258">TrajectoryToComeUp(E$247:E$250,$A258)</f>
        <v>0.65140210755300576</v>
      </c>
      <c r="F258" s="24" cm="1">
        <f t="array" ref="F258">TrajectoryToComeUp(F$247:F$250,$A258)</f>
        <v>7.5687413128596406E-2</v>
      </c>
      <c r="G258" s="24" cm="1">
        <f t="array" ref="G258">TrajectoryToComeUp(G$247:G$250,$A258)</f>
        <v>-0.85818830969312765</v>
      </c>
      <c r="H258" s="24" cm="1">
        <f t="array" ref="H258">TrajectoryToComeUp(H$247:H$250,$A258)</f>
        <v>-1.8967345264006723</v>
      </c>
      <c r="I258" s="2" cm="1">
        <f t="array" ref="I258">EvaluatePolynomial(I$247:I$250,$A258)</f>
        <v>3055.8733486554283</v>
      </c>
    </row>
    <row r="259" spans="1:9" x14ac:dyDescent="0.25">
      <c r="A259" s="1">
        <v>50</v>
      </c>
      <c r="B259" s="2" cm="1">
        <f t="array" ref="B259">TrajectoryToComeUp(B$247:B$250,$A259)</f>
        <v>-0.26470892250127837</v>
      </c>
      <c r="C259" s="25" cm="1">
        <f t="array" ref="C259">TrajectoryToComeUp(C$247:C$250,$A259)</f>
        <v>0.23166628985161691</v>
      </c>
      <c r="D259" s="24" cm="1">
        <f t="array" ref="D259">TrajectoryToComeUp(D$247:D$250,$A259)</f>
        <v>5.2852224784714963E-2</v>
      </c>
      <c r="E259" s="24" cm="1">
        <f t="array" ref="E259">TrajectoryToComeUp(E$247:E$250,$A259)</f>
        <v>-0.21832271574459769</v>
      </c>
      <c r="F259" s="24" cm="1">
        <f t="array" ref="F259">TrajectoryToComeUp(F$247:F$250,$A259)</f>
        <v>-0.81848671652495308</v>
      </c>
      <c r="G259" s="24" cm="1">
        <f t="array" ref="G259">TrajectoryToComeUp(G$247:G$250,$A259)</f>
        <v>-1.7650503598347587</v>
      </c>
      <c r="H259" s="24" cm="1">
        <f t="array" ref="H259">TrajectoryToComeUp(H$247:H$250,$A259)</f>
        <v>-2.7650207286741546</v>
      </c>
      <c r="I259" s="2" cm="1">
        <f t="array" ref="I259">EvaluatePolynomial(I$247:I$250,$A259)</f>
        <v>2982.2490368842791</v>
      </c>
    </row>
    <row r="260" spans="1:9" x14ac:dyDescent="0.25">
      <c r="A260" s="1">
        <v>75</v>
      </c>
      <c r="B260" s="2" cm="1">
        <f t="array" ref="B260">TrajectoryToComeUp(B$247:B$250,$A260)</f>
        <v>-0.48689217778899052</v>
      </c>
      <c r="C260" s="2" cm="1">
        <f t="array" ref="C260">TrajectoryToComeUp(C$247:C$250,$A260)</f>
        <v>2.5464474703144096E-2</v>
      </c>
      <c r="D260" s="24" cm="1">
        <f t="array" ref="D260">TrajectoryToComeUp(D$247:D$250,$A260)</f>
        <v>-0.13412333209849484</v>
      </c>
      <c r="E260" s="24" cm="1">
        <f t="array" ref="E260">TrajectoryToComeUp(E$247:E$250,$A260)</f>
        <v>-0.41639444838242456</v>
      </c>
      <c r="F260" s="24" cm="1">
        <f t="array" ref="F260">TrajectoryToComeUp(F$247:F$250,$A260)</f>
        <v>-1.0306914073519957</v>
      </c>
      <c r="G260" s="24" cm="1">
        <f t="array" ref="G260">TrajectoryToComeUp(G$247:G$250,$A260)</f>
        <v>-1.9784808084036349</v>
      </c>
      <c r="H260" s="24" cm="1">
        <f t="array" ref="H260">TrajectoryToComeUp(H$247:H$250,$A260)</f>
        <v>-2.954196631488804</v>
      </c>
      <c r="I260" s="2" cm="1">
        <f t="array" ref="I260">EvaluatePolynomial(I$247:I$250,$A260)</f>
        <v>2909.4205394114674</v>
      </c>
    </row>
    <row r="261" spans="1:9" x14ac:dyDescent="0.25">
      <c r="A261" s="1">
        <v>100</v>
      </c>
      <c r="B261" s="2" cm="1">
        <f t="array" ref="B261">TrajectoryToComeUp(B$247:B$250,$A261)</f>
        <v>-0.50980108446678618</v>
      </c>
      <c r="C261" s="2" cm="1">
        <f t="array" ref="C261">TrajectoryToComeUp(C$247:C$250,$A261)</f>
        <v>-5.6560941901379475E-3</v>
      </c>
      <c r="D261" s="24" cm="1">
        <f t="array" ref="D261">TrajectoryToComeUp(D$247:D$250,$A261)</f>
        <v>-0.1339070029856641</v>
      </c>
      <c r="E261" s="24" cm="1">
        <f t="array" ref="E261">TrajectoryToComeUp(E$247:E$250,$A261)</f>
        <v>-0.44063067604121409</v>
      </c>
      <c r="F261" s="24" cm="1">
        <f t="array" ref="F261">TrajectoryToComeUp(F$247:F$250,$A261)</f>
        <v>-1.0662301992130565</v>
      </c>
      <c r="G261" s="24" cm="1">
        <f t="array" ref="G261">TrajectoryToComeUp(G$247:G$250,$A261)</f>
        <v>-2.0117263637400611</v>
      </c>
      <c r="H261" s="24" cm="1">
        <f t="array" ref="H261">TrajectoryToComeUp(H$247:H$250,$A261)</f>
        <v>-2.9685716444589847</v>
      </c>
      <c r="I261" s="2" cm="1">
        <f t="array" ref="I261">EvaluatePolynomial(I$247:I$250,$A261)</f>
        <v>2837.4413657410596</v>
      </c>
    </row>
    <row r="262" spans="1:9" x14ac:dyDescent="0.25">
      <c r="A262" s="1">
        <v>125</v>
      </c>
      <c r="B262" s="2" cm="1">
        <f t="array" ref="B262">TrajectoryToComeUp(B$247:B$250,$A262)</f>
        <v>-0.44665953694504906</v>
      </c>
      <c r="C262" s="2" cm="1">
        <f t="array" ref="C262">TrajectoryToComeUp(C$247:C$250,$A262)</f>
        <v>3.8525498143802399E-2</v>
      </c>
      <c r="D262" s="24" cm="1">
        <f t="array" ref="D262">TrajectoryToComeUp(D$247:D$250,$A262)</f>
        <v>-5.6681811839251209E-2</v>
      </c>
      <c r="E262" s="24" cm="1">
        <f t="array" ref="E262">TrajectoryToComeUp(E$247:E$250,$A262)</f>
        <v>-0.39059491585711376</v>
      </c>
      <c r="F262" s="24" cm="1">
        <f t="array" ref="F262">TrajectoryToComeUp(F$247:F$250,$A262)</f>
        <v>-1.0261638000802407</v>
      </c>
      <c r="G262" s="24" cm="1">
        <f t="array" ref="G262">TrajectoryToComeUp(G$247:G$250,$A262)</f>
        <v>-1.967436367512098</v>
      </c>
      <c r="H262" s="24" cm="1">
        <f t="array" ref="H262">TrajectoryToComeUp(H$247:H$250,$A262)</f>
        <v>-2.9090076495075716</v>
      </c>
      <c r="I262" s="2" cm="1">
        <f t="array" ref="I262">EvaluatePolynomial(I$247:I$250,$A262)</f>
        <v>2766.3650253771225</v>
      </c>
    </row>
    <row r="263" spans="1:9" x14ac:dyDescent="0.25">
      <c r="A263" s="1">
        <v>150</v>
      </c>
      <c r="B263" s="2" cm="1">
        <f t="array" ref="B263">TrajectoryToComeUp(B$247:B$250,$A263)</f>
        <v>-0.33520883336057383</v>
      </c>
      <c r="C263" s="2" cm="1">
        <f t="array" ref="C263">TrajectoryToComeUp(C$247:C$250,$A263)</f>
        <v>0.12474955669564264</v>
      </c>
      <c r="D263" s="24" cm="1">
        <f t="array" ref="D263">TrajectoryToComeUp(D$247:D$250,$A263)</f>
        <v>6.0824566686590933E-2</v>
      </c>
      <c r="E263" s="24" cm="1">
        <f t="array" ref="E263">TrajectoryToComeUp(E$247:E$250,$A263)</f>
        <v>-0.29947500687550643</v>
      </c>
      <c r="F263" s="24" cm="1">
        <f t="array" ref="F263">TrajectoryToComeUp(F$247:F$250,$A263)</f>
        <v>-0.94417911261091636</v>
      </c>
      <c r="G263" s="24" cm="1">
        <f t="array" ref="G263">TrajectoryToComeUp(G$247:G$250,$A263)</f>
        <v>-1.8798272669424321</v>
      </c>
      <c r="H263" s="24" cm="1">
        <f t="array" ref="H263">TrajectoryToComeUp(H$247:H$250,$A263)</f>
        <v>-2.8091252739421875</v>
      </c>
      <c r="I263" s="2" cm="1">
        <f t="array" ref="I263">EvaluatePolynomial(I$247:I$250,$A263)</f>
        <v>2696.2450278237211</v>
      </c>
    </row>
    <row r="264" spans="1:9" x14ac:dyDescent="0.25">
      <c r="A264" s="1">
        <v>175</v>
      </c>
      <c r="B264" s="2" cm="1">
        <f t="array" ref="B264">TrajectoryToComeUp(B$247:B$250,$A264)</f>
        <v>-0.19162381577198687</v>
      </c>
      <c r="C264" s="2" cm="1">
        <f t="array" ref="C264">TrajectoryToComeUp(C$247:C$250,$A264)</f>
        <v>0.23876192646138716</v>
      </c>
      <c r="D264" s="24" cm="1">
        <f t="array" ref="D264">TrajectoryToComeUp(D$247:D$250,$A264)</f>
        <v>0.20287170059722545</v>
      </c>
      <c r="E264" s="24" cm="1">
        <f t="array" ref="E264">TrajectoryToComeUp(E$247:E$250,$A264)</f>
        <v>-0.18149430868727032</v>
      </c>
      <c r="F264" s="24" cm="1">
        <f t="array" ref="F264">TrajectoryToComeUp(F$247:F$250,$A264)</f>
        <v>-0.83471338080109825</v>
      </c>
      <c r="G264" s="24" cm="1">
        <f t="array" ref="G264">TrajectoryToComeUp(G$247:G$250,$A264)</f>
        <v>-1.7635632536979298</v>
      </c>
      <c r="H264" s="24" cm="1">
        <f t="array" ref="H264">TrajectoryToComeUp(H$247:H$250,$A264)</f>
        <v>-2.6833333580375287</v>
      </c>
      <c r="I264" s="2" cm="1">
        <f t="array" ref="I264">EvaluatePolynomial(I$247:I$250,$A264)</f>
        <v>2627.1348825849232</v>
      </c>
    </row>
    <row r="265" spans="1:9" x14ac:dyDescent="0.25">
      <c r="A265" s="1">
        <v>200</v>
      </c>
      <c r="B265" s="2" cm="1">
        <f t="array" ref="B265">TrajectoryToComeUp(B$247:B$250,$A265)</f>
        <v>-2.3991905208601026E-2</v>
      </c>
      <c r="C265" s="2" cm="1">
        <f t="array" ref="C265">TrajectoryToComeUp(C$247:C$250,$A265)</f>
        <v>0.37343552993903828</v>
      </c>
      <c r="D265" s="24" cm="1">
        <f t="array" ref="D265">TrajectoryToComeUp(D$247:D$250,$A265)</f>
        <v>0.36158937389533363</v>
      </c>
      <c r="E265" s="24" cm="1">
        <f t="array" ref="E265">TrajectoryToComeUp(E$247:E$250,$A265)</f>
        <v>-4.3764501087844326E-2</v>
      </c>
      <c r="F265" s="24" cm="1">
        <f t="array" ref="F265">TrajectoryToComeUp(F$247:F$250,$A265)</f>
        <v>-0.70498522664879393</v>
      </c>
      <c r="G265" s="24" cm="1">
        <f t="array" ref="G265">TrajectoryToComeUp(G$247:G$250,$A265)</f>
        <v>-1.6259764236120235</v>
      </c>
      <c r="H265" s="24" cm="1">
        <f t="array" ref="H265">TrajectoryToComeUp(H$247:H$250,$A265)</f>
        <v>-2.5388363219309444</v>
      </c>
      <c r="I265" s="2" cm="1">
        <f t="array" ref="I265">EvaluatePolynomial(I$247:I$250,$A265)</f>
        <v>2559.0880991647946</v>
      </c>
    </row>
    <row r="266" spans="1:9" x14ac:dyDescent="0.25">
      <c r="A266" s="1">
        <v>225</v>
      </c>
      <c r="B266" s="2" cm="1">
        <f t="array" ref="B266">TrajectoryToComeUp(B$247:B$250,$A266)</f>
        <v>0.16319388664663179</v>
      </c>
      <c r="C266" s="2" cm="1">
        <f t="array" ref="C266">TrajectoryToComeUp(C$247:C$250,$A266)</f>
        <v>0.52481087962748618</v>
      </c>
      <c r="D266" s="24" cm="1">
        <f t="array" ref="D266">TrajectoryToComeUp(D$247:D$250,$A266)</f>
        <v>0.53260524436018342</v>
      </c>
      <c r="E266" s="24" cm="1">
        <f t="array" ref="E266">TrajectoryToComeUp(E$247:E$250,$A266)</f>
        <v>0.109763482703083</v>
      </c>
      <c r="F266" s="24" cm="1">
        <f t="array" ref="F266">TrajectoryToComeUp(F$247:F$250,$A266)</f>
        <v>-0.55900499570845241</v>
      </c>
      <c r="G266" s="24" cm="1">
        <f t="array" ref="G266">TrajectoryToComeUp(G$247:G$250,$A266)</f>
        <v>-1.4711401632588432</v>
      </c>
      <c r="H266" s="24" cm="1">
        <f t="array" ref="H266">TrajectoryToComeUp(H$247:H$250,$A266)</f>
        <v>-2.3796366212542925</v>
      </c>
      <c r="I266" s="2" cm="1">
        <f t="array" ref="I266">EvaluatePolynomial(I$247:I$250,$A266)</f>
        <v>2492.1581870674017</v>
      </c>
    </row>
    <row r="267" spans="1:9" x14ac:dyDescent="0.25">
      <c r="A267" s="1">
        <v>250</v>
      </c>
      <c r="B267" s="2" cm="1">
        <f t="array" ref="B267">TrajectoryToComeUp(B$247:B$250,$A267)</f>
        <v>0.36723775278394055</v>
      </c>
      <c r="C267" s="2" cm="1">
        <f t="array" ref="C267">TrajectoryToComeUp(C$247:C$250,$A267)</f>
        <v>0.69051228302606471</v>
      </c>
      <c r="D267" s="24" cm="1">
        <f t="array" ref="D267">TrajectoryToComeUp(D$247:D$250,$A267)</f>
        <v>0.71329590665933518</v>
      </c>
      <c r="E267" s="24" cm="1">
        <f t="array" ref="E267">TrajectoryToComeUp(E$247:E$250,$A267)</f>
        <v>0.27671908275369833</v>
      </c>
      <c r="F267" s="24" cm="1">
        <f t="array" ref="F267">TrajectoryToComeUp(F$247:F$250,$A267)</f>
        <v>-0.39917889531274253</v>
      </c>
      <c r="G267" s="24" cm="1">
        <f t="array" ref="G267">TrajectoryToComeUp(G$247:G$250,$A267)</f>
        <v>-1.3014985045828653</v>
      </c>
      <c r="H267" s="24" cm="1">
        <f t="array" ref="H267">TrajectoryToComeUp(H$247:H$250,$A267)</f>
        <v>-2.2081357293866914</v>
      </c>
      <c r="I267" s="2" cm="1">
        <f t="array" ref="I267">EvaluatePolynomial(I$247:I$250,$A267)</f>
        <v>2426.3986557968105</v>
      </c>
    </row>
    <row r="268" spans="1:9" x14ac:dyDescent="0.25">
      <c r="A268" s="1">
        <v>275</v>
      </c>
      <c r="B268" s="2" cm="1">
        <f t="array" ref="B268">TrajectoryToComeUp(B$247:B$250,$A268)</f>
        <v>0.5864241796516525</v>
      </c>
      <c r="C268" s="2" cm="1">
        <f t="array" ref="C268">TrajectoryToComeUp(C$247:C$250,$A268)</f>
        <v>0.86902793581616877</v>
      </c>
      <c r="D268" s="24" cm="1">
        <f t="array" ref="D268">TrajectoryToComeUp(D$247:D$250,$A268)</f>
        <v>0.90199192103578196</v>
      </c>
      <c r="E268" s="24" cm="1">
        <f t="array" ref="E268">TrajectoryToComeUp(E$247:E$250,$A268)</f>
        <v>0.45559376092557569</v>
      </c>
      <c r="F268" s="24" cm="1">
        <f t="array" ref="F268">TrajectoryToComeUp(F$247:F$250,$A268)</f>
        <v>-0.22703814830972657</v>
      </c>
      <c r="G268" s="24" cm="1">
        <f t="array" ref="G268">TrajectoryToComeUp(G$247:G$250,$A268)</f>
        <v>-1.1186067406396683</v>
      </c>
      <c r="H268" s="24" cm="1">
        <f t="array" ref="H268">TrajectoryToComeUp(H$247:H$250,$A268)</f>
        <v>-2.0258618566603044</v>
      </c>
      <c r="I268" s="2" cm="1">
        <f t="array" ref="I268">EvaluatePolynomial(I$247:I$250,$A268)</f>
        <v>2361.8630148570883</v>
      </c>
    </row>
    <row r="269" spans="1:9" x14ac:dyDescent="0.25">
      <c r="A269" s="1">
        <v>300</v>
      </c>
      <c r="B269" s="2" cm="1">
        <f t="array" ref="B269">TrajectoryToComeUp(B$247:B$250,$A269)</f>
        <v>0.81960949154865315</v>
      </c>
      <c r="C269" s="2" cm="1">
        <f t="array" ref="C269">TrajectoryToComeUp(C$247:C$250,$A269)</f>
        <v>1.0593499684520609</v>
      </c>
      <c r="D269" s="24" cm="1">
        <f t="array" ref="D269">TrajectoryToComeUp(D$247:D$250,$A269)</f>
        <v>1.0975803276515188</v>
      </c>
      <c r="E269" s="24" cm="1">
        <f t="array" ref="E269">TrajectoryToComeUp(E$247:E$250,$A269)</f>
        <v>0.64538182512643061</v>
      </c>
      <c r="F269" s="24" cm="1">
        <f t="array" ref="F269">TrajectoryToComeUp(F$247:F$250,$A269)</f>
        <v>-4.3603569931446026E-2</v>
      </c>
      <c r="G269" s="24" cm="1">
        <f t="array" ref="G269">TrajectoryToComeUp(G$247:G$250,$A269)</f>
        <v>-0.92350173346630171</v>
      </c>
      <c r="H269" s="24" cm="1">
        <f t="array" ref="H269">TrajectoryToComeUp(H$247:H$250,$A269)</f>
        <v>-1.8338338099632419</v>
      </c>
      <c r="I269" s="2" cm="1">
        <f t="array" ref="I269">EvaluatePolynomial(I$247:I$250,$A269)</f>
        <v>2298.6047737523004</v>
      </c>
    </row>
    <row r="270" spans="1:9" x14ac:dyDescent="0.25">
      <c r="A270" s="1">
        <v>325</v>
      </c>
      <c r="B270" s="2" cm="1">
        <f t="array" ref="B270">TrajectoryToComeUp(B$247:B$250,$A270)</f>
        <v>1.0660019129895548</v>
      </c>
      <c r="C270" s="2" cm="1">
        <f t="array" ref="C270">TrajectoryToComeUp(C$247:C$250,$A270)</f>
        <v>1.2607806250943852</v>
      </c>
      <c r="D270" s="24" cm="1">
        <f t="array" ref="D270">TrajectoryToComeUp(D$247:D$250,$A270)</f>
        <v>1.2992906158494661</v>
      </c>
      <c r="E270" s="24" cm="1">
        <f t="array" ref="E270">TrajectoryToComeUp(E$247:E$250,$A270)</f>
        <v>0.84538702698468116</v>
      </c>
      <c r="F270" s="24" cm="1">
        <f t="array" ref="F270">TrajectoryToComeUp(F$247:F$250,$A270)</f>
        <v>0.15041812158453205</v>
      </c>
      <c r="G270" s="24" cm="1">
        <f t="array" ref="G270">TrajectoryToComeUp(G$247:G$250,$A270)</f>
        <v>-0.71690131062687878</v>
      </c>
      <c r="H270" s="24" cm="1">
        <f t="array" ref="H270">TrajectoryToComeUp(H$247:H$250,$A270)</f>
        <v>-1.6327569171411178</v>
      </c>
      <c r="I270" s="2" cm="1">
        <f t="array" ref="I270">EvaluatePolynomial(I$247:I$250,$A270)</f>
        <v>2236.6774419865142</v>
      </c>
    </row>
    <row r="271" spans="1:9" x14ac:dyDescent="0.25">
      <c r="A271" s="1">
        <v>350</v>
      </c>
      <c r="B271" s="2" cm="1">
        <f t="array" ref="B271">TrajectoryToComeUp(B$247:B$250,$A271)</f>
        <v>1.3250358900562245</v>
      </c>
      <c r="C271" s="2" cm="1">
        <f t="array" ref="C271">TrajectoryToComeUp(C$247:C$250,$A271)</f>
        <v>1.4728215087150291</v>
      </c>
      <c r="D271" s="24" cm="1">
        <f t="array" ref="D271">TrajectoryToComeUp(D$247:D$250,$A271)</f>
        <v>1.5065724208745663</v>
      </c>
      <c r="E271" s="24" cm="1">
        <f t="array" ref="E271">TrajectoryToComeUp(E$247:E$250,$A271)</f>
        <v>1.0551120462349126</v>
      </c>
      <c r="F271" s="24" cm="1">
        <f t="array" ref="F271">TrajectoryToComeUp(F$247:F$250,$A271)</f>
        <v>0.35452212749708817</v>
      </c>
      <c r="G271" s="24" cm="1">
        <f t="array" ref="G271">TrajectoryToComeUp(G$247:G$250,$A271)</f>
        <v>-0.49931820609576549</v>
      </c>
      <c r="H271" s="24" cm="1">
        <f t="array" ref="H271">TrajectoryToComeUp(H$247:H$250,$A271)</f>
        <v>-1.4231349837979435</v>
      </c>
      <c r="I271" s="2" cm="1">
        <f t="array" ref="I271">EvaluatePolynomial(I$247:I$250,$A271)</f>
        <v>2176.1345290637951</v>
      </c>
    </row>
    <row r="272" spans="1:9" x14ac:dyDescent="0.25">
      <c r="A272" s="1">
        <v>375</v>
      </c>
      <c r="B272" s="2" cm="1">
        <f t="array" ref="B272">TrajectoryToComeUp(B$247:B$250,$A272)</f>
        <v>1.5962966832086956</v>
      </c>
      <c r="C272" s="2" cm="1">
        <f t="array" ref="C272">TrajectoryToComeUp(C$247:C$250,$A272)</f>
        <v>1.6951071281600452</v>
      </c>
      <c r="D272" s="24" cm="1">
        <f t="array" ref="D272">TrajectoryToComeUp(D$247:D$250,$A272)</f>
        <v>1.719022141906444</v>
      </c>
      <c r="E272" s="24" cm="1">
        <f t="array" ref="E272">TrajectoryToComeUp(E$247:E$250,$A272)</f>
        <v>1.2741921813491539</v>
      </c>
      <c r="F272" s="24" cm="1">
        <f t="array" ref="F272">TrajectoryToComeUp(F$247:F$250,$A272)</f>
        <v>0.56833826206273474</v>
      </c>
      <c r="G272" s="24" cm="1">
        <f t="array" ref="G272">TrajectoryToComeUp(G$247:G$250,$A272)</f>
        <v>-0.27112842478749599</v>
      </c>
      <c r="H272" s="24" cm="1">
        <f t="array" ref="H272">TrajectoryToComeUp(H$247:H$250,$A272)</f>
        <v>-1.2053374673766586</v>
      </c>
      <c r="I272" s="2" cm="1">
        <f t="array" ref="I272">EvaluatePolynomial(I$247:I$250,$A272)</f>
        <v>2117.0295444882099</v>
      </c>
    </row>
    <row r="273" spans="1:9" x14ac:dyDescent="0.25">
      <c r="A273" s="1">
        <v>400</v>
      </c>
      <c r="B273" s="2" cm="1">
        <f t="array" ref="B273">TrajectoryToComeUp(B$247:B$250,$A273)</f>
        <v>1.8794732377919965</v>
      </c>
      <c r="C273" s="2" cm="1">
        <f t="array" ref="C273">TrajectoryToComeUp(C$247:C$250,$A273)</f>
        <v>1.9273633650639708</v>
      </c>
      <c r="D273" s="24" cm="1">
        <f t="array" ref="D273">TrajectoryToComeUp(D$247:D$250,$A273)</f>
        <v>1.9363370783298184</v>
      </c>
      <c r="E273" s="24" cm="1">
        <f t="array" ref="E273">TrajectoryToComeUp(E$247:E$250,$A273)</f>
        <v>1.5023539061814253</v>
      </c>
      <c r="F273" s="24" cm="1">
        <f t="array" ref="F273">TrajectoryToComeUp(F$247:F$250,$A273)</f>
        <v>0.79158888597385624</v>
      </c>
      <c r="G273" s="24" cm="1">
        <f t="array" ref="G273">TrajectoryToComeUp(G$247:G$250,$A273)</f>
        <v>-3.2613970387972466E-2</v>
      </c>
      <c r="H273" s="24" cm="1">
        <f t="array" ref="H273">TrajectoryToComeUp(H$247:H$250,$A273)</f>
        <v>-0.97964146095946969</v>
      </c>
      <c r="I273" s="2" cm="1">
        <f t="array" ref="I273">EvaluatePolynomial(I$247:I$250,$A273)</f>
        <v>2059.4159977638255</v>
      </c>
    </row>
    <row r="274" spans="1:9" x14ac:dyDescent="0.25">
      <c r="A274" s="1">
        <v>425</v>
      </c>
      <c r="B274" s="2" cm="1">
        <f t="array" ref="B274">TrajectoryToComeUp(B$247:B$250,$A274)</f>
        <v>2.1743276884817346</v>
      </c>
      <c r="C274" s="2" cm="1">
        <f t="array" ref="C274">TrajectoryToComeUp(C$247:C$250,$A274)</f>
        <v>2.1693805995002768</v>
      </c>
      <c r="D274" s="24" cm="1">
        <f t="array" ref="D274">TrajectoryToComeUp(D$247:D$250,$A274)</f>
        <v>2.1582857532035908</v>
      </c>
      <c r="E274" s="24" cm="1">
        <f t="array" ref="E274">TrajectoryToComeUp(E$247:E$250,$A274)</f>
        <v>1.7393880536789219</v>
      </c>
      <c r="F274" s="24" cm="1">
        <f t="array" ref="F274">TrajectoryToComeUp(F$247:F$250,$A274)</f>
        <v>1.0240616868187467</v>
      </c>
      <c r="G274" s="24" cm="1">
        <f t="array" ref="G274">TrajectoryToComeUp(G$247:G$250,$A274)</f>
        <v>0.21600950722535139</v>
      </c>
      <c r="H274" s="24" cm="1">
        <f t="array" ref="H274">TrajectoryToComeUp(H$247:H$250,$A274)</f>
        <v>-0.74625885925629853</v>
      </c>
      <c r="I274" s="2" cm="1">
        <f t="array" ref="I274">EvaluatePolynomial(I$247:I$250,$A274)</f>
        <v>2003.3473983947076</v>
      </c>
    </row>
    <row r="275" spans="1:9" x14ac:dyDescent="0.25">
      <c r="A275" s="1">
        <v>450</v>
      </c>
      <c r="B275" s="2" cm="1">
        <f t="array" ref="B275">TrajectoryToComeUp(B$247:B$250,$A275)</f>
        <v>2.4806750289144954</v>
      </c>
      <c r="C275" s="2" cm="1">
        <f t="array" ref="C275">TrajectoryToComeUp(C$247:C$250,$A275)</f>
        <v>2.4209957937483297</v>
      </c>
      <c r="D275" s="24" cm="1">
        <f t="array" ref="D275">TrajectoryToComeUp(D$247:D$250,$A275)</f>
        <v>2.384688128906908</v>
      </c>
      <c r="E275" s="24" cm="1">
        <f t="array" ref="E275">TrajectoryToComeUp(E$247:E$250,$A275)</f>
        <v>1.9851319383561254</v>
      </c>
      <c r="F275" s="24" cm="1">
        <f t="array" ref="F275">TrajectoryToComeUp(F$247:F$250,$A275)</f>
        <v>1.265591532721634</v>
      </c>
      <c r="G275" s="24" cm="1">
        <f t="array" ref="G275">TrajectoryToComeUp(G$247:G$250,$A275)</f>
        <v>0.47457428037001209</v>
      </c>
      <c r="H275" s="24" cm="1">
        <f t="array" ref="H275">TrajectoryToComeUp(H$247:H$250,$A275)</f>
        <v>-0.50535446926375105</v>
      </c>
      <c r="I275" s="2" cm="1">
        <f t="array" ref="I275">EvaluatePolynomial(I$247:I$250,$A275)</f>
        <v>1948.877255884923</v>
      </c>
    </row>
    <row r="276" spans="1:9" x14ac:dyDescent="0.25">
      <c r="A276" s="1">
        <v>475</v>
      </c>
      <c r="B276" s="2" cm="1">
        <f t="array" ref="B276">TrajectoryToComeUp(B$247:B$250,$A276)</f>
        <v>2.7983692014349484</v>
      </c>
      <c r="C276" s="2" cm="1">
        <f t="array" ref="C276">TrajectoryToComeUp(C$247:C$250,$A276)</f>
        <v>2.6820802338181551</v>
      </c>
      <c r="D276" s="24" cm="1">
        <f t="array" ref="D276">TrajectoryToComeUp(D$247:D$250,$A276)</f>
        <v>2.6154020704759389</v>
      </c>
      <c r="E276" s="24" cm="1">
        <f t="array" ref="E276">TrajectoryToComeUp(E$247:E$250,$A276)</f>
        <v>2.239457124303418</v>
      </c>
      <c r="F276" s="24" cm="1">
        <f t="array" ref="F276">TrajectoryToComeUp(F$247:F$250,$A276)</f>
        <v>1.5160480564121728</v>
      </c>
      <c r="G276" s="24" cm="1">
        <f t="array" ref="G276">TrajectoryToComeUp(G$247:G$250,$A276)</f>
        <v>0.74294793245458968</v>
      </c>
      <c r="H276" s="24" cm="1">
        <f t="array" ref="H276">TrajectoryToComeUp(H$247:H$250,$A276)</f>
        <v>-0.2570584017686216</v>
      </c>
      <c r="I276" s="2" cm="1">
        <f t="array" ref="I276">EvaluatePolynomial(I$247:I$250,$A276)</f>
        <v>1896.0590797385375</v>
      </c>
    </row>
    <row r="277" spans="1:9" x14ac:dyDescent="0.25">
      <c r="A277" s="10">
        <v>500</v>
      </c>
      <c r="B277" s="2" cm="1">
        <f t="array" ref="B277">TrajectoryToComeUp(B$247:B$250,$A277)</f>
        <v>3.1272933599188333</v>
      </c>
      <c r="C277" s="2" cm="1">
        <f t="array" ref="C277">TrajectoryToComeUp(C$247:C$250,$A277)</f>
        <v>2.952530948517774</v>
      </c>
      <c r="D277" s="24" cm="1">
        <f t="array" ref="D277">TrajectoryToComeUp(D$247:D$250,$A277)</f>
        <v>2.8503138699396171</v>
      </c>
      <c r="E277" s="24" cm="1">
        <f t="array" ref="E277">TrajectoryToComeUp(E$247:E$250,$A277)</f>
        <v>2.5022608627931042</v>
      </c>
      <c r="F277" s="24" cm="1">
        <f t="array" ref="F277">TrajectoryToComeUp(F$247:F$250,$A277)</f>
        <v>1.7753269640740865</v>
      </c>
      <c r="G277" s="24" cm="1">
        <f t="array" ref="G277">TrajectoryToComeUp(G$247:G$250,$A277)</f>
        <v>1.0210245302059497</v>
      </c>
      <c r="H277" s="24" cm="1">
        <f t="array" ref="H277">TrajectoryToComeUp(H$247:H$250,$A277)</f>
        <v>-1.4747454003454252E-3</v>
      </c>
      <c r="I277" s="2" cm="1">
        <f t="array" ref="I277">EvaluatePolynomial(I$247:I$250,$A277)</f>
        <v>1844.9463794596179</v>
      </c>
    </row>
  </sheetData>
  <mergeCells count="3">
    <mergeCell ref="C20:G20"/>
    <mergeCell ref="J20:N20"/>
    <mergeCell ref="F1:I1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2ABF1-5FE9-4A60-9AE7-516137690FFE}">
  <sheetPr codeName="Sheet4"/>
  <dimension ref="A1"/>
  <sheetViews>
    <sheetView tabSelected="1" workbookViewId="0">
      <selection activeCell="AD24" sqref="AD24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ELD-X PHP</vt:lpstr>
      <vt:lpstr>ELD-X PHP (2)</vt:lpstr>
      <vt:lpstr>Fusion Rifle SP</vt:lpstr>
      <vt:lpstr>Barnes TSX HP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2024-08-25T17:41:32Z</dcterms:modified>
</cp:coreProperties>
</file>