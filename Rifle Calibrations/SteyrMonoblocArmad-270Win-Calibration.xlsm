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1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2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3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4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5.xml" ContentType="application/vnd.openxmlformats-officedocument.themeOverrid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16.xml" ContentType="application/vnd.openxmlformats-officedocument.themeOverrid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17.xml" ContentType="application/vnd.openxmlformats-officedocument.themeOverrid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18.xml" ContentType="application/vnd.openxmlformats-officedocument.themeOverrid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19.xml" ContentType="application/vnd.openxmlformats-officedocument.themeOverrid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20.xml" ContentType="application/vnd.openxmlformats-officedocument.themeOverride+xml"/>
  <Override PartName="/xl/drawings/drawing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2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ballistics-data\SteyrMonoblocArmad-270Win\"/>
    </mc:Choice>
  </mc:AlternateContent>
  <xr:revisionPtr revIDLastSave="0" documentId="13_ncr:1_{5A44B390-70D9-4833-B8BA-D951C1820D98}" xr6:coauthVersionLast="47" xr6:coauthVersionMax="47" xr10:uidLastSave="{00000000-0000-0000-0000-000000000000}"/>
  <bookViews>
    <workbookView xWindow="-120" yWindow="-120" windowWidth="51840" windowHeight="21120" tabRatio="594" xr2:uid="{2F0FA23F-61CC-43E6-AF0F-86720E5DCFA1}"/>
  </bookViews>
  <sheets>
    <sheet name="TrophyBonded PHP" sheetId="4" r:id="rId1"/>
    <sheet name="TrophyBonded PHP (2)" sheetId="11" r:id="rId2"/>
    <sheet name="Core-Lokt SP" sheetId="7" r:id="rId3"/>
    <sheet name="Barnes TSX HP" sheetId="9" r:id="rId4"/>
    <sheet name="Bullet Comparisons" sheetId="10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1" i="11" l="1" a="1"/>
  <c r="I251" i="11" s="1"/>
  <c r="I250" i="11" a="1"/>
  <c r="I250" i="11" s="1"/>
  <c r="I249" i="11" a="1"/>
  <c r="I249" i="11" s="1"/>
  <c r="I248" i="11" a="1"/>
  <c r="I248" i="11" s="1"/>
  <c r="C17" i="11"/>
  <c r="C16" i="11"/>
  <c r="C19" i="11" s="1"/>
  <c r="B13" i="11"/>
  <c r="J23" i="11" s="1"/>
  <c r="C9" i="11"/>
  <c r="H7" i="11"/>
  <c r="C6" i="11"/>
  <c r="H3" i="11"/>
  <c r="C3" i="11"/>
  <c r="H2" i="11"/>
  <c r="C2" i="11"/>
  <c r="C6" i="7"/>
  <c r="H7" i="7"/>
  <c r="H3" i="7"/>
  <c r="H2" i="7"/>
  <c r="C6" i="4"/>
  <c r="H7" i="4"/>
  <c r="H3" i="4"/>
  <c r="H2" i="4"/>
  <c r="C6" i="9"/>
  <c r="H7" i="9"/>
  <c r="H3" i="9"/>
  <c r="H2" i="9"/>
  <c r="I250" i="9" a="1"/>
  <c r="I250" i="9" s="1"/>
  <c r="I249" i="9" a="1"/>
  <c r="I249" i="9" s="1"/>
  <c r="I248" i="9" a="1"/>
  <c r="I248" i="9" s="1"/>
  <c r="I247" i="9" a="1"/>
  <c r="I247" i="9" s="1"/>
  <c r="C17" i="9"/>
  <c r="C16" i="9"/>
  <c r="B13" i="9"/>
  <c r="D13" i="9" s="1"/>
  <c r="M22" i="9"/>
  <c r="L22" i="9"/>
  <c r="K22" i="9"/>
  <c r="J22" i="9"/>
  <c r="I250" i="7" a="1"/>
  <c r="I250" i="7" s="1"/>
  <c r="I249" i="7" a="1"/>
  <c r="I249" i="7" s="1"/>
  <c r="I248" i="7" a="1"/>
  <c r="I248" i="7" s="1"/>
  <c r="I247" i="7" a="1"/>
  <c r="I247" i="7" s="1"/>
  <c r="P22" i="7"/>
  <c r="O22" i="7"/>
  <c r="N22" i="7"/>
  <c r="M22" i="7"/>
  <c r="L22" i="7"/>
  <c r="K22" i="7"/>
  <c r="C17" i="7"/>
  <c r="C16" i="7"/>
  <c r="B13" i="7"/>
  <c r="D13" i="7" s="1"/>
  <c r="I251" i="4" a="1"/>
  <c r="I251" i="4" s="1"/>
  <c r="I250" i="4" a="1"/>
  <c r="I250" i="4" s="1"/>
  <c r="I249" i="4" a="1"/>
  <c r="I249" i="4" s="1"/>
  <c r="I248" i="4" a="1"/>
  <c r="I248" i="4" s="1"/>
  <c r="C17" i="4"/>
  <c r="C16" i="4"/>
  <c r="B13" i="4"/>
  <c r="D13" i="4" s="1"/>
  <c r="M28" i="7" a="1"/>
  <c r="P28" i="9" a="1"/>
  <c r="O27" i="4" a="1"/>
  <c r="I274" i="4" a="1"/>
  <c r="M25" i="7" a="1"/>
  <c r="I296" i="4" a="1"/>
  <c r="M35" i="7" a="1"/>
  <c r="P35" i="9" a="1"/>
  <c r="I288" i="9" a="1"/>
  <c r="I263" i="9" a="1"/>
  <c r="I279" i="4" a="1"/>
  <c r="I295" i="4" a="1"/>
  <c r="I278" i="9" a="1"/>
  <c r="J35" i="4" a="1"/>
  <c r="J28" i="4" a="1"/>
  <c r="I264" i="9" a="1"/>
  <c r="J32" i="7" a="1"/>
  <c r="J25" i="9" a="1"/>
  <c r="I263" i="7" a="1"/>
  <c r="K29" i="7" a="1"/>
  <c r="B12" i="7" a="1"/>
  <c r="N28" i="7" a="1"/>
  <c r="O31" i="7" a="1"/>
  <c r="P35" i="11" a="1"/>
  <c r="P33" i="11" a="1"/>
  <c r="P31" i="11" a="1"/>
  <c r="P29" i="11" a="1"/>
  <c r="P27" i="11" a="1"/>
  <c r="P25" i="11" a="1"/>
  <c r="I281" i="4" a="1"/>
  <c r="J32" i="9" a="1"/>
  <c r="L24" i="7" a="1"/>
  <c r="J29" i="9" a="1"/>
  <c r="P27" i="4" a="1"/>
  <c r="I289" i="9" a="1"/>
  <c r="J24" i="7" a="1"/>
  <c r="I287" i="4" a="1"/>
  <c r="N27" i="7" a="1"/>
  <c r="I298" i="11" a="1"/>
  <c r="I296" i="11" a="1"/>
  <c r="I294" i="11" a="1"/>
  <c r="I292" i="11" a="1"/>
  <c r="I290" i="11" a="1"/>
  <c r="I288" i="11" a="1"/>
  <c r="I286" i="11" a="1"/>
  <c r="I284" i="11" a="1"/>
  <c r="I282" i="11" a="1"/>
  <c r="I280" i="11" a="1"/>
  <c r="I278" i="11" a="1"/>
  <c r="I276" i="11" a="1"/>
  <c r="I274" i="11" a="1"/>
  <c r="I272" i="11" a="1"/>
  <c r="I270" i="11" a="1"/>
  <c r="I268" i="11" a="1"/>
  <c r="I266" i="11" a="1"/>
  <c r="I264" i="11" a="1"/>
  <c r="I262" i="11" a="1"/>
  <c r="I260" i="11" a="1"/>
  <c r="I258" i="11" a="1"/>
  <c r="O27" i="7" a="1"/>
  <c r="I261" i="9" a="1"/>
  <c r="O28" i="4" a="1"/>
  <c r="L27" i="9" a="1"/>
  <c r="J23" i="7" a="1"/>
  <c r="M27" i="4" a="1"/>
  <c r="I284" i="7" a="1"/>
  <c r="P28" i="7" a="1"/>
  <c r="M24" i="4" a="1"/>
  <c r="O30" i="4" a="1"/>
  <c r="I269" i="7" a="1"/>
  <c r="N27" i="4" a="1"/>
  <c r="N24" i="4" a="1"/>
  <c r="N34" i="7" a="1"/>
  <c r="I262" i="4" a="1"/>
  <c r="I286" i="7" a="1"/>
  <c r="N30" i="7" a="1"/>
  <c r="M33" i="9" a="1"/>
  <c r="I284" i="4" a="1"/>
  <c r="L25" i="7" a="1"/>
  <c r="K34" i="4" a="1"/>
  <c r="N29" i="4" a="1"/>
  <c r="I261" i="4" a="1"/>
  <c r="L31" i="9" a="1"/>
  <c r="I282" i="9" a="1"/>
  <c r="O25" i="9" a="1"/>
  <c r="P25" i="4" a="1"/>
  <c r="P36" i="4" a="1"/>
  <c r="K24" i="4" a="1"/>
  <c r="L28" i="4" a="1"/>
  <c r="J26" i="4" a="1"/>
  <c r="O26" i="4" a="1"/>
  <c r="I278" i="7" a="1"/>
  <c r="N29" i="9" a="1"/>
  <c r="L30" i="9" a="1"/>
  <c r="I258" i="7" a="1"/>
  <c r="J33" i="9" a="1"/>
  <c r="O35" i="11" a="1"/>
  <c r="O33" i="11" a="1"/>
  <c r="O31" i="11" a="1"/>
  <c r="O29" i="11" a="1"/>
  <c r="O27" i="11" a="1"/>
  <c r="O25" i="11" a="1"/>
  <c r="O35" i="9" a="1"/>
  <c r="I276" i="9" a="1"/>
  <c r="J24" i="4" a="1"/>
  <c r="I260" i="4" a="1"/>
  <c r="J29" i="4" a="1"/>
  <c r="N26" i="4" a="1"/>
  <c r="N33" i="4" a="1"/>
  <c r="I270" i="7" a="1"/>
  <c r="I295" i="11" a="1"/>
  <c r="I287" i="11" a="1"/>
  <c r="I279" i="11" a="1"/>
  <c r="M35" i="4" a="1"/>
  <c r="P35" i="7" a="1"/>
  <c r="I293" i="9" a="1"/>
  <c r="I285" i="4" a="1"/>
  <c r="I296" i="9" a="1"/>
  <c r="O30" i="9" a="1"/>
  <c r="N28" i="4" a="1"/>
  <c r="L27" i="4" a="1"/>
  <c r="I260" i="9" a="1"/>
  <c r="I295" i="9" a="1"/>
  <c r="M35" i="11" a="1"/>
  <c r="J33" i="11" a="1"/>
  <c r="O30" i="11" a="1"/>
  <c r="L28" i="11" a="1"/>
  <c r="N25" i="11" a="1"/>
  <c r="N35" i="7" a="1"/>
  <c r="I269" i="4" a="1"/>
  <c r="M31" i="4" a="1"/>
  <c r="I271" i="4" a="1"/>
  <c r="I278" i="4" a="1"/>
  <c r="J23" i="9" a="1"/>
  <c r="N35" i="4" a="1"/>
  <c r="N23" i="7" a="1"/>
  <c r="I266" i="9" a="1"/>
  <c r="J26" i="9" a="1"/>
  <c r="I290" i="7" a="1"/>
  <c r="P30" i="4" a="1"/>
  <c r="M31" i="7" a="1"/>
  <c r="M23" i="7" a="1"/>
  <c r="K29" i="4" a="1"/>
  <c r="J26" i="7" a="1"/>
  <c r="P26" i="9" a="1"/>
  <c r="P29" i="4" a="1"/>
  <c r="N35" i="9" a="1"/>
  <c r="K35" i="7" a="1"/>
  <c r="K36" i="11" a="1"/>
  <c r="N27" i="11" a="1"/>
  <c r="C7" i="9" a="1"/>
  <c r="P24" i="9" a="1"/>
  <c r="O35" i="4" a="1"/>
  <c r="I281" i="7" a="1"/>
  <c r="I274" i="9" a="1"/>
  <c r="L30" i="7" a="1"/>
  <c r="I291" i="7" a="1"/>
  <c r="I266" i="7" a="1"/>
  <c r="L33" i="9" a="1"/>
  <c r="I274" i="7" a="1"/>
  <c r="I290" i="9" a="1"/>
  <c r="P32" i="7" a="1"/>
  <c r="L30" i="11" a="1"/>
  <c r="B7" i="11" a="1"/>
  <c r="J31" i="4" a="1"/>
  <c r="L28" i="7" a="1"/>
  <c r="P29" i="9" a="1"/>
  <c r="J35" i="9" a="1"/>
  <c r="O26" i="9" a="1"/>
  <c r="I297" i="11" a="1"/>
  <c r="I291" i="11" a="1"/>
  <c r="K33" i="11" a="1"/>
  <c r="M30" i="11" a="1"/>
  <c r="C7" i="11" a="1"/>
  <c r="B7" i="9" a="1"/>
  <c r="K34" i="9" a="1"/>
  <c r="P27" i="7" a="1"/>
  <c r="I273" i="4" a="1"/>
  <c r="M28" i="4" a="1"/>
  <c r="L24" i="9" a="1"/>
  <c r="J31" i="7" a="1"/>
  <c r="I270" i="9" a="1"/>
  <c r="I267" i="9" a="1"/>
  <c r="J30" i="9" a="1"/>
  <c r="J36" i="11" a="1"/>
  <c r="M27" i="11" a="1"/>
  <c r="O23" i="9" a="1"/>
  <c r="O28" i="9" a="1"/>
  <c r="J34" i="4" a="1"/>
  <c r="P26" i="4" a="1"/>
  <c r="J33" i="7" a="1"/>
  <c r="P27" i="9" a="1"/>
  <c r="I276" i="4" a="1"/>
  <c r="P24" i="11" a="1"/>
  <c r="H6" i="9" a="1"/>
  <c r="I283" i="7" a="1"/>
  <c r="I269" i="9" a="1"/>
  <c r="O32" i="7" a="1"/>
  <c r="J27" i="7" a="1"/>
  <c r="I285" i="11" a="1"/>
  <c r="N35" i="11" a="1"/>
  <c r="P32" i="11" a="1"/>
  <c r="L27" i="11" a="1"/>
  <c r="K35" i="4" a="1"/>
  <c r="O25" i="4" a="1"/>
  <c r="K32" i="9" a="1"/>
  <c r="I282" i="4" a="1"/>
  <c r="L29" i="4" a="1"/>
  <c r="O31" i="9" a="1"/>
  <c r="I294" i="9" a="1"/>
  <c r="K33" i="4" a="1"/>
  <c r="K30" i="9" a="1"/>
  <c r="O24" i="4" a="1"/>
  <c r="O32" i="11" a="1"/>
  <c r="K27" i="11" a="1"/>
  <c r="P33" i="9" a="1"/>
  <c r="K26" i="9" a="1"/>
  <c r="K24" i="9" a="1"/>
  <c r="P31" i="7" a="1"/>
  <c r="L32" i="7" a="1"/>
  <c r="O34" i="4" a="1"/>
  <c r="I272" i="4" a="1"/>
  <c r="N32" i="7" a="1"/>
  <c r="O28" i="11" a="1"/>
  <c r="K25" i="11" a="1"/>
  <c r="P25" i="7" a="1"/>
  <c r="I287" i="9" a="1"/>
  <c r="L23" i="9" a="1"/>
  <c r="I291" i="9" a="1"/>
  <c r="P28" i="4" a="1"/>
  <c r="K27" i="4" a="1"/>
  <c r="B12" i="9" a="1"/>
  <c r="K29" i="9" a="1"/>
  <c r="N31" i="11" a="1"/>
  <c r="L29" i="9" a="1"/>
  <c r="N28" i="9" a="1"/>
  <c r="J32" i="4" a="1"/>
  <c r="I284" i="9" a="1"/>
  <c r="O33" i="9" a="1"/>
  <c r="I297" i="7" a="1"/>
  <c r="I294" i="4" a="1"/>
  <c r="I259" i="9" a="1"/>
  <c r="I293" i="11" a="1"/>
  <c r="I271" i="11" a="1"/>
  <c r="P34" i="11" a="1"/>
  <c r="N28" i="11" a="1"/>
  <c r="J25" i="11" a="1"/>
  <c r="I285" i="7" a="1"/>
  <c r="M34" i="4" a="1"/>
  <c r="K31" i="4" a="1"/>
  <c r="I275" i="9" a="1"/>
  <c r="I263" i="4" a="1"/>
  <c r="N26" i="7" a="1"/>
  <c r="M25" i="4" a="1"/>
  <c r="M28" i="9" a="1"/>
  <c r="M31" i="11" a="1"/>
  <c r="O24" i="11" a="1"/>
  <c r="M35" i="9" a="1"/>
  <c r="M31" i="9" a="1"/>
  <c r="L32" i="9" a="1"/>
  <c r="N26" i="9" a="1"/>
  <c r="J25" i="4" a="1"/>
  <c r="M26" i="9" a="1"/>
  <c r="O33" i="7" a="1"/>
  <c r="M34" i="9" a="1"/>
  <c r="I289" i="11" a="1"/>
  <c r="O34" i="11" a="1"/>
  <c r="M28" i="11" a="1"/>
  <c r="N24" i="11" a="1"/>
  <c r="I265" i="7" a="1"/>
  <c r="I271" i="9" a="1"/>
  <c r="I295" i="7" a="1"/>
  <c r="L28" i="9" a="1"/>
  <c r="J27" i="9" a="1"/>
  <c r="J28" i="7" a="1"/>
  <c r="M24" i="7" a="1"/>
  <c r="I280" i="7" a="1"/>
  <c r="I281" i="11" a="1"/>
  <c r="L31" i="11" a="1"/>
  <c r="K28" i="11" a="1"/>
  <c r="I260" i="7" a="1"/>
  <c r="K27" i="7" a="1"/>
  <c r="I268" i="9" a="1"/>
  <c r="I283" i="4" a="1"/>
  <c r="I265" i="4" a="1"/>
  <c r="I271" i="7" a="1"/>
  <c r="J35" i="7" a="1"/>
  <c r="G6" i="9" a="1"/>
  <c r="I267" i="11" a="1"/>
  <c r="N34" i="11" a="1"/>
  <c r="M24" i="11" a="1"/>
  <c r="I268" i="4" a="1"/>
  <c r="L33" i="4" a="1"/>
  <c r="I282" i="7" a="1"/>
  <c r="L25" i="9" a="1"/>
  <c r="J31" i="9" a="1"/>
  <c r="L35" i="9" a="1"/>
  <c r="K28" i="7" a="1"/>
  <c r="K31" i="11" a="1"/>
  <c r="J28" i="11" a="1"/>
  <c r="P24" i="7" a="1"/>
  <c r="J27" i="4" a="1"/>
  <c r="I273" i="9" a="1"/>
  <c r="K35" i="9" a="1"/>
  <c r="P32" i="4" a="1"/>
  <c r="P34" i="7" a="1"/>
  <c r="K25" i="4" a="1"/>
  <c r="M34" i="11" a="1"/>
  <c r="L24" i="11" a="1"/>
  <c r="K31" i="9" a="1"/>
  <c r="O27" i="9" a="1"/>
  <c r="J25" i="7" a="1"/>
  <c r="O36" i="11" a="1"/>
  <c r="I257" i="9" a="1"/>
  <c r="N34" i="9" a="1"/>
  <c r="N25" i="4" a="1"/>
  <c r="I294" i="7" a="1"/>
  <c r="M32" i="4" a="1"/>
  <c r="O31" i="4" a="1"/>
  <c r="K32" i="11" a="1"/>
  <c r="P26" i="11" a="1"/>
  <c r="I261" i="7" a="1"/>
  <c r="L25" i="4" a="1"/>
  <c r="N31" i="4" a="1"/>
  <c r="J34" i="9" a="1"/>
  <c r="I262" i="9" a="1"/>
  <c r="O36" i="4" a="1"/>
  <c r="N36" i="11" a="1"/>
  <c r="I297" i="4" a="1"/>
  <c r="K28" i="9" a="1"/>
  <c r="P34" i="9" a="1"/>
  <c r="P24" i="4" a="1"/>
  <c r="L23" i="7" a="1"/>
  <c r="P25" i="9" a="1"/>
  <c r="J32" i="11" a="1"/>
  <c r="O26" i="11" a="1"/>
  <c r="B12" i="11" a="1"/>
  <c r="I297" i="9" a="1"/>
  <c r="P23" i="7" a="1"/>
  <c r="I264" i="4" a="1"/>
  <c r="K26" i="4" a="1"/>
  <c r="L27" i="7" a="1"/>
  <c r="J30" i="4" a="1"/>
  <c r="M36" i="11" a="1"/>
  <c r="J31" i="11" a="1"/>
  <c r="I272" i="7" a="1"/>
  <c r="N36" i="4" a="1"/>
  <c r="M27" i="9" a="1"/>
  <c r="I289" i="4" a="1"/>
  <c r="I261" i="11" a="1"/>
  <c r="N26" i="11" a="1"/>
  <c r="P33" i="4" a="1"/>
  <c r="K34" i="7" a="1"/>
  <c r="I291" i="4" a="1"/>
  <c r="I283" i="9" a="1"/>
  <c r="M32" i="7" a="1"/>
  <c r="O32" i="9" a="1"/>
  <c r="L36" i="11" a="1"/>
  <c r="H6" i="11" a="1"/>
  <c r="I272" i="9" a="1"/>
  <c r="I285" i="9" a="1"/>
  <c r="N24" i="7" a="1"/>
  <c r="I265" i="11" a="1"/>
  <c r="M26" i="11" a="1"/>
  <c r="P31" i="9" a="1"/>
  <c r="K25" i="9" a="1"/>
  <c r="N27" i="9" a="1"/>
  <c r="K25" i="7" a="1"/>
  <c r="N30" i="4" a="1"/>
  <c r="O29" i="7" a="1"/>
  <c r="I259" i="7" a="1"/>
  <c r="K26" i="11" a="1"/>
  <c r="L30" i="4" a="1"/>
  <c r="M33" i="7" a="1"/>
  <c r="P30" i="7" a="1"/>
  <c r="N29" i="7" a="1"/>
  <c r="N34" i="4" a="1"/>
  <c r="I273" i="7" a="1"/>
  <c r="I273" i="11" a="1"/>
  <c r="J30" i="7" a="1"/>
  <c r="I259" i="11" a="1"/>
  <c r="O32" i="4" a="1"/>
  <c r="O26" i="7" a="1"/>
  <c r="L29" i="11" a="1"/>
  <c r="O29" i="4" a="1"/>
  <c r="J34" i="7" a="1"/>
  <c r="J34" i="11" a="1"/>
  <c r="I264" i="7" a="1"/>
  <c r="I286" i="9" a="1"/>
  <c r="L33" i="7" a="1"/>
  <c r="I277" i="4" a="1"/>
  <c r="I283" i="11" a="1"/>
  <c r="K29" i="11" a="1"/>
  <c r="K24" i="11" a="1"/>
  <c r="O23" i="7" a="1"/>
  <c r="N31" i="9" a="1"/>
  <c r="I263" i="11" a="1"/>
  <c r="M33" i="4" a="1"/>
  <c r="J24" i="11" a="1"/>
  <c r="L26" i="4" a="1"/>
  <c r="L34" i="9" a="1"/>
  <c r="M33" i="11" a="1"/>
  <c r="I287" i="7" a="1"/>
  <c r="I277" i="9" a="1"/>
  <c r="I258" i="4" a="1"/>
  <c r="K32" i="4" a="1"/>
  <c r="H6" i="7" a="1"/>
  <c r="M25" i="9" a="1"/>
  <c r="I280" i="4" a="1"/>
  <c r="I281" i="9" a="1"/>
  <c r="I267" i="4" a="1"/>
  <c r="N23" i="9" a="1"/>
  <c r="I275" i="11" a="1"/>
  <c r="K33" i="7" a="1"/>
  <c r="K31" i="7" a="1"/>
  <c r="L34" i="4" a="1"/>
  <c r="G6" i="11" a="1"/>
  <c r="I259" i="4" a="1"/>
  <c r="I265" i="9" a="1"/>
  <c r="I289" i="7" a="1"/>
  <c r="L35" i="11" a="1"/>
  <c r="P30" i="11" a="1"/>
  <c r="K27" i="9" a="1"/>
  <c r="P33" i="7" a="1"/>
  <c r="L26" i="7" a="1"/>
  <c r="O35" i="7" a="1"/>
  <c r="I290" i="4" a="1"/>
  <c r="K28" i="4" a="1"/>
  <c r="K35" i="11" a="1"/>
  <c r="N30" i="11" a="1"/>
  <c r="L26" i="11" a="1"/>
  <c r="N25" i="9" a="1"/>
  <c r="O30" i="7" a="1"/>
  <c r="P34" i="4" a="1"/>
  <c r="K30" i="11" a="1"/>
  <c r="O34" i="7" a="1"/>
  <c r="L32" i="4" a="1"/>
  <c r="M29" i="7" a="1"/>
  <c r="I288" i="7" a="1"/>
  <c r="L24" i="4" a="1"/>
  <c r="J35" i="11" a="1"/>
  <c r="J30" i="11" a="1"/>
  <c r="I288" i="4" a="1"/>
  <c r="I279" i="9" a="1"/>
  <c r="M26" i="4" a="1"/>
  <c r="J28" i="9" a="1"/>
  <c r="K32" i="7" a="1"/>
  <c r="K34" i="11" a="1"/>
  <c r="L25" i="11" a="1"/>
  <c r="O29" i="9" a="1"/>
  <c r="N24" i="9" a="1"/>
  <c r="I257" i="7" a="1"/>
  <c r="I298" i="4" a="1"/>
  <c r="L36" i="4" a="1"/>
  <c r="I296" i="7" a="1"/>
  <c r="J29" i="11" a="1"/>
  <c r="M30" i="7" a="1"/>
  <c r="I292" i="7" a="1"/>
  <c r="P30" i="9" a="1"/>
  <c r="I275" i="7" a="1"/>
  <c r="I280" i="9" a="1"/>
  <c r="P31" i="4" a="1"/>
  <c r="L35" i="7" a="1"/>
  <c r="K30" i="7" a="1"/>
  <c r="I258" i="9" a="1"/>
  <c r="O28" i="7" a="1"/>
  <c r="O24" i="7" a="1"/>
  <c r="P26" i="7" a="1"/>
  <c r="I276" i="7" a="1"/>
  <c r="N31" i="7" a="1"/>
  <c r="B12" i="4" a="1"/>
  <c r="N30" i="9" a="1"/>
  <c r="K33" i="9" a="1"/>
  <c r="M24" i="9" a="1"/>
  <c r="L33" i="11" a="1"/>
  <c r="I293" i="7" a="1"/>
  <c r="K23" i="7" a="1"/>
  <c r="I293" i="4" a="1"/>
  <c r="P28" i="11" a="1"/>
  <c r="M27" i="7" a="1"/>
  <c r="O25" i="7" a="1"/>
  <c r="N25" i="7" a="1"/>
  <c r="M34" i="7" a="1"/>
  <c r="P36" i="11" a="1"/>
  <c r="I279" i="7" a="1"/>
  <c r="H6" i="4" a="1"/>
  <c r="K36" i="4" a="1"/>
  <c r="N32" i="4" a="1"/>
  <c r="I270" i="4" a="1"/>
  <c r="J36" i="4" a="1"/>
  <c r="I266" i="4" a="1"/>
  <c r="P35" i="4" a="1"/>
  <c r="M32" i="11" a="1"/>
  <c r="J27" i="11" a="1"/>
  <c r="C7" i="4" a="1"/>
  <c r="I292" i="4" a="1"/>
  <c r="N33" i="9" a="1"/>
  <c r="I292" i="9" a="1"/>
  <c r="L32" i="11" a="1"/>
  <c r="L31" i="7" a="1"/>
  <c r="L26" i="9" a="1"/>
  <c r="J33" i="4" a="1"/>
  <c r="N33" i="7" a="1"/>
  <c r="C7" i="7" a="1"/>
  <c r="I267" i="7" a="1"/>
  <c r="N32" i="11" a="1"/>
  <c r="L35" i="4" a="1"/>
  <c r="P23" i="9" a="1"/>
  <c r="G6" i="4" a="1"/>
  <c r="M23" i="9" a="1"/>
  <c r="M32" i="9" a="1"/>
  <c r="B7" i="7" a="1"/>
  <c r="N32" i="9" a="1"/>
  <c r="I286" i="4" a="1"/>
  <c r="M30" i="9" a="1"/>
  <c r="K26" i="7" a="1"/>
  <c r="I269" i="11" a="1"/>
  <c r="N29" i="11" a="1"/>
  <c r="J26" i="11" a="1"/>
  <c r="L29" i="7" a="1"/>
  <c r="I268" i="7" a="1"/>
  <c r="P29" i="7" a="1"/>
  <c r="M29" i="4" a="1"/>
  <c r="M26" i="7" a="1"/>
  <c r="M30" i="4" a="1"/>
  <c r="L34" i="11" a="1"/>
  <c r="M25" i="11" a="1"/>
  <c r="O33" i="4" a="1"/>
  <c r="K23" i="9" a="1"/>
  <c r="P32" i="9" a="1"/>
  <c r="O24" i="9" a="1"/>
  <c r="K24" i="7" a="1"/>
  <c r="M29" i="11" a="1"/>
  <c r="K30" i="4" a="1"/>
  <c r="L31" i="4" a="1"/>
  <c r="I262" i="7" a="1"/>
  <c r="L34" i="7" a="1"/>
  <c r="I275" i="4" a="1"/>
  <c r="J24" i="9" a="1"/>
  <c r="N33" i="11" a="1"/>
  <c r="O34" i="9" a="1"/>
  <c r="I277" i="11" a="1"/>
  <c r="J29" i="7" a="1"/>
  <c r="I277" i="7" a="1"/>
  <c r="G6" i="7" a="1"/>
  <c r="M29" i="9" a="1"/>
  <c r="M36" i="4" a="1"/>
  <c r="D13" i="11" l="1"/>
  <c r="I277" i="11"/>
  <c r="N33" i="11"/>
  <c r="M29" i="11"/>
  <c r="M25" i="11"/>
  <c r="L34" i="11"/>
  <c r="J26" i="11"/>
  <c r="N29" i="11"/>
  <c r="I269" i="11"/>
  <c r="N32" i="11"/>
  <c r="L32" i="11"/>
  <c r="J27" i="11"/>
  <c r="M32" i="11"/>
  <c r="P36" i="11"/>
  <c r="P28" i="11"/>
  <c r="L33" i="11"/>
  <c r="J29" i="11"/>
  <c r="L25" i="11"/>
  <c r="K34" i="11"/>
  <c r="J30" i="11"/>
  <c r="J35" i="11"/>
  <c r="K30" i="11"/>
  <c r="L26" i="11"/>
  <c r="N30" i="11"/>
  <c r="K35" i="11"/>
  <c r="P30" i="11"/>
  <c r="L35" i="11"/>
  <c r="G6" i="11"/>
  <c r="I275" i="11"/>
  <c r="M33" i="11"/>
  <c r="J24" i="11"/>
  <c r="I263" i="11"/>
  <c r="K24" i="11"/>
  <c r="K29" i="11"/>
  <c r="I283" i="11"/>
  <c r="J34" i="11"/>
  <c r="L29" i="11"/>
  <c r="I259" i="11"/>
  <c r="I273" i="11"/>
  <c r="K26" i="11"/>
  <c r="M26" i="11"/>
  <c r="I265" i="11"/>
  <c r="H6" i="11"/>
  <c r="L36" i="11"/>
  <c r="N26" i="11"/>
  <c r="I261" i="11"/>
  <c r="J31" i="11"/>
  <c r="M36" i="11"/>
  <c r="B12" i="11"/>
  <c r="O26" i="11"/>
  <c r="J32" i="11"/>
  <c r="N36" i="11"/>
  <c r="P26" i="11"/>
  <c r="K32" i="11"/>
  <c r="O36" i="11"/>
  <c r="L24" i="11"/>
  <c r="M34" i="11"/>
  <c r="J28" i="11"/>
  <c r="K31" i="11"/>
  <c r="M24" i="11"/>
  <c r="N34" i="11"/>
  <c r="I267" i="11"/>
  <c r="K28" i="11"/>
  <c r="L31" i="11"/>
  <c r="I281" i="11"/>
  <c r="N24" i="11"/>
  <c r="M28" i="11"/>
  <c r="O34" i="11"/>
  <c r="I289" i="11"/>
  <c r="O24" i="11"/>
  <c r="M31" i="11"/>
  <c r="J25" i="11"/>
  <c r="N28" i="11"/>
  <c r="P34" i="11"/>
  <c r="I271" i="11"/>
  <c r="I293" i="11"/>
  <c r="N31" i="11"/>
  <c r="K25" i="11"/>
  <c r="O28" i="11"/>
  <c r="K27" i="11"/>
  <c r="O32" i="11"/>
  <c r="L27" i="11"/>
  <c r="P32" i="11"/>
  <c r="N35" i="11"/>
  <c r="I285" i="11"/>
  <c r="P24" i="11"/>
  <c r="M27" i="11"/>
  <c r="J36" i="11"/>
  <c r="C7" i="11"/>
  <c r="M30" i="11"/>
  <c r="K33" i="11"/>
  <c r="I291" i="11"/>
  <c r="I297" i="11"/>
  <c r="B7" i="11"/>
  <c r="L30" i="11"/>
  <c r="N27" i="11"/>
  <c r="K36" i="11"/>
  <c r="N25" i="11"/>
  <c r="L28" i="11"/>
  <c r="O30" i="11"/>
  <c r="J33" i="11"/>
  <c r="M35" i="11"/>
  <c r="I279" i="11"/>
  <c r="I287" i="11"/>
  <c r="I295" i="11"/>
  <c r="O25" i="11"/>
  <c r="O27" i="11"/>
  <c r="O29" i="11"/>
  <c r="O31" i="11"/>
  <c r="O33" i="11"/>
  <c r="O35" i="11"/>
  <c r="I258" i="11"/>
  <c r="I260" i="11"/>
  <c r="I262" i="11"/>
  <c r="I264" i="11"/>
  <c r="I266" i="11"/>
  <c r="I268" i="11"/>
  <c r="I270" i="11"/>
  <c r="I272" i="11"/>
  <c r="I274" i="11"/>
  <c r="I276" i="11"/>
  <c r="I278" i="11"/>
  <c r="I280" i="11"/>
  <c r="I282" i="11"/>
  <c r="I284" i="11"/>
  <c r="I286" i="11"/>
  <c r="I288" i="11"/>
  <c r="I290" i="11"/>
  <c r="I292" i="11"/>
  <c r="I294" i="11"/>
  <c r="I296" i="11"/>
  <c r="I298" i="11"/>
  <c r="P25" i="11"/>
  <c r="P27" i="11"/>
  <c r="P29" i="11"/>
  <c r="P31" i="11"/>
  <c r="P33" i="11"/>
  <c r="P35" i="11"/>
  <c r="P23" i="11"/>
  <c r="M23" i="11"/>
  <c r="O23" i="11"/>
  <c r="N23" i="11"/>
  <c r="L23" i="11"/>
  <c r="K23" i="11"/>
  <c r="B7" i="7"/>
  <c r="C7" i="7"/>
  <c r="H6" i="7"/>
  <c r="G6" i="7"/>
  <c r="C7" i="4"/>
  <c r="H6" i="4"/>
  <c r="G6" i="4"/>
  <c r="C7" i="9"/>
  <c r="B7" i="9"/>
  <c r="C19" i="9"/>
  <c r="H6" i="9"/>
  <c r="G6" i="9"/>
  <c r="I260" i="9"/>
  <c r="I268" i="9"/>
  <c r="I274" i="9"/>
  <c r="I278" i="9"/>
  <c r="I284" i="9"/>
  <c r="I294" i="9"/>
  <c r="I262" i="9"/>
  <c r="I272" i="9"/>
  <c r="I282" i="9"/>
  <c r="I296" i="9"/>
  <c r="I264" i="9"/>
  <c r="I270" i="9"/>
  <c r="I276" i="9"/>
  <c r="I280" i="9"/>
  <c r="I286" i="9"/>
  <c r="I292" i="9"/>
  <c r="I266" i="9"/>
  <c r="I288" i="9"/>
  <c r="I257" i="9"/>
  <c r="I259" i="9"/>
  <c r="I261" i="9"/>
  <c r="I263" i="9"/>
  <c r="I265" i="9"/>
  <c r="I267" i="9"/>
  <c r="I269" i="9"/>
  <c r="I271" i="9"/>
  <c r="I273" i="9"/>
  <c r="I275" i="9"/>
  <c r="I277" i="9"/>
  <c r="I279" i="9"/>
  <c r="I281" i="9"/>
  <c r="I283" i="9"/>
  <c r="I285" i="9"/>
  <c r="I287" i="9"/>
  <c r="I289" i="9"/>
  <c r="I291" i="9"/>
  <c r="I293" i="9"/>
  <c r="I295" i="9"/>
  <c r="I297" i="9"/>
  <c r="I258" i="9"/>
  <c r="I290" i="9"/>
  <c r="B12" i="9"/>
  <c r="N22" i="9"/>
  <c r="O22" i="9"/>
  <c r="P22" i="9"/>
  <c r="J34" i="9"/>
  <c r="K26" i="9"/>
  <c r="L30" i="9"/>
  <c r="K24" i="9"/>
  <c r="J32" i="9"/>
  <c r="K34" i="9"/>
  <c r="M34" i="9"/>
  <c r="J24" i="9"/>
  <c r="J26" i="9"/>
  <c r="K28" i="9"/>
  <c r="L28" i="9"/>
  <c r="M28" i="9"/>
  <c r="N30" i="9"/>
  <c r="O30" i="9"/>
  <c r="J30" i="9"/>
  <c r="K32" i="9"/>
  <c r="L26" i="9"/>
  <c r="L32" i="9"/>
  <c r="M26" i="9"/>
  <c r="M30" i="9"/>
  <c r="N32" i="9"/>
  <c r="P24" i="9"/>
  <c r="P28" i="9"/>
  <c r="P32" i="9"/>
  <c r="J23" i="9"/>
  <c r="J27" i="9"/>
  <c r="J31" i="9"/>
  <c r="J33" i="9"/>
  <c r="K25" i="9"/>
  <c r="K29" i="9"/>
  <c r="K35" i="9"/>
  <c r="L25" i="9"/>
  <c r="L29" i="9"/>
  <c r="L35" i="9"/>
  <c r="M25" i="9"/>
  <c r="M29" i="9"/>
  <c r="M35" i="9"/>
  <c r="N23" i="9"/>
  <c r="N27" i="9"/>
  <c r="N31" i="9"/>
  <c r="N33" i="9"/>
  <c r="O25" i="9"/>
  <c r="O29" i="9"/>
  <c r="O33" i="9"/>
  <c r="P25" i="9"/>
  <c r="P29" i="9"/>
  <c r="P35" i="9"/>
  <c r="P31" i="9"/>
  <c r="J28" i="9"/>
  <c r="K30" i="9"/>
  <c r="L24" i="9"/>
  <c r="L34" i="9"/>
  <c r="M24" i="9"/>
  <c r="M32" i="9"/>
  <c r="N24" i="9"/>
  <c r="N26" i="9"/>
  <c r="N28" i="9"/>
  <c r="N34" i="9"/>
  <c r="O24" i="9"/>
  <c r="O26" i="9"/>
  <c r="O28" i="9"/>
  <c r="O32" i="9"/>
  <c r="O34" i="9"/>
  <c r="P26" i="9"/>
  <c r="P30" i="9"/>
  <c r="P34" i="9"/>
  <c r="J25" i="9"/>
  <c r="J29" i="9"/>
  <c r="J35" i="9"/>
  <c r="K23" i="9"/>
  <c r="K27" i="9"/>
  <c r="K31" i="9"/>
  <c r="K33" i="9"/>
  <c r="L23" i="9"/>
  <c r="L27" i="9"/>
  <c r="L31" i="9"/>
  <c r="L33" i="9"/>
  <c r="M23" i="9"/>
  <c r="M27" i="9"/>
  <c r="M31" i="9"/>
  <c r="M33" i="9"/>
  <c r="N25" i="9"/>
  <c r="N29" i="9"/>
  <c r="N35" i="9"/>
  <c r="O23" i="9"/>
  <c r="O27" i="9"/>
  <c r="O31" i="9"/>
  <c r="O35" i="9"/>
  <c r="P23" i="9"/>
  <c r="P27" i="9"/>
  <c r="P33" i="9"/>
  <c r="I264" i="7"/>
  <c r="I268" i="7"/>
  <c r="I270" i="7"/>
  <c r="I266" i="7"/>
  <c r="I274" i="7"/>
  <c r="I260" i="7"/>
  <c r="I278" i="7"/>
  <c r="I282" i="7"/>
  <c r="I286" i="7"/>
  <c r="I290" i="7"/>
  <c r="I294" i="7"/>
  <c r="I272" i="7"/>
  <c r="I276" i="7"/>
  <c r="I292" i="7"/>
  <c r="I258" i="7"/>
  <c r="I280" i="7"/>
  <c r="I284" i="7"/>
  <c r="I288" i="7"/>
  <c r="I296" i="7"/>
  <c r="I262" i="7"/>
  <c r="I257" i="7"/>
  <c r="I259" i="7"/>
  <c r="I261" i="7"/>
  <c r="I263" i="7"/>
  <c r="I265" i="7"/>
  <c r="I267" i="7"/>
  <c r="I269" i="7"/>
  <c r="I271" i="7"/>
  <c r="I273" i="7"/>
  <c r="I275" i="7"/>
  <c r="I277" i="7"/>
  <c r="I279" i="7"/>
  <c r="I281" i="7"/>
  <c r="I283" i="7"/>
  <c r="I285" i="7"/>
  <c r="I287" i="7"/>
  <c r="I289" i="7"/>
  <c r="I291" i="7"/>
  <c r="I293" i="7"/>
  <c r="I295" i="7"/>
  <c r="I297" i="7"/>
  <c r="C19" i="7"/>
  <c r="J22" i="7"/>
  <c r="J26" i="7"/>
  <c r="K24" i="7"/>
  <c r="L34" i="7"/>
  <c r="M26" i="7"/>
  <c r="N34" i="7"/>
  <c r="J30" i="7"/>
  <c r="K32" i="7"/>
  <c r="L30" i="7"/>
  <c r="M24" i="7"/>
  <c r="N26" i="7"/>
  <c r="O26" i="7"/>
  <c r="P26" i="7"/>
  <c r="J27" i="7"/>
  <c r="K29" i="7"/>
  <c r="L25" i="7"/>
  <c r="L35" i="7"/>
  <c r="M33" i="7"/>
  <c r="N35" i="7"/>
  <c r="O35" i="7"/>
  <c r="J24" i="7"/>
  <c r="K26" i="7"/>
  <c r="L32" i="7"/>
  <c r="M30" i="7"/>
  <c r="N28" i="7"/>
  <c r="O28" i="7"/>
  <c r="P24" i="7"/>
  <c r="P28" i="7"/>
  <c r="J29" i="7"/>
  <c r="K25" i="7"/>
  <c r="K31" i="7"/>
  <c r="L31" i="7"/>
  <c r="M25" i="7"/>
  <c r="M31" i="7"/>
  <c r="N23" i="7"/>
  <c r="N33" i="7"/>
  <c r="O25" i="7"/>
  <c r="O31" i="7"/>
  <c r="P23" i="7"/>
  <c r="P25" i="7"/>
  <c r="P27" i="7"/>
  <c r="P29" i="7"/>
  <c r="P31" i="7"/>
  <c r="P33" i="7"/>
  <c r="P35" i="7"/>
  <c r="J34" i="7"/>
  <c r="K28" i="7"/>
  <c r="L24" i="7"/>
  <c r="M28" i="7"/>
  <c r="N30" i="7"/>
  <c r="O30" i="7"/>
  <c r="P32" i="7"/>
  <c r="J23" i="7"/>
  <c r="J33" i="7"/>
  <c r="K27" i="7"/>
  <c r="L23" i="7"/>
  <c r="L27" i="7"/>
  <c r="M27" i="7"/>
  <c r="N27" i="7"/>
  <c r="O33" i="7"/>
  <c r="J32" i="7"/>
  <c r="K34" i="7"/>
  <c r="L26" i="7"/>
  <c r="M34" i="7"/>
  <c r="N24" i="7"/>
  <c r="O34" i="7"/>
  <c r="P34" i="7"/>
  <c r="J25" i="7"/>
  <c r="J35" i="7"/>
  <c r="K23" i="7"/>
  <c r="K35" i="7"/>
  <c r="L33" i="7"/>
  <c r="M35" i="7"/>
  <c r="N25" i="7"/>
  <c r="N31" i="7"/>
  <c r="O23" i="7"/>
  <c r="O27" i="7"/>
  <c r="J28" i="7"/>
  <c r="K30" i="7"/>
  <c r="L28" i="7"/>
  <c r="M32" i="7"/>
  <c r="N32" i="7"/>
  <c r="O24" i="7"/>
  <c r="O32" i="7"/>
  <c r="P30" i="7"/>
  <c r="J31" i="7"/>
  <c r="K33" i="7"/>
  <c r="L29" i="7"/>
  <c r="M23" i="7"/>
  <c r="M29" i="7"/>
  <c r="N29" i="7"/>
  <c r="O29" i="7"/>
  <c r="B12" i="7"/>
  <c r="I283" i="4"/>
  <c r="I286" i="4"/>
  <c r="I271" i="4"/>
  <c r="I258" i="4"/>
  <c r="I272" i="4"/>
  <c r="I273" i="4"/>
  <c r="I274" i="4"/>
  <c r="I275" i="4"/>
  <c r="I276" i="4"/>
  <c r="I277" i="4"/>
  <c r="I278" i="4"/>
  <c r="I279" i="4"/>
  <c r="I280" i="4"/>
  <c r="I281" i="4"/>
  <c r="I282" i="4"/>
  <c r="I288" i="4"/>
  <c r="I289" i="4"/>
  <c r="I290" i="4"/>
  <c r="I259" i="4"/>
  <c r="I291" i="4"/>
  <c r="I260" i="4"/>
  <c r="I292" i="4"/>
  <c r="I261" i="4"/>
  <c r="I293" i="4"/>
  <c r="I287" i="4"/>
  <c r="I267" i="4"/>
  <c r="I269" i="4"/>
  <c r="I284" i="4"/>
  <c r="I285" i="4"/>
  <c r="I262" i="4"/>
  <c r="I294" i="4"/>
  <c r="I263" i="4"/>
  <c r="I295" i="4"/>
  <c r="I264" i="4"/>
  <c r="I296" i="4"/>
  <c r="I265" i="4"/>
  <c r="I297" i="4"/>
  <c r="I266" i="4"/>
  <c r="I298" i="4"/>
  <c r="I268" i="4"/>
  <c r="I270" i="4"/>
  <c r="J23" i="4"/>
  <c r="L23" i="4"/>
  <c r="O23" i="4"/>
  <c r="C19" i="4"/>
  <c r="K23" i="4"/>
  <c r="M23" i="4"/>
  <c r="N23" i="4"/>
  <c r="P23" i="4"/>
  <c r="N29" i="4"/>
  <c r="L29" i="4"/>
  <c r="P29" i="4"/>
  <c r="L34" i="4"/>
  <c r="O30" i="4"/>
  <c r="L36" i="4"/>
  <c r="N25" i="4"/>
  <c r="M33" i="4"/>
  <c r="O29" i="4"/>
  <c r="P33" i="4"/>
  <c r="K26" i="4"/>
  <c r="J34" i="4"/>
  <c r="N26" i="4"/>
  <c r="M30" i="4"/>
  <c r="N30" i="4"/>
  <c r="J27" i="4"/>
  <c r="P34" i="4"/>
  <c r="J35" i="4"/>
  <c r="L27" i="4"/>
  <c r="M27" i="4"/>
  <c r="M35" i="4"/>
  <c r="O27" i="4"/>
  <c r="O31" i="4"/>
  <c r="P31" i="4"/>
  <c r="J32" i="4"/>
  <c r="K28" i="4"/>
  <c r="N24" i="4"/>
  <c r="O24" i="4"/>
  <c r="O36" i="4"/>
  <c r="J25" i="4"/>
  <c r="P28" i="4"/>
  <c r="P32" i="4"/>
  <c r="P36" i="4"/>
  <c r="L26" i="4"/>
  <c r="K30" i="4"/>
  <c r="M34" i="4"/>
  <c r="P26" i="4"/>
  <c r="O34" i="4"/>
  <c r="P30" i="4"/>
  <c r="K27" i="4"/>
  <c r="K31" i="4"/>
  <c r="L31" i="4"/>
  <c r="M31" i="4"/>
  <c r="N31" i="4"/>
  <c r="P27" i="4"/>
  <c r="J28" i="4"/>
  <c r="K36" i="4"/>
  <c r="L32" i="4"/>
  <c r="M28" i="4"/>
  <c r="M32" i="4"/>
  <c r="P24" i="4"/>
  <c r="N28" i="4"/>
  <c r="N36" i="4"/>
  <c r="O28" i="4"/>
  <c r="O32" i="4"/>
  <c r="K25" i="4"/>
  <c r="O25" i="4"/>
  <c r="N33" i="4"/>
  <c r="K34" i="4"/>
  <c r="L33" i="4"/>
  <c r="M29" i="4"/>
  <c r="P25" i="4"/>
  <c r="O33" i="4"/>
  <c r="J26" i="4"/>
  <c r="J30" i="4"/>
  <c r="M26" i="4"/>
  <c r="L30" i="4"/>
  <c r="O26" i="4"/>
  <c r="N34" i="4"/>
  <c r="J31" i="4"/>
  <c r="K35" i="4"/>
  <c r="L35" i="4"/>
  <c r="N27" i="4"/>
  <c r="N35" i="4"/>
  <c r="O35" i="4"/>
  <c r="P35" i="4"/>
  <c r="K24" i="4"/>
  <c r="L24" i="4"/>
  <c r="J36" i="4"/>
  <c r="M24" i="4"/>
  <c r="K32" i="4"/>
  <c r="L28" i="4"/>
  <c r="M36" i="4"/>
  <c r="N32" i="4"/>
  <c r="L25" i="4"/>
  <c r="J29" i="4"/>
  <c r="J33" i="4"/>
  <c r="M25" i="4"/>
  <c r="K29" i="4"/>
  <c r="K33" i="4"/>
  <c r="J24" i="4"/>
  <c r="B12" i="4"/>
  <c r="C12" i="4"/>
  <c r="B248" i="11" l="1" a="1"/>
  <c r="B248" i="11" s="1"/>
  <c r="C249" i="11" a="1"/>
  <c r="C249" i="11" s="1"/>
  <c r="C251" i="11" a="1"/>
  <c r="C251" i="11" s="1"/>
  <c r="C248" i="11" a="1"/>
  <c r="C248" i="11" s="1"/>
  <c r="C250" i="11" a="1"/>
  <c r="C250" i="11" s="1"/>
  <c r="D249" i="11" a="1"/>
  <c r="D249" i="11" s="1"/>
  <c r="D251" i="11" a="1"/>
  <c r="D251" i="11" s="1"/>
  <c r="D250" i="11" a="1"/>
  <c r="D250" i="11" s="1"/>
  <c r="D248" i="11" a="1"/>
  <c r="D248" i="11" s="1"/>
  <c r="C12" i="11"/>
  <c r="B18" i="11"/>
  <c r="F249" i="11" a="1"/>
  <c r="F249" i="11" s="1"/>
  <c r="F248" i="11" a="1"/>
  <c r="F248" i="11" s="1"/>
  <c r="F251" i="11" a="1"/>
  <c r="F251" i="11" s="1"/>
  <c r="F250" i="11" a="1"/>
  <c r="F250" i="11" s="1"/>
  <c r="B251" i="11" a="1"/>
  <c r="B251" i="11" s="1"/>
  <c r="B249" i="11" a="1"/>
  <c r="B249" i="11" s="1"/>
  <c r="G250" i="11" a="1"/>
  <c r="G250" i="11" s="1"/>
  <c r="G248" i="11" a="1"/>
  <c r="G248" i="11" s="1"/>
  <c r="G249" i="11" a="1"/>
  <c r="G249" i="11" s="1"/>
  <c r="G251" i="11" a="1"/>
  <c r="G251" i="11" s="1"/>
  <c r="E251" i="11" a="1"/>
  <c r="E251" i="11" s="1"/>
  <c r="E249" i="11" a="1"/>
  <c r="E249" i="11" s="1"/>
  <c r="E248" i="11" a="1"/>
  <c r="E248" i="11" s="1"/>
  <c r="E250" i="11" a="1"/>
  <c r="E250" i="11" s="1"/>
  <c r="H248" i="11" a="1"/>
  <c r="H248" i="11" s="1"/>
  <c r="H250" i="11" a="1"/>
  <c r="H250" i="11" s="1"/>
  <c r="H251" i="11" a="1"/>
  <c r="H251" i="11" s="1"/>
  <c r="H249" i="11" a="1"/>
  <c r="H249" i="11" s="1"/>
  <c r="B250" i="11" a="1"/>
  <c r="B250" i="11" s="1"/>
  <c r="B18" i="4"/>
  <c r="D17" i="4" s="1"/>
  <c r="E17" i="4" s="1"/>
  <c r="E250" i="9" a="1"/>
  <c r="E250" i="9" s="1"/>
  <c r="E248" i="9" a="1"/>
  <c r="E248" i="9" s="1"/>
  <c r="E247" i="9" a="1"/>
  <c r="E247" i="9" s="1"/>
  <c r="E249" i="9" a="1"/>
  <c r="E249" i="9" s="1"/>
  <c r="F250" i="9" a="1"/>
  <c r="F250" i="9" s="1"/>
  <c r="F248" i="9" a="1"/>
  <c r="F248" i="9" s="1"/>
  <c r="F249" i="9" a="1"/>
  <c r="F249" i="9" s="1"/>
  <c r="F247" i="9" a="1"/>
  <c r="F247" i="9" s="1"/>
  <c r="C247" i="9" a="1"/>
  <c r="C247" i="9" s="1"/>
  <c r="C250" i="9" a="1"/>
  <c r="C250" i="9" s="1"/>
  <c r="C248" i="9" a="1"/>
  <c r="C248" i="9" s="1"/>
  <c r="C249" i="9" a="1"/>
  <c r="C249" i="9" s="1"/>
  <c r="H250" i="9" a="1"/>
  <c r="H250" i="9" s="1"/>
  <c r="H248" i="9" a="1"/>
  <c r="H248" i="9" s="1"/>
  <c r="H247" i="9" a="1"/>
  <c r="H247" i="9" s="1"/>
  <c r="H249" i="9" a="1"/>
  <c r="H249" i="9" s="1"/>
  <c r="B250" i="9" a="1"/>
  <c r="B250" i="9" s="1"/>
  <c r="B249" i="9" a="1"/>
  <c r="B249" i="9" s="1"/>
  <c r="B248" i="9" a="1"/>
  <c r="B248" i="9" s="1"/>
  <c r="B247" i="9" a="1"/>
  <c r="B247" i="9" s="1"/>
  <c r="D250" i="9" a="1"/>
  <c r="D250" i="9" s="1"/>
  <c r="D248" i="9" a="1"/>
  <c r="D248" i="9" s="1"/>
  <c r="D247" i="9" a="1"/>
  <c r="D247" i="9" s="1"/>
  <c r="D249" i="9" a="1"/>
  <c r="D249" i="9" s="1"/>
  <c r="G250" i="9" a="1"/>
  <c r="G250" i="9" s="1"/>
  <c r="G247" i="9" a="1"/>
  <c r="G247" i="9" s="1"/>
  <c r="G249" i="9" a="1"/>
  <c r="G249" i="9" s="1"/>
  <c r="G248" i="9" a="1"/>
  <c r="G248" i="9" s="1"/>
  <c r="B18" i="9"/>
  <c r="C12" i="9"/>
  <c r="H247" i="7" a="1"/>
  <c r="H247" i="7" s="1"/>
  <c r="H249" i="7" a="1"/>
  <c r="H249" i="7" s="1"/>
  <c r="H248" i="7" a="1"/>
  <c r="H248" i="7" s="1"/>
  <c r="H250" i="7" a="1"/>
  <c r="H250" i="7" s="1"/>
  <c r="E247" i="7" a="1"/>
  <c r="E247" i="7" s="1"/>
  <c r="E249" i="7" a="1"/>
  <c r="E249" i="7" s="1"/>
  <c r="E250" i="7" a="1"/>
  <c r="E250" i="7" s="1"/>
  <c r="E248" i="7" a="1"/>
  <c r="E248" i="7" s="1"/>
  <c r="F249" i="7" a="1"/>
  <c r="F249" i="7" s="1"/>
  <c r="F247" i="7" a="1"/>
  <c r="F247" i="7" s="1"/>
  <c r="F250" i="7" a="1"/>
  <c r="F250" i="7" s="1"/>
  <c r="F248" i="7" a="1"/>
  <c r="F248" i="7" s="1"/>
  <c r="D248" i="7" a="1"/>
  <c r="D248" i="7" s="1"/>
  <c r="D249" i="7" a="1"/>
  <c r="D249" i="7" s="1"/>
  <c r="D250" i="7" a="1"/>
  <c r="D250" i="7" s="1"/>
  <c r="D247" i="7" a="1"/>
  <c r="D247" i="7" s="1"/>
  <c r="G249" i="7" a="1"/>
  <c r="G249" i="7" s="1"/>
  <c r="G247" i="7" a="1"/>
  <c r="G247" i="7" s="1"/>
  <c r="G248" i="7" a="1"/>
  <c r="G248" i="7" s="1"/>
  <c r="G250" i="7" a="1"/>
  <c r="G250" i="7" s="1"/>
  <c r="C249" i="7" a="1"/>
  <c r="C249" i="7" s="1"/>
  <c r="C247" i="7" a="1"/>
  <c r="C247" i="7" s="1"/>
  <c r="C248" i="7" a="1"/>
  <c r="C248" i="7" s="1"/>
  <c r="C250" i="7" a="1"/>
  <c r="C250" i="7" s="1"/>
  <c r="B249" i="7" a="1"/>
  <c r="B249" i="7" s="1"/>
  <c r="B247" i="7" a="1"/>
  <c r="B247" i="7" s="1"/>
  <c r="B248" i="7" a="1"/>
  <c r="B248" i="7" s="1"/>
  <c r="B250" i="7" a="1"/>
  <c r="B250" i="7" s="1"/>
  <c r="C12" i="7"/>
  <c r="B18" i="7"/>
  <c r="H249" i="4" a="1"/>
  <c r="H249" i="4" s="1"/>
  <c r="H250" i="4" a="1"/>
  <c r="H250" i="4" s="1"/>
  <c r="H251" i="4" a="1"/>
  <c r="H251" i="4" s="1"/>
  <c r="H248" i="4" a="1"/>
  <c r="H248" i="4" s="1"/>
  <c r="G249" i="4" a="1"/>
  <c r="G249" i="4" s="1"/>
  <c r="G250" i="4" a="1"/>
  <c r="G250" i="4" s="1"/>
  <c r="G251" i="4" a="1"/>
  <c r="G251" i="4" s="1"/>
  <c r="G248" i="4" a="1"/>
  <c r="G248" i="4" s="1"/>
  <c r="F248" i="4" a="1"/>
  <c r="F248" i="4" s="1"/>
  <c r="F250" i="4" a="1"/>
  <c r="F250" i="4" s="1"/>
  <c r="F251" i="4" a="1"/>
  <c r="F251" i="4" s="1"/>
  <c r="F249" i="4" a="1"/>
  <c r="F249" i="4" s="1"/>
  <c r="E251" i="4" a="1"/>
  <c r="E251" i="4" s="1"/>
  <c r="E250" i="4" a="1"/>
  <c r="E250" i="4" s="1"/>
  <c r="E249" i="4" a="1"/>
  <c r="E249" i="4" s="1"/>
  <c r="E248" i="4" a="1"/>
  <c r="E248" i="4" s="1"/>
  <c r="D251" i="4" a="1"/>
  <c r="D251" i="4" s="1"/>
  <c r="D250" i="4" a="1"/>
  <c r="D250" i="4" s="1"/>
  <c r="D249" i="4" a="1"/>
  <c r="D249" i="4" s="1"/>
  <c r="D248" i="4" a="1"/>
  <c r="D248" i="4" s="1"/>
  <c r="C251" i="4" a="1"/>
  <c r="C251" i="4" s="1"/>
  <c r="C249" i="4" a="1"/>
  <c r="C249" i="4" s="1"/>
  <c r="C248" i="4" a="1"/>
  <c r="C248" i="4" s="1"/>
  <c r="C250" i="4" a="1"/>
  <c r="C250" i="4" s="1"/>
  <c r="B248" i="4" a="1"/>
  <c r="B248" i="4" s="1"/>
  <c r="B251" i="4" a="1"/>
  <c r="B251" i="4" s="1"/>
  <c r="B249" i="4" a="1"/>
  <c r="B249" i="4" s="1"/>
  <c r="B250" i="4" a="1"/>
  <c r="B250" i="4" s="1"/>
  <c r="F282" i="9" a="1"/>
  <c r="D279" i="7" a="1"/>
  <c r="C275" i="4" a="1"/>
  <c r="G263" i="7" a="1"/>
  <c r="F286" i="4" a="1"/>
  <c r="C259" i="9" a="1"/>
  <c r="G273" i="4" a="1"/>
  <c r="D269" i="4" a="1"/>
  <c r="H257" i="9" a="1"/>
  <c r="F285" i="7" a="1"/>
  <c r="E259" i="4" a="1"/>
  <c r="B291" i="7" a="1"/>
  <c r="G269" i="4" a="1"/>
  <c r="C270" i="4" a="1"/>
  <c r="D289" i="9" a="1"/>
  <c r="H288" i="9" a="1"/>
  <c r="E260" i="4" a="1"/>
  <c r="C275" i="7" a="1"/>
  <c r="G267" i="7" a="1"/>
  <c r="H292" i="4" a="1"/>
  <c r="B288" i="7" a="1"/>
  <c r="B279" i="9" a="1"/>
  <c r="E280" i="9" a="1"/>
  <c r="F259" i="4" a="1"/>
  <c r="G266" i="7" a="1"/>
  <c r="B290" i="4" a="1"/>
  <c r="F270" i="9" a="1"/>
  <c r="F276" i="7" a="1"/>
  <c r="B293" i="7" a="1"/>
  <c r="C267" i="9" a="1"/>
  <c r="C260" i="7" a="1"/>
  <c r="D290" i="9" a="1"/>
  <c r="H275" i="4" a="1"/>
  <c r="F276" i="4" a="1"/>
  <c r="F275" i="9" a="1"/>
  <c r="G275" i="4" a="1"/>
  <c r="D276" i="4" a="1"/>
  <c r="H292" i="9" a="1"/>
  <c r="H269" i="9" a="1"/>
  <c r="D277" i="9" a="1"/>
  <c r="F291" i="4" a="1"/>
  <c r="E274" i="7" a="1"/>
  <c r="E289" i="7" a="1"/>
  <c r="G257" i="9" a="1"/>
  <c r="E286" i="9" a="1"/>
  <c r="C269" i="4" a="1"/>
  <c r="B257" i="9" a="1"/>
  <c r="F274" i="9" a="1"/>
  <c r="D294" i="7" a="1"/>
  <c r="B277" i="4" a="1"/>
  <c r="E266" i="9" a="1"/>
  <c r="F297" i="7" a="1"/>
  <c r="B298" i="4" a="1"/>
  <c r="G267" i="9" a="1"/>
  <c r="B264" i="7" a="1"/>
  <c r="G269" i="9" a="1"/>
  <c r="H296" i="9" a="1"/>
  <c r="F257" i="7" a="1"/>
  <c r="D291" i="7" a="1"/>
  <c r="G294" i="7" a="1"/>
  <c r="F290" i="9" a="1"/>
  <c r="B280" i="9" a="1"/>
  <c r="B297" i="4" a="1"/>
  <c r="B297" i="7" a="1"/>
  <c r="G283" i="9" a="1"/>
  <c r="D260" i="4" a="1"/>
  <c r="C262" i="9" a="1"/>
  <c r="G259" i="7" a="1"/>
  <c r="G292" i="7" a="1"/>
  <c r="B260" i="4" a="1"/>
  <c r="G290" i="9" a="1"/>
  <c r="H284" i="4" a="1"/>
  <c r="D274" i="4" a="1"/>
  <c r="H285" i="7" a="1"/>
  <c r="D273" i="7" a="1"/>
  <c r="D282" i="9" a="1"/>
  <c r="G259" i="4" a="1"/>
  <c r="H280" i="7" a="1"/>
  <c r="E279" i="7" a="1"/>
  <c r="H278" i="7" a="1"/>
  <c r="B292" i="9" a="1"/>
  <c r="E289" i="4" a="1"/>
  <c r="F284" i="4" a="1"/>
  <c r="E283" i="9" a="1"/>
  <c r="F271" i="4" a="1"/>
  <c r="C284" i="11" a="1"/>
  <c r="C259" i="11" a="1"/>
  <c r="C273" i="11" a="1"/>
  <c r="C294" i="11" a="1"/>
  <c r="C267" i="11" a="1"/>
  <c r="C279" i="11" a="1"/>
  <c r="C264" i="11" a="1"/>
  <c r="C260" i="11" a="1"/>
  <c r="C291" i="11" a="1"/>
  <c r="C270" i="11" a="1"/>
  <c r="C261" i="11" a="1"/>
  <c r="C285" i="11" a="1"/>
  <c r="C263" i="11" a="1"/>
  <c r="C293" i="11" a="1"/>
  <c r="C288" i="11" a="1"/>
  <c r="C296" i="11" a="1"/>
  <c r="C281" i="11" a="1"/>
  <c r="C287" i="11" a="1"/>
  <c r="C276" i="11" a="1"/>
  <c r="C297" i="11" a="1"/>
  <c r="C271" i="11" a="1"/>
  <c r="C275" i="11" a="1"/>
  <c r="C278" i="11" a="1"/>
  <c r="C265" i="11" a="1"/>
  <c r="C268" i="11" a="1"/>
  <c r="C282" i="11" a="1"/>
  <c r="C290" i="11" a="1"/>
  <c r="C283" i="11" a="1"/>
  <c r="C295" i="11" a="1"/>
  <c r="C280" i="11" a="1"/>
  <c r="C266" i="11" a="1"/>
  <c r="C277" i="11" a="1"/>
  <c r="C289" i="11" a="1"/>
  <c r="C274" i="11" a="1"/>
  <c r="C258" i="11" a="1"/>
  <c r="C269" i="11" a="1"/>
  <c r="C286" i="11" a="1"/>
  <c r="C292" i="11" a="1"/>
  <c r="C298" i="11" a="1"/>
  <c r="C262" i="11" a="1"/>
  <c r="C272" i="11" a="1"/>
  <c r="F269" i="9" a="1"/>
  <c r="H270" i="4" a="1"/>
  <c r="B297" i="9" a="1"/>
  <c r="F272" i="7" a="1"/>
  <c r="F294" i="9" a="1"/>
  <c r="E275" i="4" a="1"/>
  <c r="B294" i="7" a="1"/>
  <c r="F286" i="7" a="1"/>
  <c r="F268" i="7" a="1"/>
  <c r="F287" i="7" a="1"/>
  <c r="G275" i="9" a="1"/>
  <c r="B286" i="7" a="1"/>
  <c r="F273" i="7" a="1"/>
  <c r="H272" i="9" a="1"/>
  <c r="G270" i="9" a="1"/>
  <c r="C271" i="7" a="1"/>
  <c r="C289" i="4" a="1"/>
  <c r="F258" i="9" a="1"/>
  <c r="C261" i="9" a="1"/>
  <c r="E279" i="4" a="1"/>
  <c r="B283" i="9" a="1"/>
  <c r="C298" i="4" a="1"/>
  <c r="G288" i="7" a="1"/>
  <c r="E265" i="9" a="1"/>
  <c r="D275" i="4" a="1"/>
  <c r="E273" i="4" a="1"/>
  <c r="F265" i="9" a="1"/>
  <c r="E263" i="7" a="1"/>
  <c r="F259" i="9" a="1"/>
  <c r="B259" i="4" a="1"/>
  <c r="C283" i="4" a="1"/>
  <c r="F291" i="7" a="1"/>
  <c r="B283" i="7" a="1"/>
  <c r="E270" i="7" a="1"/>
  <c r="G261" i="7" a="1"/>
  <c r="C281" i="7" a="1"/>
  <c r="D297" i="4" a="1"/>
  <c r="D291" i="4" a="1"/>
  <c r="E285" i="7" a="1"/>
  <c r="G258" i="7" a="1"/>
  <c r="E282" i="9" a="1"/>
  <c r="D294" i="4" a="1"/>
  <c r="F277" i="7" a="1"/>
  <c r="C264" i="7" a="1"/>
  <c r="F293" i="9" a="1"/>
  <c r="G262" i="4" a="1"/>
  <c r="G271" i="4" a="1"/>
  <c r="H266" i="4" a="1"/>
  <c r="C275" i="9" a="1"/>
  <c r="B277" i="7" a="1"/>
  <c r="B274" i="9" a="1"/>
  <c r="H296" i="4" a="1"/>
  <c r="H294" i="4" a="1"/>
  <c r="B292" i="7" a="1"/>
  <c r="D283" i="7" a="1"/>
  <c r="C277" i="9" a="1"/>
  <c r="C276" i="9" a="1"/>
  <c r="D295" i="9" a="1"/>
  <c r="D268" i="9" a="1"/>
  <c r="G296" i="4" a="1"/>
  <c r="C268" i="4" a="1"/>
  <c r="G297" i="4" a="1"/>
  <c r="E290" i="4" a="1"/>
  <c r="C270" i="7" a="1"/>
  <c r="C272" i="4" a="1"/>
  <c r="B265" i="9" a="1"/>
  <c r="G275" i="7" a="1"/>
  <c r="C260" i="9" a="1"/>
  <c r="H292" i="7" a="1"/>
  <c r="H267" i="9" a="1"/>
  <c r="D272" i="7" a="1"/>
  <c r="H260" i="9" a="1"/>
  <c r="C286" i="7" a="1"/>
  <c r="H291" i="4" a="1"/>
  <c r="C263" i="9" a="1"/>
  <c r="B291" i="9" a="1"/>
  <c r="E287" i="4" a="1"/>
  <c r="F297" i="9" a="1"/>
  <c r="H280" i="9" a="1"/>
  <c r="H268" i="7" a="1"/>
  <c r="E261" i="4" a="1"/>
  <c r="C257" i="9" a="1"/>
  <c r="D288" i="7" a="1"/>
  <c r="E270" i="4" a="1"/>
  <c r="F259" i="7" a="1"/>
  <c r="D292" i="9" a="1"/>
  <c r="G282" i="7" a="1"/>
  <c r="E293" i="4" a="1"/>
  <c r="F274" i="4" a="1"/>
  <c r="B263" i="9" a="1"/>
  <c r="B269" i="9" a="1"/>
  <c r="B295" i="9" a="1"/>
  <c r="E292" i="9" a="1"/>
  <c r="H268" i="4" a="1"/>
  <c r="G293" i="9" a="1"/>
  <c r="D258" i="4" a="1"/>
  <c r="E292" i="7" a="1"/>
  <c r="B293" i="9" a="1"/>
  <c r="H277" i="9" a="1"/>
  <c r="H290" i="9" a="1"/>
  <c r="B280" i="4" a="1"/>
  <c r="B269" i="4" a="1"/>
  <c r="G281" i="7" a="1"/>
  <c r="E297" i="9" a="1"/>
  <c r="D297" i="7" a="1"/>
  <c r="D270" i="7" a="1"/>
  <c r="H294" i="7" a="1"/>
  <c r="C266" i="7" a="1"/>
  <c r="C278" i="4" a="1"/>
  <c r="B275" i="9" a="1"/>
  <c r="C289" i="7" a="1"/>
  <c r="F290" i="7" a="1"/>
  <c r="B274" i="7" a="1"/>
  <c r="B281" i="4" a="1"/>
  <c r="E264" i="4" a="1"/>
  <c r="E267" i="4" a="1"/>
  <c r="D269" i="7" a="1"/>
  <c r="G287" i="7" a="1"/>
  <c r="B287" i="4" a="1"/>
  <c r="B276" i="7" a="1"/>
  <c r="E284" i="7" a="1"/>
  <c r="C295" i="9" a="1"/>
  <c r="H277" i="4" a="1"/>
  <c r="E261" i="7" a="1"/>
  <c r="G291" i="9" a="1"/>
  <c r="B275" i="7" a="1"/>
  <c r="B282" i="4" a="1"/>
  <c r="E273" i="7" a="1"/>
  <c r="D284" i="4" a="1"/>
  <c r="F266" i="9" a="1"/>
  <c r="D284" i="7" a="1"/>
  <c r="G290" i="4" a="1"/>
  <c r="D264" i="7" a="1"/>
  <c r="D293" i="4" a="1"/>
  <c r="D267" i="7" a="1"/>
  <c r="E276" i="7" a="1"/>
  <c r="C276" i="7" a="1"/>
  <c r="H295" i="9" a="1"/>
  <c r="F277" i="9" a="1"/>
  <c r="F293" i="7" a="1"/>
  <c r="E267" i="9" a="1"/>
  <c r="D258" i="9" a="1"/>
  <c r="C277" i="7" a="1"/>
  <c r="H276" i="7" a="1"/>
  <c r="C297" i="9" a="1"/>
  <c r="G276" i="9" a="1"/>
  <c r="B284" i="9" a="1"/>
  <c r="H290" i="4" a="1"/>
  <c r="B286" i="9" a="1"/>
  <c r="E282" i="7" a="1"/>
  <c r="C288" i="4" a="1"/>
  <c r="E267" i="7" a="1"/>
  <c r="G282" i="4" a="1"/>
  <c r="G261" i="9" a="1"/>
  <c r="G278" i="4" a="1"/>
  <c r="F268" i="4" a="1"/>
  <c r="H280" i="4" a="1"/>
  <c r="D266" i="7" a="1"/>
  <c r="E273" i="9" a="1"/>
  <c r="E296" i="9" a="1"/>
  <c r="D261" i="4" a="1"/>
  <c r="H262" i="4" a="1"/>
  <c r="C262" i="4" a="1"/>
  <c r="D262" i="4" a="1"/>
  <c r="H288" i="4" a="1"/>
  <c r="C265" i="4" a="1"/>
  <c r="F293" i="4" a="1"/>
  <c r="G276" i="4" a="1"/>
  <c r="D270" i="4" a="1"/>
  <c r="F265" i="4" a="1"/>
  <c r="G285" i="9" a="1"/>
  <c r="F264" i="7" a="1"/>
  <c r="F284" i="9" a="1"/>
  <c r="E269" i="7" a="1"/>
  <c r="G289" i="7" a="1"/>
  <c r="F274" i="7" a="1"/>
  <c r="C282" i="4" a="1"/>
  <c r="B288" i="9" a="1"/>
  <c r="B267" i="4" a="1"/>
  <c r="F261" i="7" a="1"/>
  <c r="C274" i="4" a="1"/>
  <c r="F295" i="9" a="1"/>
  <c r="B273" i="9" a="1"/>
  <c r="H266" i="9" a="1"/>
  <c r="C278" i="7" a="1"/>
  <c r="E260" i="9" a="1"/>
  <c r="D267" i="9" a="1"/>
  <c r="B278" i="4" a="1"/>
  <c r="G274" i="7" a="1"/>
  <c r="C294" i="9" a="1"/>
  <c r="B280" i="7" a="1"/>
  <c r="G287" i="9" a="1"/>
  <c r="D283" i="4" a="1"/>
  <c r="E266" i="7" a="1"/>
  <c r="E260" i="7" a="1"/>
  <c r="H259" i="9" a="1"/>
  <c r="E264" i="9" a="1"/>
  <c r="G291" i="4" a="1"/>
  <c r="H272" i="7" a="1"/>
  <c r="G265" i="7" a="1"/>
  <c r="F286" i="9" a="1"/>
  <c r="G265" i="4" a="1"/>
  <c r="E276" i="9" a="1"/>
  <c r="E293" i="9" a="1"/>
  <c r="H275" i="9" a="1"/>
  <c r="C293" i="9" a="1"/>
  <c r="H293" i="7" a="1"/>
  <c r="G281" i="4" a="1"/>
  <c r="D271" i="7" a="1"/>
  <c r="E272" i="9" a="1"/>
  <c r="G268" i="7" a="1"/>
  <c r="C297" i="7" a="1"/>
  <c r="D261" i="7" a="1"/>
  <c r="G292" i="4" a="1"/>
  <c r="D260" i="9" a="1"/>
  <c r="F292" i="4" a="1"/>
  <c r="B282" i="9" a="1"/>
  <c r="E285" i="9" a="1"/>
  <c r="H270" i="7" a="1"/>
  <c r="B272" i="9" a="1"/>
  <c r="B296" i="7" a="1"/>
  <c r="F267" i="4" a="1"/>
  <c r="F267" i="7" a="1"/>
  <c r="H264" i="4" a="1"/>
  <c r="C295" i="4" a="1"/>
  <c r="C269" i="7" a="1"/>
  <c r="B262" i="9" a="1"/>
  <c r="G272" i="9" a="1"/>
  <c r="C294" i="4" a="1"/>
  <c r="C291" i="4" a="1"/>
  <c r="C273" i="4" a="1"/>
  <c r="B281" i="9" a="1"/>
  <c r="D279" i="4" a="1"/>
  <c r="C293" i="4" a="1"/>
  <c r="F291" i="9" a="1"/>
  <c r="D298" i="4" a="1"/>
  <c r="D278" i="7" a="1"/>
  <c r="C296" i="7" a="1"/>
  <c r="H287" i="9" a="1"/>
  <c r="F268" i="9" a="1"/>
  <c r="H261" i="9" a="1"/>
  <c r="B261" i="9" a="1"/>
  <c r="B285" i="9" a="1"/>
  <c r="G260" i="7" a="1"/>
  <c r="D290" i="7" a="1"/>
  <c r="D296" i="9" a="1"/>
  <c r="D265" i="7" a="1"/>
  <c r="H294" i="9" a="1"/>
  <c r="H281" i="7" a="1"/>
  <c r="F298" i="4" a="1"/>
  <c r="F279" i="4" a="1"/>
  <c r="D281" i="4" a="1"/>
  <c r="B262" i="7" a="1"/>
  <c r="H287" i="7" a="1"/>
  <c r="G271" i="9" a="1"/>
  <c r="H282" i="4" a="1"/>
  <c r="H289" i="4" a="1"/>
  <c r="H289" i="9" a="1"/>
  <c r="B285" i="4" a="1"/>
  <c r="E295" i="4" a="1"/>
  <c r="E285" i="4" a="1"/>
  <c r="D287" i="4" a="1"/>
  <c r="C279" i="7" a="1"/>
  <c r="E279" i="9" a="1"/>
  <c r="C258" i="7" a="1"/>
  <c r="F263" i="9" a="1"/>
  <c r="E272" i="7" a="1"/>
  <c r="D273" i="4" a="1"/>
  <c r="B270" i="9" a="1"/>
  <c r="F283" i="7" a="1"/>
  <c r="F269" i="7" a="1"/>
  <c r="G293" i="7" a="1"/>
  <c r="B282" i="7" a="1"/>
  <c r="D287" i="9" a="1"/>
  <c r="B278" i="7" a="1"/>
  <c r="G296" i="9" a="1"/>
  <c r="E261" i="9" a="1"/>
  <c r="E294" i="4" a="1"/>
  <c r="B284" i="7" a="1"/>
  <c r="F275" i="4" a="1"/>
  <c r="D276" i="9" a="1"/>
  <c r="E288" i="11" a="1"/>
  <c r="E269" i="11" a="1"/>
  <c r="E265" i="11" a="1"/>
  <c r="E279" i="11" a="1"/>
  <c r="E276" i="11" a="1"/>
  <c r="E292" i="11" a="1"/>
  <c r="E273" i="11" a="1"/>
  <c r="E259" i="11" a="1"/>
  <c r="E260" i="11" a="1"/>
  <c r="E280" i="11" a="1"/>
  <c r="E291" i="11" a="1"/>
  <c r="E296" i="11" a="1"/>
  <c r="E272" i="11" a="1"/>
  <c r="E287" i="11" a="1"/>
  <c r="E267" i="11" a="1"/>
  <c r="E294" i="11" a="1"/>
  <c r="E284" i="11" a="1"/>
  <c r="E270" i="11" a="1"/>
  <c r="E266" i="11" a="1"/>
  <c r="E262" i="11" a="1"/>
  <c r="E281" i="11" a="1"/>
  <c r="E261" i="11" a="1"/>
  <c r="E264" i="11" a="1"/>
  <c r="E297" i="11" a="1"/>
  <c r="E278" i="11" a="1"/>
  <c r="E275" i="11" a="1"/>
  <c r="E258" i="11" a="1"/>
  <c r="E286" i="11" a="1"/>
  <c r="E268" i="11" a="1"/>
  <c r="E271" i="11" a="1"/>
  <c r="E263" i="11" a="1"/>
  <c r="E283" i="11" a="1"/>
  <c r="E289" i="11" a="1"/>
  <c r="E295" i="11" a="1"/>
  <c r="E274" i="11" a="1"/>
  <c r="E298" i="11" a="1"/>
  <c r="E282" i="11" a="1"/>
  <c r="E290" i="11" a="1"/>
  <c r="E277" i="11" a="1"/>
  <c r="E285" i="11" a="1"/>
  <c r="E293" i="11" a="1"/>
  <c r="D262" i="9" a="1"/>
  <c r="B268" i="7" a="1"/>
  <c r="C269" i="9" a="1"/>
  <c r="B279" i="4" a="1"/>
  <c r="B268" i="9" a="1"/>
  <c r="D259" i="4" a="1"/>
  <c r="G280" i="9" a="1"/>
  <c r="B259" i="7" a="1"/>
  <c r="D283" i="9" a="1"/>
  <c r="F281" i="9" a="1"/>
  <c r="F261" i="9" a="1"/>
  <c r="F275" i="7" a="1"/>
  <c r="E288" i="9" a="1"/>
  <c r="F294" i="7" a="1"/>
  <c r="E293" i="7" a="1"/>
  <c r="E259" i="9" a="1"/>
  <c r="D296" i="4" a="1"/>
  <c r="D288" i="4" a="1"/>
  <c r="F278" i="4" a="1"/>
  <c r="G264" i="9" a="1"/>
  <c r="C292" i="7" a="1"/>
  <c r="C264" i="4" a="1"/>
  <c r="D278" i="9" a="1"/>
  <c r="B268" i="4" a="1"/>
  <c r="G279" i="7" a="1"/>
  <c r="E291" i="7" a="1"/>
  <c r="B261" i="4" a="1"/>
  <c r="H258" i="4" a="1"/>
  <c r="C263" i="4" a="1"/>
  <c r="C292" i="9" a="1"/>
  <c r="H268" i="9" a="1"/>
  <c r="F263" i="7" a="1"/>
  <c r="B263" i="4" a="1"/>
  <c r="H258" i="7" a="1"/>
  <c r="G294" i="4" a="1"/>
  <c r="D282" i="4" a="1"/>
  <c r="F289" i="7" a="1"/>
  <c r="F282" i="7" a="1"/>
  <c r="D289" i="7" a="1"/>
  <c r="C285" i="7" a="1"/>
  <c r="E257" i="7" a="1"/>
  <c r="H262" i="7" a="1"/>
  <c r="C282" i="7" a="1"/>
  <c r="F260" i="9" a="1"/>
  <c r="F285" i="4" a="1"/>
  <c r="B257" i="7" a="1"/>
  <c r="E295" i="9" a="1"/>
  <c r="F283" i="9" a="1"/>
  <c r="C292" i="4" a="1"/>
  <c r="C287" i="7" a="1"/>
  <c r="H269" i="7" a="1"/>
  <c r="F260" i="7" a="1"/>
  <c r="F289" i="9" a="1"/>
  <c r="B260" i="9" a="1"/>
  <c r="D259" i="11" a="1"/>
  <c r="D279" i="11" a="1"/>
  <c r="D284" i="11" a="1"/>
  <c r="D292" i="11" a="1"/>
  <c r="D273" i="11" a="1"/>
  <c r="D260" i="11" a="1"/>
  <c r="D291" i="11" a="1"/>
  <c r="D270" i="11" a="1"/>
  <c r="D276" i="11" a="1"/>
  <c r="D269" i="11" a="1"/>
  <c r="D288" i="11" a="1"/>
  <c r="D294" i="11" a="1"/>
  <c r="D261" i="11" a="1"/>
  <c r="D266" i="11" a="1"/>
  <c r="D296" i="11" a="1"/>
  <c r="D262" i="11" a="1"/>
  <c r="D281" i="11" a="1"/>
  <c r="D272" i="11" a="1"/>
  <c r="D287" i="11" a="1"/>
  <c r="D264" i="11" a="1"/>
  <c r="D297" i="11" a="1"/>
  <c r="D271" i="11" a="1"/>
  <c r="D275" i="11" a="1"/>
  <c r="D278" i="11" a="1"/>
  <c r="D258" i="11" a="1"/>
  <c r="D286" i="11" a="1"/>
  <c r="D265" i="11" a="1"/>
  <c r="D268" i="11" a="1"/>
  <c r="D263" i="11" a="1"/>
  <c r="D283" i="11" a="1"/>
  <c r="D289" i="11" a="1"/>
  <c r="D274" i="11" a="1"/>
  <c r="D295" i="11" a="1"/>
  <c r="D280" i="11" a="1"/>
  <c r="D277" i="11" a="1"/>
  <c r="D282" i="11" a="1"/>
  <c r="D285" i="11" a="1"/>
  <c r="D290" i="11" a="1"/>
  <c r="D293" i="11" a="1"/>
  <c r="D267" i="11" a="1"/>
  <c r="D298" i="11" a="1"/>
  <c r="F272" i="4" a="1"/>
  <c r="H274" i="7" a="1"/>
  <c r="F295" i="7" a="1"/>
  <c r="F294" i="4" a="1"/>
  <c r="E297" i="4" a="1"/>
  <c r="D268" i="4" a="1"/>
  <c r="G296" i="7" a="1"/>
  <c r="G278" i="9" a="1"/>
  <c r="B266" i="9" a="1"/>
  <c r="H278" i="9" a="1"/>
  <c r="E298" i="4" a="1"/>
  <c r="G276" i="7" a="1"/>
  <c r="B267" i="9" a="1"/>
  <c r="C287" i="9" a="1"/>
  <c r="C290" i="4" a="1"/>
  <c r="H283" i="9" a="1"/>
  <c r="B258" i="9" a="1"/>
  <c r="B272" i="4" a="1"/>
  <c r="F264" i="9" a="1"/>
  <c r="E276" i="4" a="1"/>
  <c r="G291" i="7" a="1"/>
  <c r="H286" i="4" a="1"/>
  <c r="C258" i="9" a="1"/>
  <c r="F288" i="9" a="1"/>
  <c r="E268" i="9" a="1"/>
  <c r="D280" i="9" a="1"/>
  <c r="G272" i="7" a="1"/>
  <c r="B258" i="7" a="1"/>
  <c r="G277" i="9" a="1"/>
  <c r="E280" i="7" a="1"/>
  <c r="F270" i="4" a="1"/>
  <c r="H271" i="4" a="1"/>
  <c r="E274" i="9" a="1"/>
  <c r="D275" i="9" a="1"/>
  <c r="H285" i="4" a="1"/>
  <c r="D266" i="9" a="1"/>
  <c r="H293" i="4" a="1"/>
  <c r="B289" i="7" a="1"/>
  <c r="F278" i="7" a="1"/>
  <c r="E262" i="4" a="1"/>
  <c r="H297" i="7" a="1"/>
  <c r="H260" i="4" a="1"/>
  <c r="C265" i="9" a="1"/>
  <c r="H271" i="7" a="1"/>
  <c r="G263" i="9" a="1"/>
  <c r="H263" i="7" a="1"/>
  <c r="D297" i="9" a="1"/>
  <c r="B266" i="7" a="1"/>
  <c r="F277" i="4" a="1"/>
  <c r="D293" i="9" a="1"/>
  <c r="B270" i="4" a="1"/>
  <c r="D274" i="7" a="1"/>
  <c r="F266" i="4" a="1"/>
  <c r="G285" i="7" a="1"/>
  <c r="B260" i="7" a="1"/>
  <c r="H259" i="4" a="1"/>
  <c r="C274" i="9" a="1"/>
  <c r="D289" i="4" a="1"/>
  <c r="H279" i="9" a="1"/>
  <c r="E272" i="4" a="1"/>
  <c r="C260" i="4" a="1"/>
  <c r="E274" i="4" a="1"/>
  <c r="C295" i="7" a="1"/>
  <c r="D268" i="7" a="1"/>
  <c r="G284" i="9" a="1"/>
  <c r="F290" i="4" a="1"/>
  <c r="H270" i="9" a="1"/>
  <c r="H274" i="4" a="1"/>
  <c r="C279" i="9" a="1"/>
  <c r="G266" i="4" a="1"/>
  <c r="E296" i="7" a="1"/>
  <c r="H264" i="9" a="1"/>
  <c r="D257" i="9" a="1"/>
  <c r="H272" i="4" a="1"/>
  <c r="G271" i="7" a="1"/>
  <c r="F279" i="7" a="1"/>
  <c r="C285" i="4" a="1"/>
  <c r="D265" i="9" a="1"/>
  <c r="B281" i="7" a="1"/>
  <c r="F279" i="9" a="1"/>
  <c r="B278" i="9" a="1"/>
  <c r="D295" i="4" a="1"/>
  <c r="C277" i="4" a="1"/>
  <c r="D267" i="4" a="1"/>
  <c r="H267" i="7" a="1"/>
  <c r="C279" i="4" a="1"/>
  <c r="B271" i="9" a="1"/>
  <c r="D261" i="9" a="1"/>
  <c r="C283" i="9" a="1"/>
  <c r="G257" i="7" a="1"/>
  <c r="G279" i="4" a="1"/>
  <c r="E297" i="7" a="1"/>
  <c r="B294" i="9" a="1"/>
  <c r="B283" i="4" a="1"/>
  <c r="G283" i="4" a="1"/>
  <c r="E271" i="7" a="1"/>
  <c r="H288" i="7" a="1"/>
  <c r="D278" i="4" a="1"/>
  <c r="G295" i="7" a="1"/>
  <c r="D286" i="9" a="1"/>
  <c r="E259" i="7" a="1"/>
  <c r="C296" i="9" a="1"/>
  <c r="E281" i="9" a="1"/>
  <c r="C281" i="9" a="1"/>
  <c r="B296" i="9" a="1"/>
  <c r="H275" i="7" a="1"/>
  <c r="G286" i="7" a="1"/>
  <c r="E295" i="7" a="1"/>
  <c r="C258" i="4" a="1"/>
  <c r="C296" i="4" a="1"/>
  <c r="D284" i="9" a="1"/>
  <c r="G263" i="4" a="1"/>
  <c r="B261" i="7" a="1"/>
  <c r="C272" i="7" a="1"/>
  <c r="H298" i="4" a="1"/>
  <c r="G287" i="4" a="1"/>
  <c r="E286" i="4" a="1"/>
  <c r="H286" i="9" a="1"/>
  <c r="B258" i="4" a="1"/>
  <c r="F260" i="4" a="1"/>
  <c r="F296" i="9" a="1"/>
  <c r="H263" i="9" a="1"/>
  <c r="B288" i="4" a="1"/>
  <c r="E294" i="9" a="1"/>
  <c r="H276" i="4" a="1"/>
  <c r="D280" i="4" a="1"/>
  <c r="E288" i="7" a="1"/>
  <c r="E281" i="4" a="1"/>
  <c r="F289" i="4" a="1"/>
  <c r="E282" i="4" a="1"/>
  <c r="E258" i="9" a="1"/>
  <c r="D282" i="7" a="1"/>
  <c r="B284" i="4" a="1"/>
  <c r="C261" i="4" a="1"/>
  <c r="H259" i="7" a="1"/>
  <c r="F288" i="7" a="1"/>
  <c r="C293" i="7" a="1"/>
  <c r="H278" i="4" a="1"/>
  <c r="F266" i="7" a="1"/>
  <c r="B270" i="7" a="1"/>
  <c r="H297" i="4" a="1"/>
  <c r="C290" i="9" a="1"/>
  <c r="B292" i="4" a="1"/>
  <c r="G268" i="9" a="1"/>
  <c r="B296" i="4" a="1"/>
  <c r="C268" i="9" a="1"/>
  <c r="F276" i="9" a="1"/>
  <c r="D272" i="4" a="1"/>
  <c r="G258" i="4" a="1"/>
  <c r="F271" i="9" a="1"/>
  <c r="E286" i="7" a="1"/>
  <c r="G277" i="7" a="1"/>
  <c r="G272" i="4" a="1"/>
  <c r="B271" i="7" a="1"/>
  <c r="F280" i="9" a="1"/>
  <c r="H293" i="9" a="1"/>
  <c r="G280" i="4" a="1"/>
  <c r="F270" i="7" a="1"/>
  <c r="C267" i="4" a="1"/>
  <c r="G284" i="4" a="1"/>
  <c r="D285" i="4" a="1"/>
  <c r="D281" i="9" a="1"/>
  <c r="D273" i="9" a="1"/>
  <c r="D285" i="7" a="1"/>
  <c r="E287" i="7" a="1"/>
  <c r="E275" i="9" a="1"/>
  <c r="F271" i="7" a="1"/>
  <c r="C265" i="7" a="1"/>
  <c r="B269" i="7" a="1"/>
  <c r="G297" i="7" a="1"/>
  <c r="B276" i="9" a="1"/>
  <c r="F287" i="4" a="1"/>
  <c r="H276" i="9" a="1"/>
  <c r="D287" i="7" a="1"/>
  <c r="E283" i="7" a="1"/>
  <c r="F258" i="4" a="1"/>
  <c r="D292" i="4" a="1"/>
  <c r="G283" i="7" a="1"/>
  <c r="D276" i="7" a="1"/>
  <c r="D259" i="9" a="1"/>
  <c r="C268" i="7" a="1"/>
  <c r="H281" i="9" a="1"/>
  <c r="B264" i="4" a="1"/>
  <c r="D271" i="9" a="1"/>
  <c r="C259" i="7" a="1"/>
  <c r="F257" i="9" a="1"/>
  <c r="F267" i="9" a="1"/>
  <c r="H263" i="4" a="1"/>
  <c r="F273" i="4" a="1"/>
  <c r="C273" i="9" a="1"/>
  <c r="G290" i="7" a="1"/>
  <c r="C285" i="9" a="1"/>
  <c r="H265" i="9" a="1"/>
  <c r="H284" i="7" a="1"/>
  <c r="D286" i="4" a="1"/>
  <c r="H285" i="9" a="1"/>
  <c r="H267" i="4" a="1"/>
  <c r="E284" i="4" a="1"/>
  <c r="H261" i="7" a="1"/>
  <c r="H269" i="4" a="1"/>
  <c r="B263" i="7" a="1"/>
  <c r="E265" i="4" a="1"/>
  <c r="H290" i="7" a="1"/>
  <c r="F297" i="4" a="1"/>
  <c r="D277" i="7" a="1"/>
  <c r="B265" i="7" a="1"/>
  <c r="B287" i="7" a="1"/>
  <c r="D285" i="9" a="1"/>
  <c r="D257" i="7" a="1"/>
  <c r="B289" i="4" a="1"/>
  <c r="F280" i="7" a="1"/>
  <c r="H265" i="7" a="1"/>
  <c r="E277" i="7" a="1"/>
  <c r="C290" i="7" a="1"/>
  <c r="B294" i="4" a="1"/>
  <c r="D270" i="9" a="1"/>
  <c r="D263" i="7" a="1"/>
  <c r="E291" i="9" a="1"/>
  <c r="F258" i="7" a="1"/>
  <c r="F281" i="7" a="1"/>
  <c r="H277" i="7" a="1"/>
  <c r="E263" i="9" a="1"/>
  <c r="H281" i="4" a="1"/>
  <c r="H283" i="7" a="1"/>
  <c r="B275" i="4" a="1"/>
  <c r="E258" i="7" a="1"/>
  <c r="H260" i="7" a="1"/>
  <c r="G265" i="9" a="1"/>
  <c r="E269" i="4" a="1"/>
  <c r="G261" i="4" a="1"/>
  <c r="E262" i="7" a="1"/>
  <c r="B262" i="4" a="1"/>
  <c r="G277" i="4" a="1"/>
  <c r="G274" i="9" a="1"/>
  <c r="F269" i="11" a="1"/>
  <c r="F294" i="11" a="1"/>
  <c r="F289" i="11" a="1"/>
  <c r="F295" i="11" a="1"/>
  <c r="F290" i="11" a="1"/>
  <c r="F267" i="11" a="1"/>
  <c r="F282" i="11" a="1"/>
  <c r="F292" i="11" a="1"/>
  <c r="F281" i="11" a="1"/>
  <c r="F272" i="11" a="1"/>
  <c r="F283" i="11" a="1"/>
  <c r="F276" i="11" a="1"/>
  <c r="F273" i="11" a="1"/>
  <c r="F288" i="11" a="1"/>
  <c r="F280" i="11" a="1"/>
  <c r="F262" i="11" a="1"/>
  <c r="F287" i="11" a="1"/>
  <c r="F259" i="11" a="1"/>
  <c r="F265" i="11" a="1"/>
  <c r="F279" i="11" a="1"/>
  <c r="F284" i="11" a="1"/>
  <c r="F291" i="11" a="1"/>
  <c r="F270" i="11" a="1"/>
  <c r="F296" i="11" a="1"/>
  <c r="F266" i="11" a="1"/>
  <c r="F285" i="11" a="1"/>
  <c r="F293" i="11" a="1"/>
  <c r="F261" i="11" a="1"/>
  <c r="F297" i="11" a="1"/>
  <c r="F278" i="11" a="1"/>
  <c r="F275" i="11" a="1"/>
  <c r="F258" i="11" a="1"/>
  <c r="F286" i="11" a="1"/>
  <c r="F268" i="11" a="1"/>
  <c r="F260" i="11" a="1"/>
  <c r="F263" i="11" a="1"/>
  <c r="F277" i="11" a="1"/>
  <c r="F271" i="11" a="1"/>
  <c r="F264" i="11" a="1"/>
  <c r="F274" i="11" a="1"/>
  <c r="F298" i="11" a="1"/>
  <c r="D258" i="7" a="1"/>
  <c r="E290" i="9" a="1"/>
  <c r="G270" i="4" a="1"/>
  <c r="G266" i="9" a="1"/>
  <c r="F295" i="4" a="1"/>
  <c r="C284" i="4" a="1"/>
  <c r="H261" i="4" a="1"/>
  <c r="B265" i="4" a="1"/>
  <c r="C297" i="4" a="1"/>
  <c r="D264" i="9" a="1"/>
  <c r="G264" i="7" a="1"/>
  <c r="E264" i="7" a="1"/>
  <c r="E266" i="4" a="1"/>
  <c r="D277" i="4" a="1"/>
  <c r="B285" i="7" a="1"/>
  <c r="F296" i="7" a="1"/>
  <c r="B287" i="9" a="1"/>
  <c r="H269" i="11" a="1"/>
  <c r="H273" i="11" a="1"/>
  <c r="H283" i="11" a="1"/>
  <c r="H263" i="11" a="1"/>
  <c r="H275" i="11" a="1"/>
  <c r="H277" i="11" a="1"/>
  <c r="H265" i="11" a="1"/>
  <c r="H267" i="11" a="1"/>
  <c r="H281" i="11" a="1"/>
  <c r="H289" i="11" a="1"/>
  <c r="H293" i="11" a="1"/>
  <c r="H261" i="11" a="1"/>
  <c r="H285" i="11" a="1"/>
  <c r="H291" i="11" a="1"/>
  <c r="H297" i="11" a="1"/>
  <c r="H271" i="11" a="1"/>
  <c r="H279" i="11" a="1"/>
  <c r="H287" i="11" a="1"/>
  <c r="H295" i="11" a="1"/>
  <c r="H259" i="11" a="1"/>
  <c r="H260" i="11" a="1"/>
  <c r="H262" i="11" a="1"/>
  <c r="H264" i="11" a="1"/>
  <c r="H266" i="11" a="1"/>
  <c r="H268" i="11" a="1"/>
  <c r="H270" i="11" a="1"/>
  <c r="H272" i="11" a="1"/>
  <c r="H274" i="11" a="1"/>
  <c r="H276" i="11" a="1"/>
  <c r="H278" i="11" a="1"/>
  <c r="H280" i="11" a="1"/>
  <c r="H282" i="11" a="1"/>
  <c r="H284" i="11" a="1"/>
  <c r="H286" i="11" a="1"/>
  <c r="H288" i="11" a="1"/>
  <c r="H290" i="11" a="1"/>
  <c r="H294" i="11" a="1"/>
  <c r="H298" i="11" a="1"/>
  <c r="H292" i="11" a="1"/>
  <c r="H258" i="11" a="1"/>
  <c r="H296" i="11" a="1"/>
  <c r="B295" i="4" a="1"/>
  <c r="C263" i="7" a="1"/>
  <c r="G281" i="9" a="1"/>
  <c r="B277" i="9" a="1"/>
  <c r="C280" i="7" a="1"/>
  <c r="G295" i="4" a="1"/>
  <c r="G285" i="4" a="1"/>
  <c r="D295" i="7" a="1"/>
  <c r="D262" i="7" a="1"/>
  <c r="G295" i="9" a="1"/>
  <c r="C282" i="9" a="1"/>
  <c r="E265" i="7" a="1"/>
  <c r="H279" i="7" a="1"/>
  <c r="F287" i="9" a="1"/>
  <c r="D264" i="4" a="1"/>
  <c r="H266" i="7" a="1"/>
  <c r="G292" i="9" a="1"/>
  <c r="D288" i="9" a="1"/>
  <c r="C283" i="7" a="1"/>
  <c r="G273" i="9" a="1"/>
  <c r="B271" i="4" a="1"/>
  <c r="E280" i="4" a="1"/>
  <c r="F281" i="4" a="1"/>
  <c r="E268" i="7" a="1"/>
  <c r="D296" i="7" a="1"/>
  <c r="E262" i="9" a="1"/>
  <c r="G273" i="7" a="1"/>
  <c r="E287" i="9" a="1"/>
  <c r="C271" i="9" a="1"/>
  <c r="D263" i="9" a="1"/>
  <c r="C289" i="9" a="1"/>
  <c r="H284" i="9" a="1"/>
  <c r="B267" i="7" a="1"/>
  <c r="H291" i="7" a="1"/>
  <c r="E283" i="4" a="1"/>
  <c r="F264" i="4" a="1"/>
  <c r="B286" i="4" a="1"/>
  <c r="E271" i="4" a="1"/>
  <c r="C286" i="4" a="1"/>
  <c r="C280" i="9" a="1"/>
  <c r="G262" i="9" a="1"/>
  <c r="G288" i="9" a="1"/>
  <c r="D279" i="9" a="1"/>
  <c r="G298" i="4" a="1"/>
  <c r="B264" i="9" a="1"/>
  <c r="C288" i="7" a="1"/>
  <c r="H265" i="4" a="1"/>
  <c r="G297" i="9" a="1"/>
  <c r="G282" i="9" a="1"/>
  <c r="H283" i="4" a="1"/>
  <c r="H257" i="7" a="1"/>
  <c r="H273" i="4" a="1"/>
  <c r="F292" i="9" a="1"/>
  <c r="D286" i="7" a="1"/>
  <c r="G284" i="7" a="1"/>
  <c r="D281" i="7" a="1"/>
  <c r="G280" i="7" a="1"/>
  <c r="B273" i="4" a="1"/>
  <c r="G274" i="4" a="1"/>
  <c r="F269" i="4" a="1"/>
  <c r="F285" i="9" a="1"/>
  <c r="F284" i="7" a="1"/>
  <c r="G258" i="9" a="1"/>
  <c r="D274" i="9" a="1"/>
  <c r="C280" i="4" a="1"/>
  <c r="C284" i="7" a="1"/>
  <c r="F265" i="7" a="1"/>
  <c r="F263" i="4" a="1"/>
  <c r="C272" i="9" a="1"/>
  <c r="B291" i="4" a="1"/>
  <c r="H287" i="4" a="1"/>
  <c r="E291" i="4" a="1"/>
  <c r="G260" i="9" a="1"/>
  <c r="F280" i="4" a="1"/>
  <c r="E277" i="4" a="1"/>
  <c r="C257" i="7" a="1"/>
  <c r="D292" i="7" a="1"/>
  <c r="E288" i="4" a="1"/>
  <c r="C264" i="9" a="1"/>
  <c r="E278" i="7" a="1"/>
  <c r="B272" i="7" a="1"/>
  <c r="B274" i="4" a="1"/>
  <c r="E296" i="4" a="1"/>
  <c r="D275" i="7" a="1"/>
  <c r="D293" i="7" a="1"/>
  <c r="B290" i="7" a="1"/>
  <c r="G269" i="7" a="1"/>
  <c r="D263" i="4" a="1"/>
  <c r="F282" i="4" a="1"/>
  <c r="G294" i="9" a="1"/>
  <c r="F272" i="9" a="1"/>
  <c r="C262" i="7" a="1"/>
  <c r="H262" i="9" a="1"/>
  <c r="H282" i="9" a="1"/>
  <c r="G273" i="11" a="1"/>
  <c r="G281" i="11" a="1"/>
  <c r="G287" i="11" a="1"/>
  <c r="G267" i="11" a="1"/>
  <c r="G283" i="11" a="1"/>
  <c r="G259" i="11" a="1"/>
  <c r="G275" i="11" a="1"/>
  <c r="G277" i="11" a="1"/>
  <c r="G295" i="11" a="1"/>
  <c r="G265" i="11" a="1"/>
  <c r="G279" i="11" a="1"/>
  <c r="G291" i="11" a="1"/>
  <c r="G289" i="11" a="1"/>
  <c r="G285" i="11" a="1"/>
  <c r="G293" i="11" a="1"/>
  <c r="G261" i="11" a="1"/>
  <c r="G297" i="11" a="1"/>
  <c r="G271" i="11" a="1"/>
  <c r="G263" i="11" a="1"/>
  <c r="G269" i="11" a="1"/>
  <c r="G298" i="11" a="1"/>
  <c r="G262" i="11" a="1"/>
  <c r="G292" i="11" a="1"/>
  <c r="G258" i="11" a="1"/>
  <c r="G266" i="11" a="1"/>
  <c r="G270" i="11" a="1"/>
  <c r="G294" i="11" a="1"/>
  <c r="G260" i="11" a="1"/>
  <c r="G264" i="11" a="1"/>
  <c r="G268" i="11" a="1"/>
  <c r="G272" i="11" a="1"/>
  <c r="G274" i="11" a="1"/>
  <c r="G276" i="11" a="1"/>
  <c r="G278" i="11" a="1"/>
  <c r="G280" i="11" a="1"/>
  <c r="G282" i="11" a="1"/>
  <c r="G284" i="11" a="1"/>
  <c r="G286" i="11" a="1"/>
  <c r="G288" i="11" a="1"/>
  <c r="G290" i="11" a="1"/>
  <c r="G296" i="11" a="1"/>
  <c r="C266" i="9" a="1"/>
  <c r="F261" i="4" a="1"/>
  <c r="B260" i="11" a="1"/>
  <c r="B263" i="11" a="1"/>
  <c r="B273" i="11" a="1"/>
  <c r="B293" i="11" a="1"/>
  <c r="B259" i="11" a="1"/>
  <c r="B288" i="11" a="1"/>
  <c r="B264" i="11" a="1"/>
  <c r="B284" i="11" a="1"/>
  <c r="B291" i="11" a="1"/>
  <c r="B274" i="11" a="1"/>
  <c r="B275" i="11" a="1"/>
  <c r="B285" i="11" a="1"/>
  <c r="B283" i="11" a="1"/>
  <c r="B278" i="11" a="1"/>
  <c r="B270" i="11" a="1"/>
  <c r="B296" i="11" a="1"/>
  <c r="B281" i="11" a="1"/>
  <c r="B287" i="11" a="1"/>
  <c r="B262" i="11" a="1"/>
  <c r="B276" i="11" a="1"/>
  <c r="B271" i="11" a="1"/>
  <c r="B297" i="11" a="1"/>
  <c r="B267" i="11" a="1"/>
  <c r="B265" i="11" a="1"/>
  <c r="B268" i="11" a="1"/>
  <c r="B282" i="11" a="1"/>
  <c r="B290" i="11" a="1"/>
  <c r="B279" i="11" a="1"/>
  <c r="B294" i="11" a="1"/>
  <c r="B277" i="11" a="1"/>
  <c r="B289" i="11" a="1"/>
  <c r="B295" i="11" a="1"/>
  <c r="B266" i="11" a="1"/>
  <c r="B258" i="11" a="1"/>
  <c r="B286" i="11" a="1"/>
  <c r="B292" i="11" a="1"/>
  <c r="B298" i="11" a="1"/>
  <c r="B261" i="11" a="1"/>
  <c r="B280" i="11" a="1"/>
  <c r="B269" i="11" a="1"/>
  <c r="B272" i="11" a="1"/>
  <c r="E258" i="4" a="1"/>
  <c r="D280" i="7" a="1"/>
  <c r="B266" i="4" a="1"/>
  <c r="F288" i="4" a="1"/>
  <c r="H273" i="9" a="1"/>
  <c r="H258" i="9" a="1"/>
  <c r="B295" i="7" a="1"/>
  <c r="C274" i="7" a="1"/>
  <c r="G279" i="9" a="1"/>
  <c r="E257" i="9" a="1"/>
  <c r="C259" i="4" a="1"/>
  <c r="F296" i="4" a="1"/>
  <c r="G270" i="7" a="1"/>
  <c r="B293" i="4" a="1"/>
  <c r="E278" i="9" a="1"/>
  <c r="H286" i="7" a="1"/>
  <c r="H295" i="7" a="1"/>
  <c r="B279" i="7" a="1"/>
  <c r="D272" i="9" a="1"/>
  <c r="E271" i="9" a="1"/>
  <c r="G288" i="4" a="1"/>
  <c r="B289" i="9" a="1"/>
  <c r="E289" i="9" a="1"/>
  <c r="D260" i="7" a="1"/>
  <c r="C271" i="4" a="1"/>
  <c r="G289" i="4" a="1"/>
  <c r="C261" i="7" a="1"/>
  <c r="D259" i="7" a="1"/>
  <c r="H279" i="4" a="1"/>
  <c r="G268" i="4" a="1"/>
  <c r="E263" i="4" a="1"/>
  <c r="H296" i="7" a="1"/>
  <c r="C276" i="4" a="1"/>
  <c r="E269" i="9" a="1"/>
  <c r="D294" i="9" a="1"/>
  <c r="D271" i="4" a="1"/>
  <c r="C286" i="9" a="1"/>
  <c r="G286" i="4" a="1"/>
  <c r="C273" i="7" a="1"/>
  <c r="F283" i="4" a="1"/>
  <c r="H271" i="9" a="1"/>
  <c r="C281" i="4" a="1"/>
  <c r="E277" i="9" a="1"/>
  <c r="G267" i="4" a="1"/>
  <c r="G260" i="4" a="1"/>
  <c r="G289" i="9" a="1"/>
  <c r="F262" i="9" a="1"/>
  <c r="C287" i="4" a="1"/>
  <c r="E270" i="9" a="1"/>
  <c r="G293" i="4" a="1"/>
  <c r="D265" i="4" a="1"/>
  <c r="E281" i="7" a="1"/>
  <c r="C284" i="9" a="1"/>
  <c r="G262" i="7" a="1"/>
  <c r="H295" i="4" a="1"/>
  <c r="D266" i="4" a="1"/>
  <c r="E290" i="7" a="1"/>
  <c r="D269" i="9" a="1"/>
  <c r="G278" i="7" a="1"/>
  <c r="F278" i="9" a="1"/>
  <c r="D291" i="9" a="1"/>
  <c r="G264" i="4" a="1"/>
  <c r="H289" i="7" a="1"/>
  <c r="E275" i="7" a="1"/>
  <c r="C267" i="7" a="1"/>
  <c r="F262" i="4" a="1"/>
  <c r="H273" i="7" a="1"/>
  <c r="E268" i="4" a="1"/>
  <c r="B276" i="4" a="1"/>
  <c r="G259" i="9" a="1"/>
  <c r="C266" i="4" a="1"/>
  <c r="D290" i="4" a="1"/>
  <c r="C291" i="9" a="1"/>
  <c r="C294" i="7" a="1"/>
  <c r="H291" i="9" a="1"/>
  <c r="H282" i="7" a="1"/>
  <c r="B290" i="9" a="1"/>
  <c r="C291" i="7" a="1"/>
  <c r="E292" i="4" a="1"/>
  <c r="C288" i="9" a="1"/>
  <c r="C270" i="9" a="1"/>
  <c r="E294" i="7" a="1"/>
  <c r="F273" i="9" a="1"/>
  <c r="H274" i="9" a="1"/>
  <c r="H297" i="9" a="1"/>
  <c r="G286" i="9" a="1"/>
  <c r="B259" i="9" a="1"/>
  <c r="C278" i="9" a="1"/>
  <c r="E284" i="9" a="1"/>
  <c r="B273" i="7" a="1"/>
  <c r="F292" i="7" a="1"/>
  <c r="F262" i="7" a="1"/>
  <c r="E278" i="4" a="1"/>
  <c r="H264" i="7" a="1"/>
  <c r="B272" i="11" l="1"/>
  <c r="B269" i="11"/>
  <c r="B280" i="11"/>
  <c r="B261" i="11"/>
  <c r="B298" i="11"/>
  <c r="B292" i="11"/>
  <c r="B286" i="11"/>
  <c r="B258" i="11"/>
  <c r="B266" i="11"/>
  <c r="B295" i="11"/>
  <c r="B289" i="11"/>
  <c r="B277" i="11"/>
  <c r="B294" i="11"/>
  <c r="B279" i="11"/>
  <c r="B290" i="11"/>
  <c r="B282" i="11"/>
  <c r="B268" i="11"/>
  <c r="B265" i="11"/>
  <c r="B267" i="11"/>
  <c r="B297" i="11"/>
  <c r="B271" i="11"/>
  <c r="B276" i="11"/>
  <c r="B262" i="11"/>
  <c r="B287" i="11"/>
  <c r="B281" i="11"/>
  <c r="B296" i="11"/>
  <c r="B270" i="11"/>
  <c r="B278" i="11"/>
  <c r="B283" i="11"/>
  <c r="B285" i="11"/>
  <c r="B275" i="11"/>
  <c r="B274" i="11"/>
  <c r="B291" i="11"/>
  <c r="B284" i="11"/>
  <c r="B264" i="11"/>
  <c r="B288" i="11"/>
  <c r="B259" i="11"/>
  <c r="B293" i="11"/>
  <c r="B273" i="11"/>
  <c r="B263" i="11"/>
  <c r="B260" i="11"/>
  <c r="G296" i="11"/>
  <c r="G290" i="11"/>
  <c r="G288" i="11"/>
  <c r="G286" i="11"/>
  <c r="G284" i="11"/>
  <c r="G282" i="11"/>
  <c r="G280" i="11"/>
  <c r="G278" i="11"/>
  <c r="G276" i="11"/>
  <c r="G274" i="11"/>
  <c r="G272" i="11"/>
  <c r="G268" i="11"/>
  <c r="G264" i="11"/>
  <c r="G260" i="11"/>
  <c r="G294" i="11"/>
  <c r="G270" i="11"/>
  <c r="G266" i="11"/>
  <c r="G258" i="11"/>
  <c r="G292" i="11"/>
  <c r="G262" i="11"/>
  <c r="G298" i="11"/>
  <c r="G269" i="11"/>
  <c r="G263" i="11"/>
  <c r="G271" i="11"/>
  <c r="G297" i="11"/>
  <c r="G261" i="11"/>
  <c r="G293" i="11"/>
  <c r="G285" i="11"/>
  <c r="G289" i="11"/>
  <c r="G291" i="11"/>
  <c r="G279" i="11"/>
  <c r="G265" i="11"/>
  <c r="G295" i="11"/>
  <c r="G277" i="11"/>
  <c r="G275" i="11"/>
  <c r="G259" i="11"/>
  <c r="G283" i="11"/>
  <c r="G267" i="11"/>
  <c r="G287" i="11"/>
  <c r="G281" i="11"/>
  <c r="G273" i="11"/>
  <c r="H296" i="11"/>
  <c r="H258" i="11"/>
  <c r="H292" i="11"/>
  <c r="H298" i="11"/>
  <c r="H294" i="11"/>
  <c r="H290" i="11"/>
  <c r="H288" i="11"/>
  <c r="H286" i="11"/>
  <c r="H284" i="11"/>
  <c r="H282" i="11"/>
  <c r="H280" i="11"/>
  <c r="H278" i="11"/>
  <c r="H276" i="11"/>
  <c r="H274" i="11"/>
  <c r="H272" i="11"/>
  <c r="H270" i="11"/>
  <c r="H268" i="11"/>
  <c r="H266" i="11"/>
  <c r="H264" i="11"/>
  <c r="H262" i="11"/>
  <c r="H260" i="11"/>
  <c r="H259" i="11"/>
  <c r="H295" i="11"/>
  <c r="H287" i="11"/>
  <c r="H279" i="11"/>
  <c r="H271" i="11"/>
  <c r="H297" i="11"/>
  <c r="H291" i="11"/>
  <c r="H285" i="11"/>
  <c r="H261" i="11"/>
  <c r="H293" i="11"/>
  <c r="H289" i="11"/>
  <c r="H281" i="11"/>
  <c r="H267" i="11"/>
  <c r="H265" i="11"/>
  <c r="H277" i="11"/>
  <c r="H275" i="11"/>
  <c r="H263" i="11"/>
  <c r="H283" i="11"/>
  <c r="H273" i="11"/>
  <c r="H269" i="11"/>
  <c r="F298" i="11"/>
  <c r="F274" i="11"/>
  <c r="F264" i="11"/>
  <c r="F271" i="11"/>
  <c r="F277" i="11"/>
  <c r="F263" i="11"/>
  <c r="F260" i="11"/>
  <c r="F268" i="11"/>
  <c r="F286" i="11"/>
  <c r="F258" i="11"/>
  <c r="F275" i="11"/>
  <c r="F278" i="11"/>
  <c r="F297" i="11"/>
  <c r="F261" i="11"/>
  <c r="F293" i="11"/>
  <c r="F285" i="11"/>
  <c r="F266" i="11"/>
  <c r="F296" i="11"/>
  <c r="F270" i="11"/>
  <c r="F291" i="11"/>
  <c r="F284" i="11"/>
  <c r="F279" i="11"/>
  <c r="F265" i="11"/>
  <c r="F259" i="11"/>
  <c r="F287" i="11"/>
  <c r="F262" i="11"/>
  <c r="F280" i="11"/>
  <c r="F288" i="11"/>
  <c r="F273" i="11"/>
  <c r="F276" i="11"/>
  <c r="F283" i="11"/>
  <c r="F272" i="11"/>
  <c r="F281" i="11"/>
  <c r="F292" i="11"/>
  <c r="F282" i="11"/>
  <c r="F267" i="11"/>
  <c r="F290" i="11"/>
  <c r="F295" i="11"/>
  <c r="F289" i="11"/>
  <c r="F294" i="11"/>
  <c r="F269" i="11"/>
  <c r="D298" i="11"/>
  <c r="D267" i="11"/>
  <c r="D293" i="11"/>
  <c r="D290" i="11"/>
  <c r="D285" i="11"/>
  <c r="D282" i="11"/>
  <c r="D277" i="11"/>
  <c r="D280" i="11"/>
  <c r="D295" i="11"/>
  <c r="D274" i="11"/>
  <c r="D289" i="11"/>
  <c r="D283" i="11"/>
  <c r="D263" i="11"/>
  <c r="D268" i="11"/>
  <c r="D265" i="11"/>
  <c r="D286" i="11"/>
  <c r="D258" i="11"/>
  <c r="D278" i="11"/>
  <c r="D275" i="11"/>
  <c r="D271" i="11"/>
  <c r="D297" i="11"/>
  <c r="D264" i="11"/>
  <c r="D287" i="11"/>
  <c r="D272" i="11"/>
  <c r="D281" i="11"/>
  <c r="D262" i="11"/>
  <c r="D296" i="11"/>
  <c r="D266" i="11"/>
  <c r="D261" i="11"/>
  <c r="D294" i="11"/>
  <c r="D288" i="11"/>
  <c r="D269" i="11"/>
  <c r="D276" i="11"/>
  <c r="D270" i="11"/>
  <c r="D291" i="11"/>
  <c r="D260" i="11"/>
  <c r="D273" i="11"/>
  <c r="D292" i="11"/>
  <c r="D284" i="11"/>
  <c r="D279" i="11"/>
  <c r="D259" i="11"/>
  <c r="E293" i="11"/>
  <c r="E285" i="11"/>
  <c r="E277" i="11"/>
  <c r="E290" i="11"/>
  <c r="E282" i="11"/>
  <c r="E298" i="11"/>
  <c r="E274" i="11"/>
  <c r="E295" i="11"/>
  <c r="E289" i="11"/>
  <c r="E283" i="11"/>
  <c r="E263" i="11"/>
  <c r="E271" i="11"/>
  <c r="E268" i="11"/>
  <c r="E286" i="11"/>
  <c r="E258" i="11"/>
  <c r="E275" i="11"/>
  <c r="E278" i="11"/>
  <c r="E297" i="11"/>
  <c r="E264" i="11"/>
  <c r="E261" i="11"/>
  <c r="E281" i="11"/>
  <c r="E262" i="11"/>
  <c r="E266" i="11"/>
  <c r="E270" i="11"/>
  <c r="E284" i="11"/>
  <c r="E294" i="11"/>
  <c r="E267" i="11"/>
  <c r="E287" i="11"/>
  <c r="E272" i="11"/>
  <c r="E296" i="11"/>
  <c r="E291" i="11"/>
  <c r="E280" i="11"/>
  <c r="E260" i="11"/>
  <c r="E259" i="11"/>
  <c r="E273" i="11"/>
  <c r="E292" i="11"/>
  <c r="E276" i="11"/>
  <c r="E279" i="11"/>
  <c r="E265" i="11"/>
  <c r="E269" i="11"/>
  <c r="E288" i="11"/>
  <c r="C272" i="11"/>
  <c r="C262" i="11"/>
  <c r="C298" i="11"/>
  <c r="C292" i="11"/>
  <c r="C286" i="11"/>
  <c r="C269" i="11"/>
  <c r="C258" i="11"/>
  <c r="C274" i="11"/>
  <c r="C289" i="11"/>
  <c r="C277" i="11"/>
  <c r="C266" i="11"/>
  <c r="C280" i="11"/>
  <c r="C295" i="11"/>
  <c r="C283" i="11"/>
  <c r="C290" i="11"/>
  <c r="C282" i="11"/>
  <c r="C268" i="11"/>
  <c r="C265" i="11"/>
  <c r="C278" i="11"/>
  <c r="C275" i="11"/>
  <c r="C271" i="11"/>
  <c r="C297" i="11"/>
  <c r="C276" i="11"/>
  <c r="C287" i="11"/>
  <c r="C281" i="11"/>
  <c r="C296" i="11"/>
  <c r="C288" i="11"/>
  <c r="C293" i="11"/>
  <c r="C263" i="11"/>
  <c r="C285" i="11"/>
  <c r="C261" i="11"/>
  <c r="C270" i="11"/>
  <c r="C291" i="11"/>
  <c r="C260" i="11"/>
  <c r="C264" i="11"/>
  <c r="C279" i="11"/>
  <c r="C267" i="11"/>
  <c r="C294" i="11"/>
  <c r="C273" i="11"/>
  <c r="C259" i="11"/>
  <c r="C284" i="11"/>
  <c r="D16" i="4"/>
  <c r="D17" i="11"/>
  <c r="E17" i="11" s="1"/>
  <c r="D16" i="11"/>
  <c r="G278" i="9"/>
  <c r="G276" i="9"/>
  <c r="G297" i="9"/>
  <c r="G270" i="9"/>
  <c r="G295" i="9"/>
  <c r="G293" i="9"/>
  <c r="G266" i="9"/>
  <c r="G291" i="9"/>
  <c r="G264" i="9"/>
  <c r="G274" i="9"/>
  <c r="G272" i="9"/>
  <c r="G268" i="9"/>
  <c r="G277" i="9"/>
  <c r="G271" i="9"/>
  <c r="G275" i="9"/>
  <c r="G273" i="9"/>
  <c r="G267" i="9"/>
  <c r="G265" i="9"/>
  <c r="G261" i="9"/>
  <c r="G259" i="9"/>
  <c r="G296" i="9"/>
  <c r="G284" i="9"/>
  <c r="G282" i="9"/>
  <c r="G262" i="9"/>
  <c r="G287" i="9"/>
  <c r="G285" i="9"/>
  <c r="G289" i="9"/>
  <c r="G258" i="9"/>
  <c r="G294" i="9"/>
  <c r="G286" i="9"/>
  <c r="G280" i="9"/>
  <c r="G260" i="9"/>
  <c r="G257" i="9"/>
  <c r="G292" i="9"/>
  <c r="G290" i="9"/>
  <c r="G288" i="9"/>
  <c r="G283" i="9"/>
  <c r="G281" i="9"/>
  <c r="G279" i="9"/>
  <c r="G269" i="9"/>
  <c r="G263" i="9"/>
  <c r="D274" i="9"/>
  <c r="D291" i="9"/>
  <c r="D294" i="9"/>
  <c r="D270" i="9"/>
  <c r="D266" i="9"/>
  <c r="D293" i="9"/>
  <c r="D262" i="9"/>
  <c r="D281" i="9"/>
  <c r="D277" i="9"/>
  <c r="D261" i="9"/>
  <c r="D287" i="9"/>
  <c r="D289" i="9"/>
  <c r="D267" i="9"/>
  <c r="D259" i="9"/>
  <c r="D296" i="9"/>
  <c r="D285" i="9"/>
  <c r="D279" i="9"/>
  <c r="D264" i="9"/>
  <c r="D269" i="9"/>
  <c r="D265" i="9"/>
  <c r="D292" i="9"/>
  <c r="D275" i="9"/>
  <c r="D273" i="9"/>
  <c r="D288" i="9"/>
  <c r="D280" i="9"/>
  <c r="D260" i="9"/>
  <c r="D286" i="9"/>
  <c r="D268" i="9"/>
  <c r="D278" i="9"/>
  <c r="D295" i="9"/>
  <c r="D258" i="9"/>
  <c r="D263" i="9"/>
  <c r="D290" i="9"/>
  <c r="D297" i="9"/>
  <c r="D283" i="9"/>
  <c r="D257" i="9"/>
  <c r="D272" i="9"/>
  <c r="D271" i="9"/>
  <c r="D282" i="9"/>
  <c r="D284" i="9"/>
  <c r="D276" i="9"/>
  <c r="B264" i="9"/>
  <c r="B260" i="9"/>
  <c r="B286" i="9"/>
  <c r="B296" i="9"/>
  <c r="B288" i="9"/>
  <c r="B282" i="9"/>
  <c r="B267" i="9"/>
  <c r="B257" i="9"/>
  <c r="B271" i="9"/>
  <c r="B274" i="9"/>
  <c r="B261" i="9"/>
  <c r="B265" i="9"/>
  <c r="B290" i="9"/>
  <c r="B259" i="9"/>
  <c r="B258" i="9"/>
  <c r="B292" i="9"/>
  <c r="B276" i="9"/>
  <c r="B291" i="9"/>
  <c r="B270" i="9"/>
  <c r="B280" i="9"/>
  <c r="B294" i="9"/>
  <c r="B273" i="9"/>
  <c r="B281" i="9"/>
  <c r="B277" i="9"/>
  <c r="B272" i="9"/>
  <c r="B297" i="9"/>
  <c r="B278" i="9"/>
  <c r="B293" i="9"/>
  <c r="B266" i="9"/>
  <c r="B268" i="9"/>
  <c r="B289" i="9"/>
  <c r="B295" i="9"/>
  <c r="B279" i="9"/>
  <c r="B287" i="9"/>
  <c r="B284" i="9"/>
  <c r="B285" i="9"/>
  <c r="B283" i="9"/>
  <c r="B269" i="9"/>
  <c r="B275" i="9"/>
  <c r="B263" i="9"/>
  <c r="B262" i="9"/>
  <c r="H275" i="9"/>
  <c r="H258" i="9"/>
  <c r="H273" i="9"/>
  <c r="H267" i="9"/>
  <c r="H265" i="9"/>
  <c r="H263" i="9"/>
  <c r="H261" i="9"/>
  <c r="H284" i="9"/>
  <c r="H271" i="9"/>
  <c r="H269" i="9"/>
  <c r="H264" i="9"/>
  <c r="H292" i="9"/>
  <c r="H296" i="9"/>
  <c r="H288" i="9"/>
  <c r="H295" i="9"/>
  <c r="H272" i="9"/>
  <c r="H262" i="9"/>
  <c r="H293" i="9"/>
  <c r="H277" i="9"/>
  <c r="H259" i="9"/>
  <c r="H280" i="9"/>
  <c r="H266" i="9"/>
  <c r="H291" i="9"/>
  <c r="H283" i="9"/>
  <c r="H281" i="9"/>
  <c r="H257" i="9"/>
  <c r="H290" i="9"/>
  <c r="H278" i="9"/>
  <c r="H270" i="9"/>
  <c r="H276" i="9"/>
  <c r="H285" i="9"/>
  <c r="H279" i="9"/>
  <c r="H260" i="9"/>
  <c r="H294" i="9"/>
  <c r="H282" i="9"/>
  <c r="H286" i="9"/>
  <c r="H274" i="9"/>
  <c r="H289" i="9"/>
  <c r="H287" i="9"/>
  <c r="H268" i="9"/>
  <c r="H297" i="9"/>
  <c r="C266" i="9"/>
  <c r="C283" i="9"/>
  <c r="C258" i="9"/>
  <c r="C273" i="9"/>
  <c r="C267" i="9"/>
  <c r="C257" i="9"/>
  <c r="C297" i="9"/>
  <c r="C286" i="9"/>
  <c r="C288" i="9"/>
  <c r="C290" i="9"/>
  <c r="C285" i="9"/>
  <c r="C296" i="9"/>
  <c r="C284" i="9"/>
  <c r="C295" i="9"/>
  <c r="C292" i="9"/>
  <c r="C275" i="9"/>
  <c r="C272" i="9"/>
  <c r="C268" i="9"/>
  <c r="C269" i="9"/>
  <c r="C259" i="9"/>
  <c r="C291" i="9"/>
  <c r="C279" i="9"/>
  <c r="C264" i="9"/>
  <c r="C263" i="9"/>
  <c r="C265" i="9"/>
  <c r="C293" i="9"/>
  <c r="C276" i="9"/>
  <c r="C277" i="9"/>
  <c r="C280" i="9"/>
  <c r="C262" i="9"/>
  <c r="C294" i="9"/>
  <c r="C282" i="9"/>
  <c r="C278" i="9"/>
  <c r="C287" i="9"/>
  <c r="C281" i="9"/>
  <c r="C271" i="9"/>
  <c r="C261" i="9"/>
  <c r="C260" i="9"/>
  <c r="C289" i="9"/>
  <c r="C270" i="9"/>
  <c r="C274" i="9"/>
  <c r="F275" i="9"/>
  <c r="F271" i="9"/>
  <c r="F259" i="9"/>
  <c r="F257" i="9"/>
  <c r="F293" i="9"/>
  <c r="F269" i="9"/>
  <c r="F265" i="9"/>
  <c r="F290" i="9"/>
  <c r="F288" i="9"/>
  <c r="F286" i="9"/>
  <c r="F280" i="9"/>
  <c r="F278" i="9"/>
  <c r="F274" i="9"/>
  <c r="F277" i="9"/>
  <c r="F260" i="9"/>
  <c r="F273" i="9"/>
  <c r="F258" i="9"/>
  <c r="F296" i="9"/>
  <c r="F285" i="9"/>
  <c r="F283" i="9"/>
  <c r="F279" i="9"/>
  <c r="F263" i="9"/>
  <c r="F291" i="9"/>
  <c r="F276" i="9"/>
  <c r="F272" i="9"/>
  <c r="F264" i="9"/>
  <c r="F262" i="9"/>
  <c r="F289" i="9"/>
  <c r="F267" i="9"/>
  <c r="F297" i="9"/>
  <c r="F287" i="9"/>
  <c r="F261" i="9"/>
  <c r="F295" i="9"/>
  <c r="F281" i="9"/>
  <c r="F294" i="9"/>
  <c r="F292" i="9"/>
  <c r="F284" i="9"/>
  <c r="F282" i="9"/>
  <c r="F270" i="9"/>
  <c r="F268" i="9"/>
  <c r="F266" i="9"/>
  <c r="E273" i="9"/>
  <c r="E259" i="9"/>
  <c r="E294" i="9"/>
  <c r="E267" i="9"/>
  <c r="E292" i="9"/>
  <c r="E286" i="9"/>
  <c r="E284" i="9"/>
  <c r="E291" i="9"/>
  <c r="E282" i="9"/>
  <c r="E280" i="9"/>
  <c r="E263" i="9"/>
  <c r="E290" i="9"/>
  <c r="E257" i="9"/>
  <c r="E288" i="9"/>
  <c r="E281" i="9"/>
  <c r="E266" i="9"/>
  <c r="E261" i="9"/>
  <c r="E260" i="9"/>
  <c r="E275" i="9"/>
  <c r="E264" i="9"/>
  <c r="E269" i="9"/>
  <c r="E262" i="9"/>
  <c r="E272" i="9"/>
  <c r="E283" i="9"/>
  <c r="E297" i="9"/>
  <c r="E277" i="9"/>
  <c r="E296" i="9"/>
  <c r="E295" i="9"/>
  <c r="E274" i="9"/>
  <c r="E287" i="9"/>
  <c r="E271" i="9"/>
  <c r="E279" i="9"/>
  <c r="E289" i="9"/>
  <c r="E278" i="9"/>
  <c r="E270" i="9"/>
  <c r="E268" i="9"/>
  <c r="E293" i="9"/>
  <c r="E276" i="9"/>
  <c r="E258" i="9"/>
  <c r="E285" i="9"/>
  <c r="E265" i="9"/>
  <c r="D17" i="9"/>
  <c r="E17" i="9" s="1"/>
  <c r="D16" i="9"/>
  <c r="E295" i="7"/>
  <c r="E293" i="7"/>
  <c r="E291" i="7"/>
  <c r="E287" i="7"/>
  <c r="E285" i="7"/>
  <c r="E281" i="7"/>
  <c r="E277" i="7"/>
  <c r="E273" i="7"/>
  <c r="E269" i="7"/>
  <c r="E265" i="7"/>
  <c r="E261" i="7"/>
  <c r="E257" i="7"/>
  <c r="E297" i="7"/>
  <c r="E289" i="7"/>
  <c r="E283" i="7"/>
  <c r="E279" i="7"/>
  <c r="E275" i="7"/>
  <c r="E271" i="7"/>
  <c r="E267" i="7"/>
  <c r="E263" i="7"/>
  <c r="E259" i="7"/>
  <c r="E296" i="7"/>
  <c r="E294" i="7"/>
  <c r="E292" i="7"/>
  <c r="E290" i="7"/>
  <c r="E288" i="7"/>
  <c r="E286" i="7"/>
  <c r="E284" i="7"/>
  <c r="E282" i="7"/>
  <c r="E280" i="7"/>
  <c r="E278" i="7"/>
  <c r="E276" i="7"/>
  <c r="E274" i="7"/>
  <c r="E272" i="7"/>
  <c r="E270" i="7"/>
  <c r="E268" i="7"/>
  <c r="E266" i="7"/>
  <c r="E264" i="7"/>
  <c r="E262" i="7"/>
  <c r="E260" i="7"/>
  <c r="E258" i="7"/>
  <c r="F297" i="7"/>
  <c r="F295" i="7"/>
  <c r="F293" i="7"/>
  <c r="F291" i="7"/>
  <c r="F289" i="7"/>
  <c r="F287" i="7"/>
  <c r="F285" i="7"/>
  <c r="F283" i="7"/>
  <c r="F281" i="7"/>
  <c r="F279" i="7"/>
  <c r="F277" i="7"/>
  <c r="F275" i="7"/>
  <c r="F273" i="7"/>
  <c r="F271" i="7"/>
  <c r="F269" i="7"/>
  <c r="F267" i="7"/>
  <c r="F265" i="7"/>
  <c r="F263" i="7"/>
  <c r="F261" i="7"/>
  <c r="F259" i="7"/>
  <c r="F257" i="7"/>
  <c r="F296" i="7"/>
  <c r="F294" i="7"/>
  <c r="F292" i="7"/>
  <c r="F290" i="7"/>
  <c r="F288" i="7"/>
  <c r="F286" i="7"/>
  <c r="F284" i="7"/>
  <c r="F282" i="7"/>
  <c r="F280" i="7"/>
  <c r="F278" i="7"/>
  <c r="F276" i="7"/>
  <c r="F274" i="7"/>
  <c r="F272" i="7"/>
  <c r="F270" i="7"/>
  <c r="F268" i="7"/>
  <c r="F266" i="7"/>
  <c r="F264" i="7"/>
  <c r="F262" i="7"/>
  <c r="F260" i="7"/>
  <c r="F258" i="7"/>
  <c r="B259" i="7"/>
  <c r="B278" i="7"/>
  <c r="B297" i="7"/>
  <c r="B289" i="7"/>
  <c r="B285" i="7"/>
  <c r="B274" i="7"/>
  <c r="B281" i="7"/>
  <c r="B270" i="7"/>
  <c r="B277" i="7"/>
  <c r="B262" i="7"/>
  <c r="B258" i="7"/>
  <c r="B282" i="7"/>
  <c r="B293" i="7"/>
  <c r="B266" i="7"/>
  <c r="B273" i="7"/>
  <c r="B269" i="7"/>
  <c r="B283" i="7"/>
  <c r="B272" i="7"/>
  <c r="B279" i="7"/>
  <c r="B268" i="7"/>
  <c r="B275" i="7"/>
  <c r="B284" i="7"/>
  <c r="B276" i="7"/>
  <c r="B260" i="7"/>
  <c r="B292" i="7"/>
  <c r="B288" i="7"/>
  <c r="B296" i="7"/>
  <c r="B287" i="7"/>
  <c r="B263" i="7"/>
  <c r="B295" i="7"/>
  <c r="B261" i="7"/>
  <c r="B286" i="7"/>
  <c r="B294" i="7"/>
  <c r="B267" i="7"/>
  <c r="B291" i="7"/>
  <c r="B265" i="7"/>
  <c r="B290" i="7"/>
  <c r="B280" i="7"/>
  <c r="B257" i="7"/>
  <c r="B264" i="7"/>
  <c r="B271" i="7"/>
  <c r="G297" i="7"/>
  <c r="G295" i="7"/>
  <c r="G293" i="7"/>
  <c r="G291" i="7"/>
  <c r="G289" i="7"/>
  <c r="G287" i="7"/>
  <c r="G285" i="7"/>
  <c r="G283" i="7"/>
  <c r="G281" i="7"/>
  <c r="G279" i="7"/>
  <c r="G277" i="7"/>
  <c r="G275" i="7"/>
  <c r="G273" i="7"/>
  <c r="G271" i="7"/>
  <c r="G269" i="7"/>
  <c r="G267" i="7"/>
  <c r="G265" i="7"/>
  <c r="G263" i="7"/>
  <c r="G261" i="7"/>
  <c r="G259" i="7"/>
  <c r="G257" i="7"/>
  <c r="G270" i="7"/>
  <c r="G266" i="7"/>
  <c r="G262" i="7"/>
  <c r="G258" i="7"/>
  <c r="G292" i="7"/>
  <c r="G284" i="7"/>
  <c r="G296" i="7"/>
  <c r="G288" i="7"/>
  <c r="G280" i="7"/>
  <c r="G260" i="7"/>
  <c r="G286" i="7"/>
  <c r="G278" i="7"/>
  <c r="G294" i="7"/>
  <c r="G276" i="7"/>
  <c r="G268" i="7"/>
  <c r="G282" i="7"/>
  <c r="G274" i="7"/>
  <c r="G264" i="7"/>
  <c r="G290" i="7"/>
  <c r="G272" i="7"/>
  <c r="H295" i="7"/>
  <c r="H291" i="7"/>
  <c r="H285" i="7"/>
  <c r="H281" i="7"/>
  <c r="H277" i="7"/>
  <c r="H273" i="7"/>
  <c r="H269" i="7"/>
  <c r="H265" i="7"/>
  <c r="H261" i="7"/>
  <c r="H297" i="7"/>
  <c r="H293" i="7"/>
  <c r="H289" i="7"/>
  <c r="H287" i="7"/>
  <c r="H283" i="7"/>
  <c r="H279" i="7"/>
  <c r="H275" i="7"/>
  <c r="H271" i="7"/>
  <c r="H267" i="7"/>
  <c r="H263" i="7"/>
  <c r="H259" i="7"/>
  <c r="H257" i="7"/>
  <c r="H266" i="7"/>
  <c r="H262" i="7"/>
  <c r="H258" i="7"/>
  <c r="H296" i="7"/>
  <c r="H292" i="7"/>
  <c r="H288" i="7"/>
  <c r="H276" i="7"/>
  <c r="H284" i="7"/>
  <c r="H280" i="7"/>
  <c r="H294" i="7"/>
  <c r="H290" i="7"/>
  <c r="H286" i="7"/>
  <c r="H270" i="7"/>
  <c r="H268" i="7"/>
  <c r="H274" i="7"/>
  <c r="H278" i="7"/>
  <c r="H260" i="7"/>
  <c r="H282" i="7"/>
  <c r="H272" i="7"/>
  <c r="H264" i="7"/>
  <c r="D297" i="7"/>
  <c r="D293" i="7"/>
  <c r="D291" i="7"/>
  <c r="D289" i="7"/>
  <c r="D287" i="7"/>
  <c r="D281" i="7"/>
  <c r="D295" i="7"/>
  <c r="D285" i="7"/>
  <c r="D274" i="7"/>
  <c r="D270" i="7"/>
  <c r="D273" i="7"/>
  <c r="D262" i="7"/>
  <c r="D269" i="7"/>
  <c r="D296" i="7"/>
  <c r="D284" i="7"/>
  <c r="D277" i="7"/>
  <c r="D266" i="7"/>
  <c r="D258" i="7"/>
  <c r="D265" i="7"/>
  <c r="D292" i="7"/>
  <c r="D288" i="7"/>
  <c r="D261" i="7"/>
  <c r="D280" i="7"/>
  <c r="D264" i="7"/>
  <c r="D271" i="7"/>
  <c r="D260" i="7"/>
  <c r="D267" i="7"/>
  <c r="D275" i="7"/>
  <c r="D259" i="7"/>
  <c r="D286" i="7"/>
  <c r="D278" i="7"/>
  <c r="D294" i="7"/>
  <c r="D276" i="7"/>
  <c r="D268" i="7"/>
  <c r="D283" i="7"/>
  <c r="D257" i="7"/>
  <c r="D272" i="7"/>
  <c r="D279" i="7"/>
  <c r="D263" i="7"/>
  <c r="D282" i="7"/>
  <c r="D290" i="7"/>
  <c r="C278" i="7"/>
  <c r="C285" i="7"/>
  <c r="C274" i="7"/>
  <c r="C281" i="7"/>
  <c r="C270" i="7"/>
  <c r="C266" i="7"/>
  <c r="C273" i="7"/>
  <c r="C262" i="7"/>
  <c r="C269" i="7"/>
  <c r="C258" i="7"/>
  <c r="C265" i="7"/>
  <c r="C296" i="7"/>
  <c r="C297" i="7"/>
  <c r="C293" i="7"/>
  <c r="C289" i="7"/>
  <c r="C277" i="7"/>
  <c r="C292" i="7"/>
  <c r="C288" i="7"/>
  <c r="C268" i="7"/>
  <c r="C275" i="7"/>
  <c r="C264" i="7"/>
  <c r="C271" i="7"/>
  <c r="C295" i="7"/>
  <c r="C261" i="7"/>
  <c r="C286" i="7"/>
  <c r="C284" i="7"/>
  <c r="C276" i="7"/>
  <c r="C260" i="7"/>
  <c r="C267" i="7"/>
  <c r="C283" i="7"/>
  <c r="C259" i="7"/>
  <c r="C280" i="7"/>
  <c r="C272" i="7"/>
  <c r="C287" i="7"/>
  <c r="C263" i="7"/>
  <c r="C294" i="7"/>
  <c r="C291" i="7"/>
  <c r="C257" i="7"/>
  <c r="C290" i="7"/>
  <c r="C279" i="7"/>
  <c r="C282" i="7"/>
  <c r="D16" i="7"/>
  <c r="D17" i="7"/>
  <c r="E17" i="7" s="1"/>
  <c r="H290" i="4"/>
  <c r="H285" i="4"/>
  <c r="H273" i="4"/>
  <c r="H265" i="4"/>
  <c r="H296" i="4"/>
  <c r="H271" i="4"/>
  <c r="H267" i="4"/>
  <c r="H286" i="4"/>
  <c r="H274" i="4"/>
  <c r="H293" i="4"/>
  <c r="H281" i="4"/>
  <c r="H269" i="4"/>
  <c r="H261" i="4"/>
  <c r="H288" i="4"/>
  <c r="H263" i="4"/>
  <c r="H294" i="4"/>
  <c r="H282" i="4"/>
  <c r="H278" i="4"/>
  <c r="H266" i="4"/>
  <c r="H289" i="4"/>
  <c r="H292" i="4"/>
  <c r="H284" i="4"/>
  <c r="H298" i="4"/>
  <c r="H259" i="4"/>
  <c r="H270" i="4"/>
  <c r="H262" i="4"/>
  <c r="H258" i="4"/>
  <c r="H277" i="4"/>
  <c r="H275" i="4"/>
  <c r="H297" i="4"/>
  <c r="H280" i="4"/>
  <c r="H276" i="4"/>
  <c r="H272" i="4"/>
  <c r="H268" i="4"/>
  <c r="H264" i="4"/>
  <c r="H260" i="4"/>
  <c r="H295" i="4"/>
  <c r="H291" i="4"/>
  <c r="H287" i="4"/>
  <c r="H283" i="4"/>
  <c r="H279" i="4"/>
  <c r="G275" i="4"/>
  <c r="G259" i="4"/>
  <c r="G290" i="4"/>
  <c r="G274" i="4"/>
  <c r="G270" i="4"/>
  <c r="G262" i="4"/>
  <c r="G261" i="4"/>
  <c r="G288" i="4"/>
  <c r="G279" i="4"/>
  <c r="G289" i="4"/>
  <c r="G269" i="4"/>
  <c r="G292" i="4"/>
  <c r="G271" i="4"/>
  <c r="G267" i="4"/>
  <c r="G294" i="4"/>
  <c r="G282" i="4"/>
  <c r="G278" i="4"/>
  <c r="G266" i="4"/>
  <c r="G293" i="4"/>
  <c r="G258" i="4"/>
  <c r="G281" i="4"/>
  <c r="G273" i="4"/>
  <c r="G283" i="4"/>
  <c r="G263" i="4"/>
  <c r="G298" i="4"/>
  <c r="G286" i="4"/>
  <c r="G297" i="4"/>
  <c r="G285" i="4"/>
  <c r="G277" i="4"/>
  <c r="G265" i="4"/>
  <c r="G296" i="4"/>
  <c r="G284" i="4"/>
  <c r="G280" i="4"/>
  <c r="G276" i="4"/>
  <c r="G272" i="4"/>
  <c r="G268" i="4"/>
  <c r="G264" i="4"/>
  <c r="G260" i="4"/>
  <c r="G295" i="4"/>
  <c r="G291" i="4"/>
  <c r="G287" i="4"/>
  <c r="F279" i="4"/>
  <c r="F259" i="4"/>
  <c r="F274" i="4"/>
  <c r="F297" i="4"/>
  <c r="F285" i="4"/>
  <c r="F258" i="4"/>
  <c r="F295" i="4"/>
  <c r="F275" i="4"/>
  <c r="F263" i="4"/>
  <c r="F298" i="4"/>
  <c r="F286" i="4"/>
  <c r="F266" i="4"/>
  <c r="F262" i="4"/>
  <c r="F289" i="4"/>
  <c r="F277" i="4"/>
  <c r="F269" i="4"/>
  <c r="F261" i="4"/>
  <c r="F291" i="4"/>
  <c r="F283" i="4"/>
  <c r="F294" i="4"/>
  <c r="F293" i="4"/>
  <c r="F273" i="4"/>
  <c r="F271" i="4"/>
  <c r="F267" i="4"/>
  <c r="F290" i="4"/>
  <c r="F282" i="4"/>
  <c r="F278" i="4"/>
  <c r="F270" i="4"/>
  <c r="F281" i="4"/>
  <c r="F265" i="4"/>
  <c r="F287" i="4"/>
  <c r="F296" i="4"/>
  <c r="F292" i="4"/>
  <c r="F288" i="4"/>
  <c r="F284" i="4"/>
  <c r="F280" i="4"/>
  <c r="F276" i="4"/>
  <c r="F272" i="4"/>
  <c r="F268" i="4"/>
  <c r="F264" i="4"/>
  <c r="F260" i="4"/>
  <c r="E283" i="4"/>
  <c r="E298" i="4"/>
  <c r="E286" i="4"/>
  <c r="E266" i="4"/>
  <c r="E262" i="4"/>
  <c r="E258" i="4"/>
  <c r="E281" i="4"/>
  <c r="E277" i="4"/>
  <c r="E273" i="4"/>
  <c r="E261" i="4"/>
  <c r="E279" i="4"/>
  <c r="E271" i="4"/>
  <c r="E259" i="4"/>
  <c r="E282" i="4"/>
  <c r="E278" i="4"/>
  <c r="E274" i="4"/>
  <c r="E293" i="4"/>
  <c r="E275" i="4"/>
  <c r="E267" i="4"/>
  <c r="E290" i="4"/>
  <c r="E270" i="4"/>
  <c r="E285" i="4"/>
  <c r="E269" i="4"/>
  <c r="E287" i="4"/>
  <c r="E263" i="4"/>
  <c r="E294" i="4"/>
  <c r="E297" i="4"/>
  <c r="E289" i="4"/>
  <c r="E291" i="4"/>
  <c r="E265" i="4"/>
  <c r="E296" i="4"/>
  <c r="E292" i="4"/>
  <c r="E288" i="4"/>
  <c r="E284" i="4"/>
  <c r="E280" i="4"/>
  <c r="E276" i="4"/>
  <c r="E272" i="4"/>
  <c r="E268" i="4"/>
  <c r="E264" i="4"/>
  <c r="E260" i="4"/>
  <c r="E295" i="4"/>
  <c r="D295" i="4"/>
  <c r="D291" i="4"/>
  <c r="D287" i="4"/>
  <c r="D294" i="4"/>
  <c r="D259" i="4"/>
  <c r="D285" i="4"/>
  <c r="D283" i="4"/>
  <c r="D267" i="4"/>
  <c r="D298" i="4"/>
  <c r="D290" i="4"/>
  <c r="D266" i="4"/>
  <c r="D289" i="4"/>
  <c r="D281" i="4"/>
  <c r="D279" i="4"/>
  <c r="D271" i="4"/>
  <c r="D263" i="4"/>
  <c r="D282" i="4"/>
  <c r="D274" i="4"/>
  <c r="D297" i="4"/>
  <c r="D258" i="4"/>
  <c r="D277" i="4"/>
  <c r="D269" i="4"/>
  <c r="D264" i="4"/>
  <c r="D275" i="4"/>
  <c r="D286" i="4"/>
  <c r="D278" i="4"/>
  <c r="D270" i="4"/>
  <c r="D262" i="4"/>
  <c r="D293" i="4"/>
  <c r="D273" i="4"/>
  <c r="D265" i="4"/>
  <c r="D261" i="4"/>
  <c r="D296" i="4"/>
  <c r="D292" i="4"/>
  <c r="D288" i="4"/>
  <c r="D284" i="4"/>
  <c r="D280" i="4"/>
  <c r="D276" i="4"/>
  <c r="D272" i="4"/>
  <c r="D268" i="4"/>
  <c r="D260" i="4"/>
  <c r="C260" i="4"/>
  <c r="C275" i="4"/>
  <c r="C282" i="4"/>
  <c r="C274" i="4"/>
  <c r="C270" i="4"/>
  <c r="C293" i="4"/>
  <c r="C281" i="4"/>
  <c r="C264" i="4"/>
  <c r="C295" i="4"/>
  <c r="C291" i="4"/>
  <c r="C287" i="4"/>
  <c r="C267" i="4"/>
  <c r="C290" i="4"/>
  <c r="C266" i="4"/>
  <c r="C297" i="4"/>
  <c r="C285" i="4"/>
  <c r="C277" i="4"/>
  <c r="C273" i="4"/>
  <c r="C283" i="4"/>
  <c r="C263" i="4"/>
  <c r="C298" i="4"/>
  <c r="C286" i="4"/>
  <c r="C259" i="4"/>
  <c r="C258" i="4"/>
  <c r="C279" i="4"/>
  <c r="C271" i="4"/>
  <c r="C294" i="4"/>
  <c r="C278" i="4"/>
  <c r="C262" i="4"/>
  <c r="C289" i="4"/>
  <c r="C268" i="4"/>
  <c r="C269" i="4"/>
  <c r="C265" i="4"/>
  <c r="C261" i="4"/>
  <c r="C296" i="4"/>
  <c r="C292" i="4"/>
  <c r="C288" i="4"/>
  <c r="C284" i="4"/>
  <c r="C280" i="4"/>
  <c r="C276" i="4"/>
  <c r="C272" i="4"/>
  <c r="B258" i="4"/>
  <c r="B264" i="4"/>
  <c r="B275" i="4"/>
  <c r="B267" i="4"/>
  <c r="B298" i="4"/>
  <c r="B290" i="4"/>
  <c r="B282" i="4"/>
  <c r="B297" i="4"/>
  <c r="B285" i="4"/>
  <c r="B281" i="4"/>
  <c r="B277" i="4"/>
  <c r="B260" i="4"/>
  <c r="B279" i="4"/>
  <c r="B286" i="4"/>
  <c r="B259" i="4"/>
  <c r="B278" i="4"/>
  <c r="B270" i="4"/>
  <c r="B262" i="4"/>
  <c r="B272" i="4"/>
  <c r="B295" i="4"/>
  <c r="B291" i="4"/>
  <c r="B287" i="4"/>
  <c r="B263" i="4"/>
  <c r="B274" i="4"/>
  <c r="B266" i="4"/>
  <c r="B293" i="4"/>
  <c r="B268" i="4"/>
  <c r="B283" i="4"/>
  <c r="B271" i="4"/>
  <c r="B294" i="4"/>
  <c r="B289" i="4"/>
  <c r="B273" i="4"/>
  <c r="B269" i="4"/>
  <c r="B265" i="4"/>
  <c r="B261" i="4"/>
  <c r="B296" i="4"/>
  <c r="B292" i="4"/>
  <c r="B288" i="4"/>
  <c r="B284" i="4"/>
  <c r="B280" i="4"/>
  <c r="B276" i="4"/>
  <c r="E19" i="11" a="1"/>
  <c r="E19" i="9" a="1"/>
  <c r="E19" i="7" a="1"/>
  <c r="E19" i="4" a="1"/>
  <c r="E19" i="4" l="1"/>
  <c r="E19" i="7"/>
  <c r="E19" i="9"/>
  <c r="E19" i="11"/>
  <c r="E16" i="7"/>
  <c r="E16" i="9"/>
  <c r="E16" i="4"/>
  <c r="E16" i="11"/>
  <c r="C2" i="7"/>
  <c r="C3" i="9"/>
  <c r="C3" i="7"/>
  <c r="C9" i="4"/>
  <c r="C3" i="4"/>
  <c r="C9" i="9"/>
  <c r="C2" i="9"/>
  <c r="C9" i="7"/>
  <c r="C2" i="4"/>
  <c r="Q35" i="4" a="1"/>
  <c r="Q24" i="4" a="1"/>
  <c r="Q30" i="4" a="1"/>
  <c r="Q33" i="4" a="1"/>
  <c r="Q27" i="4" a="1"/>
  <c r="Q32" i="4" a="1"/>
  <c r="Q36" i="4" a="1"/>
  <c r="Q34" i="4" a="1"/>
  <c r="Q26" i="4" a="1"/>
  <c r="Q29" i="4" a="1"/>
  <c r="Q31" i="4" a="1"/>
  <c r="Q25" i="4" a="1"/>
  <c r="Q28" i="4" a="1"/>
  <c r="Q27" i="9" a="1"/>
  <c r="Q33" i="9" a="1"/>
  <c r="Q35" i="9" a="1"/>
  <c r="Q32" i="9" a="1"/>
  <c r="Q24" i="9" a="1"/>
  <c r="Q29" i="9" a="1"/>
  <c r="Q34" i="9" a="1"/>
  <c r="Q31" i="9" a="1"/>
  <c r="Q26" i="9" a="1"/>
  <c r="Q28" i="9" a="1"/>
  <c r="Q25" i="9" a="1"/>
  <c r="Q23" i="9" a="1"/>
  <c r="Q30" i="9" a="1"/>
  <c r="Q36" i="11" a="1"/>
  <c r="Q26" i="11" a="1"/>
  <c r="Q28" i="11" a="1"/>
  <c r="Q30" i="11" a="1"/>
  <c r="Q34" i="11" a="1"/>
  <c r="Q32" i="11" a="1"/>
  <c r="Q24" i="11" a="1"/>
  <c r="Q25" i="11" a="1"/>
  <c r="Q27" i="11" a="1"/>
  <c r="Q29" i="11" a="1"/>
  <c r="Q31" i="11" a="1"/>
  <c r="Q33" i="11" a="1"/>
  <c r="Q35" i="11" a="1"/>
  <c r="B7" i="4" a="1"/>
  <c r="Q24" i="7" a="1"/>
  <c r="Q34" i="7" a="1"/>
  <c r="Q29" i="7" a="1"/>
  <c r="Q33" i="7" a="1"/>
  <c r="Q23" i="7" a="1"/>
  <c r="Q25" i="7" a="1"/>
  <c r="Q31" i="7" a="1"/>
  <c r="Q30" i="7" a="1"/>
  <c r="Q32" i="7" a="1"/>
  <c r="Q27" i="7" a="1"/>
  <c r="Q26" i="7" a="1"/>
  <c r="Q28" i="7" a="1"/>
  <c r="Q35" i="7" a="1"/>
  <c r="Q35" i="11" l="1"/>
  <c r="Q33" i="11"/>
  <c r="Q31" i="11"/>
  <c r="Q29" i="11"/>
  <c r="Q27" i="11"/>
  <c r="Q25" i="11"/>
  <c r="Q24" i="11"/>
  <c r="Q32" i="11"/>
  <c r="Q34" i="11"/>
  <c r="Q30" i="11"/>
  <c r="Q28" i="11"/>
  <c r="Q26" i="11"/>
  <c r="Q36" i="11"/>
  <c r="Q30" i="9"/>
  <c r="Q23" i="9"/>
  <c r="Q25" i="9"/>
  <c r="Q28" i="9"/>
  <c r="Q26" i="9"/>
  <c r="Q31" i="9"/>
  <c r="Q34" i="9"/>
  <c r="Q29" i="9"/>
  <c r="Q24" i="9"/>
  <c r="Q32" i="9"/>
  <c r="Q35" i="9"/>
  <c r="Q33" i="9"/>
  <c r="Q27" i="9"/>
  <c r="Q28" i="4"/>
  <c r="Q25" i="4"/>
  <c r="Q31" i="4"/>
  <c r="Q29" i="4"/>
  <c r="Q26" i="4"/>
  <c r="Q34" i="4"/>
  <c r="Q36" i="4"/>
  <c r="Q32" i="4"/>
  <c r="Q27" i="4"/>
  <c r="Q33" i="4"/>
  <c r="Q30" i="4"/>
  <c r="Q24" i="4"/>
  <c r="Q35" i="4"/>
  <c r="B7" i="4"/>
  <c r="Q35" i="7"/>
  <c r="Q28" i="7"/>
  <c r="Q26" i="7"/>
  <c r="Q27" i="7"/>
  <c r="Q32" i="7"/>
  <c r="Q30" i="7"/>
  <c r="Q31" i="7"/>
  <c r="Q25" i="7"/>
  <c r="Q23" i="7"/>
  <c r="Q33" i="7"/>
  <c r="Q29" i="7"/>
  <c r="Q34" i="7"/>
  <c r="Q24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<sst xmlns="http://schemas.openxmlformats.org/spreadsheetml/2006/main" count="771" uniqueCount="85">
  <si>
    <t>Caliber</t>
  </si>
  <si>
    <t>Shooting Angle(deg)</t>
  </si>
  <si>
    <t>Wind (m/s)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</si>
  <si>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</si>
  <si>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</si>
  <si>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</si>
  <si>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</si>
  <si>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</si>
  <si>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</si>
  <si>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</si>
  <si>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</si>
  <si>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</si>
  <si>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</si>
  <si>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</si>
  <si>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</si>
  <si>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</si>
  <si>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</si>
  <si>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</si>
  <si>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</si>
  <si>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Computed Muzzle Velocity(m/s)</t>
  </si>
  <si>
    <t>Bullet Weight(gr)</t>
  </si>
  <si>
    <t>BC: G1</t>
  </si>
  <si>
    <t>Measured Muzzle Energy(J)</t>
  </si>
  <si>
    <t>Measured Energy(J)</t>
  </si>
  <si>
    <t>Measured Elevation Angle (scope units)</t>
  </si>
  <si>
    <t>Calculated Trajectory(cm)</t>
  </si>
  <si>
    <t>Scope Height(cm)</t>
  </si>
  <si>
    <t>Hornady Standard Ballistics Calculator</t>
  </si>
  <si>
    <t>Polymer Tipped Hollow Point</t>
  </si>
  <si>
    <t>Soft Point</t>
  </si>
  <si>
    <t>Estimated Error</t>
  </si>
  <si>
    <t>(cm)</t>
  </si>
  <si>
    <t>400m zero</t>
  </si>
  <si>
    <t>500m zero</t>
  </si>
  <si>
    <t>50m zero(G1 BC)</t>
  </si>
  <si>
    <t>Wind Drift</t>
  </si>
  <si>
    <t>Wind Drift (MOA)</t>
  </si>
  <si>
    <t>Wind Drift (MILS)</t>
  </si>
  <si>
    <t>Hollow Point</t>
  </si>
  <si>
    <t>Federal Barnes TSX</t>
  </si>
  <si>
    <t>270 Winchester</t>
  </si>
  <si>
    <t>Federal Trophy Bonded Tip</t>
  </si>
  <si>
    <t>Remington Core-Lokt</t>
  </si>
  <si>
    <t>Rifle Precision(MOA)</t>
  </si>
  <si>
    <t>Rifle Precision(MILS), Error(MILS)</t>
  </si>
  <si>
    <t>Bushnell Elite Tactical FFP @21x</t>
  </si>
  <si>
    <t>HunterSense POI Diameter</t>
  </si>
  <si>
    <t>SU</t>
  </si>
  <si>
    <t>Error(SU)</t>
  </si>
  <si>
    <t>MILS</t>
  </si>
  <si>
    <t>Error(MILS)</t>
  </si>
  <si>
    <t>Outer Circle(scope units),(MILS)</t>
  </si>
  <si>
    <t>Inner Circle(scope units),(MILS)</t>
  </si>
  <si>
    <t>Angular Resolution Scale Factor(su to mils)</t>
  </si>
  <si>
    <t>Probable Error</t>
  </si>
  <si>
    <t>Trajectory Drop Polynomial Coefficients</t>
  </si>
  <si>
    <t>Energy Polynomial Coefficients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</si>
  <si>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</si>
  <si>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</si>
  <si>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</si>
  <si>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</si>
  <si>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</si>
  <si>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</si>
  <si>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</si>
  <si>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</si>
  <si>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Manufacturer's Data Sheet</t>
  </si>
  <si>
    <t>Bullet Weight(gr),(g)</t>
  </si>
  <si>
    <t>Caliber(in),(mm)</t>
  </si>
  <si>
    <t>Muzzle Energy(flb),(J)</t>
  </si>
  <si>
    <t>Muzzle Velocity(fps),(m/s)</t>
  </si>
  <si>
    <t>n/a</t>
  </si>
  <si>
    <t>100m zero(G1 BC)</t>
  </si>
  <si>
    <t>150m zero(G1 BC)</t>
  </si>
  <si>
    <t>200m zero(G1 BC)</t>
  </si>
  <si>
    <t>300m zero(G1 BC)</t>
  </si>
  <si>
    <t>400m zero(G1 BC)</t>
  </si>
  <si>
    <t>500m zero(G1 BC)</t>
  </si>
  <si>
    <t>50m Zero(G7 BC)</t>
  </si>
  <si>
    <t>100m Zero(G7 BC)</t>
  </si>
  <si>
    <t>150m Zero(G7 BC)</t>
  </si>
  <si>
    <t>200m Zero(G7 BC)</t>
  </si>
  <si>
    <t>300m Zero(G7 BC)</t>
  </si>
  <si>
    <t>400m Zero(G7 BC)</t>
  </si>
  <si>
    <t>500m Zero(G7 BC)</t>
  </si>
  <si>
    <t>Polymer Tipped Hollow Point After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</si>
</sst>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0E+00"/>
    <numFmt numFmtId="167" formatCode="#,##0.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8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0" fontId="1" fillId="5" borderId="0" xfId="0" applyFont="1" applyFill="1"/>
    <xf numFmtId="164" fontId="1" fillId="5" borderId="0" xfId="0" applyNumberFormat="1" applyFont="1" applyFill="1"/>
    <xf numFmtId="0" fontId="0" fillId="0" borderId="0" xfId="0" applyAlignment="1">
      <alignment horizontal="center"/>
    </xf>
    <xf numFmtId="164" fontId="0" fillId="0" borderId="2" xfId="0" applyNumberFormat="1" applyBorder="1"/>
    <xf numFmtId="164" fontId="0" fillId="3" borderId="2" xfId="0" applyNumberFormat="1" applyFill="1" applyBorder="1"/>
    <xf numFmtId="0" fontId="0" fillId="0" borderId="1" xfId="0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49" fontId="0" fillId="0" borderId="0" xfId="0" applyNumberFormat="1"/>
    <xf numFmtId="10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165" fontId="0" fillId="0" borderId="0" xfId="0" applyNumberFormat="1"/>
    <xf numFmtId="164" fontId="0" fillId="0" borderId="0" xfId="0" applyNumberFormat="1" applyAlignment="1">
      <alignment horizontal="right"/>
    </xf>
    <xf numFmtId="0" fontId="1" fillId="6" borderId="0" xfId="0" applyFont="1" applyFill="1"/>
    <xf numFmtId="164" fontId="1" fillId="6" borderId="0" xfId="0" applyNumberFormat="1" applyFont="1" applyFill="1"/>
    <xf numFmtId="49" fontId="0" fillId="0" borderId="0" xfId="0" applyNumberFormat="1" applyAlignment="1">
      <alignment horizontal="center" wrapText="1"/>
    </xf>
    <xf numFmtId="166" fontId="0" fillId="0" borderId="0" xfId="0" applyNumberFormat="1"/>
    <xf numFmtId="166" fontId="0" fillId="0" borderId="0" xfId="0" applyNumberFormat="1" applyAlignment="1">
      <alignment horizontal="right"/>
    </xf>
    <xf numFmtId="164" fontId="0" fillId="3" borderId="0" xfId="0" applyNumberFormat="1" applyFill="1"/>
    <xf numFmtId="167" fontId="0" fillId="0" borderId="0" xfId="0" applyNumberFormat="1"/>
    <xf numFmtId="0" fontId="0" fillId="4" borderId="0" xfId="0" applyFill="1"/>
    <xf numFmtId="2" fontId="1" fillId="4" borderId="0" xfId="0" applyNumberFormat="1" applyFont="1" applyFill="1"/>
    <xf numFmtId="164" fontId="0" fillId="6" borderId="0" xfId="0" applyNumberFormat="1" applyFill="1"/>
    <xf numFmtId="0" fontId="0" fillId="6" borderId="0" xfId="0" applyFill="1"/>
    <xf numFmtId="0" fontId="1" fillId="0" borderId="0" xfId="0" applyFont="1"/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4" borderId="0" xfId="0" applyFont="1" applyFill="1"/>
    <xf numFmtId="0" fontId="1" fillId="0" borderId="1" xfId="0" applyFont="1" applyBorder="1"/>
    <xf numFmtId="164" fontId="1" fillId="0" borderId="0" xfId="0" applyNumberFormat="1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PHP'!$B$23:$B$36</c:f>
              <c:numCache>
                <c:formatCode>0.00</c:formatCode>
                <c:ptCount val="14"/>
                <c:pt idx="0">
                  <c:v>3664</c:v>
                </c:pt>
                <c:pt idx="1">
                  <c:v>3604.9</c:v>
                </c:pt>
                <c:pt idx="2">
                  <c:v>3540.6</c:v>
                </c:pt>
                <c:pt idx="3">
                  <c:v>3465.1</c:v>
                </c:pt>
                <c:pt idx="4">
                  <c:v>3404.3</c:v>
                </c:pt>
                <c:pt idx="5">
                  <c:v>3331.5</c:v>
                </c:pt>
                <c:pt idx="6">
                  <c:v>3260.2</c:v>
                </c:pt>
                <c:pt idx="7">
                  <c:v>3136.2</c:v>
                </c:pt>
                <c:pt idx="8">
                  <c:v>3007.7</c:v>
                </c:pt>
                <c:pt idx="9">
                  <c:v>2886</c:v>
                </c:pt>
                <c:pt idx="10">
                  <c:v>2772.1</c:v>
                </c:pt>
                <c:pt idx="11">
                  <c:v>2661</c:v>
                </c:pt>
                <c:pt idx="12">
                  <c:v>2549.1999999999998</c:v>
                </c:pt>
                <c:pt idx="13">
                  <c:v>2443.6999999999998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291-4E02-8044-6DF73C2964C1}"/>
            </c:ext>
          </c:extLst>
        </c:ser>
        <c:ser>
          <c:idx val="1"/>
          <c:order val="1"/>
          <c:tx>
            <c:strRef>
              <c:f>'TrophyBonded PHP'!$A$79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PHP'!$A$81:$A$101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PHP'!$C$81:$C$101</c:f>
              <c:numCache>
                <c:formatCode>0.00</c:formatCode>
                <c:ptCount val="21"/>
                <c:pt idx="0">
                  <c:v>3665</c:v>
                </c:pt>
                <c:pt idx="1">
                  <c:v>3519</c:v>
                </c:pt>
                <c:pt idx="2">
                  <c:v>3379</c:v>
                </c:pt>
                <c:pt idx="3">
                  <c:v>3244</c:v>
                </c:pt>
                <c:pt idx="4">
                  <c:v>3114</c:v>
                </c:pt>
                <c:pt idx="5">
                  <c:v>2988</c:v>
                </c:pt>
                <c:pt idx="6">
                  <c:v>2866</c:v>
                </c:pt>
                <c:pt idx="7">
                  <c:v>2748</c:v>
                </c:pt>
                <c:pt idx="8">
                  <c:v>2635</c:v>
                </c:pt>
                <c:pt idx="9">
                  <c:v>2524</c:v>
                </c:pt>
                <c:pt idx="10">
                  <c:v>2418</c:v>
                </c:pt>
                <c:pt idx="11">
                  <c:v>2315</c:v>
                </c:pt>
                <c:pt idx="12">
                  <c:v>2215</c:v>
                </c:pt>
                <c:pt idx="13">
                  <c:v>2119</c:v>
                </c:pt>
                <c:pt idx="14">
                  <c:v>2026</c:v>
                </c:pt>
                <c:pt idx="15">
                  <c:v>1936</c:v>
                </c:pt>
                <c:pt idx="16">
                  <c:v>1850</c:v>
                </c:pt>
                <c:pt idx="17">
                  <c:v>1766</c:v>
                </c:pt>
                <c:pt idx="18">
                  <c:v>1685</c:v>
                </c:pt>
                <c:pt idx="19">
                  <c:v>1608</c:v>
                </c:pt>
                <c:pt idx="20">
                  <c:v>1536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291-4E02-8044-6DF73C2964C1}"/>
            </c:ext>
          </c:extLst>
        </c:ser>
        <c:ser>
          <c:idx val="2"/>
          <c:order val="2"/>
          <c:tx>
            <c:strRef>
              <c:f>'TrophyBonded PHP'!$H$79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PHP'!$H$81:$H$101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PHP'!$J$81:$J$101</c:f>
              <c:numCache>
                <c:formatCode>0.00</c:formatCode>
                <c:ptCount val="21"/>
                <c:pt idx="0">
                  <c:v>3664</c:v>
                </c:pt>
                <c:pt idx="1">
                  <c:v>3592</c:v>
                </c:pt>
                <c:pt idx="2">
                  <c:v>3521</c:v>
                </c:pt>
                <c:pt idx="3">
                  <c:v>3452</c:v>
                </c:pt>
                <c:pt idx="4">
                  <c:v>3384</c:v>
                </c:pt>
                <c:pt idx="5">
                  <c:v>3317</c:v>
                </c:pt>
                <c:pt idx="6">
                  <c:v>3251</c:v>
                </c:pt>
                <c:pt idx="7">
                  <c:v>3186</c:v>
                </c:pt>
                <c:pt idx="8">
                  <c:v>3122</c:v>
                </c:pt>
                <c:pt idx="9">
                  <c:v>3059</c:v>
                </c:pt>
                <c:pt idx="10">
                  <c:v>2997</c:v>
                </c:pt>
                <c:pt idx="11">
                  <c:v>2936</c:v>
                </c:pt>
                <c:pt idx="12">
                  <c:v>2876</c:v>
                </c:pt>
                <c:pt idx="13">
                  <c:v>2816</c:v>
                </c:pt>
                <c:pt idx="14">
                  <c:v>2758</c:v>
                </c:pt>
                <c:pt idx="15">
                  <c:v>2701</c:v>
                </c:pt>
                <c:pt idx="16">
                  <c:v>2644</c:v>
                </c:pt>
                <c:pt idx="17">
                  <c:v>2589</c:v>
                </c:pt>
                <c:pt idx="18">
                  <c:v>2534</c:v>
                </c:pt>
                <c:pt idx="19">
                  <c:v>2480</c:v>
                </c:pt>
                <c:pt idx="20">
                  <c:v>2430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90-40E2-877D-CA7C99385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PHP'!$J$22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PHP'!$J$23:$J$36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3.9425002042649626</c:v>
                </c:pt>
                <c:pt idx="5">
                  <c:v>4.9281252553312029</c:v>
                </c:pt>
                <c:pt idx="6">
                  <c:v>5.9137503063974446</c:v>
                </c:pt>
                <c:pt idx="7">
                  <c:v>0</c:v>
                </c:pt>
                <c:pt idx="8">
                  <c:v>-9.8562505106624059</c:v>
                </c:pt>
                <c:pt idx="9">
                  <c:v>-23.797504991491682</c:v>
                </c:pt>
                <c:pt idx="10">
                  <c:v>-41.562519536550738</c:v>
                </c:pt>
                <c:pt idx="11">
                  <c:v>-63.270052765821092</c:v>
                </c:pt>
                <c:pt idx="12">
                  <c:v>-89.133866568426569</c:v>
                </c:pt>
                <c:pt idx="13">
                  <c:v>-118.75022327524334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95-4627-8C5C-9C6B06E55221}"/>
            </c:ext>
          </c:extLst>
        </c:ser>
        <c:ser>
          <c:idx val="1"/>
          <c:order val="1"/>
          <c:tx>
            <c:strRef>
              <c:f>'TrophyBonded PHP'!$K$22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PHP'!$K$23:$K$36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-0.60000000032</c:v>
                </c:pt>
                <c:pt idx="7">
                  <c:v>-6.6400002439624641</c:v>
                </c:pt>
                <c:pt idx="8">
                  <c:v>-16.700002483980715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-66.720061876730625</c:v>
                </c:pt>
                <c:pt idx="12">
                  <c:v>-90.000120000191998</c:v>
                </c:pt>
                <c:pt idx="13">
                  <c:v>-116.60021136609924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95-4627-8C5C-9C6B06E55221}"/>
            </c:ext>
          </c:extLst>
        </c:ser>
        <c:ser>
          <c:idx val="2"/>
          <c:order val="2"/>
          <c:tx>
            <c:strRef>
              <c:f>'TrophyBonded PHP'!$L$22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PHP'!$L$23:$L$36</c:f>
              <c:numCache>
                <c:formatCode>0.00</c:formatCode>
                <c:ptCount val="14"/>
                <c:pt idx="0">
                  <c:v>-3.81</c:v>
                </c:pt>
                <c:pt idx="1">
                  <c:v>-2.9218763304049835</c:v>
                </c:pt>
                <c:pt idx="2">
                  <c:v>-0.53125000199910488</c:v>
                </c:pt>
                <c:pt idx="3">
                  <c:v>0.79687500299865721</c:v>
                </c:pt>
                <c:pt idx="4">
                  <c:v>1.0625000039982098</c:v>
                </c:pt>
                <c:pt idx="5">
                  <c:v>1.328125004997762</c:v>
                </c:pt>
                <c:pt idx="6">
                  <c:v>0</c:v>
                </c:pt>
                <c:pt idx="7">
                  <c:v>-4.2500000639713553</c:v>
                </c:pt>
                <c:pt idx="8">
                  <c:v>-13.281251249440654</c:v>
                </c:pt>
                <c:pt idx="9">
                  <c:v>-21.292503575331303</c:v>
                </c:pt>
                <c:pt idx="10">
                  <c:v>-37.187513993740048</c:v>
                </c:pt>
                <c:pt idx="11">
                  <c:v>-63.75005397588491</c:v>
                </c:pt>
                <c:pt idx="12">
                  <c:v>-87.018858465816237</c:v>
                </c:pt>
                <c:pt idx="13">
                  <c:v>-111.56268513746585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95-4627-8C5C-9C6B06E55221}"/>
            </c:ext>
          </c:extLst>
        </c:ser>
        <c:ser>
          <c:idx val="3"/>
          <c:order val="3"/>
          <c:tx>
            <c:strRef>
              <c:f>'TrophyBonded PHP'!$M$22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PHP'!$M$23:$M$36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4.1500001524765402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-15.000001250000123</c:v>
                </c:pt>
                <c:pt idx="10">
                  <c:v>-35.000011666671341</c:v>
                </c:pt>
                <c:pt idx="11">
                  <c:v>-53.280031510240612</c:v>
                </c:pt>
                <c:pt idx="12">
                  <c:v>-75.06006961132195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95-4627-8C5C-9C6B06E55221}"/>
            </c:ext>
          </c:extLst>
        </c:ser>
        <c:ser>
          <c:idx val="4"/>
          <c:order val="4"/>
          <c:tx>
            <c:strRef>
              <c:f>'TrophyBonded PHP'!$N$22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PHP'!$N$23:$N$36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7.350002352980904</c:v>
                </c:pt>
                <c:pt idx="4">
                  <c:v>10.000003333334668</c:v>
                </c:pt>
                <c:pt idx="5">
                  <c:v>12.500004166668335</c:v>
                </c:pt>
                <c:pt idx="6">
                  <c:v>15.000005000002</c:v>
                </c:pt>
                <c:pt idx="7">
                  <c:v>14.800002701493925</c:v>
                </c:pt>
                <c:pt idx="8">
                  <c:v>8.3000003049530804</c:v>
                </c:pt>
                <c:pt idx="9">
                  <c:v>0</c:v>
                </c:pt>
                <c:pt idx="10">
                  <c:v>-11.620000426934313</c:v>
                </c:pt>
                <c:pt idx="11">
                  <c:v>-26.720003974369138</c:v>
                </c:pt>
                <c:pt idx="12">
                  <c:v>-45.000015000006002</c:v>
                </c:pt>
                <c:pt idx="13">
                  <c:v>-66.600039387800763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95-4627-8C5C-9C6B06E55221}"/>
            </c:ext>
          </c:extLst>
        </c:ser>
        <c:ser>
          <c:idx val="5"/>
          <c:order val="5"/>
          <c:tx>
            <c:strRef>
              <c:f>'TrophyBonded PHP'!$O$22</c:f>
              <c:strCache>
                <c:ptCount val="1"/>
                <c:pt idx="0">
                  <c:v>400m zero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'TrophyBonded PHP'!$O$23:$O$36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6.6600039387800765</c:v>
                </c:pt>
                <c:pt idx="3">
                  <c:v>11.400008779528115</c:v>
                </c:pt>
                <c:pt idx="4">
                  <c:v>16.000013653347317</c:v>
                </c:pt>
                <c:pt idx="5">
                  <c:v>19.750016434649744</c:v>
                </c:pt>
                <c:pt idx="6">
                  <c:v>22.500016875015188</c:v>
                </c:pt>
                <c:pt idx="7">
                  <c:v>26.640015755120306</c:v>
                </c:pt>
                <c:pt idx="8">
                  <c:v>25.00000833333667</c:v>
                </c:pt>
                <c:pt idx="9">
                  <c:v>20.040002980776855</c:v>
                </c:pt>
                <c:pt idx="10">
                  <c:v>11.620000426934313</c:v>
                </c:pt>
                <c:pt idx="11">
                  <c:v>0</c:v>
                </c:pt>
                <c:pt idx="12">
                  <c:v>-14.940000548915544</c:v>
                </c:pt>
                <c:pt idx="13">
                  <c:v>-33.400004967961429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C58-4D06-8D06-CB901B32B0F2}"/>
            </c:ext>
          </c:extLst>
        </c:ser>
        <c:ser>
          <c:idx val="6"/>
          <c:order val="6"/>
          <c:tx>
            <c:strRef>
              <c:f>'TrophyBonded PHP'!$P$22</c:f>
              <c:strCache>
                <c:ptCount val="1"/>
                <c:pt idx="0">
                  <c:v>500m zero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'TrophyBonded PHP'!$P$23:$P$36</c:f>
              <c:numCache>
                <c:formatCode>0.00</c:formatCode>
                <c:ptCount val="14"/>
                <c:pt idx="0">
                  <c:v>-3.81</c:v>
                </c:pt>
                <c:pt idx="1">
                  <c:v>2.500000833333667</c:v>
                </c:pt>
                <c:pt idx="2">
                  <c:v>10.000013333354666</c:v>
                </c:pt>
                <c:pt idx="3">
                  <c:v>17.250030417564364</c:v>
                </c:pt>
                <c:pt idx="4">
                  <c:v>23.320042273219848</c:v>
                </c:pt>
                <c:pt idx="5">
                  <c:v>29.150052841524811</c:v>
                </c:pt>
                <c:pt idx="6">
                  <c:v>34.980063409829775</c:v>
                </c:pt>
                <c:pt idx="7">
                  <c:v>40.000053333418663</c:v>
                </c:pt>
                <c:pt idx="8">
                  <c:v>41.700038672956637</c:v>
                </c:pt>
                <c:pt idx="9">
                  <c:v>39.960023632680461</c:v>
                </c:pt>
                <c:pt idx="10">
                  <c:v>35.000011666671341</c:v>
                </c:pt>
                <c:pt idx="11">
                  <c:v>26.720003974369138</c:v>
                </c:pt>
                <c:pt idx="12">
                  <c:v>14.940000548915544</c:v>
                </c:pt>
                <c:pt idx="13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C58-4D06-8D06-CB901B32B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2852305064459997"/>
          <c:y val="2.61904761904761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PHP'!$C$22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042806742711284"/>
                  <c:y val="-0.675410948631421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'TrophyBonded PHP'!$C$24:$C$36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-0.33300000000000002</c:v>
                </c:pt>
                <c:pt idx="11">
                  <c:v>-0.41699999999999998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D-4691-AF01-1B4BD43451D7}"/>
            </c:ext>
          </c:extLst>
        </c:ser>
        <c:ser>
          <c:idx val="1"/>
          <c:order val="1"/>
          <c:tx>
            <c:strRef>
              <c:f>'TrophyBonded PHP'!$D$22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203855474878135"/>
                  <c:y val="-0.6586079865016872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'TrophyBonded PHP'!$D$24:$D$36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-0.01</c:v>
                </c:pt>
                <c:pt idx="6">
                  <c:v>-8.3000000000000004E-2</c:v>
                </c:pt>
                <c:pt idx="7">
                  <c:v>-0.16700000000000001</c:v>
                </c:pt>
                <c:pt idx="8">
                  <c:v>-0.25</c:v>
                </c:pt>
                <c:pt idx="9">
                  <c:v>-0.33300000000000002</c:v>
                </c:pt>
                <c:pt idx="10">
                  <c:v>-0.41699999999999998</c:v>
                </c:pt>
                <c:pt idx="11">
                  <c:v>-0.5</c:v>
                </c:pt>
                <c:pt idx="12">
                  <c:v>-0.58299999999999996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3D-4691-AF01-1B4BD43451D7}"/>
            </c:ext>
          </c:extLst>
        </c:ser>
        <c:ser>
          <c:idx val="2"/>
          <c:order val="2"/>
          <c:tx>
            <c:strRef>
              <c:f>'TrophyBonded PHP'!$E$22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858960626897277"/>
                  <c:y val="-0.544130108736407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'TrophyBonded PHP'!$E$24:$E$36</c:f>
              <c:numCache>
                <c:formatCode>0.000</c:formatCode>
                <c:ptCount val="13"/>
                <c:pt idx="0">
                  <c:v>-0.27500000000000002</c:v>
                </c:pt>
                <c:pt idx="1">
                  <c:v>-2.5000000000000001E-2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0</c:v>
                </c:pt>
                <c:pt idx="6">
                  <c:v>-0.05</c:v>
                </c:pt>
                <c:pt idx="7">
                  <c:v>-0.125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-0.375</c:v>
                </c:pt>
                <c:pt idx="11">
                  <c:v>-0.45500000000000002</c:v>
                </c:pt>
                <c:pt idx="12">
                  <c:v>-0.52500000000000002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3D-4691-AF01-1B4BD43451D7}"/>
            </c:ext>
          </c:extLst>
        </c:ser>
        <c:ser>
          <c:idx val="3"/>
          <c:order val="3"/>
          <c:tx>
            <c:strRef>
              <c:f>'TrophyBonded PHP'!$F$22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337872882901531"/>
                  <c:y val="-0.4111379827521559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'TrophyBonded PHP'!$F$24:$F$36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-0.125</c:v>
                </c:pt>
                <c:pt idx="9">
                  <c:v>-0.25</c:v>
                </c:pt>
                <c:pt idx="10">
                  <c:v>-0.33300000000000002</c:v>
                </c:pt>
                <c:pt idx="11">
                  <c:v>-0.41699999999999998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D-4691-AF01-1B4BD43451D7}"/>
            </c:ext>
          </c:extLst>
        </c:ser>
        <c:ser>
          <c:idx val="4"/>
          <c:order val="4"/>
          <c:tx>
            <c:strRef>
              <c:f>'TrophyBonded PHP'!$G$22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3165425458911104"/>
                  <c:y val="-0.216931946006749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5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'TrophyBonded PHP'!$G$24:$G$36</c:f>
              <c:numCache>
                <c:formatCode>0.000</c:formatCode>
                <c:ptCount val="13"/>
                <c:pt idx="0">
                  <c:v>-0.125</c:v>
                </c:pt>
                <c:pt idx="1">
                  <c:v>0.16700000000000001</c:v>
                </c:pt>
                <c:pt idx="2">
                  <c:v>0.245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0.185</c:v>
                </c:pt>
                <c:pt idx="7">
                  <c:v>8.3000000000000004E-2</c:v>
                </c:pt>
                <c:pt idx="8">
                  <c:v>0</c:v>
                </c:pt>
                <c:pt idx="9">
                  <c:v>-8.3000000000000004E-2</c:v>
                </c:pt>
                <c:pt idx="10">
                  <c:v>-0.16700000000000001</c:v>
                </c:pt>
                <c:pt idx="11">
                  <c:v>-0.25</c:v>
                </c:pt>
                <c:pt idx="12">
                  <c:v>-0.33300000000000002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D-4691-AF01-1B4BD43451D7}"/>
            </c:ext>
          </c:extLst>
        </c:ser>
        <c:ser>
          <c:idx val="5"/>
          <c:order val="5"/>
          <c:tx>
            <c:strRef>
              <c:f>'TrophyBonded PHP'!$H$22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28791144134305"/>
                  <c:y val="0.227613235845519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'TrophyBonded PHP'!$H$24:$H$36</c:f>
              <c:numCache>
                <c:formatCode>0.000</c:formatCode>
                <c:ptCount val="13"/>
                <c:pt idx="0">
                  <c:v>8.3000000000000004E-2</c:v>
                </c:pt>
                <c:pt idx="1">
                  <c:v>0.33300000000000002</c:v>
                </c:pt>
                <c:pt idx="2">
                  <c:v>0.38</c:v>
                </c:pt>
                <c:pt idx="3">
                  <c:v>0.4</c:v>
                </c:pt>
                <c:pt idx="4">
                  <c:v>0.39500000000000002</c:v>
                </c:pt>
                <c:pt idx="5">
                  <c:v>0.375</c:v>
                </c:pt>
                <c:pt idx="6">
                  <c:v>0.33300000000000002</c:v>
                </c:pt>
                <c:pt idx="7">
                  <c:v>0.25</c:v>
                </c:pt>
                <c:pt idx="8">
                  <c:v>0.16700000000000001</c:v>
                </c:pt>
                <c:pt idx="9">
                  <c:v>8.3000000000000004E-2</c:v>
                </c:pt>
                <c:pt idx="10">
                  <c:v>0</c:v>
                </c:pt>
                <c:pt idx="11">
                  <c:v>-8.3000000000000004E-2</c:v>
                </c:pt>
                <c:pt idx="12">
                  <c:v>-0.16700000000000001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300-4A5E-B679-7EAF33ADFE6E}"/>
            </c:ext>
          </c:extLst>
        </c:ser>
        <c:ser>
          <c:idx val="6"/>
          <c:order val="6"/>
          <c:tx>
            <c:strRef>
              <c:f>'TrophyBonded PHP'!$I$22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30075379240069444"/>
                  <c:y val="0.419986689163854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'TrophyBonded PHP'!$I$24:$I$36</c:f>
              <c:numCache>
                <c:formatCode>0.000</c:formatCode>
                <c:ptCount val="13"/>
                <c:pt idx="0">
                  <c:v>0.25</c:v>
                </c:pt>
                <c:pt idx="1">
                  <c:v>0.5</c:v>
                </c:pt>
                <c:pt idx="2">
                  <c:v>0.57499999999999996</c:v>
                </c:pt>
                <c:pt idx="3">
                  <c:v>0.58299999999999996</c:v>
                </c:pt>
                <c:pt idx="4">
                  <c:v>0.58299999999999996</c:v>
                </c:pt>
                <c:pt idx="5">
                  <c:v>0.58299999999999996</c:v>
                </c:pt>
                <c:pt idx="6">
                  <c:v>0.5</c:v>
                </c:pt>
                <c:pt idx="7">
                  <c:v>0.41699999999999998</c:v>
                </c:pt>
                <c:pt idx="8">
                  <c:v>0.33300000000000002</c:v>
                </c:pt>
                <c:pt idx="9">
                  <c:v>0.25</c:v>
                </c:pt>
                <c:pt idx="10">
                  <c:v>0.16700000000000001</c:v>
                </c:pt>
                <c:pt idx="11">
                  <c:v>8.3000000000000004E-2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300-4A5E-B679-7EAF33AD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'TrophyBonded PHP'!$J$22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420445372402453"/>
                  <c:y val="-0.1309171025154702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PHP'!$J$23:$J$36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3.9425002042649626</c:v>
                </c:pt>
                <c:pt idx="5">
                  <c:v>4.9281252553312029</c:v>
                </c:pt>
                <c:pt idx="6">
                  <c:v>5.9137503063974446</c:v>
                </c:pt>
                <c:pt idx="7">
                  <c:v>0</c:v>
                </c:pt>
                <c:pt idx="8">
                  <c:v>-9.8562505106624059</c:v>
                </c:pt>
                <c:pt idx="9">
                  <c:v>-23.797504991491682</c:v>
                </c:pt>
                <c:pt idx="10">
                  <c:v>-41.562519536550738</c:v>
                </c:pt>
                <c:pt idx="11">
                  <c:v>-63.270052765821092</c:v>
                </c:pt>
                <c:pt idx="12">
                  <c:v>-89.133866568426569</c:v>
                </c:pt>
                <c:pt idx="13">
                  <c:v>-118.75022327524334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FCC-91C1-AC5F927A710A}"/>
            </c:ext>
          </c:extLst>
        </c:ser>
        <c:ser>
          <c:idx val="1"/>
          <c:order val="1"/>
          <c:tx>
            <c:strRef>
              <c:f>'TrophyBonded PHP'!$A$79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PHP'!$A$81:$A$101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PHP'!$D$81:$D$101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0.7</c:v>
                </c:pt>
                <c:pt idx="4">
                  <c:v>0.7</c:v>
                </c:pt>
                <c:pt idx="5">
                  <c:v>-0.2</c:v>
                </c:pt>
                <c:pt idx="6">
                  <c:v>-2</c:v>
                </c:pt>
                <c:pt idx="7">
                  <c:v>-4.5999999999999996</c:v>
                </c:pt>
                <c:pt idx="8">
                  <c:v>-8.4</c:v>
                </c:pt>
                <c:pt idx="9">
                  <c:v>-13</c:v>
                </c:pt>
                <c:pt idx="10">
                  <c:v>-18.7</c:v>
                </c:pt>
                <c:pt idx="11">
                  <c:v>-25.7</c:v>
                </c:pt>
                <c:pt idx="12">
                  <c:v>-33.6</c:v>
                </c:pt>
                <c:pt idx="13">
                  <c:v>-42.7</c:v>
                </c:pt>
                <c:pt idx="14">
                  <c:v>-53.5</c:v>
                </c:pt>
                <c:pt idx="15">
                  <c:v>-65.2</c:v>
                </c:pt>
                <c:pt idx="16">
                  <c:v>-78.400000000000006</c:v>
                </c:pt>
                <c:pt idx="17">
                  <c:v>-93.5</c:v>
                </c:pt>
                <c:pt idx="18">
                  <c:v>-109.7</c:v>
                </c:pt>
                <c:pt idx="19">
                  <c:v>-127.5</c:v>
                </c:pt>
                <c:pt idx="20">
                  <c:v>-147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F8-4FCC-91C1-AC5F927A710A}"/>
            </c:ext>
          </c:extLst>
        </c:ser>
        <c:ser>
          <c:idx val="2"/>
          <c:order val="2"/>
          <c:tx>
            <c:strRef>
              <c:f>'TrophyBonded PHP'!$H$79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PHP'!$H$81:$H$101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PHP'!$K$81:$K$101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0.8</c:v>
                </c:pt>
                <c:pt idx="5">
                  <c:v>0.1</c:v>
                </c:pt>
                <c:pt idx="6">
                  <c:v>-1.4</c:v>
                </c:pt>
                <c:pt idx="7">
                  <c:v>-3.7</c:v>
                </c:pt>
                <c:pt idx="8">
                  <c:v>-6.9</c:v>
                </c:pt>
                <c:pt idx="9">
                  <c:v>-10.8</c:v>
                </c:pt>
                <c:pt idx="10">
                  <c:v>-15.6</c:v>
                </c:pt>
                <c:pt idx="11">
                  <c:v>-21.4</c:v>
                </c:pt>
                <c:pt idx="12">
                  <c:v>-28</c:v>
                </c:pt>
                <c:pt idx="13">
                  <c:v>-35.4</c:v>
                </c:pt>
                <c:pt idx="14">
                  <c:v>-44.1</c:v>
                </c:pt>
                <c:pt idx="15">
                  <c:v>-53.4</c:v>
                </c:pt>
                <c:pt idx="16">
                  <c:v>-63.7</c:v>
                </c:pt>
                <c:pt idx="17">
                  <c:v>-75.400000000000006</c:v>
                </c:pt>
                <c:pt idx="18">
                  <c:v>-87.7</c:v>
                </c:pt>
                <c:pt idx="19">
                  <c:v>-101</c:v>
                </c:pt>
                <c:pt idx="20">
                  <c:v>-115.4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3A-4D6B-8C5D-37523F6C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PHP'!$D$22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PHP'!$K$23:$K$36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-0.60000000032</c:v>
                </c:pt>
                <c:pt idx="7">
                  <c:v>-6.6400002439624641</c:v>
                </c:pt>
                <c:pt idx="8">
                  <c:v>-16.700002483980715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-66.720061876730625</c:v>
                </c:pt>
                <c:pt idx="12">
                  <c:v>-90.000120000191998</c:v>
                </c:pt>
                <c:pt idx="13">
                  <c:v>-116.60021136609924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E-4026-973D-6592106A5735}"/>
            </c:ext>
          </c:extLst>
        </c:ser>
        <c:ser>
          <c:idx val="1"/>
          <c:order val="1"/>
          <c:tx>
            <c:strRef>
              <c:f>'TrophyBonded PHP'!$A$103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PHP'!$A$105:$A$125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PHP'!$D$105:$D$125</c:f>
              <c:numCache>
                <c:formatCode>0.00</c:formatCode>
                <c:ptCount val="21"/>
                <c:pt idx="0">
                  <c:v>-3.8</c:v>
                </c:pt>
                <c:pt idx="1">
                  <c:v>-1.7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-1.1000000000000001</c:v>
                </c:pt>
                <c:pt idx="6">
                  <c:v>-3</c:v>
                </c:pt>
                <c:pt idx="7">
                  <c:v>-5.9</c:v>
                </c:pt>
                <c:pt idx="8">
                  <c:v>-9.8000000000000007</c:v>
                </c:pt>
                <c:pt idx="9">
                  <c:v>-14.6</c:v>
                </c:pt>
                <c:pt idx="10">
                  <c:v>-20.399999999999999</c:v>
                </c:pt>
                <c:pt idx="11">
                  <c:v>-27.6</c:v>
                </c:pt>
                <c:pt idx="12">
                  <c:v>-35.700000000000003</c:v>
                </c:pt>
                <c:pt idx="13">
                  <c:v>-45</c:v>
                </c:pt>
                <c:pt idx="14">
                  <c:v>-56</c:v>
                </c:pt>
                <c:pt idx="15">
                  <c:v>-67.900000000000006</c:v>
                </c:pt>
                <c:pt idx="16">
                  <c:v>-81.2</c:v>
                </c:pt>
                <c:pt idx="17">
                  <c:v>-96.6</c:v>
                </c:pt>
                <c:pt idx="18">
                  <c:v>-112.9</c:v>
                </c:pt>
                <c:pt idx="19">
                  <c:v>-130.9</c:v>
                </c:pt>
                <c:pt idx="20">
                  <c:v>-150.6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E-4026-973D-6592106A5735}"/>
            </c:ext>
          </c:extLst>
        </c:ser>
        <c:ser>
          <c:idx val="2"/>
          <c:order val="2"/>
          <c:tx>
            <c:strRef>
              <c:f>'TrophyBonded PHP'!$H$103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PHP'!$H$105:$H$125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PHP'!$K$105:$K$125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-0.9</c:v>
                </c:pt>
                <c:pt idx="6">
                  <c:v>-2.6</c:v>
                </c:pt>
                <c:pt idx="7">
                  <c:v>-5.0999999999999996</c:v>
                </c:pt>
                <c:pt idx="8">
                  <c:v>-8.5</c:v>
                </c:pt>
                <c:pt idx="9">
                  <c:v>-12.7</c:v>
                </c:pt>
                <c:pt idx="10">
                  <c:v>-17.600000000000001</c:v>
                </c:pt>
                <c:pt idx="11">
                  <c:v>-23.7</c:v>
                </c:pt>
                <c:pt idx="12">
                  <c:v>-30.4</c:v>
                </c:pt>
                <c:pt idx="13">
                  <c:v>-38.1</c:v>
                </c:pt>
                <c:pt idx="14">
                  <c:v>-46.9</c:v>
                </c:pt>
                <c:pt idx="15">
                  <c:v>-56.5</c:v>
                </c:pt>
                <c:pt idx="16">
                  <c:v>-66.900000000000006</c:v>
                </c:pt>
                <c:pt idx="17">
                  <c:v>-78.900000000000006</c:v>
                </c:pt>
                <c:pt idx="18">
                  <c:v>-91.4</c:v>
                </c:pt>
                <c:pt idx="19">
                  <c:v>-104.9</c:v>
                </c:pt>
                <c:pt idx="20">
                  <c:v>-119.5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C6-4BD3-92CA-4156A4DC1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PHP'!$E$22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PHP'!$L$23:$L$36</c:f>
              <c:numCache>
                <c:formatCode>0.00</c:formatCode>
                <c:ptCount val="14"/>
                <c:pt idx="0">
                  <c:v>-3.81</c:v>
                </c:pt>
                <c:pt idx="1">
                  <c:v>-2.9218763304049835</c:v>
                </c:pt>
                <c:pt idx="2">
                  <c:v>-0.53125000199910488</c:v>
                </c:pt>
                <c:pt idx="3">
                  <c:v>0.79687500299865721</c:v>
                </c:pt>
                <c:pt idx="4">
                  <c:v>1.0625000039982098</c:v>
                </c:pt>
                <c:pt idx="5">
                  <c:v>1.328125004997762</c:v>
                </c:pt>
                <c:pt idx="6">
                  <c:v>0</c:v>
                </c:pt>
                <c:pt idx="7">
                  <c:v>-4.2500000639713553</c:v>
                </c:pt>
                <c:pt idx="8">
                  <c:v>-13.281251249440654</c:v>
                </c:pt>
                <c:pt idx="9">
                  <c:v>-21.292503575331303</c:v>
                </c:pt>
                <c:pt idx="10">
                  <c:v>-37.187513993740048</c:v>
                </c:pt>
                <c:pt idx="11">
                  <c:v>-63.75005397588491</c:v>
                </c:pt>
                <c:pt idx="12">
                  <c:v>-87.018858465816237</c:v>
                </c:pt>
                <c:pt idx="13">
                  <c:v>-111.56268513746585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ED-41C7-99BF-C03A7C9712B7}"/>
            </c:ext>
          </c:extLst>
        </c:ser>
        <c:ser>
          <c:idx val="1"/>
          <c:order val="1"/>
          <c:tx>
            <c:strRef>
              <c:f>'TrophyBonded PHP'!$A$127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PHP'!$A$129:$A$149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PHP'!$D$129:$D$149</c:f>
              <c:numCache>
                <c:formatCode>0.00</c:formatCode>
                <c:ptCount val="21"/>
                <c:pt idx="0">
                  <c:v>-3.8</c:v>
                </c:pt>
                <c:pt idx="1">
                  <c:v>-1.2</c:v>
                </c:pt>
                <c:pt idx="2">
                  <c:v>0.7</c:v>
                </c:pt>
                <c:pt idx="3">
                  <c:v>1.7</c:v>
                </c:pt>
                <c:pt idx="4">
                  <c:v>2</c:v>
                </c:pt>
                <c:pt idx="5">
                  <c:v>1.4</c:v>
                </c:pt>
                <c:pt idx="6">
                  <c:v>0</c:v>
                </c:pt>
                <c:pt idx="7">
                  <c:v>-2.2999999999999998</c:v>
                </c:pt>
                <c:pt idx="8">
                  <c:v>-5.8</c:v>
                </c:pt>
                <c:pt idx="9">
                  <c:v>-10.1</c:v>
                </c:pt>
                <c:pt idx="10">
                  <c:v>-15.4</c:v>
                </c:pt>
                <c:pt idx="11">
                  <c:v>-22.1</c:v>
                </c:pt>
                <c:pt idx="12">
                  <c:v>-29.7</c:v>
                </c:pt>
                <c:pt idx="13">
                  <c:v>-38.5</c:v>
                </c:pt>
                <c:pt idx="14">
                  <c:v>-48.9</c:v>
                </c:pt>
                <c:pt idx="15">
                  <c:v>-60.4</c:v>
                </c:pt>
                <c:pt idx="16">
                  <c:v>-73.2</c:v>
                </c:pt>
                <c:pt idx="17">
                  <c:v>-88</c:v>
                </c:pt>
                <c:pt idx="18">
                  <c:v>-103.9</c:v>
                </c:pt>
                <c:pt idx="19">
                  <c:v>-121.3</c:v>
                </c:pt>
                <c:pt idx="20">
                  <c:v>-140.5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ED-41C7-99BF-C03A7C9712B7}"/>
            </c:ext>
          </c:extLst>
        </c:ser>
        <c:ser>
          <c:idx val="2"/>
          <c:order val="2"/>
          <c:tx>
            <c:strRef>
              <c:f>'TrophyBonded PHP'!$H$127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PHP'!$H$129:$H$149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PHP'!$K$129:$K$149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0.5</c:v>
                </c:pt>
                <c:pt idx="3">
                  <c:v>1.5</c:v>
                </c:pt>
                <c:pt idx="4">
                  <c:v>1.8</c:v>
                </c:pt>
                <c:pt idx="5">
                  <c:v>1.3</c:v>
                </c:pt>
                <c:pt idx="6">
                  <c:v>0</c:v>
                </c:pt>
                <c:pt idx="7">
                  <c:v>-2</c:v>
                </c:pt>
                <c:pt idx="8">
                  <c:v>-5</c:v>
                </c:pt>
                <c:pt idx="9">
                  <c:v>-8.6999999999999993</c:v>
                </c:pt>
                <c:pt idx="10">
                  <c:v>-13.2</c:v>
                </c:pt>
                <c:pt idx="11">
                  <c:v>-18.899999999999999</c:v>
                </c:pt>
                <c:pt idx="12">
                  <c:v>-25.2</c:v>
                </c:pt>
                <c:pt idx="13">
                  <c:v>-32.4</c:v>
                </c:pt>
                <c:pt idx="14">
                  <c:v>-40.799999999999997</c:v>
                </c:pt>
                <c:pt idx="15">
                  <c:v>-49.9</c:v>
                </c:pt>
                <c:pt idx="16">
                  <c:v>-59.9</c:v>
                </c:pt>
                <c:pt idx="17">
                  <c:v>-71.400000000000006</c:v>
                </c:pt>
                <c:pt idx="18">
                  <c:v>-83.5</c:v>
                </c:pt>
                <c:pt idx="19">
                  <c:v>-96.6</c:v>
                </c:pt>
                <c:pt idx="20">
                  <c:v>-110.8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2B-4BBA-BA16-B50CB44F9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PHP'!$M$22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PHP'!$M$23:$M$36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4.1500001524765402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-15.000001250000123</c:v>
                </c:pt>
                <c:pt idx="10">
                  <c:v>-35.000011666671341</c:v>
                </c:pt>
                <c:pt idx="11">
                  <c:v>-53.280031510240612</c:v>
                </c:pt>
                <c:pt idx="12">
                  <c:v>-75.06006961132195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BE-4AA7-8DD9-A184D6F6F05E}"/>
            </c:ext>
          </c:extLst>
        </c:ser>
        <c:ser>
          <c:idx val="1"/>
          <c:order val="1"/>
          <c:tx>
            <c:strRef>
              <c:f>'TrophyBonded PHP'!$A$151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PHP'!$A$153:$A$173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PHP'!$D$153:$D$173</c:f>
              <c:numCache>
                <c:formatCode>0.00</c:formatCode>
                <c:ptCount val="21"/>
                <c:pt idx="0">
                  <c:v>-3.8</c:v>
                </c:pt>
                <c:pt idx="1">
                  <c:v>-0.5</c:v>
                </c:pt>
                <c:pt idx="2">
                  <c:v>2.1</c:v>
                </c:pt>
                <c:pt idx="3">
                  <c:v>3.9</c:v>
                </c:pt>
                <c:pt idx="4">
                  <c:v>4.9000000000000004</c:v>
                </c:pt>
                <c:pt idx="5">
                  <c:v>5</c:v>
                </c:pt>
                <c:pt idx="6">
                  <c:v>4.3</c:v>
                </c:pt>
                <c:pt idx="7">
                  <c:v>2.7</c:v>
                </c:pt>
                <c:pt idx="8">
                  <c:v>0</c:v>
                </c:pt>
                <c:pt idx="9">
                  <c:v>-3.6</c:v>
                </c:pt>
                <c:pt idx="10">
                  <c:v>-8.1999999999999993</c:v>
                </c:pt>
                <c:pt idx="11">
                  <c:v>-14.2</c:v>
                </c:pt>
                <c:pt idx="12">
                  <c:v>-21.1</c:v>
                </c:pt>
                <c:pt idx="13">
                  <c:v>-29.2</c:v>
                </c:pt>
                <c:pt idx="14">
                  <c:v>-38.9</c:v>
                </c:pt>
                <c:pt idx="15">
                  <c:v>-49.6</c:v>
                </c:pt>
                <c:pt idx="16">
                  <c:v>-61.7</c:v>
                </c:pt>
                <c:pt idx="17">
                  <c:v>-75.8</c:v>
                </c:pt>
                <c:pt idx="18">
                  <c:v>-90.9</c:v>
                </c:pt>
                <c:pt idx="19">
                  <c:v>-107.7</c:v>
                </c:pt>
                <c:pt idx="20">
                  <c:v>-126.2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BE-4AA7-8DD9-A184D6F6F05E}"/>
            </c:ext>
          </c:extLst>
        </c:ser>
        <c:ser>
          <c:idx val="2"/>
          <c:order val="2"/>
          <c:tx>
            <c:strRef>
              <c:f>'TrophyBonded PHP'!$H$151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PHP'!$H$153:$H$173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PHP'!$K$153:$K$173</c:f>
              <c:numCache>
                <c:formatCode>0.00</c:formatCode>
                <c:ptCount val="21"/>
                <c:pt idx="0">
                  <c:v>-3.8</c:v>
                </c:pt>
                <c:pt idx="1">
                  <c:v>-0.7</c:v>
                </c:pt>
                <c:pt idx="2">
                  <c:v>1.7</c:v>
                </c:pt>
                <c:pt idx="3">
                  <c:v>3.4</c:v>
                </c:pt>
                <c:pt idx="4">
                  <c:v>4.3</c:v>
                </c:pt>
                <c:pt idx="5">
                  <c:v>4.4000000000000004</c:v>
                </c:pt>
                <c:pt idx="6">
                  <c:v>3.8</c:v>
                </c:pt>
                <c:pt idx="7">
                  <c:v>2.2999999999999998</c:v>
                </c:pt>
                <c:pt idx="8">
                  <c:v>0</c:v>
                </c:pt>
                <c:pt idx="9">
                  <c:v>-3.1</c:v>
                </c:pt>
                <c:pt idx="10">
                  <c:v>-7</c:v>
                </c:pt>
                <c:pt idx="11">
                  <c:v>-12</c:v>
                </c:pt>
                <c:pt idx="12">
                  <c:v>-17.7</c:v>
                </c:pt>
                <c:pt idx="13">
                  <c:v>-24.2</c:v>
                </c:pt>
                <c:pt idx="14">
                  <c:v>-32</c:v>
                </c:pt>
                <c:pt idx="15">
                  <c:v>-40.5</c:v>
                </c:pt>
                <c:pt idx="16">
                  <c:v>-50</c:v>
                </c:pt>
                <c:pt idx="17">
                  <c:v>-60.8</c:v>
                </c:pt>
                <c:pt idx="18">
                  <c:v>-72.2</c:v>
                </c:pt>
                <c:pt idx="19">
                  <c:v>-84.7</c:v>
                </c:pt>
                <c:pt idx="20">
                  <c:v>-98.3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62-4BB6-84B0-7EA0784FA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PHP'!$N$22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PHP'!$N$23:$N$36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7.350002352980904</c:v>
                </c:pt>
                <c:pt idx="4">
                  <c:v>10.000003333334668</c:v>
                </c:pt>
                <c:pt idx="5">
                  <c:v>12.500004166668335</c:v>
                </c:pt>
                <c:pt idx="6">
                  <c:v>15.000005000002</c:v>
                </c:pt>
                <c:pt idx="7">
                  <c:v>14.800002701493925</c:v>
                </c:pt>
                <c:pt idx="8">
                  <c:v>8.3000003049530804</c:v>
                </c:pt>
                <c:pt idx="9">
                  <c:v>0</c:v>
                </c:pt>
                <c:pt idx="10">
                  <c:v>-11.620000426934313</c:v>
                </c:pt>
                <c:pt idx="11">
                  <c:v>-26.720003974369138</c:v>
                </c:pt>
                <c:pt idx="12">
                  <c:v>-45.000015000006002</c:v>
                </c:pt>
                <c:pt idx="13">
                  <c:v>-66.600039387800763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B9-4B49-A310-17615B48A297}"/>
            </c:ext>
          </c:extLst>
        </c:ser>
        <c:ser>
          <c:idx val="1"/>
          <c:order val="1"/>
          <c:tx>
            <c:strRef>
              <c:f>'TrophyBonded PHP'!$A$175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PHP'!$A$177:$A$197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PHP'!$D$177:$D$197</c:f>
              <c:numCache>
                <c:formatCode>0.00</c:formatCode>
                <c:ptCount val="21"/>
                <c:pt idx="0">
                  <c:v>-3.8</c:v>
                </c:pt>
                <c:pt idx="1">
                  <c:v>1.2</c:v>
                </c:pt>
                <c:pt idx="2">
                  <c:v>5.7</c:v>
                </c:pt>
                <c:pt idx="3">
                  <c:v>9.1999999999999993</c:v>
                </c:pt>
                <c:pt idx="4">
                  <c:v>11.9</c:v>
                </c:pt>
                <c:pt idx="5">
                  <c:v>13.9</c:v>
                </c:pt>
                <c:pt idx="6">
                  <c:v>14.9</c:v>
                </c:pt>
                <c:pt idx="7">
                  <c:v>15</c:v>
                </c:pt>
                <c:pt idx="8">
                  <c:v>14.1</c:v>
                </c:pt>
                <c:pt idx="9">
                  <c:v>12.3</c:v>
                </c:pt>
                <c:pt idx="10">
                  <c:v>9.4</c:v>
                </c:pt>
                <c:pt idx="11">
                  <c:v>5.2</c:v>
                </c:pt>
                <c:pt idx="12">
                  <c:v>0.1</c:v>
                </c:pt>
                <c:pt idx="13">
                  <c:v>-6.3</c:v>
                </c:pt>
                <c:pt idx="14">
                  <c:v>-14.2</c:v>
                </c:pt>
                <c:pt idx="15">
                  <c:v>-23.2</c:v>
                </c:pt>
                <c:pt idx="16">
                  <c:v>-33.5</c:v>
                </c:pt>
                <c:pt idx="17">
                  <c:v>-45.8</c:v>
                </c:pt>
                <c:pt idx="18">
                  <c:v>-59.2</c:v>
                </c:pt>
                <c:pt idx="19">
                  <c:v>-74.3</c:v>
                </c:pt>
                <c:pt idx="20">
                  <c:v>-91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B9-4B49-A310-17615B48A297}"/>
            </c:ext>
          </c:extLst>
        </c:ser>
        <c:ser>
          <c:idx val="2"/>
          <c:order val="2"/>
          <c:tx>
            <c:strRef>
              <c:f>'TrophyBonded PHP'!$H$175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PHP'!$H$177:$H$197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PHP'!$K$177:$K$197</c:f>
              <c:numCache>
                <c:formatCode>0.00</c:formatCode>
                <c:ptCount val="21"/>
                <c:pt idx="0">
                  <c:v>-3.8</c:v>
                </c:pt>
                <c:pt idx="1">
                  <c:v>0.8</c:v>
                </c:pt>
                <c:pt idx="2">
                  <c:v>4.7</c:v>
                </c:pt>
                <c:pt idx="3">
                  <c:v>7.8</c:v>
                </c:pt>
                <c:pt idx="4">
                  <c:v>10.1</c:v>
                </c:pt>
                <c:pt idx="5">
                  <c:v>11.8</c:v>
                </c:pt>
                <c:pt idx="6">
                  <c:v>12.6</c:v>
                </c:pt>
                <c:pt idx="7">
                  <c:v>12.6</c:v>
                </c:pt>
                <c:pt idx="8">
                  <c:v>11.8</c:v>
                </c:pt>
                <c:pt idx="9">
                  <c:v>10.199999999999999</c:v>
                </c:pt>
                <c:pt idx="10">
                  <c:v>7.7</c:v>
                </c:pt>
                <c:pt idx="11">
                  <c:v>4.2</c:v>
                </c:pt>
                <c:pt idx="12">
                  <c:v>0</c:v>
                </c:pt>
                <c:pt idx="13">
                  <c:v>-5.0999999999999996</c:v>
                </c:pt>
                <c:pt idx="14">
                  <c:v>-11.4</c:v>
                </c:pt>
                <c:pt idx="15">
                  <c:v>-18.399999999999999</c:v>
                </c:pt>
                <c:pt idx="16">
                  <c:v>-26.4</c:v>
                </c:pt>
                <c:pt idx="17">
                  <c:v>-35.700000000000003</c:v>
                </c:pt>
                <c:pt idx="18">
                  <c:v>-45.7</c:v>
                </c:pt>
                <c:pt idx="19">
                  <c:v>-56.8</c:v>
                </c:pt>
                <c:pt idx="20">
                  <c:v>-68.900000000000006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83-4F34-AEE8-C38366BB9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PHP'!$O$22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32589366923194E-2"/>
                  <c:y val="-0.287310440361621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PHP'!$O$23:$O$36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6.6600039387800765</c:v>
                </c:pt>
                <c:pt idx="3">
                  <c:v>11.400008779528115</c:v>
                </c:pt>
                <c:pt idx="4">
                  <c:v>16.000013653347317</c:v>
                </c:pt>
                <c:pt idx="5">
                  <c:v>19.750016434649744</c:v>
                </c:pt>
                <c:pt idx="6">
                  <c:v>22.500016875015188</c:v>
                </c:pt>
                <c:pt idx="7">
                  <c:v>26.640015755120306</c:v>
                </c:pt>
                <c:pt idx="8">
                  <c:v>25.00000833333667</c:v>
                </c:pt>
                <c:pt idx="9">
                  <c:v>20.040002980776855</c:v>
                </c:pt>
                <c:pt idx="10">
                  <c:v>11.620000426934313</c:v>
                </c:pt>
                <c:pt idx="11">
                  <c:v>0</c:v>
                </c:pt>
                <c:pt idx="12">
                  <c:v>-14.940000548915544</c:v>
                </c:pt>
                <c:pt idx="13">
                  <c:v>-33.400004967961429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EA1-4001-A4D3-B20E76782219}"/>
            </c:ext>
          </c:extLst>
        </c:ser>
        <c:ser>
          <c:idx val="1"/>
          <c:order val="1"/>
          <c:tx>
            <c:strRef>
              <c:f>'TrophyBonded PHP'!$A$199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87775414211838"/>
                  <c:y val="-0.16135680956547099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PHP'!$A$201:$A$221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PHP'!$D$201:$D$221</c:f>
              <c:numCache>
                <c:formatCode>0.00</c:formatCode>
                <c:ptCount val="21"/>
                <c:pt idx="0">
                  <c:v>-3.8</c:v>
                </c:pt>
                <c:pt idx="1">
                  <c:v>3.3</c:v>
                </c:pt>
                <c:pt idx="2">
                  <c:v>9.9</c:v>
                </c:pt>
                <c:pt idx="3">
                  <c:v>15.5</c:v>
                </c:pt>
                <c:pt idx="4">
                  <c:v>20.3</c:v>
                </c:pt>
                <c:pt idx="5">
                  <c:v>24.4</c:v>
                </c:pt>
                <c:pt idx="6">
                  <c:v>27.5</c:v>
                </c:pt>
                <c:pt idx="7">
                  <c:v>29.7</c:v>
                </c:pt>
                <c:pt idx="8">
                  <c:v>31</c:v>
                </c:pt>
                <c:pt idx="9">
                  <c:v>31.2</c:v>
                </c:pt>
                <c:pt idx="10">
                  <c:v>30.4</c:v>
                </c:pt>
                <c:pt idx="11">
                  <c:v>28.4</c:v>
                </c:pt>
                <c:pt idx="12">
                  <c:v>25.4</c:v>
                </c:pt>
                <c:pt idx="13">
                  <c:v>21.1</c:v>
                </c:pt>
                <c:pt idx="14">
                  <c:v>15.3</c:v>
                </c:pt>
                <c:pt idx="15">
                  <c:v>8.4</c:v>
                </c:pt>
                <c:pt idx="16">
                  <c:v>0.2</c:v>
                </c:pt>
                <c:pt idx="17">
                  <c:v>-10</c:v>
                </c:pt>
                <c:pt idx="18">
                  <c:v>-21.3</c:v>
                </c:pt>
                <c:pt idx="19">
                  <c:v>-34.299999999999997</c:v>
                </c:pt>
                <c:pt idx="20">
                  <c:v>-48.9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EA1-4001-A4D3-B20E76782219}"/>
            </c:ext>
          </c:extLst>
        </c:ser>
        <c:ser>
          <c:idx val="2"/>
          <c:order val="2"/>
          <c:tx>
            <c:strRef>
              <c:f>'TrophyBonded PHP'!$H$199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PHP'!$H$201:$H$221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PHP'!$K$201:$K$221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8.1</c:v>
                </c:pt>
                <c:pt idx="3">
                  <c:v>12.8</c:v>
                </c:pt>
                <c:pt idx="4">
                  <c:v>16.8</c:v>
                </c:pt>
                <c:pt idx="5">
                  <c:v>20.100000000000001</c:v>
                </c:pt>
                <c:pt idx="6">
                  <c:v>22.6</c:v>
                </c:pt>
                <c:pt idx="7">
                  <c:v>24.2</c:v>
                </c:pt>
                <c:pt idx="8">
                  <c:v>25.1</c:v>
                </c:pt>
                <c:pt idx="9">
                  <c:v>25.1</c:v>
                </c:pt>
                <c:pt idx="10">
                  <c:v>24.3</c:v>
                </c:pt>
                <c:pt idx="11">
                  <c:v>22.5</c:v>
                </c:pt>
                <c:pt idx="12">
                  <c:v>19.899999999999999</c:v>
                </c:pt>
                <c:pt idx="13">
                  <c:v>16.399999999999999</c:v>
                </c:pt>
                <c:pt idx="14">
                  <c:v>11.8</c:v>
                </c:pt>
                <c:pt idx="15">
                  <c:v>6.5</c:v>
                </c:pt>
                <c:pt idx="16">
                  <c:v>0.1</c:v>
                </c:pt>
                <c:pt idx="17">
                  <c:v>-7.5</c:v>
                </c:pt>
                <c:pt idx="18">
                  <c:v>-15.9</c:v>
                </c:pt>
                <c:pt idx="19">
                  <c:v>-25.3</c:v>
                </c:pt>
                <c:pt idx="20">
                  <c:v>-35.700000000000003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D1-468B-8FC0-41485900A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PHP'!$P$22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PHP'!$P$23:$P$36</c:f>
              <c:numCache>
                <c:formatCode>0.00</c:formatCode>
                <c:ptCount val="14"/>
                <c:pt idx="0">
                  <c:v>-3.81</c:v>
                </c:pt>
                <c:pt idx="1">
                  <c:v>2.500000833333667</c:v>
                </c:pt>
                <c:pt idx="2">
                  <c:v>10.000013333354666</c:v>
                </c:pt>
                <c:pt idx="3">
                  <c:v>17.250030417564364</c:v>
                </c:pt>
                <c:pt idx="4">
                  <c:v>23.320042273219848</c:v>
                </c:pt>
                <c:pt idx="5">
                  <c:v>29.150052841524811</c:v>
                </c:pt>
                <c:pt idx="6">
                  <c:v>34.980063409829775</c:v>
                </c:pt>
                <c:pt idx="7">
                  <c:v>40.000053333418663</c:v>
                </c:pt>
                <c:pt idx="8">
                  <c:v>41.700038672956637</c:v>
                </c:pt>
                <c:pt idx="9">
                  <c:v>39.960023632680461</c:v>
                </c:pt>
                <c:pt idx="10">
                  <c:v>35.000011666671341</c:v>
                </c:pt>
                <c:pt idx="11">
                  <c:v>26.720003974369138</c:v>
                </c:pt>
                <c:pt idx="12">
                  <c:v>14.940000548915544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D8-49E5-9864-9116BB66C688}"/>
            </c:ext>
          </c:extLst>
        </c:ser>
        <c:ser>
          <c:idx val="1"/>
          <c:order val="1"/>
          <c:tx>
            <c:strRef>
              <c:f>'TrophyBonded PHP'!$A$223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PHP'!$A$225:$A$245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PHP'!$D$225:$D$245</c:f>
              <c:numCache>
                <c:formatCode>0.00</c:formatCode>
                <c:ptCount val="21"/>
                <c:pt idx="0">
                  <c:v>-3.8</c:v>
                </c:pt>
                <c:pt idx="1">
                  <c:v>5.8</c:v>
                </c:pt>
                <c:pt idx="2">
                  <c:v>14.9</c:v>
                </c:pt>
                <c:pt idx="3">
                  <c:v>22.9</c:v>
                </c:pt>
                <c:pt idx="4">
                  <c:v>30.2</c:v>
                </c:pt>
                <c:pt idx="5">
                  <c:v>36.799999999999997</c:v>
                </c:pt>
                <c:pt idx="6">
                  <c:v>42.4</c:v>
                </c:pt>
                <c:pt idx="7">
                  <c:v>47</c:v>
                </c:pt>
                <c:pt idx="8">
                  <c:v>50.8</c:v>
                </c:pt>
                <c:pt idx="9">
                  <c:v>53.5</c:v>
                </c:pt>
                <c:pt idx="10">
                  <c:v>55.1</c:v>
                </c:pt>
                <c:pt idx="11">
                  <c:v>55.6</c:v>
                </c:pt>
                <c:pt idx="12">
                  <c:v>55</c:v>
                </c:pt>
                <c:pt idx="13">
                  <c:v>53.2</c:v>
                </c:pt>
                <c:pt idx="14">
                  <c:v>49.9</c:v>
                </c:pt>
                <c:pt idx="15">
                  <c:v>45.5</c:v>
                </c:pt>
                <c:pt idx="16">
                  <c:v>39.700000000000003</c:v>
                </c:pt>
                <c:pt idx="17">
                  <c:v>32.1</c:v>
                </c:pt>
                <c:pt idx="18">
                  <c:v>23.2</c:v>
                </c:pt>
                <c:pt idx="19">
                  <c:v>12.6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D8-49E5-9864-9116BB66C688}"/>
            </c:ext>
          </c:extLst>
        </c:ser>
        <c:ser>
          <c:idx val="2"/>
          <c:order val="2"/>
          <c:tx>
            <c:strRef>
              <c:f>'TrophyBonded PHP'!$H$223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PHP'!$H$225:$H$245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PHP'!$K$225:$K$245</c:f>
              <c:numCache>
                <c:formatCode>0.00</c:formatCode>
                <c:ptCount val="21"/>
                <c:pt idx="0">
                  <c:v>-3.8</c:v>
                </c:pt>
                <c:pt idx="1">
                  <c:v>4.2</c:v>
                </c:pt>
                <c:pt idx="2">
                  <c:v>11.7</c:v>
                </c:pt>
                <c:pt idx="3">
                  <c:v>18.2</c:v>
                </c:pt>
                <c:pt idx="4">
                  <c:v>24</c:v>
                </c:pt>
                <c:pt idx="5">
                  <c:v>29.1</c:v>
                </c:pt>
                <c:pt idx="6">
                  <c:v>33.4</c:v>
                </c:pt>
                <c:pt idx="7">
                  <c:v>36.799999999999997</c:v>
                </c:pt>
                <c:pt idx="8">
                  <c:v>39.5</c:v>
                </c:pt>
                <c:pt idx="9">
                  <c:v>41.3</c:v>
                </c:pt>
                <c:pt idx="10">
                  <c:v>42.3</c:v>
                </c:pt>
                <c:pt idx="11">
                  <c:v>42.3</c:v>
                </c:pt>
                <c:pt idx="12">
                  <c:v>41.5</c:v>
                </c:pt>
                <c:pt idx="13">
                  <c:v>39.799999999999997</c:v>
                </c:pt>
                <c:pt idx="14">
                  <c:v>37.1</c:v>
                </c:pt>
                <c:pt idx="15">
                  <c:v>33.5</c:v>
                </c:pt>
                <c:pt idx="16">
                  <c:v>28.9</c:v>
                </c:pt>
                <c:pt idx="17">
                  <c:v>23.1</c:v>
                </c:pt>
                <c:pt idx="18">
                  <c:v>16.5</c:v>
                </c:pt>
                <c:pt idx="19">
                  <c:v>8.9</c:v>
                </c:pt>
                <c:pt idx="20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59-4BAA-838D-7988D3368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(2)'!$B$23:$B$36</c:f>
              <c:numCache>
                <c:formatCode>0.00</c:formatCode>
                <c:ptCount val="14"/>
                <c:pt idx="0">
                  <c:v>3664</c:v>
                </c:pt>
                <c:pt idx="1">
                  <c:v>3544.1</c:v>
                </c:pt>
                <c:pt idx="2">
                  <c:v>3417.9</c:v>
                </c:pt>
                <c:pt idx="3">
                  <c:v>3272.5</c:v>
                </c:pt>
                <c:pt idx="4">
                  <c:v>3136.7</c:v>
                </c:pt>
                <c:pt idx="5">
                  <c:v>3006.4</c:v>
                </c:pt>
                <c:pt idx="6">
                  <c:v>2883.3</c:v>
                </c:pt>
                <c:pt idx="7">
                  <c:v>2655.9</c:v>
                </c:pt>
                <c:pt idx="8">
                  <c:v>2435.6</c:v>
                </c:pt>
                <c:pt idx="9">
                  <c:v>2238.1</c:v>
                </c:pt>
                <c:pt idx="10">
                  <c:v>2048.1999999999998</c:v>
                </c:pt>
                <c:pt idx="11">
                  <c:v>1866.9</c:v>
                </c:pt>
                <c:pt idx="12">
                  <c:v>1706.1</c:v>
                </c:pt>
                <c:pt idx="13">
                  <c:v>1544.2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44-47E6-8999-62A3164DC742}"/>
            </c:ext>
          </c:extLst>
        </c:ser>
        <c:ser>
          <c:idx val="1"/>
          <c:order val="1"/>
          <c:tx>
            <c:strRef>
              <c:f>'TrophyBonded PHP (2)'!$A$79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(2)'!$A$81:$A$101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(2)'!$C$81:$C$101</c:f>
              <c:numCache>
                <c:formatCode>0.00</c:formatCode>
                <c:ptCount val="21"/>
                <c:pt idx="0">
                  <c:v>3664</c:v>
                </c:pt>
                <c:pt idx="1">
                  <c:v>3518</c:v>
                </c:pt>
                <c:pt idx="2">
                  <c:v>3377</c:v>
                </c:pt>
                <c:pt idx="3">
                  <c:v>3242</c:v>
                </c:pt>
                <c:pt idx="4">
                  <c:v>3110</c:v>
                </c:pt>
                <c:pt idx="5">
                  <c:v>2984</c:v>
                </c:pt>
                <c:pt idx="6">
                  <c:v>2861</c:v>
                </c:pt>
                <c:pt idx="7">
                  <c:v>2742</c:v>
                </c:pt>
                <c:pt idx="8">
                  <c:v>2628</c:v>
                </c:pt>
                <c:pt idx="9">
                  <c:v>2517</c:v>
                </c:pt>
                <c:pt idx="10">
                  <c:v>2410</c:v>
                </c:pt>
                <c:pt idx="11">
                  <c:v>2306</c:v>
                </c:pt>
                <c:pt idx="12">
                  <c:v>2206</c:v>
                </c:pt>
                <c:pt idx="13">
                  <c:v>2110</c:v>
                </c:pt>
                <c:pt idx="14">
                  <c:v>2016</c:v>
                </c:pt>
                <c:pt idx="15">
                  <c:v>1926</c:v>
                </c:pt>
                <c:pt idx="16">
                  <c:v>1839</c:v>
                </c:pt>
                <c:pt idx="17">
                  <c:v>1755</c:v>
                </c:pt>
                <c:pt idx="18">
                  <c:v>1674</c:v>
                </c:pt>
                <c:pt idx="19">
                  <c:v>1596</c:v>
                </c:pt>
                <c:pt idx="20">
                  <c:v>1524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44-47E6-8999-62A3164DC742}"/>
            </c:ext>
          </c:extLst>
        </c:ser>
        <c:ser>
          <c:idx val="2"/>
          <c:order val="2"/>
          <c:tx>
            <c:strRef>
              <c:f>'TrophyBonded PHP (2)'!$K$79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 (2)'!$K$81:$K$101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(2)'!$M$81:$M$101</c:f>
              <c:numCache>
                <c:formatCode>0.00</c:formatCode>
                <c:ptCount val="21"/>
                <c:pt idx="0">
                  <c:v>3664</c:v>
                </c:pt>
                <c:pt idx="1">
                  <c:v>3592</c:v>
                </c:pt>
                <c:pt idx="2">
                  <c:v>3521</c:v>
                </c:pt>
                <c:pt idx="3">
                  <c:v>3451</c:v>
                </c:pt>
                <c:pt idx="4">
                  <c:v>3382</c:v>
                </c:pt>
                <c:pt idx="5">
                  <c:v>3315</c:v>
                </c:pt>
                <c:pt idx="6">
                  <c:v>3248</c:v>
                </c:pt>
                <c:pt idx="7">
                  <c:v>3183</c:v>
                </c:pt>
                <c:pt idx="8">
                  <c:v>3119</c:v>
                </c:pt>
                <c:pt idx="9">
                  <c:v>3055</c:v>
                </c:pt>
                <c:pt idx="10">
                  <c:v>2993</c:v>
                </c:pt>
                <c:pt idx="11">
                  <c:v>2931</c:v>
                </c:pt>
                <c:pt idx="12">
                  <c:v>2871</c:v>
                </c:pt>
                <c:pt idx="13">
                  <c:v>2811</c:v>
                </c:pt>
                <c:pt idx="14">
                  <c:v>2752</c:v>
                </c:pt>
                <c:pt idx="15">
                  <c:v>2695</c:v>
                </c:pt>
                <c:pt idx="16">
                  <c:v>2638</c:v>
                </c:pt>
                <c:pt idx="17">
                  <c:v>2582</c:v>
                </c:pt>
                <c:pt idx="18">
                  <c:v>2527</c:v>
                </c:pt>
                <c:pt idx="19">
                  <c:v>2473</c:v>
                </c:pt>
                <c:pt idx="20">
                  <c:v>2422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344-47E6-8999-62A3164D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 (2)'!$J$22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(2)'!$J$23:$J$36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3.7350001736803113</c:v>
                </c:pt>
                <c:pt idx="5">
                  <c:v>4.6687502171003894</c:v>
                </c:pt>
                <c:pt idx="6">
                  <c:v>5.4000002332800108</c:v>
                </c:pt>
                <c:pt idx="7">
                  <c:v>0</c:v>
                </c:pt>
                <c:pt idx="8">
                  <c:v>-11.250000759375061</c:v>
                </c:pt>
                <c:pt idx="9">
                  <c:v>-25.312506006776616</c:v>
                </c:pt>
                <c:pt idx="10">
                  <c:v>-49.218782444025905</c:v>
                </c:pt>
                <c:pt idx="11">
                  <c:v>-75.060088101855399</c:v>
                </c:pt>
                <c:pt idx="12">
                  <c:v>-101.25017085972097</c:v>
                </c:pt>
                <c:pt idx="13">
                  <c:v>-146.25041708814612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95-401F-BB16-B88CF99964DD}"/>
            </c:ext>
          </c:extLst>
        </c:ser>
        <c:ser>
          <c:idx val="1"/>
          <c:order val="1"/>
          <c:tx>
            <c:strRef>
              <c:f>'TrophyBonded PHP (2)'!$K$22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(2)'!$K$23:$K$36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-1.8600000095331204</c:v>
                </c:pt>
                <c:pt idx="7">
                  <c:v>-8.0000004266666931</c:v>
                </c:pt>
                <c:pt idx="8">
                  <c:v>-16.700002483980715</c:v>
                </c:pt>
                <c:pt idx="9">
                  <c:v>-30.600010612084422</c:v>
                </c:pt>
                <c:pt idx="10">
                  <c:v>-52.500039375035435</c:v>
                </c:pt>
                <c:pt idx="11">
                  <c:v>-76.000091453465387</c:v>
                </c:pt>
                <c:pt idx="12">
                  <c:v>-104.94019022948933</c:v>
                </c:pt>
                <c:pt idx="13">
                  <c:v>-148.00043224044819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95-401F-BB16-B88CF99964DD}"/>
            </c:ext>
          </c:extLst>
        </c:ser>
        <c:ser>
          <c:idx val="2"/>
          <c:order val="2"/>
          <c:tx>
            <c:strRef>
              <c:f>'TrophyBonded PHP (2)'!$L$22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(2)'!$L$23:$L$36</c:f>
              <c:numCache>
                <c:formatCode>0.00</c:formatCode>
                <c:ptCount val="14"/>
                <c:pt idx="0">
                  <c:v>-3.81</c:v>
                </c:pt>
                <c:pt idx="1">
                  <c:v>-3.2031267527528189</c:v>
                </c:pt>
                <c:pt idx="2">
                  <c:v>-1.2812500280440275</c:v>
                </c:pt>
                <c:pt idx="3">
                  <c:v>1.9218750420660413</c:v>
                </c:pt>
                <c:pt idx="4">
                  <c:v>2.5625000560880551</c:v>
                </c:pt>
                <c:pt idx="5">
                  <c:v>3.2031250701100689</c:v>
                </c:pt>
                <c:pt idx="6">
                  <c:v>0</c:v>
                </c:pt>
                <c:pt idx="7">
                  <c:v>-6.8060002627208904</c:v>
                </c:pt>
                <c:pt idx="8">
                  <c:v>-15.375001938403415</c:v>
                </c:pt>
                <c:pt idx="9">
                  <c:v>-30.135010135612504</c:v>
                </c:pt>
                <c:pt idx="10">
                  <c:v>-47.785529691448431</c:v>
                </c:pt>
                <c:pt idx="11">
                  <c:v>-71.750076952908287</c:v>
                </c:pt>
                <c:pt idx="12">
                  <c:v>-103.78143399725057</c:v>
                </c:pt>
                <c:pt idx="13">
                  <c:v>-140.93787326718154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095-401F-BB16-B88CF99964DD}"/>
            </c:ext>
          </c:extLst>
        </c:ser>
        <c:ser>
          <c:idx val="3"/>
          <c:order val="3"/>
          <c:tx>
            <c:strRef>
              <c:f>'TrophyBonded PHP (2)'!$M$22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(2)'!$M$23:$M$36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1.250000026041667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095-401F-BB16-B88CF99964DD}"/>
            </c:ext>
          </c:extLst>
        </c:ser>
        <c:ser>
          <c:idx val="4"/>
          <c:order val="4"/>
          <c:tx>
            <c:strRef>
              <c:f>'TrophyBonded PHP (2)'!$N$22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(2)'!$N$23:$N$36</c:f>
              <c:numCache>
                <c:formatCode>0.00</c:formatCode>
                <c:ptCount val="14"/>
                <c:pt idx="0">
                  <c:v>-3.81</c:v>
                </c:pt>
                <c:pt idx="1">
                  <c:v>-0.83000003049530802</c:v>
                </c:pt>
                <c:pt idx="2">
                  <c:v>3.7500007031251585</c:v>
                </c:pt>
                <c:pt idx="3">
                  <c:v>7.350002352980904</c:v>
                </c:pt>
                <c:pt idx="4">
                  <c:v>10.000003333334668</c:v>
                </c:pt>
                <c:pt idx="5">
                  <c:v>12.500004166668335</c:v>
                </c:pt>
                <c:pt idx="6">
                  <c:v>15.000005000002</c:v>
                </c:pt>
                <c:pt idx="7">
                  <c:v>13.360001987184569</c:v>
                </c:pt>
                <c:pt idx="8">
                  <c:v>10.000000533333367</c:v>
                </c:pt>
                <c:pt idx="9">
                  <c:v>0</c:v>
                </c:pt>
                <c:pt idx="10">
                  <c:v>-14.000000746666712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-90.000097200125964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095-401F-BB16-B88CF99964DD}"/>
            </c:ext>
          </c:extLst>
        </c:ser>
        <c:ser>
          <c:idx val="5"/>
          <c:order val="5"/>
          <c:tx>
            <c:strRef>
              <c:f>'TrophyBonded PHP (2)'!$O$22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(2)'!$O$23:$O$36</c:f>
              <c:numCache>
                <c:formatCode>0.00</c:formatCode>
                <c:ptCount val="14"/>
                <c:pt idx="0">
                  <c:v>-3.81</c:v>
                </c:pt>
                <c:pt idx="1">
                  <c:v>1.5000001800000258</c:v>
                </c:pt>
                <c:pt idx="2">
                  <c:v>8.3400077345913282</c:v>
                </c:pt>
                <c:pt idx="3">
                  <c:v>14.700018823868923</c:v>
                </c:pt>
                <c:pt idx="4">
                  <c:v>20.000026666709331</c:v>
                </c:pt>
                <c:pt idx="5">
                  <c:v>24.500031373114876</c:v>
                </c:pt>
                <c:pt idx="6">
                  <c:v>26.250026796907829</c:v>
                </c:pt>
                <c:pt idx="7">
                  <c:v>32.000027306694633</c:v>
                </c:pt>
                <c:pt idx="8">
                  <c:v>31.250016276051838</c:v>
                </c:pt>
                <c:pt idx="9">
                  <c:v>24.000005120001312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-50.000016666673339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095-401F-BB16-B88CF99964DD}"/>
            </c:ext>
          </c:extLst>
        </c:ser>
        <c:ser>
          <c:idx val="6"/>
          <c:order val="6"/>
          <c:tx>
            <c:strRef>
              <c:f>'TrophyBonded PHP (2)'!$P$22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(2)'!$P$23:$P$36</c:f>
              <c:numCache>
                <c:formatCode>0.00</c:formatCode>
                <c:ptCount val="14"/>
                <c:pt idx="0">
                  <c:v>-3.81</c:v>
                </c:pt>
                <c:pt idx="1">
                  <c:v>4.5000048600062978</c:v>
                </c:pt>
                <c:pt idx="2">
                  <c:v>13.34003165245951</c:v>
                </c:pt>
                <c:pt idx="3">
                  <c:v>21.000054880172105</c:v>
                </c:pt>
                <c:pt idx="4">
                  <c:v>30.000090000324004</c:v>
                </c:pt>
                <c:pt idx="5">
                  <c:v>35.000091466953506</c:v>
                </c:pt>
                <c:pt idx="6">
                  <c:v>39.000087880237629</c:v>
                </c:pt>
                <c:pt idx="7">
                  <c:v>50.000104166927088</c:v>
                </c:pt>
                <c:pt idx="8">
                  <c:v>55.000088733505123</c:v>
                </c:pt>
                <c:pt idx="9">
                  <c:v>54.000058320075574</c:v>
                </c:pt>
                <c:pt idx="10">
                  <c:v>49.000032013358435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5095-401F-BB16-B88CF9996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2852305064459997"/>
          <c:y val="2.61904761904761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 (2)'!$C$22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042806742711284"/>
                  <c:y val="-0.675410948631421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 (2)'!$A$24:$A$36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'TrophyBonded PHP (2)'!$C$24:$C$36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0.08</c:v>
                </c:pt>
                <c:pt idx="6">
                  <c:v>0</c:v>
                </c:pt>
                <c:pt idx="7">
                  <c:v>-0.1</c:v>
                </c:pt>
                <c:pt idx="8">
                  <c:v>-0.1875</c:v>
                </c:pt>
                <c:pt idx="9">
                  <c:v>-0.3125</c:v>
                </c:pt>
                <c:pt idx="10">
                  <c:v>-0.41699999999999998</c:v>
                </c:pt>
                <c:pt idx="11">
                  <c:v>-0.5</c:v>
                </c:pt>
                <c:pt idx="12">
                  <c:v>-0.65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E0-4B67-94F4-58253C22C301}"/>
            </c:ext>
          </c:extLst>
        </c:ser>
        <c:ser>
          <c:idx val="1"/>
          <c:order val="1"/>
          <c:tx>
            <c:strRef>
              <c:f>'TrophyBonded PHP (2)'!$D$22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203855474878135"/>
                  <c:y val="-0.6586079865016872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 (2)'!$A$24:$A$36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'TrophyBonded PHP (2)'!$D$24:$D$36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-3.1E-2</c:v>
                </c:pt>
                <c:pt idx="6">
                  <c:v>-0.1</c:v>
                </c:pt>
                <c:pt idx="7">
                  <c:v>-0.16700000000000001</c:v>
                </c:pt>
                <c:pt idx="8">
                  <c:v>-0.255</c:v>
                </c:pt>
                <c:pt idx="9">
                  <c:v>-0.375</c:v>
                </c:pt>
                <c:pt idx="10">
                  <c:v>-0.47499999999999998</c:v>
                </c:pt>
                <c:pt idx="11">
                  <c:v>-0.58299999999999996</c:v>
                </c:pt>
                <c:pt idx="12">
                  <c:v>-0.74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E0-4B67-94F4-58253C22C301}"/>
            </c:ext>
          </c:extLst>
        </c:ser>
        <c:ser>
          <c:idx val="2"/>
          <c:order val="2"/>
          <c:tx>
            <c:strRef>
              <c:f>'TrophyBonded PHP (2)'!$E$22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858960626897277"/>
                  <c:y val="-0.544130108736407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 (2)'!$A$24:$A$36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'TrophyBonded PHP (2)'!$E$24:$E$36</c:f>
              <c:numCache>
                <c:formatCode>0.000</c:formatCode>
                <c:ptCount val="13"/>
                <c:pt idx="0">
                  <c:v>-0.3125</c:v>
                </c:pt>
                <c:pt idx="1">
                  <c:v>-6.25E-2</c:v>
                </c:pt>
                <c:pt idx="2">
                  <c:v>6.25E-2</c:v>
                </c:pt>
                <c:pt idx="3">
                  <c:v>6.25E-2</c:v>
                </c:pt>
                <c:pt idx="4">
                  <c:v>6.25E-2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-0.15</c:v>
                </c:pt>
                <c:pt idx="8">
                  <c:v>-0.245</c:v>
                </c:pt>
                <c:pt idx="9">
                  <c:v>-0.33300000000000002</c:v>
                </c:pt>
                <c:pt idx="10">
                  <c:v>-0.4375</c:v>
                </c:pt>
                <c:pt idx="11">
                  <c:v>-0.5625</c:v>
                </c:pt>
                <c:pt idx="12">
                  <c:v>-0.6875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BE0-4B67-94F4-58253C22C301}"/>
            </c:ext>
          </c:extLst>
        </c:ser>
        <c:ser>
          <c:idx val="3"/>
          <c:order val="3"/>
          <c:tx>
            <c:strRef>
              <c:f>'TrophyBonded PHP (2)'!$F$22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337872882901531"/>
                  <c:y val="-0.4111379827521559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 (2)'!$A$24:$A$36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'TrophyBonded PHP (2)'!$F$24:$F$36</c:f>
              <c:numCache>
                <c:formatCode>0.000</c:formatCode>
                <c:ptCount val="13"/>
                <c:pt idx="0">
                  <c:v>-0.1875</c:v>
                </c:pt>
                <c:pt idx="1">
                  <c:v>6.25E-2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-0.375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BE0-4B67-94F4-58253C22C301}"/>
            </c:ext>
          </c:extLst>
        </c:ser>
        <c:ser>
          <c:idx val="4"/>
          <c:order val="4"/>
          <c:tx>
            <c:strRef>
              <c:f>'TrophyBonded PHP (2)'!$G$22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3165425458911104"/>
                  <c:y val="-0.216931946006749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5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 (2)'!$A$24:$A$36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'TrophyBonded PHP (2)'!$G$24:$G$36</c:f>
              <c:numCache>
                <c:formatCode>0.000</c:formatCode>
                <c:ptCount val="13"/>
                <c:pt idx="0">
                  <c:v>-8.3000000000000004E-2</c:v>
                </c:pt>
                <c:pt idx="1">
                  <c:v>0.1875</c:v>
                </c:pt>
                <c:pt idx="2">
                  <c:v>0.245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0.16700000000000001</c:v>
                </c:pt>
                <c:pt idx="7">
                  <c:v>0.1</c:v>
                </c:pt>
                <c:pt idx="8">
                  <c:v>0</c:v>
                </c:pt>
                <c:pt idx="9">
                  <c:v>-0.1</c:v>
                </c:pt>
                <c:pt idx="10">
                  <c:v>-0.1875</c:v>
                </c:pt>
                <c:pt idx="11">
                  <c:v>-0.33300000000000002</c:v>
                </c:pt>
                <c:pt idx="12">
                  <c:v>-0.45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BE0-4B67-94F4-58253C22C301}"/>
            </c:ext>
          </c:extLst>
        </c:ser>
        <c:ser>
          <c:idx val="5"/>
          <c:order val="5"/>
          <c:tx>
            <c:strRef>
              <c:f>'TrophyBonded PHP (2)'!$H$22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28791144134305"/>
                  <c:y val="0.227613235845519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 (2)'!$A$24:$A$36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'TrophyBonded PHP (2)'!$H$24:$H$36</c:f>
              <c:numCache>
                <c:formatCode>0.000</c:formatCode>
                <c:ptCount val="13"/>
                <c:pt idx="0">
                  <c:v>0.15</c:v>
                </c:pt>
                <c:pt idx="1">
                  <c:v>0.41699999999999998</c:v>
                </c:pt>
                <c:pt idx="2">
                  <c:v>0.49</c:v>
                </c:pt>
                <c:pt idx="3">
                  <c:v>0.5</c:v>
                </c:pt>
                <c:pt idx="4">
                  <c:v>0.49</c:v>
                </c:pt>
                <c:pt idx="5">
                  <c:v>0.4375</c:v>
                </c:pt>
                <c:pt idx="6">
                  <c:v>0.4</c:v>
                </c:pt>
                <c:pt idx="7">
                  <c:v>0.3125</c:v>
                </c:pt>
                <c:pt idx="8">
                  <c:v>0.2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BE0-4B67-94F4-58253C22C301}"/>
            </c:ext>
          </c:extLst>
        </c:ser>
        <c:ser>
          <c:idx val="6"/>
          <c:order val="6"/>
          <c:tx>
            <c:strRef>
              <c:f>'TrophyBonded PHP (2)'!$I$22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30075379240069444"/>
                  <c:y val="0.419986689163854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 (2)'!$A$24:$A$36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'TrophyBonded PHP (2)'!$I$24:$I$36</c:f>
              <c:numCache>
                <c:formatCode>0.000</c:formatCode>
                <c:ptCount val="13"/>
                <c:pt idx="0">
                  <c:v>0.45</c:v>
                </c:pt>
                <c:pt idx="1">
                  <c:v>0.66700000000000004</c:v>
                </c:pt>
                <c:pt idx="2">
                  <c:v>0.7</c:v>
                </c:pt>
                <c:pt idx="3">
                  <c:v>0.75</c:v>
                </c:pt>
                <c:pt idx="4">
                  <c:v>0.7</c:v>
                </c:pt>
                <c:pt idx="5">
                  <c:v>0.65</c:v>
                </c:pt>
                <c:pt idx="6">
                  <c:v>0.625</c:v>
                </c:pt>
                <c:pt idx="7">
                  <c:v>0.55000000000000004</c:v>
                </c:pt>
                <c:pt idx="8">
                  <c:v>0.45</c:v>
                </c:pt>
                <c:pt idx="9">
                  <c:v>0.35</c:v>
                </c:pt>
                <c:pt idx="10">
                  <c:v>0.25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BE0-4B67-94F4-58253C22C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'TrophyBonded PHP (2)'!$J$22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420445372402453"/>
                  <c:y val="-0.1309171025154702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(2)'!$J$23:$J$36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3.7350001736803113</c:v>
                </c:pt>
                <c:pt idx="5">
                  <c:v>4.6687502171003894</c:v>
                </c:pt>
                <c:pt idx="6">
                  <c:v>5.4000002332800108</c:v>
                </c:pt>
                <c:pt idx="7">
                  <c:v>0</c:v>
                </c:pt>
                <c:pt idx="8">
                  <c:v>-11.250000759375061</c:v>
                </c:pt>
                <c:pt idx="9">
                  <c:v>-25.312506006776616</c:v>
                </c:pt>
                <c:pt idx="10">
                  <c:v>-49.218782444025905</c:v>
                </c:pt>
                <c:pt idx="11">
                  <c:v>-75.060088101855399</c:v>
                </c:pt>
                <c:pt idx="12">
                  <c:v>-101.25017085972097</c:v>
                </c:pt>
                <c:pt idx="13">
                  <c:v>-146.25041708814612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D7-44C0-AF41-BEC6E8480B40}"/>
            </c:ext>
          </c:extLst>
        </c:ser>
        <c:ser>
          <c:idx val="1"/>
          <c:order val="1"/>
          <c:tx>
            <c:strRef>
              <c:f>'TrophyBonded PHP (2)'!$A$79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(2)'!$A$81:$A$101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(2)'!$D$81:$D$101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0.7</c:v>
                </c:pt>
                <c:pt idx="4">
                  <c:v>0.7</c:v>
                </c:pt>
                <c:pt idx="5">
                  <c:v>-0.2</c:v>
                </c:pt>
                <c:pt idx="6">
                  <c:v>-2</c:v>
                </c:pt>
                <c:pt idx="7">
                  <c:v>-4.5999999999999996</c:v>
                </c:pt>
                <c:pt idx="8">
                  <c:v>-8.4</c:v>
                </c:pt>
                <c:pt idx="9">
                  <c:v>-13</c:v>
                </c:pt>
                <c:pt idx="10">
                  <c:v>-18.7</c:v>
                </c:pt>
                <c:pt idx="11">
                  <c:v>-25.7</c:v>
                </c:pt>
                <c:pt idx="12">
                  <c:v>-33.700000000000003</c:v>
                </c:pt>
                <c:pt idx="13">
                  <c:v>-42.8</c:v>
                </c:pt>
                <c:pt idx="14">
                  <c:v>-53.7</c:v>
                </c:pt>
                <c:pt idx="15">
                  <c:v>-65.400000000000006</c:v>
                </c:pt>
                <c:pt idx="16">
                  <c:v>-78.599999999999994</c:v>
                </c:pt>
                <c:pt idx="17">
                  <c:v>-93.9</c:v>
                </c:pt>
                <c:pt idx="18">
                  <c:v>-110.1</c:v>
                </c:pt>
                <c:pt idx="19">
                  <c:v>-128</c:v>
                </c:pt>
                <c:pt idx="20">
                  <c:v>-147.6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D7-44C0-AF41-BEC6E8480B40}"/>
            </c:ext>
          </c:extLst>
        </c:ser>
        <c:ser>
          <c:idx val="2"/>
          <c:order val="2"/>
          <c:tx>
            <c:strRef>
              <c:f>'TrophyBonded PHP (2)'!$K$79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 (2)'!$K$81:$K$101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(2)'!$N$81:$N$101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0.8</c:v>
                </c:pt>
                <c:pt idx="5">
                  <c:v>0.1</c:v>
                </c:pt>
                <c:pt idx="6">
                  <c:v>-1.4</c:v>
                </c:pt>
                <c:pt idx="7">
                  <c:v>-3.7</c:v>
                </c:pt>
                <c:pt idx="8">
                  <c:v>-6.9</c:v>
                </c:pt>
                <c:pt idx="9">
                  <c:v>-10.8</c:v>
                </c:pt>
                <c:pt idx="10">
                  <c:v>-15.6</c:v>
                </c:pt>
                <c:pt idx="11">
                  <c:v>-21.5</c:v>
                </c:pt>
                <c:pt idx="12">
                  <c:v>-28</c:v>
                </c:pt>
                <c:pt idx="13">
                  <c:v>-35.4</c:v>
                </c:pt>
                <c:pt idx="14">
                  <c:v>-44.1</c:v>
                </c:pt>
                <c:pt idx="15">
                  <c:v>-53.5</c:v>
                </c:pt>
                <c:pt idx="16">
                  <c:v>-63.8</c:v>
                </c:pt>
                <c:pt idx="17">
                  <c:v>-75.5</c:v>
                </c:pt>
                <c:pt idx="18">
                  <c:v>-87.8</c:v>
                </c:pt>
                <c:pt idx="19">
                  <c:v>-101.2</c:v>
                </c:pt>
                <c:pt idx="20">
                  <c:v>-115.6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0D7-44C0-AF41-BEC6E8480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 (2)'!$D$22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(2)'!$K$23:$K$36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-1.8600000095331204</c:v>
                </c:pt>
                <c:pt idx="7">
                  <c:v>-8.0000004266666931</c:v>
                </c:pt>
                <c:pt idx="8">
                  <c:v>-16.700002483980715</c:v>
                </c:pt>
                <c:pt idx="9">
                  <c:v>-30.600010612084422</c:v>
                </c:pt>
                <c:pt idx="10">
                  <c:v>-52.500039375035435</c:v>
                </c:pt>
                <c:pt idx="11">
                  <c:v>-76.000091453465387</c:v>
                </c:pt>
                <c:pt idx="12">
                  <c:v>-104.94019022948933</c:v>
                </c:pt>
                <c:pt idx="13">
                  <c:v>-148.00043224044819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D9-4434-A460-A2D9CCCE371E}"/>
            </c:ext>
          </c:extLst>
        </c:ser>
        <c:ser>
          <c:idx val="1"/>
          <c:order val="1"/>
          <c:tx>
            <c:strRef>
              <c:f>'TrophyBonded PHP (2)'!$A$103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(2)'!$A$105:$A$125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(2)'!$D$105:$D$125</c:f>
              <c:numCache>
                <c:formatCode>0.00</c:formatCode>
                <c:ptCount val="21"/>
                <c:pt idx="0">
                  <c:v>-3.8</c:v>
                </c:pt>
                <c:pt idx="1">
                  <c:v>-1.7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-1.1000000000000001</c:v>
                </c:pt>
                <c:pt idx="6">
                  <c:v>-3</c:v>
                </c:pt>
                <c:pt idx="7">
                  <c:v>-5.9</c:v>
                </c:pt>
                <c:pt idx="8">
                  <c:v>-9.8000000000000007</c:v>
                </c:pt>
                <c:pt idx="9">
                  <c:v>-14.6</c:v>
                </c:pt>
                <c:pt idx="10">
                  <c:v>-20.5</c:v>
                </c:pt>
                <c:pt idx="11">
                  <c:v>-27.7</c:v>
                </c:pt>
                <c:pt idx="12">
                  <c:v>-35.799999999999997</c:v>
                </c:pt>
                <c:pt idx="13">
                  <c:v>-45.1</c:v>
                </c:pt>
                <c:pt idx="14">
                  <c:v>-56.1</c:v>
                </c:pt>
                <c:pt idx="15">
                  <c:v>-68.099999999999994</c:v>
                </c:pt>
                <c:pt idx="16">
                  <c:v>-81.5</c:v>
                </c:pt>
                <c:pt idx="17">
                  <c:v>-96.9</c:v>
                </c:pt>
                <c:pt idx="18">
                  <c:v>-113.3</c:v>
                </c:pt>
                <c:pt idx="19">
                  <c:v>-131.4</c:v>
                </c:pt>
                <c:pt idx="20">
                  <c:v>-151.1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D9-4434-A460-A2D9CCCE371E}"/>
            </c:ext>
          </c:extLst>
        </c:ser>
        <c:ser>
          <c:idx val="2"/>
          <c:order val="2"/>
          <c:tx>
            <c:strRef>
              <c:f>'TrophyBonded PHP (2)'!$K$103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 (2)'!$K$105:$K$125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(2)'!$N$105:$N$125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-0.9</c:v>
                </c:pt>
                <c:pt idx="6">
                  <c:v>-2.6</c:v>
                </c:pt>
                <c:pt idx="7">
                  <c:v>-5.0999999999999996</c:v>
                </c:pt>
                <c:pt idx="8">
                  <c:v>-8.5</c:v>
                </c:pt>
                <c:pt idx="9">
                  <c:v>-12.7</c:v>
                </c:pt>
                <c:pt idx="10">
                  <c:v>-17.600000000000001</c:v>
                </c:pt>
                <c:pt idx="11">
                  <c:v>-23.7</c:v>
                </c:pt>
                <c:pt idx="12">
                  <c:v>-30.5</c:v>
                </c:pt>
                <c:pt idx="13">
                  <c:v>-38.1</c:v>
                </c:pt>
                <c:pt idx="14">
                  <c:v>-47</c:v>
                </c:pt>
                <c:pt idx="15">
                  <c:v>-56.5</c:v>
                </c:pt>
                <c:pt idx="16">
                  <c:v>-67</c:v>
                </c:pt>
                <c:pt idx="17">
                  <c:v>-79</c:v>
                </c:pt>
                <c:pt idx="18">
                  <c:v>-91.5</c:v>
                </c:pt>
                <c:pt idx="19">
                  <c:v>-105.1</c:v>
                </c:pt>
                <c:pt idx="20">
                  <c:v>-119.7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D9-4434-A460-A2D9CCCE3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 (2)'!$E$22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(2)'!$L$23:$L$36</c:f>
              <c:numCache>
                <c:formatCode>0.00</c:formatCode>
                <c:ptCount val="14"/>
                <c:pt idx="0">
                  <c:v>-3.81</c:v>
                </c:pt>
                <c:pt idx="1">
                  <c:v>-3.2031267527528189</c:v>
                </c:pt>
                <c:pt idx="2">
                  <c:v>-1.2812500280440275</c:v>
                </c:pt>
                <c:pt idx="3">
                  <c:v>1.9218750420660413</c:v>
                </c:pt>
                <c:pt idx="4">
                  <c:v>2.5625000560880551</c:v>
                </c:pt>
                <c:pt idx="5">
                  <c:v>3.2031250701100689</c:v>
                </c:pt>
                <c:pt idx="6">
                  <c:v>0</c:v>
                </c:pt>
                <c:pt idx="7">
                  <c:v>-6.8060002627208904</c:v>
                </c:pt>
                <c:pt idx="8">
                  <c:v>-15.375001938403415</c:v>
                </c:pt>
                <c:pt idx="9">
                  <c:v>-30.135010135612504</c:v>
                </c:pt>
                <c:pt idx="10">
                  <c:v>-47.785529691448431</c:v>
                </c:pt>
                <c:pt idx="11">
                  <c:v>-71.750076952908287</c:v>
                </c:pt>
                <c:pt idx="12">
                  <c:v>-103.78143399725057</c:v>
                </c:pt>
                <c:pt idx="13">
                  <c:v>-140.93787326718154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DF-4C7B-BAD7-6B2E28C57619}"/>
            </c:ext>
          </c:extLst>
        </c:ser>
        <c:ser>
          <c:idx val="1"/>
          <c:order val="1"/>
          <c:tx>
            <c:strRef>
              <c:f>'TrophyBonded PHP (2)'!$A$127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(2)'!$A$129:$A$149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(2)'!$D$129:$D$149</c:f>
              <c:numCache>
                <c:formatCode>0.00</c:formatCode>
                <c:ptCount val="21"/>
                <c:pt idx="0">
                  <c:v>-3.8</c:v>
                </c:pt>
                <c:pt idx="1">
                  <c:v>-1.2</c:v>
                </c:pt>
                <c:pt idx="2">
                  <c:v>0.7</c:v>
                </c:pt>
                <c:pt idx="3">
                  <c:v>1.7</c:v>
                </c:pt>
                <c:pt idx="4">
                  <c:v>2</c:v>
                </c:pt>
                <c:pt idx="5">
                  <c:v>1.4</c:v>
                </c:pt>
                <c:pt idx="6">
                  <c:v>0</c:v>
                </c:pt>
                <c:pt idx="7">
                  <c:v>-2.4</c:v>
                </c:pt>
                <c:pt idx="8">
                  <c:v>-5.8</c:v>
                </c:pt>
                <c:pt idx="9">
                  <c:v>-10.1</c:v>
                </c:pt>
                <c:pt idx="10">
                  <c:v>-15.5</c:v>
                </c:pt>
                <c:pt idx="11">
                  <c:v>-22.2</c:v>
                </c:pt>
                <c:pt idx="12">
                  <c:v>-29.8</c:v>
                </c:pt>
                <c:pt idx="13">
                  <c:v>-38.6</c:v>
                </c:pt>
                <c:pt idx="14">
                  <c:v>-49.1</c:v>
                </c:pt>
                <c:pt idx="15">
                  <c:v>-60.6</c:v>
                </c:pt>
                <c:pt idx="16">
                  <c:v>-73.400000000000006</c:v>
                </c:pt>
                <c:pt idx="17">
                  <c:v>-88.3</c:v>
                </c:pt>
                <c:pt idx="18">
                  <c:v>-104.2</c:v>
                </c:pt>
                <c:pt idx="19">
                  <c:v>-121.8</c:v>
                </c:pt>
                <c:pt idx="20">
                  <c:v>-141.1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DF-4C7B-BAD7-6B2E28C57619}"/>
            </c:ext>
          </c:extLst>
        </c:ser>
        <c:ser>
          <c:idx val="2"/>
          <c:order val="2"/>
          <c:tx>
            <c:strRef>
              <c:f>'TrophyBonded PHP (2)'!$K$127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 (2)'!$K$129:$K$149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(2)'!$N$129:$N$149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0.5</c:v>
                </c:pt>
                <c:pt idx="3">
                  <c:v>1.5</c:v>
                </c:pt>
                <c:pt idx="4">
                  <c:v>1.8</c:v>
                </c:pt>
                <c:pt idx="5">
                  <c:v>1.3</c:v>
                </c:pt>
                <c:pt idx="6">
                  <c:v>0</c:v>
                </c:pt>
                <c:pt idx="7">
                  <c:v>-2</c:v>
                </c:pt>
                <c:pt idx="8">
                  <c:v>-5</c:v>
                </c:pt>
                <c:pt idx="9">
                  <c:v>-8.6999999999999993</c:v>
                </c:pt>
                <c:pt idx="10">
                  <c:v>-13.3</c:v>
                </c:pt>
                <c:pt idx="11">
                  <c:v>-18.899999999999999</c:v>
                </c:pt>
                <c:pt idx="12">
                  <c:v>-25.2</c:v>
                </c:pt>
                <c:pt idx="13">
                  <c:v>-32.4</c:v>
                </c:pt>
                <c:pt idx="14">
                  <c:v>-40.9</c:v>
                </c:pt>
                <c:pt idx="15">
                  <c:v>-50</c:v>
                </c:pt>
                <c:pt idx="16">
                  <c:v>-60</c:v>
                </c:pt>
                <c:pt idx="17">
                  <c:v>-71.5</c:v>
                </c:pt>
                <c:pt idx="18">
                  <c:v>-83.6</c:v>
                </c:pt>
                <c:pt idx="19">
                  <c:v>-96.7</c:v>
                </c:pt>
                <c:pt idx="20">
                  <c:v>-110.9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8DF-4C7B-BAD7-6B2E28C57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 (2)'!$M$22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(2)'!$M$23:$M$36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1.250000026041667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31-4A10-9CCA-914A3B14E86F}"/>
            </c:ext>
          </c:extLst>
        </c:ser>
        <c:ser>
          <c:idx val="1"/>
          <c:order val="1"/>
          <c:tx>
            <c:strRef>
              <c:f>'TrophyBonded PHP (2)'!$A$151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(2)'!$A$153:$A$173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(2)'!$D$153:$D$173</c:f>
              <c:numCache>
                <c:formatCode>0.00</c:formatCode>
                <c:ptCount val="21"/>
                <c:pt idx="0">
                  <c:v>-3.8</c:v>
                </c:pt>
                <c:pt idx="1">
                  <c:v>-0.5</c:v>
                </c:pt>
                <c:pt idx="2">
                  <c:v>2.1</c:v>
                </c:pt>
                <c:pt idx="3">
                  <c:v>3.9</c:v>
                </c:pt>
                <c:pt idx="4">
                  <c:v>4.9000000000000004</c:v>
                </c:pt>
                <c:pt idx="5">
                  <c:v>5</c:v>
                </c:pt>
                <c:pt idx="6">
                  <c:v>4.3</c:v>
                </c:pt>
                <c:pt idx="7">
                  <c:v>2.7</c:v>
                </c:pt>
                <c:pt idx="8">
                  <c:v>0</c:v>
                </c:pt>
                <c:pt idx="9">
                  <c:v>-3.6</c:v>
                </c:pt>
                <c:pt idx="10">
                  <c:v>-8.3000000000000007</c:v>
                </c:pt>
                <c:pt idx="11">
                  <c:v>-14.2</c:v>
                </c:pt>
                <c:pt idx="12">
                  <c:v>-21.2</c:v>
                </c:pt>
                <c:pt idx="13">
                  <c:v>-29.3</c:v>
                </c:pt>
                <c:pt idx="14">
                  <c:v>-39</c:v>
                </c:pt>
                <c:pt idx="15">
                  <c:v>-49.8</c:v>
                </c:pt>
                <c:pt idx="16">
                  <c:v>-61.9</c:v>
                </c:pt>
                <c:pt idx="17">
                  <c:v>-76.099999999999994</c:v>
                </c:pt>
                <c:pt idx="18">
                  <c:v>-91.3</c:v>
                </c:pt>
                <c:pt idx="19">
                  <c:v>-108.2</c:v>
                </c:pt>
                <c:pt idx="20">
                  <c:v>-126.7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31-4A10-9CCA-914A3B14E86F}"/>
            </c:ext>
          </c:extLst>
        </c:ser>
        <c:ser>
          <c:idx val="2"/>
          <c:order val="2"/>
          <c:tx>
            <c:strRef>
              <c:f>'TrophyBonded PHP (2)'!$K$151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 (2)'!$K$153:$K$173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(2)'!$N$153:$N$173</c:f>
              <c:numCache>
                <c:formatCode>0.00</c:formatCode>
                <c:ptCount val="21"/>
                <c:pt idx="0">
                  <c:v>-3.8</c:v>
                </c:pt>
                <c:pt idx="1">
                  <c:v>-0.7</c:v>
                </c:pt>
                <c:pt idx="2">
                  <c:v>1.7</c:v>
                </c:pt>
                <c:pt idx="3">
                  <c:v>3.4</c:v>
                </c:pt>
                <c:pt idx="4">
                  <c:v>4.3</c:v>
                </c:pt>
                <c:pt idx="5">
                  <c:v>4.4000000000000004</c:v>
                </c:pt>
                <c:pt idx="6">
                  <c:v>3.8</c:v>
                </c:pt>
                <c:pt idx="7">
                  <c:v>2.2999999999999998</c:v>
                </c:pt>
                <c:pt idx="8">
                  <c:v>0</c:v>
                </c:pt>
                <c:pt idx="9">
                  <c:v>-3.1</c:v>
                </c:pt>
                <c:pt idx="10">
                  <c:v>-7</c:v>
                </c:pt>
                <c:pt idx="11">
                  <c:v>-12</c:v>
                </c:pt>
                <c:pt idx="12">
                  <c:v>-17.7</c:v>
                </c:pt>
                <c:pt idx="13">
                  <c:v>-24.3</c:v>
                </c:pt>
                <c:pt idx="14">
                  <c:v>-32.1</c:v>
                </c:pt>
                <c:pt idx="15">
                  <c:v>-40.6</c:v>
                </c:pt>
                <c:pt idx="16">
                  <c:v>-50</c:v>
                </c:pt>
                <c:pt idx="17">
                  <c:v>-60.9</c:v>
                </c:pt>
                <c:pt idx="18">
                  <c:v>-72.400000000000006</c:v>
                </c:pt>
                <c:pt idx="19">
                  <c:v>-84.9</c:v>
                </c:pt>
                <c:pt idx="20">
                  <c:v>-98.5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531-4A10-9CCA-914A3B14E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 (2)'!$N$22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(2)'!$N$23:$N$36</c:f>
              <c:numCache>
                <c:formatCode>0.00</c:formatCode>
                <c:ptCount val="14"/>
                <c:pt idx="0">
                  <c:v>-3.81</c:v>
                </c:pt>
                <c:pt idx="1">
                  <c:v>-0.83000003049530802</c:v>
                </c:pt>
                <c:pt idx="2">
                  <c:v>3.7500007031251585</c:v>
                </c:pt>
                <c:pt idx="3">
                  <c:v>7.350002352980904</c:v>
                </c:pt>
                <c:pt idx="4">
                  <c:v>10.000003333334668</c:v>
                </c:pt>
                <c:pt idx="5">
                  <c:v>12.500004166668335</c:v>
                </c:pt>
                <c:pt idx="6">
                  <c:v>15.000005000002</c:v>
                </c:pt>
                <c:pt idx="7">
                  <c:v>13.360001987184569</c:v>
                </c:pt>
                <c:pt idx="8">
                  <c:v>10.000000533333367</c:v>
                </c:pt>
                <c:pt idx="9">
                  <c:v>0</c:v>
                </c:pt>
                <c:pt idx="10">
                  <c:v>-14.000000746666712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-90.000097200125964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6C-472E-9495-BFF2270BF674}"/>
            </c:ext>
          </c:extLst>
        </c:ser>
        <c:ser>
          <c:idx val="1"/>
          <c:order val="1"/>
          <c:tx>
            <c:strRef>
              <c:f>'TrophyBonded PHP (2)'!$A$175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(2)'!$A$177:$A$197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(2)'!$D$177:$D$197</c:f>
              <c:numCache>
                <c:formatCode>0.00</c:formatCode>
                <c:ptCount val="21"/>
                <c:pt idx="0">
                  <c:v>-3.8</c:v>
                </c:pt>
                <c:pt idx="1">
                  <c:v>1.2</c:v>
                </c:pt>
                <c:pt idx="2">
                  <c:v>5.7</c:v>
                </c:pt>
                <c:pt idx="3">
                  <c:v>9.1999999999999993</c:v>
                </c:pt>
                <c:pt idx="4">
                  <c:v>11.9</c:v>
                </c:pt>
                <c:pt idx="5">
                  <c:v>13.9</c:v>
                </c:pt>
                <c:pt idx="6">
                  <c:v>14.9</c:v>
                </c:pt>
                <c:pt idx="7">
                  <c:v>15</c:v>
                </c:pt>
                <c:pt idx="8">
                  <c:v>14.1</c:v>
                </c:pt>
                <c:pt idx="9">
                  <c:v>12.2</c:v>
                </c:pt>
                <c:pt idx="10">
                  <c:v>9.3000000000000007</c:v>
                </c:pt>
                <c:pt idx="11">
                  <c:v>5.2</c:v>
                </c:pt>
                <c:pt idx="12">
                  <c:v>0</c:v>
                </c:pt>
                <c:pt idx="13">
                  <c:v>-6.4</c:v>
                </c:pt>
                <c:pt idx="14">
                  <c:v>-14.3</c:v>
                </c:pt>
                <c:pt idx="15">
                  <c:v>-23.4</c:v>
                </c:pt>
                <c:pt idx="16">
                  <c:v>-33.799999999999997</c:v>
                </c:pt>
                <c:pt idx="17">
                  <c:v>-46.1</c:v>
                </c:pt>
                <c:pt idx="18">
                  <c:v>-59.6</c:v>
                </c:pt>
                <c:pt idx="19">
                  <c:v>-74.7</c:v>
                </c:pt>
                <c:pt idx="20">
                  <c:v>-91.6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6C-472E-9495-BFF2270BF674}"/>
            </c:ext>
          </c:extLst>
        </c:ser>
        <c:ser>
          <c:idx val="2"/>
          <c:order val="2"/>
          <c:tx>
            <c:strRef>
              <c:f>'TrophyBonded PHP (2)'!$K$175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 (2)'!$K$177:$K$197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(2)'!$N$177:$N$197</c:f>
              <c:numCache>
                <c:formatCode>0.00</c:formatCode>
                <c:ptCount val="21"/>
                <c:pt idx="0">
                  <c:v>-3.8</c:v>
                </c:pt>
                <c:pt idx="1">
                  <c:v>0.8</c:v>
                </c:pt>
                <c:pt idx="2">
                  <c:v>4.7</c:v>
                </c:pt>
                <c:pt idx="3">
                  <c:v>7.8</c:v>
                </c:pt>
                <c:pt idx="4">
                  <c:v>10.1</c:v>
                </c:pt>
                <c:pt idx="5">
                  <c:v>11.8</c:v>
                </c:pt>
                <c:pt idx="6">
                  <c:v>12.6</c:v>
                </c:pt>
                <c:pt idx="7">
                  <c:v>12.6</c:v>
                </c:pt>
                <c:pt idx="8">
                  <c:v>11.8</c:v>
                </c:pt>
                <c:pt idx="9">
                  <c:v>10.199999999999999</c:v>
                </c:pt>
                <c:pt idx="10">
                  <c:v>7.7</c:v>
                </c:pt>
                <c:pt idx="11">
                  <c:v>4.2</c:v>
                </c:pt>
                <c:pt idx="12">
                  <c:v>0</c:v>
                </c:pt>
                <c:pt idx="13">
                  <c:v>-5.2</c:v>
                </c:pt>
                <c:pt idx="14">
                  <c:v>-11.5</c:v>
                </c:pt>
                <c:pt idx="15">
                  <c:v>-18.5</c:v>
                </c:pt>
                <c:pt idx="16">
                  <c:v>-26.5</c:v>
                </c:pt>
                <c:pt idx="17">
                  <c:v>-35.799999999999997</c:v>
                </c:pt>
                <c:pt idx="18">
                  <c:v>-45.9</c:v>
                </c:pt>
                <c:pt idx="19">
                  <c:v>-56.9</c:v>
                </c:pt>
                <c:pt idx="20">
                  <c:v>-69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B6C-472E-9495-BFF2270BF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 (2)'!$O$22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32589366923194E-2"/>
                  <c:y val="-0.287310440361621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(2)'!$O$23:$O$36</c:f>
              <c:numCache>
                <c:formatCode>0.00</c:formatCode>
                <c:ptCount val="14"/>
                <c:pt idx="0">
                  <c:v>-3.81</c:v>
                </c:pt>
                <c:pt idx="1">
                  <c:v>1.5000001800000258</c:v>
                </c:pt>
                <c:pt idx="2">
                  <c:v>8.3400077345913282</c:v>
                </c:pt>
                <c:pt idx="3">
                  <c:v>14.700018823868923</c:v>
                </c:pt>
                <c:pt idx="4">
                  <c:v>20.000026666709331</c:v>
                </c:pt>
                <c:pt idx="5">
                  <c:v>24.500031373114876</c:v>
                </c:pt>
                <c:pt idx="6">
                  <c:v>26.250026796907829</c:v>
                </c:pt>
                <c:pt idx="7">
                  <c:v>32.000027306694633</c:v>
                </c:pt>
                <c:pt idx="8">
                  <c:v>31.250016276051838</c:v>
                </c:pt>
                <c:pt idx="9">
                  <c:v>24.000005120001312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64-4FA7-85C7-D18980C47704}"/>
            </c:ext>
          </c:extLst>
        </c:ser>
        <c:ser>
          <c:idx val="1"/>
          <c:order val="1"/>
          <c:tx>
            <c:strRef>
              <c:f>'TrophyBonded PHP (2)'!$A$199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87775414211838"/>
                  <c:y val="-0.16135680956547099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(2)'!$A$201:$A$221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(2)'!$D$201:$D$221</c:f>
              <c:numCache>
                <c:formatCode>0.00</c:formatCode>
                <c:ptCount val="21"/>
                <c:pt idx="0">
                  <c:v>-3.8</c:v>
                </c:pt>
                <c:pt idx="1">
                  <c:v>3.3</c:v>
                </c:pt>
                <c:pt idx="2">
                  <c:v>9.9</c:v>
                </c:pt>
                <c:pt idx="3">
                  <c:v>15.5</c:v>
                </c:pt>
                <c:pt idx="4">
                  <c:v>20.3</c:v>
                </c:pt>
                <c:pt idx="5">
                  <c:v>24.4</c:v>
                </c:pt>
                <c:pt idx="6">
                  <c:v>27.5</c:v>
                </c:pt>
                <c:pt idx="7">
                  <c:v>29.7</c:v>
                </c:pt>
                <c:pt idx="8">
                  <c:v>31</c:v>
                </c:pt>
                <c:pt idx="9">
                  <c:v>31.2</c:v>
                </c:pt>
                <c:pt idx="10">
                  <c:v>30.4</c:v>
                </c:pt>
                <c:pt idx="11">
                  <c:v>28.4</c:v>
                </c:pt>
                <c:pt idx="12">
                  <c:v>25.3</c:v>
                </c:pt>
                <c:pt idx="13">
                  <c:v>21</c:v>
                </c:pt>
                <c:pt idx="14">
                  <c:v>15.2</c:v>
                </c:pt>
                <c:pt idx="15">
                  <c:v>8.1999999999999993</c:v>
                </c:pt>
                <c:pt idx="16">
                  <c:v>-0.1</c:v>
                </c:pt>
                <c:pt idx="17">
                  <c:v>-10.3</c:v>
                </c:pt>
                <c:pt idx="18">
                  <c:v>-21.7</c:v>
                </c:pt>
                <c:pt idx="19">
                  <c:v>-34.700000000000003</c:v>
                </c:pt>
                <c:pt idx="20">
                  <c:v>-49.5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64-4FA7-85C7-D18980C47704}"/>
            </c:ext>
          </c:extLst>
        </c:ser>
        <c:ser>
          <c:idx val="2"/>
          <c:order val="2"/>
          <c:tx>
            <c:strRef>
              <c:f>'TrophyBonded PHP (2)'!$K$199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 (2)'!$K$201:$K$221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(2)'!$N$201:$N$221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8.1</c:v>
                </c:pt>
                <c:pt idx="3">
                  <c:v>12.8</c:v>
                </c:pt>
                <c:pt idx="4">
                  <c:v>16.8</c:v>
                </c:pt>
                <c:pt idx="5">
                  <c:v>20.100000000000001</c:v>
                </c:pt>
                <c:pt idx="6">
                  <c:v>22.6</c:v>
                </c:pt>
                <c:pt idx="7">
                  <c:v>24.2</c:v>
                </c:pt>
                <c:pt idx="8">
                  <c:v>25.1</c:v>
                </c:pt>
                <c:pt idx="9">
                  <c:v>25.1</c:v>
                </c:pt>
                <c:pt idx="10">
                  <c:v>24.3</c:v>
                </c:pt>
                <c:pt idx="11">
                  <c:v>22.5</c:v>
                </c:pt>
                <c:pt idx="12">
                  <c:v>19.899999999999999</c:v>
                </c:pt>
                <c:pt idx="13">
                  <c:v>16.399999999999999</c:v>
                </c:pt>
                <c:pt idx="14">
                  <c:v>11.8</c:v>
                </c:pt>
                <c:pt idx="15">
                  <c:v>6.4</c:v>
                </c:pt>
                <c:pt idx="16">
                  <c:v>0</c:v>
                </c:pt>
                <c:pt idx="17">
                  <c:v>-7.6</c:v>
                </c:pt>
                <c:pt idx="18">
                  <c:v>-16</c:v>
                </c:pt>
                <c:pt idx="19">
                  <c:v>-25.4</c:v>
                </c:pt>
                <c:pt idx="20">
                  <c:v>-35.9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64-4FA7-85C7-D18980C47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 (2)'!$P$22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(2)'!$P$23:$P$36</c:f>
              <c:numCache>
                <c:formatCode>0.00</c:formatCode>
                <c:ptCount val="14"/>
                <c:pt idx="0">
                  <c:v>-3.81</c:v>
                </c:pt>
                <c:pt idx="1">
                  <c:v>4.5000048600062978</c:v>
                </c:pt>
                <c:pt idx="2">
                  <c:v>13.34003165245951</c:v>
                </c:pt>
                <c:pt idx="3">
                  <c:v>21.000054880172105</c:v>
                </c:pt>
                <c:pt idx="4">
                  <c:v>30.000090000324004</c:v>
                </c:pt>
                <c:pt idx="5">
                  <c:v>35.000091466953506</c:v>
                </c:pt>
                <c:pt idx="6">
                  <c:v>39.000087880237629</c:v>
                </c:pt>
                <c:pt idx="7">
                  <c:v>50.000104166927088</c:v>
                </c:pt>
                <c:pt idx="8">
                  <c:v>55.000088733505123</c:v>
                </c:pt>
                <c:pt idx="9">
                  <c:v>54.000058320075574</c:v>
                </c:pt>
                <c:pt idx="10">
                  <c:v>49.000032013358435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D4-44D0-961E-489E72833047}"/>
            </c:ext>
          </c:extLst>
        </c:ser>
        <c:ser>
          <c:idx val="1"/>
          <c:order val="1"/>
          <c:tx>
            <c:strRef>
              <c:f>'TrophyBonded PHP (2)'!$A$223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(2)'!$A$225:$A$245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(2)'!$D$225:$D$245</c:f>
              <c:numCache>
                <c:formatCode>0.00</c:formatCode>
                <c:ptCount val="21"/>
                <c:pt idx="0">
                  <c:v>-3.8</c:v>
                </c:pt>
                <c:pt idx="1">
                  <c:v>5.8</c:v>
                </c:pt>
                <c:pt idx="2">
                  <c:v>14.9</c:v>
                </c:pt>
                <c:pt idx="3">
                  <c:v>22.9</c:v>
                </c:pt>
                <c:pt idx="4">
                  <c:v>30.2</c:v>
                </c:pt>
                <c:pt idx="5">
                  <c:v>36.799999999999997</c:v>
                </c:pt>
                <c:pt idx="6">
                  <c:v>42.3</c:v>
                </c:pt>
                <c:pt idx="7">
                  <c:v>47</c:v>
                </c:pt>
                <c:pt idx="8">
                  <c:v>50.8</c:v>
                </c:pt>
                <c:pt idx="9">
                  <c:v>53.4</c:v>
                </c:pt>
                <c:pt idx="10">
                  <c:v>55</c:v>
                </c:pt>
                <c:pt idx="11">
                  <c:v>55.6</c:v>
                </c:pt>
                <c:pt idx="12">
                  <c:v>54.9</c:v>
                </c:pt>
                <c:pt idx="13">
                  <c:v>53.1</c:v>
                </c:pt>
                <c:pt idx="14">
                  <c:v>49.8</c:v>
                </c:pt>
                <c:pt idx="15">
                  <c:v>45.3</c:v>
                </c:pt>
                <c:pt idx="16">
                  <c:v>39.4</c:v>
                </c:pt>
                <c:pt idx="17">
                  <c:v>31.7</c:v>
                </c:pt>
                <c:pt idx="18">
                  <c:v>22.8</c:v>
                </c:pt>
                <c:pt idx="19">
                  <c:v>12.2</c:v>
                </c:pt>
                <c:pt idx="20">
                  <c:v>-0.1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7D4-44D0-961E-489E72833047}"/>
            </c:ext>
          </c:extLst>
        </c:ser>
        <c:ser>
          <c:idx val="2"/>
          <c:order val="2"/>
          <c:tx>
            <c:strRef>
              <c:f>'TrophyBonded PHP (2)'!$K$223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'TrophyBonded PHP (2)'!$K$225:$K$245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(2)'!$N$225:$N$245</c:f>
              <c:numCache>
                <c:formatCode>0.00</c:formatCode>
                <c:ptCount val="21"/>
                <c:pt idx="0">
                  <c:v>-3.8</c:v>
                </c:pt>
                <c:pt idx="1">
                  <c:v>4.2</c:v>
                </c:pt>
                <c:pt idx="2">
                  <c:v>11.7</c:v>
                </c:pt>
                <c:pt idx="3">
                  <c:v>18.2</c:v>
                </c:pt>
                <c:pt idx="4">
                  <c:v>24</c:v>
                </c:pt>
                <c:pt idx="5">
                  <c:v>29.1</c:v>
                </c:pt>
                <c:pt idx="6">
                  <c:v>33.4</c:v>
                </c:pt>
                <c:pt idx="7">
                  <c:v>36.799999999999997</c:v>
                </c:pt>
                <c:pt idx="8">
                  <c:v>39.5</c:v>
                </c:pt>
                <c:pt idx="9">
                  <c:v>41.3</c:v>
                </c:pt>
                <c:pt idx="10">
                  <c:v>42.2</c:v>
                </c:pt>
                <c:pt idx="11">
                  <c:v>42.3</c:v>
                </c:pt>
                <c:pt idx="12">
                  <c:v>41.5</c:v>
                </c:pt>
                <c:pt idx="13">
                  <c:v>39.799999999999997</c:v>
                </c:pt>
                <c:pt idx="14">
                  <c:v>37</c:v>
                </c:pt>
                <c:pt idx="15">
                  <c:v>33.4</c:v>
                </c:pt>
                <c:pt idx="16">
                  <c:v>28.8</c:v>
                </c:pt>
                <c:pt idx="17">
                  <c:v>23</c:v>
                </c:pt>
                <c:pt idx="18">
                  <c:v>16.399999999999999</c:v>
                </c:pt>
                <c:pt idx="19">
                  <c:v>8.6999999999999993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7D4-44D0-961E-489E72833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SP'!$B$22:$B$35</c:f>
              <c:numCache>
                <c:formatCode>0.00</c:formatCode>
                <c:ptCount val="14"/>
                <c:pt idx="0">
                  <c:v>3317.8</c:v>
                </c:pt>
                <c:pt idx="1">
                  <c:v>3243.5</c:v>
                </c:pt>
                <c:pt idx="2">
                  <c:v>3120.4</c:v>
                </c:pt>
                <c:pt idx="3">
                  <c:v>3021.9</c:v>
                </c:pt>
                <c:pt idx="4">
                  <c:v>2926.9</c:v>
                </c:pt>
                <c:pt idx="5">
                  <c:v>2835</c:v>
                </c:pt>
                <c:pt idx="6">
                  <c:v>2727.3</c:v>
                </c:pt>
                <c:pt idx="7">
                  <c:v>2546.3000000000002</c:v>
                </c:pt>
                <c:pt idx="8">
                  <c:v>2380.1</c:v>
                </c:pt>
                <c:pt idx="9">
                  <c:v>2214.1999999999998</c:v>
                </c:pt>
                <c:pt idx="10">
                  <c:v>2062.6</c:v>
                </c:pt>
                <c:pt idx="11">
                  <c:v>1912.6</c:v>
                </c:pt>
                <c:pt idx="12">
                  <c:v>1779.5</c:v>
                </c:pt>
                <c:pt idx="13">
                  <c:v>1644.9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0F-48FA-B84C-E6FD606F265E}"/>
            </c:ext>
          </c:extLst>
        </c:ser>
        <c:ser>
          <c:idx val="1"/>
          <c:order val="1"/>
          <c:tx>
            <c:strRef>
              <c:f>'Core-Lokt SP'!$A$78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SP'!$C$80:$C$100</c:f>
              <c:numCache>
                <c:formatCode>0.00</c:formatCode>
                <c:ptCount val="21"/>
                <c:pt idx="0">
                  <c:v>3318</c:v>
                </c:pt>
                <c:pt idx="1">
                  <c:v>3095</c:v>
                </c:pt>
                <c:pt idx="2">
                  <c:v>2887</c:v>
                </c:pt>
                <c:pt idx="3">
                  <c:v>2692</c:v>
                </c:pt>
                <c:pt idx="4">
                  <c:v>2507</c:v>
                </c:pt>
                <c:pt idx="5">
                  <c:v>2334</c:v>
                </c:pt>
                <c:pt idx="6">
                  <c:v>2170</c:v>
                </c:pt>
                <c:pt idx="7">
                  <c:v>2016</c:v>
                </c:pt>
                <c:pt idx="8">
                  <c:v>1870</c:v>
                </c:pt>
                <c:pt idx="9">
                  <c:v>1733</c:v>
                </c:pt>
                <c:pt idx="10">
                  <c:v>1604</c:v>
                </c:pt>
                <c:pt idx="11">
                  <c:v>1482</c:v>
                </c:pt>
                <c:pt idx="12">
                  <c:v>1368</c:v>
                </c:pt>
                <c:pt idx="13">
                  <c:v>1260</c:v>
                </c:pt>
                <c:pt idx="14">
                  <c:v>1160</c:v>
                </c:pt>
                <c:pt idx="15">
                  <c:v>1066</c:v>
                </c:pt>
                <c:pt idx="16">
                  <c:v>978</c:v>
                </c:pt>
                <c:pt idx="17">
                  <c:v>897</c:v>
                </c:pt>
                <c:pt idx="18">
                  <c:v>821</c:v>
                </c:pt>
                <c:pt idx="19">
                  <c:v>752</c:v>
                </c:pt>
                <c:pt idx="20">
                  <c:v>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0F-48FA-B84C-E6FD606F265E}"/>
            </c:ext>
          </c:extLst>
        </c:ser>
        <c:ser>
          <c:idx val="2"/>
          <c:order val="2"/>
          <c:tx>
            <c:strRef>
              <c:f>'Core-Lokt SP'!$K$78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'Core-Lokt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SP'!$M$80:$M$100</c:f>
              <c:numCache>
                <c:formatCode>0.00</c:formatCode>
                <c:ptCount val="21"/>
                <c:pt idx="0">
                  <c:v>3318</c:v>
                </c:pt>
                <c:pt idx="1">
                  <c:v>3211</c:v>
                </c:pt>
                <c:pt idx="2">
                  <c:v>3107</c:v>
                </c:pt>
                <c:pt idx="3">
                  <c:v>3005</c:v>
                </c:pt>
                <c:pt idx="4">
                  <c:v>2905</c:v>
                </c:pt>
                <c:pt idx="5">
                  <c:v>2807</c:v>
                </c:pt>
                <c:pt idx="6">
                  <c:v>2711</c:v>
                </c:pt>
                <c:pt idx="7">
                  <c:v>2619</c:v>
                </c:pt>
                <c:pt idx="8">
                  <c:v>2529</c:v>
                </c:pt>
                <c:pt idx="9">
                  <c:v>2441</c:v>
                </c:pt>
                <c:pt idx="10">
                  <c:v>2356</c:v>
                </c:pt>
                <c:pt idx="11">
                  <c:v>2273</c:v>
                </c:pt>
                <c:pt idx="12">
                  <c:v>2192</c:v>
                </c:pt>
                <c:pt idx="13">
                  <c:v>2114</c:v>
                </c:pt>
                <c:pt idx="14">
                  <c:v>2037</c:v>
                </c:pt>
                <c:pt idx="15">
                  <c:v>1963</c:v>
                </c:pt>
                <c:pt idx="16">
                  <c:v>1891</c:v>
                </c:pt>
                <c:pt idx="17">
                  <c:v>1821</c:v>
                </c:pt>
                <c:pt idx="18">
                  <c:v>1753</c:v>
                </c:pt>
                <c:pt idx="19">
                  <c:v>1687</c:v>
                </c:pt>
                <c:pt idx="20">
                  <c:v>1625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BF-4AB1-AC9F-C7F2A6A7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762107683510532E-2"/>
          <c:y val="9.1242312423124236E-2"/>
          <c:w val="0.79369939194398886"/>
          <c:h val="0.88169741697416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'Core-Lokt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4.781250647710066</c:v>
                </c:pt>
                <c:pt idx="4">
                  <c:v>5.7375006295741642</c:v>
                </c:pt>
                <c:pt idx="5">
                  <c:v>7.1718757869677061</c:v>
                </c:pt>
                <c:pt idx="6">
                  <c:v>5.2912502194679423</c:v>
                </c:pt>
                <c:pt idx="7">
                  <c:v>2.8050000183915094</c:v>
                </c:pt>
                <c:pt idx="8">
                  <c:v>-3.7187500274277183</c:v>
                </c:pt>
                <c:pt idx="9">
                  <c:v>-15.937501499328786</c:v>
                </c:pt>
                <c:pt idx="10">
                  <c:v>-24.841254171219852</c:v>
                </c:pt>
                <c:pt idx="11">
                  <c:v>-42.500015992845761</c:v>
                </c:pt>
                <c:pt idx="12">
                  <c:v>-71.718810722870529</c:v>
                </c:pt>
                <c:pt idx="13">
                  <c:v>-106.25015992867431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1A-49DF-9E05-061F28355714}"/>
            </c:ext>
          </c:extLst>
        </c:ser>
        <c:ser>
          <c:idx val="1"/>
          <c:order val="1"/>
          <c:tx>
            <c:strRef>
              <c:f>'Core-Lokt SP'!$K$21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-6.6400002439624641</c:v>
                </c:pt>
                <c:pt idx="8">
                  <c:v>-13.300001254739877</c:v>
                </c:pt>
                <c:pt idx="9">
                  <c:v>-22.440004185090856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-85.500102885148564</c:v>
                </c:pt>
                <c:pt idx="13">
                  <c:v>-116.60021136609924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1A-49DF-9E05-061F28355714}"/>
            </c:ext>
          </c:extLst>
        </c:ser>
        <c:ser>
          <c:idx val="2"/>
          <c:order val="2"/>
          <c:tx>
            <c:strRef>
              <c:f>'Core-Lokt SP'!$L$21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</c:v>
                </c:pt>
                <c:pt idx="4">
                  <c:v>1.4025000091957547</c:v>
                </c:pt>
                <c:pt idx="5">
                  <c:v>0.7968750010795167</c:v>
                </c:pt>
                <c:pt idx="6">
                  <c:v>0</c:v>
                </c:pt>
                <c:pt idx="7">
                  <c:v>-2.8050000183915094</c:v>
                </c:pt>
                <c:pt idx="8">
                  <c:v>-8.8187503657799056</c:v>
                </c:pt>
                <c:pt idx="9">
                  <c:v>-23.842505019861321</c:v>
                </c:pt>
                <c:pt idx="10">
                  <c:v>-37.187513993740048</c:v>
                </c:pt>
                <c:pt idx="11">
                  <c:v>-56.610037795367738</c:v>
                </c:pt>
                <c:pt idx="12">
                  <c:v>-79.751333496209426</c:v>
                </c:pt>
                <c:pt idx="13">
                  <c:v>-106.25015992867431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01A-49DF-9E05-061F28355714}"/>
            </c:ext>
          </c:extLst>
        </c:ser>
        <c:ser>
          <c:idx val="3"/>
          <c:order val="3"/>
          <c:tx>
            <c:strRef>
              <c:f>'Core-Lokt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-2.6000009373870725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4.1500001524765402</c:v>
                </c:pt>
                <c:pt idx="6">
                  <c:v>4.9800001829718479</c:v>
                </c:pt>
                <c:pt idx="7">
                  <c:v>0</c:v>
                </c:pt>
                <c:pt idx="8">
                  <c:v>-3.3000000191664007</c:v>
                </c:pt>
                <c:pt idx="9">
                  <c:v>-15.000001250000123</c:v>
                </c:pt>
                <c:pt idx="10">
                  <c:v>-23.380003477572998</c:v>
                </c:pt>
                <c:pt idx="11">
                  <c:v>-40.000013333338671</c:v>
                </c:pt>
                <c:pt idx="12">
                  <c:v>-75.06006961132195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01A-49DF-9E05-061F28355714}"/>
            </c:ext>
          </c:extLst>
        </c:ser>
        <c:ser>
          <c:idx val="4"/>
          <c:order val="4"/>
          <c:tx>
            <c:strRef>
              <c:f>'Core-Lokt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-1.6700002483980712</c:v>
                </c:pt>
                <c:pt idx="2">
                  <c:v>2.5000002083333537</c:v>
                </c:pt>
                <c:pt idx="3">
                  <c:v>5.625001054687738</c:v>
                </c:pt>
                <c:pt idx="4">
                  <c:v>7.5000014062503171</c:v>
                </c:pt>
                <c:pt idx="5">
                  <c:v>9.3750017578128961</c:v>
                </c:pt>
                <c:pt idx="6">
                  <c:v>10.020001490388427</c:v>
                </c:pt>
                <c:pt idx="7">
                  <c:v>10.000000833333415</c:v>
                </c:pt>
                <c:pt idx="8">
                  <c:v>8.3000003049530804</c:v>
                </c:pt>
                <c:pt idx="9">
                  <c:v>0</c:v>
                </c:pt>
                <c:pt idx="10">
                  <c:v>-11.620000426934313</c:v>
                </c:pt>
                <c:pt idx="11">
                  <c:v>-26.720003974369138</c:v>
                </c:pt>
                <c:pt idx="12">
                  <c:v>-45.000015000006002</c:v>
                </c:pt>
                <c:pt idx="13">
                  <c:v>-66.600039387800763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01A-49DF-9E05-061F28355714}"/>
            </c:ext>
          </c:extLst>
        </c:ser>
        <c:ser>
          <c:idx val="5"/>
          <c:order val="5"/>
          <c:tx>
            <c:strRef>
              <c:f>'Core-Lokt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5.3400020303116467</c:v>
                </c:pt>
                <c:pt idx="3">
                  <c:v>9.9900059081701151</c:v>
                </c:pt>
                <c:pt idx="4">
                  <c:v>15.000011250010125</c:v>
                </c:pt>
                <c:pt idx="5">
                  <c:v>18.250012967244388</c:v>
                </c:pt>
                <c:pt idx="6">
                  <c:v>19.020010193610716</c:v>
                </c:pt>
                <c:pt idx="7">
                  <c:v>25.360013591480957</c:v>
                </c:pt>
                <c:pt idx="8">
                  <c:v>25.00000833333667</c:v>
                </c:pt>
                <c:pt idx="9">
                  <c:v>20.040002980776855</c:v>
                </c:pt>
                <c:pt idx="10">
                  <c:v>11.620000426934313</c:v>
                </c:pt>
                <c:pt idx="11">
                  <c:v>0</c:v>
                </c:pt>
                <c:pt idx="12">
                  <c:v>-14.940000548915544</c:v>
                </c:pt>
                <c:pt idx="13">
                  <c:v>-33.400004967961429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01A-49DF-9E05-061F28355714}"/>
            </c:ext>
          </c:extLst>
        </c:ser>
        <c:ser>
          <c:idx val="6"/>
          <c:order val="6"/>
          <c:tx>
            <c:strRef>
              <c:f>'Core-Lokt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1.9335941355622739</c:v>
                </c:pt>
                <c:pt idx="2">
                  <c:v>10.312514622827617</c:v>
                </c:pt>
                <c:pt idx="3">
                  <c:v>17.789095859257731</c:v>
                </c:pt>
                <c:pt idx="4">
                  <c:v>24.048796361478004</c:v>
                </c:pt>
                <c:pt idx="5">
                  <c:v>30.060995451847504</c:v>
                </c:pt>
                <c:pt idx="6">
                  <c:v>34.031308388971546</c:v>
                </c:pt>
                <c:pt idx="7">
                  <c:v>41.250058491310469</c:v>
                </c:pt>
                <c:pt idx="8">
                  <c:v>43.003167413029196</c:v>
                </c:pt>
                <c:pt idx="9">
                  <c:v>40.218774094740525</c:v>
                </c:pt>
                <c:pt idx="10">
                  <c:v>36.093762794957833</c:v>
                </c:pt>
                <c:pt idx="11">
                  <c:v>27.555004358731246</c:v>
                </c:pt>
                <c:pt idx="12">
                  <c:v>15.406875602001282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01A-49DF-9E05-061F2835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'Core-Lokt SP'!$C$21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11575902687069"/>
                  <c:y val="-0.779168728908886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'Core-Lokt SP'!$C$23:$C$35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0.15</c:v>
                </c:pt>
                <c:pt idx="3">
                  <c:v>0.13500000000000001</c:v>
                </c:pt>
                <c:pt idx="4">
                  <c:v>0.13500000000000001</c:v>
                </c:pt>
                <c:pt idx="5">
                  <c:v>8.3000000000000004E-2</c:v>
                </c:pt>
                <c:pt idx="6">
                  <c:v>3.3000000000000002E-2</c:v>
                </c:pt>
                <c:pt idx="7">
                  <c:v>-3.5000000000000003E-2</c:v>
                </c:pt>
                <c:pt idx="8">
                  <c:v>-0.125</c:v>
                </c:pt>
                <c:pt idx="9">
                  <c:v>-0.16700000000000001</c:v>
                </c:pt>
                <c:pt idx="10">
                  <c:v>-0.25</c:v>
                </c:pt>
                <c:pt idx="11">
                  <c:v>-0.375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E1-46CD-A99D-303BAE36DD8A}"/>
            </c:ext>
          </c:extLst>
        </c:ser>
        <c:ser>
          <c:idx val="1"/>
          <c:order val="1"/>
          <c:tx>
            <c:strRef>
              <c:f>'Core-Lokt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418478386860055"/>
                  <c:y val="-0.682221784776902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'Core-Lokt SP'!$D$23:$D$35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-0.13300000000000001</c:v>
                </c:pt>
                <c:pt idx="8">
                  <c:v>-0.187</c:v>
                </c:pt>
                <c:pt idx="9">
                  <c:v>-0.25</c:v>
                </c:pt>
                <c:pt idx="10">
                  <c:v>-0.375</c:v>
                </c:pt>
                <c:pt idx="11">
                  <c:v>-0.47499999999999998</c:v>
                </c:pt>
                <c:pt idx="12">
                  <c:v>-0.58299999999999996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E1-46CD-A99D-303BAE36DD8A}"/>
            </c:ext>
          </c:extLst>
        </c:ser>
        <c:ser>
          <c:idx val="2"/>
          <c:order val="2"/>
          <c:tx>
            <c:strRef>
              <c:f>'Core-Lokt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3556241266907912"/>
                  <c:y val="-0.5209098237720285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'Core-Lokt SP'!$E$23:$E$35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3.3000000000000002E-2</c:v>
                </c:pt>
                <c:pt idx="4">
                  <c:v>1.4999999999999999E-2</c:v>
                </c:pt>
                <c:pt idx="5">
                  <c:v>0</c:v>
                </c:pt>
                <c:pt idx="6">
                  <c:v>-3.3000000000000002E-2</c:v>
                </c:pt>
                <c:pt idx="7">
                  <c:v>-8.3000000000000004E-2</c:v>
                </c:pt>
                <c:pt idx="8">
                  <c:v>-0.187</c:v>
                </c:pt>
                <c:pt idx="9">
                  <c:v>-0.25</c:v>
                </c:pt>
                <c:pt idx="10">
                  <c:v>-0.33300000000000002</c:v>
                </c:pt>
                <c:pt idx="11">
                  <c:v>-0.41699999999999998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E1-46CD-A99D-303BAE36DD8A}"/>
            </c:ext>
          </c:extLst>
        </c:ser>
        <c:ser>
          <c:idx val="3"/>
          <c:order val="3"/>
          <c:tx>
            <c:strRef>
              <c:f>'Core-Lokt SP'!$F$21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2514065778916419"/>
                  <c:y val="-0.398186539182602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'Core-Lokt SP'!$F$23:$F$35</c:f>
              <c:numCache>
                <c:formatCode>0.000</c:formatCode>
                <c:ptCount val="13"/>
                <c:pt idx="0">
                  <c:v>-0.26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8.3000000000000004E-2</c:v>
                </c:pt>
                <c:pt idx="6">
                  <c:v>0</c:v>
                </c:pt>
                <c:pt idx="7">
                  <c:v>-3.3000000000000002E-2</c:v>
                </c:pt>
                <c:pt idx="8">
                  <c:v>-0.125</c:v>
                </c:pt>
                <c:pt idx="9">
                  <c:v>-0.16700000000000001</c:v>
                </c:pt>
                <c:pt idx="10">
                  <c:v>-0.25</c:v>
                </c:pt>
                <c:pt idx="11">
                  <c:v>-0.41699999999999998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4E1-46CD-A99D-303BAE36DD8A}"/>
            </c:ext>
          </c:extLst>
        </c:ser>
        <c:ser>
          <c:idx val="4"/>
          <c:order val="4"/>
          <c:tx>
            <c:strRef>
              <c:f>'Core-Lokt SP'!$G$21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3165425458911104"/>
                  <c:y val="-0.125913948256467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5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'Core-Lokt SP'!$G$23:$G$35</c:f>
              <c:numCache>
                <c:formatCode>0.000</c:formatCode>
                <c:ptCount val="13"/>
                <c:pt idx="0">
                  <c:v>-0.16700000000000001</c:v>
                </c:pt>
                <c:pt idx="1">
                  <c:v>0.125</c:v>
                </c:pt>
                <c:pt idx="2">
                  <c:v>0.1875</c:v>
                </c:pt>
                <c:pt idx="3">
                  <c:v>0.1875</c:v>
                </c:pt>
                <c:pt idx="4">
                  <c:v>0.1875</c:v>
                </c:pt>
                <c:pt idx="5">
                  <c:v>0.16700000000000001</c:v>
                </c:pt>
                <c:pt idx="6">
                  <c:v>0.125</c:v>
                </c:pt>
                <c:pt idx="7">
                  <c:v>8.3000000000000004E-2</c:v>
                </c:pt>
                <c:pt idx="8">
                  <c:v>0</c:v>
                </c:pt>
                <c:pt idx="9">
                  <c:v>-8.3000000000000004E-2</c:v>
                </c:pt>
                <c:pt idx="10">
                  <c:v>-0.16700000000000001</c:v>
                </c:pt>
                <c:pt idx="11">
                  <c:v>-0.25</c:v>
                </c:pt>
                <c:pt idx="12">
                  <c:v>-0.33300000000000002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4E1-46CD-A99D-303BAE36DD8A}"/>
            </c:ext>
          </c:extLst>
        </c:ser>
        <c:ser>
          <c:idx val="5"/>
          <c:order val="5"/>
          <c:tx>
            <c:strRef>
              <c:f>'Core-Lokt SP'!$H$21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0753119499985537"/>
                  <c:y val="0.206924821897262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'Core-Lokt SP'!$H$23:$H$35</c:f>
              <c:numCache>
                <c:formatCode>0.000</c:formatCode>
                <c:ptCount val="13"/>
                <c:pt idx="0">
                  <c:v>8.3000000000000004E-2</c:v>
                </c:pt>
                <c:pt idx="1">
                  <c:v>0.26700000000000002</c:v>
                </c:pt>
                <c:pt idx="2">
                  <c:v>0.33300000000000002</c:v>
                </c:pt>
                <c:pt idx="3">
                  <c:v>0.375</c:v>
                </c:pt>
                <c:pt idx="4">
                  <c:v>0.36499999999999999</c:v>
                </c:pt>
                <c:pt idx="5">
                  <c:v>0.317</c:v>
                </c:pt>
                <c:pt idx="6">
                  <c:v>0.317</c:v>
                </c:pt>
                <c:pt idx="7">
                  <c:v>0.25</c:v>
                </c:pt>
                <c:pt idx="8">
                  <c:v>0.16700000000000001</c:v>
                </c:pt>
                <c:pt idx="9">
                  <c:v>8.3000000000000004E-2</c:v>
                </c:pt>
                <c:pt idx="10">
                  <c:v>0</c:v>
                </c:pt>
                <c:pt idx="11">
                  <c:v>-8.3000000000000004E-2</c:v>
                </c:pt>
                <c:pt idx="12">
                  <c:v>-0.16700000000000001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4E1-46CD-A99D-303BAE36DD8A}"/>
            </c:ext>
          </c:extLst>
        </c:ser>
        <c:ser>
          <c:idx val="6"/>
          <c:order val="6"/>
          <c:tx>
            <c:strRef>
              <c:f>'Core-Lokt SP'!$I$21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4082870184118355"/>
                  <c:y val="0.401300899887514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'Core-Lokt SP'!$I$23:$I$35</c:f>
              <c:numCache>
                <c:formatCode>0.000</c:formatCode>
                <c:ptCount val="13"/>
                <c:pt idx="0">
                  <c:v>0.1875</c:v>
                </c:pt>
                <c:pt idx="1">
                  <c:v>0.5</c:v>
                </c:pt>
                <c:pt idx="2">
                  <c:v>0.57499999999999996</c:v>
                </c:pt>
                <c:pt idx="3">
                  <c:v>0.58299999999999996</c:v>
                </c:pt>
                <c:pt idx="4">
                  <c:v>0.58299999999999996</c:v>
                </c:pt>
                <c:pt idx="5">
                  <c:v>0.55000000000000004</c:v>
                </c:pt>
                <c:pt idx="6">
                  <c:v>0.5</c:v>
                </c:pt>
                <c:pt idx="7">
                  <c:v>0.41699999999999998</c:v>
                </c:pt>
                <c:pt idx="8">
                  <c:v>0.32500000000000001</c:v>
                </c:pt>
                <c:pt idx="9">
                  <c:v>0.25</c:v>
                </c:pt>
                <c:pt idx="10">
                  <c:v>0.16700000000000001</c:v>
                </c:pt>
                <c:pt idx="11">
                  <c:v>8.3000000000000004E-2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4E1-46CD-A99D-303BAE36D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'Core-Lokt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35027092957666"/>
                  <c:y val="-0.1694250627430695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>
                        <a:solidFill>
                          <a:schemeClr val="accent1"/>
                        </a:solidFill>
                      </a:rPr>
                      <a:t>y = -3E-07x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3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- 0.0007x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2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+ 0.2141x - 6.711</a:t>
                    </a:r>
                    <a:br>
                      <a:rPr lang="en-US" baseline="0">
                        <a:solidFill>
                          <a:schemeClr val="accent1"/>
                        </a:solidFill>
                      </a:rPr>
                    </a:br>
                    <a:r>
                      <a:rPr lang="en-US" baseline="0">
                        <a:solidFill>
                          <a:schemeClr val="accent1"/>
                        </a:solidFill>
                      </a:rPr>
                      <a:t>R² = 0.9953</a:t>
                    </a:r>
                    <a:endParaRPr lang="en-US">
                      <a:solidFill>
                        <a:schemeClr val="accent1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4.781250647710066</c:v>
                </c:pt>
                <c:pt idx="4">
                  <c:v>5.7375006295741642</c:v>
                </c:pt>
                <c:pt idx="5">
                  <c:v>7.1718757869677061</c:v>
                </c:pt>
                <c:pt idx="6">
                  <c:v>5.2912502194679423</c:v>
                </c:pt>
                <c:pt idx="7">
                  <c:v>2.8050000183915094</c:v>
                </c:pt>
                <c:pt idx="8">
                  <c:v>-3.7187500274277183</c:v>
                </c:pt>
                <c:pt idx="9">
                  <c:v>-15.937501499328786</c:v>
                </c:pt>
                <c:pt idx="10">
                  <c:v>-24.841254171219852</c:v>
                </c:pt>
                <c:pt idx="11">
                  <c:v>-42.500015992845761</c:v>
                </c:pt>
                <c:pt idx="12">
                  <c:v>-71.718810722870529</c:v>
                </c:pt>
                <c:pt idx="13">
                  <c:v>-106.25015992867431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30-4F76-B979-F476DADACA5E}"/>
            </c:ext>
          </c:extLst>
        </c:ser>
        <c:ser>
          <c:idx val="1"/>
          <c:order val="1"/>
          <c:tx>
            <c:strRef>
              <c:f>'Core-Lokt SP'!$A$78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570429729401374"/>
                  <c:y val="-0.1465269396070016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0.9</c:v>
                </c:pt>
                <c:pt idx="4">
                  <c:v>1</c:v>
                </c:pt>
                <c:pt idx="5">
                  <c:v>0.3</c:v>
                </c:pt>
                <c:pt idx="6">
                  <c:v>-1.3</c:v>
                </c:pt>
                <c:pt idx="7">
                  <c:v>-3.8</c:v>
                </c:pt>
                <c:pt idx="8">
                  <c:v>-7.4</c:v>
                </c:pt>
                <c:pt idx="9">
                  <c:v>-12</c:v>
                </c:pt>
                <c:pt idx="10">
                  <c:v>-17.899999999999999</c:v>
                </c:pt>
                <c:pt idx="11">
                  <c:v>-25.3</c:v>
                </c:pt>
                <c:pt idx="12">
                  <c:v>-33.9</c:v>
                </c:pt>
                <c:pt idx="13">
                  <c:v>-44.1</c:v>
                </c:pt>
                <c:pt idx="14">
                  <c:v>-56.4</c:v>
                </c:pt>
                <c:pt idx="15">
                  <c:v>-70.2</c:v>
                </c:pt>
                <c:pt idx="16">
                  <c:v>-86</c:v>
                </c:pt>
                <c:pt idx="17">
                  <c:v>-104.9</c:v>
                </c:pt>
                <c:pt idx="18">
                  <c:v>-125.5</c:v>
                </c:pt>
                <c:pt idx="19">
                  <c:v>-148.9</c:v>
                </c:pt>
                <c:pt idx="20">
                  <c:v>-175.4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30-4F76-B979-F476DADACA5E}"/>
            </c:ext>
          </c:extLst>
        </c:ser>
        <c:ser>
          <c:idx val="2"/>
          <c:order val="2"/>
          <c:tx>
            <c:strRef>
              <c:f>'Core-Lokt SP'!$K$78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'Core-Lokt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0.9</c:v>
                </c:pt>
                <c:pt idx="4">
                  <c:v>1.2</c:v>
                </c:pt>
                <c:pt idx="5">
                  <c:v>0.8</c:v>
                </c:pt>
                <c:pt idx="6">
                  <c:v>-0.3</c:v>
                </c:pt>
                <c:pt idx="7">
                  <c:v>-2.2000000000000002</c:v>
                </c:pt>
                <c:pt idx="8">
                  <c:v>-4.9000000000000004</c:v>
                </c:pt>
                <c:pt idx="9">
                  <c:v>-8.4</c:v>
                </c:pt>
                <c:pt idx="10">
                  <c:v>-12.6</c:v>
                </c:pt>
                <c:pt idx="11">
                  <c:v>-17.899999999999999</c:v>
                </c:pt>
                <c:pt idx="12">
                  <c:v>-23.9</c:v>
                </c:pt>
                <c:pt idx="13">
                  <c:v>-30.9</c:v>
                </c:pt>
                <c:pt idx="14">
                  <c:v>-39.1</c:v>
                </c:pt>
                <c:pt idx="15">
                  <c:v>-48</c:v>
                </c:pt>
                <c:pt idx="16">
                  <c:v>-58</c:v>
                </c:pt>
                <c:pt idx="17">
                  <c:v>-69.5</c:v>
                </c:pt>
                <c:pt idx="18">
                  <c:v>-81.7</c:v>
                </c:pt>
                <c:pt idx="19">
                  <c:v>-95.1</c:v>
                </c:pt>
                <c:pt idx="20">
                  <c:v>-109.7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96-4C62-A509-A5EB69D2D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'Core-Lokt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7520786198731653E-2"/>
                  <c:y val="-0.401429717118693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-6.6400002439624641</c:v>
                </c:pt>
                <c:pt idx="8">
                  <c:v>-13.300001254739877</c:v>
                </c:pt>
                <c:pt idx="9">
                  <c:v>-22.440004185090856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-85.500102885148564</c:v>
                </c:pt>
                <c:pt idx="13">
                  <c:v>-116.60021136609924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D5-48BC-BA0D-D37C8846C012}"/>
            </c:ext>
          </c:extLst>
        </c:ser>
        <c:ser>
          <c:idx val="1"/>
          <c:order val="1"/>
          <c:tx>
            <c:strRef>
              <c:f>'Core-Lokt SP'!$A$102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197782418623982"/>
                  <c:y val="-0.149376883445124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-0.5</c:v>
                </c:pt>
                <c:pt idx="3">
                  <c:v>0.1</c:v>
                </c:pt>
                <c:pt idx="4">
                  <c:v>0</c:v>
                </c:pt>
                <c:pt idx="5">
                  <c:v>-1</c:v>
                </c:pt>
                <c:pt idx="6">
                  <c:v>-2.8</c:v>
                </c:pt>
                <c:pt idx="7">
                  <c:v>-5.5</c:v>
                </c:pt>
                <c:pt idx="8">
                  <c:v>-9.4</c:v>
                </c:pt>
                <c:pt idx="9">
                  <c:v>-14.3</c:v>
                </c:pt>
                <c:pt idx="10">
                  <c:v>-20.399999999999999</c:v>
                </c:pt>
                <c:pt idx="11">
                  <c:v>-28.1</c:v>
                </c:pt>
                <c:pt idx="12">
                  <c:v>-36.9</c:v>
                </c:pt>
                <c:pt idx="13">
                  <c:v>-47.3</c:v>
                </c:pt>
                <c:pt idx="14">
                  <c:v>-59.9</c:v>
                </c:pt>
                <c:pt idx="15">
                  <c:v>-74</c:v>
                </c:pt>
                <c:pt idx="16">
                  <c:v>-90.1</c:v>
                </c:pt>
                <c:pt idx="17">
                  <c:v>-109.1</c:v>
                </c:pt>
                <c:pt idx="18">
                  <c:v>-130.1</c:v>
                </c:pt>
                <c:pt idx="19">
                  <c:v>-153.69999999999999</c:v>
                </c:pt>
                <c:pt idx="20">
                  <c:v>-180.4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D5-48BC-BA0D-D37C8846C012}"/>
            </c:ext>
          </c:extLst>
        </c:ser>
        <c:ser>
          <c:idx val="2"/>
          <c:order val="2"/>
          <c:tx>
            <c:strRef>
              <c:f>'Core-Lokt SP'!$K$102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'Core-Lokt SP'!$K$104:$K$124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-1.9</c:v>
                </c:pt>
                <c:pt idx="2">
                  <c:v>-0.6</c:v>
                </c:pt>
                <c:pt idx="3">
                  <c:v>0</c:v>
                </c:pt>
                <c:pt idx="4">
                  <c:v>0</c:v>
                </c:pt>
                <c:pt idx="5">
                  <c:v>-0.7</c:v>
                </c:pt>
                <c:pt idx="6">
                  <c:v>-2.1</c:v>
                </c:pt>
                <c:pt idx="7">
                  <c:v>-4.3</c:v>
                </c:pt>
                <c:pt idx="8">
                  <c:v>-7.3</c:v>
                </c:pt>
                <c:pt idx="9">
                  <c:v>-11</c:v>
                </c:pt>
                <c:pt idx="10">
                  <c:v>-15.6</c:v>
                </c:pt>
                <c:pt idx="11">
                  <c:v>-21.2</c:v>
                </c:pt>
                <c:pt idx="12">
                  <c:v>-27.5</c:v>
                </c:pt>
                <c:pt idx="13">
                  <c:v>-34.700000000000003</c:v>
                </c:pt>
                <c:pt idx="14">
                  <c:v>-43.3</c:v>
                </c:pt>
                <c:pt idx="15">
                  <c:v>-52.5</c:v>
                </c:pt>
                <c:pt idx="16">
                  <c:v>-62.7</c:v>
                </c:pt>
                <c:pt idx="17">
                  <c:v>-74.5</c:v>
                </c:pt>
                <c:pt idx="18">
                  <c:v>-87.1</c:v>
                </c:pt>
                <c:pt idx="19">
                  <c:v>-100.8</c:v>
                </c:pt>
                <c:pt idx="20">
                  <c:v>-115.7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85-48F2-A3AB-B3E6FF72F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'Core-Lokt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4892807698783088E-2"/>
                  <c:y val="-0.3412877904150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</c:v>
                </c:pt>
                <c:pt idx="4">
                  <c:v>1.4025000091957547</c:v>
                </c:pt>
                <c:pt idx="5">
                  <c:v>0.7968750010795167</c:v>
                </c:pt>
                <c:pt idx="6">
                  <c:v>0</c:v>
                </c:pt>
                <c:pt idx="7">
                  <c:v>-2.8050000183915094</c:v>
                </c:pt>
                <c:pt idx="8">
                  <c:v>-8.8187503657799056</c:v>
                </c:pt>
                <c:pt idx="9">
                  <c:v>-23.842505019861321</c:v>
                </c:pt>
                <c:pt idx="10">
                  <c:v>-37.187513993740048</c:v>
                </c:pt>
                <c:pt idx="11">
                  <c:v>-56.610037795367738</c:v>
                </c:pt>
                <c:pt idx="12">
                  <c:v>-79.751333496209426</c:v>
                </c:pt>
                <c:pt idx="13">
                  <c:v>-106.25015992867431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2-4319-B86A-11D7CA45D520}"/>
            </c:ext>
          </c:extLst>
        </c:ser>
        <c:ser>
          <c:idx val="1"/>
          <c:order val="1"/>
          <c:tx>
            <c:strRef>
              <c:f>'Core-Lokt SP'!$A$126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567172822483984"/>
                  <c:y val="-0.249605570137066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0.4</c:v>
                </c:pt>
                <c:pt idx="3">
                  <c:v>1.5</c:v>
                </c:pt>
                <c:pt idx="4">
                  <c:v>1.9</c:v>
                </c:pt>
                <c:pt idx="5">
                  <c:v>1.4</c:v>
                </c:pt>
                <c:pt idx="6">
                  <c:v>0</c:v>
                </c:pt>
                <c:pt idx="7">
                  <c:v>-2.2999999999999998</c:v>
                </c:pt>
                <c:pt idx="8">
                  <c:v>-5.7</c:v>
                </c:pt>
                <c:pt idx="9">
                  <c:v>-10.1</c:v>
                </c:pt>
                <c:pt idx="10">
                  <c:v>-15.7</c:v>
                </c:pt>
                <c:pt idx="11">
                  <c:v>-22.9</c:v>
                </c:pt>
                <c:pt idx="12">
                  <c:v>-31.3</c:v>
                </c:pt>
                <c:pt idx="13">
                  <c:v>-41.3</c:v>
                </c:pt>
                <c:pt idx="14">
                  <c:v>-53.4</c:v>
                </c:pt>
                <c:pt idx="15">
                  <c:v>-67</c:v>
                </c:pt>
                <c:pt idx="16">
                  <c:v>-82.6</c:v>
                </c:pt>
                <c:pt idx="17">
                  <c:v>-101.2</c:v>
                </c:pt>
                <c:pt idx="18">
                  <c:v>-121.7</c:v>
                </c:pt>
                <c:pt idx="19">
                  <c:v>-144.9</c:v>
                </c:pt>
                <c:pt idx="20">
                  <c:v>-171.1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22-4319-B86A-11D7CA45D520}"/>
            </c:ext>
          </c:extLst>
        </c:ser>
        <c:ser>
          <c:idx val="2"/>
          <c:order val="2"/>
          <c:tx>
            <c:strRef>
              <c:f>'Core-Lokt SP'!$K$126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'Core-Lokt SP'!$K$128:$K$148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0.1</c:v>
                </c:pt>
                <c:pt idx="3">
                  <c:v>1.1000000000000001</c:v>
                </c:pt>
                <c:pt idx="4">
                  <c:v>1.4</c:v>
                </c:pt>
                <c:pt idx="5">
                  <c:v>1.1000000000000001</c:v>
                </c:pt>
                <c:pt idx="6">
                  <c:v>0</c:v>
                </c:pt>
                <c:pt idx="7">
                  <c:v>-1.8</c:v>
                </c:pt>
                <c:pt idx="8">
                  <c:v>-4.5</c:v>
                </c:pt>
                <c:pt idx="9">
                  <c:v>-7.9</c:v>
                </c:pt>
                <c:pt idx="10">
                  <c:v>-12.1</c:v>
                </c:pt>
                <c:pt idx="11">
                  <c:v>-17.3</c:v>
                </c:pt>
                <c:pt idx="12">
                  <c:v>-23.3</c:v>
                </c:pt>
                <c:pt idx="13">
                  <c:v>-30.1</c:v>
                </c:pt>
                <c:pt idx="14">
                  <c:v>-38.299999999999997</c:v>
                </c:pt>
                <c:pt idx="15">
                  <c:v>-47.2</c:v>
                </c:pt>
                <c:pt idx="16">
                  <c:v>-57.1</c:v>
                </c:pt>
                <c:pt idx="17">
                  <c:v>-68.5</c:v>
                </c:pt>
                <c:pt idx="18">
                  <c:v>-80.7</c:v>
                </c:pt>
                <c:pt idx="19">
                  <c:v>-94</c:v>
                </c:pt>
                <c:pt idx="20">
                  <c:v>-108.6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A3-4443-A85E-B0CCA83B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183711660496089E-2"/>
          <c:y val="0.11447530864197532"/>
          <c:w val="0.77541064786720559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'Core-Lokt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1660294867365092E-2"/>
                  <c:y val="-0.302961018761543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-2.6000009373870725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4.1500001524765402</c:v>
                </c:pt>
                <c:pt idx="6">
                  <c:v>4.9800001829718479</c:v>
                </c:pt>
                <c:pt idx="7">
                  <c:v>0</c:v>
                </c:pt>
                <c:pt idx="8">
                  <c:v>-3.3000000191664007</c:v>
                </c:pt>
                <c:pt idx="9">
                  <c:v>-15.000001250000123</c:v>
                </c:pt>
                <c:pt idx="10">
                  <c:v>-23.380003477572998</c:v>
                </c:pt>
                <c:pt idx="11">
                  <c:v>-40.000013333338671</c:v>
                </c:pt>
                <c:pt idx="12">
                  <c:v>-75.06006961132195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F8-47D5-89E2-DF4D4D339874}"/>
            </c:ext>
          </c:extLst>
        </c:ser>
        <c:ser>
          <c:idx val="1"/>
          <c:order val="1"/>
          <c:tx>
            <c:strRef>
              <c:f>'Core-Lokt SP'!$A$150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04096782805279"/>
                  <c:y val="-0.152094634004082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-0.7</c:v>
                </c:pt>
                <c:pt idx="2">
                  <c:v>1.9</c:v>
                </c:pt>
                <c:pt idx="3">
                  <c:v>3.6</c:v>
                </c:pt>
                <c:pt idx="4">
                  <c:v>4.7</c:v>
                </c:pt>
                <c:pt idx="5">
                  <c:v>4.9000000000000004</c:v>
                </c:pt>
                <c:pt idx="6">
                  <c:v>4.3</c:v>
                </c:pt>
                <c:pt idx="7">
                  <c:v>2.7</c:v>
                </c:pt>
                <c:pt idx="8">
                  <c:v>0</c:v>
                </c:pt>
                <c:pt idx="9">
                  <c:v>-3.7</c:v>
                </c:pt>
                <c:pt idx="10">
                  <c:v>-8.6999999999999993</c:v>
                </c:pt>
                <c:pt idx="11">
                  <c:v>-15.1</c:v>
                </c:pt>
                <c:pt idx="12">
                  <c:v>-22.8</c:v>
                </c:pt>
                <c:pt idx="13">
                  <c:v>-32.1</c:v>
                </c:pt>
                <c:pt idx="14">
                  <c:v>-43.5</c:v>
                </c:pt>
                <c:pt idx="15">
                  <c:v>-56.3</c:v>
                </c:pt>
                <c:pt idx="16">
                  <c:v>-71.3</c:v>
                </c:pt>
                <c:pt idx="17">
                  <c:v>-89.2</c:v>
                </c:pt>
                <c:pt idx="18">
                  <c:v>-108.9</c:v>
                </c:pt>
                <c:pt idx="19">
                  <c:v>-131.4</c:v>
                </c:pt>
                <c:pt idx="20">
                  <c:v>-156.9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F8-47D5-89E2-DF4D4D339874}"/>
            </c:ext>
          </c:extLst>
        </c:ser>
        <c:ser>
          <c:idx val="2"/>
          <c:order val="2"/>
          <c:tx>
            <c:strRef>
              <c:f>'Core-Lokt SP'!$K$150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'Core-Lokt SP'!$K$152:$K$172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-1</c:v>
                </c:pt>
                <c:pt idx="2">
                  <c:v>1.3</c:v>
                </c:pt>
                <c:pt idx="3">
                  <c:v>2.8</c:v>
                </c:pt>
                <c:pt idx="4">
                  <c:v>3.7</c:v>
                </c:pt>
                <c:pt idx="5">
                  <c:v>3.9</c:v>
                </c:pt>
                <c:pt idx="6">
                  <c:v>3.3</c:v>
                </c:pt>
                <c:pt idx="7">
                  <c:v>2.1</c:v>
                </c:pt>
                <c:pt idx="8">
                  <c:v>0</c:v>
                </c:pt>
                <c:pt idx="9">
                  <c:v>-2.8</c:v>
                </c:pt>
                <c:pt idx="10">
                  <c:v>-6.5</c:v>
                </c:pt>
                <c:pt idx="11">
                  <c:v>-11.1</c:v>
                </c:pt>
                <c:pt idx="12">
                  <c:v>-16.5</c:v>
                </c:pt>
                <c:pt idx="13">
                  <c:v>-22.9</c:v>
                </c:pt>
                <c:pt idx="14">
                  <c:v>-30.5</c:v>
                </c:pt>
                <c:pt idx="15">
                  <c:v>-38.799999999999997</c:v>
                </c:pt>
                <c:pt idx="16">
                  <c:v>-48.1</c:v>
                </c:pt>
                <c:pt idx="17">
                  <c:v>-59</c:v>
                </c:pt>
                <c:pt idx="18">
                  <c:v>-70.599999999999994</c:v>
                </c:pt>
                <c:pt idx="19">
                  <c:v>-83.4</c:v>
                </c:pt>
                <c:pt idx="20">
                  <c:v>-97.5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AD-470F-867B-8C11934F5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'Core-Lokt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-1.6700002483980712</c:v>
                </c:pt>
                <c:pt idx="2">
                  <c:v>2.5000002083333537</c:v>
                </c:pt>
                <c:pt idx="3">
                  <c:v>5.625001054687738</c:v>
                </c:pt>
                <c:pt idx="4">
                  <c:v>7.5000014062503171</c:v>
                </c:pt>
                <c:pt idx="5">
                  <c:v>9.3750017578128961</c:v>
                </c:pt>
                <c:pt idx="6">
                  <c:v>10.020001490388427</c:v>
                </c:pt>
                <c:pt idx="7">
                  <c:v>10.000000833333415</c:v>
                </c:pt>
                <c:pt idx="8">
                  <c:v>8.3000003049530804</c:v>
                </c:pt>
                <c:pt idx="9">
                  <c:v>0</c:v>
                </c:pt>
                <c:pt idx="10">
                  <c:v>-11.620000426934313</c:v>
                </c:pt>
                <c:pt idx="11">
                  <c:v>-26.720003974369138</c:v>
                </c:pt>
                <c:pt idx="12">
                  <c:v>-45.000015000006002</c:v>
                </c:pt>
                <c:pt idx="13">
                  <c:v>-66.600039387800763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70-43D0-A9AA-3F45FE58E044}"/>
            </c:ext>
          </c:extLst>
        </c:ser>
        <c:ser>
          <c:idx val="1"/>
          <c:order val="1"/>
          <c:tx>
            <c:strRef>
              <c:f>'Core-Lokt SP'!$A$174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5945577756477376E-2"/>
                  <c:y val="-0.38304826480023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1.2</c:v>
                </c:pt>
                <c:pt idx="2">
                  <c:v>5.7</c:v>
                </c:pt>
                <c:pt idx="3">
                  <c:v>9.4</c:v>
                </c:pt>
                <c:pt idx="4">
                  <c:v>12.3</c:v>
                </c:pt>
                <c:pt idx="5">
                  <c:v>14.5</c:v>
                </c:pt>
                <c:pt idx="6">
                  <c:v>15.7</c:v>
                </c:pt>
                <c:pt idx="7">
                  <c:v>16</c:v>
                </c:pt>
                <c:pt idx="8">
                  <c:v>15.2</c:v>
                </c:pt>
                <c:pt idx="9">
                  <c:v>13.4</c:v>
                </c:pt>
                <c:pt idx="10">
                  <c:v>10.3</c:v>
                </c:pt>
                <c:pt idx="11">
                  <c:v>5.8</c:v>
                </c:pt>
                <c:pt idx="12">
                  <c:v>0</c:v>
                </c:pt>
                <c:pt idx="13">
                  <c:v>-7.4</c:v>
                </c:pt>
                <c:pt idx="14">
                  <c:v>-16.8</c:v>
                </c:pt>
                <c:pt idx="15">
                  <c:v>-27.8</c:v>
                </c:pt>
                <c:pt idx="16">
                  <c:v>-40.9</c:v>
                </c:pt>
                <c:pt idx="17">
                  <c:v>-56.8</c:v>
                </c:pt>
                <c:pt idx="18">
                  <c:v>-74.7</c:v>
                </c:pt>
                <c:pt idx="19">
                  <c:v>-95.3</c:v>
                </c:pt>
                <c:pt idx="20">
                  <c:v>-119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70-43D0-A9AA-3F45FE58E044}"/>
            </c:ext>
          </c:extLst>
        </c:ser>
        <c:ser>
          <c:idx val="2"/>
          <c:order val="2"/>
          <c:tx>
            <c:strRef>
              <c:f>'Core-Lokt SP'!$K$174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'Core-Lokt SP'!$K$176:$K$196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0.4</c:v>
                </c:pt>
                <c:pt idx="2">
                  <c:v>4</c:v>
                </c:pt>
                <c:pt idx="3">
                  <c:v>6.9</c:v>
                </c:pt>
                <c:pt idx="4">
                  <c:v>9.1999999999999993</c:v>
                </c:pt>
                <c:pt idx="5">
                  <c:v>10.8</c:v>
                </c:pt>
                <c:pt idx="6">
                  <c:v>11.6</c:v>
                </c:pt>
                <c:pt idx="7">
                  <c:v>11.7</c:v>
                </c:pt>
                <c:pt idx="8">
                  <c:v>11.1</c:v>
                </c:pt>
                <c:pt idx="9">
                  <c:v>9.6</c:v>
                </c:pt>
                <c:pt idx="10">
                  <c:v>7.3</c:v>
                </c:pt>
                <c:pt idx="11">
                  <c:v>4.0999999999999996</c:v>
                </c:pt>
                <c:pt idx="12">
                  <c:v>0</c:v>
                </c:pt>
                <c:pt idx="13">
                  <c:v>-5</c:v>
                </c:pt>
                <c:pt idx="14">
                  <c:v>-11.1</c:v>
                </c:pt>
                <c:pt idx="15">
                  <c:v>-18.100000000000001</c:v>
                </c:pt>
                <c:pt idx="16">
                  <c:v>-26.1</c:v>
                </c:pt>
                <c:pt idx="17">
                  <c:v>-35.5</c:v>
                </c:pt>
                <c:pt idx="18">
                  <c:v>-45.8</c:v>
                </c:pt>
                <c:pt idx="19">
                  <c:v>-57.2</c:v>
                </c:pt>
                <c:pt idx="20">
                  <c:v>-69.900000000000006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49-463F-BA53-E066F953A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'Core-Lokt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4.594031556409451E-2"/>
                  <c:y val="-0.557507047730144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5.3400020303116467</c:v>
                </c:pt>
                <c:pt idx="3">
                  <c:v>9.9900059081701151</c:v>
                </c:pt>
                <c:pt idx="4">
                  <c:v>15.000011250010125</c:v>
                </c:pt>
                <c:pt idx="5">
                  <c:v>18.250012967244388</c:v>
                </c:pt>
                <c:pt idx="6">
                  <c:v>19.020010193610716</c:v>
                </c:pt>
                <c:pt idx="7">
                  <c:v>25.360013591480957</c:v>
                </c:pt>
                <c:pt idx="8">
                  <c:v>25.00000833333667</c:v>
                </c:pt>
                <c:pt idx="9">
                  <c:v>20.040002980776855</c:v>
                </c:pt>
                <c:pt idx="10">
                  <c:v>11.620000426934313</c:v>
                </c:pt>
                <c:pt idx="11">
                  <c:v>0</c:v>
                </c:pt>
                <c:pt idx="12">
                  <c:v>-14.940000548915544</c:v>
                </c:pt>
                <c:pt idx="13">
                  <c:v>-33.400004967961429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7F-4B73-8A03-A1503FADBFF0}"/>
            </c:ext>
          </c:extLst>
        </c:ser>
        <c:ser>
          <c:idx val="1"/>
          <c:order val="1"/>
          <c:tx>
            <c:strRef>
              <c:f>'Core-Lokt SP'!$A$198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777726834022842"/>
                  <c:y val="-0.156625352386507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3.8</c:v>
                </c:pt>
                <c:pt idx="2">
                  <c:v>10.9</c:v>
                </c:pt>
                <c:pt idx="3">
                  <c:v>17.100000000000001</c:v>
                </c:pt>
                <c:pt idx="4">
                  <c:v>22.5</c:v>
                </c:pt>
                <c:pt idx="5">
                  <c:v>27.4</c:v>
                </c:pt>
                <c:pt idx="6">
                  <c:v>31.1</c:v>
                </c:pt>
                <c:pt idx="7">
                  <c:v>34</c:v>
                </c:pt>
                <c:pt idx="8">
                  <c:v>35.9</c:v>
                </c:pt>
                <c:pt idx="9">
                  <c:v>36.5</c:v>
                </c:pt>
                <c:pt idx="10">
                  <c:v>36</c:v>
                </c:pt>
                <c:pt idx="11">
                  <c:v>34.1</c:v>
                </c:pt>
                <c:pt idx="12">
                  <c:v>30.9</c:v>
                </c:pt>
                <c:pt idx="13">
                  <c:v>26</c:v>
                </c:pt>
                <c:pt idx="14">
                  <c:v>19.2</c:v>
                </c:pt>
                <c:pt idx="15">
                  <c:v>10.8</c:v>
                </c:pt>
                <c:pt idx="16">
                  <c:v>0.3</c:v>
                </c:pt>
                <c:pt idx="17">
                  <c:v>-13</c:v>
                </c:pt>
                <c:pt idx="18">
                  <c:v>-28.4</c:v>
                </c:pt>
                <c:pt idx="19">
                  <c:v>-46.5</c:v>
                </c:pt>
                <c:pt idx="20">
                  <c:v>-67.599999999999994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7F-4B73-8A03-A1503FADBFF0}"/>
            </c:ext>
          </c:extLst>
        </c:ser>
        <c:ser>
          <c:idx val="2"/>
          <c:order val="2"/>
          <c:tx>
            <c:strRef>
              <c:f>'Core-Lokt SP'!$K$198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'Core-Lokt SP'!$K$200:$K$220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2</c:v>
                </c:pt>
                <c:pt idx="2">
                  <c:v>7.3</c:v>
                </c:pt>
                <c:pt idx="3">
                  <c:v>11.9</c:v>
                </c:pt>
                <c:pt idx="4">
                  <c:v>15.7</c:v>
                </c:pt>
                <c:pt idx="5">
                  <c:v>19</c:v>
                </c:pt>
                <c:pt idx="6">
                  <c:v>21.5</c:v>
                </c:pt>
                <c:pt idx="7">
                  <c:v>23.2</c:v>
                </c:pt>
                <c:pt idx="8">
                  <c:v>24.2</c:v>
                </c:pt>
                <c:pt idx="9">
                  <c:v>24.4</c:v>
                </c:pt>
                <c:pt idx="10">
                  <c:v>23.7</c:v>
                </c:pt>
                <c:pt idx="11">
                  <c:v>22.1</c:v>
                </c:pt>
                <c:pt idx="12">
                  <c:v>19.7</c:v>
                </c:pt>
                <c:pt idx="13">
                  <c:v>16.399999999999999</c:v>
                </c:pt>
                <c:pt idx="14">
                  <c:v>11.9</c:v>
                </c:pt>
                <c:pt idx="15">
                  <c:v>6.5</c:v>
                </c:pt>
                <c:pt idx="16">
                  <c:v>0.1</c:v>
                </c:pt>
                <c:pt idx="17">
                  <c:v>-7.6</c:v>
                </c:pt>
                <c:pt idx="18">
                  <c:v>-16.3</c:v>
                </c:pt>
                <c:pt idx="19">
                  <c:v>-26.1</c:v>
                </c:pt>
                <c:pt idx="20">
                  <c:v>-37.1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5F5-4437-8D44-A4CD357A8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'Core-Lokt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987491516704265"/>
                  <c:y val="-0.290937834159618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1.9335941355622739</c:v>
                </c:pt>
                <c:pt idx="2">
                  <c:v>10.312514622827617</c:v>
                </c:pt>
                <c:pt idx="3">
                  <c:v>17.789095859257731</c:v>
                </c:pt>
                <c:pt idx="4">
                  <c:v>24.048796361478004</c:v>
                </c:pt>
                <c:pt idx="5">
                  <c:v>30.060995451847504</c:v>
                </c:pt>
                <c:pt idx="6">
                  <c:v>34.031308388971546</c:v>
                </c:pt>
                <c:pt idx="7">
                  <c:v>41.250058491310469</c:v>
                </c:pt>
                <c:pt idx="8">
                  <c:v>43.003167413029196</c:v>
                </c:pt>
                <c:pt idx="9">
                  <c:v>40.218774094740525</c:v>
                </c:pt>
                <c:pt idx="10">
                  <c:v>36.093762794957833</c:v>
                </c:pt>
                <c:pt idx="11">
                  <c:v>27.555004358731246</c:v>
                </c:pt>
                <c:pt idx="12">
                  <c:v>15.406875602001282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42-46B8-8175-822AAE95CE77}"/>
            </c:ext>
          </c:extLst>
        </c:ser>
        <c:ser>
          <c:idx val="1"/>
          <c:order val="1"/>
          <c:tx>
            <c:strRef>
              <c:f>'Core-Lokt SP'!$A$222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7461566639557148E-2"/>
                  <c:y val="-0.5187134247108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7.2</c:v>
                </c:pt>
                <c:pt idx="2">
                  <c:v>17.8</c:v>
                </c:pt>
                <c:pt idx="3">
                  <c:v>27.3</c:v>
                </c:pt>
                <c:pt idx="4">
                  <c:v>36.200000000000003</c:v>
                </c:pt>
                <c:pt idx="5">
                  <c:v>44.5</c:v>
                </c:pt>
                <c:pt idx="6">
                  <c:v>51.6</c:v>
                </c:pt>
                <c:pt idx="7">
                  <c:v>57.8</c:v>
                </c:pt>
                <c:pt idx="8">
                  <c:v>63.2</c:v>
                </c:pt>
                <c:pt idx="9">
                  <c:v>67.3</c:v>
                </c:pt>
                <c:pt idx="10">
                  <c:v>70.099999999999994</c:v>
                </c:pt>
                <c:pt idx="11">
                  <c:v>71.7</c:v>
                </c:pt>
                <c:pt idx="12">
                  <c:v>71.8</c:v>
                </c:pt>
                <c:pt idx="13">
                  <c:v>70.400000000000006</c:v>
                </c:pt>
                <c:pt idx="14">
                  <c:v>67</c:v>
                </c:pt>
                <c:pt idx="15">
                  <c:v>61.9</c:v>
                </c:pt>
                <c:pt idx="16">
                  <c:v>54.8</c:v>
                </c:pt>
                <c:pt idx="17">
                  <c:v>45</c:v>
                </c:pt>
                <c:pt idx="18">
                  <c:v>33</c:v>
                </c:pt>
                <c:pt idx="19">
                  <c:v>18.3</c:v>
                </c:pt>
                <c:pt idx="2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42-46B8-8175-822AAE95CE77}"/>
            </c:ext>
          </c:extLst>
        </c:ser>
        <c:ser>
          <c:idx val="2"/>
          <c:order val="2"/>
          <c:tx>
            <c:strRef>
              <c:f>'Core-Lokt SP'!$K$222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'Core-Lokt SP'!$K$224:$K$244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3.9</c:v>
                </c:pt>
                <c:pt idx="2">
                  <c:v>11.1</c:v>
                </c:pt>
                <c:pt idx="3">
                  <c:v>17.5</c:v>
                </c:pt>
                <c:pt idx="4">
                  <c:v>23.2</c:v>
                </c:pt>
                <c:pt idx="5">
                  <c:v>28.4</c:v>
                </c:pt>
                <c:pt idx="6">
                  <c:v>32.700000000000003</c:v>
                </c:pt>
                <c:pt idx="7">
                  <c:v>36.299999999999997</c:v>
                </c:pt>
                <c:pt idx="8">
                  <c:v>39.200000000000003</c:v>
                </c:pt>
                <c:pt idx="9">
                  <c:v>41.2</c:v>
                </c:pt>
                <c:pt idx="10">
                  <c:v>42.4</c:v>
                </c:pt>
                <c:pt idx="11">
                  <c:v>42.8</c:v>
                </c:pt>
                <c:pt idx="12">
                  <c:v>42.2</c:v>
                </c:pt>
                <c:pt idx="13">
                  <c:v>40.700000000000003</c:v>
                </c:pt>
                <c:pt idx="14">
                  <c:v>38.1</c:v>
                </c:pt>
                <c:pt idx="15">
                  <c:v>34.6</c:v>
                </c:pt>
                <c:pt idx="16">
                  <c:v>30.1</c:v>
                </c:pt>
                <c:pt idx="17">
                  <c:v>24.3</c:v>
                </c:pt>
                <c:pt idx="18">
                  <c:v>17.5</c:v>
                </c:pt>
                <c:pt idx="19">
                  <c:v>9.5</c:v>
                </c:pt>
                <c:pt idx="20">
                  <c:v>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10-4702-8354-171743FEA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7986199305732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HP'!$B$22:$B$35</c:f>
              <c:numCache>
                <c:formatCode>0.00</c:formatCode>
                <c:ptCount val="14"/>
                <c:pt idx="0">
                  <c:v>3664</c:v>
                </c:pt>
                <c:pt idx="1">
                  <c:v>3595.1</c:v>
                </c:pt>
                <c:pt idx="2">
                  <c:v>3520.5</c:v>
                </c:pt>
                <c:pt idx="3">
                  <c:v>3433</c:v>
                </c:pt>
                <c:pt idx="4">
                  <c:v>3361.7</c:v>
                </c:pt>
                <c:pt idx="5">
                  <c:v>3278.8</c:v>
                </c:pt>
                <c:pt idx="6">
                  <c:v>3198.5</c:v>
                </c:pt>
                <c:pt idx="7">
                  <c:v>3055.2</c:v>
                </c:pt>
                <c:pt idx="8">
                  <c:v>2910.2</c:v>
                </c:pt>
                <c:pt idx="9">
                  <c:v>2775.8</c:v>
                </c:pt>
                <c:pt idx="10">
                  <c:v>2635</c:v>
                </c:pt>
                <c:pt idx="11">
                  <c:v>2504.6999999999998</c:v>
                </c:pt>
                <c:pt idx="12">
                  <c:v>2385.6</c:v>
                </c:pt>
                <c:pt idx="13">
                  <c:v>2271.4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F-455C-85F5-DC58B028502A}"/>
            </c:ext>
          </c:extLst>
        </c:ser>
        <c:ser>
          <c:idx val="1"/>
          <c:order val="1"/>
          <c:tx>
            <c:strRef>
              <c:f>'Barnes TSX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HP'!$C$80:$C$100</c:f>
              <c:numCache>
                <c:formatCode>0.00</c:formatCode>
                <c:ptCount val="21"/>
                <c:pt idx="0">
                  <c:v>3664</c:v>
                </c:pt>
                <c:pt idx="1">
                  <c:v>3494</c:v>
                </c:pt>
                <c:pt idx="2">
                  <c:v>3331</c:v>
                </c:pt>
                <c:pt idx="3">
                  <c:v>3175</c:v>
                </c:pt>
                <c:pt idx="4">
                  <c:v>3025</c:v>
                </c:pt>
                <c:pt idx="5">
                  <c:v>2880</c:v>
                </c:pt>
                <c:pt idx="6">
                  <c:v>2741</c:v>
                </c:pt>
                <c:pt idx="7">
                  <c:v>2608</c:v>
                </c:pt>
                <c:pt idx="8">
                  <c:v>2480</c:v>
                </c:pt>
                <c:pt idx="9">
                  <c:v>2357</c:v>
                </c:pt>
                <c:pt idx="10">
                  <c:v>2238</c:v>
                </c:pt>
                <c:pt idx="11">
                  <c:v>2124</c:v>
                </c:pt>
                <c:pt idx="12">
                  <c:v>2015</c:v>
                </c:pt>
                <c:pt idx="13">
                  <c:v>1910</c:v>
                </c:pt>
                <c:pt idx="14">
                  <c:v>1810</c:v>
                </c:pt>
                <c:pt idx="15">
                  <c:v>1713</c:v>
                </c:pt>
                <c:pt idx="16">
                  <c:v>1621</c:v>
                </c:pt>
                <c:pt idx="17">
                  <c:v>1533</c:v>
                </c:pt>
                <c:pt idx="18">
                  <c:v>1448</c:v>
                </c:pt>
                <c:pt idx="19">
                  <c:v>1368</c:v>
                </c:pt>
                <c:pt idx="20">
                  <c:v>1294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9F-455C-85F5-DC58B028502A}"/>
            </c:ext>
          </c:extLst>
        </c:ser>
        <c:ser>
          <c:idx val="2"/>
          <c:order val="2"/>
          <c:tx>
            <c:strRef>
              <c:f>'Barnes TSX HP'!$H$78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HP'!$J$80:$J$100</c:f>
              <c:numCache>
                <c:formatCode>0.00</c:formatCode>
                <c:ptCount val="21"/>
                <c:pt idx="0">
                  <c:v>3664</c:v>
                </c:pt>
                <c:pt idx="1">
                  <c:v>3580</c:v>
                </c:pt>
                <c:pt idx="2">
                  <c:v>3497</c:v>
                </c:pt>
                <c:pt idx="3">
                  <c:v>3416</c:v>
                </c:pt>
                <c:pt idx="4">
                  <c:v>3337</c:v>
                </c:pt>
                <c:pt idx="5">
                  <c:v>3259</c:v>
                </c:pt>
                <c:pt idx="6">
                  <c:v>3182</c:v>
                </c:pt>
                <c:pt idx="7">
                  <c:v>3107</c:v>
                </c:pt>
                <c:pt idx="8">
                  <c:v>3033</c:v>
                </c:pt>
                <c:pt idx="9">
                  <c:v>2961</c:v>
                </c:pt>
                <c:pt idx="10">
                  <c:v>2889</c:v>
                </c:pt>
                <c:pt idx="11">
                  <c:v>2820</c:v>
                </c:pt>
                <c:pt idx="12">
                  <c:v>2751</c:v>
                </c:pt>
                <c:pt idx="13">
                  <c:v>2684</c:v>
                </c:pt>
                <c:pt idx="14">
                  <c:v>2618</c:v>
                </c:pt>
                <c:pt idx="15">
                  <c:v>2553</c:v>
                </c:pt>
                <c:pt idx="16">
                  <c:v>2490</c:v>
                </c:pt>
                <c:pt idx="17">
                  <c:v>2427</c:v>
                </c:pt>
                <c:pt idx="18">
                  <c:v>2366</c:v>
                </c:pt>
                <c:pt idx="19">
                  <c:v>2306</c:v>
                </c:pt>
                <c:pt idx="20">
                  <c:v>2250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D1-4EFD-B6D3-F889F66EF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2.9687500872166988</c:v>
                </c:pt>
                <c:pt idx="5">
                  <c:v>3.7109376090208737</c:v>
                </c:pt>
                <c:pt idx="6">
                  <c:v>4.4531251308250486</c:v>
                </c:pt>
                <c:pt idx="7">
                  <c:v>0</c:v>
                </c:pt>
                <c:pt idx="8">
                  <c:v>-7.4218752180417473</c:v>
                </c:pt>
                <c:pt idx="9">
                  <c:v>-26.718757064554548</c:v>
                </c:pt>
                <c:pt idx="10">
                  <c:v>-41.562519536550738</c:v>
                </c:pt>
                <c:pt idx="11">
                  <c:v>-63.270052765821092</c:v>
                </c:pt>
                <c:pt idx="12">
                  <c:v>-89.133866568426569</c:v>
                </c:pt>
                <c:pt idx="13">
                  <c:v>-121.12523694149604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C2-415D-9AB8-76C3A8303056}"/>
            </c:ext>
          </c:extLst>
        </c:ser>
        <c:ser>
          <c:idx val="1"/>
          <c:order val="1"/>
          <c:tx>
            <c:strRef>
              <c:f>'Barnes TSX 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-3.1875000479785172</c:v>
                </c:pt>
                <c:pt idx="7">
                  <c:v>-7.0550002926239239</c:v>
                </c:pt>
                <c:pt idx="8">
                  <c:v>-17.74375297944275</c:v>
                </c:pt>
                <c:pt idx="9">
                  <c:v>-31.875011994634324</c:v>
                </c:pt>
                <c:pt idx="10">
                  <c:v>-49.533783070946775</c:v>
                </c:pt>
                <c:pt idx="11">
                  <c:v>-70.890074218852831</c:v>
                </c:pt>
                <c:pt idx="12">
                  <c:v>-95.625143935806875</c:v>
                </c:pt>
                <c:pt idx="13">
                  <c:v>-123.8877535258635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C2-415D-9AB8-76C3A8303056}"/>
            </c:ext>
          </c:extLst>
        </c:ser>
        <c:ser>
          <c:idx val="2"/>
          <c:order val="2"/>
          <c:tx>
            <c:strRef>
              <c:f>'Barnes TSX 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-3.0000014400008288</c:v>
                </c:pt>
                <c:pt idx="2">
                  <c:v>0</c:v>
                </c:pt>
                <c:pt idx="3">
                  <c:v>1.5000000200000003</c:v>
                </c:pt>
                <c:pt idx="4">
                  <c:v>2.0000000266666671</c:v>
                </c:pt>
                <c:pt idx="5">
                  <c:v>2.5000000333333343</c:v>
                </c:pt>
                <c:pt idx="6">
                  <c:v>0</c:v>
                </c:pt>
                <c:pt idx="7">
                  <c:v>-4.0000000533333342</c:v>
                </c:pt>
                <c:pt idx="8">
                  <c:v>-12.500001041666769</c:v>
                </c:pt>
                <c:pt idx="9">
                  <c:v>-24.000005120001312</c:v>
                </c:pt>
                <c:pt idx="10">
                  <c:v>-43.750022786472577</c:v>
                </c:pt>
                <c:pt idx="11">
                  <c:v>-60.000045000040501</c:v>
                </c:pt>
                <c:pt idx="12">
                  <c:v>-85.500102885148564</c:v>
                </c:pt>
                <c:pt idx="13">
                  <c:v>-112.50018984413441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5C2-415D-9AB8-76C3A8303056}"/>
            </c:ext>
          </c:extLst>
        </c:ser>
        <c:ser>
          <c:idx val="3"/>
          <c:order val="3"/>
          <c:tx>
            <c:strRef>
              <c:f>'Barnes TSX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4.1500001524765402</c:v>
                </c:pt>
                <c:pt idx="6">
                  <c:v>3.7500000781250016</c:v>
                </c:pt>
                <c:pt idx="7">
                  <c:v>0</c:v>
                </c:pt>
                <c:pt idx="8">
                  <c:v>-8.3000003049530804</c:v>
                </c:pt>
                <c:pt idx="9">
                  <c:v>-15.000001250000123</c:v>
                </c:pt>
                <c:pt idx="10">
                  <c:v>-35.000011666671341</c:v>
                </c:pt>
                <c:pt idx="11">
                  <c:v>-50.000026041682943</c:v>
                </c:pt>
                <c:pt idx="12">
                  <c:v>-75.06006961132195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5C2-415D-9AB8-76C3A8303056}"/>
            </c:ext>
          </c:extLst>
        </c:ser>
        <c:ser>
          <c:idx val="4"/>
          <c:order val="4"/>
          <c:tx>
            <c:strRef>
              <c:f>'Barnes TSX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-0.83000003049530802</c:v>
                </c:pt>
                <c:pt idx="2">
                  <c:v>3.3400004967961423</c:v>
                </c:pt>
                <c:pt idx="3">
                  <c:v>7.500002500001</c:v>
                </c:pt>
                <c:pt idx="4">
                  <c:v>10.000003333334668</c:v>
                </c:pt>
                <c:pt idx="5">
                  <c:v>12.500004166668335</c:v>
                </c:pt>
                <c:pt idx="6">
                  <c:v>11.250002109375476</c:v>
                </c:pt>
                <c:pt idx="7">
                  <c:v>13.360001987184569</c:v>
                </c:pt>
                <c:pt idx="8">
                  <c:v>8.3000003049530804</c:v>
                </c:pt>
                <c:pt idx="9">
                  <c:v>0</c:v>
                </c:pt>
                <c:pt idx="10">
                  <c:v>-11.620000426934313</c:v>
                </c:pt>
                <c:pt idx="11">
                  <c:v>-26.720003974369138</c:v>
                </c:pt>
                <c:pt idx="12">
                  <c:v>-45.000015000006002</c:v>
                </c:pt>
                <c:pt idx="13">
                  <c:v>-75.000056250050633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5C2-415D-9AB8-76C3A8303056}"/>
            </c:ext>
          </c:extLst>
        </c:ser>
        <c:ser>
          <c:idx val="5"/>
          <c:order val="5"/>
          <c:tx>
            <c:strRef>
              <c:f>'Barnes TSX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6.6600039387800765</c:v>
                </c:pt>
                <c:pt idx="3">
                  <c:v>12.510011601886992</c:v>
                </c:pt>
                <c:pt idx="4">
                  <c:v>18.000019440025191</c:v>
                </c:pt>
                <c:pt idx="5">
                  <c:v>20.850019336478319</c:v>
                </c:pt>
                <c:pt idx="6">
                  <c:v>22.500016875015188</c:v>
                </c:pt>
                <c:pt idx="7">
                  <c:v>26.640015755120306</c:v>
                </c:pt>
                <c:pt idx="8">
                  <c:v>25.00000833333667</c:v>
                </c:pt>
                <c:pt idx="9">
                  <c:v>22.500004218750952</c:v>
                </c:pt>
                <c:pt idx="10">
                  <c:v>11.620000426934313</c:v>
                </c:pt>
                <c:pt idx="11">
                  <c:v>0</c:v>
                </c:pt>
                <c:pt idx="12">
                  <c:v>-22.500001875000187</c:v>
                </c:pt>
                <c:pt idx="13">
                  <c:v>-37.500007031251585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5C2-415D-9AB8-76C3A8303056}"/>
            </c:ext>
          </c:extLst>
        </c:ser>
        <c:ser>
          <c:idx val="6"/>
          <c:order val="6"/>
          <c:tx>
            <c:strRef>
              <c:f>'Barnes TSX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2.500000833333667</c:v>
                </c:pt>
                <c:pt idx="2">
                  <c:v>10.000013333354666</c:v>
                </c:pt>
                <c:pt idx="3">
                  <c:v>16.875028476620162</c:v>
                </c:pt>
                <c:pt idx="4">
                  <c:v>25.000052083463544</c:v>
                </c:pt>
                <c:pt idx="5">
                  <c:v>29.150052841524811</c:v>
                </c:pt>
                <c:pt idx="6">
                  <c:v>34.980063409829775</c:v>
                </c:pt>
                <c:pt idx="7">
                  <c:v>40.000053333418663</c:v>
                </c:pt>
                <c:pt idx="8">
                  <c:v>45.000048600062982</c:v>
                </c:pt>
                <c:pt idx="9">
                  <c:v>45.000033750030376</c:v>
                </c:pt>
                <c:pt idx="10">
                  <c:v>42.000020160011601</c:v>
                </c:pt>
                <c:pt idx="11">
                  <c:v>32.000006826668411</c:v>
                </c:pt>
                <c:pt idx="12">
                  <c:v>20.700001460040124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5C2-415D-9AB8-76C3A8303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2644337714915357"/>
                  <c:y val="-0.62147787776527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'Barnes TSX 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6.25E-2</c:v>
                </c:pt>
                <c:pt idx="4">
                  <c:v>6.25E-2</c:v>
                </c:pt>
                <c:pt idx="5">
                  <c:v>6.25E-2</c:v>
                </c:pt>
                <c:pt idx="6">
                  <c:v>0</c:v>
                </c:pt>
                <c:pt idx="7">
                  <c:v>-6.25E-2</c:v>
                </c:pt>
                <c:pt idx="8">
                  <c:v>-0.1875</c:v>
                </c:pt>
                <c:pt idx="9">
                  <c:v>-0.25</c:v>
                </c:pt>
                <c:pt idx="10">
                  <c:v>-0.33300000000000002</c:v>
                </c:pt>
                <c:pt idx="11">
                  <c:v>-0.41699999999999998</c:v>
                </c:pt>
                <c:pt idx="12">
                  <c:v>-0.51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7D-4054-BF3D-212F278022ED}"/>
            </c:ext>
          </c:extLst>
        </c:ser>
        <c:ser>
          <c:idx val="1"/>
          <c:order val="1"/>
          <c:tx>
            <c:strRef>
              <c:f>'Barnes TSX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862706098921738"/>
                  <c:y val="-0.631626546681664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'Barnes TSX HP'!$D$23:$D$35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-0.05</c:v>
                </c:pt>
                <c:pt idx="6">
                  <c:v>-8.3000000000000004E-2</c:v>
                </c:pt>
                <c:pt idx="7">
                  <c:v>-0.16700000000000001</c:v>
                </c:pt>
                <c:pt idx="8">
                  <c:v>-0.25</c:v>
                </c:pt>
                <c:pt idx="9">
                  <c:v>-0.33300000000000002</c:v>
                </c:pt>
                <c:pt idx="10">
                  <c:v>-0.41699999999999998</c:v>
                </c:pt>
                <c:pt idx="11">
                  <c:v>-0.5</c:v>
                </c:pt>
                <c:pt idx="12">
                  <c:v>-0.58299999999999996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7D-4054-BF3D-212F278022ED}"/>
            </c:ext>
          </c:extLst>
        </c:ser>
        <c:ser>
          <c:idx val="2"/>
          <c:order val="2"/>
          <c:tx>
            <c:strRef>
              <c:f>'Barnes TSX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690258674931309"/>
                  <c:y val="-0.4873901387326584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'Barnes TSX HP'!$E$23:$E$35</c:f>
              <c:numCache>
                <c:formatCode>0.000</c:formatCode>
                <c:ptCount val="13"/>
                <c:pt idx="0">
                  <c:v>-0.3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</c:v>
                </c:pt>
                <c:pt idx="6">
                  <c:v>-0.05</c:v>
                </c:pt>
                <c:pt idx="7">
                  <c:v>-0.125</c:v>
                </c:pt>
                <c:pt idx="8">
                  <c:v>-0.2</c:v>
                </c:pt>
                <c:pt idx="9">
                  <c:v>-0.3125</c:v>
                </c:pt>
                <c:pt idx="10">
                  <c:v>-0.375</c:v>
                </c:pt>
                <c:pt idx="11">
                  <c:v>-0.47499999999999998</c:v>
                </c:pt>
                <c:pt idx="12">
                  <c:v>-0.5625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17D-4054-BF3D-212F278022ED}"/>
            </c:ext>
          </c:extLst>
        </c:ser>
        <c:ser>
          <c:idx val="3"/>
          <c:order val="3"/>
          <c:tx>
            <c:strRef>
              <c:f>'Barnes TSX 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690258674931309"/>
                  <c:y val="-0.275610048743906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'Barnes TSX HP'!$F$23:$F$35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6.25E-2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-0.125</c:v>
                </c:pt>
                <c:pt idx="9">
                  <c:v>-0.25</c:v>
                </c:pt>
                <c:pt idx="10">
                  <c:v>-0.3125</c:v>
                </c:pt>
                <c:pt idx="11">
                  <c:v>-0.41699999999999998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17D-4054-BF3D-212F278022ED}"/>
            </c:ext>
          </c:extLst>
        </c:ser>
        <c:ser>
          <c:idx val="4"/>
          <c:order val="4"/>
          <c:tx>
            <c:strRef>
              <c:f>'Barnes TSX 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912534806712349"/>
                  <c:y val="-5.472778402699662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5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'Barnes TSX HP'!$G$23:$G$35</c:f>
              <c:numCache>
                <c:formatCode>0.000</c:formatCode>
                <c:ptCount val="13"/>
                <c:pt idx="0">
                  <c:v>-8.3000000000000004E-2</c:v>
                </c:pt>
                <c:pt idx="1">
                  <c:v>0.16700000000000001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0.1875</c:v>
                </c:pt>
                <c:pt idx="6">
                  <c:v>0.16700000000000001</c:v>
                </c:pt>
                <c:pt idx="7">
                  <c:v>8.3000000000000004E-2</c:v>
                </c:pt>
                <c:pt idx="8">
                  <c:v>0</c:v>
                </c:pt>
                <c:pt idx="9">
                  <c:v>-8.3000000000000004E-2</c:v>
                </c:pt>
                <c:pt idx="10">
                  <c:v>-0.16700000000000001</c:v>
                </c:pt>
                <c:pt idx="11">
                  <c:v>-0.25</c:v>
                </c:pt>
                <c:pt idx="12">
                  <c:v>-0.375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17D-4054-BF3D-212F278022ED}"/>
            </c:ext>
          </c:extLst>
        </c:ser>
        <c:ser>
          <c:idx val="5"/>
          <c:order val="5"/>
          <c:tx>
            <c:strRef>
              <c:f>'Barnes TSX 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121688759214175"/>
                  <c:y val="0.2227658417697787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'Barnes TSX HP'!$H$23:$H$35</c:f>
              <c:numCache>
                <c:formatCode>0.000</c:formatCode>
                <c:ptCount val="13"/>
                <c:pt idx="0">
                  <c:v>8.3000000000000004E-2</c:v>
                </c:pt>
                <c:pt idx="1">
                  <c:v>0.33300000000000002</c:v>
                </c:pt>
                <c:pt idx="2">
                  <c:v>0.41699999999999998</c:v>
                </c:pt>
                <c:pt idx="3">
                  <c:v>0.45</c:v>
                </c:pt>
                <c:pt idx="4">
                  <c:v>0.41699999999999998</c:v>
                </c:pt>
                <c:pt idx="5">
                  <c:v>0.375</c:v>
                </c:pt>
                <c:pt idx="6">
                  <c:v>0.33300000000000002</c:v>
                </c:pt>
                <c:pt idx="7">
                  <c:v>0.25</c:v>
                </c:pt>
                <c:pt idx="8">
                  <c:v>0.1875</c:v>
                </c:pt>
                <c:pt idx="9">
                  <c:v>8.3000000000000004E-2</c:v>
                </c:pt>
                <c:pt idx="10">
                  <c:v>0</c:v>
                </c:pt>
                <c:pt idx="11">
                  <c:v>-0.125</c:v>
                </c:pt>
                <c:pt idx="12">
                  <c:v>-0.1875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17D-4054-BF3D-212F278022ED}"/>
            </c:ext>
          </c:extLst>
        </c:ser>
        <c:ser>
          <c:idx val="6"/>
          <c:order val="6"/>
          <c:tx>
            <c:strRef>
              <c:f>'Barnes TSX 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4473685992115163"/>
                  <c:y val="0.4232032245969253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'Barnes TSX HP'!$I$23:$I$35</c:f>
              <c:numCache>
                <c:formatCode>0.000</c:formatCode>
                <c:ptCount val="13"/>
                <c:pt idx="0">
                  <c:v>0.25</c:v>
                </c:pt>
                <c:pt idx="1">
                  <c:v>0.5</c:v>
                </c:pt>
                <c:pt idx="2">
                  <c:v>0.5625</c:v>
                </c:pt>
                <c:pt idx="3">
                  <c:v>0.625</c:v>
                </c:pt>
                <c:pt idx="4">
                  <c:v>0.58299999999999996</c:v>
                </c:pt>
                <c:pt idx="5">
                  <c:v>0.58299999999999996</c:v>
                </c:pt>
                <c:pt idx="6">
                  <c:v>0.5</c:v>
                </c:pt>
                <c:pt idx="7">
                  <c:v>0.45</c:v>
                </c:pt>
                <c:pt idx="8">
                  <c:v>0.375</c:v>
                </c:pt>
                <c:pt idx="9">
                  <c:v>0.3</c:v>
                </c:pt>
                <c:pt idx="10">
                  <c:v>0.2</c:v>
                </c:pt>
                <c:pt idx="11">
                  <c:v>0.115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17D-4054-BF3D-212F27802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604524526931039E-2"/>
                  <c:y val="-0.217137894259567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2.9687500872166988</c:v>
                </c:pt>
                <c:pt idx="5">
                  <c:v>3.7109376090208737</c:v>
                </c:pt>
                <c:pt idx="6">
                  <c:v>4.4531251308250486</c:v>
                </c:pt>
                <c:pt idx="7">
                  <c:v>0</c:v>
                </c:pt>
                <c:pt idx="8">
                  <c:v>-7.4218752180417473</c:v>
                </c:pt>
                <c:pt idx="9">
                  <c:v>-26.718757064554548</c:v>
                </c:pt>
                <c:pt idx="10">
                  <c:v>-41.562519536550738</c:v>
                </c:pt>
                <c:pt idx="11">
                  <c:v>-63.270052765821092</c:v>
                </c:pt>
                <c:pt idx="12">
                  <c:v>-89.133866568426569</c:v>
                </c:pt>
                <c:pt idx="13">
                  <c:v>-121.12523694149604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95-4375-BC17-3FE123609FC5}"/>
            </c:ext>
          </c:extLst>
        </c:ser>
        <c:ser>
          <c:idx val="1"/>
          <c:order val="1"/>
          <c:tx>
            <c:strRef>
              <c:f>'Barnes TSX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284734857347748"/>
                  <c:y val="-0.246598591234489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0.7</c:v>
                </c:pt>
                <c:pt idx="4">
                  <c:v>0.7</c:v>
                </c:pt>
                <c:pt idx="5">
                  <c:v>-0.3</c:v>
                </c:pt>
                <c:pt idx="6">
                  <c:v>-2.1</c:v>
                </c:pt>
                <c:pt idx="7">
                  <c:v>-4.9000000000000004</c:v>
                </c:pt>
                <c:pt idx="8">
                  <c:v>-8.9</c:v>
                </c:pt>
                <c:pt idx="9">
                  <c:v>-13.8</c:v>
                </c:pt>
                <c:pt idx="10">
                  <c:v>-19.8</c:v>
                </c:pt>
                <c:pt idx="11">
                  <c:v>-27.3</c:v>
                </c:pt>
                <c:pt idx="12">
                  <c:v>-35.700000000000003</c:v>
                </c:pt>
                <c:pt idx="13">
                  <c:v>-45.6</c:v>
                </c:pt>
                <c:pt idx="14">
                  <c:v>-57.2</c:v>
                </c:pt>
                <c:pt idx="15">
                  <c:v>-70</c:v>
                </c:pt>
                <c:pt idx="16">
                  <c:v>-84.4</c:v>
                </c:pt>
                <c:pt idx="17">
                  <c:v>-101</c:v>
                </c:pt>
                <c:pt idx="18">
                  <c:v>-118.9</c:v>
                </c:pt>
                <c:pt idx="19">
                  <c:v>-138.80000000000001</c:v>
                </c:pt>
                <c:pt idx="20">
                  <c:v>-160.69999999999999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95-4375-BC17-3FE123609FC5}"/>
            </c:ext>
          </c:extLst>
        </c:ser>
        <c:ser>
          <c:idx val="2"/>
          <c:order val="2"/>
          <c:tx>
            <c:strRef>
              <c:f>'Barnes TSX HP'!$H$78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HP'!$K$80:$K$100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0.8</c:v>
                </c:pt>
                <c:pt idx="5">
                  <c:v>0</c:v>
                </c:pt>
                <c:pt idx="6">
                  <c:v>-1.5</c:v>
                </c:pt>
                <c:pt idx="7">
                  <c:v>-3.8</c:v>
                </c:pt>
                <c:pt idx="8">
                  <c:v>-7.1</c:v>
                </c:pt>
                <c:pt idx="9">
                  <c:v>-11.2</c:v>
                </c:pt>
                <c:pt idx="10">
                  <c:v>-16.100000000000001</c:v>
                </c:pt>
                <c:pt idx="11">
                  <c:v>-22.1</c:v>
                </c:pt>
                <c:pt idx="12">
                  <c:v>-28.9</c:v>
                </c:pt>
                <c:pt idx="13">
                  <c:v>-36.6</c:v>
                </c:pt>
                <c:pt idx="14">
                  <c:v>-45.6</c:v>
                </c:pt>
                <c:pt idx="15">
                  <c:v>-55.3</c:v>
                </c:pt>
                <c:pt idx="16">
                  <c:v>-66</c:v>
                </c:pt>
                <c:pt idx="17">
                  <c:v>-78.2</c:v>
                </c:pt>
                <c:pt idx="18">
                  <c:v>-91.1</c:v>
                </c:pt>
                <c:pt idx="19">
                  <c:v>-105.1</c:v>
                </c:pt>
                <c:pt idx="20">
                  <c:v>-120.2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37-476C-A359-B6403D3A3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31759925652882"/>
                  <c:y val="-0.243135753864100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-3.1875000479785172</c:v>
                </c:pt>
                <c:pt idx="7">
                  <c:v>-7.0550002926239239</c:v>
                </c:pt>
                <c:pt idx="8">
                  <c:v>-17.74375297944275</c:v>
                </c:pt>
                <c:pt idx="9">
                  <c:v>-31.875011994634324</c:v>
                </c:pt>
                <c:pt idx="10">
                  <c:v>-49.533783070946775</c:v>
                </c:pt>
                <c:pt idx="11">
                  <c:v>-70.890074218852831</c:v>
                </c:pt>
                <c:pt idx="12">
                  <c:v>-95.625143935806875</c:v>
                </c:pt>
                <c:pt idx="13">
                  <c:v>-123.8877535258635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03-41A0-B0ED-60A4788E0721}"/>
            </c:ext>
          </c:extLst>
        </c:ser>
        <c:ser>
          <c:idx val="1"/>
          <c:order val="1"/>
          <c:tx>
            <c:strRef>
              <c:f>'Barnes TSX HP'!$A$102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356355701325985"/>
                  <c:y val="-0.219435452512880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-1.7</c:v>
                </c:pt>
                <c:pt idx="2">
                  <c:v>-0.3</c:v>
                </c:pt>
                <c:pt idx="3">
                  <c:v>0.2</c:v>
                </c:pt>
                <c:pt idx="4">
                  <c:v>0</c:v>
                </c:pt>
                <c:pt idx="5">
                  <c:v>-1.1000000000000001</c:v>
                </c:pt>
                <c:pt idx="6">
                  <c:v>-3.2</c:v>
                </c:pt>
                <c:pt idx="7">
                  <c:v>-6.1</c:v>
                </c:pt>
                <c:pt idx="8">
                  <c:v>-10.199999999999999</c:v>
                </c:pt>
                <c:pt idx="9">
                  <c:v>-15.3</c:v>
                </c:pt>
                <c:pt idx="10">
                  <c:v>-21.5</c:v>
                </c:pt>
                <c:pt idx="11">
                  <c:v>-29.1</c:v>
                </c:pt>
                <c:pt idx="12">
                  <c:v>-37.799999999999997</c:v>
                </c:pt>
                <c:pt idx="13">
                  <c:v>-47.7</c:v>
                </c:pt>
                <c:pt idx="14">
                  <c:v>-59.6</c:v>
                </c:pt>
                <c:pt idx="15">
                  <c:v>-72.5</c:v>
                </c:pt>
                <c:pt idx="16">
                  <c:v>-87</c:v>
                </c:pt>
                <c:pt idx="17">
                  <c:v>-103.9</c:v>
                </c:pt>
                <c:pt idx="18">
                  <c:v>-122</c:v>
                </c:pt>
                <c:pt idx="19">
                  <c:v>-142</c:v>
                </c:pt>
                <c:pt idx="20">
                  <c:v>-164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03-41A0-B0ED-60A4788E0721}"/>
            </c:ext>
          </c:extLst>
        </c:ser>
        <c:ser>
          <c:idx val="2"/>
          <c:order val="2"/>
          <c:tx>
            <c:strRef>
              <c:f>'Barnes TSX HP'!$H$102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HP'!$H$104:$H$124</c:f>
              <c:numCache>
                <c:formatCode>General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HP'!$K$104:$K$124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-1</c:v>
                </c:pt>
                <c:pt idx="6">
                  <c:v>-2.7</c:v>
                </c:pt>
                <c:pt idx="7">
                  <c:v>-5.3</c:v>
                </c:pt>
                <c:pt idx="8">
                  <c:v>-8.8000000000000007</c:v>
                </c:pt>
                <c:pt idx="9">
                  <c:v>-13</c:v>
                </c:pt>
                <c:pt idx="10">
                  <c:v>-18.100000000000001</c:v>
                </c:pt>
                <c:pt idx="11">
                  <c:v>-24.4</c:v>
                </c:pt>
                <c:pt idx="12">
                  <c:v>-31.3</c:v>
                </c:pt>
                <c:pt idx="13">
                  <c:v>-39.200000000000003</c:v>
                </c:pt>
                <c:pt idx="14">
                  <c:v>-48.4</c:v>
                </c:pt>
                <c:pt idx="15">
                  <c:v>-58.3</c:v>
                </c:pt>
                <c:pt idx="16">
                  <c:v>-69.3</c:v>
                </c:pt>
                <c:pt idx="17">
                  <c:v>-81.7</c:v>
                </c:pt>
                <c:pt idx="18">
                  <c:v>-94.8</c:v>
                </c:pt>
                <c:pt idx="19">
                  <c:v>-109</c:v>
                </c:pt>
                <c:pt idx="20">
                  <c:v>-124.3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83-4011-AD33-37FF46A84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121205914114024"/>
                  <c:y val="-0.2402563915621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-3.0000014400008288</c:v>
                </c:pt>
                <c:pt idx="2">
                  <c:v>0</c:v>
                </c:pt>
                <c:pt idx="3">
                  <c:v>1.5000000200000003</c:v>
                </c:pt>
                <c:pt idx="4">
                  <c:v>2.0000000266666671</c:v>
                </c:pt>
                <c:pt idx="5">
                  <c:v>2.5000000333333343</c:v>
                </c:pt>
                <c:pt idx="6">
                  <c:v>0</c:v>
                </c:pt>
                <c:pt idx="7">
                  <c:v>-4.0000000533333342</c:v>
                </c:pt>
                <c:pt idx="8">
                  <c:v>-12.500001041666769</c:v>
                </c:pt>
                <c:pt idx="9">
                  <c:v>-24.000005120001312</c:v>
                </c:pt>
                <c:pt idx="10">
                  <c:v>-43.750022786472577</c:v>
                </c:pt>
                <c:pt idx="11">
                  <c:v>-60.000045000040501</c:v>
                </c:pt>
                <c:pt idx="12">
                  <c:v>-85.500102885148564</c:v>
                </c:pt>
                <c:pt idx="13">
                  <c:v>-112.50018984413441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D-434D-A014-8E554FDD2C35}"/>
            </c:ext>
          </c:extLst>
        </c:ser>
        <c:ser>
          <c:idx val="1"/>
          <c:order val="1"/>
          <c:tx>
            <c:strRef>
              <c:f>'Barnes TSX HP'!$A$126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993676582240863"/>
                  <c:y val="-0.213330174006027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-1.2</c:v>
                </c:pt>
                <c:pt idx="2">
                  <c:v>0.7</c:v>
                </c:pt>
                <c:pt idx="3">
                  <c:v>1.8</c:v>
                </c:pt>
                <c:pt idx="4">
                  <c:v>2.1</c:v>
                </c:pt>
                <c:pt idx="5">
                  <c:v>1.5</c:v>
                </c:pt>
                <c:pt idx="6">
                  <c:v>0</c:v>
                </c:pt>
                <c:pt idx="7">
                  <c:v>-2.4</c:v>
                </c:pt>
                <c:pt idx="8">
                  <c:v>-6</c:v>
                </c:pt>
                <c:pt idx="9">
                  <c:v>-10.5</c:v>
                </c:pt>
                <c:pt idx="10">
                  <c:v>-16.2</c:v>
                </c:pt>
                <c:pt idx="11">
                  <c:v>-23.3</c:v>
                </c:pt>
                <c:pt idx="12">
                  <c:v>-31.4</c:v>
                </c:pt>
                <c:pt idx="13">
                  <c:v>-40.799999999999997</c:v>
                </c:pt>
                <c:pt idx="14">
                  <c:v>-52.1</c:v>
                </c:pt>
                <c:pt idx="15">
                  <c:v>-64.5</c:v>
                </c:pt>
                <c:pt idx="16">
                  <c:v>-78.5</c:v>
                </c:pt>
                <c:pt idx="17">
                  <c:v>-94.8</c:v>
                </c:pt>
                <c:pt idx="18">
                  <c:v>-112.4</c:v>
                </c:pt>
                <c:pt idx="19">
                  <c:v>-131.9</c:v>
                </c:pt>
                <c:pt idx="20">
                  <c:v>-153.4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D-434D-A014-8E554FDD2C35}"/>
            </c:ext>
          </c:extLst>
        </c:ser>
        <c:ser>
          <c:idx val="2"/>
          <c:order val="2"/>
          <c:tx>
            <c:strRef>
              <c:f>'Barnes TSX HP'!$H$126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HP'!$H$128:$H$148</c:f>
              <c:numCache>
                <c:formatCode>General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HP'!$K$128:$K$148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0.5</c:v>
                </c:pt>
                <c:pt idx="3">
                  <c:v>1.5</c:v>
                </c:pt>
                <c:pt idx="4">
                  <c:v>1.8</c:v>
                </c:pt>
                <c:pt idx="5">
                  <c:v>1.3</c:v>
                </c:pt>
                <c:pt idx="6">
                  <c:v>0</c:v>
                </c:pt>
                <c:pt idx="7">
                  <c:v>-2.1</c:v>
                </c:pt>
                <c:pt idx="8">
                  <c:v>-5.0999999999999996</c:v>
                </c:pt>
                <c:pt idx="9">
                  <c:v>-8.9</c:v>
                </c:pt>
                <c:pt idx="10">
                  <c:v>-13.6</c:v>
                </c:pt>
                <c:pt idx="11">
                  <c:v>-19.399999999999999</c:v>
                </c:pt>
                <c:pt idx="12">
                  <c:v>-25.9</c:v>
                </c:pt>
                <c:pt idx="13">
                  <c:v>-33.299999999999997</c:v>
                </c:pt>
                <c:pt idx="14">
                  <c:v>-42</c:v>
                </c:pt>
                <c:pt idx="15">
                  <c:v>-51.5</c:v>
                </c:pt>
                <c:pt idx="16">
                  <c:v>-62</c:v>
                </c:pt>
                <c:pt idx="17">
                  <c:v>-73.900000000000006</c:v>
                </c:pt>
                <c:pt idx="18">
                  <c:v>-86.6</c:v>
                </c:pt>
                <c:pt idx="19">
                  <c:v>-100.3</c:v>
                </c:pt>
                <c:pt idx="20">
                  <c:v>-115.2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F2-4F3C-88C3-FAAA0B794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390375856451009E-2"/>
                  <c:y val="-0.286700690191503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4.1500001524765402</c:v>
                </c:pt>
                <c:pt idx="6">
                  <c:v>3.7500000781250016</c:v>
                </c:pt>
                <c:pt idx="7">
                  <c:v>0</c:v>
                </c:pt>
                <c:pt idx="8">
                  <c:v>-8.3000003049530804</c:v>
                </c:pt>
                <c:pt idx="9">
                  <c:v>-15.000001250000123</c:v>
                </c:pt>
                <c:pt idx="10">
                  <c:v>-35.000011666671341</c:v>
                </c:pt>
                <c:pt idx="11">
                  <c:v>-50.000026041682943</c:v>
                </c:pt>
                <c:pt idx="12">
                  <c:v>-75.06006961132195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D6-44BC-864B-017E09325CA7}"/>
            </c:ext>
          </c:extLst>
        </c:ser>
        <c:ser>
          <c:idx val="1"/>
          <c:order val="1"/>
          <c:tx>
            <c:strRef>
              <c:f>'Barnes TSX HP'!$A$150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78563561816286"/>
                  <c:y val="-0.2141593759113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-0.4</c:v>
                </c:pt>
                <c:pt idx="2">
                  <c:v>2.2999999999999998</c:v>
                </c:pt>
                <c:pt idx="3">
                  <c:v>4.0999999999999996</c:v>
                </c:pt>
                <c:pt idx="4">
                  <c:v>5.0999999999999996</c:v>
                </c:pt>
                <c:pt idx="5">
                  <c:v>5.3</c:v>
                </c:pt>
                <c:pt idx="6">
                  <c:v>4.5</c:v>
                </c:pt>
                <c:pt idx="7">
                  <c:v>2.8</c:v>
                </c:pt>
                <c:pt idx="8">
                  <c:v>0</c:v>
                </c:pt>
                <c:pt idx="9">
                  <c:v>-3.8</c:v>
                </c:pt>
                <c:pt idx="10">
                  <c:v>-8.6999999999999993</c:v>
                </c:pt>
                <c:pt idx="11">
                  <c:v>-15</c:v>
                </c:pt>
                <c:pt idx="12">
                  <c:v>-22.4</c:v>
                </c:pt>
                <c:pt idx="13">
                  <c:v>-31.2</c:v>
                </c:pt>
                <c:pt idx="14">
                  <c:v>-41.7</c:v>
                </c:pt>
                <c:pt idx="15">
                  <c:v>-53.4</c:v>
                </c:pt>
                <c:pt idx="16">
                  <c:v>-66.599999999999994</c:v>
                </c:pt>
                <c:pt idx="17">
                  <c:v>-82.2</c:v>
                </c:pt>
                <c:pt idx="18">
                  <c:v>-99</c:v>
                </c:pt>
                <c:pt idx="19">
                  <c:v>-117.7</c:v>
                </c:pt>
                <c:pt idx="20">
                  <c:v>-138.5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D6-44BC-864B-017E09325CA7}"/>
            </c:ext>
          </c:extLst>
        </c:ser>
        <c:ser>
          <c:idx val="2"/>
          <c:order val="2"/>
          <c:tx>
            <c:strRef>
              <c:f>'Barnes TSX HP'!$H$150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HP'!$H$152:$H$172</c:f>
              <c:numCache>
                <c:formatCode>General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HP'!$K$152:$K$172</c:f>
              <c:numCache>
                <c:formatCode>0.00</c:formatCode>
                <c:ptCount val="21"/>
                <c:pt idx="0">
                  <c:v>-3.8</c:v>
                </c:pt>
                <c:pt idx="1">
                  <c:v>-0.7</c:v>
                </c:pt>
                <c:pt idx="2">
                  <c:v>1.8</c:v>
                </c:pt>
                <c:pt idx="3">
                  <c:v>3.4</c:v>
                </c:pt>
                <c:pt idx="4">
                  <c:v>4.3</c:v>
                </c:pt>
                <c:pt idx="5">
                  <c:v>4.5</c:v>
                </c:pt>
                <c:pt idx="6">
                  <c:v>3.8</c:v>
                </c:pt>
                <c:pt idx="7">
                  <c:v>2.4</c:v>
                </c:pt>
                <c:pt idx="8">
                  <c:v>0</c:v>
                </c:pt>
                <c:pt idx="9">
                  <c:v>-3.2</c:v>
                </c:pt>
                <c:pt idx="10">
                  <c:v>-7.2</c:v>
                </c:pt>
                <c:pt idx="11">
                  <c:v>-12.4</c:v>
                </c:pt>
                <c:pt idx="12">
                  <c:v>-18.2</c:v>
                </c:pt>
                <c:pt idx="13">
                  <c:v>-25.1</c:v>
                </c:pt>
                <c:pt idx="14">
                  <c:v>-33.200000000000003</c:v>
                </c:pt>
                <c:pt idx="15">
                  <c:v>-42</c:v>
                </c:pt>
                <c:pt idx="16">
                  <c:v>-51.8</c:v>
                </c:pt>
                <c:pt idx="17">
                  <c:v>-63.1</c:v>
                </c:pt>
                <c:pt idx="18">
                  <c:v>-75.2</c:v>
                </c:pt>
                <c:pt idx="19">
                  <c:v>-88.3</c:v>
                </c:pt>
                <c:pt idx="20">
                  <c:v>-102.5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8E-4794-A87A-98353910A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8576187352617372E-2"/>
                  <c:y val="-0.301569213570525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-0.83000003049530802</c:v>
                </c:pt>
                <c:pt idx="2">
                  <c:v>3.3400004967961423</c:v>
                </c:pt>
                <c:pt idx="3">
                  <c:v>7.500002500001</c:v>
                </c:pt>
                <c:pt idx="4">
                  <c:v>10.000003333334668</c:v>
                </c:pt>
                <c:pt idx="5">
                  <c:v>12.500004166668335</c:v>
                </c:pt>
                <c:pt idx="6">
                  <c:v>11.250002109375476</c:v>
                </c:pt>
                <c:pt idx="7">
                  <c:v>13.360001987184569</c:v>
                </c:pt>
                <c:pt idx="8">
                  <c:v>8.3000003049530804</c:v>
                </c:pt>
                <c:pt idx="9">
                  <c:v>0</c:v>
                </c:pt>
                <c:pt idx="10">
                  <c:v>-11.620000426934313</c:v>
                </c:pt>
                <c:pt idx="11">
                  <c:v>-26.720003974369138</c:v>
                </c:pt>
                <c:pt idx="12">
                  <c:v>-45.000015000006002</c:v>
                </c:pt>
                <c:pt idx="13">
                  <c:v>-75.000056250050633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A0-4A45-AFC4-9DA271B2CC54}"/>
            </c:ext>
          </c:extLst>
        </c:ser>
        <c:ser>
          <c:idx val="1"/>
          <c:order val="1"/>
          <c:tx>
            <c:strRef>
              <c:f>'Barnes TSX HP'!$A$174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4.7756219570696951E-2"/>
                  <c:y val="-0.1889984932439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1.4</c:v>
                </c:pt>
                <c:pt idx="2">
                  <c:v>6</c:v>
                </c:pt>
                <c:pt idx="3">
                  <c:v>9.6999999999999993</c:v>
                </c:pt>
                <c:pt idx="4">
                  <c:v>12.6</c:v>
                </c:pt>
                <c:pt idx="5">
                  <c:v>14.7</c:v>
                </c:pt>
                <c:pt idx="6">
                  <c:v>15.8</c:v>
                </c:pt>
                <c:pt idx="7">
                  <c:v>15.9</c:v>
                </c:pt>
                <c:pt idx="8">
                  <c:v>15</c:v>
                </c:pt>
                <c:pt idx="9">
                  <c:v>13.1</c:v>
                </c:pt>
                <c:pt idx="10">
                  <c:v>10</c:v>
                </c:pt>
                <c:pt idx="11">
                  <c:v>5.6</c:v>
                </c:pt>
                <c:pt idx="12">
                  <c:v>0.1</c:v>
                </c:pt>
                <c:pt idx="13">
                  <c:v>-6.8</c:v>
                </c:pt>
                <c:pt idx="14">
                  <c:v>-15.4</c:v>
                </c:pt>
                <c:pt idx="15">
                  <c:v>-25.3</c:v>
                </c:pt>
                <c:pt idx="16">
                  <c:v>-36.700000000000003</c:v>
                </c:pt>
                <c:pt idx="17">
                  <c:v>-50.3</c:v>
                </c:pt>
                <c:pt idx="18">
                  <c:v>-65.3</c:v>
                </c:pt>
                <c:pt idx="19">
                  <c:v>-82.1</c:v>
                </c:pt>
                <c:pt idx="20">
                  <c:v>-101.1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A0-4A45-AFC4-9DA271B2CC54}"/>
            </c:ext>
          </c:extLst>
        </c:ser>
        <c:ser>
          <c:idx val="2"/>
          <c:order val="2"/>
          <c:tx>
            <c:strRef>
              <c:f>'Barnes TSX HP'!$H$174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HP'!$H$176:$H$196</c:f>
              <c:numCache>
                <c:formatCode>General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HP'!$K$176:$K$196</c:f>
              <c:numCache>
                <c:formatCode>0.00</c:formatCode>
                <c:ptCount val="21"/>
                <c:pt idx="0">
                  <c:v>-3.8</c:v>
                </c:pt>
                <c:pt idx="1">
                  <c:v>0.8</c:v>
                </c:pt>
                <c:pt idx="2">
                  <c:v>4.9000000000000004</c:v>
                </c:pt>
                <c:pt idx="3">
                  <c:v>8</c:v>
                </c:pt>
                <c:pt idx="4">
                  <c:v>10.4</c:v>
                </c:pt>
                <c:pt idx="5">
                  <c:v>12.1</c:v>
                </c:pt>
                <c:pt idx="6">
                  <c:v>12.9</c:v>
                </c:pt>
                <c:pt idx="7">
                  <c:v>13</c:v>
                </c:pt>
                <c:pt idx="8">
                  <c:v>12.1</c:v>
                </c:pt>
                <c:pt idx="9">
                  <c:v>10.5</c:v>
                </c:pt>
                <c:pt idx="10">
                  <c:v>7.9</c:v>
                </c:pt>
                <c:pt idx="11">
                  <c:v>4.4000000000000004</c:v>
                </c:pt>
                <c:pt idx="12">
                  <c:v>0</c:v>
                </c:pt>
                <c:pt idx="13">
                  <c:v>-5.3</c:v>
                </c:pt>
                <c:pt idx="14">
                  <c:v>-11.9</c:v>
                </c:pt>
                <c:pt idx="15">
                  <c:v>-19.2</c:v>
                </c:pt>
                <c:pt idx="16">
                  <c:v>-27.5</c:v>
                </c:pt>
                <c:pt idx="17">
                  <c:v>-37.299999999999997</c:v>
                </c:pt>
                <c:pt idx="18">
                  <c:v>-47.8</c:v>
                </c:pt>
                <c:pt idx="19">
                  <c:v>-59.4</c:v>
                </c:pt>
                <c:pt idx="20">
                  <c:v>-72.2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84-4711-AD8F-382ED9216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layout>
        <c:manualLayout>
          <c:xMode val="edge"/>
          <c:yMode val="edge"/>
          <c:x val="0.281342270218221"/>
          <c:y val="3.0864197530864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852761983694E-2"/>
                  <c:y val="-0.417994313210848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6.6600039387800765</c:v>
                </c:pt>
                <c:pt idx="3">
                  <c:v>12.510011601886992</c:v>
                </c:pt>
                <c:pt idx="4">
                  <c:v>18.000019440025191</c:v>
                </c:pt>
                <c:pt idx="5">
                  <c:v>20.850019336478319</c:v>
                </c:pt>
                <c:pt idx="6">
                  <c:v>22.500016875015188</c:v>
                </c:pt>
                <c:pt idx="7">
                  <c:v>26.640015755120306</c:v>
                </c:pt>
                <c:pt idx="8">
                  <c:v>25.00000833333667</c:v>
                </c:pt>
                <c:pt idx="9">
                  <c:v>22.500004218750952</c:v>
                </c:pt>
                <c:pt idx="10">
                  <c:v>11.620000426934313</c:v>
                </c:pt>
                <c:pt idx="11">
                  <c:v>0</c:v>
                </c:pt>
                <c:pt idx="12">
                  <c:v>-22.500001875000187</c:v>
                </c:pt>
                <c:pt idx="13">
                  <c:v>-37.500007031251585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C6-450A-88A7-9BE18054F380}"/>
            </c:ext>
          </c:extLst>
        </c:ser>
        <c:ser>
          <c:idx val="1"/>
          <c:order val="1"/>
          <c:tx>
            <c:strRef>
              <c:f>'Barnes TSX HP'!$A$198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0389460263028383E-2"/>
                  <c:y val="-6.1766793039758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3.7</c:v>
                </c:pt>
                <c:pt idx="2">
                  <c:v>10.7</c:v>
                </c:pt>
                <c:pt idx="3">
                  <c:v>16.600000000000001</c:v>
                </c:pt>
                <c:pt idx="4">
                  <c:v>21.8</c:v>
                </c:pt>
                <c:pt idx="5">
                  <c:v>26.2</c:v>
                </c:pt>
                <c:pt idx="6">
                  <c:v>29.6</c:v>
                </c:pt>
                <c:pt idx="7">
                  <c:v>32</c:v>
                </c:pt>
                <c:pt idx="8">
                  <c:v>33.5</c:v>
                </c:pt>
                <c:pt idx="9">
                  <c:v>33.799999999999997</c:v>
                </c:pt>
                <c:pt idx="10">
                  <c:v>33</c:v>
                </c:pt>
                <c:pt idx="11">
                  <c:v>30.9</c:v>
                </c:pt>
                <c:pt idx="12">
                  <c:v>27.7</c:v>
                </c:pt>
                <c:pt idx="13">
                  <c:v>23.1</c:v>
                </c:pt>
                <c:pt idx="14">
                  <c:v>16.8</c:v>
                </c:pt>
                <c:pt idx="15">
                  <c:v>9.3000000000000007</c:v>
                </c:pt>
                <c:pt idx="16">
                  <c:v>0.1</c:v>
                </c:pt>
                <c:pt idx="17">
                  <c:v>-11.1</c:v>
                </c:pt>
                <c:pt idx="18">
                  <c:v>-23.8</c:v>
                </c:pt>
                <c:pt idx="19">
                  <c:v>-38.4</c:v>
                </c:pt>
                <c:pt idx="20">
                  <c:v>-55.1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C6-450A-88A7-9BE18054F380}"/>
            </c:ext>
          </c:extLst>
        </c:ser>
        <c:ser>
          <c:idx val="2"/>
          <c:order val="2"/>
          <c:tx>
            <c:strRef>
              <c:f>'Barnes TSX HP'!$H$198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HP'!$H$200:$H$220</c:f>
              <c:numCache>
                <c:formatCode>General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HP'!$K$200:$K$220</c:f>
              <c:numCache>
                <c:formatCode>0.00</c:formatCode>
                <c:ptCount val="21"/>
                <c:pt idx="0">
                  <c:v>-3.8</c:v>
                </c:pt>
                <c:pt idx="1">
                  <c:v>2.5</c:v>
                </c:pt>
                <c:pt idx="2">
                  <c:v>8.4</c:v>
                </c:pt>
                <c:pt idx="3">
                  <c:v>13.2</c:v>
                </c:pt>
                <c:pt idx="4">
                  <c:v>17.3</c:v>
                </c:pt>
                <c:pt idx="5">
                  <c:v>20.8</c:v>
                </c:pt>
                <c:pt idx="6">
                  <c:v>23.4</c:v>
                </c:pt>
                <c:pt idx="7">
                  <c:v>25.1</c:v>
                </c:pt>
                <c:pt idx="8">
                  <c:v>26</c:v>
                </c:pt>
                <c:pt idx="9">
                  <c:v>26.1</c:v>
                </c:pt>
                <c:pt idx="10">
                  <c:v>25.3</c:v>
                </c:pt>
                <c:pt idx="11">
                  <c:v>23.5</c:v>
                </c:pt>
                <c:pt idx="12">
                  <c:v>20.8</c:v>
                </c:pt>
                <c:pt idx="13">
                  <c:v>17.2</c:v>
                </c:pt>
                <c:pt idx="14">
                  <c:v>12.4</c:v>
                </c:pt>
                <c:pt idx="15">
                  <c:v>6.8</c:v>
                </c:pt>
                <c:pt idx="16">
                  <c:v>0.2</c:v>
                </c:pt>
                <c:pt idx="17">
                  <c:v>-7.8</c:v>
                </c:pt>
                <c:pt idx="18">
                  <c:v>-16.600000000000001</c:v>
                </c:pt>
                <c:pt idx="19">
                  <c:v>-26.5</c:v>
                </c:pt>
                <c:pt idx="20">
                  <c:v>-37.6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06-4F42-AACB-610EB0369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573381596070777E-2"/>
                  <c:y val="-0.488862156119373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2.500000833333667</c:v>
                </c:pt>
                <c:pt idx="2">
                  <c:v>10.000013333354666</c:v>
                </c:pt>
                <c:pt idx="3">
                  <c:v>16.875028476620162</c:v>
                </c:pt>
                <c:pt idx="4">
                  <c:v>25.000052083463544</c:v>
                </c:pt>
                <c:pt idx="5">
                  <c:v>29.150052841524811</c:v>
                </c:pt>
                <c:pt idx="6">
                  <c:v>34.980063409829775</c:v>
                </c:pt>
                <c:pt idx="7">
                  <c:v>40.000053333418663</c:v>
                </c:pt>
                <c:pt idx="8">
                  <c:v>45.000048600062982</c:v>
                </c:pt>
                <c:pt idx="9">
                  <c:v>45.000033750030376</c:v>
                </c:pt>
                <c:pt idx="10">
                  <c:v>42.000020160011601</c:v>
                </c:pt>
                <c:pt idx="11">
                  <c:v>32.000006826668411</c:v>
                </c:pt>
                <c:pt idx="12">
                  <c:v>20.700001460040124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E1-4CAA-88FE-6C7B46EFE220}"/>
            </c:ext>
          </c:extLst>
        </c:ser>
        <c:ser>
          <c:idx val="1"/>
          <c:order val="1"/>
          <c:tx>
            <c:strRef>
              <c:f>'Barnes TSX HP'!$A$222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1935773897486557"/>
                  <c:y val="-0.275373772722854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6.5</c:v>
                </c:pt>
                <c:pt idx="2">
                  <c:v>16.3</c:v>
                </c:pt>
                <c:pt idx="3">
                  <c:v>25</c:v>
                </c:pt>
                <c:pt idx="4">
                  <c:v>32.9</c:v>
                </c:pt>
                <c:pt idx="5">
                  <c:v>40.1</c:v>
                </c:pt>
                <c:pt idx="6">
                  <c:v>46.3</c:v>
                </c:pt>
                <c:pt idx="7">
                  <c:v>51.4</c:v>
                </c:pt>
                <c:pt idx="8">
                  <c:v>55.7</c:v>
                </c:pt>
                <c:pt idx="9">
                  <c:v>58.8</c:v>
                </c:pt>
                <c:pt idx="10">
                  <c:v>60.8</c:v>
                </c:pt>
                <c:pt idx="11">
                  <c:v>61.5</c:v>
                </c:pt>
                <c:pt idx="12">
                  <c:v>61</c:v>
                </c:pt>
                <c:pt idx="13">
                  <c:v>59.2</c:v>
                </c:pt>
                <c:pt idx="14">
                  <c:v>55.8</c:v>
                </c:pt>
                <c:pt idx="15">
                  <c:v>51</c:v>
                </c:pt>
                <c:pt idx="16">
                  <c:v>44.6</c:v>
                </c:pt>
                <c:pt idx="17">
                  <c:v>36.1</c:v>
                </c:pt>
                <c:pt idx="18">
                  <c:v>26.2</c:v>
                </c:pt>
                <c:pt idx="19">
                  <c:v>14.3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E1-4CAA-88FE-6C7B46EFE220}"/>
            </c:ext>
          </c:extLst>
        </c:ser>
        <c:ser>
          <c:idx val="2"/>
          <c:order val="2"/>
          <c:tx>
            <c:strRef>
              <c:f>'Barnes TSX HP'!$H$222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HP'!$H$224:$H$244</c:f>
              <c:numCache>
                <c:formatCode>0.000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HP'!$K$224:$K$244</c:f>
              <c:numCache>
                <c:formatCode>0.00</c:formatCode>
                <c:ptCount val="21"/>
                <c:pt idx="0">
                  <c:v>-3.8</c:v>
                </c:pt>
                <c:pt idx="1">
                  <c:v>4.4000000000000004</c:v>
                </c:pt>
                <c:pt idx="2">
                  <c:v>12.2</c:v>
                </c:pt>
                <c:pt idx="3">
                  <c:v>18.899999999999999</c:v>
                </c:pt>
                <c:pt idx="4">
                  <c:v>24.9</c:v>
                </c:pt>
                <c:pt idx="5">
                  <c:v>30.3</c:v>
                </c:pt>
                <c:pt idx="6">
                  <c:v>34.700000000000003</c:v>
                </c:pt>
                <c:pt idx="7">
                  <c:v>38.299999999999997</c:v>
                </c:pt>
                <c:pt idx="8">
                  <c:v>41.2</c:v>
                </c:pt>
                <c:pt idx="9">
                  <c:v>43.1</c:v>
                </c:pt>
                <c:pt idx="10">
                  <c:v>44.2</c:v>
                </c:pt>
                <c:pt idx="11">
                  <c:v>44.3</c:v>
                </c:pt>
                <c:pt idx="12">
                  <c:v>43.5</c:v>
                </c:pt>
                <c:pt idx="13">
                  <c:v>41.8</c:v>
                </c:pt>
                <c:pt idx="14">
                  <c:v>38.9</c:v>
                </c:pt>
                <c:pt idx="15">
                  <c:v>35.200000000000003</c:v>
                </c:pt>
                <c:pt idx="16">
                  <c:v>30.4</c:v>
                </c:pt>
                <c:pt idx="17">
                  <c:v>24.4</c:v>
                </c:pt>
                <c:pt idx="18">
                  <c:v>17.5</c:v>
                </c:pt>
                <c:pt idx="19">
                  <c:v>9.4</c:v>
                </c:pt>
                <c:pt idx="20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73-4A90-A5DE-1E91C4164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Measured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PHP'!$B$1:$E$1</c:f>
              <c:strCache>
                <c:ptCount val="1"/>
                <c:pt idx="0">
                  <c:v>270 Winchester Federal Trophy Bonded Tip Polymer Tipped Hollow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9176412548873656E-2"/>
                  <c:y val="-0.2234218548768360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PHP'!$B$23:$B$36</c:f>
              <c:numCache>
                <c:formatCode>0.00</c:formatCode>
                <c:ptCount val="14"/>
                <c:pt idx="0">
                  <c:v>3664</c:v>
                </c:pt>
                <c:pt idx="1">
                  <c:v>3604.9</c:v>
                </c:pt>
                <c:pt idx="2">
                  <c:v>3540.6</c:v>
                </c:pt>
                <c:pt idx="3">
                  <c:v>3465.1</c:v>
                </c:pt>
                <c:pt idx="4">
                  <c:v>3404.3</c:v>
                </c:pt>
                <c:pt idx="5">
                  <c:v>3331.5</c:v>
                </c:pt>
                <c:pt idx="6">
                  <c:v>3260.2</c:v>
                </c:pt>
                <c:pt idx="7">
                  <c:v>3136.2</c:v>
                </c:pt>
                <c:pt idx="8">
                  <c:v>3007.7</c:v>
                </c:pt>
                <c:pt idx="9">
                  <c:v>2886</c:v>
                </c:pt>
                <c:pt idx="10">
                  <c:v>2772.1</c:v>
                </c:pt>
                <c:pt idx="11">
                  <c:v>2661</c:v>
                </c:pt>
                <c:pt idx="12">
                  <c:v>2549.1999999999998</c:v>
                </c:pt>
                <c:pt idx="13">
                  <c:v>2443.6999999999998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4C-4E6E-B777-EB70836EE91E}"/>
            </c:ext>
          </c:extLst>
        </c:ser>
        <c:ser>
          <c:idx val="3"/>
          <c:order val="3"/>
          <c:tx>
            <c:strRef>
              <c:f>'TrophyBonded PHP (2)'!$B$1:$E$1</c:f>
              <c:strCache>
                <c:ptCount val="1"/>
                <c:pt idx="0">
                  <c:v>270 Winchester Federal Trophy Bonded Tip Polymer Tipped Hollow Point After Update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426270643058732E-3"/>
                  <c:y val="6.8458290539769484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(2)'!$B$23:$B$36</c:f>
              <c:numCache>
                <c:formatCode>0.00</c:formatCode>
                <c:ptCount val="14"/>
                <c:pt idx="0">
                  <c:v>3664</c:v>
                </c:pt>
                <c:pt idx="1">
                  <c:v>3544.1</c:v>
                </c:pt>
                <c:pt idx="2">
                  <c:v>3417.9</c:v>
                </c:pt>
                <c:pt idx="3">
                  <c:v>3272.5</c:v>
                </c:pt>
                <c:pt idx="4">
                  <c:v>3136.7</c:v>
                </c:pt>
                <c:pt idx="5">
                  <c:v>3006.4</c:v>
                </c:pt>
                <c:pt idx="6">
                  <c:v>2883.3</c:v>
                </c:pt>
                <c:pt idx="7">
                  <c:v>2655.9</c:v>
                </c:pt>
                <c:pt idx="8">
                  <c:v>2435.6</c:v>
                </c:pt>
                <c:pt idx="9">
                  <c:v>2238.1</c:v>
                </c:pt>
                <c:pt idx="10">
                  <c:v>2048.1999999999998</c:v>
                </c:pt>
                <c:pt idx="11">
                  <c:v>1866.9</c:v>
                </c:pt>
                <c:pt idx="12">
                  <c:v>1706.1</c:v>
                </c:pt>
                <c:pt idx="13">
                  <c:v>1544.2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6-4D90-A5FB-7163DC8C2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'Core-Lokt SP'!$B$1:$D$1</c15:sqref>
                        </c15:formulaRef>
                      </c:ext>
                    </c:extLst>
                    <c:strCache>
                      <c:ptCount val="1"/>
                      <c:pt idx="0">
                        <c:v>270 Winchester Remington Core-Lokt Soft Point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power"/>
                  <c:dispRSqr val="0"/>
                  <c:dispEq val="0"/>
                </c:trendline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-6.3990423367484478E-2"/>
                        <c:y val="3.0022171141650848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'Core-Lokt SP'!$A$22:$A$35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'Core-Lokt SP'!$B$22:$B$35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3317.8</c:v>
                      </c:pt>
                      <c:pt idx="1">
                        <c:v>3243.5</c:v>
                      </c:pt>
                      <c:pt idx="2">
                        <c:v>3120.4</c:v>
                      </c:pt>
                      <c:pt idx="3">
                        <c:v>3021.9</c:v>
                      </c:pt>
                      <c:pt idx="4">
                        <c:v>2926.9</c:v>
                      </c:pt>
                      <c:pt idx="5">
                        <c:v>2835</c:v>
                      </c:pt>
                      <c:pt idx="6">
                        <c:v>2727.3</c:v>
                      </c:pt>
                      <c:pt idx="7">
                        <c:v>2546.3000000000002</c:v>
                      </c:pt>
                      <c:pt idx="8">
                        <c:v>2380.1</c:v>
                      </c:pt>
                      <c:pt idx="9">
                        <c:v>2214.1999999999998</c:v>
                      </c:pt>
                      <c:pt idx="10">
                        <c:v>2062.6</c:v>
                      </c:pt>
                      <c:pt idx="11">
                        <c:v>1912.6</c:v>
                      </c:pt>
                      <c:pt idx="12">
                        <c:v>1779.5</c:v>
                      </c:pt>
                      <c:pt idx="13">
                        <c:v>1644.9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84C-4E6E-B777-EB70836EE91E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'Barnes TSX HP'!$B$1:$D$1</c15:sqref>
                        </c15:formulaRef>
                      </c:ext>
                    </c:extLst>
                    <c:strCache>
                      <c:ptCount val="1"/>
                      <c:pt idx="0">
                        <c:v>270 Winchester Federal Barnes TSX Hollow Point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3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3337041302901961"/>
                        <c:y val="2.9098645278035899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'Barnes TSX HP'!$A$22:$A$35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'Barnes TSX HP'!$B$22:$B$35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3664</c:v>
                      </c:pt>
                      <c:pt idx="1">
                        <c:v>3595.1</c:v>
                      </c:pt>
                      <c:pt idx="2">
                        <c:v>3520.5</c:v>
                      </c:pt>
                      <c:pt idx="3">
                        <c:v>3433</c:v>
                      </c:pt>
                      <c:pt idx="4">
                        <c:v>3361.7</c:v>
                      </c:pt>
                      <c:pt idx="5">
                        <c:v>3278.8</c:v>
                      </c:pt>
                      <c:pt idx="6">
                        <c:v>3198.5</c:v>
                      </c:pt>
                      <c:pt idx="7">
                        <c:v>3055.2</c:v>
                      </c:pt>
                      <c:pt idx="8">
                        <c:v>2910.2</c:v>
                      </c:pt>
                      <c:pt idx="9">
                        <c:v>2775.8</c:v>
                      </c:pt>
                      <c:pt idx="10">
                        <c:v>2635</c:v>
                      </c:pt>
                      <c:pt idx="11">
                        <c:v>2504.6999999999998</c:v>
                      </c:pt>
                      <c:pt idx="12">
                        <c:v>2385.6</c:v>
                      </c:pt>
                      <c:pt idx="13">
                        <c:v>2271.4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84C-4E6E-B777-EB70836EE91E}"/>
                  </c:ext>
                </c:extLst>
              </c15:ser>
            </c15:filteredScatterSeries>
          </c:ext>
        </c:extLst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Bullet Trajectory Comparison: 100m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268720800371844E-2"/>
          <c:y val="9.1000997756636351E-2"/>
          <c:w val="0.78922438650728821"/>
          <c:h val="0.7208532408025268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'TrophyBonded PHP'!$B$1:$D$1</c:f>
              <c:strCache>
                <c:ptCount val="1"/>
                <c:pt idx="0">
                  <c:v>270 Winchester Federal Trophy Bonded Tip Polymer Tipped Hollow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'TrophyBonded PHP'!$A$23:$A$36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PHP'!$K$23:$K$36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-0.60000000032</c:v>
                </c:pt>
                <c:pt idx="7">
                  <c:v>-6.6400002439624641</c:v>
                </c:pt>
                <c:pt idx="8">
                  <c:v>-16.700002483980715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-66.720061876730625</c:v>
                </c:pt>
                <c:pt idx="12">
                  <c:v>-90.000120000191998</c:v>
                </c:pt>
                <c:pt idx="13">
                  <c:v>-116.60021136609924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F2-439F-BC07-2778BF632C71}"/>
            </c:ext>
          </c:extLst>
        </c:ser>
        <c:ser>
          <c:idx val="1"/>
          <c:order val="1"/>
          <c:tx>
            <c:strRef>
              <c:f>'Core-Lokt SP'!$B$1:$D$1</c:f>
              <c:strCache>
                <c:ptCount val="1"/>
                <c:pt idx="0">
                  <c:v>270 Winchester Remington Core-Lokt Soft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'Core-Lokt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-6.6400002439624641</c:v>
                </c:pt>
                <c:pt idx="8">
                  <c:v>-13.300001254739877</c:v>
                </c:pt>
                <c:pt idx="9">
                  <c:v>-22.440004185090856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-85.500102885148564</c:v>
                </c:pt>
                <c:pt idx="13">
                  <c:v>-116.60021136609924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F2-439F-BC07-2778BF632C71}"/>
            </c:ext>
          </c:extLst>
        </c:ser>
        <c:ser>
          <c:idx val="2"/>
          <c:order val="2"/>
          <c:tx>
            <c:strRef>
              <c:f>'Barnes TSX HP'!$B$1:$D$1</c:f>
              <c:strCache>
                <c:ptCount val="1"/>
                <c:pt idx="0">
                  <c:v>270 Winchester Federal Barnes TSX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-3.1875000479785172</c:v>
                </c:pt>
                <c:pt idx="7">
                  <c:v>-7.0550002926239239</c:v>
                </c:pt>
                <c:pt idx="8">
                  <c:v>-17.74375297944275</c:v>
                </c:pt>
                <c:pt idx="9">
                  <c:v>-31.875011994634324</c:v>
                </c:pt>
                <c:pt idx="10">
                  <c:v>-49.533783070946775</c:v>
                </c:pt>
                <c:pt idx="11">
                  <c:v>-70.890074218852831</c:v>
                </c:pt>
                <c:pt idx="12">
                  <c:v>-95.625143935806875</c:v>
                </c:pt>
                <c:pt idx="13">
                  <c:v>-123.8877535258635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F2-439F-BC07-2778BF632C71}"/>
            </c:ext>
          </c:extLst>
        </c:ser>
        <c:ser>
          <c:idx val="3"/>
          <c:order val="3"/>
          <c:tx>
            <c:strRef>
              <c:f>'TrophyBonded PHP (2)'!$B$1:$D$1</c:f>
              <c:strCache>
                <c:ptCount val="1"/>
                <c:pt idx="0">
                  <c:v>270 Winchester Federal Trophy Bonded Tip Polymer Tipped Hollow Point After Update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'TrophyBonded PHP (2)'!$A$23:$A$36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'TrophyBonded PHP (2)'!$K$23:$K$36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-1.8600000095331204</c:v>
                </c:pt>
                <c:pt idx="7">
                  <c:v>-8.0000004266666931</c:v>
                </c:pt>
                <c:pt idx="8">
                  <c:v>-16.700002483980715</c:v>
                </c:pt>
                <c:pt idx="9">
                  <c:v>-30.600010612084422</c:v>
                </c:pt>
                <c:pt idx="10">
                  <c:v>-52.500039375035435</c:v>
                </c:pt>
                <c:pt idx="11">
                  <c:v>-76.000091453465387</c:v>
                </c:pt>
                <c:pt idx="12">
                  <c:v>-104.94019022948933</c:v>
                </c:pt>
                <c:pt idx="13">
                  <c:v>-148.00043224044819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89-41F4-9A40-CA36D5680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119759"/>
        <c:axId val="863128879"/>
      </c:scatterChart>
      <c:valAx>
        <c:axId val="86311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28879"/>
        <c:crosses val="autoZero"/>
        <c:crossBetween val="midCat"/>
      </c:valAx>
      <c:valAx>
        <c:axId val="86312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1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801614777469901"/>
          <c:y val="0.85931453483568787"/>
          <c:w val="0.31916896544548662"/>
          <c:h val="0.10895960038893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Predicted Energy vs Range: Hornady Standard Calculator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'TrophyBonded PHP'!$B$1:$E$1</c:f>
              <c:strCache>
                <c:ptCount val="1"/>
                <c:pt idx="0">
                  <c:v>270 Winchester Federal Trophy Bonded Tip Polymer Tipped Hollow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1102201784619967"/>
                  <c:y val="5.057954712182716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'TrophyBonded PHP'!$H$81:$H$101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PHP'!$J$81:$J$101</c:f>
              <c:numCache>
                <c:formatCode>0.00</c:formatCode>
                <c:ptCount val="21"/>
                <c:pt idx="0">
                  <c:v>3664</c:v>
                </c:pt>
                <c:pt idx="1">
                  <c:v>3592</c:v>
                </c:pt>
                <c:pt idx="2">
                  <c:v>3521</c:v>
                </c:pt>
                <c:pt idx="3">
                  <c:v>3452</c:v>
                </c:pt>
                <c:pt idx="4">
                  <c:v>3384</c:v>
                </c:pt>
                <c:pt idx="5">
                  <c:v>3317</c:v>
                </c:pt>
                <c:pt idx="6">
                  <c:v>3251</c:v>
                </c:pt>
                <c:pt idx="7">
                  <c:v>3186</c:v>
                </c:pt>
                <c:pt idx="8">
                  <c:v>3122</c:v>
                </c:pt>
                <c:pt idx="9">
                  <c:v>3059</c:v>
                </c:pt>
                <c:pt idx="10">
                  <c:v>2997</c:v>
                </c:pt>
                <c:pt idx="11">
                  <c:v>2936</c:v>
                </c:pt>
                <c:pt idx="12">
                  <c:v>2876</c:v>
                </c:pt>
                <c:pt idx="13">
                  <c:v>2816</c:v>
                </c:pt>
                <c:pt idx="14">
                  <c:v>2758</c:v>
                </c:pt>
                <c:pt idx="15">
                  <c:v>2701</c:v>
                </c:pt>
                <c:pt idx="16">
                  <c:v>2644</c:v>
                </c:pt>
                <c:pt idx="17">
                  <c:v>2589</c:v>
                </c:pt>
                <c:pt idx="18">
                  <c:v>2534</c:v>
                </c:pt>
                <c:pt idx="19">
                  <c:v>2480</c:v>
                </c:pt>
                <c:pt idx="20">
                  <c:v>2430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71-43C9-8077-9D7CA910D2B4}"/>
            </c:ext>
          </c:extLst>
        </c:ser>
        <c:ser>
          <c:idx val="1"/>
          <c:order val="1"/>
          <c:tx>
            <c:strRef>
              <c:f>'Core-Lokt SP'!$B$1:$D$1</c:f>
              <c:strCache>
                <c:ptCount val="1"/>
                <c:pt idx="0">
                  <c:v>270 Winchester Remington Core-Lokt Soft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2.9176829551095951E-2"/>
                  <c:y val="-3.6437293164441401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'Core-Lokt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'Core-Lokt SP'!$M$80:$M$100</c:f>
              <c:numCache>
                <c:formatCode>0.00</c:formatCode>
                <c:ptCount val="21"/>
                <c:pt idx="0">
                  <c:v>3318</c:v>
                </c:pt>
                <c:pt idx="1">
                  <c:v>3211</c:v>
                </c:pt>
                <c:pt idx="2">
                  <c:v>3107</c:v>
                </c:pt>
                <c:pt idx="3">
                  <c:v>3005</c:v>
                </c:pt>
                <c:pt idx="4">
                  <c:v>2905</c:v>
                </c:pt>
                <c:pt idx="5">
                  <c:v>2807</c:v>
                </c:pt>
                <c:pt idx="6">
                  <c:v>2711</c:v>
                </c:pt>
                <c:pt idx="7">
                  <c:v>2619</c:v>
                </c:pt>
                <c:pt idx="8">
                  <c:v>2529</c:v>
                </c:pt>
                <c:pt idx="9">
                  <c:v>2441</c:v>
                </c:pt>
                <c:pt idx="10">
                  <c:v>2356</c:v>
                </c:pt>
                <c:pt idx="11">
                  <c:v>2273</c:v>
                </c:pt>
                <c:pt idx="12">
                  <c:v>2192</c:v>
                </c:pt>
                <c:pt idx="13">
                  <c:v>2114</c:v>
                </c:pt>
                <c:pt idx="14">
                  <c:v>2037</c:v>
                </c:pt>
                <c:pt idx="15">
                  <c:v>1963</c:v>
                </c:pt>
                <c:pt idx="16">
                  <c:v>1891</c:v>
                </c:pt>
                <c:pt idx="17">
                  <c:v>1821</c:v>
                </c:pt>
                <c:pt idx="18">
                  <c:v>1753</c:v>
                </c:pt>
                <c:pt idx="19">
                  <c:v>1687</c:v>
                </c:pt>
                <c:pt idx="20">
                  <c:v>1625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71-43C9-8077-9D7CA910D2B4}"/>
            </c:ext>
          </c:extLst>
        </c:ser>
        <c:ser>
          <c:idx val="2"/>
          <c:order val="2"/>
          <c:tx>
            <c:strRef>
              <c:f>'Barnes TSX HP'!$B$1:$D$1</c:f>
              <c:strCache>
                <c:ptCount val="1"/>
                <c:pt idx="0">
                  <c:v>270 Winchester Federal Barnes TSX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5233112385088174E-2"/>
                  <c:y val="-0.115828890953848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HP'!$J$80:$J$100</c:f>
              <c:numCache>
                <c:formatCode>0.00</c:formatCode>
                <c:ptCount val="21"/>
                <c:pt idx="0">
                  <c:v>3664</c:v>
                </c:pt>
                <c:pt idx="1">
                  <c:v>3580</c:v>
                </c:pt>
                <c:pt idx="2">
                  <c:v>3497</c:v>
                </c:pt>
                <c:pt idx="3">
                  <c:v>3416</c:v>
                </c:pt>
                <c:pt idx="4">
                  <c:v>3337</c:v>
                </c:pt>
                <c:pt idx="5">
                  <c:v>3259</c:v>
                </c:pt>
                <c:pt idx="6">
                  <c:v>3182</c:v>
                </c:pt>
                <c:pt idx="7">
                  <c:v>3107</c:v>
                </c:pt>
                <c:pt idx="8">
                  <c:v>3033</c:v>
                </c:pt>
                <c:pt idx="9">
                  <c:v>2961</c:v>
                </c:pt>
                <c:pt idx="10">
                  <c:v>2889</c:v>
                </c:pt>
                <c:pt idx="11">
                  <c:v>2820</c:v>
                </c:pt>
                <c:pt idx="12">
                  <c:v>2751</c:v>
                </c:pt>
                <c:pt idx="13">
                  <c:v>2684</c:v>
                </c:pt>
                <c:pt idx="14">
                  <c:v>2618</c:v>
                </c:pt>
                <c:pt idx="15">
                  <c:v>2553</c:v>
                </c:pt>
                <c:pt idx="16">
                  <c:v>2490</c:v>
                </c:pt>
                <c:pt idx="17">
                  <c:v>2427</c:v>
                </c:pt>
                <c:pt idx="18">
                  <c:v>2366</c:v>
                </c:pt>
                <c:pt idx="19">
                  <c:v>2306</c:v>
                </c:pt>
                <c:pt idx="20">
                  <c:v>2250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71-43C9-8077-9D7CA910D2B4}"/>
            </c:ext>
          </c:extLst>
        </c:ser>
        <c:ser>
          <c:idx val="3"/>
          <c:order val="3"/>
          <c:tx>
            <c:strRef>
              <c:f>'TrophyBonded PHP (2)'!$B$1:$D$1</c:f>
              <c:strCache>
                <c:ptCount val="1"/>
                <c:pt idx="0">
                  <c:v>270 Winchester Federal Trophy Bonded Tip Polymer Tipped Hollow Point After Update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'TrophyBonded PHP (2)'!$A$81:$A$101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'TrophyBonded PHP (2)'!$C$81:$C$101</c:f>
              <c:numCache>
                <c:formatCode>0.00</c:formatCode>
                <c:ptCount val="21"/>
                <c:pt idx="0">
                  <c:v>3664</c:v>
                </c:pt>
                <c:pt idx="1">
                  <c:v>3518</c:v>
                </c:pt>
                <c:pt idx="2">
                  <c:v>3377</c:v>
                </c:pt>
                <c:pt idx="3">
                  <c:v>3242</c:v>
                </c:pt>
                <c:pt idx="4">
                  <c:v>3110</c:v>
                </c:pt>
                <c:pt idx="5">
                  <c:v>2984</c:v>
                </c:pt>
                <c:pt idx="6">
                  <c:v>2861</c:v>
                </c:pt>
                <c:pt idx="7">
                  <c:v>2742</c:v>
                </c:pt>
                <c:pt idx="8">
                  <c:v>2628</c:v>
                </c:pt>
                <c:pt idx="9">
                  <c:v>2517</c:v>
                </c:pt>
                <c:pt idx="10">
                  <c:v>2410</c:v>
                </c:pt>
                <c:pt idx="11">
                  <c:v>2306</c:v>
                </c:pt>
                <c:pt idx="12">
                  <c:v>2206</c:v>
                </c:pt>
                <c:pt idx="13">
                  <c:v>2110</c:v>
                </c:pt>
                <c:pt idx="14">
                  <c:v>2016</c:v>
                </c:pt>
                <c:pt idx="15">
                  <c:v>1926</c:v>
                </c:pt>
                <c:pt idx="16">
                  <c:v>1839</c:v>
                </c:pt>
                <c:pt idx="17">
                  <c:v>1755</c:v>
                </c:pt>
                <c:pt idx="18">
                  <c:v>1674</c:v>
                </c:pt>
                <c:pt idx="19">
                  <c:v>1596</c:v>
                </c:pt>
                <c:pt idx="20">
                  <c:v>1524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8C-422E-AF45-97A12F8D7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790575</xdr:colOff>
      <xdr:row>10</xdr:row>
      <xdr:rowOff>0</xdr:rowOff>
    </xdr:from>
    <xdr:to>
      <xdr:col>31</xdr:col>
      <xdr:colOff>438150</xdr:colOff>
      <xdr:row>33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098F43-EFBF-DE4D-691E-C2D9C0098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171449</xdr:colOff>
      <xdr:row>42</xdr:row>
      <xdr:rowOff>104775</xdr:rowOff>
    </xdr:from>
    <xdr:to>
      <xdr:col>21</xdr:col>
      <xdr:colOff>276225</xdr:colOff>
      <xdr:row>69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575255-F922-B6C3-A896-0FA4931C0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490537</xdr:colOff>
      <xdr:row>43</xdr:row>
      <xdr:rowOff>28575</xdr:rowOff>
    </xdr:from>
    <xdr:to>
      <xdr:col>9</xdr:col>
      <xdr:colOff>533400</xdr:colOff>
      <xdr:row>71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0F64AC-E628-369F-4E98-7D698B264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33336</xdr:colOff>
      <xdr:row>78</xdr:row>
      <xdr:rowOff>85724</xdr:rowOff>
    </xdr:from>
    <xdr:to>
      <xdr:col>29</xdr:col>
      <xdr:colOff>409574</xdr:colOff>
      <xdr:row>98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0B3A43-BB22-24CE-3613-DEF4F54EC8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128587</xdr:colOff>
      <xdr:row>103</xdr:row>
      <xdr:rowOff>190500</xdr:rowOff>
    </xdr:from>
    <xdr:to>
      <xdr:col>31</xdr:col>
      <xdr:colOff>581025</xdr:colOff>
      <xdr:row>125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2E9B954-9AF9-B1ED-3AC4-87EFE8B79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609600</xdr:colOff>
      <xdr:row>130</xdr:row>
      <xdr:rowOff>180975</xdr:rowOff>
    </xdr:from>
    <xdr:to>
      <xdr:col>32</xdr:col>
      <xdr:colOff>100013</xdr:colOff>
      <xdr:row>152</xdr:row>
      <xdr:rowOff>104775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1DD0A29-7169-4506-85CC-D46382D77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295275</xdr:colOff>
      <xdr:row>153</xdr:row>
      <xdr:rowOff>66675</xdr:rowOff>
    </xdr:from>
    <xdr:to>
      <xdr:col>33</xdr:col>
      <xdr:colOff>690563</xdr:colOff>
      <xdr:row>174</xdr:row>
      <xdr:rowOff>180975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EE5B267-40D3-4087-B5F0-D2B36164F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447675</xdr:colOff>
      <xdr:row>176</xdr:row>
      <xdr:rowOff>57150</xdr:rowOff>
    </xdr:from>
    <xdr:to>
      <xdr:col>31</xdr:col>
      <xdr:colOff>47625</xdr:colOff>
      <xdr:row>197</xdr:row>
      <xdr:rowOff>171450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050A10-EB7C-4447-AAFF-BADA92BBD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733426</xdr:colOff>
      <xdr:row>199</xdr:row>
      <xdr:rowOff>57150</xdr:rowOff>
    </xdr:from>
    <xdr:to>
      <xdr:col>31</xdr:col>
      <xdr:colOff>800101</xdr:colOff>
      <xdr:row>220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990DC25-0AF9-447D-8DED-552E09B21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638175</xdr:colOff>
      <xdr:row>223</xdr:row>
      <xdr:rowOff>152400</xdr:rowOff>
    </xdr:from>
    <xdr:to>
      <xdr:col>29</xdr:col>
      <xdr:colOff>519113</xdr:colOff>
      <xdr:row>246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D5C4E7E-9BCB-4F1F-81D2-2C1CA23A7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371475</xdr:colOff>
      <xdr:row>27</xdr:row>
      <xdr:rowOff>0</xdr:rowOff>
    </xdr:from>
    <xdr:to>
      <xdr:col>35</xdr:col>
      <xdr:colOff>476250</xdr:colOff>
      <xdr:row>60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8E45F8-A4FB-4EF9-97A6-F6488C3AFB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171449</xdr:colOff>
      <xdr:row>42</xdr:row>
      <xdr:rowOff>104775</xdr:rowOff>
    </xdr:from>
    <xdr:to>
      <xdr:col>21</xdr:col>
      <xdr:colOff>276225</xdr:colOff>
      <xdr:row>69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060A290-125A-42BD-9427-500011883B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490537</xdr:colOff>
      <xdr:row>43</xdr:row>
      <xdr:rowOff>28575</xdr:rowOff>
    </xdr:from>
    <xdr:to>
      <xdr:col>9</xdr:col>
      <xdr:colOff>533400</xdr:colOff>
      <xdr:row>71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8F78A4A-8282-43DF-804A-2B322B3CC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119061</xdr:colOff>
      <xdr:row>73</xdr:row>
      <xdr:rowOff>190499</xdr:rowOff>
    </xdr:from>
    <xdr:to>
      <xdr:col>37</xdr:col>
      <xdr:colOff>571499</xdr:colOff>
      <xdr:row>94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03A7DAF-CDAF-41FA-A2B0-D59AAAFE24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261937</xdr:colOff>
      <xdr:row>97</xdr:row>
      <xdr:rowOff>28575</xdr:rowOff>
    </xdr:from>
    <xdr:to>
      <xdr:col>38</xdr:col>
      <xdr:colOff>504825</xdr:colOff>
      <xdr:row>118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184734-6632-4DB7-8404-88BECB24C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476250</xdr:colOff>
      <xdr:row>128</xdr:row>
      <xdr:rowOff>19050</xdr:rowOff>
    </xdr:from>
    <xdr:to>
      <xdr:col>39</xdr:col>
      <xdr:colOff>109538</xdr:colOff>
      <xdr:row>149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B652220-CB17-45A4-BCC8-86745139A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952500</xdr:colOff>
      <xdr:row>151</xdr:row>
      <xdr:rowOff>171450</xdr:rowOff>
    </xdr:from>
    <xdr:to>
      <xdr:col>40</xdr:col>
      <xdr:colOff>319088</xdr:colOff>
      <xdr:row>173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FF76739-D097-44E2-87FF-0AD5DB649C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381000</xdr:colOff>
      <xdr:row>175</xdr:row>
      <xdr:rowOff>76200</xdr:rowOff>
    </xdr:from>
    <xdr:to>
      <xdr:col>40</xdr:col>
      <xdr:colOff>342900</xdr:colOff>
      <xdr:row>197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113DB38-D025-4839-93A1-A13BE5E7F0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314326</xdr:colOff>
      <xdr:row>198</xdr:row>
      <xdr:rowOff>76200</xdr:rowOff>
    </xdr:from>
    <xdr:to>
      <xdr:col>41</xdr:col>
      <xdr:colOff>133351</xdr:colOff>
      <xdr:row>220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31B6EC3-F1CB-41D9-9DF8-DA1FAFC78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561975</xdr:colOff>
      <xdr:row>223</xdr:row>
      <xdr:rowOff>104775</xdr:rowOff>
    </xdr:from>
    <xdr:to>
      <xdr:col>36</xdr:col>
      <xdr:colOff>452438</xdr:colOff>
      <xdr:row>246</xdr:row>
      <xdr:rowOff>28575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7BE737B-672C-469E-B6B2-6E11BAF90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790575</xdr:colOff>
      <xdr:row>19</xdr:row>
      <xdr:rowOff>0</xdr:rowOff>
    </xdr:from>
    <xdr:to>
      <xdr:col>31</xdr:col>
      <xdr:colOff>438150</xdr:colOff>
      <xdr:row>42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B5F181-8F8E-4DBC-A2D2-4172758DD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44</xdr:row>
      <xdr:rowOff>142875</xdr:rowOff>
    </xdr:from>
    <xdr:to>
      <xdr:col>20</xdr:col>
      <xdr:colOff>342900</xdr:colOff>
      <xdr:row>71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A728D3-F186-4623-A143-AB591C429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7402BB-2BF0-4DC7-9DB4-00DE58D3C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509586</xdr:colOff>
      <xdr:row>77</xdr:row>
      <xdr:rowOff>66674</xdr:rowOff>
    </xdr:from>
    <xdr:to>
      <xdr:col>39</xdr:col>
      <xdr:colOff>590549</xdr:colOff>
      <xdr:row>97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9F5638-237F-4D4A-AB45-60E587099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4762</xdr:colOff>
      <xdr:row>101</xdr:row>
      <xdr:rowOff>180975</xdr:rowOff>
    </xdr:from>
    <xdr:to>
      <xdr:col>40</xdr:col>
      <xdr:colOff>485775</xdr:colOff>
      <xdr:row>123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E6E68B6-BB28-4637-BC4D-BD0C82CC3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38100</xdr:colOff>
      <xdr:row>127</xdr:row>
      <xdr:rowOff>47625</xdr:rowOff>
    </xdr:from>
    <xdr:to>
      <xdr:col>40</xdr:col>
      <xdr:colOff>519113</xdr:colOff>
      <xdr:row>148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B52A56-276D-4245-92D7-4DEA164FC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152400</xdr:colOff>
      <xdr:row>153</xdr:row>
      <xdr:rowOff>9525</xdr:rowOff>
    </xdr:from>
    <xdr:to>
      <xdr:col>45</xdr:col>
      <xdr:colOff>33338</xdr:colOff>
      <xdr:row>174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16CB536-295B-4BB9-9E20-E602207055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9525</xdr:colOff>
      <xdr:row>176</xdr:row>
      <xdr:rowOff>123825</xdr:rowOff>
    </xdr:from>
    <xdr:to>
      <xdr:col>40</xdr:col>
      <xdr:colOff>490538</xdr:colOff>
      <xdr:row>198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2FDFD91-1C02-4DFC-A478-6FBBC67DF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114300</xdr:colOff>
      <xdr:row>202</xdr:row>
      <xdr:rowOff>0</xdr:rowOff>
    </xdr:from>
    <xdr:to>
      <xdr:col>40</xdr:col>
      <xdr:colOff>595313</xdr:colOff>
      <xdr:row>223</xdr:row>
      <xdr:rowOff>114300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AFF1A85-A193-450B-9C0E-0F441DFEC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9525</xdr:colOff>
      <xdr:row>226</xdr:row>
      <xdr:rowOff>161925</xdr:rowOff>
    </xdr:from>
    <xdr:to>
      <xdr:col>40</xdr:col>
      <xdr:colOff>490538</xdr:colOff>
      <xdr:row>248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C8D7813-F898-45BB-BD78-29AF880B5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790575</xdr:colOff>
      <xdr:row>19</xdr:row>
      <xdr:rowOff>0</xdr:rowOff>
    </xdr:from>
    <xdr:to>
      <xdr:col>31</xdr:col>
      <xdr:colOff>438150</xdr:colOff>
      <xdr:row>42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5E6A51-E5A8-4074-93A2-2CC9820E6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44</xdr:row>
      <xdr:rowOff>142875</xdr:rowOff>
    </xdr:from>
    <xdr:to>
      <xdr:col>20</xdr:col>
      <xdr:colOff>342900</xdr:colOff>
      <xdr:row>71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C30077-6748-48EB-A0FC-67AC796CD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F28282-A2CC-49F9-A510-87D3832DD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604836</xdr:colOff>
      <xdr:row>78</xdr:row>
      <xdr:rowOff>66674</xdr:rowOff>
    </xdr:from>
    <xdr:to>
      <xdr:col>28</xdr:col>
      <xdr:colOff>266699</xdr:colOff>
      <xdr:row>100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D5561CF-2863-4ECB-8894-DF3B85058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109537</xdr:colOff>
      <xdr:row>103</xdr:row>
      <xdr:rowOff>104775</xdr:rowOff>
    </xdr:from>
    <xdr:to>
      <xdr:col>29</xdr:col>
      <xdr:colOff>495300</xdr:colOff>
      <xdr:row>125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F8BFBF2-04C5-477D-8475-AAE80F6F5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190500</xdr:colOff>
      <xdr:row>127</xdr:row>
      <xdr:rowOff>66675</xdr:rowOff>
    </xdr:from>
    <xdr:to>
      <xdr:col>29</xdr:col>
      <xdr:colOff>576263</xdr:colOff>
      <xdr:row>148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7A31281-B167-4F00-BCCE-3F730AAD5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257175</xdr:colOff>
      <xdr:row>150</xdr:row>
      <xdr:rowOff>104775</xdr:rowOff>
    </xdr:from>
    <xdr:to>
      <xdr:col>34</xdr:col>
      <xdr:colOff>42863</xdr:colOff>
      <xdr:row>172</xdr:row>
      <xdr:rowOff>28575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88D8E4-B7A3-431B-949D-69DDFFDCA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228600</xdr:colOff>
      <xdr:row>175</xdr:row>
      <xdr:rowOff>28575</xdr:rowOff>
    </xdr:from>
    <xdr:to>
      <xdr:col>30</xdr:col>
      <xdr:colOff>4763</xdr:colOff>
      <xdr:row>196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523DF8A-8483-417B-8F21-373671162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161925</xdr:colOff>
      <xdr:row>198</xdr:row>
      <xdr:rowOff>104775</xdr:rowOff>
    </xdr:from>
    <xdr:to>
      <xdr:col>29</xdr:col>
      <xdr:colOff>547688</xdr:colOff>
      <xdr:row>220</xdr:row>
      <xdr:rowOff>28575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75FE0C8-D986-4075-993E-0E905291B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495300</xdr:colOff>
      <xdr:row>222</xdr:row>
      <xdr:rowOff>161925</xdr:rowOff>
    </xdr:from>
    <xdr:to>
      <xdr:col>28</xdr:col>
      <xdr:colOff>557213</xdr:colOff>
      <xdr:row>245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493508C-34D5-41FE-852D-0A4E589CE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471486</xdr:colOff>
      <xdr:row>2</xdr:row>
      <xdr:rowOff>85725</xdr:rowOff>
    </xdr:from>
    <xdr:to>
      <xdr:col>21</xdr:col>
      <xdr:colOff>590550</xdr:colOff>
      <xdr:row>34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67EB98-0B67-7798-FAC3-3AB7BB812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204786</xdr:colOff>
      <xdr:row>1</xdr:row>
      <xdr:rowOff>152400</xdr:rowOff>
    </xdr:from>
    <xdr:to>
      <xdr:col>67</xdr:col>
      <xdr:colOff>57150</xdr:colOff>
      <xdr:row>43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B2767E-EA95-7AD4-0B4E-F70C378A9F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104775</xdr:colOff>
      <xdr:row>1</xdr:row>
      <xdr:rowOff>171450</xdr:rowOff>
    </xdr:from>
    <xdr:to>
      <xdr:col>42</xdr:col>
      <xdr:colOff>57150</xdr:colOff>
      <xdr:row>34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0232950-E98E-4D77-98B4-1ABA88C856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A446-FEBC-405E-9524-8BE549C2CC28}">
  <sheetPr codeName="Sheet1"/>
  <dimension ref="A1:AL298"/>
  <sheetViews>
    <sheetView tabSelected="1" topLeftCell="A4" workbookViewId="0">
      <selection activeCell="H224" sqref="H224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2.140625" customWidth="1"/>
    <col min="7" max="7" width="18.710937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6" max="26" width="14.5703125" customWidth="1"/>
    <col min="28" max="28" width="11.28515625" customWidth="1"/>
    <col min="32" max="32" width="14.42578125" customWidth="1"/>
    <col min="33" max="33" width="18.28515625" customWidth="1"/>
    <col min="34" max="34" width="15.85546875" customWidth="1"/>
    <col min="35" max="35" width="18.42578125" customWidth="1"/>
    <col min="36" max="36" width="16.5703125" customWidth="1"/>
    <col min="37" max="37" width="13" customWidth="1"/>
  </cols>
  <sheetData>
    <row r="1" spans="1:8" x14ac:dyDescent="0.25">
      <c r="A1" t="s">
        <v>18</v>
      </c>
      <c r="B1" t="s">
        <v>40</v>
      </c>
      <c r="C1" t="s">
        <v>41</v>
      </c>
      <c r="D1" t="s">
        <v>28</v>
      </c>
      <c r="F1" s="46" t="s">
        <v>65</v>
      </c>
      <c r="G1" s="46"/>
      <c r="H1" s="46"/>
    </row>
    <row r="2" spans="1:8" x14ac:dyDescent="0.25">
      <c r="A2" t="s">
        <v>20</v>
      </c>
      <c r="B2" s="2">
        <v>130</v>
      </c>
      <c r="C2" s="2">
        <f>CONVERT($B$2,"grain","g")</f>
        <v>8.4238583000000009</v>
      </c>
      <c r="F2" t="s">
        <v>66</v>
      </c>
      <c r="G2">
        <v>130</v>
      </c>
      <c r="H2" s="2">
        <f>CONVERT($G$2,"grain","g")</f>
        <v>8.4238583000000009</v>
      </c>
    </row>
    <row r="3" spans="1:8" x14ac:dyDescent="0.25">
      <c r="A3" t="s">
        <v>0</v>
      </c>
      <c r="B3" s="2">
        <v>0.27700000000000002</v>
      </c>
      <c r="C3" s="2">
        <f>CONVERT($B$3,"in","mm")</f>
        <v>7.0358000000000001</v>
      </c>
      <c r="F3" t="s">
        <v>67</v>
      </c>
      <c r="G3">
        <v>0.27700000000000002</v>
      </c>
      <c r="H3" s="2">
        <f>CONVERT($G$3,"in","mm")</f>
        <v>7.0358000000000001</v>
      </c>
    </row>
    <row r="4" spans="1:8" x14ac:dyDescent="0.25">
      <c r="A4" t="s">
        <v>11</v>
      </c>
      <c r="B4" s="2">
        <v>0.44</v>
      </c>
      <c r="C4" s="2"/>
      <c r="F4" t="s">
        <v>11</v>
      </c>
      <c r="G4" t="s">
        <v>70</v>
      </c>
      <c r="H4" s="2"/>
    </row>
    <row r="5" spans="1:8" x14ac:dyDescent="0.25">
      <c r="A5" t="s">
        <v>21</v>
      </c>
      <c r="B5" s="2">
        <v>0.44</v>
      </c>
      <c r="C5" s="2"/>
      <c r="F5" t="s">
        <v>21</v>
      </c>
      <c r="G5">
        <v>0.44</v>
      </c>
      <c r="H5" s="2"/>
    </row>
    <row r="6" spans="1:8" x14ac:dyDescent="0.25">
      <c r="A6" t="s">
        <v>22</v>
      </c>
      <c r="B6" s="2">
        <v>3664</v>
      </c>
      <c r="C6" s="2">
        <f>CONVERT($B$6,"J","flb")</f>
        <v>2702.4277149519003</v>
      </c>
      <c r="F6" t="s">
        <v>68</v>
      </c>
      <c r="G6" s="2" cm="1">
        <f t="array" ref="G6">MuzzleVelocityToMuzzleEnergyFtLb(G7,G2)</f>
        <v>2702.4175752459519</v>
      </c>
      <c r="H6" s="2" cm="1">
        <f t="array" ref="H6">MuzzleVelocityToMuzzleEnergyJoules(H7,H2)</f>
        <v>3663.9862524046848</v>
      </c>
    </row>
    <row r="7" spans="1:8" x14ac:dyDescent="0.25">
      <c r="A7" t="s">
        <v>19</v>
      </c>
      <c r="B7" s="2" cm="1">
        <f t="array" ref="B7">MuzzleEnergyToMuzzleVelocityMPS(B6,C2)</f>
        <v>932.68974976163508</v>
      </c>
      <c r="C7" s="2" cm="1">
        <f t="array" ref="C7">MuzzleEnergyToMuzzleVelocityFPS(C6,B2)</f>
        <v>3060.0057406877795</v>
      </c>
      <c r="F7" t="s">
        <v>69</v>
      </c>
      <c r="G7">
        <v>3060</v>
      </c>
      <c r="H7" s="2">
        <f>CONVERT($G$7,"ft","m")</f>
        <v>932.68799999999999</v>
      </c>
    </row>
    <row r="8" spans="1:8" x14ac:dyDescent="0.25">
      <c r="A8" t="s">
        <v>1</v>
      </c>
      <c r="B8" s="2">
        <v>0</v>
      </c>
      <c r="C8" s="2"/>
    </row>
    <row r="9" spans="1:8" x14ac:dyDescent="0.25">
      <c r="A9" t="s">
        <v>2</v>
      </c>
      <c r="B9" s="2">
        <v>10</v>
      </c>
      <c r="C9" s="2">
        <f>CONVERT($B$9,"m/sec","km/hr")</f>
        <v>36</v>
      </c>
    </row>
    <row r="10" spans="1:8" x14ac:dyDescent="0.25">
      <c r="A10" t="s">
        <v>3</v>
      </c>
      <c r="B10" s="2">
        <v>90</v>
      </c>
      <c r="C10" s="2"/>
    </row>
    <row r="11" spans="1:8" x14ac:dyDescent="0.25">
      <c r="A11" s="25" t="s">
        <v>43</v>
      </c>
      <c r="B11" s="2">
        <v>0.5</v>
      </c>
      <c r="C11" s="26"/>
    </row>
    <row r="12" spans="1:8" x14ac:dyDescent="0.25">
      <c r="A12" s="25" t="s">
        <v>44</v>
      </c>
      <c r="B12" s="2" cm="1">
        <f t="array" ref="B12">MOAToMRAD($B$11)</f>
        <v>0.14544410433286079</v>
      </c>
      <c r="C12" s="26">
        <f>$B$12/2</f>
        <v>7.2722052166430393E-2</v>
      </c>
    </row>
    <row r="13" spans="1:8" x14ac:dyDescent="0.25">
      <c r="A13" s="25" t="s">
        <v>26</v>
      </c>
      <c r="B13" s="2">
        <f>CONVERT(1.5,"in","cm")</f>
        <v>3.81</v>
      </c>
      <c r="D13" s="2">
        <f>CONVERT($B$13,"cm","in")</f>
        <v>1.5</v>
      </c>
    </row>
    <row r="14" spans="1:8" x14ac:dyDescent="0.25">
      <c r="A14" s="25" t="s">
        <v>5</v>
      </c>
      <c r="B14" t="s">
        <v>45</v>
      </c>
    </row>
    <row r="15" spans="1:8" x14ac:dyDescent="0.25">
      <c r="A15" t="s">
        <v>46</v>
      </c>
      <c r="B15" s="24" t="s">
        <v>47</v>
      </c>
      <c r="C15" s="24" t="s">
        <v>48</v>
      </c>
      <c r="D15" s="24" t="s">
        <v>49</v>
      </c>
      <c r="E15" s="24" t="s">
        <v>50</v>
      </c>
    </row>
    <row r="16" spans="1:8" x14ac:dyDescent="0.25">
      <c r="A16" s="25" t="s">
        <v>51</v>
      </c>
      <c r="B16" s="2">
        <v>0.625</v>
      </c>
      <c r="C16">
        <f>$B16/2</f>
        <v>0.3125</v>
      </c>
      <c r="D16" s="2">
        <f>$B$16 * $B$18</f>
        <v>0.36361026083215198</v>
      </c>
      <c r="E16" s="27">
        <f>$D16/2</f>
        <v>0.18180513041607599</v>
      </c>
    </row>
    <row r="17" spans="1:17" x14ac:dyDescent="0.25">
      <c r="A17" s="25" t="s">
        <v>52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7">
        <f>$D17/2</f>
        <v>7.2722052166430393E-2</v>
      </c>
    </row>
    <row r="18" spans="1:17" x14ac:dyDescent="0.25">
      <c r="A18" s="11" t="s">
        <v>53</v>
      </c>
      <c r="B18" s="12">
        <f>$B$12/$B$17</f>
        <v>0.58177641733144314</v>
      </c>
      <c r="C18" s="2"/>
      <c r="J18" s="2">
        <v>4.75</v>
      </c>
      <c r="K18" s="2">
        <v>4</v>
      </c>
      <c r="L18" s="2">
        <v>4.25</v>
      </c>
      <c r="M18" s="2">
        <v>4</v>
      </c>
      <c r="N18" s="2">
        <v>4</v>
      </c>
      <c r="O18" s="2">
        <v>4</v>
      </c>
      <c r="P18" s="2">
        <v>4</v>
      </c>
    </row>
    <row r="19" spans="1:17" x14ac:dyDescent="0.25">
      <c r="A19" s="28" t="s">
        <v>54</v>
      </c>
      <c r="B19" s="29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7" x14ac:dyDescent="0.25">
      <c r="A20" s="28"/>
      <c r="B20" s="29"/>
      <c r="C20" s="2"/>
      <c r="D20" s="2"/>
      <c r="E20" s="2"/>
      <c r="J20" s="2"/>
      <c r="K20" s="2"/>
      <c r="L20" s="2"/>
      <c r="M20" s="2"/>
      <c r="N20" s="2"/>
      <c r="O20" s="2"/>
      <c r="P20" s="2"/>
    </row>
    <row r="21" spans="1:17" x14ac:dyDescent="0.25">
      <c r="C21" s="45" t="s">
        <v>24</v>
      </c>
      <c r="D21" s="45"/>
      <c r="E21" s="45"/>
      <c r="F21" s="45"/>
      <c r="G21" s="45"/>
      <c r="H21" s="13"/>
      <c r="I21" s="13"/>
      <c r="J21" s="45" t="s">
        <v>25</v>
      </c>
      <c r="K21" s="45"/>
      <c r="L21" s="45"/>
      <c r="M21" s="45"/>
      <c r="N21" s="45"/>
      <c r="O21" s="13"/>
      <c r="P21" s="13"/>
      <c r="Q21" s="35" t="s">
        <v>30</v>
      </c>
    </row>
    <row r="22" spans="1:17" x14ac:dyDescent="0.25">
      <c r="A22" t="s">
        <v>4</v>
      </c>
      <c r="B22" t="s">
        <v>23</v>
      </c>
      <c r="C22" t="s">
        <v>6</v>
      </c>
      <c r="D22" t="s">
        <v>7</v>
      </c>
      <c r="E22" t="s">
        <v>8</v>
      </c>
      <c r="F22" t="s">
        <v>9</v>
      </c>
      <c r="G22" t="s">
        <v>10</v>
      </c>
      <c r="H22" t="s">
        <v>32</v>
      </c>
      <c r="I22" t="s">
        <v>33</v>
      </c>
      <c r="J22" s="16" t="s">
        <v>6</v>
      </c>
      <c r="K22" s="16" t="s">
        <v>7</v>
      </c>
      <c r="L22" s="16" t="s">
        <v>8</v>
      </c>
      <c r="M22" s="16" t="s">
        <v>9</v>
      </c>
      <c r="N22" s="16" t="s">
        <v>10</v>
      </c>
      <c r="O22" s="16" t="s">
        <v>32</v>
      </c>
      <c r="P22" s="16" t="s">
        <v>33</v>
      </c>
      <c r="Q22" s="35" t="s">
        <v>31</v>
      </c>
    </row>
    <row r="23" spans="1:17" x14ac:dyDescent="0.25">
      <c r="A23" s="1">
        <v>0</v>
      </c>
      <c r="B23" s="1">
        <v>3664</v>
      </c>
      <c r="C23" s="3"/>
      <c r="D23" s="4"/>
      <c r="E23" s="4"/>
      <c r="F23" s="4"/>
      <c r="G23" s="5"/>
      <c r="H23" s="5"/>
      <c r="I23" s="4"/>
      <c r="J23" s="8">
        <f t="shared" ref="J23:P23" si="1">$B$13*(-1)</f>
        <v>-3.81</v>
      </c>
      <c r="K23" s="8">
        <f t="shared" si="1"/>
        <v>-3.81</v>
      </c>
      <c r="L23" s="8">
        <f t="shared" si="1"/>
        <v>-3.81</v>
      </c>
      <c r="M23" s="8">
        <f t="shared" si="1"/>
        <v>-3.81</v>
      </c>
      <c r="N23" s="8">
        <f t="shared" si="1"/>
        <v>-3.81</v>
      </c>
      <c r="O23" s="8">
        <f t="shared" si="1"/>
        <v>-3.81</v>
      </c>
      <c r="P23" s="8">
        <f t="shared" si="1"/>
        <v>-3.81</v>
      </c>
      <c r="Q23" s="36">
        <v>0</v>
      </c>
    </row>
    <row r="24" spans="1:17" x14ac:dyDescent="0.25">
      <c r="A24" s="1">
        <v>25</v>
      </c>
      <c r="B24" s="1">
        <v>3604.9</v>
      </c>
      <c r="C24" s="6">
        <v>-0.25</v>
      </c>
      <c r="D24" s="6">
        <v>-0.33300000000000002</v>
      </c>
      <c r="E24" s="6">
        <v>-0.27500000000000002</v>
      </c>
      <c r="F24" s="6">
        <v>-0.25</v>
      </c>
      <c r="G24" s="6">
        <v>-0.125</v>
      </c>
      <c r="H24" s="6">
        <v>8.3000000000000004E-2</v>
      </c>
      <c r="I24" s="14">
        <v>0.25</v>
      </c>
      <c r="J24" s="9" cm="1">
        <f t="array" ref="J24">TrajectoryDropInCM(C24,$A24,J$18)</f>
        <v>-2.9687513954679097</v>
      </c>
      <c r="K24" s="9" cm="1">
        <f t="array" ref="K24">TrajectoryDropInCM(D24,$A24,K$18)</f>
        <v>-3.3300019693900382</v>
      </c>
      <c r="L24" s="9" cm="1">
        <f t="array" ref="L24">TrajectoryDropInCM(E24,$A24,L$18)</f>
        <v>-2.9218763304049835</v>
      </c>
      <c r="M24" s="9" cm="1">
        <f t="array" ref="M24">TrajectoryDropInCM(F24,$A24,M$18)</f>
        <v>-2.500000833333667</v>
      </c>
      <c r="N24" s="9" cm="1">
        <f t="array" ref="N24">TrajectoryDropInCM(G24,$A24,N$18)</f>
        <v>-1.2500001041666768</v>
      </c>
      <c r="O24" s="9" cm="1">
        <f t="array" ref="O24">TrajectoryDropInCM(H24,$A24,O$18)</f>
        <v>0.83000003049530802</v>
      </c>
      <c r="P24" s="9" cm="1">
        <f t="array" ref="P24">TrajectoryDropInCM(I24,$A24,P$18)</f>
        <v>2.500000833333667</v>
      </c>
      <c r="Q24" s="36" cm="1">
        <f t="array" ref="Q24">TrajectoryErrorCM($E$19,1,$A24)</f>
        <v>0.37561137059069255</v>
      </c>
    </row>
    <row r="25" spans="1:17" x14ac:dyDescent="0.25">
      <c r="A25" s="1">
        <v>50</v>
      </c>
      <c r="B25" s="1">
        <v>3540.6</v>
      </c>
      <c r="C25" s="7">
        <v>0</v>
      </c>
      <c r="D25" s="6">
        <v>-8.3000000000000004E-2</v>
      </c>
      <c r="E25" s="6">
        <v>-2.5000000000000001E-2</v>
      </c>
      <c r="F25" s="6">
        <v>0</v>
      </c>
      <c r="G25" s="6">
        <v>0.16700000000000001</v>
      </c>
      <c r="H25" s="6">
        <v>0.33300000000000002</v>
      </c>
      <c r="I25" s="14">
        <v>0.5</v>
      </c>
      <c r="J25" s="9" cm="1">
        <f t="array" ref="J25">TrajectoryDropInCM(C25,$A25,J$18)</f>
        <v>0</v>
      </c>
      <c r="K25" s="9" cm="1">
        <f t="array" ref="K25">TrajectoryDropInCM(D25,$A25,K$18)</f>
        <v>-1.660000060990616</v>
      </c>
      <c r="L25" s="9" cm="1">
        <f t="array" ref="L25">TrajectoryDropInCM(E25,$A25,L$18)</f>
        <v>-0.53125000199910488</v>
      </c>
      <c r="M25" s="9" cm="1">
        <f t="array" ref="M25">TrajectoryDropInCM(F25,$A25,M$18)</f>
        <v>0</v>
      </c>
      <c r="N25" s="9" cm="1">
        <f t="array" ref="N25">TrajectoryDropInCM(G25,$A25,N$18)</f>
        <v>3.3400004967961423</v>
      </c>
      <c r="O25" s="9" cm="1">
        <f t="array" ref="O25">TrajectoryDropInCM(H25,$A25,O$18)</f>
        <v>6.6600039387800765</v>
      </c>
      <c r="P25" s="9" cm="1">
        <f t="array" ref="P25">TrajectoryDropInCM(I25,$A25,P$18)</f>
        <v>10.000013333354666</v>
      </c>
      <c r="Q25" s="36" cm="1">
        <f t="array" ref="Q25">TrajectoryErrorCM($E$19,1,$A25)</f>
        <v>0.7512227411813851</v>
      </c>
    </row>
    <row r="26" spans="1:17" x14ac:dyDescent="0.25">
      <c r="A26" s="1">
        <v>75</v>
      </c>
      <c r="B26" s="1">
        <v>3465.1</v>
      </c>
      <c r="C26" s="6">
        <v>8.3000000000000004E-2</v>
      </c>
      <c r="D26" s="6">
        <v>0</v>
      </c>
      <c r="E26" s="6">
        <v>2.5000000000000001E-2</v>
      </c>
      <c r="F26" s="6">
        <v>8.3000000000000004E-2</v>
      </c>
      <c r="G26" s="6">
        <v>0.245</v>
      </c>
      <c r="H26" s="6">
        <v>0.38</v>
      </c>
      <c r="I26" s="14">
        <v>0.57499999999999996</v>
      </c>
      <c r="J26" s="9" cm="1">
        <f t="array" ref="J26">TrajectoryDropInCM(C26,$A26,J$18)</f>
        <v>2.9568751531987223</v>
      </c>
      <c r="K26" s="9" cm="1">
        <f t="array" ref="K26">TrajectoryDropInCM(D26,$A26,K$18)</f>
        <v>0</v>
      </c>
      <c r="L26" s="9" cm="1">
        <f t="array" ref="L26">TrajectoryDropInCM(E26,$A26,L$18)</f>
        <v>0.79687500299865721</v>
      </c>
      <c r="M26" s="9" cm="1">
        <f t="array" ref="M26">TrajectoryDropInCM(F26,$A26,M$18)</f>
        <v>2.4900000914859239</v>
      </c>
      <c r="N26" s="9" cm="1">
        <f t="array" ref="N26">TrajectoryDropInCM(G26,$A26,N$18)</f>
        <v>7.350002352980904</v>
      </c>
      <c r="O26" s="9" cm="1">
        <f t="array" ref="O26">TrajectoryDropInCM(H26,$A26,O$18)</f>
        <v>11.400008779528115</v>
      </c>
      <c r="P26" s="9" cm="1">
        <f t="array" ref="P26">TrajectoryDropInCM(I26,$A26,P$18)</f>
        <v>17.250030417564364</v>
      </c>
      <c r="Q26" s="36" cm="1">
        <f t="array" ref="Q26">TrajectoryErrorCM($E$19,1,$A26)</f>
        <v>1.1268341117720777</v>
      </c>
    </row>
    <row r="27" spans="1:17" x14ac:dyDescent="0.25">
      <c r="A27" s="1">
        <v>100</v>
      </c>
      <c r="B27" s="1">
        <v>3404.3</v>
      </c>
      <c r="C27" s="6">
        <v>8.3000000000000004E-2</v>
      </c>
      <c r="D27" s="7">
        <v>0</v>
      </c>
      <c r="E27" s="6">
        <v>2.5000000000000001E-2</v>
      </c>
      <c r="F27" s="6">
        <v>8.3000000000000004E-2</v>
      </c>
      <c r="G27" s="6">
        <v>0.25</v>
      </c>
      <c r="H27" s="6">
        <v>0.4</v>
      </c>
      <c r="I27" s="14">
        <v>0.58299999999999996</v>
      </c>
      <c r="J27" s="9" cm="1">
        <f t="array" ref="J27">TrajectoryDropInCM(C27,$A27,J$18)</f>
        <v>3.9425002042649626</v>
      </c>
      <c r="K27" s="9" cm="1">
        <f t="array" ref="K27">TrajectoryDropInCM(D27,$A27,K$18)</f>
        <v>0</v>
      </c>
      <c r="L27" s="9" cm="1">
        <f t="array" ref="L27">TrajectoryDropInCM(E27,$A27,L$18)</f>
        <v>1.0625000039982098</v>
      </c>
      <c r="M27" s="9" cm="1">
        <f t="array" ref="M27">TrajectoryDropInCM(F27,$A27,M$18)</f>
        <v>3.3200001219812321</v>
      </c>
      <c r="N27" s="9" cm="1">
        <f t="array" ref="N27">TrajectoryDropInCM(G27,$A27,N$18)</f>
        <v>10.000003333334668</v>
      </c>
      <c r="O27" s="9" cm="1">
        <f t="array" ref="O27">TrajectoryDropInCM(H27,$A27,O$18)</f>
        <v>16.000013653347317</v>
      </c>
      <c r="P27" s="9" cm="1">
        <f t="array" ref="P27">TrajectoryDropInCM(I27,$A27,P$18)</f>
        <v>23.320042273219848</v>
      </c>
      <c r="Q27" s="36" cm="1">
        <f t="array" ref="Q27">TrajectoryErrorCM($E$19,1,$A27)</f>
        <v>1.5024454823627702</v>
      </c>
    </row>
    <row r="28" spans="1:17" x14ac:dyDescent="0.25">
      <c r="A28" s="1">
        <v>125</v>
      </c>
      <c r="B28" s="1">
        <v>3331.5</v>
      </c>
      <c r="C28" s="6">
        <v>8.3000000000000004E-2</v>
      </c>
      <c r="D28" s="6">
        <v>0</v>
      </c>
      <c r="E28" s="6">
        <v>2.5000000000000001E-2</v>
      </c>
      <c r="F28" s="6">
        <v>8.3000000000000004E-2</v>
      </c>
      <c r="G28" s="6">
        <v>0.25</v>
      </c>
      <c r="H28" s="6">
        <v>0.39500000000000002</v>
      </c>
      <c r="I28" s="14">
        <v>0.58299999999999996</v>
      </c>
      <c r="J28" s="9" cm="1">
        <f t="array" ref="J28">TrajectoryDropInCM(C28,$A28,J$18)</f>
        <v>4.9281252553312029</v>
      </c>
      <c r="K28" s="9" cm="1">
        <f t="array" ref="K28">TrajectoryDropInCM(D28,$A28,K$18)</f>
        <v>0</v>
      </c>
      <c r="L28" s="9" cm="1">
        <f t="array" ref="L28">TrajectoryDropInCM(E28,$A28,L$18)</f>
        <v>1.328125004997762</v>
      </c>
      <c r="M28" s="9" cm="1">
        <f t="array" ref="M28">TrajectoryDropInCM(F28,$A28,M$18)</f>
        <v>4.1500001524765402</v>
      </c>
      <c r="N28" s="9" cm="1">
        <f t="array" ref="N28">TrajectoryDropInCM(G28,$A28,N$18)</f>
        <v>12.500004166668335</v>
      </c>
      <c r="O28" s="9" cm="1">
        <f t="array" ref="O28">TrajectoryDropInCM(H28,$A28,O$18)</f>
        <v>19.750016434649744</v>
      </c>
      <c r="P28" s="9" cm="1">
        <f t="array" ref="P28">TrajectoryDropInCM(I28,$A28,P$18)</f>
        <v>29.150052841524811</v>
      </c>
      <c r="Q28" s="36" cm="1">
        <f t="array" ref="Q28">TrajectoryErrorCM($E$19,1,$A28)</f>
        <v>1.8780568529534629</v>
      </c>
    </row>
    <row r="29" spans="1:17" x14ac:dyDescent="0.25">
      <c r="A29" s="1">
        <v>150</v>
      </c>
      <c r="B29" s="1">
        <v>3260.2</v>
      </c>
      <c r="C29" s="6">
        <v>8.3000000000000004E-2</v>
      </c>
      <c r="D29" s="6">
        <v>-0.01</v>
      </c>
      <c r="E29" s="7">
        <v>0</v>
      </c>
      <c r="F29" s="6">
        <v>8.3000000000000004E-2</v>
      </c>
      <c r="G29" s="6">
        <v>0.25</v>
      </c>
      <c r="H29" s="6">
        <v>0.375</v>
      </c>
      <c r="I29" s="14">
        <v>0.58299999999999996</v>
      </c>
      <c r="J29" s="9" cm="1">
        <f t="array" ref="J29">TrajectoryDropInCM(C29,$A29,J$18)</f>
        <v>5.9137503063974446</v>
      </c>
      <c r="K29" s="9" cm="1">
        <f t="array" ref="K29">TrajectoryDropInCM(D29,$A29,K$18)</f>
        <v>-0.60000000032</v>
      </c>
      <c r="L29" s="9" cm="1">
        <f t="array" ref="L29">TrajectoryDropInCM(E29,$A29,L$18)</f>
        <v>0</v>
      </c>
      <c r="M29" s="9" cm="1">
        <f t="array" ref="M29">TrajectoryDropInCM(F29,$A29,M$18)</f>
        <v>4.9800001829718479</v>
      </c>
      <c r="N29" s="9" cm="1">
        <f t="array" ref="N29">TrajectoryDropInCM(G29,$A29,N$18)</f>
        <v>15.000005000002</v>
      </c>
      <c r="O29" s="9" cm="1">
        <f t="array" ref="O29">TrajectoryDropInCM(H29,$A29,O$18)</f>
        <v>22.500016875015188</v>
      </c>
      <c r="P29" s="9" cm="1">
        <f t="array" ref="P29">TrajectoryDropInCM(I29,$A29,P$18)</f>
        <v>34.980063409829775</v>
      </c>
      <c r="Q29" s="36" cm="1">
        <f t="array" ref="Q29">TrajectoryErrorCM($E$19,1,$A29)</f>
        <v>2.2536682235441554</v>
      </c>
    </row>
    <row r="30" spans="1:17" x14ac:dyDescent="0.25">
      <c r="A30" s="1">
        <v>200</v>
      </c>
      <c r="B30" s="1">
        <v>3136.2</v>
      </c>
      <c r="C30" s="6">
        <v>0</v>
      </c>
      <c r="D30" s="6">
        <v>-8.3000000000000004E-2</v>
      </c>
      <c r="E30" s="6">
        <v>-0.05</v>
      </c>
      <c r="F30" s="7">
        <v>0</v>
      </c>
      <c r="G30" s="6">
        <v>0.185</v>
      </c>
      <c r="H30" s="6">
        <v>0.33300000000000002</v>
      </c>
      <c r="I30" s="14">
        <v>0.5</v>
      </c>
      <c r="J30" s="9" cm="1">
        <f t="array" ref="J30">TrajectoryDropInCM(C30,$A30,J$18)</f>
        <v>0</v>
      </c>
      <c r="K30" s="9" cm="1">
        <f t="array" ref="K30">TrajectoryDropInCM(D30,$A30,K$18)</f>
        <v>-6.6400002439624641</v>
      </c>
      <c r="L30" s="9" cm="1">
        <f t="array" ref="L30">TrajectoryDropInCM(E30,$A30,L$18)</f>
        <v>-4.2500000639713553</v>
      </c>
      <c r="M30" s="9" cm="1">
        <f t="array" ref="M30">TrajectoryDropInCM(F30,$A30,M$18)</f>
        <v>0</v>
      </c>
      <c r="N30" s="9" cm="1">
        <f t="array" ref="N30">TrajectoryDropInCM(G30,$A30,N$18)</f>
        <v>14.800002701493925</v>
      </c>
      <c r="O30" s="9" cm="1">
        <f t="array" ref="O30">TrajectoryDropInCM(H30,$A30,O$18)</f>
        <v>26.640015755120306</v>
      </c>
      <c r="P30" s="9" cm="1">
        <f t="array" ref="P30">TrajectoryDropInCM(I30,$A30,P$18)</f>
        <v>40.000053333418663</v>
      </c>
      <c r="Q30" s="36" cm="1">
        <f t="array" ref="Q30">TrajectoryErrorCM($E$19,1,$A30)</f>
        <v>3.0048909647255404</v>
      </c>
    </row>
    <row r="31" spans="1:17" x14ac:dyDescent="0.25">
      <c r="A31" s="1">
        <v>250</v>
      </c>
      <c r="B31" s="1">
        <v>3007.7</v>
      </c>
      <c r="C31" s="6">
        <v>-8.3000000000000004E-2</v>
      </c>
      <c r="D31" s="6">
        <v>-0.16700000000000001</v>
      </c>
      <c r="E31" s="6">
        <v>-0.125</v>
      </c>
      <c r="F31" s="6">
        <v>-8.3000000000000004E-2</v>
      </c>
      <c r="G31" s="6">
        <v>8.3000000000000004E-2</v>
      </c>
      <c r="H31" s="6">
        <v>0.25</v>
      </c>
      <c r="I31" s="14">
        <v>0.41699999999999998</v>
      </c>
      <c r="J31" s="9" cm="1">
        <f t="array" ref="J31">TrajectoryDropInCM(C31,$A31,J$18)</f>
        <v>-9.8562505106624059</v>
      </c>
      <c r="K31" s="9" cm="1">
        <f t="array" ref="K31">TrajectoryDropInCM(D31,$A31,K$18)</f>
        <v>-16.700002483980715</v>
      </c>
      <c r="L31" s="9" cm="1">
        <f t="array" ref="L31">TrajectoryDropInCM(E31,$A31,L$18)</f>
        <v>-13.281251249440654</v>
      </c>
      <c r="M31" s="9" cm="1">
        <f t="array" ref="M31">TrajectoryDropInCM(F31,$A31,M$18)</f>
        <v>-8.3000003049530804</v>
      </c>
      <c r="N31" s="9" cm="1">
        <f t="array" ref="N31">TrajectoryDropInCM(G31,$A31,N$18)</f>
        <v>8.3000003049530804</v>
      </c>
      <c r="O31" s="9" cm="1">
        <f t="array" ref="O31">TrajectoryDropInCM(H31,$A31,O$18)</f>
        <v>25.00000833333667</v>
      </c>
      <c r="P31" s="9" cm="1">
        <f t="array" ref="P31">TrajectoryDropInCM(I31,$A31,P$18)</f>
        <v>41.700038672956637</v>
      </c>
      <c r="Q31" s="36" cm="1">
        <f t="array" ref="Q31">TrajectoryErrorCM($E$19,1,$A31)</f>
        <v>3.7561137059069258</v>
      </c>
    </row>
    <row r="32" spans="1:17" x14ac:dyDescent="0.25">
      <c r="A32" s="1">
        <v>300</v>
      </c>
      <c r="B32" s="1">
        <v>2886</v>
      </c>
      <c r="C32" s="6">
        <v>-0.16700000000000001</v>
      </c>
      <c r="D32" s="6">
        <v>-0.25</v>
      </c>
      <c r="E32" s="6">
        <v>-0.16700000000000001</v>
      </c>
      <c r="F32" s="6">
        <v>-0.125</v>
      </c>
      <c r="G32" s="7">
        <v>0</v>
      </c>
      <c r="H32" s="17">
        <v>0.16700000000000001</v>
      </c>
      <c r="I32" s="18">
        <v>0.33300000000000002</v>
      </c>
      <c r="J32" s="9" cm="1">
        <f t="array" ref="J32">TrajectoryDropInCM(C32,$A32,J$18)</f>
        <v>-23.797504991491682</v>
      </c>
      <c r="K32" s="9" cm="1">
        <f t="array" ref="K32">TrajectoryDropInCM(D32,$A32,K$18)</f>
        <v>-30.000010000004</v>
      </c>
      <c r="L32" s="9" cm="1">
        <f t="array" ref="L32">TrajectoryDropInCM(E32,$A32,L$18)</f>
        <v>-21.292503575331303</v>
      </c>
      <c r="M32" s="9" cm="1">
        <f t="array" ref="M32">TrajectoryDropInCM(F32,$A32,M$18)</f>
        <v>-15.000001250000123</v>
      </c>
      <c r="N32" s="9" cm="1">
        <f t="array" ref="N32">TrajectoryDropInCM(G32,$A32,N$18)</f>
        <v>0</v>
      </c>
      <c r="O32" s="9" cm="1">
        <f t="array" ref="O32">TrajectoryDropInCM(H32,$A32,O$18)</f>
        <v>20.040002980776855</v>
      </c>
      <c r="P32" s="9" cm="1">
        <f t="array" ref="P32">TrajectoryDropInCM(I32,$A32,P$18)</f>
        <v>39.960023632680461</v>
      </c>
      <c r="Q32" s="36" cm="1">
        <f t="array" ref="Q32">TrajectoryErrorCM($E$19,1,$A32)</f>
        <v>4.5073364470883108</v>
      </c>
    </row>
    <row r="33" spans="1:17" x14ac:dyDescent="0.25">
      <c r="A33" s="1">
        <v>350</v>
      </c>
      <c r="B33" s="1">
        <v>2772.1</v>
      </c>
      <c r="C33" s="6">
        <v>-0.25</v>
      </c>
      <c r="D33" s="6">
        <v>-0.33300000000000002</v>
      </c>
      <c r="E33" s="6">
        <v>-0.25</v>
      </c>
      <c r="F33" s="6">
        <v>-0.25</v>
      </c>
      <c r="G33" s="6">
        <v>-8.3000000000000004E-2</v>
      </c>
      <c r="H33" s="6">
        <v>8.3000000000000004E-2</v>
      </c>
      <c r="I33" s="14">
        <v>0.25</v>
      </c>
      <c r="J33" s="9" cm="1">
        <f t="array" ref="J33">TrajectoryDropInCM(C33,$A33,J$18)</f>
        <v>-41.562519536550738</v>
      </c>
      <c r="K33" s="9" cm="1">
        <f t="array" ref="K33">TrajectoryDropInCM(D33,$A33,K$18)</f>
        <v>-46.620027571460533</v>
      </c>
      <c r="L33" s="9" cm="1">
        <f t="array" ref="L33">TrajectoryDropInCM(E33,$A33,L$18)</f>
        <v>-37.187513993740048</v>
      </c>
      <c r="M33" s="9" cm="1">
        <f t="array" ref="M33">TrajectoryDropInCM(F33,$A33,M$18)</f>
        <v>-35.000011666671341</v>
      </c>
      <c r="N33" s="9" cm="1">
        <f t="array" ref="N33">TrajectoryDropInCM(G33,$A33,N$18)</f>
        <v>-11.620000426934313</v>
      </c>
      <c r="O33" s="9" cm="1">
        <f t="array" ref="O33">TrajectoryDropInCM(H33,$A33,O$18)</f>
        <v>11.620000426934313</v>
      </c>
      <c r="P33" s="9" cm="1">
        <f t="array" ref="P33">TrajectoryDropInCM(I33,$A33,P$18)</f>
        <v>35.000011666671341</v>
      </c>
      <c r="Q33" s="36" cm="1">
        <f t="array" ref="Q33">TrajectoryErrorCM($E$19,1,$A33)</f>
        <v>5.2585591882696958</v>
      </c>
    </row>
    <row r="34" spans="1:17" x14ac:dyDescent="0.25">
      <c r="A34" s="1">
        <v>400</v>
      </c>
      <c r="B34" s="1">
        <v>2661</v>
      </c>
      <c r="C34" s="6">
        <v>-0.33300000000000002</v>
      </c>
      <c r="D34" s="6">
        <v>-0.41699999999999998</v>
      </c>
      <c r="E34" s="6">
        <v>-0.375</v>
      </c>
      <c r="F34" s="6">
        <v>-0.33300000000000002</v>
      </c>
      <c r="G34" s="6">
        <v>-0.16700000000000001</v>
      </c>
      <c r="H34" s="7">
        <v>0</v>
      </c>
      <c r="I34" s="14">
        <v>0.16700000000000001</v>
      </c>
      <c r="J34" s="9" cm="1">
        <f t="array" ref="J34">TrajectoryDropInCM(C34,$A34,J$18)</f>
        <v>-63.270052765821092</v>
      </c>
      <c r="K34" s="9" cm="1">
        <f t="array" ref="K34">TrajectoryDropInCM(D34,$A34,K$18)</f>
        <v>-66.720061876730625</v>
      </c>
      <c r="L34" s="9" cm="1">
        <f t="array" ref="L34">TrajectoryDropInCM(E34,$A34,L$18)</f>
        <v>-63.75005397588491</v>
      </c>
      <c r="M34" s="9" cm="1">
        <f t="array" ref="M34">TrajectoryDropInCM(F34,$A34,M$18)</f>
        <v>-53.280031510240612</v>
      </c>
      <c r="N34" s="9" cm="1">
        <f t="array" ref="N34">TrajectoryDropInCM(G34,$A34,N$18)</f>
        <v>-26.720003974369138</v>
      </c>
      <c r="O34" s="9" cm="1">
        <f t="array" ref="O34">TrajectoryDropInCM(H34,$A34,O$18)</f>
        <v>0</v>
      </c>
      <c r="P34" s="9" cm="1">
        <f t="array" ref="P34">TrajectoryDropInCM(I34,$A34,P$18)</f>
        <v>26.720003974369138</v>
      </c>
      <c r="Q34" s="36" cm="1">
        <f t="array" ref="Q34">TrajectoryErrorCM($E$19,1,$A34)</f>
        <v>6.0097819294510808</v>
      </c>
    </row>
    <row r="35" spans="1:17" x14ac:dyDescent="0.25">
      <c r="A35" s="1">
        <v>450</v>
      </c>
      <c r="B35" s="1">
        <v>2549.1999999999998</v>
      </c>
      <c r="C35" s="6">
        <v>-0.41699999999999998</v>
      </c>
      <c r="D35" s="6">
        <v>-0.5</v>
      </c>
      <c r="E35" s="6">
        <v>-0.45500000000000002</v>
      </c>
      <c r="F35" s="6">
        <v>-0.41699999999999998</v>
      </c>
      <c r="G35" s="6">
        <v>-0.25</v>
      </c>
      <c r="H35" s="6">
        <v>-8.3000000000000004E-2</v>
      </c>
      <c r="I35" s="14">
        <v>8.3000000000000004E-2</v>
      </c>
      <c r="J35" s="9" cm="1">
        <f t="array" ref="J35">TrajectoryDropInCM(C35,$A35,J$18)</f>
        <v>-89.133866568426569</v>
      </c>
      <c r="K35" s="9" cm="1">
        <f t="array" ref="K35">TrajectoryDropInCM(D35,$A35,K$18)</f>
        <v>-90.000120000191998</v>
      </c>
      <c r="L35" s="9" cm="1">
        <f t="array" ref="L35">TrajectoryDropInCM(E35,$A35,L$18)</f>
        <v>-87.018858465816237</v>
      </c>
      <c r="M35" s="9" cm="1">
        <f t="array" ref="M35">TrajectoryDropInCM(F35,$A35,M$18)</f>
        <v>-75.06006961132195</v>
      </c>
      <c r="N35" s="9" cm="1">
        <f t="array" ref="N35">TrajectoryDropInCM(G35,$A35,N$18)</f>
        <v>-45.000015000006002</v>
      </c>
      <c r="O35" s="9" cm="1">
        <f t="array" ref="O35">TrajectoryDropInCM(H35,$A35,O$18)</f>
        <v>-14.940000548915544</v>
      </c>
      <c r="P35" s="9" cm="1">
        <f t="array" ref="P35">TrajectoryDropInCM(I35,$A35,P$18)</f>
        <v>14.940000548915544</v>
      </c>
      <c r="Q35" s="36" cm="1">
        <f t="array" ref="Q35">TrajectoryErrorCM($E$19,1,$A35)</f>
        <v>6.7610046706324667</v>
      </c>
    </row>
    <row r="36" spans="1:17" x14ac:dyDescent="0.25">
      <c r="A36" s="1">
        <v>500</v>
      </c>
      <c r="B36" s="1">
        <v>2443.6999999999998</v>
      </c>
      <c r="C36" s="6">
        <v>-0.5</v>
      </c>
      <c r="D36" s="6">
        <v>-0.58299999999999996</v>
      </c>
      <c r="E36" s="6">
        <v>-0.52500000000000002</v>
      </c>
      <c r="F36" s="6">
        <v>-0.5</v>
      </c>
      <c r="G36" s="6">
        <v>-0.33300000000000002</v>
      </c>
      <c r="H36" s="6">
        <v>-0.16700000000000001</v>
      </c>
      <c r="I36" s="15">
        <v>0</v>
      </c>
      <c r="J36" s="9" cm="1">
        <f t="array" ref="J36">TrajectoryDropInCM(C36,$A36,J$18)</f>
        <v>-118.75022327524334</v>
      </c>
      <c r="K36" s="9" cm="1">
        <f t="array" ref="K36">TrajectoryDropInCM(D36,$A36,K$18)</f>
        <v>-116.60021136609924</v>
      </c>
      <c r="L36" s="9" cm="1">
        <f t="array" ref="L36">TrajectoryDropInCM(E36,$A36,L$18)</f>
        <v>-111.56268513746585</v>
      </c>
      <c r="M36" s="9" cm="1">
        <f t="array" ref="M36">TrajectoryDropInCM(F36,$A36,M$18)</f>
        <v>-100.00013333354664</v>
      </c>
      <c r="N36" s="9" cm="1">
        <f t="array" ref="N36">TrajectoryDropInCM(G36,$A36,N$18)</f>
        <v>-66.600039387800763</v>
      </c>
      <c r="O36" s="9" cm="1">
        <f t="array" ref="O36">TrajectoryDropInCM(H36,$A36,O$18)</f>
        <v>-33.400004967961429</v>
      </c>
      <c r="P36" s="9" cm="1">
        <f t="array" ref="P36">TrajectoryDropInCM(I36,$A36,P$18)</f>
        <v>0</v>
      </c>
      <c r="Q36" s="36" cm="1">
        <f t="array" ref="Q36">TrajectoryErrorCM($E$19,1,$A36)</f>
        <v>7.5122274118138517</v>
      </c>
    </row>
    <row r="78" spans="1:13" x14ac:dyDescent="0.25">
      <c r="A78" t="s">
        <v>27</v>
      </c>
    </row>
    <row r="79" spans="1:13" x14ac:dyDescent="0.25">
      <c r="A79" t="s">
        <v>34</v>
      </c>
      <c r="H79" t="s">
        <v>77</v>
      </c>
    </row>
    <row r="80" spans="1:13" x14ac:dyDescent="0.25">
      <c r="A80" t="s">
        <v>12</v>
      </c>
      <c r="B80" t="s">
        <v>13</v>
      </c>
      <c r="C80" t="s">
        <v>14</v>
      </c>
      <c r="D80" t="s">
        <v>15</v>
      </c>
      <c r="E80" t="s">
        <v>16</v>
      </c>
      <c r="F80" t="s">
        <v>17</v>
      </c>
      <c r="H80" t="s">
        <v>12</v>
      </c>
      <c r="I80" t="s">
        <v>13</v>
      </c>
      <c r="J80" t="s">
        <v>14</v>
      </c>
      <c r="K80" t="s">
        <v>15</v>
      </c>
      <c r="L80" t="s">
        <v>16</v>
      </c>
      <c r="M80" t="s">
        <v>17</v>
      </c>
    </row>
    <row r="81" spans="1:38" x14ac:dyDescent="0.25">
      <c r="A81" s="1">
        <v>0</v>
      </c>
      <c r="B81" s="1">
        <v>933</v>
      </c>
      <c r="C81" s="1">
        <v>3665</v>
      </c>
      <c r="D81" s="1">
        <v>-3.8</v>
      </c>
      <c r="E81" s="1">
        <v>0</v>
      </c>
      <c r="F81" s="1">
        <v>0</v>
      </c>
      <c r="G81" s="1"/>
      <c r="H81" s="1">
        <v>0</v>
      </c>
      <c r="I81" s="1">
        <v>933</v>
      </c>
      <c r="J81" s="1">
        <v>3664</v>
      </c>
      <c r="K81" s="1">
        <v>-3.8</v>
      </c>
      <c r="L81" s="1">
        <v>0</v>
      </c>
      <c r="M81" s="1">
        <v>0</v>
      </c>
    </row>
    <row r="82" spans="1:38" x14ac:dyDescent="0.25">
      <c r="A82" s="1">
        <v>25</v>
      </c>
      <c r="B82" s="1">
        <v>914</v>
      </c>
      <c r="C82" s="1">
        <v>3519</v>
      </c>
      <c r="D82" s="1">
        <v>-1.6</v>
      </c>
      <c r="E82" s="1">
        <v>2.2000000000000002</v>
      </c>
      <c r="F82" s="1">
        <v>0.6</v>
      </c>
      <c r="G82" s="1"/>
      <c r="H82" s="1">
        <v>25</v>
      </c>
      <c r="I82" s="1">
        <v>923</v>
      </c>
      <c r="J82" s="1">
        <v>3592</v>
      </c>
      <c r="K82" s="1">
        <v>-1.6</v>
      </c>
      <c r="L82" s="1">
        <v>2.2000000000000002</v>
      </c>
      <c r="M82" s="1">
        <v>0.6</v>
      </c>
    </row>
    <row r="83" spans="1:38" x14ac:dyDescent="0.25">
      <c r="A83" s="10">
        <v>50</v>
      </c>
      <c r="B83" s="10">
        <v>896</v>
      </c>
      <c r="C83" s="10">
        <v>3379</v>
      </c>
      <c r="D83" s="10">
        <v>0</v>
      </c>
      <c r="E83" s="10">
        <v>0</v>
      </c>
      <c r="F83" s="10">
        <v>0</v>
      </c>
      <c r="G83" s="1"/>
      <c r="H83" s="10">
        <v>50</v>
      </c>
      <c r="I83" s="10">
        <v>914</v>
      </c>
      <c r="J83" s="10">
        <v>3521</v>
      </c>
      <c r="K83" s="10">
        <v>0</v>
      </c>
      <c r="L83" s="10">
        <v>0</v>
      </c>
      <c r="M83" s="10">
        <v>0</v>
      </c>
    </row>
    <row r="84" spans="1:38" x14ac:dyDescent="0.25">
      <c r="A84" s="1">
        <v>75</v>
      </c>
      <c r="B84" s="1">
        <v>878</v>
      </c>
      <c r="C84" s="1">
        <v>3244</v>
      </c>
      <c r="D84" s="1">
        <v>0.7</v>
      </c>
      <c r="E84" s="1">
        <v>-0.3</v>
      </c>
      <c r="F84" s="1">
        <v>-0.1</v>
      </c>
      <c r="G84" s="1"/>
      <c r="H84" s="1">
        <v>75</v>
      </c>
      <c r="I84" s="1">
        <v>905</v>
      </c>
      <c r="J84" s="1">
        <v>3452</v>
      </c>
      <c r="K84" s="1">
        <v>0.8</v>
      </c>
      <c r="L84" s="1">
        <v>-0.4</v>
      </c>
      <c r="M84" s="1">
        <v>-0.1</v>
      </c>
    </row>
    <row r="85" spans="1:38" x14ac:dyDescent="0.25">
      <c r="A85" s="1">
        <v>100</v>
      </c>
      <c r="B85" s="1">
        <v>860</v>
      </c>
      <c r="C85" s="1">
        <v>3114</v>
      </c>
      <c r="D85" s="1">
        <v>0.7</v>
      </c>
      <c r="E85" s="1">
        <v>-0.2</v>
      </c>
      <c r="F85" s="1">
        <v>-0.1</v>
      </c>
      <c r="G85" s="1"/>
      <c r="H85" s="1">
        <v>100</v>
      </c>
      <c r="I85" s="1">
        <v>896</v>
      </c>
      <c r="J85" s="1">
        <v>3384</v>
      </c>
      <c r="K85" s="1">
        <v>0.8</v>
      </c>
      <c r="L85" s="1">
        <v>-0.3</v>
      </c>
      <c r="M85" s="1">
        <v>-0.1</v>
      </c>
    </row>
    <row r="86" spans="1:38" x14ac:dyDescent="0.25">
      <c r="A86" s="1">
        <v>125</v>
      </c>
      <c r="B86" s="1">
        <v>842</v>
      </c>
      <c r="C86" s="1">
        <v>2988</v>
      </c>
      <c r="D86" s="1">
        <v>-0.2</v>
      </c>
      <c r="E86" s="1">
        <v>0.1</v>
      </c>
      <c r="F86" s="1">
        <v>0</v>
      </c>
      <c r="G86" s="1"/>
      <c r="H86" s="1">
        <v>125</v>
      </c>
      <c r="I86" s="1">
        <v>887</v>
      </c>
      <c r="J86" s="1">
        <v>3317</v>
      </c>
      <c r="K86" s="1">
        <v>0.1</v>
      </c>
      <c r="L86" s="1">
        <v>0</v>
      </c>
      <c r="M86" s="1">
        <v>0</v>
      </c>
    </row>
    <row r="87" spans="1:38" x14ac:dyDescent="0.25">
      <c r="A87" s="1">
        <v>150</v>
      </c>
      <c r="B87" s="1">
        <v>825</v>
      </c>
      <c r="C87" s="1">
        <v>2866</v>
      </c>
      <c r="D87" s="1">
        <v>-2</v>
      </c>
      <c r="E87" s="1">
        <v>0.5</v>
      </c>
      <c r="F87" s="1">
        <v>0.1</v>
      </c>
      <c r="G87" s="1"/>
      <c r="H87" s="1">
        <v>150</v>
      </c>
      <c r="I87" s="1">
        <v>879</v>
      </c>
      <c r="J87" s="1">
        <v>3251</v>
      </c>
      <c r="K87" s="1">
        <v>-1.4</v>
      </c>
      <c r="L87" s="1">
        <v>0.3</v>
      </c>
      <c r="M87" s="1">
        <v>0.1</v>
      </c>
    </row>
    <row r="88" spans="1:38" x14ac:dyDescent="0.25">
      <c r="A88" s="1">
        <v>175</v>
      </c>
      <c r="B88" s="1">
        <v>808</v>
      </c>
      <c r="C88" s="1">
        <v>2748</v>
      </c>
      <c r="D88" s="1">
        <v>-4.5999999999999996</v>
      </c>
      <c r="E88" s="1">
        <v>0.9</v>
      </c>
      <c r="F88" s="1">
        <v>0.3</v>
      </c>
      <c r="G88" s="1"/>
      <c r="H88" s="1">
        <v>175</v>
      </c>
      <c r="I88" s="1">
        <v>870</v>
      </c>
      <c r="J88" s="1">
        <v>3186</v>
      </c>
      <c r="K88" s="1">
        <v>-3.7</v>
      </c>
      <c r="L88" s="1">
        <v>0.7</v>
      </c>
      <c r="M88" s="1">
        <v>0.2</v>
      </c>
    </row>
    <row r="89" spans="1:38" x14ac:dyDescent="0.25">
      <c r="A89" s="1">
        <v>200</v>
      </c>
      <c r="B89" s="1">
        <v>791</v>
      </c>
      <c r="C89" s="1">
        <v>2635</v>
      </c>
      <c r="D89" s="1">
        <v>-8.4</v>
      </c>
      <c r="E89" s="1">
        <v>1.4</v>
      </c>
      <c r="F89" s="1">
        <v>0.4</v>
      </c>
      <c r="G89" s="1"/>
      <c r="H89" s="1">
        <v>200</v>
      </c>
      <c r="I89" s="1">
        <v>861</v>
      </c>
      <c r="J89" s="1">
        <v>3122</v>
      </c>
      <c r="K89" s="1">
        <v>-6.9</v>
      </c>
      <c r="L89" s="1">
        <v>1.2</v>
      </c>
      <c r="M89" s="1">
        <v>0.3</v>
      </c>
    </row>
    <row r="90" spans="1:38" x14ac:dyDescent="0.25">
      <c r="A90" s="1">
        <v>225</v>
      </c>
      <c r="B90" s="1">
        <v>774</v>
      </c>
      <c r="C90" s="1">
        <v>2524</v>
      </c>
      <c r="D90" s="1">
        <v>-13</v>
      </c>
      <c r="E90" s="1">
        <v>2</v>
      </c>
      <c r="F90" s="1">
        <v>0.6</v>
      </c>
      <c r="G90" s="1"/>
      <c r="H90" s="1">
        <v>225</v>
      </c>
      <c r="I90" s="1">
        <v>852</v>
      </c>
      <c r="J90" s="1">
        <v>3059</v>
      </c>
      <c r="K90" s="1">
        <v>-10.8</v>
      </c>
      <c r="L90" s="1">
        <v>1.7</v>
      </c>
      <c r="M90" s="1">
        <v>0.5</v>
      </c>
    </row>
    <row r="91" spans="1:38" x14ac:dyDescent="0.25">
      <c r="A91" s="1">
        <v>250</v>
      </c>
      <c r="B91" s="1">
        <v>758</v>
      </c>
      <c r="C91" s="1">
        <v>2418</v>
      </c>
      <c r="D91" s="1">
        <v>-18.7</v>
      </c>
      <c r="E91" s="1">
        <v>2.6</v>
      </c>
      <c r="F91" s="1">
        <v>0.7</v>
      </c>
      <c r="G91" s="1"/>
      <c r="H91" s="1">
        <v>250</v>
      </c>
      <c r="I91" s="1">
        <v>843</v>
      </c>
      <c r="J91" s="1">
        <v>2997</v>
      </c>
      <c r="K91" s="1">
        <v>-15.6</v>
      </c>
      <c r="L91" s="1">
        <v>2.1</v>
      </c>
      <c r="M91" s="1">
        <v>0.6</v>
      </c>
    </row>
    <row r="92" spans="1:38" x14ac:dyDescent="0.25">
      <c r="A92" s="1">
        <v>275</v>
      </c>
      <c r="B92" s="1">
        <v>741</v>
      </c>
      <c r="C92" s="1">
        <v>2315</v>
      </c>
      <c r="D92" s="1">
        <v>-25.7</v>
      </c>
      <c r="E92" s="1">
        <v>3.2</v>
      </c>
      <c r="F92" s="1">
        <v>0.9</v>
      </c>
      <c r="G92" s="1"/>
      <c r="H92" s="1">
        <v>275</v>
      </c>
      <c r="I92" s="1">
        <v>835</v>
      </c>
      <c r="J92" s="1">
        <v>2936</v>
      </c>
      <c r="K92" s="1">
        <v>-21.4</v>
      </c>
      <c r="L92" s="1">
        <v>2.7</v>
      </c>
      <c r="M92" s="1">
        <v>0.8</v>
      </c>
    </row>
    <row r="93" spans="1:38" x14ac:dyDescent="0.25">
      <c r="A93" s="1">
        <v>300</v>
      </c>
      <c r="B93" s="1">
        <v>725</v>
      </c>
      <c r="C93" s="1">
        <v>2215</v>
      </c>
      <c r="D93" s="1">
        <v>-33.6</v>
      </c>
      <c r="E93" s="1">
        <v>3.8</v>
      </c>
      <c r="F93" s="1">
        <v>1.1000000000000001</v>
      </c>
      <c r="G93" s="1"/>
      <c r="H93" s="1">
        <v>300</v>
      </c>
      <c r="I93" s="1">
        <v>826</v>
      </c>
      <c r="J93" s="1">
        <v>2876</v>
      </c>
      <c r="K93" s="1">
        <v>-28</v>
      </c>
      <c r="L93" s="1">
        <v>3.2</v>
      </c>
      <c r="M93" s="1">
        <v>0.9</v>
      </c>
      <c r="AH93" s="46"/>
      <c r="AI93" s="46"/>
      <c r="AJ93" s="46"/>
      <c r="AK93" s="46"/>
      <c r="AL93" s="46"/>
    </row>
    <row r="94" spans="1:38" x14ac:dyDescent="0.25">
      <c r="A94" s="1">
        <v>325</v>
      </c>
      <c r="B94" s="1">
        <v>709</v>
      </c>
      <c r="C94" s="1">
        <v>2119</v>
      </c>
      <c r="D94" s="1">
        <v>-42.7</v>
      </c>
      <c r="E94" s="1">
        <v>4.5</v>
      </c>
      <c r="F94" s="1">
        <v>1.3</v>
      </c>
      <c r="G94" s="1"/>
      <c r="H94" s="1">
        <v>325</v>
      </c>
      <c r="I94" s="1">
        <v>818</v>
      </c>
      <c r="J94" s="1">
        <v>2816</v>
      </c>
      <c r="K94" s="1">
        <v>-35.4</v>
      </c>
      <c r="L94" s="1">
        <v>3.7</v>
      </c>
      <c r="M94" s="1">
        <v>1.1000000000000001</v>
      </c>
      <c r="AI94" s="19"/>
    </row>
    <row r="95" spans="1:38" x14ac:dyDescent="0.25">
      <c r="A95" s="1">
        <v>350</v>
      </c>
      <c r="B95" s="1">
        <v>694</v>
      </c>
      <c r="C95" s="1">
        <v>2026</v>
      </c>
      <c r="D95" s="1">
        <v>-53.5</v>
      </c>
      <c r="E95" s="1">
        <v>5.3</v>
      </c>
      <c r="F95" s="1">
        <v>1.5</v>
      </c>
      <c r="G95" s="1"/>
      <c r="H95" s="1">
        <v>350</v>
      </c>
      <c r="I95" s="1">
        <v>809</v>
      </c>
      <c r="J95" s="1">
        <v>2758</v>
      </c>
      <c r="K95" s="1">
        <v>-44.1</v>
      </c>
      <c r="L95" s="1">
        <v>4.3</v>
      </c>
      <c r="M95" s="1">
        <v>1.3</v>
      </c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20"/>
      <c r="AK95" s="1"/>
      <c r="AL95" s="20"/>
    </row>
    <row r="96" spans="1:38" x14ac:dyDescent="0.25">
      <c r="A96" s="1">
        <v>375</v>
      </c>
      <c r="B96" s="1">
        <v>678</v>
      </c>
      <c r="C96" s="1">
        <v>1936</v>
      </c>
      <c r="D96" s="1">
        <v>-65.2</v>
      </c>
      <c r="E96" s="1">
        <v>6</v>
      </c>
      <c r="F96" s="1">
        <v>1.7</v>
      </c>
      <c r="G96" s="1"/>
      <c r="H96" s="1">
        <v>375</v>
      </c>
      <c r="I96" s="1">
        <v>801</v>
      </c>
      <c r="J96" s="1">
        <v>2701</v>
      </c>
      <c r="K96" s="1">
        <v>-53.4</v>
      </c>
      <c r="L96" s="1">
        <v>4.9000000000000004</v>
      </c>
      <c r="M96" s="1">
        <v>1.4</v>
      </c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20"/>
      <c r="AK96" s="1"/>
      <c r="AL96" s="20"/>
    </row>
    <row r="97" spans="1:38" x14ac:dyDescent="0.25">
      <c r="A97" s="1">
        <v>400</v>
      </c>
      <c r="B97" s="1">
        <v>663</v>
      </c>
      <c r="C97" s="1">
        <v>1850</v>
      </c>
      <c r="D97" s="1">
        <v>-78.400000000000006</v>
      </c>
      <c r="E97" s="1">
        <v>6.7</v>
      </c>
      <c r="F97" s="1">
        <v>2</v>
      </c>
      <c r="G97" s="1"/>
      <c r="H97" s="1">
        <v>400</v>
      </c>
      <c r="I97" s="1">
        <v>792</v>
      </c>
      <c r="J97" s="1">
        <v>2644</v>
      </c>
      <c r="K97" s="1">
        <v>-63.7</v>
      </c>
      <c r="L97" s="1">
        <v>5.5</v>
      </c>
      <c r="M97" s="1">
        <v>1.6</v>
      </c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20"/>
      <c r="AK97" s="1"/>
      <c r="AL97" s="20"/>
    </row>
    <row r="98" spans="1:38" x14ac:dyDescent="0.25">
      <c r="A98" s="1">
        <v>425</v>
      </c>
      <c r="B98" s="1">
        <v>647</v>
      </c>
      <c r="C98" s="1">
        <v>1766</v>
      </c>
      <c r="D98" s="1">
        <v>-93.5</v>
      </c>
      <c r="E98" s="1">
        <v>7.6</v>
      </c>
      <c r="F98" s="1">
        <v>2.2000000000000002</v>
      </c>
      <c r="G98" s="1"/>
      <c r="H98" s="1">
        <v>425</v>
      </c>
      <c r="I98" s="1">
        <v>784</v>
      </c>
      <c r="J98" s="1">
        <v>2589</v>
      </c>
      <c r="K98" s="1">
        <v>-75.400000000000006</v>
      </c>
      <c r="L98" s="1">
        <v>6.1</v>
      </c>
      <c r="M98" s="1">
        <v>1.8</v>
      </c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20"/>
      <c r="AK98" s="1"/>
      <c r="AL98" s="20"/>
    </row>
    <row r="99" spans="1:38" x14ac:dyDescent="0.25">
      <c r="A99" s="1">
        <v>450</v>
      </c>
      <c r="B99" s="1">
        <v>633</v>
      </c>
      <c r="C99" s="1">
        <v>1685</v>
      </c>
      <c r="D99" s="1">
        <v>-109.7</v>
      </c>
      <c r="E99" s="1">
        <v>8.4</v>
      </c>
      <c r="F99" s="1">
        <v>2.4</v>
      </c>
      <c r="G99" s="1"/>
      <c r="H99" s="1">
        <v>450</v>
      </c>
      <c r="I99" s="1">
        <v>776</v>
      </c>
      <c r="J99" s="1">
        <v>2534</v>
      </c>
      <c r="K99" s="1">
        <v>-87.7</v>
      </c>
      <c r="L99" s="1">
        <v>6.7</v>
      </c>
      <c r="M99" s="1">
        <v>1.9</v>
      </c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20"/>
      <c r="AK99" s="1"/>
      <c r="AL99" s="20"/>
    </row>
    <row r="100" spans="1:38" x14ac:dyDescent="0.25">
      <c r="A100" s="1">
        <v>475</v>
      </c>
      <c r="B100" s="1">
        <v>618</v>
      </c>
      <c r="C100" s="1">
        <v>1608</v>
      </c>
      <c r="D100" s="1">
        <v>-127.5</v>
      </c>
      <c r="E100" s="1">
        <v>9.1999999999999993</v>
      </c>
      <c r="F100" s="1">
        <v>2.7</v>
      </c>
      <c r="G100" s="1"/>
      <c r="H100" s="1">
        <v>475</v>
      </c>
      <c r="I100" s="1">
        <v>767</v>
      </c>
      <c r="J100" s="1">
        <v>2480</v>
      </c>
      <c r="K100" s="1">
        <v>-101</v>
      </c>
      <c r="L100" s="1">
        <v>7.3</v>
      </c>
      <c r="M100" s="1">
        <v>2.1</v>
      </c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20"/>
      <c r="AK100" s="1"/>
      <c r="AL100" s="20"/>
    </row>
    <row r="101" spans="1:38" x14ac:dyDescent="0.25">
      <c r="A101" s="1">
        <v>500</v>
      </c>
      <c r="B101" s="1">
        <v>604</v>
      </c>
      <c r="C101" s="1">
        <v>1536</v>
      </c>
      <c r="D101" s="1">
        <v>-147</v>
      </c>
      <c r="E101" s="1">
        <v>10.1</v>
      </c>
      <c r="F101" s="1">
        <v>2.9</v>
      </c>
      <c r="G101" s="1"/>
      <c r="H101" s="1">
        <v>500</v>
      </c>
      <c r="I101" s="1">
        <v>759</v>
      </c>
      <c r="J101" s="1">
        <v>2430</v>
      </c>
      <c r="K101" s="1">
        <v>-115.4</v>
      </c>
      <c r="L101" s="1">
        <v>7.9</v>
      </c>
      <c r="M101" s="1">
        <v>2.2999999999999998</v>
      </c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20"/>
      <c r="AK101" s="1"/>
      <c r="AL101" s="20"/>
    </row>
    <row r="102" spans="1:38" x14ac:dyDescent="0.25"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20"/>
      <c r="AK102" s="1"/>
      <c r="AL102" s="20"/>
    </row>
    <row r="103" spans="1:38" x14ac:dyDescent="0.25">
      <c r="A103" t="s">
        <v>71</v>
      </c>
      <c r="H103" t="s">
        <v>78</v>
      </c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20"/>
      <c r="AK103" s="1"/>
      <c r="AL103" s="20"/>
    </row>
    <row r="104" spans="1:38" ht="19.5" customHeight="1" x14ac:dyDescent="0.25">
      <c r="A104" t="s">
        <v>12</v>
      </c>
      <c r="B104" t="s">
        <v>13</v>
      </c>
      <c r="C104" t="s">
        <v>14</v>
      </c>
      <c r="D104" t="s">
        <v>15</v>
      </c>
      <c r="E104" t="s">
        <v>16</v>
      </c>
      <c r="F104" t="s">
        <v>17</v>
      </c>
      <c r="H104" t="s">
        <v>12</v>
      </c>
      <c r="I104" t="s">
        <v>13</v>
      </c>
      <c r="J104" t="s">
        <v>14</v>
      </c>
      <c r="K104" t="s">
        <v>15</v>
      </c>
      <c r="L104" t="s">
        <v>16</v>
      </c>
      <c r="M104" t="s">
        <v>17</v>
      </c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20"/>
      <c r="AK104" s="1"/>
      <c r="AL104" s="20"/>
    </row>
    <row r="105" spans="1:38" x14ac:dyDescent="0.25">
      <c r="A105" s="1">
        <v>0</v>
      </c>
      <c r="B105" s="1">
        <v>933</v>
      </c>
      <c r="C105" s="1">
        <v>3665</v>
      </c>
      <c r="D105" s="1">
        <v>-3.8</v>
      </c>
      <c r="E105" s="1">
        <v>0</v>
      </c>
      <c r="F105" s="1">
        <v>0</v>
      </c>
      <c r="H105" s="1">
        <v>0</v>
      </c>
      <c r="I105" s="1">
        <v>933</v>
      </c>
      <c r="J105" s="1">
        <v>3664</v>
      </c>
      <c r="K105" s="1">
        <v>-3.8</v>
      </c>
      <c r="L105" s="1">
        <v>0</v>
      </c>
      <c r="M105" s="1">
        <v>0</v>
      </c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20"/>
      <c r="AK105" s="1"/>
      <c r="AL105" s="20"/>
    </row>
    <row r="106" spans="1:38" x14ac:dyDescent="0.25">
      <c r="A106" s="1">
        <v>25</v>
      </c>
      <c r="B106" s="1">
        <v>914</v>
      </c>
      <c r="C106" s="1">
        <v>3519</v>
      </c>
      <c r="D106" s="1">
        <v>-1.7</v>
      </c>
      <c r="E106" s="1">
        <v>2.4</v>
      </c>
      <c r="F106" s="1">
        <v>0.7</v>
      </c>
      <c r="H106" s="1">
        <v>25</v>
      </c>
      <c r="I106" s="1">
        <v>923</v>
      </c>
      <c r="J106" s="1">
        <v>3592</v>
      </c>
      <c r="K106" s="1">
        <v>-1.8</v>
      </c>
      <c r="L106" s="1">
        <v>2.4</v>
      </c>
      <c r="M106" s="1">
        <v>0.7</v>
      </c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20"/>
      <c r="AK106" s="1"/>
      <c r="AL106" s="20"/>
    </row>
    <row r="107" spans="1:38" x14ac:dyDescent="0.25">
      <c r="A107" s="1">
        <v>50</v>
      </c>
      <c r="B107" s="1">
        <v>896</v>
      </c>
      <c r="C107" s="1">
        <v>3379</v>
      </c>
      <c r="D107" s="1">
        <v>-0.4</v>
      </c>
      <c r="E107" s="1">
        <v>0.2</v>
      </c>
      <c r="F107" s="1">
        <v>0.1</v>
      </c>
      <c r="H107" s="1">
        <v>50</v>
      </c>
      <c r="I107" s="1">
        <v>914</v>
      </c>
      <c r="J107" s="1">
        <v>3521</v>
      </c>
      <c r="K107" s="1">
        <v>-0.4</v>
      </c>
      <c r="L107" s="1">
        <v>0.3</v>
      </c>
      <c r="M107" s="1">
        <v>0.1</v>
      </c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20"/>
      <c r="AK107" s="1"/>
      <c r="AL107" s="20"/>
    </row>
    <row r="108" spans="1:38" x14ac:dyDescent="0.25">
      <c r="A108" s="1">
        <v>75</v>
      </c>
      <c r="B108" s="1">
        <v>878</v>
      </c>
      <c r="C108" s="1">
        <v>3244</v>
      </c>
      <c r="D108" s="1">
        <v>0.2</v>
      </c>
      <c r="E108" s="1">
        <v>-0.1</v>
      </c>
      <c r="F108" s="1">
        <v>0</v>
      </c>
      <c r="H108" s="1">
        <v>75</v>
      </c>
      <c r="I108" s="1">
        <v>905</v>
      </c>
      <c r="J108" s="1">
        <v>3452</v>
      </c>
      <c r="K108" s="1">
        <v>0.2</v>
      </c>
      <c r="L108" s="1">
        <v>-0.1</v>
      </c>
      <c r="M108" s="1">
        <v>0</v>
      </c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20"/>
      <c r="AK108" s="1"/>
      <c r="AL108" s="20"/>
    </row>
    <row r="109" spans="1:38" x14ac:dyDescent="0.25">
      <c r="A109" s="10">
        <v>100</v>
      </c>
      <c r="B109" s="10">
        <v>860</v>
      </c>
      <c r="C109" s="10">
        <v>3114</v>
      </c>
      <c r="D109" s="10">
        <v>0</v>
      </c>
      <c r="E109" s="10">
        <v>0</v>
      </c>
      <c r="F109" s="10">
        <v>0</v>
      </c>
      <c r="H109" s="1">
        <v>100</v>
      </c>
      <c r="I109" s="1">
        <v>896</v>
      </c>
      <c r="J109" s="1">
        <v>3384</v>
      </c>
      <c r="K109" s="1">
        <v>0</v>
      </c>
      <c r="L109" s="1">
        <v>0</v>
      </c>
      <c r="M109" s="1">
        <v>0</v>
      </c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20"/>
      <c r="AK109" s="1"/>
      <c r="AL109" s="20"/>
    </row>
    <row r="110" spans="1:38" x14ac:dyDescent="0.25">
      <c r="A110" s="1">
        <v>125</v>
      </c>
      <c r="B110" s="1">
        <v>842</v>
      </c>
      <c r="C110" s="1">
        <v>2988</v>
      </c>
      <c r="D110" s="1">
        <v>-1.1000000000000001</v>
      </c>
      <c r="E110" s="1">
        <v>0.3</v>
      </c>
      <c r="F110" s="1">
        <v>0.1</v>
      </c>
      <c r="H110" s="1">
        <v>125</v>
      </c>
      <c r="I110" s="1">
        <v>887</v>
      </c>
      <c r="J110" s="1">
        <v>3317</v>
      </c>
      <c r="K110" s="1">
        <v>-0.9</v>
      </c>
      <c r="L110" s="1">
        <v>0.3</v>
      </c>
      <c r="M110" s="1">
        <v>0.1</v>
      </c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20"/>
      <c r="AK110" s="1"/>
      <c r="AL110" s="20"/>
    </row>
    <row r="111" spans="1:38" x14ac:dyDescent="0.25">
      <c r="A111" s="1">
        <v>150</v>
      </c>
      <c r="B111" s="1">
        <v>825</v>
      </c>
      <c r="C111" s="1">
        <v>2866</v>
      </c>
      <c r="D111" s="1">
        <v>-3</v>
      </c>
      <c r="E111" s="1">
        <v>0.7</v>
      </c>
      <c r="F111" s="1">
        <v>0.2</v>
      </c>
      <c r="H111" s="1">
        <v>150</v>
      </c>
      <c r="I111" s="1">
        <v>879</v>
      </c>
      <c r="J111" s="1">
        <v>3251</v>
      </c>
      <c r="K111" s="1">
        <v>-2.6</v>
      </c>
      <c r="L111" s="1">
        <v>0.6</v>
      </c>
      <c r="M111" s="1">
        <v>0.2</v>
      </c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20"/>
      <c r="AK111" s="1"/>
      <c r="AL111" s="20"/>
    </row>
    <row r="112" spans="1:38" x14ac:dyDescent="0.25">
      <c r="A112" s="1">
        <v>175</v>
      </c>
      <c r="B112" s="1">
        <v>808</v>
      </c>
      <c r="C112" s="1">
        <v>2748</v>
      </c>
      <c r="D112" s="1">
        <v>-5.9</v>
      </c>
      <c r="E112" s="1">
        <v>1.2</v>
      </c>
      <c r="F112" s="1">
        <v>0.3</v>
      </c>
      <c r="H112" s="1">
        <v>175</v>
      </c>
      <c r="I112" s="1">
        <v>870</v>
      </c>
      <c r="J112" s="1">
        <v>3186</v>
      </c>
      <c r="K112" s="1">
        <v>-5.0999999999999996</v>
      </c>
      <c r="L112" s="1">
        <v>1</v>
      </c>
      <c r="M112" s="1">
        <v>0.3</v>
      </c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20"/>
      <c r="AK112" s="1"/>
      <c r="AL112" s="20"/>
    </row>
    <row r="113" spans="1:38" x14ac:dyDescent="0.25">
      <c r="A113" s="1">
        <v>200</v>
      </c>
      <c r="B113" s="1">
        <v>791</v>
      </c>
      <c r="C113" s="1">
        <v>2635</v>
      </c>
      <c r="D113" s="1">
        <v>-9.8000000000000007</v>
      </c>
      <c r="E113" s="1">
        <v>1.7</v>
      </c>
      <c r="F113" s="1">
        <v>0.5</v>
      </c>
      <c r="H113" s="1">
        <v>200</v>
      </c>
      <c r="I113" s="1">
        <v>861</v>
      </c>
      <c r="J113" s="1">
        <v>3122</v>
      </c>
      <c r="K113" s="1">
        <v>-8.5</v>
      </c>
      <c r="L113" s="1">
        <v>1.5</v>
      </c>
      <c r="M113" s="1">
        <v>0.4</v>
      </c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20"/>
      <c r="AK113" s="1"/>
      <c r="AL113" s="20"/>
    </row>
    <row r="114" spans="1:38" x14ac:dyDescent="0.25">
      <c r="A114" s="1">
        <v>225</v>
      </c>
      <c r="B114" s="1">
        <v>774</v>
      </c>
      <c r="C114" s="1">
        <v>2524</v>
      </c>
      <c r="D114" s="1">
        <v>-14.6</v>
      </c>
      <c r="E114" s="1">
        <v>2.2000000000000002</v>
      </c>
      <c r="F114" s="1">
        <v>0.6</v>
      </c>
      <c r="H114" s="1">
        <v>225</v>
      </c>
      <c r="I114" s="1">
        <v>852</v>
      </c>
      <c r="J114" s="1">
        <v>3059</v>
      </c>
      <c r="K114" s="1">
        <v>-12.7</v>
      </c>
      <c r="L114" s="1">
        <v>1.9</v>
      </c>
      <c r="M114" s="1">
        <v>0.6</v>
      </c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20"/>
      <c r="AK114" s="1"/>
      <c r="AL114" s="20"/>
    </row>
    <row r="115" spans="1:38" x14ac:dyDescent="0.25">
      <c r="A115" s="1">
        <v>250</v>
      </c>
      <c r="B115" s="1">
        <v>758</v>
      </c>
      <c r="C115" s="1">
        <v>2418</v>
      </c>
      <c r="D115" s="1">
        <v>-20.399999999999999</v>
      </c>
      <c r="E115" s="1">
        <v>2.8</v>
      </c>
      <c r="F115" s="1">
        <v>0.8</v>
      </c>
      <c r="H115" s="1">
        <v>250</v>
      </c>
      <c r="I115" s="1">
        <v>843</v>
      </c>
      <c r="J115" s="1">
        <v>2997</v>
      </c>
      <c r="K115" s="1">
        <v>-17.600000000000001</v>
      </c>
      <c r="L115" s="1">
        <v>2.4</v>
      </c>
      <c r="M115" s="1">
        <v>0.7</v>
      </c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20"/>
      <c r="AK115" s="1"/>
      <c r="AL115" s="20"/>
    </row>
    <row r="116" spans="1:38" x14ac:dyDescent="0.25">
      <c r="A116" s="1">
        <v>275</v>
      </c>
      <c r="B116" s="1">
        <v>741</v>
      </c>
      <c r="C116" s="1">
        <v>2315</v>
      </c>
      <c r="D116" s="1">
        <v>-27.6</v>
      </c>
      <c r="E116" s="1">
        <v>3.4</v>
      </c>
      <c r="F116" s="1">
        <v>1</v>
      </c>
      <c r="H116" s="1">
        <v>275</v>
      </c>
      <c r="I116" s="1">
        <v>835</v>
      </c>
      <c r="J116" s="1">
        <v>2936</v>
      </c>
      <c r="K116" s="1">
        <v>-23.7</v>
      </c>
      <c r="L116" s="1">
        <v>3</v>
      </c>
      <c r="M116" s="1">
        <v>0.9</v>
      </c>
      <c r="AH116" s="21"/>
      <c r="AI116" s="22"/>
      <c r="AJ116" s="23"/>
      <c r="AK116" s="1"/>
    </row>
    <row r="117" spans="1:38" x14ac:dyDescent="0.25">
      <c r="A117" s="1">
        <v>300</v>
      </c>
      <c r="B117" s="1">
        <v>725</v>
      </c>
      <c r="C117" s="1">
        <v>2215</v>
      </c>
      <c r="D117" s="1">
        <v>-35.700000000000003</v>
      </c>
      <c r="E117" s="1">
        <v>4.0999999999999996</v>
      </c>
      <c r="F117" s="1">
        <v>1.2</v>
      </c>
      <c r="H117" s="1">
        <v>300</v>
      </c>
      <c r="I117" s="1">
        <v>826</v>
      </c>
      <c r="J117" s="1">
        <v>2876</v>
      </c>
      <c r="K117" s="1">
        <v>-30.4</v>
      </c>
      <c r="L117" s="1">
        <v>3.5</v>
      </c>
      <c r="M117" s="1">
        <v>1</v>
      </c>
    </row>
    <row r="118" spans="1:38" x14ac:dyDescent="0.25">
      <c r="A118" s="1">
        <v>325</v>
      </c>
      <c r="B118" s="1">
        <v>709</v>
      </c>
      <c r="C118" s="1">
        <v>2119</v>
      </c>
      <c r="D118" s="1">
        <v>-45</v>
      </c>
      <c r="E118" s="1">
        <v>4.8</v>
      </c>
      <c r="F118" s="1">
        <v>1.4</v>
      </c>
      <c r="H118" s="1">
        <v>325</v>
      </c>
      <c r="I118" s="1">
        <v>818</v>
      </c>
      <c r="J118" s="1">
        <v>2816</v>
      </c>
      <c r="K118" s="1">
        <v>-38.1</v>
      </c>
      <c r="L118" s="1">
        <v>4</v>
      </c>
      <c r="M118" s="1">
        <v>1.2</v>
      </c>
    </row>
    <row r="119" spans="1:38" x14ac:dyDescent="0.25">
      <c r="A119" s="1">
        <v>350</v>
      </c>
      <c r="B119" s="1">
        <v>694</v>
      </c>
      <c r="C119" s="1">
        <v>2026</v>
      </c>
      <c r="D119" s="1">
        <v>-56</v>
      </c>
      <c r="E119" s="1">
        <v>5.5</v>
      </c>
      <c r="F119" s="1">
        <v>1.6</v>
      </c>
      <c r="H119" s="1">
        <v>350</v>
      </c>
      <c r="I119" s="1">
        <v>809</v>
      </c>
      <c r="J119" s="1">
        <v>2758</v>
      </c>
      <c r="K119" s="1">
        <v>-46.9</v>
      </c>
      <c r="L119" s="1">
        <v>4.5999999999999996</v>
      </c>
      <c r="M119" s="1">
        <v>1.3</v>
      </c>
    </row>
    <row r="120" spans="1:38" x14ac:dyDescent="0.25">
      <c r="A120" s="1">
        <v>375</v>
      </c>
      <c r="B120" s="1">
        <v>678</v>
      </c>
      <c r="C120" s="1">
        <v>1936</v>
      </c>
      <c r="D120" s="1">
        <v>-67.900000000000006</v>
      </c>
      <c r="E120" s="1">
        <v>6.2</v>
      </c>
      <c r="F120" s="1">
        <v>1.8</v>
      </c>
      <c r="H120" s="1">
        <v>375</v>
      </c>
      <c r="I120" s="1">
        <v>801</v>
      </c>
      <c r="J120" s="1">
        <v>2701</v>
      </c>
      <c r="K120" s="1">
        <v>-56.5</v>
      </c>
      <c r="L120" s="1">
        <v>5.2</v>
      </c>
      <c r="M120" s="1">
        <v>1.5</v>
      </c>
    </row>
    <row r="121" spans="1:38" x14ac:dyDescent="0.25">
      <c r="A121" s="1">
        <v>400</v>
      </c>
      <c r="B121" s="1">
        <v>663</v>
      </c>
      <c r="C121" s="1">
        <v>1850</v>
      </c>
      <c r="D121" s="1">
        <v>-81.2</v>
      </c>
      <c r="E121" s="1">
        <v>7</v>
      </c>
      <c r="F121" s="1">
        <v>2</v>
      </c>
      <c r="H121" s="1">
        <v>400</v>
      </c>
      <c r="I121" s="1">
        <v>792</v>
      </c>
      <c r="J121" s="1">
        <v>2644</v>
      </c>
      <c r="K121" s="1">
        <v>-66.900000000000006</v>
      </c>
      <c r="L121" s="1">
        <v>5.8</v>
      </c>
      <c r="M121" s="1">
        <v>1.7</v>
      </c>
    </row>
    <row r="122" spans="1:38" x14ac:dyDescent="0.25">
      <c r="A122" s="1">
        <v>425</v>
      </c>
      <c r="B122" s="1">
        <v>647</v>
      </c>
      <c r="C122" s="1">
        <v>1766</v>
      </c>
      <c r="D122" s="1">
        <v>-96.6</v>
      </c>
      <c r="E122" s="1">
        <v>7.8</v>
      </c>
      <c r="F122" s="1">
        <v>2.2999999999999998</v>
      </c>
      <c r="H122" s="1">
        <v>425</v>
      </c>
      <c r="I122" s="1">
        <v>784</v>
      </c>
      <c r="J122" s="1">
        <v>2589</v>
      </c>
      <c r="K122" s="1">
        <v>-78.900000000000006</v>
      </c>
      <c r="L122" s="1">
        <v>6.4</v>
      </c>
      <c r="M122" s="1">
        <v>1.9</v>
      </c>
    </row>
    <row r="123" spans="1:38" x14ac:dyDescent="0.25">
      <c r="A123" s="1">
        <v>450</v>
      </c>
      <c r="B123" s="1">
        <v>633</v>
      </c>
      <c r="C123" s="1">
        <v>1685</v>
      </c>
      <c r="D123" s="1">
        <v>-112.9</v>
      </c>
      <c r="E123" s="1">
        <v>8.6</v>
      </c>
      <c r="F123" s="1">
        <v>2.5</v>
      </c>
      <c r="H123" s="1">
        <v>450</v>
      </c>
      <c r="I123" s="1">
        <v>776</v>
      </c>
      <c r="J123" s="1">
        <v>2534</v>
      </c>
      <c r="K123" s="1">
        <v>-91.4</v>
      </c>
      <c r="L123" s="1">
        <v>7</v>
      </c>
      <c r="M123" s="1">
        <v>2</v>
      </c>
    </row>
    <row r="124" spans="1:38" x14ac:dyDescent="0.25">
      <c r="A124" s="1">
        <v>475</v>
      </c>
      <c r="B124" s="1">
        <v>618</v>
      </c>
      <c r="C124" s="1">
        <v>1608</v>
      </c>
      <c r="D124" s="1">
        <v>-130.9</v>
      </c>
      <c r="E124" s="1">
        <v>9.5</v>
      </c>
      <c r="F124" s="1">
        <v>2.8</v>
      </c>
      <c r="H124" s="1">
        <v>475</v>
      </c>
      <c r="I124" s="1">
        <v>767</v>
      </c>
      <c r="J124" s="1">
        <v>2480</v>
      </c>
      <c r="K124" s="1">
        <v>-104.9</v>
      </c>
      <c r="L124" s="1">
        <v>7.6</v>
      </c>
      <c r="M124" s="1">
        <v>2.2000000000000002</v>
      </c>
    </row>
    <row r="125" spans="1:38" x14ac:dyDescent="0.25">
      <c r="A125" s="1">
        <v>500</v>
      </c>
      <c r="B125" s="1">
        <v>604</v>
      </c>
      <c r="C125" s="1">
        <v>1536</v>
      </c>
      <c r="D125" s="1">
        <v>-150.6</v>
      </c>
      <c r="E125" s="1">
        <v>10.4</v>
      </c>
      <c r="F125" s="1">
        <v>3</v>
      </c>
      <c r="H125" s="1">
        <v>500</v>
      </c>
      <c r="I125" s="1">
        <v>759</v>
      </c>
      <c r="J125" s="1">
        <v>2430</v>
      </c>
      <c r="K125" s="1">
        <v>-119.5</v>
      </c>
      <c r="L125" s="1">
        <v>8.1999999999999993</v>
      </c>
      <c r="M125" s="1">
        <v>2.4</v>
      </c>
    </row>
    <row r="127" spans="1:38" x14ac:dyDescent="0.25">
      <c r="A127" t="s">
        <v>72</v>
      </c>
      <c r="H127" t="s">
        <v>79</v>
      </c>
    </row>
    <row r="128" spans="1:38" x14ac:dyDescent="0.25">
      <c r="A128" t="s">
        <v>12</v>
      </c>
      <c r="B128" t="s">
        <v>13</v>
      </c>
      <c r="C128" t="s">
        <v>14</v>
      </c>
      <c r="D128" t="s">
        <v>15</v>
      </c>
      <c r="E128" t="s">
        <v>16</v>
      </c>
      <c r="F128" t="s">
        <v>17</v>
      </c>
      <c r="H128" t="s">
        <v>12</v>
      </c>
      <c r="I128" t="s">
        <v>13</v>
      </c>
      <c r="J128" t="s">
        <v>14</v>
      </c>
      <c r="K128" t="s">
        <v>15</v>
      </c>
      <c r="L128" t="s">
        <v>16</v>
      </c>
      <c r="M128" t="s">
        <v>17</v>
      </c>
    </row>
    <row r="129" spans="1:13" x14ac:dyDescent="0.25">
      <c r="A129" s="1">
        <v>0</v>
      </c>
      <c r="B129" s="1">
        <v>933</v>
      </c>
      <c r="C129" s="1">
        <v>3665</v>
      </c>
      <c r="D129" s="1">
        <v>-3.8</v>
      </c>
      <c r="E129" s="1">
        <v>0</v>
      </c>
      <c r="F129" s="1">
        <v>0</v>
      </c>
      <c r="H129" s="1">
        <v>0</v>
      </c>
      <c r="I129" s="1">
        <v>933</v>
      </c>
      <c r="J129" s="1">
        <v>3664</v>
      </c>
      <c r="K129" s="1">
        <v>-3.8</v>
      </c>
      <c r="L129" s="1">
        <v>0</v>
      </c>
      <c r="M129" s="1">
        <v>0</v>
      </c>
    </row>
    <row r="130" spans="1:13" x14ac:dyDescent="0.25">
      <c r="A130" s="1">
        <v>25</v>
      </c>
      <c r="B130" s="1">
        <v>914</v>
      </c>
      <c r="C130" s="1">
        <v>3519</v>
      </c>
      <c r="D130" s="1">
        <v>-1.2</v>
      </c>
      <c r="E130" s="1">
        <v>1.7</v>
      </c>
      <c r="F130" s="1">
        <v>0.5</v>
      </c>
      <c r="H130" s="1">
        <v>25</v>
      </c>
      <c r="I130" s="1">
        <v>923</v>
      </c>
      <c r="J130" s="1">
        <v>3592</v>
      </c>
      <c r="K130" s="1">
        <v>-1.3</v>
      </c>
      <c r="L130" s="1">
        <v>1.8</v>
      </c>
      <c r="M130" s="1">
        <v>0.5</v>
      </c>
    </row>
    <row r="131" spans="1:13" x14ac:dyDescent="0.25">
      <c r="A131" s="1">
        <v>50</v>
      </c>
      <c r="B131" s="1">
        <v>896</v>
      </c>
      <c r="C131" s="1">
        <v>3379</v>
      </c>
      <c r="D131" s="1">
        <v>0.7</v>
      </c>
      <c r="E131" s="1">
        <v>-0.5</v>
      </c>
      <c r="F131" s="1">
        <v>-0.1</v>
      </c>
      <c r="H131" s="1">
        <v>50</v>
      </c>
      <c r="I131" s="1">
        <v>914</v>
      </c>
      <c r="J131" s="1">
        <v>3521</v>
      </c>
      <c r="K131" s="1">
        <v>0.5</v>
      </c>
      <c r="L131" s="1">
        <v>-0.3</v>
      </c>
      <c r="M131" s="1">
        <v>-0.1</v>
      </c>
    </row>
    <row r="132" spans="1:13" x14ac:dyDescent="0.25">
      <c r="A132" s="1">
        <v>75</v>
      </c>
      <c r="B132" s="1">
        <v>878</v>
      </c>
      <c r="C132" s="1">
        <v>3244</v>
      </c>
      <c r="D132" s="1">
        <v>1.7</v>
      </c>
      <c r="E132" s="1">
        <v>-0.8</v>
      </c>
      <c r="F132" s="1">
        <v>-0.2</v>
      </c>
      <c r="H132" s="1">
        <v>75</v>
      </c>
      <c r="I132" s="1">
        <v>905</v>
      </c>
      <c r="J132" s="1">
        <v>3452</v>
      </c>
      <c r="K132" s="1">
        <v>1.5</v>
      </c>
      <c r="L132" s="1">
        <v>-0.7</v>
      </c>
      <c r="M132" s="1">
        <v>-0.2</v>
      </c>
    </row>
    <row r="133" spans="1:13" x14ac:dyDescent="0.25">
      <c r="A133" s="1">
        <v>100</v>
      </c>
      <c r="B133" s="1">
        <v>860</v>
      </c>
      <c r="C133" s="1">
        <v>3114</v>
      </c>
      <c r="D133" s="1">
        <v>2</v>
      </c>
      <c r="E133" s="1">
        <v>-0.7</v>
      </c>
      <c r="F133" s="1">
        <v>-0.2</v>
      </c>
      <c r="H133" s="1">
        <v>100</v>
      </c>
      <c r="I133" s="1">
        <v>896</v>
      </c>
      <c r="J133" s="1">
        <v>3384</v>
      </c>
      <c r="K133" s="1">
        <v>1.8</v>
      </c>
      <c r="L133" s="1">
        <v>-0.6</v>
      </c>
      <c r="M133" s="1">
        <v>-0.2</v>
      </c>
    </row>
    <row r="134" spans="1:13" x14ac:dyDescent="0.25">
      <c r="A134" s="1">
        <v>125</v>
      </c>
      <c r="B134" s="1">
        <v>842</v>
      </c>
      <c r="C134" s="1">
        <v>2988</v>
      </c>
      <c r="D134" s="1">
        <v>1.4</v>
      </c>
      <c r="E134" s="1">
        <v>-0.4</v>
      </c>
      <c r="F134" s="1">
        <v>-0.1</v>
      </c>
      <c r="H134" s="1">
        <v>125</v>
      </c>
      <c r="I134" s="1">
        <v>887</v>
      </c>
      <c r="J134" s="1">
        <v>3317</v>
      </c>
      <c r="K134" s="1">
        <v>1.3</v>
      </c>
      <c r="L134" s="1">
        <v>-0.3</v>
      </c>
      <c r="M134" s="1">
        <v>-0.1</v>
      </c>
    </row>
    <row r="135" spans="1:13" x14ac:dyDescent="0.25">
      <c r="A135" s="10">
        <v>150</v>
      </c>
      <c r="B135" s="10">
        <v>825</v>
      </c>
      <c r="C135" s="10">
        <v>2866</v>
      </c>
      <c r="D135" s="10">
        <v>0</v>
      </c>
      <c r="E135" s="10">
        <v>0</v>
      </c>
      <c r="F135" s="10">
        <v>0</v>
      </c>
      <c r="H135" s="1">
        <v>150</v>
      </c>
      <c r="I135" s="1">
        <v>879</v>
      </c>
      <c r="J135" s="1">
        <v>3251</v>
      </c>
      <c r="K135" s="1">
        <v>0</v>
      </c>
      <c r="L135" s="1">
        <v>0</v>
      </c>
      <c r="M135" s="1">
        <v>0</v>
      </c>
    </row>
    <row r="136" spans="1:13" x14ac:dyDescent="0.25">
      <c r="A136" s="1">
        <v>175</v>
      </c>
      <c r="B136" s="1">
        <v>808</v>
      </c>
      <c r="C136" s="1">
        <v>2748</v>
      </c>
      <c r="D136" s="1">
        <v>-2.2999999999999998</v>
      </c>
      <c r="E136" s="1">
        <v>0.5</v>
      </c>
      <c r="F136" s="1">
        <v>0.1</v>
      </c>
      <c r="H136" s="1">
        <v>175</v>
      </c>
      <c r="I136" s="1">
        <v>870</v>
      </c>
      <c r="J136" s="1">
        <v>3186</v>
      </c>
      <c r="K136" s="1">
        <v>-2</v>
      </c>
      <c r="L136" s="1">
        <v>0.4</v>
      </c>
      <c r="M136" s="1">
        <v>0.1</v>
      </c>
    </row>
    <row r="137" spans="1:13" x14ac:dyDescent="0.25">
      <c r="A137" s="1">
        <v>200</v>
      </c>
      <c r="B137" s="1">
        <v>791</v>
      </c>
      <c r="C137" s="1">
        <v>2635</v>
      </c>
      <c r="D137" s="1">
        <v>-5.8</v>
      </c>
      <c r="E137" s="1">
        <v>1</v>
      </c>
      <c r="F137" s="1">
        <v>0.3</v>
      </c>
      <c r="H137" s="1">
        <v>200</v>
      </c>
      <c r="I137" s="1">
        <v>861</v>
      </c>
      <c r="J137" s="1">
        <v>3122</v>
      </c>
      <c r="K137" s="1">
        <v>-5</v>
      </c>
      <c r="L137" s="1">
        <v>0.9</v>
      </c>
      <c r="M137" s="1">
        <v>0.3</v>
      </c>
    </row>
    <row r="138" spans="1:13" x14ac:dyDescent="0.25">
      <c r="A138" s="1">
        <v>225</v>
      </c>
      <c r="B138" s="1">
        <v>774</v>
      </c>
      <c r="C138" s="1">
        <v>2524</v>
      </c>
      <c r="D138" s="1">
        <v>-10.1</v>
      </c>
      <c r="E138" s="1">
        <v>1.5</v>
      </c>
      <c r="F138" s="1">
        <v>0.4</v>
      </c>
      <c r="H138" s="1">
        <v>225</v>
      </c>
      <c r="I138" s="1">
        <v>852</v>
      </c>
      <c r="J138" s="1">
        <v>3059</v>
      </c>
      <c r="K138" s="1">
        <v>-8.6999999999999993</v>
      </c>
      <c r="L138" s="1">
        <v>1.3</v>
      </c>
      <c r="M138" s="1">
        <v>0.4</v>
      </c>
    </row>
    <row r="139" spans="1:13" x14ac:dyDescent="0.25">
      <c r="A139" s="1">
        <v>250</v>
      </c>
      <c r="B139" s="1">
        <v>758</v>
      </c>
      <c r="C139" s="1">
        <v>2418</v>
      </c>
      <c r="D139" s="1">
        <v>-15.4</v>
      </c>
      <c r="E139" s="1">
        <v>2.1</v>
      </c>
      <c r="F139" s="1">
        <v>0.6</v>
      </c>
      <c r="H139" s="1">
        <v>250</v>
      </c>
      <c r="I139" s="1">
        <v>843</v>
      </c>
      <c r="J139" s="1">
        <v>2997</v>
      </c>
      <c r="K139" s="1">
        <v>-13.2</v>
      </c>
      <c r="L139" s="1">
        <v>1.8</v>
      </c>
      <c r="M139" s="1">
        <v>0.5</v>
      </c>
    </row>
    <row r="140" spans="1:13" x14ac:dyDescent="0.25">
      <c r="A140" s="1">
        <v>275</v>
      </c>
      <c r="B140" s="1">
        <v>741</v>
      </c>
      <c r="C140" s="1">
        <v>2315</v>
      </c>
      <c r="D140" s="1">
        <v>-22.1</v>
      </c>
      <c r="E140" s="1">
        <v>2.8</v>
      </c>
      <c r="F140" s="1">
        <v>0.8</v>
      </c>
      <c r="H140" s="1">
        <v>275</v>
      </c>
      <c r="I140" s="1">
        <v>835</v>
      </c>
      <c r="J140" s="1">
        <v>2936</v>
      </c>
      <c r="K140" s="1">
        <v>-18.899999999999999</v>
      </c>
      <c r="L140" s="1">
        <v>2.4</v>
      </c>
      <c r="M140" s="1">
        <v>0.7</v>
      </c>
    </row>
    <row r="141" spans="1:13" x14ac:dyDescent="0.25">
      <c r="A141" s="1">
        <v>300</v>
      </c>
      <c r="B141" s="1">
        <v>725</v>
      </c>
      <c r="C141" s="1">
        <v>2215</v>
      </c>
      <c r="D141" s="1">
        <v>-29.7</v>
      </c>
      <c r="E141" s="1">
        <v>3.4</v>
      </c>
      <c r="F141" s="1">
        <v>1</v>
      </c>
      <c r="H141" s="1">
        <v>300</v>
      </c>
      <c r="I141" s="1">
        <v>826</v>
      </c>
      <c r="J141" s="1">
        <v>2875</v>
      </c>
      <c r="K141" s="1">
        <v>-25.2</v>
      </c>
      <c r="L141" s="1">
        <v>2.9</v>
      </c>
      <c r="M141" s="1">
        <v>0.8</v>
      </c>
    </row>
    <row r="142" spans="1:13" x14ac:dyDescent="0.25">
      <c r="A142" s="1">
        <v>325</v>
      </c>
      <c r="B142" s="1">
        <v>709</v>
      </c>
      <c r="C142" s="1">
        <v>2119</v>
      </c>
      <c r="D142" s="1">
        <v>-38.5</v>
      </c>
      <c r="E142" s="1">
        <v>4.0999999999999996</v>
      </c>
      <c r="F142" s="1">
        <v>1.2</v>
      </c>
      <c r="H142" s="1">
        <v>325</v>
      </c>
      <c r="I142" s="1">
        <v>818</v>
      </c>
      <c r="J142" s="1">
        <v>2816</v>
      </c>
      <c r="K142" s="1">
        <v>-32.4</v>
      </c>
      <c r="L142" s="1">
        <v>3.4</v>
      </c>
      <c r="M142" s="1">
        <v>1</v>
      </c>
    </row>
    <row r="143" spans="1:13" x14ac:dyDescent="0.25">
      <c r="A143" s="1">
        <v>350</v>
      </c>
      <c r="B143" s="1">
        <v>694</v>
      </c>
      <c r="C143" s="1">
        <v>2026</v>
      </c>
      <c r="D143" s="1">
        <v>-48.9</v>
      </c>
      <c r="E143" s="1">
        <v>4.8</v>
      </c>
      <c r="F143" s="1">
        <v>1.4</v>
      </c>
      <c r="H143" s="1">
        <v>350</v>
      </c>
      <c r="I143" s="1">
        <v>809</v>
      </c>
      <c r="J143" s="1">
        <v>2758</v>
      </c>
      <c r="K143" s="1">
        <v>-40.799999999999997</v>
      </c>
      <c r="L143" s="1">
        <v>4</v>
      </c>
      <c r="M143" s="1">
        <v>1.2</v>
      </c>
    </row>
    <row r="144" spans="1:13" x14ac:dyDescent="0.25">
      <c r="A144" s="1">
        <v>375</v>
      </c>
      <c r="B144" s="1">
        <v>678</v>
      </c>
      <c r="C144" s="1">
        <v>1936</v>
      </c>
      <c r="D144" s="1">
        <v>-60.4</v>
      </c>
      <c r="E144" s="1">
        <v>5.5</v>
      </c>
      <c r="F144" s="1">
        <v>1.6</v>
      </c>
      <c r="H144" s="1">
        <v>375</v>
      </c>
      <c r="I144" s="1">
        <v>801</v>
      </c>
      <c r="J144" s="1">
        <v>2701</v>
      </c>
      <c r="K144" s="1">
        <v>-49.9</v>
      </c>
      <c r="L144" s="1">
        <v>4.5999999999999996</v>
      </c>
      <c r="M144" s="1">
        <v>1.3</v>
      </c>
    </row>
    <row r="145" spans="1:13" x14ac:dyDescent="0.25">
      <c r="A145" s="1">
        <v>400</v>
      </c>
      <c r="B145" s="1">
        <v>663</v>
      </c>
      <c r="C145" s="1">
        <v>1850</v>
      </c>
      <c r="D145" s="1">
        <v>-73.2</v>
      </c>
      <c r="E145" s="1">
        <v>6.3</v>
      </c>
      <c r="F145" s="1">
        <v>1.8</v>
      </c>
      <c r="H145" s="1">
        <v>400</v>
      </c>
      <c r="I145" s="1">
        <v>792</v>
      </c>
      <c r="J145" s="1">
        <v>2644</v>
      </c>
      <c r="K145" s="1">
        <v>-59.9</v>
      </c>
      <c r="L145" s="1">
        <v>5.2</v>
      </c>
      <c r="M145" s="1">
        <v>1.5</v>
      </c>
    </row>
    <row r="146" spans="1:13" x14ac:dyDescent="0.25">
      <c r="A146" s="1">
        <v>425</v>
      </c>
      <c r="B146" s="1">
        <v>647</v>
      </c>
      <c r="C146" s="1">
        <v>1766</v>
      </c>
      <c r="D146" s="1">
        <v>-88</v>
      </c>
      <c r="E146" s="1">
        <v>7.1</v>
      </c>
      <c r="F146" s="1">
        <v>2.1</v>
      </c>
      <c r="H146" s="1">
        <v>425</v>
      </c>
      <c r="I146" s="1">
        <v>784</v>
      </c>
      <c r="J146" s="1">
        <v>2589</v>
      </c>
      <c r="K146" s="1">
        <v>-71.400000000000006</v>
      </c>
      <c r="L146" s="1">
        <v>5.8</v>
      </c>
      <c r="M146" s="1">
        <v>1.7</v>
      </c>
    </row>
    <row r="147" spans="1:13" x14ac:dyDescent="0.25">
      <c r="A147" s="1">
        <v>450</v>
      </c>
      <c r="B147" s="1">
        <v>633</v>
      </c>
      <c r="C147" s="1">
        <v>1685</v>
      </c>
      <c r="D147" s="1">
        <v>-103.9</v>
      </c>
      <c r="E147" s="1">
        <v>7.9</v>
      </c>
      <c r="F147" s="1">
        <v>2.2999999999999998</v>
      </c>
      <c r="H147" s="1">
        <v>450</v>
      </c>
      <c r="I147" s="1">
        <v>776</v>
      </c>
      <c r="J147" s="1">
        <v>2534</v>
      </c>
      <c r="K147" s="1">
        <v>-83.5</v>
      </c>
      <c r="L147" s="1">
        <v>6.4</v>
      </c>
      <c r="M147" s="1">
        <v>1.9</v>
      </c>
    </row>
    <row r="148" spans="1:13" x14ac:dyDescent="0.25">
      <c r="A148" s="1">
        <v>475</v>
      </c>
      <c r="B148" s="1">
        <v>618</v>
      </c>
      <c r="C148" s="1">
        <v>1608</v>
      </c>
      <c r="D148" s="1">
        <v>-121.3</v>
      </c>
      <c r="E148" s="1">
        <v>8.8000000000000007</v>
      </c>
      <c r="F148" s="1">
        <v>2.6</v>
      </c>
      <c r="H148" s="1">
        <v>475</v>
      </c>
      <c r="I148" s="1">
        <v>767</v>
      </c>
      <c r="J148" s="1">
        <v>2480</v>
      </c>
      <c r="K148" s="1">
        <v>-96.6</v>
      </c>
      <c r="L148" s="1">
        <v>7</v>
      </c>
      <c r="M148" s="1">
        <v>2</v>
      </c>
    </row>
    <row r="149" spans="1:13" x14ac:dyDescent="0.25">
      <c r="A149" s="1">
        <v>500</v>
      </c>
      <c r="B149" s="1">
        <v>604</v>
      </c>
      <c r="C149" s="1">
        <v>1536</v>
      </c>
      <c r="D149" s="1">
        <v>-140.5</v>
      </c>
      <c r="E149" s="1">
        <v>9.6999999999999993</v>
      </c>
      <c r="F149" s="1">
        <v>2.8</v>
      </c>
      <c r="H149" s="1">
        <v>500</v>
      </c>
      <c r="I149" s="1">
        <v>759</v>
      </c>
      <c r="J149" s="1">
        <v>2430</v>
      </c>
      <c r="K149" s="1">
        <v>-110.8</v>
      </c>
      <c r="L149" s="1">
        <v>7.6</v>
      </c>
      <c r="M149" s="1">
        <v>2.2000000000000002</v>
      </c>
    </row>
    <row r="151" spans="1:13" x14ac:dyDescent="0.25">
      <c r="A151" t="s">
        <v>73</v>
      </c>
      <c r="H151" t="s">
        <v>80</v>
      </c>
    </row>
    <row r="152" spans="1:13" x14ac:dyDescent="0.25">
      <c r="A152" t="s">
        <v>12</v>
      </c>
      <c r="B152" t="s">
        <v>13</v>
      </c>
      <c r="C152" t="s">
        <v>14</v>
      </c>
      <c r="D152" t="s">
        <v>15</v>
      </c>
      <c r="E152" t="s">
        <v>16</v>
      </c>
      <c r="F152" t="s">
        <v>17</v>
      </c>
      <c r="H152" t="s">
        <v>12</v>
      </c>
      <c r="I152" t="s">
        <v>13</v>
      </c>
      <c r="J152" t="s">
        <v>14</v>
      </c>
      <c r="K152" t="s">
        <v>15</v>
      </c>
      <c r="L152" t="s">
        <v>16</v>
      </c>
      <c r="M152" t="s">
        <v>17</v>
      </c>
    </row>
    <row r="153" spans="1:13" x14ac:dyDescent="0.25">
      <c r="A153" s="1">
        <v>0</v>
      </c>
      <c r="B153" s="1">
        <v>933</v>
      </c>
      <c r="C153" s="1">
        <v>3665</v>
      </c>
      <c r="D153" s="1">
        <v>-3.8</v>
      </c>
      <c r="E153" s="1">
        <v>0</v>
      </c>
      <c r="F153" s="1">
        <v>0</v>
      </c>
      <c r="H153" s="1">
        <v>0</v>
      </c>
      <c r="I153" s="1">
        <v>933</v>
      </c>
      <c r="J153" s="1">
        <v>3664</v>
      </c>
      <c r="K153" s="1">
        <v>-3.8</v>
      </c>
      <c r="L153" s="1">
        <v>0</v>
      </c>
      <c r="M153" s="1">
        <v>0</v>
      </c>
    </row>
    <row r="154" spans="1:13" x14ac:dyDescent="0.25">
      <c r="A154" s="1">
        <v>25</v>
      </c>
      <c r="B154" s="1">
        <v>914</v>
      </c>
      <c r="C154" s="1">
        <v>3519</v>
      </c>
      <c r="D154" s="1">
        <v>-0.5</v>
      </c>
      <c r="E154" s="1">
        <v>0.7</v>
      </c>
      <c r="F154" s="1">
        <v>0.2</v>
      </c>
      <c r="H154" s="1">
        <v>25</v>
      </c>
      <c r="I154" s="1">
        <v>923</v>
      </c>
      <c r="J154" s="1">
        <v>3592</v>
      </c>
      <c r="K154" s="1">
        <v>-0.7</v>
      </c>
      <c r="L154" s="1">
        <v>1</v>
      </c>
      <c r="M154" s="1">
        <v>0.3</v>
      </c>
    </row>
    <row r="155" spans="1:13" x14ac:dyDescent="0.25">
      <c r="A155" s="1">
        <v>50</v>
      </c>
      <c r="B155" s="1">
        <v>896</v>
      </c>
      <c r="C155" s="1">
        <v>3379</v>
      </c>
      <c r="D155" s="1">
        <v>2.1</v>
      </c>
      <c r="E155" s="1">
        <v>-1.4</v>
      </c>
      <c r="F155" s="1">
        <v>-0.4</v>
      </c>
      <c r="H155" s="1">
        <v>50</v>
      </c>
      <c r="I155" s="1">
        <v>914</v>
      </c>
      <c r="J155" s="1">
        <v>3521</v>
      </c>
      <c r="K155" s="1">
        <v>1.7</v>
      </c>
      <c r="L155" s="1">
        <v>-1.2</v>
      </c>
      <c r="M155" s="1">
        <v>-0.3</v>
      </c>
    </row>
    <row r="156" spans="1:13" x14ac:dyDescent="0.25">
      <c r="A156" s="1">
        <v>75</v>
      </c>
      <c r="B156" s="1">
        <v>878</v>
      </c>
      <c r="C156" s="1">
        <v>3244</v>
      </c>
      <c r="D156" s="1">
        <v>3.9</v>
      </c>
      <c r="E156" s="1">
        <v>-1.8</v>
      </c>
      <c r="F156" s="1">
        <v>-0.5</v>
      </c>
      <c r="H156" s="1">
        <v>75</v>
      </c>
      <c r="I156" s="1">
        <v>905</v>
      </c>
      <c r="J156" s="1">
        <v>3452</v>
      </c>
      <c r="K156" s="1">
        <v>3.4</v>
      </c>
      <c r="L156" s="1">
        <v>-1.5</v>
      </c>
      <c r="M156" s="1">
        <v>-0.4</v>
      </c>
    </row>
    <row r="157" spans="1:13" x14ac:dyDescent="0.25">
      <c r="A157" s="1">
        <v>100</v>
      </c>
      <c r="B157" s="1">
        <v>860</v>
      </c>
      <c r="C157" s="1">
        <v>3114</v>
      </c>
      <c r="D157" s="1">
        <v>4.9000000000000004</v>
      </c>
      <c r="E157" s="1">
        <v>-1.7</v>
      </c>
      <c r="F157" s="1">
        <v>-0.5</v>
      </c>
      <c r="H157" s="1">
        <v>100</v>
      </c>
      <c r="I157" s="1">
        <v>896</v>
      </c>
      <c r="J157" s="1">
        <v>3384</v>
      </c>
      <c r="K157" s="1">
        <v>4.3</v>
      </c>
      <c r="L157" s="1">
        <v>-1.5</v>
      </c>
      <c r="M157" s="1">
        <v>-0.4</v>
      </c>
    </row>
    <row r="158" spans="1:13" x14ac:dyDescent="0.25">
      <c r="A158" s="1">
        <v>125</v>
      </c>
      <c r="B158" s="1">
        <v>842</v>
      </c>
      <c r="C158" s="1">
        <v>2988</v>
      </c>
      <c r="D158" s="1">
        <v>5</v>
      </c>
      <c r="E158" s="1">
        <v>-1.4</v>
      </c>
      <c r="F158" s="1">
        <v>-0.4</v>
      </c>
      <c r="H158" s="1">
        <v>125</v>
      </c>
      <c r="I158" s="1">
        <v>887</v>
      </c>
      <c r="J158" s="1">
        <v>3317</v>
      </c>
      <c r="K158" s="1">
        <v>4.4000000000000004</v>
      </c>
      <c r="L158" s="1">
        <v>-1.2</v>
      </c>
      <c r="M158" s="1">
        <v>-0.4</v>
      </c>
    </row>
    <row r="159" spans="1:13" x14ac:dyDescent="0.25">
      <c r="A159" s="1">
        <v>150</v>
      </c>
      <c r="B159" s="1">
        <v>825</v>
      </c>
      <c r="C159" s="1">
        <v>2866</v>
      </c>
      <c r="D159" s="1">
        <v>4.3</v>
      </c>
      <c r="E159" s="1">
        <v>-1</v>
      </c>
      <c r="F159" s="1">
        <v>-0.3</v>
      </c>
      <c r="H159" s="1">
        <v>150</v>
      </c>
      <c r="I159" s="1">
        <v>879</v>
      </c>
      <c r="J159" s="1">
        <v>3251</v>
      </c>
      <c r="K159" s="1">
        <v>3.8</v>
      </c>
      <c r="L159" s="1">
        <v>-0.9</v>
      </c>
      <c r="M159" s="1">
        <v>-0.3</v>
      </c>
    </row>
    <row r="160" spans="1:13" x14ac:dyDescent="0.25">
      <c r="A160" s="1">
        <v>175</v>
      </c>
      <c r="B160" s="1">
        <v>808</v>
      </c>
      <c r="C160" s="1">
        <v>2748</v>
      </c>
      <c r="D160" s="1">
        <v>2.7</v>
      </c>
      <c r="E160" s="1">
        <v>-0.5</v>
      </c>
      <c r="F160" s="1">
        <v>-0.2</v>
      </c>
      <c r="H160" s="1">
        <v>175</v>
      </c>
      <c r="I160" s="1">
        <v>870</v>
      </c>
      <c r="J160" s="1">
        <v>3186</v>
      </c>
      <c r="K160" s="1">
        <v>2.2999999999999998</v>
      </c>
      <c r="L160" s="1">
        <v>-0.5</v>
      </c>
      <c r="M160" s="1">
        <v>-0.1</v>
      </c>
    </row>
    <row r="161" spans="1:13" x14ac:dyDescent="0.25">
      <c r="A161" s="10">
        <v>200</v>
      </c>
      <c r="B161" s="10">
        <v>791</v>
      </c>
      <c r="C161" s="10">
        <v>2634</v>
      </c>
      <c r="D161" s="10">
        <v>0</v>
      </c>
      <c r="E161" s="10">
        <v>0</v>
      </c>
      <c r="F161" s="10">
        <v>0</v>
      </c>
      <c r="H161" s="1">
        <v>200</v>
      </c>
      <c r="I161" s="1">
        <v>861</v>
      </c>
      <c r="J161" s="1">
        <v>3122</v>
      </c>
      <c r="K161" s="1">
        <v>0</v>
      </c>
      <c r="L161" s="1">
        <v>0</v>
      </c>
      <c r="M161" s="1">
        <v>0</v>
      </c>
    </row>
    <row r="162" spans="1:13" x14ac:dyDescent="0.25">
      <c r="A162" s="1">
        <v>225</v>
      </c>
      <c r="B162" s="1">
        <v>774</v>
      </c>
      <c r="C162" s="1">
        <v>2524</v>
      </c>
      <c r="D162" s="1">
        <v>-3.6</v>
      </c>
      <c r="E162" s="1">
        <v>0.6</v>
      </c>
      <c r="F162" s="1">
        <v>0.2</v>
      </c>
      <c r="H162" s="1">
        <v>225</v>
      </c>
      <c r="I162" s="1">
        <v>852</v>
      </c>
      <c r="J162" s="1">
        <v>3059</v>
      </c>
      <c r="K162" s="1">
        <v>-3.1</v>
      </c>
      <c r="L162" s="1">
        <v>0.5</v>
      </c>
      <c r="M162" s="1">
        <v>0.1</v>
      </c>
    </row>
    <row r="163" spans="1:13" x14ac:dyDescent="0.25">
      <c r="A163" s="1">
        <v>250</v>
      </c>
      <c r="B163" s="1">
        <v>758</v>
      </c>
      <c r="C163" s="1">
        <v>2418</v>
      </c>
      <c r="D163" s="1">
        <v>-8.1999999999999993</v>
      </c>
      <c r="E163" s="1">
        <v>1.1000000000000001</v>
      </c>
      <c r="F163" s="1">
        <v>0.3</v>
      </c>
      <c r="H163" s="1">
        <v>250</v>
      </c>
      <c r="I163" s="1">
        <v>843</v>
      </c>
      <c r="J163" s="1">
        <v>2997</v>
      </c>
      <c r="K163" s="1">
        <v>-7</v>
      </c>
      <c r="L163" s="1">
        <v>1</v>
      </c>
      <c r="M163" s="1">
        <v>0.3</v>
      </c>
    </row>
    <row r="164" spans="1:13" x14ac:dyDescent="0.25">
      <c r="A164" s="1">
        <v>275</v>
      </c>
      <c r="B164" s="1">
        <v>741</v>
      </c>
      <c r="C164" s="1">
        <v>2315</v>
      </c>
      <c r="D164" s="1">
        <v>-14.2</v>
      </c>
      <c r="E164" s="1">
        <v>1.8</v>
      </c>
      <c r="F164" s="1">
        <v>0.5</v>
      </c>
      <c r="H164" s="1">
        <v>275</v>
      </c>
      <c r="I164" s="1">
        <v>835</v>
      </c>
      <c r="J164" s="1">
        <v>2936</v>
      </c>
      <c r="K164" s="1">
        <v>-12</v>
      </c>
      <c r="L164" s="1">
        <v>1.5</v>
      </c>
      <c r="M164" s="1">
        <v>0.4</v>
      </c>
    </row>
    <row r="165" spans="1:13" x14ac:dyDescent="0.25">
      <c r="A165" s="1">
        <v>300</v>
      </c>
      <c r="B165" s="1">
        <v>725</v>
      </c>
      <c r="C165" s="1">
        <v>2215</v>
      </c>
      <c r="D165" s="1">
        <v>-21.1</v>
      </c>
      <c r="E165" s="1">
        <v>2.4</v>
      </c>
      <c r="F165" s="1">
        <v>0.7</v>
      </c>
      <c r="H165" s="1">
        <v>300</v>
      </c>
      <c r="I165" s="1">
        <v>826</v>
      </c>
      <c r="J165" s="1">
        <v>2875</v>
      </c>
      <c r="K165" s="1">
        <v>-17.7</v>
      </c>
      <c r="L165" s="1">
        <v>2</v>
      </c>
      <c r="M165" s="1">
        <v>0.6</v>
      </c>
    </row>
    <row r="166" spans="1:13" x14ac:dyDescent="0.25">
      <c r="A166" s="1">
        <v>325</v>
      </c>
      <c r="B166" s="1">
        <v>709</v>
      </c>
      <c r="C166" s="1">
        <v>2119</v>
      </c>
      <c r="D166" s="1">
        <v>-29.2</v>
      </c>
      <c r="E166" s="1">
        <v>3.1</v>
      </c>
      <c r="F166" s="1">
        <v>0.9</v>
      </c>
      <c r="H166" s="1">
        <v>325</v>
      </c>
      <c r="I166" s="1">
        <v>818</v>
      </c>
      <c r="J166" s="1">
        <v>2816</v>
      </c>
      <c r="K166" s="1">
        <v>-24.2</v>
      </c>
      <c r="L166" s="1">
        <v>2.6</v>
      </c>
      <c r="M166" s="1">
        <v>0.7</v>
      </c>
    </row>
    <row r="167" spans="1:13" x14ac:dyDescent="0.25">
      <c r="A167" s="1">
        <v>350</v>
      </c>
      <c r="B167" s="1">
        <v>694</v>
      </c>
      <c r="C167" s="1">
        <v>2026</v>
      </c>
      <c r="D167" s="1">
        <v>-38.9</v>
      </c>
      <c r="E167" s="1">
        <v>3.8</v>
      </c>
      <c r="F167" s="1">
        <v>1.1000000000000001</v>
      </c>
      <c r="H167" s="1">
        <v>350</v>
      </c>
      <c r="I167" s="1">
        <v>809</v>
      </c>
      <c r="J167" s="1">
        <v>2758</v>
      </c>
      <c r="K167" s="1">
        <v>-32</v>
      </c>
      <c r="L167" s="1">
        <v>3.1</v>
      </c>
      <c r="M167" s="1">
        <v>0.9</v>
      </c>
    </row>
    <row r="168" spans="1:13" x14ac:dyDescent="0.25">
      <c r="A168" s="1">
        <v>375</v>
      </c>
      <c r="B168" s="1">
        <v>678</v>
      </c>
      <c r="C168" s="1">
        <v>1936</v>
      </c>
      <c r="D168" s="1">
        <v>-49.6</v>
      </c>
      <c r="E168" s="1">
        <v>4.5</v>
      </c>
      <c r="F168" s="1">
        <v>1.3</v>
      </c>
      <c r="H168" s="1">
        <v>375</v>
      </c>
      <c r="I168" s="1">
        <v>801</v>
      </c>
      <c r="J168" s="1">
        <v>2701</v>
      </c>
      <c r="K168" s="1">
        <v>-40.5</v>
      </c>
      <c r="L168" s="1">
        <v>3.7</v>
      </c>
      <c r="M168" s="1">
        <v>1.1000000000000001</v>
      </c>
    </row>
    <row r="169" spans="1:13" x14ac:dyDescent="0.25">
      <c r="A169" s="1">
        <v>400</v>
      </c>
      <c r="B169" s="1">
        <v>663</v>
      </c>
      <c r="C169" s="1">
        <v>1850</v>
      </c>
      <c r="D169" s="1">
        <v>-61.7</v>
      </c>
      <c r="E169" s="1">
        <v>5.3</v>
      </c>
      <c r="F169" s="1">
        <v>1.5</v>
      </c>
      <c r="H169" s="1">
        <v>400</v>
      </c>
      <c r="I169" s="1">
        <v>792</v>
      </c>
      <c r="J169" s="1">
        <v>2644</v>
      </c>
      <c r="K169" s="1">
        <v>-50</v>
      </c>
      <c r="L169" s="1">
        <v>4.3</v>
      </c>
      <c r="M169" s="1">
        <v>1.2</v>
      </c>
    </row>
    <row r="170" spans="1:13" x14ac:dyDescent="0.25">
      <c r="A170" s="1">
        <v>425</v>
      </c>
      <c r="B170" s="1">
        <v>647</v>
      </c>
      <c r="C170" s="1">
        <v>1766</v>
      </c>
      <c r="D170" s="1">
        <v>-75.8</v>
      </c>
      <c r="E170" s="1">
        <v>6.1</v>
      </c>
      <c r="F170" s="1">
        <v>1.8</v>
      </c>
      <c r="H170" s="1">
        <v>425</v>
      </c>
      <c r="I170" s="1">
        <v>784</v>
      </c>
      <c r="J170" s="1">
        <v>2589</v>
      </c>
      <c r="K170" s="1">
        <v>-60.8</v>
      </c>
      <c r="L170" s="1">
        <v>4.9000000000000004</v>
      </c>
      <c r="M170" s="1">
        <v>1.4</v>
      </c>
    </row>
    <row r="171" spans="1:13" x14ac:dyDescent="0.25">
      <c r="A171" s="1">
        <v>450</v>
      </c>
      <c r="B171" s="1">
        <v>633</v>
      </c>
      <c r="C171" s="1">
        <v>1685</v>
      </c>
      <c r="D171" s="1">
        <v>-90.9</v>
      </c>
      <c r="E171" s="1">
        <v>6.9</v>
      </c>
      <c r="F171" s="1">
        <v>2</v>
      </c>
      <c r="H171" s="1">
        <v>450</v>
      </c>
      <c r="I171" s="1">
        <v>776</v>
      </c>
      <c r="J171" s="1">
        <v>2534</v>
      </c>
      <c r="K171" s="1">
        <v>-72.2</v>
      </c>
      <c r="L171" s="1">
        <v>5.5</v>
      </c>
      <c r="M171" s="1">
        <v>1.6</v>
      </c>
    </row>
    <row r="172" spans="1:13" x14ac:dyDescent="0.25">
      <c r="A172" s="1">
        <v>475</v>
      </c>
      <c r="B172" s="1">
        <v>618</v>
      </c>
      <c r="C172" s="1">
        <v>1608</v>
      </c>
      <c r="D172" s="1">
        <v>-107.7</v>
      </c>
      <c r="E172" s="1">
        <v>7.8</v>
      </c>
      <c r="F172" s="1">
        <v>2.2999999999999998</v>
      </c>
      <c r="H172" s="1">
        <v>475</v>
      </c>
      <c r="I172" s="1">
        <v>767</v>
      </c>
      <c r="J172" s="1">
        <v>2480</v>
      </c>
      <c r="K172" s="1">
        <v>-84.7</v>
      </c>
      <c r="L172" s="1">
        <v>6.1</v>
      </c>
      <c r="M172" s="1">
        <v>1.8</v>
      </c>
    </row>
    <row r="173" spans="1:13" x14ac:dyDescent="0.25">
      <c r="A173" s="1">
        <v>500</v>
      </c>
      <c r="B173" s="1">
        <v>604</v>
      </c>
      <c r="C173" s="1">
        <v>1536</v>
      </c>
      <c r="D173" s="1">
        <v>-126.2</v>
      </c>
      <c r="E173" s="1">
        <v>8.6999999999999993</v>
      </c>
      <c r="F173" s="1">
        <v>2.5</v>
      </c>
      <c r="H173" s="1">
        <v>500</v>
      </c>
      <c r="I173" s="1">
        <v>759</v>
      </c>
      <c r="J173" s="1">
        <v>2429</v>
      </c>
      <c r="K173" s="1">
        <v>-98.3</v>
      </c>
      <c r="L173" s="1">
        <v>6.8</v>
      </c>
      <c r="M173" s="1">
        <v>2</v>
      </c>
    </row>
    <row r="175" spans="1:13" x14ac:dyDescent="0.25">
      <c r="A175" t="s">
        <v>74</v>
      </c>
      <c r="H175" t="s">
        <v>81</v>
      </c>
    </row>
    <row r="176" spans="1:13" x14ac:dyDescent="0.25">
      <c r="A176" t="s">
        <v>12</v>
      </c>
      <c r="B176" t="s">
        <v>13</v>
      </c>
      <c r="C176" t="s">
        <v>14</v>
      </c>
      <c r="D176" t="s">
        <v>15</v>
      </c>
      <c r="E176" t="s">
        <v>16</v>
      </c>
      <c r="F176" t="s">
        <v>17</v>
      </c>
      <c r="H176" t="s">
        <v>12</v>
      </c>
      <c r="I176" t="s">
        <v>13</v>
      </c>
      <c r="J176" t="s">
        <v>14</v>
      </c>
      <c r="K176" t="s">
        <v>15</v>
      </c>
      <c r="L176" t="s">
        <v>16</v>
      </c>
      <c r="M176" t="s">
        <v>17</v>
      </c>
    </row>
    <row r="177" spans="1:13" x14ac:dyDescent="0.25">
      <c r="A177" s="1">
        <v>0</v>
      </c>
      <c r="B177" s="1">
        <v>933</v>
      </c>
      <c r="C177" s="1">
        <v>3665</v>
      </c>
      <c r="D177" s="1">
        <v>-3.8</v>
      </c>
      <c r="E177" s="1">
        <v>0</v>
      </c>
      <c r="F177" s="1">
        <v>0</v>
      </c>
      <c r="H177" s="1">
        <v>0</v>
      </c>
      <c r="I177" s="1">
        <v>933</v>
      </c>
      <c r="J177" s="1">
        <v>3664</v>
      </c>
      <c r="K177" s="1">
        <v>-3.8</v>
      </c>
      <c r="L177" s="1">
        <v>0</v>
      </c>
      <c r="M177" s="1">
        <v>0</v>
      </c>
    </row>
    <row r="178" spans="1:13" x14ac:dyDescent="0.25">
      <c r="A178" s="1">
        <v>25</v>
      </c>
      <c r="B178" s="1">
        <v>914</v>
      </c>
      <c r="C178" s="1">
        <v>3519</v>
      </c>
      <c r="D178" s="1">
        <v>1.2</v>
      </c>
      <c r="E178" s="1">
        <v>-1.7</v>
      </c>
      <c r="F178" s="1">
        <v>-0.5</v>
      </c>
      <c r="H178" s="1">
        <v>25</v>
      </c>
      <c r="I178" s="1">
        <v>923</v>
      </c>
      <c r="J178" s="1">
        <v>3592</v>
      </c>
      <c r="K178" s="1">
        <v>0.8</v>
      </c>
      <c r="L178" s="1">
        <v>-1</v>
      </c>
      <c r="M178" s="1">
        <v>-0.3</v>
      </c>
    </row>
    <row r="179" spans="1:13" x14ac:dyDescent="0.25">
      <c r="A179" s="1">
        <v>50</v>
      </c>
      <c r="B179" s="1">
        <v>896</v>
      </c>
      <c r="C179" s="1">
        <v>3379</v>
      </c>
      <c r="D179" s="1">
        <v>5.7</v>
      </c>
      <c r="E179" s="1">
        <v>-3.9</v>
      </c>
      <c r="F179" s="1">
        <v>-1.1000000000000001</v>
      </c>
      <c r="H179" s="1">
        <v>50</v>
      </c>
      <c r="I179" s="1">
        <v>914</v>
      </c>
      <c r="J179" s="1">
        <v>3521</v>
      </c>
      <c r="K179" s="1">
        <v>4.7</v>
      </c>
      <c r="L179" s="1">
        <v>-3.2</v>
      </c>
      <c r="M179" s="1">
        <v>-0.9</v>
      </c>
    </row>
    <row r="180" spans="1:13" x14ac:dyDescent="0.25">
      <c r="A180" s="1">
        <v>75</v>
      </c>
      <c r="B180" s="1">
        <v>878</v>
      </c>
      <c r="C180" s="1">
        <v>3244</v>
      </c>
      <c r="D180" s="1">
        <v>9.1999999999999993</v>
      </c>
      <c r="E180" s="1">
        <v>-4.2</v>
      </c>
      <c r="F180" s="1">
        <v>-1.2</v>
      </c>
      <c r="H180" s="1">
        <v>75</v>
      </c>
      <c r="I180" s="1">
        <v>905</v>
      </c>
      <c r="J180" s="1">
        <v>3452</v>
      </c>
      <c r="K180" s="1">
        <v>7.8</v>
      </c>
      <c r="L180" s="1">
        <v>-3.6</v>
      </c>
      <c r="M180" s="1">
        <v>-1</v>
      </c>
    </row>
    <row r="181" spans="1:13" x14ac:dyDescent="0.25">
      <c r="A181" s="1">
        <v>100</v>
      </c>
      <c r="B181" s="1">
        <v>860</v>
      </c>
      <c r="C181" s="1">
        <v>3114</v>
      </c>
      <c r="D181" s="1">
        <v>11.9</v>
      </c>
      <c r="E181" s="1">
        <v>-4.0999999999999996</v>
      </c>
      <c r="F181" s="1">
        <v>-1.2</v>
      </c>
      <c r="H181" s="1">
        <v>100</v>
      </c>
      <c r="I181" s="1">
        <v>896</v>
      </c>
      <c r="J181" s="1">
        <v>3384</v>
      </c>
      <c r="K181" s="1">
        <v>10.1</v>
      </c>
      <c r="L181" s="1">
        <v>-3.5</v>
      </c>
      <c r="M181" s="1">
        <v>-1</v>
      </c>
    </row>
    <row r="182" spans="1:13" x14ac:dyDescent="0.25">
      <c r="A182" s="1">
        <v>125</v>
      </c>
      <c r="B182" s="1">
        <v>842</v>
      </c>
      <c r="C182" s="1">
        <v>2988</v>
      </c>
      <c r="D182" s="1">
        <v>13.9</v>
      </c>
      <c r="E182" s="1">
        <v>-3.8</v>
      </c>
      <c r="F182" s="1">
        <v>-1.1000000000000001</v>
      </c>
      <c r="H182" s="1">
        <v>125</v>
      </c>
      <c r="I182" s="1">
        <v>887</v>
      </c>
      <c r="J182" s="1">
        <v>3317</v>
      </c>
      <c r="K182" s="1">
        <v>11.8</v>
      </c>
      <c r="L182" s="1">
        <v>-3.2</v>
      </c>
      <c r="M182" s="1">
        <v>-0.9</v>
      </c>
    </row>
    <row r="183" spans="1:13" x14ac:dyDescent="0.25">
      <c r="A183" s="1">
        <v>150</v>
      </c>
      <c r="B183" s="1">
        <v>825</v>
      </c>
      <c r="C183" s="1">
        <v>2866</v>
      </c>
      <c r="D183" s="1">
        <v>14.9</v>
      </c>
      <c r="E183" s="1">
        <v>-3.4</v>
      </c>
      <c r="F183" s="1">
        <v>-1</v>
      </c>
      <c r="H183" s="1">
        <v>150</v>
      </c>
      <c r="I183" s="1">
        <v>879</v>
      </c>
      <c r="J183" s="1">
        <v>3251</v>
      </c>
      <c r="K183" s="1">
        <v>12.6</v>
      </c>
      <c r="L183" s="1">
        <v>-2.9</v>
      </c>
      <c r="M183" s="1">
        <v>-0.8</v>
      </c>
    </row>
    <row r="184" spans="1:13" x14ac:dyDescent="0.25">
      <c r="A184" s="1">
        <v>175</v>
      </c>
      <c r="B184" s="1">
        <v>808</v>
      </c>
      <c r="C184" s="1">
        <v>2748</v>
      </c>
      <c r="D184" s="1">
        <v>15</v>
      </c>
      <c r="E184" s="1">
        <v>-2.9</v>
      </c>
      <c r="F184" s="1">
        <v>-0.9</v>
      </c>
      <c r="H184" s="1">
        <v>175</v>
      </c>
      <c r="I184" s="1">
        <v>870</v>
      </c>
      <c r="J184" s="1">
        <v>3186</v>
      </c>
      <c r="K184" s="1">
        <v>12.6</v>
      </c>
      <c r="L184" s="1">
        <v>-2.5</v>
      </c>
      <c r="M184" s="1">
        <v>-0.7</v>
      </c>
    </row>
    <row r="185" spans="1:13" x14ac:dyDescent="0.25">
      <c r="A185" s="1">
        <v>200</v>
      </c>
      <c r="B185" s="1">
        <v>791</v>
      </c>
      <c r="C185" s="1">
        <v>2634</v>
      </c>
      <c r="D185" s="1">
        <v>14.1</v>
      </c>
      <c r="E185" s="1">
        <v>-2.4</v>
      </c>
      <c r="F185" s="1">
        <v>-0.7</v>
      </c>
      <c r="H185" s="1">
        <v>200</v>
      </c>
      <c r="I185" s="1">
        <v>861</v>
      </c>
      <c r="J185" s="1">
        <v>3122</v>
      </c>
      <c r="K185" s="1">
        <v>11.8</v>
      </c>
      <c r="L185" s="1">
        <v>-2</v>
      </c>
      <c r="M185" s="1">
        <v>-0.6</v>
      </c>
    </row>
    <row r="186" spans="1:13" x14ac:dyDescent="0.25">
      <c r="A186" s="1">
        <v>225</v>
      </c>
      <c r="B186" s="1">
        <v>774</v>
      </c>
      <c r="C186" s="1">
        <v>2524</v>
      </c>
      <c r="D186" s="1">
        <v>12.3</v>
      </c>
      <c r="E186" s="1">
        <v>-1.9</v>
      </c>
      <c r="F186" s="1">
        <v>-0.5</v>
      </c>
      <c r="H186" s="1">
        <v>225</v>
      </c>
      <c r="I186" s="1">
        <v>852</v>
      </c>
      <c r="J186" s="1">
        <v>3059</v>
      </c>
      <c r="K186" s="1">
        <v>10.199999999999999</v>
      </c>
      <c r="L186" s="1">
        <v>-1.6</v>
      </c>
      <c r="M186" s="1">
        <v>-0.5</v>
      </c>
    </row>
    <row r="187" spans="1:13" x14ac:dyDescent="0.25">
      <c r="A187" s="1">
        <v>250</v>
      </c>
      <c r="B187" s="1">
        <v>758</v>
      </c>
      <c r="C187" s="1">
        <v>2418</v>
      </c>
      <c r="D187" s="1">
        <v>9.4</v>
      </c>
      <c r="E187" s="1">
        <v>-1.3</v>
      </c>
      <c r="F187" s="1">
        <v>-0.4</v>
      </c>
      <c r="H187" s="1">
        <v>250</v>
      </c>
      <c r="I187" s="1">
        <v>843</v>
      </c>
      <c r="J187" s="1">
        <v>2997</v>
      </c>
      <c r="K187" s="1">
        <v>7.7</v>
      </c>
      <c r="L187" s="1">
        <v>-1.1000000000000001</v>
      </c>
      <c r="M187" s="1">
        <v>-0.3</v>
      </c>
    </row>
    <row r="188" spans="1:13" x14ac:dyDescent="0.25">
      <c r="A188" s="1">
        <v>275</v>
      </c>
      <c r="B188" s="1">
        <v>741</v>
      </c>
      <c r="C188" s="1">
        <v>2315</v>
      </c>
      <c r="D188" s="1">
        <v>5.2</v>
      </c>
      <c r="E188" s="1">
        <v>-0.7</v>
      </c>
      <c r="F188" s="1">
        <v>-0.2</v>
      </c>
      <c r="H188" s="1">
        <v>275</v>
      </c>
      <c r="I188" s="1">
        <v>835</v>
      </c>
      <c r="J188" s="1">
        <v>2936</v>
      </c>
      <c r="K188" s="1">
        <v>4.2</v>
      </c>
      <c r="L188" s="1">
        <v>-0.5</v>
      </c>
      <c r="M188" s="1">
        <v>-0.2</v>
      </c>
    </row>
    <row r="189" spans="1:13" x14ac:dyDescent="0.25">
      <c r="A189" s="10">
        <v>300</v>
      </c>
      <c r="B189" s="10">
        <v>725</v>
      </c>
      <c r="C189" s="10">
        <v>2215</v>
      </c>
      <c r="D189" s="10">
        <v>0.1</v>
      </c>
      <c r="E189" s="10">
        <v>0</v>
      </c>
      <c r="F189" s="10">
        <v>0</v>
      </c>
      <c r="H189" s="1">
        <v>300</v>
      </c>
      <c r="I189" s="1">
        <v>826</v>
      </c>
      <c r="J189" s="1">
        <v>2875</v>
      </c>
      <c r="K189" s="1">
        <v>0</v>
      </c>
      <c r="L189" s="1">
        <v>0</v>
      </c>
      <c r="M189" s="1">
        <v>0</v>
      </c>
    </row>
    <row r="190" spans="1:13" x14ac:dyDescent="0.25">
      <c r="A190" s="1">
        <v>325</v>
      </c>
      <c r="B190" s="1">
        <v>709</v>
      </c>
      <c r="C190" s="1">
        <v>2119</v>
      </c>
      <c r="D190" s="1">
        <v>-6.3</v>
      </c>
      <c r="E190" s="1">
        <v>0.7</v>
      </c>
      <c r="F190" s="1">
        <v>0.2</v>
      </c>
      <c r="H190" s="1">
        <v>325</v>
      </c>
      <c r="I190" s="1">
        <v>818</v>
      </c>
      <c r="J190" s="1">
        <v>2816</v>
      </c>
      <c r="K190" s="1">
        <v>-5.0999999999999996</v>
      </c>
      <c r="L190" s="1">
        <v>0.5</v>
      </c>
      <c r="M190" s="1">
        <v>0.2</v>
      </c>
    </row>
    <row r="191" spans="1:13" x14ac:dyDescent="0.25">
      <c r="A191" s="1">
        <v>350</v>
      </c>
      <c r="B191" s="1">
        <v>694</v>
      </c>
      <c r="C191" s="1">
        <v>2026</v>
      </c>
      <c r="D191" s="1">
        <v>-14.2</v>
      </c>
      <c r="E191" s="1">
        <v>1.4</v>
      </c>
      <c r="F191" s="1">
        <v>0.4</v>
      </c>
      <c r="H191" s="1">
        <v>350</v>
      </c>
      <c r="I191" s="1">
        <v>809</v>
      </c>
      <c r="J191" s="1">
        <v>2758</v>
      </c>
      <c r="K191" s="1">
        <v>-11.4</v>
      </c>
      <c r="L191" s="1">
        <v>1.1000000000000001</v>
      </c>
      <c r="M191" s="1">
        <v>0.3</v>
      </c>
    </row>
    <row r="192" spans="1:13" x14ac:dyDescent="0.25">
      <c r="A192" s="1">
        <v>375</v>
      </c>
      <c r="B192" s="1">
        <v>678</v>
      </c>
      <c r="C192" s="1">
        <v>1936</v>
      </c>
      <c r="D192" s="1">
        <v>-23.2</v>
      </c>
      <c r="E192" s="1">
        <v>2.1</v>
      </c>
      <c r="F192" s="1">
        <v>0.6</v>
      </c>
      <c r="H192" s="1">
        <v>375</v>
      </c>
      <c r="I192" s="1">
        <v>801</v>
      </c>
      <c r="J192" s="1">
        <v>2701</v>
      </c>
      <c r="K192" s="1">
        <v>-18.399999999999999</v>
      </c>
      <c r="L192" s="1">
        <v>1.7</v>
      </c>
      <c r="M192" s="1">
        <v>0.5</v>
      </c>
    </row>
    <row r="193" spans="1:13" x14ac:dyDescent="0.25">
      <c r="A193" s="1">
        <v>400</v>
      </c>
      <c r="B193" s="1">
        <v>663</v>
      </c>
      <c r="C193" s="1">
        <v>1849</v>
      </c>
      <c r="D193" s="1">
        <v>-33.5</v>
      </c>
      <c r="E193" s="1">
        <v>2.9</v>
      </c>
      <c r="F193" s="1">
        <v>0.8</v>
      </c>
      <c r="H193" s="1">
        <v>400</v>
      </c>
      <c r="I193" s="1">
        <v>792</v>
      </c>
      <c r="J193" s="1">
        <v>2644</v>
      </c>
      <c r="K193" s="1">
        <v>-26.4</v>
      </c>
      <c r="L193" s="1">
        <v>2.2999999999999998</v>
      </c>
      <c r="M193" s="1">
        <v>0.7</v>
      </c>
    </row>
    <row r="194" spans="1:13" x14ac:dyDescent="0.25">
      <c r="A194" s="1">
        <v>425</v>
      </c>
      <c r="B194" s="1">
        <v>647</v>
      </c>
      <c r="C194" s="1">
        <v>1766</v>
      </c>
      <c r="D194" s="1">
        <v>-45.8</v>
      </c>
      <c r="E194" s="1">
        <v>3.7</v>
      </c>
      <c r="F194" s="1">
        <v>1.1000000000000001</v>
      </c>
      <c r="H194" s="1">
        <v>425</v>
      </c>
      <c r="I194" s="1">
        <v>784</v>
      </c>
      <c r="J194" s="1">
        <v>2589</v>
      </c>
      <c r="K194" s="1">
        <v>-35.700000000000003</v>
      </c>
      <c r="L194" s="1">
        <v>2.9</v>
      </c>
      <c r="M194" s="1">
        <v>0.8</v>
      </c>
    </row>
    <row r="195" spans="1:13" x14ac:dyDescent="0.25">
      <c r="A195" s="1">
        <v>450</v>
      </c>
      <c r="B195" s="1">
        <v>633</v>
      </c>
      <c r="C195" s="1">
        <v>1685</v>
      </c>
      <c r="D195" s="1">
        <v>-59.2</v>
      </c>
      <c r="E195" s="1">
        <v>4.5</v>
      </c>
      <c r="F195" s="1">
        <v>1.3</v>
      </c>
      <c r="H195" s="1">
        <v>450</v>
      </c>
      <c r="I195" s="1">
        <v>776</v>
      </c>
      <c r="J195" s="1">
        <v>2534</v>
      </c>
      <c r="K195" s="1">
        <v>-45.7</v>
      </c>
      <c r="L195" s="1">
        <v>3.5</v>
      </c>
      <c r="M195" s="1">
        <v>1</v>
      </c>
    </row>
    <row r="196" spans="1:13" x14ac:dyDescent="0.25">
      <c r="A196" s="1">
        <v>475</v>
      </c>
      <c r="B196" s="1">
        <v>618</v>
      </c>
      <c r="C196" s="1">
        <v>1608</v>
      </c>
      <c r="D196" s="1">
        <v>-74.3</v>
      </c>
      <c r="E196" s="1">
        <v>5.4</v>
      </c>
      <c r="F196" s="1">
        <v>1.6</v>
      </c>
      <c r="H196" s="1">
        <v>475</v>
      </c>
      <c r="I196" s="1">
        <v>767</v>
      </c>
      <c r="J196" s="1">
        <v>2480</v>
      </c>
      <c r="K196" s="1">
        <v>-56.8</v>
      </c>
      <c r="L196" s="1">
        <v>4.0999999999999996</v>
      </c>
      <c r="M196" s="1">
        <v>1.2</v>
      </c>
    </row>
    <row r="197" spans="1:13" x14ac:dyDescent="0.25">
      <c r="A197" s="1">
        <v>500</v>
      </c>
      <c r="B197" s="1">
        <v>604</v>
      </c>
      <c r="C197" s="1">
        <v>1536</v>
      </c>
      <c r="D197" s="1">
        <v>-91</v>
      </c>
      <c r="E197" s="1">
        <v>6.3</v>
      </c>
      <c r="F197" s="1">
        <v>1.8</v>
      </c>
      <c r="H197" s="1">
        <v>500</v>
      </c>
      <c r="I197" s="1">
        <v>759</v>
      </c>
      <c r="J197" s="1">
        <v>2429</v>
      </c>
      <c r="K197" s="1">
        <v>-68.900000000000006</v>
      </c>
      <c r="L197" s="1">
        <v>4.7</v>
      </c>
      <c r="M197" s="1">
        <v>1.4</v>
      </c>
    </row>
    <row r="199" spans="1:13" x14ac:dyDescent="0.25">
      <c r="A199" t="s">
        <v>75</v>
      </c>
      <c r="H199" t="s">
        <v>82</v>
      </c>
    </row>
    <row r="200" spans="1:13" x14ac:dyDescent="0.25">
      <c r="A200" t="s">
        <v>12</v>
      </c>
      <c r="B200" t="s">
        <v>13</v>
      </c>
      <c r="C200" t="s">
        <v>14</v>
      </c>
      <c r="D200" t="s">
        <v>15</v>
      </c>
      <c r="E200" t="s">
        <v>16</v>
      </c>
      <c r="F200" t="s">
        <v>17</v>
      </c>
      <c r="H200" t="s">
        <v>12</v>
      </c>
      <c r="I200" t="s">
        <v>13</v>
      </c>
      <c r="J200" t="s">
        <v>14</v>
      </c>
      <c r="K200" t="s">
        <v>15</v>
      </c>
      <c r="L200" t="s">
        <v>16</v>
      </c>
      <c r="M200" t="s">
        <v>17</v>
      </c>
    </row>
    <row r="201" spans="1:13" x14ac:dyDescent="0.25">
      <c r="A201" s="1">
        <v>0</v>
      </c>
      <c r="B201" s="1">
        <v>933</v>
      </c>
      <c r="C201" s="1">
        <v>3665</v>
      </c>
      <c r="D201" s="1">
        <v>-3.8</v>
      </c>
      <c r="E201" s="1">
        <v>0</v>
      </c>
      <c r="F201" s="1">
        <v>0</v>
      </c>
      <c r="H201" s="1">
        <v>0</v>
      </c>
      <c r="I201" s="1">
        <v>933</v>
      </c>
      <c r="J201" s="1">
        <v>3664</v>
      </c>
      <c r="K201" s="1">
        <v>-3.8</v>
      </c>
      <c r="L201" s="1">
        <v>0</v>
      </c>
      <c r="M201" s="1">
        <v>0</v>
      </c>
    </row>
    <row r="202" spans="1:13" x14ac:dyDescent="0.25">
      <c r="A202" s="1">
        <v>25</v>
      </c>
      <c r="B202" s="1">
        <v>914</v>
      </c>
      <c r="C202" s="1">
        <v>3519</v>
      </c>
      <c r="D202" s="1">
        <v>3.3</v>
      </c>
      <c r="E202" s="1">
        <v>-4.5999999999999996</v>
      </c>
      <c r="F202" s="1">
        <v>-1.3</v>
      </c>
      <c r="H202" s="1">
        <v>25</v>
      </c>
      <c r="I202" s="1">
        <v>923</v>
      </c>
      <c r="J202" s="1">
        <v>3592</v>
      </c>
      <c r="K202" s="1">
        <v>2.4</v>
      </c>
      <c r="L202" s="1">
        <v>-3.3</v>
      </c>
      <c r="M202" s="1">
        <v>-1</v>
      </c>
    </row>
    <row r="203" spans="1:13" x14ac:dyDescent="0.25">
      <c r="A203" s="1">
        <v>50</v>
      </c>
      <c r="B203" s="1">
        <v>896</v>
      </c>
      <c r="C203" s="1">
        <v>3379</v>
      </c>
      <c r="D203" s="1">
        <v>9.9</v>
      </c>
      <c r="E203" s="1">
        <v>-6.8</v>
      </c>
      <c r="F203" s="1">
        <v>-2</v>
      </c>
      <c r="H203" s="1">
        <v>50</v>
      </c>
      <c r="I203" s="1">
        <v>914</v>
      </c>
      <c r="J203" s="1">
        <v>3521</v>
      </c>
      <c r="K203" s="1">
        <v>8.1</v>
      </c>
      <c r="L203" s="1">
        <v>-5.5</v>
      </c>
      <c r="M203" s="1">
        <v>-1.6</v>
      </c>
    </row>
    <row r="204" spans="1:13" x14ac:dyDescent="0.25">
      <c r="A204" s="1">
        <v>75</v>
      </c>
      <c r="B204" s="1">
        <v>878</v>
      </c>
      <c r="C204" s="1">
        <v>3244</v>
      </c>
      <c r="D204" s="1">
        <v>15.5</v>
      </c>
      <c r="E204" s="1">
        <v>-7.1</v>
      </c>
      <c r="F204" s="1">
        <v>-2.1</v>
      </c>
      <c r="H204" s="1">
        <v>75</v>
      </c>
      <c r="I204" s="1">
        <v>905</v>
      </c>
      <c r="J204" s="1">
        <v>3452</v>
      </c>
      <c r="K204" s="1">
        <v>12.8</v>
      </c>
      <c r="L204" s="1">
        <v>-5.8</v>
      </c>
      <c r="M204" s="1">
        <v>-1.7</v>
      </c>
    </row>
    <row r="205" spans="1:13" x14ac:dyDescent="0.25">
      <c r="A205" s="1">
        <v>100</v>
      </c>
      <c r="B205" s="1">
        <v>860</v>
      </c>
      <c r="C205" s="1">
        <v>3114</v>
      </c>
      <c r="D205" s="1">
        <v>20.3</v>
      </c>
      <c r="E205" s="1">
        <v>-7</v>
      </c>
      <c r="F205" s="1">
        <v>-2</v>
      </c>
      <c r="H205" s="1">
        <v>100</v>
      </c>
      <c r="I205" s="1">
        <v>896</v>
      </c>
      <c r="J205" s="1">
        <v>3384</v>
      </c>
      <c r="K205" s="1">
        <v>16.8</v>
      </c>
      <c r="L205" s="1">
        <v>-5.8</v>
      </c>
      <c r="M205" s="1">
        <v>-1.7</v>
      </c>
    </row>
    <row r="206" spans="1:13" x14ac:dyDescent="0.25">
      <c r="A206" s="1">
        <v>125</v>
      </c>
      <c r="B206" s="1">
        <v>842</v>
      </c>
      <c r="C206" s="1">
        <v>2988</v>
      </c>
      <c r="D206" s="1">
        <v>24.4</v>
      </c>
      <c r="E206" s="1">
        <v>-6.7</v>
      </c>
      <c r="F206" s="1">
        <v>-1.9</v>
      </c>
      <c r="H206" s="1">
        <v>125</v>
      </c>
      <c r="I206" s="1">
        <v>887</v>
      </c>
      <c r="J206" s="1">
        <v>3317</v>
      </c>
      <c r="K206" s="1">
        <v>20.100000000000001</v>
      </c>
      <c r="L206" s="1">
        <v>-5.5</v>
      </c>
      <c r="M206" s="1">
        <v>-1.6</v>
      </c>
    </row>
    <row r="207" spans="1:13" x14ac:dyDescent="0.25">
      <c r="A207" s="1">
        <v>150</v>
      </c>
      <c r="B207" s="1">
        <v>825</v>
      </c>
      <c r="C207" s="1">
        <v>2866</v>
      </c>
      <c r="D207" s="1">
        <v>27.5</v>
      </c>
      <c r="E207" s="1">
        <v>-6.3</v>
      </c>
      <c r="F207" s="1">
        <v>-1.8</v>
      </c>
      <c r="H207" s="1">
        <v>150</v>
      </c>
      <c r="I207" s="1">
        <v>878</v>
      </c>
      <c r="J207" s="1">
        <v>3251</v>
      </c>
      <c r="K207" s="1">
        <v>22.6</v>
      </c>
      <c r="L207" s="1">
        <v>-5.2</v>
      </c>
      <c r="M207" s="1">
        <v>-1.5</v>
      </c>
    </row>
    <row r="208" spans="1:13" x14ac:dyDescent="0.25">
      <c r="A208" s="1">
        <v>175</v>
      </c>
      <c r="B208" s="1">
        <v>808</v>
      </c>
      <c r="C208" s="1">
        <v>2748</v>
      </c>
      <c r="D208" s="1">
        <v>29.7</v>
      </c>
      <c r="E208" s="1">
        <v>-5.8</v>
      </c>
      <c r="F208" s="1">
        <v>-1.7</v>
      </c>
      <c r="H208" s="1">
        <v>175</v>
      </c>
      <c r="I208" s="1">
        <v>870</v>
      </c>
      <c r="J208" s="1">
        <v>3186</v>
      </c>
      <c r="K208" s="1">
        <v>24.2</v>
      </c>
      <c r="L208" s="1">
        <v>-4.8</v>
      </c>
      <c r="M208" s="1">
        <v>-1.4</v>
      </c>
    </row>
    <row r="209" spans="1:13" x14ac:dyDescent="0.25">
      <c r="A209" s="1">
        <v>200</v>
      </c>
      <c r="B209" s="1">
        <v>791</v>
      </c>
      <c r="C209" s="1">
        <v>2634</v>
      </c>
      <c r="D209" s="1">
        <v>31</v>
      </c>
      <c r="E209" s="1">
        <v>-5.3</v>
      </c>
      <c r="F209" s="1">
        <v>-1.5</v>
      </c>
      <c r="H209" s="1">
        <v>200</v>
      </c>
      <c r="I209" s="1">
        <v>861</v>
      </c>
      <c r="J209" s="1">
        <v>3122</v>
      </c>
      <c r="K209" s="1">
        <v>25.1</v>
      </c>
      <c r="L209" s="1">
        <v>-4.3</v>
      </c>
      <c r="M209" s="1">
        <v>-1.3</v>
      </c>
    </row>
    <row r="210" spans="1:13" x14ac:dyDescent="0.25">
      <c r="A210" s="1">
        <v>225</v>
      </c>
      <c r="B210" s="1">
        <v>774</v>
      </c>
      <c r="C210" s="1">
        <v>2524</v>
      </c>
      <c r="D210" s="1">
        <v>31.2</v>
      </c>
      <c r="E210" s="1">
        <v>-4.8</v>
      </c>
      <c r="F210" s="1">
        <v>-1.4</v>
      </c>
      <c r="H210" s="1">
        <v>225</v>
      </c>
      <c r="I210" s="1">
        <v>852</v>
      </c>
      <c r="J210" s="1">
        <v>3059</v>
      </c>
      <c r="K210" s="1">
        <v>25.1</v>
      </c>
      <c r="L210" s="1">
        <v>-3.8</v>
      </c>
      <c r="M210" s="1">
        <v>-1.1000000000000001</v>
      </c>
    </row>
    <row r="211" spans="1:13" x14ac:dyDescent="0.25">
      <c r="A211" s="1">
        <v>250</v>
      </c>
      <c r="B211" s="1">
        <v>758</v>
      </c>
      <c r="C211" s="1">
        <v>2418</v>
      </c>
      <c r="D211" s="1">
        <v>30.4</v>
      </c>
      <c r="E211" s="1">
        <v>-4.2</v>
      </c>
      <c r="F211" s="1">
        <v>-1.2</v>
      </c>
      <c r="H211" s="1">
        <v>250</v>
      </c>
      <c r="I211" s="1">
        <v>843</v>
      </c>
      <c r="J211" s="1">
        <v>2997</v>
      </c>
      <c r="K211" s="1">
        <v>24.3</v>
      </c>
      <c r="L211" s="1">
        <v>-3.3</v>
      </c>
      <c r="M211" s="1">
        <v>-1</v>
      </c>
    </row>
    <row r="212" spans="1:13" x14ac:dyDescent="0.25">
      <c r="A212" s="1">
        <v>275</v>
      </c>
      <c r="B212" s="1">
        <v>741</v>
      </c>
      <c r="C212" s="1">
        <v>2315</v>
      </c>
      <c r="D212" s="1">
        <v>28.4</v>
      </c>
      <c r="E212" s="1">
        <v>-3.5</v>
      </c>
      <c r="F212" s="1">
        <v>-1</v>
      </c>
      <c r="H212" s="1">
        <v>275</v>
      </c>
      <c r="I212" s="1">
        <v>835</v>
      </c>
      <c r="J212" s="1">
        <v>2936</v>
      </c>
      <c r="K212" s="1">
        <v>22.5</v>
      </c>
      <c r="L212" s="1">
        <v>-2.8</v>
      </c>
      <c r="M212" s="1">
        <v>-0.8</v>
      </c>
    </row>
    <row r="213" spans="1:13" x14ac:dyDescent="0.25">
      <c r="A213" s="1">
        <v>300</v>
      </c>
      <c r="B213" s="1">
        <v>725</v>
      </c>
      <c r="C213" s="1">
        <v>2215</v>
      </c>
      <c r="D213" s="1">
        <v>25.4</v>
      </c>
      <c r="E213" s="1">
        <v>-2.9</v>
      </c>
      <c r="F213" s="1">
        <v>-0.8</v>
      </c>
      <c r="H213" s="1">
        <v>300</v>
      </c>
      <c r="I213" s="1">
        <v>826</v>
      </c>
      <c r="J213" s="1">
        <v>2875</v>
      </c>
      <c r="K213" s="1">
        <v>19.899999999999999</v>
      </c>
      <c r="L213" s="1">
        <v>-2.2999999999999998</v>
      </c>
      <c r="M213" s="1">
        <v>-0.7</v>
      </c>
    </row>
    <row r="214" spans="1:13" x14ac:dyDescent="0.25">
      <c r="A214" s="1">
        <v>325</v>
      </c>
      <c r="B214" s="1">
        <v>709</v>
      </c>
      <c r="C214" s="1">
        <v>2119</v>
      </c>
      <c r="D214" s="1">
        <v>21.1</v>
      </c>
      <c r="E214" s="1">
        <v>-2.2000000000000002</v>
      </c>
      <c r="F214" s="1">
        <v>-0.6</v>
      </c>
      <c r="H214" s="1">
        <v>325</v>
      </c>
      <c r="I214" s="1">
        <v>818</v>
      </c>
      <c r="J214" s="1">
        <v>2816</v>
      </c>
      <c r="K214" s="1">
        <v>16.399999999999999</v>
      </c>
      <c r="L214" s="1">
        <v>-1.7</v>
      </c>
      <c r="M214" s="1">
        <v>-0.5</v>
      </c>
    </row>
    <row r="215" spans="1:13" x14ac:dyDescent="0.25">
      <c r="A215" s="1">
        <v>350</v>
      </c>
      <c r="B215" s="1">
        <v>693</v>
      </c>
      <c r="C215" s="1">
        <v>2026</v>
      </c>
      <c r="D215" s="1">
        <v>15.3</v>
      </c>
      <c r="E215" s="1">
        <v>-1.5</v>
      </c>
      <c r="F215" s="1">
        <v>-0.4</v>
      </c>
      <c r="H215" s="1">
        <v>350</v>
      </c>
      <c r="I215" s="1">
        <v>809</v>
      </c>
      <c r="J215" s="1">
        <v>2758</v>
      </c>
      <c r="K215" s="1">
        <v>11.8</v>
      </c>
      <c r="L215" s="1">
        <v>-1.2</v>
      </c>
      <c r="M215" s="1">
        <v>-0.3</v>
      </c>
    </row>
    <row r="216" spans="1:13" x14ac:dyDescent="0.25">
      <c r="A216" s="1">
        <v>375</v>
      </c>
      <c r="B216" s="1">
        <v>678</v>
      </c>
      <c r="C216" s="1">
        <v>1936</v>
      </c>
      <c r="D216" s="1">
        <v>8.4</v>
      </c>
      <c r="E216" s="1">
        <v>-0.8</v>
      </c>
      <c r="F216" s="1">
        <v>-0.2</v>
      </c>
      <c r="H216" s="1">
        <v>375</v>
      </c>
      <c r="I216" s="1">
        <v>801</v>
      </c>
      <c r="J216" s="1">
        <v>2701</v>
      </c>
      <c r="K216" s="1">
        <v>6.5</v>
      </c>
      <c r="L216" s="1">
        <v>-0.6</v>
      </c>
      <c r="M216" s="1">
        <v>-0.2</v>
      </c>
    </row>
    <row r="217" spans="1:13" x14ac:dyDescent="0.25">
      <c r="A217" s="10">
        <v>400</v>
      </c>
      <c r="B217" s="10">
        <v>663</v>
      </c>
      <c r="C217" s="10">
        <v>1849</v>
      </c>
      <c r="D217" s="10">
        <v>0.2</v>
      </c>
      <c r="E217" s="10">
        <v>0</v>
      </c>
      <c r="F217" s="10">
        <v>0</v>
      </c>
      <c r="H217" s="1">
        <v>400</v>
      </c>
      <c r="I217" s="1">
        <v>792</v>
      </c>
      <c r="J217" s="1">
        <v>2644</v>
      </c>
      <c r="K217" s="1">
        <v>0.1</v>
      </c>
      <c r="L217" s="1">
        <v>0</v>
      </c>
      <c r="M217" s="1">
        <v>0</v>
      </c>
    </row>
    <row r="218" spans="1:13" x14ac:dyDescent="0.25">
      <c r="A218" s="1">
        <v>425</v>
      </c>
      <c r="B218" s="1">
        <v>647</v>
      </c>
      <c r="C218" s="1">
        <v>1766</v>
      </c>
      <c r="D218" s="1">
        <v>-10</v>
      </c>
      <c r="E218" s="1">
        <v>0.8</v>
      </c>
      <c r="F218" s="1">
        <v>0.2</v>
      </c>
      <c r="H218" s="1">
        <v>425</v>
      </c>
      <c r="I218" s="1">
        <v>784</v>
      </c>
      <c r="J218" s="1">
        <v>2589</v>
      </c>
      <c r="K218" s="1">
        <v>-7.5</v>
      </c>
      <c r="L218" s="1">
        <v>0.6</v>
      </c>
      <c r="M218" s="1">
        <v>0.2</v>
      </c>
    </row>
    <row r="219" spans="1:13" x14ac:dyDescent="0.25">
      <c r="A219" s="1">
        <v>450</v>
      </c>
      <c r="B219" s="1">
        <v>632</v>
      </c>
      <c r="C219" s="1">
        <v>1685</v>
      </c>
      <c r="D219" s="1">
        <v>-21.3</v>
      </c>
      <c r="E219" s="1">
        <v>1.6</v>
      </c>
      <c r="F219" s="1">
        <v>0.5</v>
      </c>
      <c r="H219" s="1">
        <v>450</v>
      </c>
      <c r="I219" s="1">
        <v>776</v>
      </c>
      <c r="J219" s="1">
        <v>2534</v>
      </c>
      <c r="K219" s="1">
        <v>-15.9</v>
      </c>
      <c r="L219" s="1">
        <v>1.2</v>
      </c>
      <c r="M219" s="1">
        <v>0.4</v>
      </c>
    </row>
    <row r="220" spans="1:13" x14ac:dyDescent="0.25">
      <c r="A220" s="1">
        <v>475</v>
      </c>
      <c r="B220" s="1">
        <v>618</v>
      </c>
      <c r="C220" s="1">
        <v>1608</v>
      </c>
      <c r="D220" s="1">
        <v>-34.299999999999997</v>
      </c>
      <c r="E220" s="1">
        <v>2.5</v>
      </c>
      <c r="F220" s="1">
        <v>0.7</v>
      </c>
      <c r="H220" s="1">
        <v>475</v>
      </c>
      <c r="I220" s="1">
        <v>767</v>
      </c>
      <c r="J220" s="1">
        <v>2480</v>
      </c>
      <c r="K220" s="1">
        <v>-25.3</v>
      </c>
      <c r="L220" s="1">
        <v>1.8</v>
      </c>
      <c r="M220" s="1">
        <v>0.5</v>
      </c>
    </row>
    <row r="221" spans="1:13" x14ac:dyDescent="0.25">
      <c r="A221" s="1">
        <v>500</v>
      </c>
      <c r="B221" s="1">
        <v>604</v>
      </c>
      <c r="C221" s="1">
        <v>1536</v>
      </c>
      <c r="D221" s="1">
        <v>-48.9</v>
      </c>
      <c r="E221" s="1">
        <v>3.4</v>
      </c>
      <c r="F221" s="1">
        <v>1</v>
      </c>
      <c r="H221" s="1">
        <v>500</v>
      </c>
      <c r="I221" s="1">
        <v>759</v>
      </c>
      <c r="J221" s="1">
        <v>2429</v>
      </c>
      <c r="K221" s="1">
        <v>-35.700000000000003</v>
      </c>
      <c r="L221" s="1">
        <v>2.5</v>
      </c>
      <c r="M221" s="1">
        <v>0.7</v>
      </c>
    </row>
    <row r="223" spans="1:13" x14ac:dyDescent="0.25">
      <c r="A223" t="s">
        <v>76</v>
      </c>
      <c r="H223" t="s">
        <v>83</v>
      </c>
    </row>
    <row r="224" spans="1:13" x14ac:dyDescent="0.25">
      <c r="A224" t="s">
        <v>12</v>
      </c>
      <c r="B224" t="s">
        <v>13</v>
      </c>
      <c r="C224" t="s">
        <v>14</v>
      </c>
      <c r="D224" t="s">
        <v>15</v>
      </c>
      <c r="E224" t="s">
        <v>16</v>
      </c>
      <c r="F224" t="s">
        <v>17</v>
      </c>
      <c r="H224" t="s">
        <v>12</v>
      </c>
      <c r="I224" t="s">
        <v>13</v>
      </c>
      <c r="J224" t="s">
        <v>14</v>
      </c>
      <c r="K224" t="s">
        <v>15</v>
      </c>
      <c r="L224" t="s">
        <v>16</v>
      </c>
      <c r="M224" t="s">
        <v>17</v>
      </c>
    </row>
    <row r="225" spans="1:13" x14ac:dyDescent="0.25">
      <c r="A225" s="1">
        <v>0</v>
      </c>
      <c r="B225" s="1">
        <v>933</v>
      </c>
      <c r="C225" s="1">
        <v>3665</v>
      </c>
      <c r="D225" s="1">
        <v>-3.8</v>
      </c>
      <c r="E225" s="1">
        <v>0</v>
      </c>
      <c r="F225" s="1">
        <v>0</v>
      </c>
      <c r="H225" s="1">
        <v>0</v>
      </c>
      <c r="I225" s="1">
        <v>933</v>
      </c>
      <c r="J225" s="1">
        <v>3664</v>
      </c>
      <c r="K225" s="1">
        <v>-3.8</v>
      </c>
      <c r="L225" s="1">
        <v>0</v>
      </c>
      <c r="M225" s="1">
        <v>0</v>
      </c>
    </row>
    <row r="226" spans="1:13" x14ac:dyDescent="0.25">
      <c r="A226" s="1">
        <v>25</v>
      </c>
      <c r="B226" s="1">
        <v>914</v>
      </c>
      <c r="C226" s="1">
        <v>3519</v>
      </c>
      <c r="D226" s="1">
        <v>5.8</v>
      </c>
      <c r="E226" s="1">
        <v>-8</v>
      </c>
      <c r="F226" s="1">
        <v>-2.2999999999999998</v>
      </c>
      <c r="H226" s="1">
        <v>25</v>
      </c>
      <c r="I226" s="1">
        <v>923</v>
      </c>
      <c r="J226" s="1">
        <v>3592</v>
      </c>
      <c r="K226" s="1">
        <v>4.2</v>
      </c>
      <c r="L226" s="1">
        <v>-5.8</v>
      </c>
      <c r="M226" s="1">
        <v>-1.7</v>
      </c>
    </row>
    <row r="227" spans="1:13" x14ac:dyDescent="0.25">
      <c r="A227" s="1">
        <v>50</v>
      </c>
      <c r="B227" s="1">
        <v>896</v>
      </c>
      <c r="C227" s="1">
        <v>3379</v>
      </c>
      <c r="D227" s="1">
        <v>14.9</v>
      </c>
      <c r="E227" s="1">
        <v>-10.199999999999999</v>
      </c>
      <c r="F227" s="1">
        <v>-3</v>
      </c>
      <c r="H227" s="1">
        <v>50</v>
      </c>
      <c r="I227" s="1">
        <v>914</v>
      </c>
      <c r="J227" s="1">
        <v>3521</v>
      </c>
      <c r="K227" s="1">
        <v>11.7</v>
      </c>
      <c r="L227" s="1">
        <v>-8</v>
      </c>
      <c r="M227" s="1">
        <v>-2.2999999999999998</v>
      </c>
    </row>
    <row r="228" spans="1:13" x14ac:dyDescent="0.25">
      <c r="A228" s="1">
        <v>75</v>
      </c>
      <c r="B228" s="1">
        <v>878</v>
      </c>
      <c r="C228" s="1">
        <v>3244</v>
      </c>
      <c r="D228" s="1">
        <v>22.9</v>
      </c>
      <c r="E228" s="1">
        <v>-10.5</v>
      </c>
      <c r="F228" s="1">
        <v>-3.1</v>
      </c>
      <c r="H228" s="1">
        <v>75</v>
      </c>
      <c r="I228" s="1">
        <v>905</v>
      </c>
      <c r="J228" s="1">
        <v>3452</v>
      </c>
      <c r="K228" s="1">
        <v>18.2</v>
      </c>
      <c r="L228" s="1">
        <v>-8.3000000000000007</v>
      </c>
      <c r="M228" s="1">
        <v>-2.4</v>
      </c>
    </row>
    <row r="229" spans="1:13" x14ac:dyDescent="0.25">
      <c r="A229" s="1">
        <v>100</v>
      </c>
      <c r="B229" s="1">
        <v>860</v>
      </c>
      <c r="C229" s="1">
        <v>3114</v>
      </c>
      <c r="D229" s="1">
        <v>30.2</v>
      </c>
      <c r="E229" s="1">
        <v>-10.4</v>
      </c>
      <c r="F229" s="1">
        <v>-3</v>
      </c>
      <c r="H229" s="1">
        <v>100</v>
      </c>
      <c r="I229" s="1">
        <v>896</v>
      </c>
      <c r="J229" s="1">
        <v>3384</v>
      </c>
      <c r="K229" s="1">
        <v>24</v>
      </c>
      <c r="L229" s="1">
        <v>-8.3000000000000007</v>
      </c>
      <c r="M229" s="1">
        <v>-2.4</v>
      </c>
    </row>
    <row r="230" spans="1:13" x14ac:dyDescent="0.25">
      <c r="A230" s="1">
        <v>125</v>
      </c>
      <c r="B230" s="1">
        <v>842</v>
      </c>
      <c r="C230" s="1">
        <v>2988</v>
      </c>
      <c r="D230" s="1">
        <v>36.799999999999997</v>
      </c>
      <c r="E230" s="1">
        <v>-10.1</v>
      </c>
      <c r="F230" s="1">
        <v>-2.9</v>
      </c>
      <c r="H230" s="1">
        <v>125</v>
      </c>
      <c r="I230" s="1">
        <v>887</v>
      </c>
      <c r="J230" s="1">
        <v>3317</v>
      </c>
      <c r="K230" s="1">
        <v>29.1</v>
      </c>
      <c r="L230" s="1">
        <v>-8</v>
      </c>
      <c r="M230" s="1">
        <v>-2.2999999999999998</v>
      </c>
    </row>
    <row r="231" spans="1:13" x14ac:dyDescent="0.25">
      <c r="A231" s="1">
        <v>150</v>
      </c>
      <c r="B231" s="1">
        <v>825</v>
      </c>
      <c r="C231" s="1">
        <v>2866</v>
      </c>
      <c r="D231" s="1">
        <v>42.4</v>
      </c>
      <c r="E231" s="1">
        <v>-9.6999999999999993</v>
      </c>
      <c r="F231" s="1">
        <v>-2.8</v>
      </c>
      <c r="H231" s="1">
        <v>150</v>
      </c>
      <c r="I231" s="1">
        <v>878</v>
      </c>
      <c r="J231" s="1">
        <v>3251</v>
      </c>
      <c r="K231" s="1">
        <v>33.4</v>
      </c>
      <c r="L231" s="1">
        <v>-7.6</v>
      </c>
      <c r="M231" s="1">
        <v>-2.2000000000000002</v>
      </c>
    </row>
    <row r="232" spans="1:13" x14ac:dyDescent="0.25">
      <c r="A232" s="1">
        <v>175</v>
      </c>
      <c r="B232" s="1">
        <v>808</v>
      </c>
      <c r="C232" s="1">
        <v>2748</v>
      </c>
      <c r="D232" s="1">
        <v>47</v>
      </c>
      <c r="E232" s="1">
        <v>-9.1999999999999993</v>
      </c>
      <c r="F232" s="1">
        <v>-2.7</v>
      </c>
      <c r="H232" s="1">
        <v>175</v>
      </c>
      <c r="I232" s="1">
        <v>870</v>
      </c>
      <c r="J232" s="1">
        <v>3186</v>
      </c>
      <c r="K232" s="1">
        <v>36.799999999999997</v>
      </c>
      <c r="L232" s="1">
        <v>-7.2</v>
      </c>
      <c r="M232" s="1">
        <v>-2.1</v>
      </c>
    </row>
    <row r="233" spans="1:13" x14ac:dyDescent="0.25">
      <c r="A233" s="1">
        <v>200</v>
      </c>
      <c r="B233" s="1">
        <v>791</v>
      </c>
      <c r="C233" s="1">
        <v>2634</v>
      </c>
      <c r="D233" s="1">
        <v>50.8</v>
      </c>
      <c r="E233" s="1">
        <v>-8.6999999999999993</v>
      </c>
      <c r="F233" s="1">
        <v>-2.5</v>
      </c>
      <c r="H233" s="1">
        <v>200</v>
      </c>
      <c r="I233" s="1">
        <v>861</v>
      </c>
      <c r="J233" s="1">
        <v>3122</v>
      </c>
      <c r="K233" s="1">
        <v>39.5</v>
      </c>
      <c r="L233" s="1">
        <v>-6.8</v>
      </c>
      <c r="M233" s="1">
        <v>-2</v>
      </c>
    </row>
    <row r="234" spans="1:13" x14ac:dyDescent="0.25">
      <c r="A234" s="1">
        <v>225</v>
      </c>
      <c r="B234" s="1">
        <v>774</v>
      </c>
      <c r="C234" s="1">
        <v>2524</v>
      </c>
      <c r="D234" s="1">
        <v>53.5</v>
      </c>
      <c r="E234" s="1">
        <v>-8.1999999999999993</v>
      </c>
      <c r="F234" s="1">
        <v>-2.4</v>
      </c>
      <c r="H234" s="1">
        <v>225</v>
      </c>
      <c r="I234" s="1">
        <v>852</v>
      </c>
      <c r="J234" s="1">
        <v>3059</v>
      </c>
      <c r="K234" s="1">
        <v>41.3</v>
      </c>
      <c r="L234" s="1">
        <v>-6.3</v>
      </c>
      <c r="M234" s="1">
        <v>-1.8</v>
      </c>
    </row>
    <row r="235" spans="1:13" x14ac:dyDescent="0.25">
      <c r="A235" s="1">
        <v>250</v>
      </c>
      <c r="B235" s="1">
        <v>758</v>
      </c>
      <c r="C235" s="1">
        <v>2418</v>
      </c>
      <c r="D235" s="1">
        <v>55.1</v>
      </c>
      <c r="E235" s="1">
        <v>-7.6</v>
      </c>
      <c r="F235" s="1">
        <v>-2.2000000000000002</v>
      </c>
      <c r="H235" s="1">
        <v>250</v>
      </c>
      <c r="I235" s="1">
        <v>843</v>
      </c>
      <c r="J235" s="1">
        <v>2997</v>
      </c>
      <c r="K235" s="1">
        <v>42.3</v>
      </c>
      <c r="L235" s="1">
        <v>-5.8</v>
      </c>
      <c r="M235" s="1">
        <v>-1.7</v>
      </c>
    </row>
    <row r="236" spans="1:13" x14ac:dyDescent="0.25">
      <c r="A236" s="1">
        <v>275</v>
      </c>
      <c r="B236" s="1">
        <v>741</v>
      </c>
      <c r="C236" s="1">
        <v>2315</v>
      </c>
      <c r="D236" s="1">
        <v>55.6</v>
      </c>
      <c r="E236" s="1">
        <v>-6.9</v>
      </c>
      <c r="F236" s="1">
        <v>-2</v>
      </c>
      <c r="H236" s="1">
        <v>275</v>
      </c>
      <c r="I236" s="1">
        <v>835</v>
      </c>
      <c r="J236" s="1">
        <v>2936</v>
      </c>
      <c r="K236" s="1">
        <v>42.3</v>
      </c>
      <c r="L236" s="1">
        <v>-5.3</v>
      </c>
      <c r="M236" s="1">
        <v>-1.5</v>
      </c>
    </row>
    <row r="237" spans="1:13" x14ac:dyDescent="0.25">
      <c r="A237" s="1">
        <v>300</v>
      </c>
      <c r="B237" s="1">
        <v>725</v>
      </c>
      <c r="C237" s="1">
        <v>2215</v>
      </c>
      <c r="D237" s="1">
        <v>55</v>
      </c>
      <c r="E237" s="1">
        <v>-6.3</v>
      </c>
      <c r="F237" s="1">
        <v>-1.8</v>
      </c>
      <c r="H237" s="1">
        <v>300</v>
      </c>
      <c r="I237" s="1">
        <v>826</v>
      </c>
      <c r="J237" s="1">
        <v>2875</v>
      </c>
      <c r="K237" s="1">
        <v>41.5</v>
      </c>
      <c r="L237" s="1">
        <v>-4.8</v>
      </c>
      <c r="M237" s="1">
        <v>-1.4</v>
      </c>
    </row>
    <row r="238" spans="1:13" x14ac:dyDescent="0.25">
      <c r="A238" s="1">
        <v>325</v>
      </c>
      <c r="B238" s="1">
        <v>709</v>
      </c>
      <c r="C238" s="1">
        <v>2119</v>
      </c>
      <c r="D238" s="1">
        <v>53.2</v>
      </c>
      <c r="E238" s="1">
        <v>-5.6</v>
      </c>
      <c r="F238" s="1">
        <v>-1.6</v>
      </c>
      <c r="H238" s="1">
        <v>325</v>
      </c>
      <c r="I238" s="1">
        <v>818</v>
      </c>
      <c r="J238" s="1">
        <v>2816</v>
      </c>
      <c r="K238" s="1">
        <v>39.799999999999997</v>
      </c>
      <c r="L238" s="1">
        <v>-4.2</v>
      </c>
      <c r="M238" s="1">
        <v>-1.2</v>
      </c>
    </row>
    <row r="239" spans="1:13" x14ac:dyDescent="0.25">
      <c r="A239" s="1">
        <v>350</v>
      </c>
      <c r="B239" s="1">
        <v>693</v>
      </c>
      <c r="C239" s="1">
        <v>2026</v>
      </c>
      <c r="D239" s="1">
        <v>49.9</v>
      </c>
      <c r="E239" s="1">
        <v>-4.9000000000000004</v>
      </c>
      <c r="F239" s="1">
        <v>-1.4</v>
      </c>
      <c r="H239" s="1">
        <v>350</v>
      </c>
      <c r="I239" s="1">
        <v>809</v>
      </c>
      <c r="J239" s="1">
        <v>2758</v>
      </c>
      <c r="K239" s="1">
        <v>37.1</v>
      </c>
      <c r="L239" s="1">
        <v>-3.6</v>
      </c>
      <c r="M239" s="1">
        <v>-1.1000000000000001</v>
      </c>
    </row>
    <row r="240" spans="1:13" x14ac:dyDescent="0.25">
      <c r="A240" s="1">
        <v>375</v>
      </c>
      <c r="B240" s="1">
        <v>678</v>
      </c>
      <c r="C240" s="1">
        <v>1936</v>
      </c>
      <c r="D240" s="1">
        <v>45.5</v>
      </c>
      <c r="E240" s="1">
        <v>-4.2</v>
      </c>
      <c r="F240" s="1">
        <v>-1.2</v>
      </c>
      <c r="H240" s="1">
        <v>375</v>
      </c>
      <c r="I240" s="1">
        <v>801</v>
      </c>
      <c r="J240" s="1">
        <v>2701</v>
      </c>
      <c r="K240" s="1">
        <v>33.5</v>
      </c>
      <c r="L240" s="1">
        <v>-3.1</v>
      </c>
      <c r="M240" s="1">
        <v>-0.9</v>
      </c>
    </row>
    <row r="241" spans="1:13" x14ac:dyDescent="0.25">
      <c r="A241" s="1">
        <v>400</v>
      </c>
      <c r="B241" s="1">
        <v>663</v>
      </c>
      <c r="C241" s="1">
        <v>1849</v>
      </c>
      <c r="D241" s="1">
        <v>39.700000000000003</v>
      </c>
      <c r="E241" s="1">
        <v>-3.4</v>
      </c>
      <c r="F241" s="1">
        <v>-1</v>
      </c>
      <c r="H241" s="1">
        <v>400</v>
      </c>
      <c r="I241" s="1">
        <v>792</v>
      </c>
      <c r="J241" s="1">
        <v>2644</v>
      </c>
      <c r="K241" s="1">
        <v>28.9</v>
      </c>
      <c r="L241" s="1">
        <v>-2.5</v>
      </c>
      <c r="M241" s="1">
        <v>-0.7</v>
      </c>
    </row>
    <row r="242" spans="1:13" x14ac:dyDescent="0.25">
      <c r="A242" s="1">
        <v>425</v>
      </c>
      <c r="B242" s="1">
        <v>647</v>
      </c>
      <c r="C242" s="1">
        <v>1766</v>
      </c>
      <c r="D242" s="1">
        <v>32.1</v>
      </c>
      <c r="E242" s="1">
        <v>-2.6</v>
      </c>
      <c r="F242" s="1">
        <v>-0.8</v>
      </c>
      <c r="H242" s="1">
        <v>425</v>
      </c>
      <c r="I242" s="1">
        <v>784</v>
      </c>
      <c r="J242" s="1">
        <v>2589</v>
      </c>
      <c r="K242" s="1">
        <v>23.1</v>
      </c>
      <c r="L242" s="1">
        <v>-1.9</v>
      </c>
      <c r="M242" s="1">
        <v>-0.5</v>
      </c>
    </row>
    <row r="243" spans="1:13" x14ac:dyDescent="0.25">
      <c r="A243" s="1">
        <v>450</v>
      </c>
      <c r="B243" s="1">
        <v>632</v>
      </c>
      <c r="C243" s="1">
        <v>1685</v>
      </c>
      <c r="D243" s="1">
        <v>23.2</v>
      </c>
      <c r="E243" s="1">
        <v>-1.8</v>
      </c>
      <c r="F243" s="1">
        <v>-0.5</v>
      </c>
      <c r="H243" s="1">
        <v>450</v>
      </c>
      <c r="I243" s="1">
        <v>776</v>
      </c>
      <c r="J243" s="1">
        <v>2534</v>
      </c>
      <c r="K243" s="1">
        <v>16.5</v>
      </c>
      <c r="L243" s="1">
        <v>-1.3</v>
      </c>
      <c r="M243" s="1">
        <v>-0.4</v>
      </c>
    </row>
    <row r="244" spans="1:13" x14ac:dyDescent="0.25">
      <c r="A244" s="1">
        <v>475</v>
      </c>
      <c r="B244" s="1">
        <v>618</v>
      </c>
      <c r="C244" s="1">
        <v>1607</v>
      </c>
      <c r="D244" s="1">
        <v>12.6</v>
      </c>
      <c r="E244" s="1">
        <v>-0.9</v>
      </c>
      <c r="F244" s="1">
        <v>-0.3</v>
      </c>
      <c r="H244" s="1">
        <v>475</v>
      </c>
      <c r="I244" s="1">
        <v>767</v>
      </c>
      <c r="J244" s="1">
        <v>2480</v>
      </c>
      <c r="K244" s="1">
        <v>8.9</v>
      </c>
      <c r="L244" s="1">
        <v>-0.6</v>
      </c>
      <c r="M244" s="1">
        <v>-0.2</v>
      </c>
    </row>
    <row r="245" spans="1:13" x14ac:dyDescent="0.25">
      <c r="A245" s="10">
        <v>500</v>
      </c>
      <c r="B245" s="10">
        <v>604</v>
      </c>
      <c r="C245" s="10">
        <v>1536</v>
      </c>
      <c r="D245" s="10">
        <v>0.4</v>
      </c>
      <c r="E245" s="10">
        <v>0</v>
      </c>
      <c r="F245" s="10">
        <v>0</v>
      </c>
      <c r="H245" s="1">
        <v>500</v>
      </c>
      <c r="I245" s="1">
        <v>759</v>
      </c>
      <c r="J245" s="1">
        <v>2429</v>
      </c>
      <c r="K245" s="1">
        <v>0.2</v>
      </c>
      <c r="L245" s="1">
        <v>0</v>
      </c>
      <c r="M245" s="1">
        <v>0</v>
      </c>
    </row>
    <row r="246" spans="1:13" x14ac:dyDescent="0.25">
      <c r="A246" s="10"/>
      <c r="B246" s="10"/>
      <c r="C246" s="10"/>
      <c r="D246" s="10"/>
      <c r="E246" s="10"/>
      <c r="F246" s="10"/>
    </row>
    <row r="247" spans="1:13" ht="33.75" customHeight="1" x14ac:dyDescent="0.25">
      <c r="A247" t="s">
        <v>55</v>
      </c>
      <c r="B247" s="13" t="s">
        <v>6</v>
      </c>
      <c r="C247" s="13" t="s">
        <v>7</v>
      </c>
      <c r="D247" s="13" t="s">
        <v>8</v>
      </c>
      <c r="E247" s="13" t="s">
        <v>9</v>
      </c>
      <c r="F247" s="13" t="s">
        <v>10</v>
      </c>
      <c r="G247" s="13" t="s">
        <v>32</v>
      </c>
      <c r="H247" s="13" t="s">
        <v>33</v>
      </c>
      <c r="I247" s="30" t="s">
        <v>56</v>
      </c>
    </row>
    <row r="248" spans="1:13" x14ac:dyDescent="0.25">
      <c r="A248" t="s">
        <v>57</v>
      </c>
      <c r="B248" s="31" cm="1">
        <f t="array" ref="B248">INDEX(LINEST(J$23:J$35,$A$23:$A$35^{1,2,3}), 1,4)</f>
        <v>-5.831274653580504</v>
      </c>
      <c r="C248" s="31" cm="1">
        <f t="array" ref="C248">INDEX(LINEST(K$23:K$35,$A$23:$A$35^{1,2,3}), 1,4)</f>
        <v>-5.2143970917840701</v>
      </c>
      <c r="D248" s="31" cm="1">
        <f t="array" ref="D248">INDEX(LINEST(L$23:L$35,$A$23:$A$35^{1,2,3}), 1,4)</f>
        <v>-4.1198706443605886</v>
      </c>
      <c r="E248" s="31" cm="1">
        <f t="array" ref="E248">INDEX(LINEST(M$23:M$35,$A$23:$A$35^{1,2,3}), 1,4)</f>
        <v>-5.0396191103661963</v>
      </c>
      <c r="F248" s="31" cm="1">
        <f t="array" ref="F248">INDEX(LINEST(N$23:N$35,$A$23:$A$35^{1,2,3}), 1,4)</f>
        <v>-5.5951183784397811</v>
      </c>
      <c r="G248" s="31" cm="1">
        <f t="array" ref="G248">INDEX(LINEST(O$23:O$35,$A$23:$A$35^{1,2,3}), 1,4)</f>
        <v>-4.9615488989345895</v>
      </c>
      <c r="H248" s="31" cm="1">
        <f t="array" ref="H248">INDEX(LINEST(P$23:P$35,$A$23:$A$35^{1,2,3}), 1,4)</f>
        <v>-5.2908898859838098</v>
      </c>
      <c r="I248" s="32" cm="1">
        <f t="array" ref="I248">INDEX(LINEST(B$23:B$35,$A$23:$A$35^{1,2,3}), 1,4)</f>
        <v>3670.0656373481379</v>
      </c>
    </row>
    <row r="249" spans="1:13" x14ac:dyDescent="0.25">
      <c r="A249" t="s">
        <v>58</v>
      </c>
      <c r="B249" s="32" cm="1">
        <f t="array" ref="B249">INDEX(LINEST(J$23:J$35,$A$23:$A$35^{1,2,3}), 1,3)</f>
        <v>0.18390935340270437</v>
      </c>
      <c r="C249" s="32" cm="1">
        <f t="array" ref="C249">INDEX(LINEST(K$23:K$35,$A$23:$A$35^{1,2,3}), 1,3)</f>
        <v>0.12521292506226092</v>
      </c>
      <c r="D249" s="32" cm="1">
        <f t="array" ref="D249">INDEX(LINEST(L$23:L$35,$A$23:$A$35^{1,2,3}), 1,3)</f>
        <v>8.5734343677999619E-2</v>
      </c>
      <c r="E249" s="32" cm="1">
        <f t="array" ref="E249">INDEX(LINEST(M$23:M$35,$A$23:$A$35^{1,2,3}), 1,3)</f>
        <v>0.14596340332367086</v>
      </c>
      <c r="F249" s="32" cm="1">
        <f t="array" ref="F249">INDEX(LINEST(N$23:N$35,$A$23:$A$35^{1,2,3}), 1,3)</f>
        <v>0.23428601401254459</v>
      </c>
      <c r="G249" s="32" cm="1">
        <f t="array" ref="G249">INDEX(LINEST(O$23:O$35,$A$23:$A$35^{1,2,3}), 1,3)</f>
        <v>0.27062788933013537</v>
      </c>
      <c r="H249" s="32" cm="1">
        <f t="array" ref="H249">INDEX(LINEST(P$23:P$35,$A$23:$A$35^{1,2,3}), 1,3)</f>
        <v>0.36043994506896337</v>
      </c>
      <c r="I249" s="32" cm="1">
        <f t="array" ref="I249">INDEX(LINEST(B$23:B$35,$A$23:$A$35^{1,2,3}), 1,3)</f>
        <v>-2.7252094918391947</v>
      </c>
    </row>
    <row r="250" spans="1:13" x14ac:dyDescent="0.25">
      <c r="A250" t="s">
        <v>59</v>
      </c>
      <c r="B250" s="32" cm="1">
        <f t="array" ref="B250">INDEX(LINEST(J$23:J$35,$A$23:$A$35^{1,2,3}), 1,2)</f>
        <v>-7.744070609303935E-4</v>
      </c>
      <c r="C250" s="32" cm="1">
        <f t="array" ref="C250">INDEX(LINEST(K$23:K$35,$A$23:$A$35^{1,2,3}), 1,2)</f>
        <v>-6.682241261924439E-4</v>
      </c>
      <c r="D250" s="32" cm="1">
        <f t="array" ref="D250">INDEX(LINEST(L$23:L$35,$A$23:$A$35^{1,2,3}), 1,2)</f>
        <v>-2.7698115113665249E-4</v>
      </c>
      <c r="E250" s="32" cm="1">
        <f t="array" ref="E250">INDEX(LINEST(M$23:M$35,$A$23:$A$35^{1,2,3}), 1,2)</f>
        <v>-5.4492107191053598E-4</v>
      </c>
      <c r="F250" s="32" cm="1">
        <f t="array" ref="F250">INDEX(LINEST(N$23:N$35,$A$23:$A$35^{1,2,3}), 1,2)</f>
        <v>-7.0045298397234323E-4</v>
      </c>
      <c r="G250" s="32" cm="1">
        <f t="array" ref="G250">INDEX(LINEST(O$23:O$35,$A$23:$A$35^{1,2,3}), 1,2)</f>
        <v>-5.5557636986285552E-4</v>
      </c>
      <c r="H250" s="32" cm="1">
        <f t="array" ref="H250">INDEX(LINEST(P$23:P$35,$A$23:$A$35^{1,2,3}), 1,2)</f>
        <v>-6.7505506856176296E-4</v>
      </c>
      <c r="I250" s="32" cm="1">
        <f t="array" ref="I250">INDEX(LINEST(B$23:B$35,$A$23:$A$35^{1,2,3}), 1,2)</f>
        <v>7.6681339617696995E-5</v>
      </c>
    </row>
    <row r="251" spans="1:13" x14ac:dyDescent="0.25">
      <c r="A251" t="s">
        <v>60</v>
      </c>
      <c r="B251" s="31" cm="1">
        <f t="array" ref="B251">INDEX(LINEST(J$23:J$35,$A$23:$A$35^{1,2,3}), 1)</f>
        <v>-1.0692727168296296E-7</v>
      </c>
      <c r="C251" s="31" cm="1">
        <f t="array" ref="C251">INDEX(LINEST(K$23:K$35,$A$23:$A$35^{1,2,3}), 1)</f>
        <v>-6.8363564343111695E-8</v>
      </c>
      <c r="D251" s="31" cm="1">
        <f t="array" ref="D251">INDEX(LINEST(L$23:L$35,$A$23:$A$35^{1,2,3}), 1)</f>
        <v>-7.2826057899580996E-7</v>
      </c>
      <c r="E251" s="31" cm="1">
        <f t="array" ref="E251">INDEX(LINEST(M$23:M$35,$A$23:$A$35^{1,2,3}), 1)</f>
        <v>-2.8795920889233357E-7</v>
      </c>
      <c r="F251" s="31" cm="1">
        <f t="array" ref="F251">INDEX(LINEST(N$23:N$35,$A$23:$A$35^{1,2,3}), 1)</f>
        <v>-3.8495441544477933E-8</v>
      </c>
      <c r="G251" s="31" cm="1">
        <f t="array" ref="G251">INDEX(LINEST(O$23:O$35,$A$23:$A$35^{1,2,3}), 1)</f>
        <v>-2.1764777449063025E-7</v>
      </c>
      <c r="H251" s="31" cm="1">
        <f t="array" ref="H251">INDEX(LINEST(P$23:P$35,$A$23:$A$35^{1,2,3}), 1)</f>
        <v>-6.2044716893580345E-8</v>
      </c>
      <c r="I251" s="32" cm="1">
        <f t="array" ref="I251">INDEX(LINEST(B$23:B$35,$A$23:$A$35^{1,2,3}), 1)</f>
        <v>1.0196141546899977E-6</v>
      </c>
    </row>
    <row r="252" spans="1:13" x14ac:dyDescent="0.25">
      <c r="A252" t="s">
        <v>61</v>
      </c>
      <c r="B252" s="31"/>
      <c r="C252" s="31"/>
      <c r="D252" s="32"/>
      <c r="E252" s="32"/>
      <c r="F252" s="32"/>
      <c r="G252" s="32"/>
      <c r="H252" s="32"/>
      <c r="I252" s="32"/>
    </row>
    <row r="253" spans="1:13" x14ac:dyDescent="0.25">
      <c r="A253" t="s">
        <v>62</v>
      </c>
      <c r="B253" s="31"/>
      <c r="C253" s="31"/>
      <c r="D253" s="32"/>
      <c r="E253" s="32"/>
      <c r="F253" s="32"/>
      <c r="G253" s="32"/>
      <c r="H253" s="32"/>
      <c r="I253" s="32"/>
    </row>
    <row r="254" spans="1:13" x14ac:dyDescent="0.25">
      <c r="A254" t="s">
        <v>63</v>
      </c>
      <c r="B254" s="31"/>
      <c r="C254" s="31"/>
      <c r="D254" s="32"/>
      <c r="E254" s="32"/>
      <c r="F254" s="32"/>
      <c r="G254" s="32"/>
      <c r="H254" s="32"/>
      <c r="I254" s="32"/>
    </row>
    <row r="255" spans="1:13" x14ac:dyDescent="0.25">
      <c r="B255" s="31"/>
      <c r="C255" s="31"/>
      <c r="D255" s="31"/>
      <c r="E255" s="31"/>
      <c r="F255" s="31"/>
      <c r="G255" s="31"/>
      <c r="H255" s="31"/>
      <c r="I255" s="31"/>
    </row>
    <row r="256" spans="1:13" x14ac:dyDescent="0.25">
      <c r="A256" t="s">
        <v>64</v>
      </c>
    </row>
    <row r="257" spans="1:9" x14ac:dyDescent="0.25">
      <c r="A257" s="25" t="s">
        <v>4</v>
      </c>
      <c r="B257" s="24"/>
      <c r="C257" s="24"/>
    </row>
    <row r="258" spans="1:9" x14ac:dyDescent="0.25">
      <c r="A258" s="1">
        <v>0</v>
      </c>
      <c r="B258" s="2" cm="1">
        <f t="array" ref="B258">TrajectoryToComeUp(B$248:B$251,$A258)</f>
        <v>0</v>
      </c>
      <c r="C258" s="2" cm="1">
        <f t="array" ref="C258">TrajectoryToComeUp(C$248:C$251,$A258)</f>
        <v>0</v>
      </c>
      <c r="D258" s="2" cm="1">
        <f t="array" ref="D258">TrajectoryToComeUp(D$248:D$251,$A258)</f>
        <v>0</v>
      </c>
      <c r="E258" s="2" cm="1">
        <f t="array" ref="E258">TrajectoryToComeUp(E$248:E$251,$A258)</f>
        <v>0</v>
      </c>
      <c r="F258" s="2" cm="1">
        <f t="array" ref="F258">TrajectoryToComeUp(F$248:F$251,$A258)</f>
        <v>0</v>
      </c>
      <c r="G258" s="2" cm="1">
        <f t="array" ref="G258">TrajectoryToComeUp(G$248:G$251,$A258)</f>
        <v>0</v>
      </c>
      <c r="H258" s="2" cm="1">
        <f t="array" ref="H258">TrajectoryToComeUp(H$248:H$251,$A258)</f>
        <v>0</v>
      </c>
      <c r="I258" s="2" cm="1">
        <f t="array" ref="I258">EvaluatePolynomial(I$248:I$251,$A258)</f>
        <v>3670.0656373481379</v>
      </c>
    </row>
    <row r="259" spans="1:9" x14ac:dyDescent="0.25">
      <c r="A259" s="1">
        <v>25</v>
      </c>
      <c r="B259" s="2" cm="1">
        <f t="array" ref="B259">TrajectoryToComeUp(B$248:B$251,$A259)</f>
        <v>0.68768638808577487</v>
      </c>
      <c r="C259" s="2" cm="1">
        <f t="array" ref="C259">TrajectoryToComeUp(C$248:C$251,$A259)</f>
        <v>1.001112889916274</v>
      </c>
      <c r="D259" s="27" cm="1">
        <f t="array" ref="D259">TrajectoryToComeUp(D$248:D$251,$A259)</f>
        <v>0.864401737367126</v>
      </c>
      <c r="E259" s="27" cm="1">
        <f t="array" ref="E259">TrajectoryToComeUp(E$248:E$251,$A259)</f>
        <v>0.694243623942981</v>
      </c>
      <c r="F259" s="27" cm="1">
        <f t="array" ref="F259">TrajectoryToComeUp(F$248:F$251,$A259)</f>
        <v>7.0541053753205255E-2</v>
      </c>
      <c r="G259" s="27" cm="1">
        <f t="array" ref="G259">TrajectoryToComeUp(G$248:G$251,$A259)</f>
        <v>-0.58140494267123766</v>
      </c>
      <c r="H259" s="27" cm="1">
        <f t="array" ref="H259">TrajectoryToComeUp(H$248:H$251,$A259)</f>
        <v>-1.3188919496750839</v>
      </c>
      <c r="I259" s="2" cm="1">
        <f t="array" ref="I259">EvaluatePolynomial(I$248:I$251,$A259)</f>
        <v>3601.9992573605859</v>
      </c>
    </row>
    <row r="260" spans="1:9" x14ac:dyDescent="0.25">
      <c r="A260" s="1">
        <v>50</v>
      </c>
      <c r="B260" s="2" cm="1">
        <f t="array" ref="B260">TrajectoryToComeUp(B$248:B$251,$A260)</f>
        <v>-0.28296189105367209</v>
      </c>
      <c r="C260" s="33" cm="1">
        <f t="array" ref="C260">TrajectoryToComeUp(C$248:C$251,$A260)</f>
        <v>0.12657131993900456</v>
      </c>
      <c r="D260" s="27" cm="1">
        <f t="array" ref="D260">TrajectoryToComeUp(D$248:D$251,$A260)</f>
        <v>0.12332778213534297</v>
      </c>
      <c r="E260" s="27" cm="1">
        <f t="array" ref="E260">TrajectoryToComeUp(E$248:E$251,$A260)</f>
        <v>-0.17205069498589295</v>
      </c>
      <c r="F260" s="27" cm="1">
        <f t="array" ref="F260">TrajectoryToComeUp(F$248:F$251,$A260)</f>
        <v>-0.87264758641270612</v>
      </c>
      <c r="G260" s="27" cm="1">
        <f t="array" ref="G260">TrajectoryToComeUp(G$248:G$251,$A260)</f>
        <v>-1.4307397342207424</v>
      </c>
      <c r="H260" s="27" cm="1">
        <f t="array" ref="H260">TrajectoryToComeUp(H$248:H$251,$A260)</f>
        <v>-2.2071428212896511</v>
      </c>
      <c r="I260" s="2" cm="1">
        <f t="array" ref="I260">EvaluatePolynomial(I$248:I$251,$A260)</f>
        <v>3534.1243178745585</v>
      </c>
    </row>
    <row r="261" spans="1:9" x14ac:dyDescent="0.25">
      <c r="A261" s="1">
        <v>75</v>
      </c>
      <c r="B261" s="2" cm="1">
        <f t="array" ref="B261">TrajectoryToComeUp(B$248:B$251,$A261)</f>
        <v>-0.47477029215301464</v>
      </c>
      <c r="C261" s="2" cm="1">
        <f t="array" ref="C261">TrajectoryToComeUp(C$248:C$251,$A261)</f>
        <v>-5.1862759912766898E-2</v>
      </c>
      <c r="D261" s="27" cm="1">
        <f t="array" ref="D261">TrajectoryToComeUp(D$248:D$251,$A261)</f>
        <v>-5.9326829944247386E-2</v>
      </c>
      <c r="E261" s="27" cm="1">
        <f t="array" ref="E261">TrajectoryToComeUp(E$248:E$251,$A261)</f>
        <v>-0.36279630908811999</v>
      </c>
      <c r="F261" s="27" cm="1">
        <f t="array" ref="F261">TrajectoryToComeUp(F$248:F$251,$A261)</f>
        <v>-1.0693392497673408</v>
      </c>
      <c r="G261" s="27" cm="1">
        <f t="array" ref="G261">TrajectoryToComeUp(G$248:G$251,$A261)</f>
        <v>-1.6158140753978356</v>
      </c>
      <c r="H261" s="27" cm="1">
        <f t="array" ref="H261">TrajectoryToComeUp(H$248:H$251,$A261)</f>
        <v>-2.3891661491452068</v>
      </c>
      <c r="I261" s="2" cm="1">
        <f t="array" ref="I261">EvaluatePolynomial(I$248:I$251,$A261)</f>
        <v>3466.5364077170575</v>
      </c>
    </row>
    <row r="262" spans="1:9" x14ac:dyDescent="0.25">
      <c r="A262" s="1">
        <v>100</v>
      </c>
      <c r="B262" s="2" cm="1">
        <f t="array" ref="B262">TrajectoryToComeUp(B$248:B$251,$A262)</f>
        <v>-0.4708662805703035</v>
      </c>
      <c r="C262" s="2" cm="1">
        <f t="array" ref="C262">TrajectoryToComeUp(C$248:C$251,$A262)</f>
        <v>-5.5629058817447154E-2</v>
      </c>
      <c r="D262" s="27" cm="1">
        <f t="array" ref="D262">TrajectoryToComeUp(D$248:D$251,$A262)</f>
        <v>-9.5549163307703855E-2</v>
      </c>
      <c r="E262" s="27" cm="1">
        <f t="array" ref="E262">TrajectoryToComeUp(E$248:E$251,$A262)</f>
        <v>-0.38195512940031962</v>
      </c>
      <c r="F262" s="27" cm="1">
        <f t="array" ref="F262">TrajectoryToComeUp(F$248:F$251,$A262)</f>
        <v>-1.0790457741546768</v>
      </c>
      <c r="G262" s="27" cm="1">
        <f t="array" ref="G262">TrajectoryToComeUp(G$248:G$251,$A262)</f>
        <v>-1.6327828560959761</v>
      </c>
      <c r="H262" s="27" cm="1">
        <f t="array" ref="H262">TrajectoryToComeUp(H$248:H$251,$A262)</f>
        <v>-2.3940509218401318</v>
      </c>
      <c r="I262" s="2" cm="1">
        <f t="array" ref="I262">EvaluatePolynomial(I$248:I$251,$A262)</f>
        <v>3399.3311157150852</v>
      </c>
    </row>
    <row r="263" spans="1:9" x14ac:dyDescent="0.25">
      <c r="A263" s="1">
        <v>125</v>
      </c>
      <c r="B263" s="2" cm="1">
        <f t="array" ref="B263">TrajectoryToComeUp(B$248:B$251,$A263)</f>
        <v>-0.3878753493771484</v>
      </c>
      <c r="C263" s="2" cm="1">
        <f t="array" ref="C263">TrajectoryToComeUp(C$248:C$251,$A263)</f>
        <v>1.0984481389282404E-2</v>
      </c>
      <c r="D263" s="27" cm="1">
        <f t="array" ref="D263">TrajectoryToComeUp(D$248:D$251,$A263)</f>
        <v>-6.7736630842238146E-2</v>
      </c>
      <c r="E263" s="27" cm="1">
        <f t="array" ref="E263">TrajectoryToComeUp(E$248:E$251,$A263)</f>
        <v>-0.33031953812981568</v>
      </c>
      <c r="F263" s="27" cm="1">
        <f t="array" ref="F263">TrajectoryToComeUp(F$248:F$251,$A263)</f>
        <v>-1.0136695271435099</v>
      </c>
      <c r="G263" s="27" cm="1">
        <f t="array" ref="G263">TrajectoryToComeUp(G$248:G$251,$A263)</f>
        <v>-1.5808770542938564</v>
      </c>
      <c r="H263" s="27" cm="1">
        <f t="array" ref="H263">TrajectoryToComeUp(H$248:H$251,$A263)</f>
        <v>-2.3276149370941033</v>
      </c>
      <c r="I263" s="2" cm="1">
        <f t="array" ref="I263">EvaluatePolynomial(I$248:I$251,$A263)</f>
        <v>3332.6040306956438</v>
      </c>
    </row>
    <row r="264" spans="1:9" x14ac:dyDescent="0.25">
      <c r="A264" s="1">
        <v>150</v>
      </c>
      <c r="B264" s="2" cm="1">
        <f t="array" ref="B264">TrajectoryToComeUp(B$248:B$251,$A264)</f>
        <v>-0.26467266293075309</v>
      </c>
      <c r="C264" s="2" cm="1">
        <f t="array" ref="C264">TrajectoryToComeUp(C$248:C$251,$A264)</f>
        <v>0.11321521342886148</v>
      </c>
      <c r="D264" s="27" cm="1">
        <f t="array" ref="D264">TrajectoryToComeUp(D$248:D$251,$A264)</f>
        <v>-3.3550368435876182E-3</v>
      </c>
      <c r="E264" s="27" cm="1">
        <f t="array" ref="E264">TrajectoryToComeUp(E$248:E$251,$A264)</f>
        <v>-0.24148699601238313</v>
      </c>
      <c r="F264" s="27" cm="1">
        <f t="array" ref="F264">TrajectoryToComeUp(F$248:F$251,$A264)</f>
        <v>-0.91051129792343832</v>
      </c>
      <c r="G264" s="27" cm="1">
        <f t="array" ref="G264">TrajectoryToComeUp(G$248:G$251,$A264)</f>
        <v>-1.4931736626510395</v>
      </c>
      <c r="H264" s="27" cm="1">
        <f t="array" ref="H264">TrajectoryToComeUp(H$248:H$251,$A264)</f>
        <v>-2.2251307941470131</v>
      </c>
      <c r="I264" s="2" cm="1">
        <f t="array" ref="I264">EvaluatePolynomial(I$248:I$251,$A264)</f>
        <v>3266.4507414857358</v>
      </c>
    </row>
    <row r="265" spans="1:9" x14ac:dyDescent="0.25">
      <c r="A265" s="1">
        <v>175</v>
      </c>
      <c r="B265" s="2" cm="1">
        <f t="array" ref="B265">TrajectoryToComeUp(B$248:B$251,$A265)</f>
        <v>-0.11791900595563323</v>
      </c>
      <c r="C265" s="2" cm="1">
        <f t="array" ref="C265">TrajectoryToComeUp(C$248:C$251,$A265)</f>
        <v>0.23616485989619238</v>
      </c>
      <c r="D265" s="27" cm="1">
        <f t="array" ref="D265">TrajectoryToComeUp(D$248:D$251,$A265)</f>
        <v>8.5824559704360412E-2</v>
      </c>
      <c r="E265" s="27" cm="1">
        <f t="array" ref="E265">TrajectoryToComeUp(E$248:E$251,$A265)</f>
        <v>-0.12985641479192511</v>
      </c>
      <c r="F265" s="27" cm="1">
        <f t="array" ref="F265">TrajectoryToComeUp(F$248:F$251,$A265)</f>
        <v>-0.78555713900429003</v>
      </c>
      <c r="G265" s="27" cm="1">
        <f t="array" ref="G265">TrajectoryToComeUp(G$248:G$251,$A265)</f>
        <v>-1.3838485351644816</v>
      </c>
      <c r="H265" s="27" cm="1">
        <f t="array" ref="H265">TrajectoryToComeUp(H$248:H$251,$A265)</f>
        <v>-2.1017153212445288</v>
      </c>
      <c r="I265" s="2" cm="1">
        <f t="array" ref="I265">EvaluatePolynomial(I$248:I$251,$A265)</f>
        <v>3200.9668369123624</v>
      </c>
    </row>
    <row r="266" spans="1:9" x14ac:dyDescent="0.25">
      <c r="A266" s="1">
        <v>200</v>
      </c>
      <c r="B266" s="2" cm="1">
        <f t="array" ref="B266">TrajectoryToComeUp(B$248:B$251,$A266)</f>
        <v>4.4055229185953761E-2</v>
      </c>
      <c r="C266" s="2" cm="1">
        <f t="array" ref="C266">TrajectoryToComeUp(C$248:C$251,$A266)</f>
        <v>0.37238428208872681</v>
      </c>
      <c r="D266" s="27" cm="1">
        <f t="array" ref="D266">TrajectoryToComeUp(D$248:D$251,$A266)</f>
        <v>0.19391662930966222</v>
      </c>
      <c r="E266" s="27" cm="1">
        <f t="array" ref="E266">TrajectoryToComeUp(E$248:E$251,$A266)</f>
        <v>-2.6272503403932793E-3</v>
      </c>
      <c r="F266" s="27" cm="1">
        <f t="array" ref="F266">TrajectoryToComeUp(F$248:F$251,$A266)</f>
        <v>-0.64680007664097927</v>
      </c>
      <c r="G266" s="27" cm="1">
        <f t="array" ref="G266">TrajectoryToComeUp(G$248:G$251,$A266)</f>
        <v>-1.2599895988326608</v>
      </c>
      <c r="H266" s="27" cm="1">
        <f t="array" ref="H266">TrajectoryToComeUp(H$248:H$251,$A266)</f>
        <v>-1.9649269325094854</v>
      </c>
      <c r="I266" s="2" cm="1">
        <f t="array" ref="I266">EvaluatePolynomial(I$248:I$251,$A266)</f>
        <v>3136.2479058025269</v>
      </c>
    </row>
    <row r="267" spans="1:9" x14ac:dyDescent="0.25">
      <c r="A267" s="1">
        <v>225</v>
      </c>
      <c r="B267" s="2" cm="1">
        <f t="array" ref="B267">TrajectoryToComeUp(B$248:B$251,$A267)</f>
        <v>0.21662204673719737</v>
      </c>
      <c r="C267" s="2" cm="1">
        <f t="array" ref="C267">TrajectoryToComeUp(C$248:C$251,$A267)</f>
        <v>0.51773506961615956</v>
      </c>
      <c r="D267" s="27" cm="1">
        <f t="array" ref="D267">TrajectoryToComeUp(D$248:D$251,$A267)</f>
        <v>0.31765143336568247</v>
      </c>
      <c r="E267" s="27" cm="1">
        <f t="array" ref="E267">TrajectoryToComeUp(E$248:E$251,$A267)</f>
        <v>0.13620079963557222</v>
      </c>
      <c r="F267" s="27" cm="1">
        <f t="array" ref="F267">TrajectoryToComeUp(F$248:F$251,$A267)</f>
        <v>-0.49868068097512475</v>
      </c>
      <c r="G267" s="27" cm="1">
        <f t="array" ref="G267">TrajectoryToComeUp(G$248:G$251,$A267)</f>
        <v>-1.1255345908769545</v>
      </c>
      <c r="H267" s="27" cm="1">
        <f t="array" ref="H267">TrajectoryToComeUp(H$248:H$251,$A267)</f>
        <v>-1.8189647468990116</v>
      </c>
      <c r="I267" s="2" cm="1">
        <f t="array" ref="I267">EvaluatePolynomial(I$248:I$251,$A267)</f>
        <v>3072.3895369832308</v>
      </c>
    </row>
    <row r="268" spans="1:9" x14ac:dyDescent="0.25">
      <c r="A268" s="1">
        <v>250</v>
      </c>
      <c r="B268" s="2" cm="1">
        <f t="array" ref="B268">TrajectoryToComeUp(B$248:B$251,$A268)</f>
        <v>0.39700464924401224</v>
      </c>
      <c r="C268" s="2" cm="1">
        <f t="array" ref="C268">TrajectoryToComeUp(C$248:C$251,$A268)</f>
        <v>0.6697341762443082</v>
      </c>
      <c r="D268" s="27" cm="1">
        <f t="array" ref="D268">TrajectoryToComeUp(D$248:D$251,$A268)</f>
        <v>0.45506712870843985</v>
      </c>
      <c r="E268" s="27" cm="1">
        <f t="array" ref="E268">TrajectoryToComeUp(E$248:E$251,$A268)</f>
        <v>0.28422791651198764</v>
      </c>
      <c r="F268" s="27" cm="1">
        <f t="array" ref="F268">TrajectoryToComeUp(F$248:F$251,$A268)</f>
        <v>-0.34386329409169791</v>
      </c>
      <c r="G268" s="27" cm="1">
        <f t="array" ref="G268">TrajectoryToComeUp(G$248:G$251,$A268)</f>
        <v>-0.98284615363018757</v>
      </c>
      <c r="H268" s="27" cm="1">
        <f t="array" ref="H268">TrajectoryToComeUp(H$248:H$251,$A268)</f>
        <v>-1.666348235787386</v>
      </c>
      <c r="I268" s="2" cm="1">
        <f t="array" ref="I268">EvaluatePolynomial(I$248:I$251,$A268)</f>
        <v>3009.4873192814766</v>
      </c>
    </row>
    <row r="269" spans="1:9" x14ac:dyDescent="0.25">
      <c r="A269" s="1">
        <v>275</v>
      </c>
      <c r="B269" s="2" cm="1">
        <f t="array" ref="B269">TrajectoryToComeUp(B$248:B$251,$A269)</f>
        <v>0.58343598378107031</v>
      </c>
      <c r="C269" s="2" cm="1">
        <f t="array" ref="C269">TrajectoryToComeUp(C$248:C$251,$A269)</f>
        <v>0.8268014816423287</v>
      </c>
      <c r="D269" s="27" cm="1">
        <f t="array" ref="D269">TrajectoryToComeUp(D$248:D$251,$A269)</f>
        <v>0.60491526968812803</v>
      </c>
      <c r="E269" s="27" cm="1">
        <f t="array" ref="E269">TrajectoryToComeUp(E$248:E$251,$A269)</f>
        <v>0.43992694298268142</v>
      </c>
      <c r="F269" s="27" cm="1">
        <f t="array" ref="F269">TrajectoryToComeUp(F$248:F$251,$A269)</f>
        <v>-0.18404340640840761</v>
      </c>
      <c r="G269" s="27" cm="1">
        <f t="array" ref="G269">TrajectoryToComeUp(G$248:G$251,$A269)</f>
        <v>-0.83342778675870421</v>
      </c>
      <c r="H269" s="27" cm="1">
        <f t="array" ref="H269">TrajectoryToComeUp(H$248:H$251,$A269)</f>
        <v>-1.5086806991400585</v>
      </c>
      <c r="I269" s="2" cm="1">
        <f t="array" ref="I269">EvaluatePolynomial(I$248:I$251,$A269)</f>
        <v>2947.6368415242664</v>
      </c>
    </row>
    <row r="270" spans="1:9" x14ac:dyDescent="0.25">
      <c r="A270" s="1">
        <v>300</v>
      </c>
      <c r="B270" s="2" cm="1">
        <f t="array" ref="B270">TrajectoryToComeUp(B$248:B$251,$A270)</f>
        <v>0.77473801506482021</v>
      </c>
      <c r="C270" s="2" cm="1">
        <f t="array" ref="C270">TrajectoryToComeUp(C$248:C$251,$A270)</f>
        <v>0.98788357225632539</v>
      </c>
      <c r="D270" s="27" cm="1">
        <f t="array" ref="D270">TrajectoryToComeUp(D$248:D$251,$A270)</f>
        <v>0.76636355920487664</v>
      </c>
      <c r="E270" s="27" cm="1">
        <f t="array" ref="E270">TrajectoryToComeUp(E$248:E$251,$A270)</f>
        <v>0.60227977417687284</v>
      </c>
      <c r="F270" s="27" cm="1">
        <f t="array" ref="F270">TrajectoryToComeUp(F$248:F$251,$A270)</f>
        <v>-2.0351344870393258E-2</v>
      </c>
      <c r="G270" s="27" cm="1">
        <f t="array" ref="G270">TrajectoryToComeUp(G$248:G$251,$A270)</f>
        <v>-0.67828182337340026</v>
      </c>
      <c r="H270" s="27" cm="1">
        <f t="array" ref="H270">TrajectoryToComeUp(H$248:H$251,$A270)</f>
        <v>-1.3470310036006623</v>
      </c>
      <c r="I270" s="2" cm="1">
        <f t="array" ref="I270">EvaluatePolynomial(I$248:I$251,$A270)</f>
        <v>2886.9336925386024</v>
      </c>
    </row>
    <row r="271" spans="1:9" x14ac:dyDescent="0.25">
      <c r="A271" s="1">
        <v>325</v>
      </c>
      <c r="B271" s="2" cm="1">
        <f t="array" ref="B271">TrajectoryToComeUp(B$248:B$251,$A271)</f>
        <v>0.97009518020664964</v>
      </c>
      <c r="C271" s="2" cm="1">
        <f t="array" ref="C271">TrajectoryToComeUp(C$248:C$251,$A271)</f>
        <v>1.1522511617797548</v>
      </c>
      <c r="D271" s="27" cm="1">
        <f t="array" ref="D271">TrajectoryToComeUp(D$248:D$251,$A271)</f>
        <v>0.93883579157415908</v>
      </c>
      <c r="E271" s="27" cm="1">
        <f t="array" ref="E271">TrajectoryToComeUp(E$248:E$251,$A271)</f>
        <v>0.77058156826094348</v>
      </c>
      <c r="F271" s="27" cm="1">
        <f t="array" ref="F271">TrajectoryToComeUp(F$248:F$251,$A271)</f>
        <v>0.14643035648340247</v>
      </c>
      <c r="G271" s="27" cm="1">
        <f t="array" ref="G271">TrajectoryToComeUp(G$248:G$251,$A271)</f>
        <v>-0.51810218639720373</v>
      </c>
      <c r="H271" s="27" cm="1">
        <f t="array" ref="H271">TrajectoryToComeUp(H$248:H$251,$A271)</f>
        <v>-1.1821391337686349</v>
      </c>
      <c r="I271" s="2" cm="1">
        <f t="array" ref="I271">EvaluatePolynomial(I$248:I$251,$A271)</f>
        <v>2827.4734611514864</v>
      </c>
    </row>
    <row r="272" spans="1:9" x14ac:dyDescent="0.25">
      <c r="A272" s="1">
        <v>350</v>
      </c>
      <c r="B272" s="2" cm="1">
        <f t="array" ref="B272">TrajectoryToComeUp(B$248:B$251,$A272)</f>
        <v>1.1689249342861205</v>
      </c>
      <c r="C272" s="2" cm="1">
        <f t="array" ref="C272">TrajectoryToComeUp(C$248:C$251,$A272)</f>
        <v>1.3193833314222299</v>
      </c>
      <c r="D272" s="27" cm="1">
        <f t="array" ref="D272">TrajectoryToComeUp(D$248:D$251,$A272)</f>
        <v>1.1219203913070288</v>
      </c>
      <c r="E272" s="27" cm="1">
        <f t="array" ref="E272">TrajectoryToComeUp(E$248:E$251,$A272)</f>
        <v>0.94432886678230987</v>
      </c>
      <c r="F272" s="27" cm="1">
        <f t="array" ref="F272">TrajectoryToComeUp(F$248:F$251,$A272)</f>
        <v>0.31574274476802022</v>
      </c>
      <c r="G272" s="27" cm="1">
        <f t="array" ref="G272">TrajectoryToComeUp(G$248:G$251,$A272)</f>
        <v>-0.35338453506077749</v>
      </c>
      <c r="H272" s="27" cm="1">
        <f t="array" ref="H272">TrajectoryToComeUp(H$248:H$251,$A272)</f>
        <v>-1.0145336500721471</v>
      </c>
      <c r="I272" s="2" cm="1">
        <f t="array" ref="I272">EvaluatePolynomial(I$248:I$251,$A272)</f>
        <v>2769.3517361899212</v>
      </c>
    </row>
    <row r="273" spans="1:9" x14ac:dyDescent="0.25">
      <c r="A273" s="1">
        <v>375</v>
      </c>
      <c r="B273" s="2" cm="1">
        <f t="array" ref="B273">TrajectoryToComeUp(B$248:B$251,$A273)</f>
        <v>1.3708000776949121</v>
      </c>
      <c r="C273" s="2" cm="1">
        <f t="array" ref="C273">TrajectoryToComeUp(C$248:C$251,$A273)</f>
        <v>1.488898074070798</v>
      </c>
      <c r="D273" s="27" cm="1">
        <f t="array" ref="D273">TrajectoryToComeUp(D$248:D$251,$A273)</f>
        <v>1.3153155363782572</v>
      </c>
      <c r="E273" s="27" cm="1">
        <f t="array" ref="E273">TrajectoryToComeUp(E$248:E$251,$A273)</f>
        <v>1.1231524668757442</v>
      </c>
      <c r="F273" s="27" cm="1">
        <f t="array" ref="F273">TrajectoryToComeUp(F$248:F$251,$A273)</f>
        <v>0.48717592120115727</v>
      </c>
      <c r="G273" s="27" cm="1">
        <f t="array" ref="G273">TrajectoryToComeUp(G$248:G$251,$A273)</f>
        <v>-0.18449235279994122</v>
      </c>
      <c r="H273" s="27" cm="1">
        <f t="array" ref="H273">TrajectoryToComeUp(H$248:H$251,$A273)</f>
        <v>-0.84460216349185691</v>
      </c>
      <c r="I273" s="2" cm="1">
        <f t="array" ref="I273">EvaluatePolynomial(I$248:I$251,$A273)</f>
        <v>2712.6641064809091</v>
      </c>
    </row>
    <row r="274" spans="1:9" x14ac:dyDescent="0.25">
      <c r="A274" s="1">
        <v>400</v>
      </c>
      <c r="B274" s="2" cm="1">
        <f t="array" ref="B274">TrajectoryToComeUp(B$248:B$251,$A274)</f>
        <v>1.5754002107267837</v>
      </c>
      <c r="C274" s="2" cm="1">
        <f t="array" ref="C274">TrajectoryToComeUp(C$248:C$251,$A274)</f>
        <v>1.6605088843907467</v>
      </c>
      <c r="D274" s="27" cm="1">
        <f t="array" ref="D274">TrajectoryToComeUp(D$248:D$251,$A274)</f>
        <v>1.5187948602689243</v>
      </c>
      <c r="E274" s="27" cm="1">
        <f t="array" ref="E274">TrajectoryToComeUp(E$248:E$251,$A274)</f>
        <v>1.3067754663923239</v>
      </c>
      <c r="F274" s="27" cm="1">
        <f t="array" ref="F274">TrajectoryToComeUp(F$248:F$251,$A274)</f>
        <v>0.6604224616960862</v>
      </c>
      <c r="G274" s="27" cm="1">
        <f t="array" ref="G274">TrajectoryToComeUp(G$248:G$251,$A274)</f>
        <v>-1.169825219155865E-2</v>
      </c>
      <c r="H274" s="27" cm="1">
        <f t="array" ref="H274">TrajectoryToComeUp(H$248:H$251,$A274)</f>
        <v>-0.67263538226325814</v>
      </c>
      <c r="I274" s="2" cm="1">
        <f t="array" ref="I274">EvaluatePolynomial(I$248:I$251,$A274)</f>
        <v>2657.5061608514516</v>
      </c>
    </row>
    <row r="275" spans="1:9" x14ac:dyDescent="0.25">
      <c r="A275" s="1">
        <v>425</v>
      </c>
      <c r="B275" s="2" cm="1">
        <f t="array" ref="B275">TrajectoryToComeUp(B$248:B$251,$A275)</f>
        <v>1.7824803218416687</v>
      </c>
      <c r="C275" s="2" cm="1">
        <f t="array" ref="C275">TrajectoryToComeUp(C$248:C$251,$A275)</f>
        <v>1.8339966700672954</v>
      </c>
      <c r="D275" s="27" cm="1">
        <f t="array" ref="D275">TrajectoryToComeUp(D$248:D$251,$A275)</f>
        <v>1.732185259170443</v>
      </c>
      <c r="E275" s="27" cm="1">
        <f t="array" ref="E275">TrajectoryToComeUp(E$248:E$251,$A275)</f>
        <v>1.4949861166299336</v>
      </c>
      <c r="F275" s="27" cm="1">
        <f t="array" ref="F275">TrajectoryToComeUp(F$248:F$251,$A275)</f>
        <v>0.83524727724530912</v>
      </c>
      <c r="G275" s="27" cm="1">
        <f t="array" ref="G275">TrajectoryToComeUp(G$248:G$251,$A275)</f>
        <v>0.1647892983232381</v>
      </c>
      <c r="H275" s="27" cm="1">
        <f t="array" ref="H275">TrajectoryToComeUp(H$248:H$251,$A275)</f>
        <v>-0.49885561268408052</v>
      </c>
      <c r="I275" s="2" cm="1">
        <f t="array" ref="I275">EvaluatePolynomial(I$248:I$251,$A275)</f>
        <v>2603.9734881285513</v>
      </c>
    </row>
    <row r="276" spans="1:9" x14ac:dyDescent="0.25">
      <c r="A276" s="1">
        <v>450</v>
      </c>
      <c r="B276" s="2" cm="1">
        <f t="array" ref="B276">TrajectoryToComeUp(B$248:B$251,$A276)</f>
        <v>1.9918498465084047</v>
      </c>
      <c r="C276" s="2" cm="1">
        <f t="array" ref="C276">TrajectoryToComeUp(C$248:C$251,$A276)</f>
        <v>2.0091910259667243</v>
      </c>
      <c r="D276" s="27" cm="1">
        <f t="array" ref="D276">TrajectoryToComeUp(D$248:D$251,$A276)</f>
        <v>1.9553520967872462</v>
      </c>
      <c r="E276" s="27" cm="1">
        <f t="array" ref="E276">TrajectoryToComeUp(E$248:E$251,$A276)</f>
        <v>1.6876197241535946</v>
      </c>
      <c r="F276" s="27" cm="1">
        <f t="array" ref="F276">TrajectoryToComeUp(F$248:F$251,$A276)</f>
        <v>1.0114675208429951</v>
      </c>
      <c r="G276" s="27" cm="1">
        <f t="array" ref="G276">TrajectoryToComeUp(G$248:G$251,$A276)</f>
        <v>0.34480815662356884</v>
      </c>
      <c r="H276" s="27" cm="1">
        <f t="array" ref="H276">TrajectoryToComeUp(H$248:H$251,$A276)</f>
        <v>-0.32343575965256</v>
      </c>
      <c r="I276" s="2" cm="1">
        <f t="array" ref="I276">EvaluatePolynomial(I$248:I$251,$A276)</f>
        <v>2552.16167713921</v>
      </c>
    </row>
    <row r="277" spans="1:9" x14ac:dyDescent="0.25">
      <c r="A277" s="1">
        <v>475</v>
      </c>
      <c r="B277" s="2" cm="1">
        <f t="array" ref="B277">TrajectoryToComeUp(B$248:B$251,$A277)</f>
        <v>2.2033583390444953</v>
      </c>
      <c r="C277" s="2" cm="1">
        <f t="array" ref="C277">TrajectoryToComeUp(C$248:C$251,$A277)</f>
        <v>2.1859574217203099</v>
      </c>
      <c r="D277" s="27" cm="1">
        <f t="array" ref="D277">TrajectoryToComeUp(D$248:D$251,$A277)</f>
        <v>2.1881890813070433</v>
      </c>
      <c r="E277" s="27" cm="1">
        <f t="array" ref="E277">TrajectoryToComeUp(E$248:E$251,$A277)</f>
        <v>1.8845462678304268</v>
      </c>
      <c r="F277" s="27" cm="1">
        <f t="array" ref="F277">TrajectoryToComeUp(F$248:F$251,$A277)</f>
        <v>1.1889388395898028</v>
      </c>
      <c r="G277" s="27" cm="1">
        <f t="array" ref="G277">TrajectoryToComeUp(G$248:G$251,$A277)</f>
        <v>0.5282303157718965</v>
      </c>
      <c r="H277" s="27" cm="1">
        <f t="array" ref="H277">TrajectoryToComeUp(H$248:H$251,$A277)</f>
        <v>-0.14651232703572276</v>
      </c>
      <c r="I277" s="2" cm="1">
        <f t="array" ref="I277">EvaluatePolynomial(I$248:I$251,$A277)</f>
        <v>2502.1663167104302</v>
      </c>
    </row>
    <row r="278" spans="1:9" x14ac:dyDescent="0.25">
      <c r="A278" s="10">
        <v>500</v>
      </c>
      <c r="B278" s="2" cm="1">
        <f t="array" ref="B278">TrajectoryToComeUp(B$248:B$251,$A278)</f>
        <v>2.4168854429039413</v>
      </c>
      <c r="C278" s="2" cm="1">
        <f t="array" ref="C278">TrajectoryToComeUp(C$248:C$251,$A278)</f>
        <v>2.3641882330330706</v>
      </c>
      <c r="D278" s="27" cm="1">
        <f t="array" ref="D278">TrajectoryToComeUp(D$248:D$251,$A278)</f>
        <v>2.4306111792800031</v>
      </c>
      <c r="E278" s="27" cm="1">
        <f t="array" ref="E278">TrajectoryToComeUp(E$248:E$251,$A278)</f>
        <v>2.0856617307541288</v>
      </c>
      <c r="F278" s="27" cm="1">
        <f t="array" ref="F278">TrajectoryToComeUp(F$248:F$251,$A278)</f>
        <v>1.3675457511662608</v>
      </c>
      <c r="G278" s="27" cm="1">
        <f t="array" ref="G278">TrajectoryToComeUp(G$248:G$251,$A278)</f>
        <v>0.7149533702181915</v>
      </c>
      <c r="H278" s="27" cm="1">
        <f t="array" ref="H278">TrajectoryToComeUp(H$248:H$251,$A278)</f>
        <v>3.1805482072808117E-2</v>
      </c>
      <c r="I278" s="2" cm="1">
        <f t="array" ref="I278">EvaluatePolynomial(I$248:I$251,$A278)</f>
        <v>2454.0829956692146</v>
      </c>
    </row>
    <row r="279" spans="1:9" x14ac:dyDescent="0.25">
      <c r="A279" s="1">
        <v>525</v>
      </c>
      <c r="B279" s="34" cm="1">
        <f t="array" ref="B279">TrajectoryToComeUp(B$248:B$251,$A279)</f>
        <v>2.6323337265971265</v>
      </c>
      <c r="C279" s="34" cm="1">
        <f t="array" ref="C279">TrajectoryToComeUp(C$248:C$251,$A279)</f>
        <v>2.5437963354757387</v>
      </c>
      <c r="D279" s="34" cm="1">
        <f t="array" ref="D279">TrajectoryToComeUp(D$248:D$251,$A279)</f>
        <v>2.68254955410388</v>
      </c>
      <c r="E279" s="34" cm="1">
        <f t="array" ref="E279">TrajectoryToComeUp(E$248:E$251,$A279)</f>
        <v>2.2908819087624561</v>
      </c>
      <c r="F279" s="34" cm="1">
        <f t="array" ref="F279">TrajectoryToComeUp(F$248:F$251,$A279)</f>
        <v>1.5471947698851767</v>
      </c>
      <c r="G279" s="34" cm="1">
        <f t="array" ref="G279">TrajectoryToComeUp(G$248:G$251,$A279)</f>
        <v>0.90489442023147693</v>
      </c>
      <c r="H279" s="34" cm="1">
        <f t="array" ref="H279">TrajectoryToComeUp(H$248:H$251,$A279)</f>
        <v>0.21142926516867308</v>
      </c>
      <c r="I279" s="2" cm="1">
        <f t="array" ref="I279">EvaluatePolynomial(I$248:I$251,$A279)</f>
        <v>2408.0073028425645</v>
      </c>
    </row>
    <row r="280" spans="1:9" x14ac:dyDescent="0.25">
      <c r="A280" s="1">
        <v>550</v>
      </c>
      <c r="B280" s="34" cm="1">
        <f t="array" ref="B280">TrajectoryToComeUp(B$248:B$251,$A280)</f>
        <v>2.8496234734507291</v>
      </c>
      <c r="C280" s="34" cm="1">
        <f t="array" ref="C280">TrajectoryToComeUp(C$248:C$251,$A280)</f>
        <v>2.724710445424364</v>
      </c>
      <c r="D280" s="34" cm="1">
        <f t="array" ref="D280">TrajectoryToComeUp(D$248:D$251,$A280)</f>
        <v>2.943947884922292</v>
      </c>
      <c r="E280" s="34" cm="1">
        <f t="array" ref="E280">TrajectoryToComeUp(E$248:E$251,$A280)</f>
        <v>2.5001379075408425</v>
      </c>
      <c r="F280" s="34" cm="1">
        <f t="array" ref="F280">TrajectoryToComeUp(F$248:F$251,$A280)</f>
        <v>1.7278094074570289</v>
      </c>
      <c r="G280" s="34" cm="1">
        <f t="array" ref="G280">TrajectoryToComeUp(G$248:G$251,$A280)</f>
        <v>1.0979856387591369</v>
      </c>
      <c r="H280" s="34" cm="1">
        <f t="array" ref="H280">TrajectoryToComeUp(H$248:H$251,$A280)</f>
        <v>0.39228669293012136</v>
      </c>
      <c r="I280" s="2" cm="1">
        <f t="array" ref="I280">EvaluatePolynomial(I$248:I$251,$A280)</f>
        <v>2364.0348270574827</v>
      </c>
    </row>
    <row r="281" spans="1:9" x14ac:dyDescent="0.25">
      <c r="A281" s="1">
        <v>575</v>
      </c>
      <c r="B281" s="34" cm="1">
        <f t="array" ref="B281">TrajectoryToComeUp(B$248:B$251,$A281)</f>
        <v>3.0686888305606979</v>
      </c>
      <c r="C281" s="34" cm="1">
        <f t="array" ref="C281">TrajectoryToComeUp(C$248:C$251,$A281)</f>
        <v>2.9068716764069924</v>
      </c>
      <c r="D281" s="34" cm="1">
        <f t="array" ref="D281">TrajectoryToComeUp(D$248:D$251,$A281)</f>
        <v>3.214759645810402</v>
      </c>
      <c r="E281" s="34" cm="1">
        <f t="array" ref="E281">TrajectoryToComeUp(E$248:E$251,$A281)</f>
        <v>2.7133728143946501</v>
      </c>
      <c r="F281" s="34" cm="1">
        <f t="array" ref="F281">TrajectoryToComeUp(F$248:F$251,$A281)</f>
        <v>1.9093264779035191</v>
      </c>
      <c r="G281" s="34" cm="1">
        <f t="array" ref="G281">TrajectoryToComeUp(G$248:G$251,$A281)</f>
        <v>1.2941709947577047</v>
      </c>
      <c r="H281" s="34" cm="1">
        <f t="array" ref="H281">TrajectoryToComeUp(H$248:H$251,$A281)</f>
        <v>0.57431801504788293</v>
      </c>
      <c r="I281" s="2" cm="1">
        <f t="array" ref="I281">EvaluatePolynomial(I$248:I$251,$A281)</f>
        <v>2322.2611571409711</v>
      </c>
    </row>
    <row r="282" spans="1:9" x14ac:dyDescent="0.25">
      <c r="A282" s="1">
        <v>600</v>
      </c>
      <c r="B282" s="34" cm="1">
        <f t="array" ref="B282">TrajectoryToComeUp(B$248:B$251,$A282)</f>
        <v>3.2894749205069926</v>
      </c>
      <c r="C282" s="34" cm="1">
        <f t="array" ref="C282">TrajectoryToComeUp(C$248:C$251,$A282)</f>
        <v>3.0902309563636576</v>
      </c>
      <c r="D282" s="34" cm="1">
        <f t="array" ref="D282">TrajectoryToComeUp(D$248:D$251,$A282)</f>
        <v>3.4949460651641782</v>
      </c>
      <c r="E282" s="34" cm="1">
        <f t="array" ref="E282">TrajectoryToComeUp(E$248:E$251,$A282)</f>
        <v>2.9305392020783452</v>
      </c>
      <c r="F282" s="34" cm="1">
        <f t="array" ref="F282">TrajectoryToComeUp(F$248:F$251,$A282)</f>
        <v>2.0916933262427304</v>
      </c>
      <c r="G282" s="34" cm="1">
        <f t="array" ref="G282">TrajectoryToComeUp(G$248:G$251,$A282)</f>
        <v>1.4934037956909578</v>
      </c>
      <c r="H282" s="34" cm="1">
        <f t="array" ref="H282">TrajectoryToComeUp(H$248:H$251,$A282)</f>
        <v>0.7574734395975633</v>
      </c>
      <c r="I282" s="2" cm="1">
        <f t="array" ref="I282">EvaluatePolynomial(I$248:I$251,$A282)</f>
        <v>2282.7818819200315</v>
      </c>
    </row>
    <row r="283" spans="1:9" x14ac:dyDescent="0.25">
      <c r="A283" s="1">
        <v>625</v>
      </c>
      <c r="B283" s="34" cm="1">
        <f t="array" ref="B283">TrajectoryToComeUp(B$248:B$251,$A283)</f>
        <v>3.5119356462567781</v>
      </c>
      <c r="C283" s="34" cm="1">
        <f t="array" ref="C283">TrajectoryToComeUp(C$248:C$251,$A283)</f>
        <v>3.2747470647639907</v>
      </c>
      <c r="D283" s="34" cm="1">
        <f t="array" ref="D283">TrajectoryToComeUp(D$248:D$251,$A283)</f>
        <v>3.7844745748362336</v>
      </c>
      <c r="E283" s="34" cm="1">
        <f t="array" ref="E283">TrajectoryToComeUp(E$248:E$251,$A283)</f>
        <v>3.1515972317056784</v>
      </c>
      <c r="F283" s="34" cm="1">
        <f t="array" ref="F283">TrajectoryToComeUp(F$248:F$251,$A283)</f>
        <v>2.274865722289853</v>
      </c>
      <c r="G283" s="34" cm="1">
        <f t="array" ref="G283">TrajectoryToComeUp(G$248:G$251,$A283)</f>
        <v>1.695644819828471</v>
      </c>
      <c r="H283" s="34" cm="1">
        <f t="array" ref="H283">TrajectoryToComeUp(H$248:H$251,$A283)</f>
        <v>0.94171114136267442</v>
      </c>
      <c r="I283" s="2" cm="1">
        <f t="array" ref="I283">EvaluatePolynomial(I$248:I$251,$A283)</f>
        <v>2245.6925902216672</v>
      </c>
    </row>
    <row r="284" spans="1:9" x14ac:dyDescent="0.25">
      <c r="A284" s="1">
        <v>650</v>
      </c>
      <c r="B284" s="34" cm="1">
        <f t="array" ref="B284">TrajectoryToComeUp(B$248:B$251,$A284)</f>
        <v>3.7360320026284248</v>
      </c>
      <c r="C284" s="34" cm="1">
        <f t="array" ref="C284">TrajectoryToComeUp(C$248:C$251,$A284)</f>
        <v>3.4603851226976778</v>
      </c>
      <c r="D284" s="34" cm="1">
        <f t="array" ref="D284">TrajectoryToComeUp(D$248:D$251,$A284)</f>
        <v>4.0833176171633969</v>
      </c>
      <c r="E284" s="34" cm="1">
        <f t="array" ref="E284">TrajectoryToComeUp(E$248:E$251,$A284)</f>
        <v>3.376513193449826</v>
      </c>
      <c r="F284" s="34" cm="1">
        <f t="array" ref="F284">TrajectoryToComeUp(F$248:F$251,$A284)</f>
        <v>2.4588062405038933</v>
      </c>
      <c r="G284" s="34" cm="1">
        <f t="array" ref="G284">TrajectoryToComeUp(G$248:G$251,$A284)</f>
        <v>1.9008608795521909</v>
      </c>
      <c r="H284" s="34" cm="1">
        <f t="array" ref="H284">TrajectoryToComeUp(H$248:H$251,$A284)</f>
        <v>1.126995729775415</v>
      </c>
      <c r="I284" s="2" cm="1">
        <f t="array" ref="I284">EvaluatePolynomial(I$248:I$251,$A284)</f>
        <v>2211.0888708728789</v>
      </c>
    </row>
    <row r="285" spans="1:9" x14ac:dyDescent="0.25">
      <c r="A285" s="1">
        <v>675</v>
      </c>
      <c r="B285" s="34" cm="1">
        <f t="array" ref="B285">TrajectoryToComeUp(B$248:B$251,$A285)</f>
        <v>3.9617307629857321</v>
      </c>
      <c r="C285" s="34" cm="1">
        <f t="array" ref="C285">TrajectoryToComeUp(C$248:C$251,$A285)</f>
        <v>3.64711541850038</v>
      </c>
      <c r="D285" s="34" cm="1">
        <f t="array" ref="D285">TrajectoryToComeUp(D$248:D$251,$A285)</f>
        <v>4.3914517170992609</v>
      </c>
      <c r="E285" s="34" cm="1">
        <f t="array" ref="E285">TrajectoryToComeUp(E$248:E$251,$A285)</f>
        <v>3.6052583715323814</v>
      </c>
      <c r="F285" s="34" cm="1">
        <f t="array" ref="F285">TrajectoryToComeUp(F$248:F$251,$A285)</f>
        <v>2.6434829998684508</v>
      </c>
      <c r="G285" s="34" cm="1">
        <f t="array" ref="G285">TrajectoryToComeUp(G$248:G$251,$A285)</f>
        <v>2.1090237039282189</v>
      </c>
      <c r="H285" s="34" cm="1">
        <f t="array" ref="H285">TrajectoryToComeUp(H$248:H$251,$A285)</f>
        <v>1.3132970573150688</v>
      </c>
      <c r="I285" s="2" cm="1">
        <f t="array" ref="I285">EvaluatePolynomial(I$248:I$251,$A285)</f>
        <v>2179.0663127006701</v>
      </c>
    </row>
    <row r="286" spans="1:9" x14ac:dyDescent="0.25">
      <c r="A286" s="1">
        <v>700</v>
      </c>
      <c r="B286" s="34" cm="1">
        <f t="array" ref="B286">TrajectoryToComeUp(B$248:B$251,$A286)</f>
        <v>4.1890034473548079</v>
      </c>
      <c r="C286" s="34" cm="1">
        <f t="array" ref="C286">TrajectoryToComeUp(C$248:C$251,$A286)</f>
        <v>3.8349124850312317</v>
      </c>
      <c r="D286" s="34" cm="1">
        <f t="array" ref="D286">TrajectoryToComeUp(D$248:D$251,$A286)</f>
        <v>4.7088567531754766</v>
      </c>
      <c r="E286" s="34" cm="1">
        <f t="array" ref="E286">TrajectoryToComeUp(E$248:E$251,$A286)</f>
        <v>3.8378081524289946</v>
      </c>
      <c r="F286" s="34" cm="1">
        <f t="array" ref="F286">TrajectoryToComeUp(F$248:F$251,$A286)</f>
        <v>2.8288686737980377</v>
      </c>
      <c r="G286" s="34" cm="1">
        <f t="array" ref="G286">TrajectoryToComeUp(G$248:G$251,$A286)</f>
        <v>2.320109060727503</v>
      </c>
      <c r="H286" s="34" cm="1">
        <f t="array" ref="H286">TrajectoryToComeUp(H$248:H$251,$A286)</f>
        <v>1.5005892832495906</v>
      </c>
      <c r="I286" s="2" cm="1">
        <f t="array" ref="I286">EvaluatePolynomial(I$248:I$251,$A286)</f>
        <v>2149.7205045320425</v>
      </c>
    </row>
    <row r="287" spans="1:9" x14ac:dyDescent="0.25">
      <c r="A287" s="1">
        <v>725</v>
      </c>
      <c r="B287" s="34" cm="1">
        <f t="array" ref="B287">TrajectoryToComeUp(B$248:B$251,$A287)</f>
        <v>4.4178255040340284</v>
      </c>
      <c r="C287" s="34" cm="1">
        <f t="array" ref="C287">TrajectoryToComeUp(C$248:C$251,$A287)</f>
        <v>4.023754367858456</v>
      </c>
      <c r="D287" s="34" cm="1">
        <f t="array" ref="D287">TrajectoryToComeUp(D$248:D$251,$A287)</f>
        <v>5.0355153792986407</v>
      </c>
      <c r="E287" s="34" cm="1">
        <f t="array" ref="E287">TrajectoryToComeUp(E$248:E$251,$A287)</f>
        <v>4.0741413175841945</v>
      </c>
      <c r="F287" s="34" cm="1">
        <f t="array" ref="F287">TrajectoryToComeUp(F$248:F$251,$A287)</f>
        <v>3.0149397048913746</v>
      </c>
      <c r="G287" s="34" cm="1">
        <f t="array" ref="G287">TrajectoryToComeUp(G$248:G$251,$A287)</f>
        <v>2.5340960600974083</v>
      </c>
      <c r="H287" s="34" cm="1">
        <f t="array" ref="H287">TrajectoryToComeUp(H$248:H$251,$A287)</f>
        <v>1.688850131085841</v>
      </c>
      <c r="I287" s="2" cm="1">
        <f t="array" ref="I287">EvaluatePolynomial(I$248:I$251,$A287)</f>
        <v>2123.1470351939979</v>
      </c>
    </row>
    <row r="288" spans="1:9" x14ac:dyDescent="0.25">
      <c r="A288" s="1">
        <v>750</v>
      </c>
      <c r="B288" s="34" cm="1">
        <f t="array" ref="B288">TrajectoryToComeUp(B$248:B$251,$A288)</f>
        <v>4.6481756548819817</v>
      </c>
      <c r="C288" s="34" cm="1">
        <f t="array" ref="C288">TrajectoryToComeUp(C$248:C$251,$A288)</f>
        <v>4.2136220398078441</v>
      </c>
      <c r="D288" s="34" cm="1">
        <f t="array" ref="D288">TrajectoryToComeUp(D$248:D$251,$A288)</f>
        <v>5.3714125621878033</v>
      </c>
      <c r="E288" s="34" cm="1">
        <f t="array" ref="E288">TrajectoryToComeUp(E$248:E$251,$A288)</f>
        <v>4.3142394775832367</v>
      </c>
      <c r="F288" s="34" cm="1">
        <f t="array" ref="F288">TrajectoryToComeUp(F$248:F$251,$A288)</f>
        <v>3.2016756767340144</v>
      </c>
      <c r="G288" s="34" cm="1">
        <f t="array" ref="G288">TrajectoryToComeUp(G$248:G$251,$A288)</f>
        <v>2.7509665974989854</v>
      </c>
      <c r="H288" s="34" cm="1">
        <f t="array" ref="H288">TrajectoryToComeUp(H$248:H$251,$A288)</f>
        <v>1.878060294529762</v>
      </c>
      <c r="I288" s="2" cm="1">
        <f t="array" ref="I288">EvaluatePolynomial(I$248:I$251,$A288)</f>
        <v>2099.4414935135392</v>
      </c>
    </row>
    <row r="289" spans="1:9" x14ac:dyDescent="0.25">
      <c r="A289" s="1">
        <v>775</v>
      </c>
      <c r="B289" s="34" cm="1">
        <f t="array" ref="B289">TrajectoryToComeUp(B$248:B$251,$A289)</f>
        <v>4.880035367323889</v>
      </c>
      <c r="C289" s="34" cm="1">
        <f t="array" ref="C289">TrajectoryToComeUp(C$248:C$251,$A289)</f>
        <v>4.4044989288244398</v>
      </c>
      <c r="D289" s="34" cm="1">
        <f t="array" ref="D289">TrajectoryToComeUp(D$248:D$251,$A289)</f>
        <v>5.7165352083402006</v>
      </c>
      <c r="E289" s="34" cm="1">
        <f t="array" ref="E289">TrajectoryToComeUp(E$248:E$251,$A289)</f>
        <v>4.5580866158390876</v>
      </c>
      <c r="F289" s="34" cm="1">
        <f t="array" ref="F289">TrajectoryToComeUp(F$248:F$251,$A289)</f>
        <v>3.38905880728757</v>
      </c>
      <c r="G289" s="34" cm="1">
        <f t="array" ref="G289">TrajectoryToComeUp(G$248:G$251,$A289)</f>
        <v>2.9707049044628295</v>
      </c>
      <c r="H289" s="34" cm="1">
        <f t="array" ref="H289">TrajectoryToComeUp(H$248:H$251,$A289)</f>
        <v>2.0682029584220163</v>
      </c>
      <c r="I289" s="2" cm="1">
        <f t="array" ref="I289">EvaluatePolynomial(I$248:I$251,$A289)</f>
        <v>2078.6994683176681</v>
      </c>
    </row>
    <row r="290" spans="1:9" x14ac:dyDescent="0.25">
      <c r="A290" s="1">
        <v>800</v>
      </c>
      <c r="B290" s="34" cm="1">
        <f t="array" ref="B290">TrajectoryToComeUp(B$248:B$251,$A290)</f>
        <v>5.1133884253568231</v>
      </c>
      <c r="C290" s="34" cm="1">
        <f t="array" ref="C290">TrajectoryToComeUp(C$248:C$251,$A290)</f>
        <v>4.5963705343601573</v>
      </c>
      <c r="D290" s="34" cm="1">
        <f t="array" ref="D290">TrajectoryToComeUp(D$248:D$251,$A290)</f>
        <v>6.0708718609409154</v>
      </c>
      <c r="E290" s="34" cm="1">
        <f t="array" ref="E290">TrajectoryToComeUp(E$248:E$251,$A290)</f>
        <v>4.805668717838091</v>
      </c>
      <c r="F290" s="34" cm="1">
        <f t="array" ref="F290">TrajectoryToComeUp(F$248:F$251,$A290)</f>
        <v>3.5770735372684563</v>
      </c>
      <c r="G290" s="34" cm="1">
        <f t="array" ref="G290">TrajectoryToComeUp(G$248:G$251,$A290)</f>
        <v>3.1932971835782071</v>
      </c>
      <c r="H290" s="34" cm="1">
        <f t="array" ref="H290">TrajectoryToComeUp(H$248:H$251,$A290)</f>
        <v>2.2592634094981818</v>
      </c>
      <c r="I290" s="2" cm="1">
        <f t="array" ref="I290">EvaluatePolynomial(I$248:I$251,$A290)</f>
        <v>2061.016548433387</v>
      </c>
    </row>
    <row r="291" spans="1:9" x14ac:dyDescent="0.25">
      <c r="A291" s="1">
        <v>825</v>
      </c>
      <c r="B291" s="34" cm="1">
        <f t="array" ref="B291">TrajectoryToComeUp(B$248:B$251,$A291)</f>
        <v>5.348220578553966</v>
      </c>
      <c r="C291" s="34" cm="1">
        <f t="array" ref="C291">TrajectoryToComeUp(C$248:C$251,$A291)</f>
        <v>4.7892241135091025</v>
      </c>
      <c r="D291" s="34" cm="1">
        <f t="array" ref="D291">TrajectoryToComeUp(D$248:D$251,$A291)</f>
        <v>6.4344124518798687</v>
      </c>
      <c r="E291" s="34" cm="1">
        <f t="array" ref="E291">TrajectoryToComeUp(E$248:E$251,$A291)</f>
        <v>5.0569734677955216</v>
      </c>
      <c r="F291" s="34" cm="1">
        <f t="array" ref="F291">TrajectoryToComeUp(F$248:F$251,$A291)</f>
        <v>3.7657061933668494</v>
      </c>
      <c r="G291" s="34" cm="1">
        <f t="array" ref="G291">TrajectoryToComeUp(G$248:G$251,$A291)</f>
        <v>3.4187313098478085</v>
      </c>
      <c r="H291" s="34" cm="1">
        <f t="array" ref="H291">TrajectoryToComeUp(H$248:H$251,$A291)</f>
        <v>2.451228717919828</v>
      </c>
      <c r="I291" s="2" cm="1">
        <f t="array" ref="I291">EvaluatePolynomial(I$248:I$251,$A291)</f>
        <v>2046.488322687698</v>
      </c>
    </row>
    <row r="292" spans="1:9" x14ac:dyDescent="0.25">
      <c r="A292" s="1">
        <v>850</v>
      </c>
      <c r="B292" s="34" cm="1">
        <f t="array" ref="B292">TrajectoryToComeUp(B$248:B$251,$A292)</f>
        <v>5.5845192530093026</v>
      </c>
      <c r="C292" s="34" cm="1">
        <f t="array" ref="C292">TrajectoryToComeUp(C$248:C$251,$A292)</f>
        <v>4.9830484225307821</v>
      </c>
      <c r="D292" s="34" cm="1">
        <f t="array" ref="D292">TrajectoryToComeUp(D$248:D$251,$A292)</f>
        <v>6.8071480975305185</v>
      </c>
      <c r="E292" s="34" cm="1">
        <f t="array" ref="E292">TrajectoryToComeUp(E$248:E$251,$A292)</f>
        <v>5.3119899988425026</v>
      </c>
      <c r="F292" s="34" cm="1">
        <f t="array" ref="F292">TrajectoryToComeUp(F$248:F$251,$A292)</f>
        <v>3.9549447108976161</v>
      </c>
      <c r="G292" s="34" cm="1">
        <f t="array" ref="G292">TrajectoryToComeUp(G$248:G$251,$A292)</f>
        <v>3.6469965847445982</v>
      </c>
      <c r="H292" s="34" cm="1">
        <f t="array" ref="H292">TrajectoryToComeUp(H$248:H$251,$A292)</f>
        <v>2.6440874750059846</v>
      </c>
      <c r="I292" s="2" cm="1">
        <f t="array" ref="I292">EvaluatePolynomial(I$248:I$251,$A292)</f>
        <v>2035.2103799076033</v>
      </c>
    </row>
    <row r="293" spans="1:9" x14ac:dyDescent="0.25">
      <c r="A293" s="1">
        <v>875</v>
      </c>
      <c r="B293" s="34" cm="1">
        <f t="array" ref="B293">TrajectoryToComeUp(B$248:B$251,$A293)</f>
        <v>5.8222733118346479</v>
      </c>
      <c r="C293" s="34" cm="1">
        <f t="array" ref="C293">TrajectoryToComeUp(C$248:C$251,$A293)</f>
        <v>5.1778335026836126</v>
      </c>
      <c r="D293" s="34" cm="1">
        <f t="array" ref="D293">TrajectoryToComeUp(D$248:D$251,$A293)</f>
        <v>7.189070929537932</v>
      </c>
      <c r="E293" s="34" cm="1">
        <f t="array" ref="E293">TrajectoryToComeUp(E$248:E$251,$A293)</f>
        <v>5.5707086860380244</v>
      </c>
      <c r="F293" s="34" cm="1">
        <f t="array" ref="F293">TrajectoryToComeUp(F$248:F$251,$A293)</f>
        <v>4.1447784039967788</v>
      </c>
      <c r="G293" s="34" cm="1">
        <f t="array" ref="G293">TrajectoryToComeUp(G$248:G$251,$A293)</f>
        <v>3.878083532430344</v>
      </c>
      <c r="H293" s="34" cm="1">
        <f t="array" ref="H293">TrajectoryToComeUp(H$248:H$251,$A293)</f>
        <v>2.8378295759249395</v>
      </c>
      <c r="I293" s="2" cm="1">
        <f t="array" ref="I293">EvaluatePolynomial(I$248:I$251,$A293)</f>
        <v>2027.2783089201052</v>
      </c>
    </row>
    <row r="294" spans="1:9" x14ac:dyDescent="0.25">
      <c r="A294" s="1">
        <v>900</v>
      </c>
      <c r="B294" s="34" cm="1">
        <f t="array" ref="B294">TrajectoryToComeUp(B$248:B$251,$A294)</f>
        <v>6.0614728555738377</v>
      </c>
      <c r="C294" s="34" cm="1">
        <f t="array" ref="C294">TrajectoryToComeUp(C$248:C$251,$A294)</f>
        <v>5.3735705017528588</v>
      </c>
      <c r="D294" s="34" cm="1">
        <f t="array" ref="D294">TrajectoryToComeUp(D$248:D$251,$A294)</f>
        <v>7.5801739538088331</v>
      </c>
      <c r="E294" s="34" cm="1">
        <f t="array" ref="E294">TrajectoryToComeUp(E$248:E$251,$A294)</f>
        <v>5.833120973878974</v>
      </c>
      <c r="F294" s="34" cm="1">
        <f t="array" ref="F294">TrajectoryToComeUp(F$248:F$251,$A294)</f>
        <v>4.335197774118579</v>
      </c>
      <c r="G294" s="34" cm="1">
        <f t="array" ref="G294">TrajectoryToComeUp(G$248:G$251,$A294)</f>
        <v>4.111983729937724</v>
      </c>
      <c r="H294" s="34" cm="1">
        <f t="array" ref="H294">TrajectoryToComeUp(H$248:H$251,$A294)</f>
        <v>3.0324460386040544</v>
      </c>
      <c r="I294" s="2" cm="1">
        <f t="array" ref="I294">EvaluatePolynomial(I$248:I$251,$A294)</f>
        <v>2022.7876985522057</v>
      </c>
    </row>
    <row r="295" spans="1:9" x14ac:dyDescent="0.25">
      <c r="A295" s="1">
        <v>925</v>
      </c>
      <c r="B295" s="34" cm="1">
        <f t="array" ref="B295">TrajectoryToComeUp(B$248:B$251,$A295)</f>
        <v>6.302109054982183</v>
      </c>
      <c r="C295" s="34" cm="1">
        <f t="array" ref="C295">TrajectoryToComeUp(C$248:C$251,$A295)</f>
        <v>5.570251524519966</v>
      </c>
      <c r="D295" s="34" cm="1">
        <f t="array" ref="D295">TrajectoryToComeUp(D$248:D$251,$A295)</f>
        <v>7.9804509323681323</v>
      </c>
      <c r="E295" s="34" cm="1">
        <f t="array" ref="E295">TrajectoryToComeUp(E$248:E$251,$A295)</f>
        <v>6.0992192317814942</v>
      </c>
      <c r="F295" s="34" cm="1">
        <f t="array" ref="F295">TrajectoryToComeUp(F$248:F$251,$A295)</f>
        <v>4.5261943495870716</v>
      </c>
      <c r="G295" s="34" cm="1">
        <f t="array" ref="G295">TrajectoryToComeUp(G$248:G$251,$A295)</f>
        <v>4.3486896648904843</v>
      </c>
      <c r="H295" s="34" cm="1">
        <f t="array" ref="H295">TrajectoryToComeUp(H$248:H$251,$A295)</f>
        <v>3.2279288520055744</v>
      </c>
      <c r="I295" s="2" cm="1">
        <f t="array" ref="I295">EvaluatePolynomial(I$248:I$251,$A295)</f>
        <v>2021.834137630907</v>
      </c>
    </row>
    <row r="296" spans="1:9" x14ac:dyDescent="0.25">
      <c r="A296" s="1">
        <v>950</v>
      </c>
      <c r="B296" s="34" cm="1">
        <f t="array" ref="B296">TrajectoryToComeUp(B$248:B$251,$A296)</f>
        <v>6.5441740102091774</v>
      </c>
      <c r="C296" s="34" cm="1">
        <f t="array" ref="C296">TrajectoryToComeUp(C$248:C$251,$A296)</f>
        <v>5.7678695068420236</v>
      </c>
      <c r="D296" s="34" cm="1">
        <f t="array" ref="D296">TrajectoryToComeUp(D$248:D$251,$A296)</f>
        <v>8.3898962838697102</v>
      </c>
      <c r="E296" s="34" cm="1">
        <f t="array" ref="E296">TrajectoryToComeUp(E$248:E$251,$A296)</f>
        <v>6.3689966323810756</v>
      </c>
      <c r="F296" s="34" cm="1">
        <f t="array" ref="F296">TrajectoryToComeUp(F$248:F$251,$A296)</f>
        <v>4.7177605504816738</v>
      </c>
      <c r="G296" s="34" cm="1">
        <f t="array" ref="G296">TrajectoryToComeUp(G$248:G$251,$A296)</f>
        <v>4.5881946156888125</v>
      </c>
      <c r="H296" s="34" cm="1">
        <f t="array" ref="H296">TrajectoryToComeUp(H$248:H$251,$A296)</f>
        <v>3.4242708483588751</v>
      </c>
      <c r="I296" s="2" cm="1">
        <f t="array" ref="I296">EvaluatePolynomial(I$248:I$251,$A296)</f>
        <v>2024.5132149832114</v>
      </c>
    </row>
    <row r="297" spans="1:9" x14ac:dyDescent="0.25">
      <c r="A297" s="1">
        <v>975</v>
      </c>
      <c r="B297" s="34" cm="1">
        <f t="array" ref="B297">TrajectoryToComeUp(B$248:B$251,$A297)</f>
        <v>6.7876606316453882</v>
      </c>
      <c r="C297" s="34" cm="1">
        <f t="array" ref="C297">TrajectoryToComeUp(C$248:C$251,$A297)</f>
        <v>5.9664181091035937</v>
      </c>
      <c r="D297" s="34" cm="1">
        <f t="array" ref="D297">TrajectoryToComeUp(D$248:D$251,$A297)</f>
        <v>8.8085049994131861</v>
      </c>
      <c r="E297" s="34" cm="1">
        <f t="array" ref="E297">TrajectoryToComeUp(E$248:E$251,$A297)</f>
        <v>6.6424470485557245</v>
      </c>
      <c r="F297" s="34" cm="1">
        <f t="array" ref="F297">TrajectoryToComeUp(F$248:F$251,$A297)</f>
        <v>4.9098895743095534</v>
      </c>
      <c r="G297" s="34" cm="1">
        <f t="array" ref="G297">TrajectoryToComeUp(G$248:G$251,$A297)</f>
        <v>4.8304925501277554</v>
      </c>
      <c r="H297" s="34" cm="1">
        <f t="array" ref="H297">TrajectoryToComeUp(H$248:H$251,$A297)</f>
        <v>3.6214655950492953</v>
      </c>
      <c r="I297" s="2" cm="1">
        <f t="array" ref="I297">EvaluatePolynomial(I$248:I$251,$A297)</f>
        <v>2030.9205194361209</v>
      </c>
    </row>
    <row r="298" spans="1:9" x14ac:dyDescent="0.25">
      <c r="A298" s="1">
        <v>1000</v>
      </c>
      <c r="B298" s="34" cm="1">
        <f t="array" ref="B298">TrajectoryToComeUp(B$248:B$251,$A298)</f>
        <v>7.0325625386423258</v>
      </c>
      <c r="C298" s="34" cm="1">
        <f t="array" ref="C298">TrajectoryToComeUp(C$248:C$251,$A298)</f>
        <v>6.1658916256507883</v>
      </c>
      <c r="D298" s="34" cm="1">
        <f t="array" ref="D298">TrajectoryToComeUp(D$248:D$251,$A298)</f>
        <v>9.2362725709882358</v>
      </c>
      <c r="E298" s="34" cm="1">
        <f t="array" ref="E298">TrajectoryToComeUp(E$248:E$251,$A298)</f>
        <v>6.9195649658956491</v>
      </c>
      <c r="F298" s="34" cm="1">
        <f t="array" ref="F298">TrajectoryToComeUp(F$248:F$251,$A298)</f>
        <v>5.1025752988271629</v>
      </c>
      <c r="G298" s="34" cm="1">
        <f t="array" ref="G298">TrajectoryToComeUp(G$248:G$251,$A298)</f>
        <v>5.07557803922285</v>
      </c>
      <c r="H298" s="34" cm="1">
        <f t="array" ref="H298">TrajectoryToComeUp(H$248:H$251,$A298)</f>
        <v>3.8195073027236379</v>
      </c>
      <c r="I298" s="2" cm="1">
        <f t="array" ref="I298">EvaluatePolynomial(I$248:I$251,$A298)</f>
        <v>2041.151639816638</v>
      </c>
    </row>
  </sheetData>
  <mergeCells count="4">
    <mergeCell ref="C21:G21"/>
    <mergeCell ref="J21:N21"/>
    <mergeCell ref="AH93:AL93"/>
    <mergeCell ref="F1:H1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BE283-1C2D-4574-98D2-008DF2422A69}">
  <sheetPr codeName="Sheet5"/>
  <dimension ref="A1:AL298"/>
  <sheetViews>
    <sheetView topLeftCell="G52" workbookViewId="0">
      <selection activeCell="Z66" sqref="Z66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2.140625" customWidth="1"/>
    <col min="7" max="7" width="18.710937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6" max="26" width="14.5703125" customWidth="1"/>
    <col min="28" max="28" width="11.28515625" customWidth="1"/>
    <col min="32" max="32" width="14.42578125" customWidth="1"/>
    <col min="33" max="33" width="18.28515625" customWidth="1"/>
    <col min="34" max="34" width="15.85546875" customWidth="1"/>
    <col min="35" max="35" width="18.42578125" customWidth="1"/>
    <col min="36" max="36" width="16.5703125" customWidth="1"/>
    <col min="37" max="37" width="13" customWidth="1"/>
  </cols>
  <sheetData>
    <row r="1" spans="1:8" x14ac:dyDescent="0.25">
      <c r="A1" t="s">
        <v>18</v>
      </c>
      <c r="B1" t="s">
        <v>40</v>
      </c>
      <c r="C1" t="s">
        <v>41</v>
      </c>
      <c r="D1" t="s">
        <v>84</v>
      </c>
      <c r="F1" s="46" t="s">
        <v>65</v>
      </c>
      <c r="G1" s="46"/>
      <c r="H1" s="46"/>
    </row>
    <row r="2" spans="1:8" x14ac:dyDescent="0.25">
      <c r="A2" t="s">
        <v>20</v>
      </c>
      <c r="B2" s="2">
        <v>130</v>
      </c>
      <c r="C2" s="2">
        <f>CONVERT($B$2,"grain","g")</f>
        <v>8.4238583000000009</v>
      </c>
      <c r="F2" t="s">
        <v>66</v>
      </c>
      <c r="G2">
        <v>130</v>
      </c>
      <c r="H2" s="2">
        <f>CONVERT($G$2,"grain","g")</f>
        <v>8.4238583000000009</v>
      </c>
    </row>
    <row r="3" spans="1:8" x14ac:dyDescent="0.25">
      <c r="A3" t="s">
        <v>0</v>
      </c>
      <c r="B3" s="2">
        <v>0.27700000000000002</v>
      </c>
      <c r="C3" s="2">
        <f>CONVERT($B$3,"in","mm")</f>
        <v>7.0358000000000001</v>
      </c>
      <c r="F3" t="s">
        <v>67</v>
      </c>
      <c r="G3">
        <v>0.27700000000000002</v>
      </c>
      <c r="H3" s="2">
        <f>CONVERT($G$3,"in","mm")</f>
        <v>7.0358000000000001</v>
      </c>
    </row>
    <row r="4" spans="1:8" x14ac:dyDescent="0.25">
      <c r="A4" t="s">
        <v>11</v>
      </c>
      <c r="B4" s="2">
        <v>0.44</v>
      </c>
      <c r="C4" s="2"/>
      <c r="F4" t="s">
        <v>11</v>
      </c>
      <c r="G4" t="s">
        <v>70</v>
      </c>
      <c r="H4" s="2"/>
    </row>
    <row r="5" spans="1:8" x14ac:dyDescent="0.25">
      <c r="A5" t="s">
        <v>21</v>
      </c>
      <c r="B5" s="2">
        <v>0.44</v>
      </c>
      <c r="C5" s="2"/>
      <c r="F5" t="s">
        <v>21</v>
      </c>
      <c r="G5">
        <v>0.44</v>
      </c>
      <c r="H5" s="2"/>
    </row>
    <row r="6" spans="1:8" x14ac:dyDescent="0.25">
      <c r="A6" t="s">
        <v>22</v>
      </c>
      <c r="B6" s="2">
        <v>3664</v>
      </c>
      <c r="C6" s="2">
        <f>CONVERT($B$6,"J","flb")</f>
        <v>2702.4277149519003</v>
      </c>
      <c r="F6" t="s">
        <v>68</v>
      </c>
      <c r="G6" s="2" cm="1">
        <f t="array" ref="G6">MuzzleVelocityToMuzzleEnergyFtLb(G7,G2)</f>
        <v>2702.4175752459519</v>
      </c>
      <c r="H6" s="2" cm="1">
        <f t="array" ref="H6">MuzzleVelocityToMuzzleEnergyJoules(H7,H2)</f>
        <v>3663.9862524046848</v>
      </c>
    </row>
    <row r="7" spans="1:8" x14ac:dyDescent="0.25">
      <c r="A7" t="s">
        <v>19</v>
      </c>
      <c r="B7" s="2" cm="1">
        <f t="array" ref="B7">MuzzleEnergyToMuzzleVelocityMPS(B6,C2)</f>
        <v>932.68974976163508</v>
      </c>
      <c r="C7" s="2" cm="1">
        <f t="array" ref="C7">MuzzleEnergyToMuzzleVelocityFPS(C6,B2)</f>
        <v>3060.0057406877795</v>
      </c>
      <c r="F7" t="s">
        <v>69</v>
      </c>
      <c r="G7">
        <v>3060</v>
      </c>
      <c r="H7" s="2">
        <f>CONVERT($G$7,"ft","m")</f>
        <v>932.68799999999999</v>
      </c>
    </row>
    <row r="8" spans="1:8" x14ac:dyDescent="0.25">
      <c r="A8" t="s">
        <v>1</v>
      </c>
      <c r="B8" s="2">
        <v>0</v>
      </c>
      <c r="C8" s="2"/>
    </row>
    <row r="9" spans="1:8" x14ac:dyDescent="0.25">
      <c r="A9" t="s">
        <v>2</v>
      </c>
      <c r="B9" s="2">
        <v>6.2</v>
      </c>
      <c r="C9" s="2">
        <f>CONVERT($B$9,"m/sec","km/hr")</f>
        <v>22.32</v>
      </c>
    </row>
    <row r="10" spans="1:8" x14ac:dyDescent="0.25">
      <c r="A10" t="s">
        <v>3</v>
      </c>
      <c r="B10" s="2">
        <v>335</v>
      </c>
      <c r="C10" s="2"/>
    </row>
    <row r="11" spans="1:8" x14ac:dyDescent="0.25">
      <c r="A11" s="25" t="s">
        <v>43</v>
      </c>
      <c r="B11" s="2">
        <v>0.5</v>
      </c>
      <c r="C11" s="26"/>
    </row>
    <row r="12" spans="1:8" x14ac:dyDescent="0.25">
      <c r="A12" s="25" t="s">
        <v>44</v>
      </c>
      <c r="B12" s="2" cm="1">
        <f t="array" ref="B12">MOAToMRAD($B$11)</f>
        <v>0.14544410433286079</v>
      </c>
      <c r="C12" s="26">
        <f>$B$12/2</f>
        <v>7.2722052166430393E-2</v>
      </c>
    </row>
    <row r="13" spans="1:8" x14ac:dyDescent="0.25">
      <c r="A13" s="25" t="s">
        <v>26</v>
      </c>
      <c r="B13" s="2">
        <f>CONVERT(1.5,"in","cm")</f>
        <v>3.81</v>
      </c>
      <c r="D13" s="2">
        <f>CONVERT($B$13,"cm","in")</f>
        <v>1.5</v>
      </c>
    </row>
    <row r="14" spans="1:8" x14ac:dyDescent="0.25">
      <c r="A14" s="25" t="s">
        <v>5</v>
      </c>
      <c r="B14" t="s">
        <v>45</v>
      </c>
    </row>
    <row r="15" spans="1:8" x14ac:dyDescent="0.25">
      <c r="A15" t="s">
        <v>46</v>
      </c>
      <c r="B15" s="24" t="s">
        <v>47</v>
      </c>
      <c r="C15" s="24" t="s">
        <v>48</v>
      </c>
      <c r="D15" s="24" t="s">
        <v>49</v>
      </c>
      <c r="E15" s="24" t="s">
        <v>50</v>
      </c>
    </row>
    <row r="16" spans="1:8" x14ac:dyDescent="0.25">
      <c r="A16" s="25" t="s">
        <v>51</v>
      </c>
      <c r="B16" s="2">
        <v>0.625</v>
      </c>
      <c r="C16">
        <f>$B16/2</f>
        <v>0.3125</v>
      </c>
      <c r="D16" s="2">
        <f>$B$16 * $B$18</f>
        <v>0.36361026083215198</v>
      </c>
      <c r="E16" s="27">
        <f>$D16/2</f>
        <v>0.18180513041607599</v>
      </c>
    </row>
    <row r="17" spans="1:17" x14ac:dyDescent="0.25">
      <c r="A17" s="25" t="s">
        <v>52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7">
        <f>$D17/2</f>
        <v>7.2722052166430393E-2</v>
      </c>
    </row>
    <row r="18" spans="1:17" x14ac:dyDescent="0.25">
      <c r="A18" s="11" t="s">
        <v>53</v>
      </c>
      <c r="B18" s="12">
        <f>$B$12/$B$17</f>
        <v>0.58177641733144314</v>
      </c>
      <c r="C18" s="2"/>
      <c r="J18" s="2">
        <v>4.5</v>
      </c>
      <c r="K18" s="2">
        <v>4</v>
      </c>
      <c r="L18" s="2">
        <v>4.0999999999999996</v>
      </c>
      <c r="M18" s="2">
        <v>4</v>
      </c>
      <c r="N18" s="2">
        <v>4</v>
      </c>
      <c r="O18" s="2">
        <v>4</v>
      </c>
      <c r="P18" s="2">
        <v>4</v>
      </c>
    </row>
    <row r="19" spans="1:17" x14ac:dyDescent="0.25">
      <c r="A19" s="28" t="s">
        <v>54</v>
      </c>
      <c r="B19" s="29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7" x14ac:dyDescent="0.25">
      <c r="A20" s="28"/>
      <c r="B20" s="29"/>
      <c r="C20" s="2"/>
      <c r="D20" s="2"/>
      <c r="E20" s="2"/>
      <c r="J20" s="2"/>
      <c r="K20" s="2"/>
      <c r="L20" s="2"/>
      <c r="M20" s="2"/>
      <c r="N20" s="2"/>
      <c r="O20" s="2"/>
      <c r="P20" s="2"/>
    </row>
    <row r="21" spans="1:17" x14ac:dyDescent="0.25">
      <c r="C21" s="45" t="s">
        <v>24</v>
      </c>
      <c r="D21" s="45"/>
      <c r="E21" s="45"/>
      <c r="F21" s="45"/>
      <c r="G21" s="45"/>
      <c r="H21" s="13"/>
      <c r="I21" s="13"/>
      <c r="J21" s="45" t="s">
        <v>25</v>
      </c>
      <c r="K21" s="45"/>
      <c r="L21" s="45"/>
      <c r="M21" s="45"/>
      <c r="N21" s="45"/>
      <c r="O21" s="13"/>
      <c r="P21" s="13"/>
      <c r="Q21" s="35" t="s">
        <v>30</v>
      </c>
    </row>
    <row r="22" spans="1:17" x14ac:dyDescent="0.25">
      <c r="A22" t="s">
        <v>4</v>
      </c>
      <c r="B22" t="s">
        <v>23</v>
      </c>
      <c r="C22" t="s">
        <v>6</v>
      </c>
      <c r="D22" t="s">
        <v>7</v>
      </c>
      <c r="E22" t="s">
        <v>8</v>
      </c>
      <c r="F22" t="s">
        <v>9</v>
      </c>
      <c r="G22" t="s">
        <v>10</v>
      </c>
      <c r="H22" t="s">
        <v>32</v>
      </c>
      <c r="I22" t="s">
        <v>33</v>
      </c>
      <c r="J22" s="16" t="s">
        <v>6</v>
      </c>
      <c r="K22" s="16" t="s">
        <v>7</v>
      </c>
      <c r="L22" s="16" t="s">
        <v>8</v>
      </c>
      <c r="M22" s="16" t="s">
        <v>9</v>
      </c>
      <c r="N22" s="16" t="s">
        <v>10</v>
      </c>
      <c r="O22" s="16" t="s">
        <v>32</v>
      </c>
      <c r="P22" s="16" t="s">
        <v>33</v>
      </c>
      <c r="Q22" s="35" t="s">
        <v>31</v>
      </c>
    </row>
    <row r="23" spans="1:17" x14ac:dyDescent="0.25">
      <c r="A23" s="1">
        <v>0</v>
      </c>
      <c r="B23" s="1">
        <v>3664</v>
      </c>
      <c r="C23" s="3"/>
      <c r="D23" s="4"/>
      <c r="E23" s="4"/>
      <c r="F23" s="4"/>
      <c r="G23" s="5"/>
      <c r="H23" s="5"/>
      <c r="I23" s="4"/>
      <c r="J23" s="8">
        <f t="shared" ref="J23:P23" si="1">$B$13*(-1)</f>
        <v>-3.81</v>
      </c>
      <c r="K23" s="8">
        <f t="shared" si="1"/>
        <v>-3.81</v>
      </c>
      <c r="L23" s="8">
        <f t="shared" si="1"/>
        <v>-3.81</v>
      </c>
      <c r="M23" s="8">
        <f t="shared" si="1"/>
        <v>-3.81</v>
      </c>
      <c r="N23" s="8">
        <f t="shared" si="1"/>
        <v>-3.81</v>
      </c>
      <c r="O23" s="8">
        <f t="shared" si="1"/>
        <v>-3.81</v>
      </c>
      <c r="P23" s="8">
        <f t="shared" si="1"/>
        <v>-3.81</v>
      </c>
      <c r="Q23" s="36">
        <v>0</v>
      </c>
    </row>
    <row r="24" spans="1:17" x14ac:dyDescent="0.25">
      <c r="A24" s="1">
        <v>25</v>
      </c>
      <c r="B24" s="1">
        <v>3544.1</v>
      </c>
      <c r="C24" s="6">
        <v>-0.25</v>
      </c>
      <c r="D24" s="6">
        <v>-0.33300000000000002</v>
      </c>
      <c r="E24" s="6">
        <v>-0.3125</v>
      </c>
      <c r="F24" s="6">
        <v>-0.1875</v>
      </c>
      <c r="G24" s="6">
        <v>-8.3000000000000004E-2</v>
      </c>
      <c r="H24" s="6">
        <v>0.15</v>
      </c>
      <c r="I24" s="14">
        <v>0.45</v>
      </c>
      <c r="J24" s="9" cm="1">
        <f t="array" ref="J24">TrajectoryDropInCM(C24,$A24,J$18)</f>
        <v>-2.8125011865240381</v>
      </c>
      <c r="K24" s="9" cm="1">
        <f t="array" ref="K24">TrajectoryDropInCM(D24,$A24,K$18)</f>
        <v>-3.3300019693900382</v>
      </c>
      <c r="L24" s="9" cm="1">
        <f t="array" ref="L24">TrajectoryDropInCM(E24,$A24,L$18)</f>
        <v>-3.2031267527528189</v>
      </c>
      <c r="M24" s="9" cm="1">
        <f t="array" ref="M24">TrajectoryDropInCM(F24,$A24,M$18)</f>
        <v>-1.8750003515625793</v>
      </c>
      <c r="N24" s="9" cm="1">
        <f t="array" ref="N24">TrajectoryDropInCM(G24,$A24,N$18)</f>
        <v>-0.83000003049530802</v>
      </c>
      <c r="O24" s="9" cm="1">
        <f t="array" ref="O24">TrajectoryDropInCM(H24,$A24,O$18)</f>
        <v>1.5000001800000258</v>
      </c>
      <c r="P24" s="9" cm="1">
        <f t="array" ref="P24">TrajectoryDropInCM(I24,$A24,P$18)</f>
        <v>4.5000048600062978</v>
      </c>
      <c r="Q24" s="36" cm="1">
        <f t="array" ref="Q24">TrajectoryErrorCM($E$19,1,$A24)</f>
        <v>0.37561137059069255</v>
      </c>
    </row>
    <row r="25" spans="1:17" x14ac:dyDescent="0.25">
      <c r="A25" s="1">
        <v>50</v>
      </c>
      <c r="B25" s="1">
        <v>3417.9</v>
      </c>
      <c r="C25" s="7">
        <v>0</v>
      </c>
      <c r="D25" s="6">
        <v>-8.3000000000000004E-2</v>
      </c>
      <c r="E25" s="6">
        <v>-6.25E-2</v>
      </c>
      <c r="F25" s="6">
        <v>6.25E-2</v>
      </c>
      <c r="G25" s="6">
        <v>0.1875</v>
      </c>
      <c r="H25" s="6">
        <v>0.41699999999999998</v>
      </c>
      <c r="I25" s="14">
        <v>0.66700000000000004</v>
      </c>
      <c r="J25" s="9" cm="1">
        <f t="array" ref="J25">TrajectoryDropInCM(C25,$A25,J$18)</f>
        <v>0</v>
      </c>
      <c r="K25" s="9" cm="1">
        <f t="array" ref="K25">TrajectoryDropInCM(D25,$A25,K$18)</f>
        <v>-1.660000060990616</v>
      </c>
      <c r="L25" s="9" cm="1">
        <f t="array" ref="L25">TrajectoryDropInCM(E25,$A25,L$18)</f>
        <v>-1.2812500280440275</v>
      </c>
      <c r="M25" s="9" cm="1">
        <f t="array" ref="M25">TrajectoryDropInCM(F25,$A25,M$18)</f>
        <v>1.250000026041667</v>
      </c>
      <c r="N25" s="9" cm="1">
        <f t="array" ref="N25">TrajectoryDropInCM(G25,$A25,N$18)</f>
        <v>3.7500007031251585</v>
      </c>
      <c r="O25" s="9" cm="1">
        <f t="array" ref="O25">TrajectoryDropInCM(H25,$A25,O$18)</f>
        <v>8.3400077345913282</v>
      </c>
      <c r="P25" s="9" cm="1">
        <f t="array" ref="P25">TrajectoryDropInCM(I25,$A25,P$18)</f>
        <v>13.34003165245951</v>
      </c>
      <c r="Q25" s="36" cm="1">
        <f t="array" ref="Q25">TrajectoryErrorCM($E$19,1,$A25)</f>
        <v>0.7512227411813851</v>
      </c>
    </row>
    <row r="26" spans="1:17" x14ac:dyDescent="0.25">
      <c r="A26" s="1">
        <v>75</v>
      </c>
      <c r="B26" s="1">
        <v>3272.5</v>
      </c>
      <c r="C26" s="6">
        <v>8.3000000000000004E-2</v>
      </c>
      <c r="D26" s="6">
        <v>0</v>
      </c>
      <c r="E26" s="6">
        <v>6.25E-2</v>
      </c>
      <c r="F26" s="6">
        <v>0.125</v>
      </c>
      <c r="G26" s="6">
        <v>0.245</v>
      </c>
      <c r="H26" s="6">
        <v>0.49</v>
      </c>
      <c r="I26" s="14">
        <v>0.7</v>
      </c>
      <c r="J26" s="9" cm="1">
        <f t="array" ref="J26">TrajectoryDropInCM(C26,$A26,J$18)</f>
        <v>2.8012501302602333</v>
      </c>
      <c r="K26" s="9" cm="1">
        <f t="array" ref="K26">TrajectoryDropInCM(D26,$A26,K$18)</f>
        <v>0</v>
      </c>
      <c r="L26" s="9" cm="1">
        <f t="array" ref="L26">TrajectoryDropInCM(E26,$A26,L$18)</f>
        <v>1.9218750420660413</v>
      </c>
      <c r="M26" s="9" cm="1">
        <f t="array" ref="M26">TrajectoryDropInCM(F26,$A26,M$18)</f>
        <v>3.7500003125000307</v>
      </c>
      <c r="N26" s="9" cm="1">
        <f t="array" ref="N26">TrajectoryDropInCM(G26,$A26,N$18)</f>
        <v>7.350002352980904</v>
      </c>
      <c r="O26" s="9" cm="1">
        <f t="array" ref="O26">TrajectoryDropInCM(H26,$A26,O$18)</f>
        <v>14.700018823868923</v>
      </c>
      <c r="P26" s="9" cm="1">
        <f t="array" ref="P26">TrajectoryDropInCM(I26,$A26,P$18)</f>
        <v>21.000054880172105</v>
      </c>
      <c r="Q26" s="36" cm="1">
        <f t="array" ref="Q26">TrajectoryErrorCM($E$19,1,$A26)</f>
        <v>1.1268341117720777</v>
      </c>
    </row>
    <row r="27" spans="1:17" x14ac:dyDescent="0.25">
      <c r="A27" s="1">
        <v>100</v>
      </c>
      <c r="B27" s="1">
        <v>3136.7</v>
      </c>
      <c r="C27" s="6">
        <v>8.3000000000000004E-2</v>
      </c>
      <c r="D27" s="7">
        <v>0</v>
      </c>
      <c r="E27" s="6">
        <v>6.25E-2</v>
      </c>
      <c r="F27" s="6">
        <v>0.125</v>
      </c>
      <c r="G27" s="6">
        <v>0.25</v>
      </c>
      <c r="H27" s="6">
        <v>0.5</v>
      </c>
      <c r="I27" s="14">
        <v>0.75</v>
      </c>
      <c r="J27" s="9" cm="1">
        <f t="array" ref="J27">TrajectoryDropInCM(C27,$A27,J$18)</f>
        <v>3.7350001736803113</v>
      </c>
      <c r="K27" s="9" cm="1">
        <f t="array" ref="K27">TrajectoryDropInCM(D27,$A27,K$18)</f>
        <v>0</v>
      </c>
      <c r="L27" s="9" cm="1">
        <f t="array" ref="L27">TrajectoryDropInCM(E27,$A27,L$18)</f>
        <v>2.5625000560880551</v>
      </c>
      <c r="M27" s="9" cm="1">
        <f t="array" ref="M27">TrajectoryDropInCM(F27,$A27,M$18)</f>
        <v>5.0000004166667074</v>
      </c>
      <c r="N27" s="9" cm="1">
        <f t="array" ref="N27">TrajectoryDropInCM(G27,$A27,N$18)</f>
        <v>10.000003333334668</v>
      </c>
      <c r="O27" s="9" cm="1">
        <f t="array" ref="O27">TrajectoryDropInCM(H27,$A27,O$18)</f>
        <v>20.000026666709331</v>
      </c>
      <c r="P27" s="9" cm="1">
        <f t="array" ref="P27">TrajectoryDropInCM(I27,$A27,P$18)</f>
        <v>30.000090000324004</v>
      </c>
      <c r="Q27" s="36" cm="1">
        <f t="array" ref="Q27">TrajectoryErrorCM($E$19,1,$A27)</f>
        <v>1.5024454823627702</v>
      </c>
    </row>
    <row r="28" spans="1:17" x14ac:dyDescent="0.25">
      <c r="A28" s="1">
        <v>125</v>
      </c>
      <c r="B28" s="1">
        <v>3006.4</v>
      </c>
      <c r="C28" s="6">
        <v>8.3000000000000004E-2</v>
      </c>
      <c r="D28" s="6">
        <v>0</v>
      </c>
      <c r="E28" s="6">
        <v>6.25E-2</v>
      </c>
      <c r="F28" s="6">
        <v>0.125</v>
      </c>
      <c r="G28" s="6">
        <v>0.25</v>
      </c>
      <c r="H28" s="6">
        <v>0.49</v>
      </c>
      <c r="I28" s="14">
        <v>0.7</v>
      </c>
      <c r="J28" s="9" cm="1">
        <f t="array" ref="J28">TrajectoryDropInCM(C28,$A28,J$18)</f>
        <v>4.6687502171003894</v>
      </c>
      <c r="K28" s="9" cm="1">
        <f t="array" ref="K28">TrajectoryDropInCM(D28,$A28,K$18)</f>
        <v>0</v>
      </c>
      <c r="L28" s="9" cm="1">
        <f t="array" ref="L28">TrajectoryDropInCM(E28,$A28,L$18)</f>
        <v>3.2031250701100689</v>
      </c>
      <c r="M28" s="9" cm="1">
        <f t="array" ref="M28">TrajectoryDropInCM(F28,$A28,M$18)</f>
        <v>6.2500005208333844</v>
      </c>
      <c r="N28" s="9" cm="1">
        <f t="array" ref="N28">TrajectoryDropInCM(G28,$A28,N$18)</f>
        <v>12.500004166668335</v>
      </c>
      <c r="O28" s="9" cm="1">
        <f t="array" ref="O28">TrajectoryDropInCM(H28,$A28,O$18)</f>
        <v>24.500031373114876</v>
      </c>
      <c r="P28" s="9" cm="1">
        <f t="array" ref="P28">TrajectoryDropInCM(I28,$A28,P$18)</f>
        <v>35.000091466953506</v>
      </c>
      <c r="Q28" s="36" cm="1">
        <f t="array" ref="Q28">TrajectoryErrorCM($E$19,1,$A28)</f>
        <v>1.8780568529534629</v>
      </c>
    </row>
    <row r="29" spans="1:17" x14ac:dyDescent="0.25">
      <c r="A29" s="1">
        <v>150</v>
      </c>
      <c r="B29" s="1">
        <v>2883.3</v>
      </c>
      <c r="C29" s="6">
        <v>0.08</v>
      </c>
      <c r="D29" s="6">
        <v>-3.1E-2</v>
      </c>
      <c r="E29" s="7">
        <v>0</v>
      </c>
      <c r="F29" s="6">
        <v>8.3000000000000004E-2</v>
      </c>
      <c r="G29" s="6">
        <v>0.25</v>
      </c>
      <c r="H29" s="6">
        <v>0.4375</v>
      </c>
      <c r="I29" s="14">
        <v>0.65</v>
      </c>
      <c r="J29" s="9" cm="1">
        <f t="array" ref="J29">TrajectoryDropInCM(C29,$A29,J$18)</f>
        <v>5.4000002332800108</v>
      </c>
      <c r="K29" s="9" cm="1">
        <f t="array" ref="K29">TrajectoryDropInCM(D29,$A29,K$18)</f>
        <v>-1.8600000095331204</v>
      </c>
      <c r="L29" s="9" cm="1">
        <f t="array" ref="L29">TrajectoryDropInCM(E29,$A29,L$18)</f>
        <v>0</v>
      </c>
      <c r="M29" s="9" cm="1">
        <f t="array" ref="M29">TrajectoryDropInCM(F29,$A29,M$18)</f>
        <v>4.9800001829718479</v>
      </c>
      <c r="N29" s="9" cm="1">
        <f t="array" ref="N29">TrajectoryDropInCM(G29,$A29,N$18)</f>
        <v>15.000005000002</v>
      </c>
      <c r="O29" s="9" cm="1">
        <f t="array" ref="O29">TrajectoryDropInCM(H29,$A29,O$18)</f>
        <v>26.250026796907829</v>
      </c>
      <c r="P29" s="9" cm="1">
        <f t="array" ref="P29">TrajectoryDropInCM(I29,$A29,P$18)</f>
        <v>39.000087880237629</v>
      </c>
      <c r="Q29" s="36" cm="1">
        <f t="array" ref="Q29">TrajectoryErrorCM($E$19,1,$A29)</f>
        <v>2.2536682235441554</v>
      </c>
    </row>
    <row r="30" spans="1:17" x14ac:dyDescent="0.25">
      <c r="A30" s="1">
        <v>200</v>
      </c>
      <c r="B30" s="1">
        <v>2655.9</v>
      </c>
      <c r="C30" s="6">
        <v>0</v>
      </c>
      <c r="D30" s="6">
        <v>-0.1</v>
      </c>
      <c r="E30" s="6">
        <v>-8.3000000000000004E-2</v>
      </c>
      <c r="F30" s="7">
        <v>0</v>
      </c>
      <c r="G30" s="6">
        <v>0.16700000000000001</v>
      </c>
      <c r="H30" s="6">
        <v>0.4</v>
      </c>
      <c r="I30" s="14">
        <v>0.625</v>
      </c>
      <c r="J30" s="9" cm="1">
        <f t="array" ref="J30">TrajectoryDropInCM(C30,$A30,J$18)</f>
        <v>0</v>
      </c>
      <c r="K30" s="9" cm="1">
        <f t="array" ref="K30">TrajectoryDropInCM(D30,$A30,K$18)</f>
        <v>-8.0000004266666931</v>
      </c>
      <c r="L30" s="9" cm="1">
        <f t="array" ref="L30">TrajectoryDropInCM(E30,$A30,L$18)</f>
        <v>-6.8060002627208904</v>
      </c>
      <c r="M30" s="9" cm="1">
        <f t="array" ref="M30">TrajectoryDropInCM(F30,$A30,M$18)</f>
        <v>0</v>
      </c>
      <c r="N30" s="9" cm="1">
        <f t="array" ref="N30">TrajectoryDropInCM(G30,$A30,N$18)</f>
        <v>13.360001987184569</v>
      </c>
      <c r="O30" s="9" cm="1">
        <f t="array" ref="O30">TrajectoryDropInCM(H30,$A30,O$18)</f>
        <v>32.000027306694633</v>
      </c>
      <c r="P30" s="9" cm="1">
        <f t="array" ref="P30">TrajectoryDropInCM(I30,$A30,P$18)</f>
        <v>50.000104166927088</v>
      </c>
      <c r="Q30" s="36" cm="1">
        <f t="array" ref="Q30">TrajectoryErrorCM($E$19,1,$A30)</f>
        <v>3.0048909647255404</v>
      </c>
    </row>
    <row r="31" spans="1:17" x14ac:dyDescent="0.25">
      <c r="A31" s="1">
        <v>250</v>
      </c>
      <c r="B31" s="1">
        <v>2435.6</v>
      </c>
      <c r="C31" s="6">
        <v>-0.1</v>
      </c>
      <c r="D31" s="6">
        <v>-0.16700000000000001</v>
      </c>
      <c r="E31" s="6">
        <v>-0.15</v>
      </c>
      <c r="F31" s="6">
        <v>-8.3000000000000004E-2</v>
      </c>
      <c r="G31" s="6">
        <v>0.1</v>
      </c>
      <c r="H31" s="6">
        <v>0.3125</v>
      </c>
      <c r="I31" s="14">
        <v>0.55000000000000004</v>
      </c>
      <c r="J31" s="9" cm="1">
        <f t="array" ref="J31">TrajectoryDropInCM(C31,$A31,J$18)</f>
        <v>-11.250000759375061</v>
      </c>
      <c r="K31" s="9" cm="1">
        <f t="array" ref="K31">TrajectoryDropInCM(D31,$A31,K$18)</f>
        <v>-16.700002483980715</v>
      </c>
      <c r="L31" s="9" cm="1">
        <f t="array" ref="L31">TrajectoryDropInCM(E31,$A31,L$18)</f>
        <v>-15.375001938403415</v>
      </c>
      <c r="M31" s="9" cm="1">
        <f t="array" ref="M31">TrajectoryDropInCM(F31,$A31,M$18)</f>
        <v>-8.3000003049530804</v>
      </c>
      <c r="N31" s="9" cm="1">
        <f t="array" ref="N31">TrajectoryDropInCM(G31,$A31,N$18)</f>
        <v>10.000000533333367</v>
      </c>
      <c r="O31" s="9" cm="1">
        <f t="array" ref="O31">TrajectoryDropInCM(H31,$A31,O$18)</f>
        <v>31.250016276051838</v>
      </c>
      <c r="P31" s="9" cm="1">
        <f t="array" ref="P31">TrajectoryDropInCM(I31,$A31,P$18)</f>
        <v>55.000088733505123</v>
      </c>
      <c r="Q31" s="36" cm="1">
        <f t="array" ref="Q31">TrajectoryErrorCM($E$19,1,$A31)</f>
        <v>3.7561137059069258</v>
      </c>
    </row>
    <row r="32" spans="1:17" x14ac:dyDescent="0.25">
      <c r="A32" s="1">
        <v>300</v>
      </c>
      <c r="B32" s="1">
        <v>2238.1</v>
      </c>
      <c r="C32" s="6">
        <v>-0.1875</v>
      </c>
      <c r="D32" s="6">
        <v>-0.255</v>
      </c>
      <c r="E32" s="6">
        <v>-0.245</v>
      </c>
      <c r="F32" s="6">
        <v>-0.16700000000000001</v>
      </c>
      <c r="G32" s="7">
        <v>0</v>
      </c>
      <c r="H32" s="17">
        <v>0.2</v>
      </c>
      <c r="I32" s="18">
        <v>0.45</v>
      </c>
      <c r="J32" s="9" cm="1">
        <f t="array" ref="J32">TrajectoryDropInCM(C32,$A32,J$18)</f>
        <v>-25.312506006776616</v>
      </c>
      <c r="K32" s="9" cm="1">
        <f t="array" ref="K32">TrajectoryDropInCM(D32,$A32,K$18)</f>
        <v>-30.600010612084422</v>
      </c>
      <c r="L32" s="9" cm="1">
        <f t="array" ref="L32">TrajectoryDropInCM(E32,$A32,L$18)</f>
        <v>-30.135010135612504</v>
      </c>
      <c r="M32" s="9" cm="1">
        <f t="array" ref="M32">TrajectoryDropInCM(F32,$A32,M$18)</f>
        <v>-20.040002980776855</v>
      </c>
      <c r="N32" s="9" cm="1">
        <f t="array" ref="N32">TrajectoryDropInCM(G32,$A32,N$18)</f>
        <v>0</v>
      </c>
      <c r="O32" s="9" cm="1">
        <f t="array" ref="O32">TrajectoryDropInCM(H32,$A32,O$18)</f>
        <v>24.000005120001312</v>
      </c>
      <c r="P32" s="9" cm="1">
        <f t="array" ref="P32">TrajectoryDropInCM(I32,$A32,P$18)</f>
        <v>54.000058320075574</v>
      </c>
      <c r="Q32" s="36" cm="1">
        <f t="array" ref="Q32">TrajectoryErrorCM($E$19,1,$A32)</f>
        <v>4.5073364470883108</v>
      </c>
    </row>
    <row r="33" spans="1:17" x14ac:dyDescent="0.25">
      <c r="A33" s="1">
        <v>350</v>
      </c>
      <c r="B33" s="1">
        <v>2048.1999999999998</v>
      </c>
      <c r="C33" s="6">
        <v>-0.3125</v>
      </c>
      <c r="D33" s="6">
        <v>-0.375</v>
      </c>
      <c r="E33" s="6">
        <v>-0.33300000000000002</v>
      </c>
      <c r="F33" s="6">
        <v>-0.25</v>
      </c>
      <c r="G33" s="6">
        <v>-0.1</v>
      </c>
      <c r="H33" s="6">
        <v>0.125</v>
      </c>
      <c r="I33" s="14">
        <v>0.35</v>
      </c>
      <c r="J33" s="9" cm="1">
        <f t="array" ref="J33">TrajectoryDropInCM(C33,$A33,J$18)</f>
        <v>-49.218782444025905</v>
      </c>
      <c r="K33" s="9" cm="1">
        <f t="array" ref="K33">TrajectoryDropInCM(D33,$A33,K$18)</f>
        <v>-52.500039375035435</v>
      </c>
      <c r="L33" s="9" cm="1">
        <f t="array" ref="L33">TrajectoryDropInCM(E33,$A33,L$18)</f>
        <v>-47.785529691448431</v>
      </c>
      <c r="M33" s="9" cm="1">
        <f t="array" ref="M33">TrajectoryDropInCM(F33,$A33,M$18)</f>
        <v>-35.000011666671341</v>
      </c>
      <c r="N33" s="9" cm="1">
        <f t="array" ref="N33">TrajectoryDropInCM(G33,$A33,N$18)</f>
        <v>-14.000000746666712</v>
      </c>
      <c r="O33" s="9" cm="1">
        <f t="array" ref="O33">TrajectoryDropInCM(H33,$A33,O$18)</f>
        <v>17.500001458333479</v>
      </c>
      <c r="P33" s="9" cm="1">
        <f t="array" ref="P33">TrajectoryDropInCM(I33,$A33,P$18)</f>
        <v>49.000032013358435</v>
      </c>
      <c r="Q33" s="36" cm="1">
        <f t="array" ref="Q33">TrajectoryErrorCM($E$19,1,$A33)</f>
        <v>5.2585591882696958</v>
      </c>
    </row>
    <row r="34" spans="1:17" x14ac:dyDescent="0.25">
      <c r="A34" s="1">
        <v>400</v>
      </c>
      <c r="B34" s="1">
        <v>1866.9</v>
      </c>
      <c r="C34" s="6">
        <v>-0.41699999999999998</v>
      </c>
      <c r="D34" s="6">
        <v>-0.47499999999999998</v>
      </c>
      <c r="E34" s="6">
        <v>-0.4375</v>
      </c>
      <c r="F34" s="6">
        <v>-0.375</v>
      </c>
      <c r="G34" s="6">
        <v>-0.1875</v>
      </c>
      <c r="H34" s="7">
        <v>0</v>
      </c>
      <c r="I34" s="14">
        <v>0.25</v>
      </c>
      <c r="J34" s="9" cm="1">
        <f t="array" ref="J34">TrajectoryDropInCM(C34,$A34,J$18)</f>
        <v>-75.060088101855399</v>
      </c>
      <c r="K34" s="9" cm="1">
        <f t="array" ref="K34">TrajectoryDropInCM(D34,$A34,K$18)</f>
        <v>-76.000091453465387</v>
      </c>
      <c r="L34" s="9" cm="1">
        <f t="array" ref="L34">TrajectoryDropInCM(E34,$A34,L$18)</f>
        <v>-71.750076952908287</v>
      </c>
      <c r="M34" s="9" cm="1">
        <f t="array" ref="M34">TrajectoryDropInCM(F34,$A34,M$18)</f>
        <v>-60.000045000040501</v>
      </c>
      <c r="N34" s="9" cm="1">
        <f t="array" ref="N34">TrajectoryDropInCM(G34,$A34,N$18)</f>
        <v>-30.000005625001268</v>
      </c>
      <c r="O34" s="9" cm="1">
        <f t="array" ref="O34">TrajectoryDropInCM(H34,$A34,O$18)</f>
        <v>0</v>
      </c>
      <c r="P34" s="9" cm="1">
        <f t="array" ref="P34">TrajectoryDropInCM(I34,$A34,P$18)</f>
        <v>40.000013333338671</v>
      </c>
      <c r="Q34" s="36" cm="1">
        <f t="array" ref="Q34">TrajectoryErrorCM($E$19,1,$A34)</f>
        <v>6.0097819294510808</v>
      </c>
    </row>
    <row r="35" spans="1:17" x14ac:dyDescent="0.25">
      <c r="A35" s="1">
        <v>450</v>
      </c>
      <c r="B35" s="1">
        <v>1706.1</v>
      </c>
      <c r="C35" s="6">
        <v>-0.5</v>
      </c>
      <c r="D35" s="6">
        <v>-0.58299999999999996</v>
      </c>
      <c r="E35" s="6">
        <v>-0.5625</v>
      </c>
      <c r="F35" s="6">
        <v>-0.5</v>
      </c>
      <c r="G35" s="6">
        <v>-0.33300000000000002</v>
      </c>
      <c r="H35" s="6">
        <v>-0.125</v>
      </c>
      <c r="I35" s="14">
        <v>0.125</v>
      </c>
      <c r="J35" s="9" cm="1">
        <f t="array" ref="J35">TrajectoryDropInCM(C35,$A35,J$18)</f>
        <v>-101.25017085972097</v>
      </c>
      <c r="K35" s="9" cm="1">
        <f t="array" ref="K35">TrajectoryDropInCM(D35,$A35,K$18)</f>
        <v>-104.94019022948933</v>
      </c>
      <c r="L35" s="9" cm="1">
        <f t="array" ref="L35">TrajectoryDropInCM(E35,$A35,L$18)</f>
        <v>-103.78143399725057</v>
      </c>
      <c r="M35" s="9" cm="1">
        <f t="array" ref="M35">TrajectoryDropInCM(F35,$A35,M$18)</f>
        <v>-90.000120000191998</v>
      </c>
      <c r="N35" s="9" cm="1">
        <f t="array" ref="N35">TrajectoryDropInCM(G35,$A35,N$18)</f>
        <v>-59.940035449020691</v>
      </c>
      <c r="O35" s="9" cm="1">
        <f t="array" ref="O35">TrajectoryDropInCM(H35,$A35,O$18)</f>
        <v>-22.500001875000187</v>
      </c>
      <c r="P35" s="9" cm="1">
        <f t="array" ref="P35">TrajectoryDropInCM(I35,$A35,P$18)</f>
        <v>22.500001875000187</v>
      </c>
      <c r="Q35" s="36" cm="1">
        <f t="array" ref="Q35">TrajectoryErrorCM($E$19,1,$A35)</f>
        <v>6.7610046706324667</v>
      </c>
    </row>
    <row r="36" spans="1:17" x14ac:dyDescent="0.25">
      <c r="A36" s="1">
        <v>500</v>
      </c>
      <c r="B36" s="1">
        <v>1544.2</v>
      </c>
      <c r="C36" s="6">
        <v>-0.65</v>
      </c>
      <c r="D36" s="6">
        <v>-0.74</v>
      </c>
      <c r="E36" s="6">
        <v>-0.6875</v>
      </c>
      <c r="F36" s="6">
        <v>-0.625</v>
      </c>
      <c r="G36" s="6">
        <v>-0.45</v>
      </c>
      <c r="H36" s="6">
        <v>-0.25</v>
      </c>
      <c r="I36" s="15">
        <v>0</v>
      </c>
      <c r="J36" s="9" cm="1">
        <f t="array" ref="J36">TrajectoryDropInCM(C36,$A36,J$18)</f>
        <v>-146.25041708814612</v>
      </c>
      <c r="K36" s="9" cm="1">
        <f t="array" ref="K36">TrajectoryDropInCM(D36,$A36,K$18)</f>
        <v>-148.00043224044819</v>
      </c>
      <c r="L36" s="9" cm="1">
        <f t="array" ref="L36">TrajectoryDropInCM(E36,$A36,L$18)</f>
        <v>-140.93787326718154</v>
      </c>
      <c r="M36" s="9" cm="1">
        <f t="array" ref="M36">TrajectoryDropInCM(F36,$A36,M$18)</f>
        <v>-125.0002604173177</v>
      </c>
      <c r="N36" s="9" cm="1">
        <f t="array" ref="N36">TrajectoryDropInCM(G36,$A36,N$18)</f>
        <v>-90.000097200125964</v>
      </c>
      <c r="O36" s="9" cm="1">
        <f t="array" ref="O36">TrajectoryDropInCM(H36,$A36,O$18)</f>
        <v>-50.000016666673339</v>
      </c>
      <c r="P36" s="9" cm="1">
        <f t="array" ref="P36">TrajectoryDropInCM(I36,$A36,P$18)</f>
        <v>0</v>
      </c>
      <c r="Q36" s="36" cm="1">
        <f t="array" ref="Q36">TrajectoryErrorCM($E$19,1,$A36)</f>
        <v>7.5122274118138517</v>
      </c>
    </row>
    <row r="78" spans="1:19" x14ac:dyDescent="0.25">
      <c r="A78" t="s">
        <v>27</v>
      </c>
    </row>
    <row r="79" spans="1:19" x14ac:dyDescent="0.25">
      <c r="A79" t="s">
        <v>34</v>
      </c>
      <c r="K79" t="s">
        <v>77</v>
      </c>
    </row>
    <row r="80" spans="1:19" x14ac:dyDescent="0.25">
      <c r="A80" t="s">
        <v>12</v>
      </c>
      <c r="B80" t="s">
        <v>13</v>
      </c>
      <c r="C80" t="s">
        <v>14</v>
      </c>
      <c r="D80" t="s">
        <v>15</v>
      </c>
      <c r="E80" t="s">
        <v>16</v>
      </c>
      <c r="F80" t="s">
        <v>17</v>
      </c>
      <c r="G80" t="s">
        <v>35</v>
      </c>
      <c r="H80" t="s">
        <v>36</v>
      </c>
      <c r="I80" t="s">
        <v>37</v>
      </c>
      <c r="K80" t="s">
        <v>12</v>
      </c>
      <c r="L80" t="s">
        <v>13</v>
      </c>
      <c r="M80" t="s">
        <v>14</v>
      </c>
      <c r="N80" t="s">
        <v>15</v>
      </c>
      <c r="O80" t="s">
        <v>16</v>
      </c>
      <c r="P80" t="s">
        <v>17</v>
      </c>
      <c r="Q80" t="s">
        <v>35</v>
      </c>
      <c r="R80" t="s">
        <v>36</v>
      </c>
      <c r="S80" t="s">
        <v>37</v>
      </c>
    </row>
    <row r="81" spans="1:38" x14ac:dyDescent="0.25">
      <c r="A81" s="1">
        <v>0</v>
      </c>
      <c r="B81" s="1">
        <v>933</v>
      </c>
      <c r="C81" s="1">
        <v>3664</v>
      </c>
      <c r="D81" s="1">
        <v>-3.8</v>
      </c>
      <c r="E81" s="1">
        <v>0</v>
      </c>
      <c r="F81" s="1">
        <v>0</v>
      </c>
      <c r="G81" s="1">
        <v>0</v>
      </c>
      <c r="H81">
        <v>0</v>
      </c>
      <c r="I81">
        <v>0</v>
      </c>
      <c r="K81" s="1">
        <v>0</v>
      </c>
      <c r="L81" s="1">
        <v>933</v>
      </c>
      <c r="M81" s="1">
        <v>3664</v>
      </c>
      <c r="N81" s="1">
        <v>-3.8</v>
      </c>
      <c r="O81" s="1">
        <v>0</v>
      </c>
      <c r="P81" s="1">
        <v>0</v>
      </c>
      <c r="Q81">
        <v>0</v>
      </c>
      <c r="R81">
        <v>0</v>
      </c>
      <c r="S81">
        <v>0</v>
      </c>
    </row>
    <row r="82" spans="1:38" x14ac:dyDescent="0.25">
      <c r="A82" s="1">
        <v>25</v>
      </c>
      <c r="B82" s="1">
        <v>914</v>
      </c>
      <c r="C82" s="1">
        <v>3518</v>
      </c>
      <c r="D82" s="1">
        <v>-1.6</v>
      </c>
      <c r="E82" s="1">
        <v>2.2000000000000002</v>
      </c>
      <c r="F82" s="1">
        <v>0.6</v>
      </c>
      <c r="G82" s="1">
        <v>0</v>
      </c>
      <c r="H82">
        <v>0</v>
      </c>
      <c r="I82">
        <v>0</v>
      </c>
      <c r="K82" s="1">
        <v>25</v>
      </c>
      <c r="L82" s="1">
        <v>923</v>
      </c>
      <c r="M82" s="1">
        <v>3592</v>
      </c>
      <c r="N82" s="1">
        <v>-1.6</v>
      </c>
      <c r="O82" s="1">
        <v>2.2000000000000002</v>
      </c>
      <c r="P82" s="1">
        <v>0.6</v>
      </c>
      <c r="Q82">
        <v>0</v>
      </c>
      <c r="R82">
        <v>0</v>
      </c>
      <c r="S82">
        <v>0</v>
      </c>
    </row>
    <row r="83" spans="1:38" x14ac:dyDescent="0.25">
      <c r="A83" s="10">
        <v>50</v>
      </c>
      <c r="B83" s="10">
        <v>895</v>
      </c>
      <c r="C83" s="10">
        <v>3377</v>
      </c>
      <c r="D83" s="10">
        <v>0</v>
      </c>
      <c r="E83" s="10">
        <v>0</v>
      </c>
      <c r="F83" s="10">
        <v>0</v>
      </c>
      <c r="G83" s="1">
        <v>0</v>
      </c>
      <c r="H83">
        <v>0</v>
      </c>
      <c r="I83">
        <v>0</v>
      </c>
      <c r="K83" s="10">
        <v>50</v>
      </c>
      <c r="L83" s="10">
        <v>914</v>
      </c>
      <c r="M83" s="10">
        <v>3521</v>
      </c>
      <c r="N83" s="10">
        <v>0</v>
      </c>
      <c r="O83" s="10">
        <v>0</v>
      </c>
      <c r="P83" s="10">
        <v>0</v>
      </c>
      <c r="Q83">
        <v>0</v>
      </c>
      <c r="R83">
        <v>0</v>
      </c>
      <c r="S83">
        <v>0</v>
      </c>
    </row>
    <row r="84" spans="1:38" x14ac:dyDescent="0.25">
      <c r="A84" s="1">
        <v>75</v>
      </c>
      <c r="B84" s="1">
        <v>877</v>
      </c>
      <c r="C84" s="1">
        <v>3242</v>
      </c>
      <c r="D84" s="1">
        <v>0.7</v>
      </c>
      <c r="E84" s="1">
        <v>-0.3</v>
      </c>
      <c r="F84" s="1">
        <v>-0.1</v>
      </c>
      <c r="G84" s="1">
        <v>-1</v>
      </c>
      <c r="H84">
        <v>0</v>
      </c>
      <c r="I84">
        <v>0</v>
      </c>
      <c r="K84" s="1">
        <v>75</v>
      </c>
      <c r="L84" s="1">
        <v>905</v>
      </c>
      <c r="M84" s="1">
        <v>3451</v>
      </c>
      <c r="N84" s="1">
        <v>0.8</v>
      </c>
      <c r="O84" s="1">
        <v>-0.4</v>
      </c>
      <c r="P84" s="1">
        <v>-0.1</v>
      </c>
      <c r="Q84">
        <v>0</v>
      </c>
      <c r="R84">
        <v>0</v>
      </c>
      <c r="S84">
        <v>0</v>
      </c>
    </row>
    <row r="85" spans="1:38" x14ac:dyDescent="0.25">
      <c r="A85" s="1">
        <v>100</v>
      </c>
      <c r="B85" s="1">
        <v>859</v>
      </c>
      <c r="C85" s="1">
        <v>3110</v>
      </c>
      <c r="D85" s="1">
        <v>0.7</v>
      </c>
      <c r="E85" s="1">
        <v>-0.2</v>
      </c>
      <c r="F85" s="1">
        <v>-0.1</v>
      </c>
      <c r="G85" s="1">
        <v>-1</v>
      </c>
      <c r="H85">
        <v>0</v>
      </c>
      <c r="I85">
        <v>0</v>
      </c>
      <c r="K85" s="1">
        <v>100</v>
      </c>
      <c r="L85" s="1">
        <v>896</v>
      </c>
      <c r="M85" s="1">
        <v>3382</v>
      </c>
      <c r="N85" s="1">
        <v>0.8</v>
      </c>
      <c r="O85" s="1">
        <v>-0.3</v>
      </c>
      <c r="P85" s="1">
        <v>-0.1</v>
      </c>
      <c r="Q85">
        <v>-1</v>
      </c>
      <c r="R85">
        <v>0</v>
      </c>
      <c r="S85">
        <v>0</v>
      </c>
    </row>
    <row r="86" spans="1:38" x14ac:dyDescent="0.25">
      <c r="A86" s="1">
        <v>125</v>
      </c>
      <c r="B86" s="1">
        <v>842</v>
      </c>
      <c r="C86" s="1">
        <v>2984</v>
      </c>
      <c r="D86" s="1">
        <v>-0.2</v>
      </c>
      <c r="E86" s="1">
        <v>0.1</v>
      </c>
      <c r="F86" s="1">
        <v>0</v>
      </c>
      <c r="G86" s="1">
        <v>-2</v>
      </c>
      <c r="H86">
        <v>0</v>
      </c>
      <c r="I86">
        <v>0</v>
      </c>
      <c r="K86" s="1">
        <v>125</v>
      </c>
      <c r="L86" s="1">
        <v>887</v>
      </c>
      <c r="M86" s="1">
        <v>3315</v>
      </c>
      <c r="N86" s="1">
        <v>0.1</v>
      </c>
      <c r="O86" s="1">
        <v>0</v>
      </c>
      <c r="P86" s="1">
        <v>0</v>
      </c>
      <c r="Q86">
        <v>-1</v>
      </c>
      <c r="R86">
        <v>0</v>
      </c>
      <c r="S86">
        <v>0</v>
      </c>
    </row>
    <row r="87" spans="1:38" x14ac:dyDescent="0.25">
      <c r="A87" s="1">
        <v>150</v>
      </c>
      <c r="B87" s="1">
        <v>824</v>
      </c>
      <c r="C87" s="1">
        <v>2861</v>
      </c>
      <c r="D87" s="1">
        <v>-2</v>
      </c>
      <c r="E87" s="1">
        <v>0.5</v>
      </c>
      <c r="F87" s="1">
        <v>0.1</v>
      </c>
      <c r="G87" s="1">
        <v>-2</v>
      </c>
      <c r="H87">
        <v>-1</v>
      </c>
      <c r="I87">
        <v>0</v>
      </c>
      <c r="K87" s="1">
        <v>150</v>
      </c>
      <c r="L87" s="1">
        <v>878</v>
      </c>
      <c r="M87" s="1">
        <v>3248</v>
      </c>
      <c r="N87" s="1">
        <v>-1.4</v>
      </c>
      <c r="O87" s="1">
        <v>0.3</v>
      </c>
      <c r="P87" s="1">
        <v>0.1</v>
      </c>
      <c r="Q87">
        <v>-1</v>
      </c>
      <c r="R87">
        <v>0</v>
      </c>
      <c r="S87">
        <v>0</v>
      </c>
    </row>
    <row r="88" spans="1:38" x14ac:dyDescent="0.25">
      <c r="A88" s="1">
        <v>175</v>
      </c>
      <c r="B88" s="1">
        <v>807</v>
      </c>
      <c r="C88" s="1">
        <v>2742</v>
      </c>
      <c r="D88" s="1">
        <v>-4.5999999999999996</v>
      </c>
      <c r="E88" s="1">
        <v>0.9</v>
      </c>
      <c r="F88" s="1">
        <v>0.3</v>
      </c>
      <c r="G88" s="1">
        <v>-3</v>
      </c>
      <c r="H88">
        <v>-1</v>
      </c>
      <c r="I88">
        <v>0</v>
      </c>
      <c r="K88" s="1">
        <v>175</v>
      </c>
      <c r="L88" s="1">
        <v>869</v>
      </c>
      <c r="M88" s="1">
        <v>3183</v>
      </c>
      <c r="N88" s="1">
        <v>-3.7</v>
      </c>
      <c r="O88" s="1">
        <v>0.7</v>
      </c>
      <c r="P88" s="1">
        <v>0.2</v>
      </c>
      <c r="Q88">
        <v>-2</v>
      </c>
      <c r="R88">
        <v>0</v>
      </c>
      <c r="S88">
        <v>0</v>
      </c>
    </row>
    <row r="89" spans="1:38" x14ac:dyDescent="0.25">
      <c r="A89" s="1">
        <v>200</v>
      </c>
      <c r="B89" s="1">
        <v>790</v>
      </c>
      <c r="C89" s="1">
        <v>2628</v>
      </c>
      <c r="D89" s="1">
        <v>-8.4</v>
      </c>
      <c r="E89" s="1">
        <v>1.4</v>
      </c>
      <c r="F89" s="1">
        <v>0.4</v>
      </c>
      <c r="G89" s="1">
        <v>-4</v>
      </c>
      <c r="H89">
        <v>-1</v>
      </c>
      <c r="I89">
        <v>0</v>
      </c>
      <c r="K89" s="1">
        <v>200</v>
      </c>
      <c r="L89" s="1">
        <v>860</v>
      </c>
      <c r="M89" s="1">
        <v>3119</v>
      </c>
      <c r="N89" s="1">
        <v>-6.9</v>
      </c>
      <c r="O89" s="1">
        <v>1.2</v>
      </c>
      <c r="P89" s="1">
        <v>0.3</v>
      </c>
      <c r="Q89">
        <v>-2</v>
      </c>
      <c r="R89">
        <v>0</v>
      </c>
      <c r="S89">
        <v>0</v>
      </c>
    </row>
    <row r="90" spans="1:38" x14ac:dyDescent="0.25">
      <c r="A90" s="1">
        <v>225</v>
      </c>
      <c r="B90" s="1">
        <v>773</v>
      </c>
      <c r="C90" s="1">
        <v>2517</v>
      </c>
      <c r="D90" s="1">
        <v>-13</v>
      </c>
      <c r="E90" s="1">
        <v>2</v>
      </c>
      <c r="F90" s="1">
        <v>0.6</v>
      </c>
      <c r="G90" s="1">
        <v>-6</v>
      </c>
      <c r="H90">
        <v>-1</v>
      </c>
      <c r="I90">
        <v>0</v>
      </c>
      <c r="K90" s="1">
        <v>225</v>
      </c>
      <c r="L90" s="1">
        <v>852</v>
      </c>
      <c r="M90" s="1">
        <v>3055</v>
      </c>
      <c r="N90" s="1">
        <v>-10.8</v>
      </c>
      <c r="O90" s="1">
        <v>1.7</v>
      </c>
      <c r="P90" s="1">
        <v>0.5</v>
      </c>
      <c r="Q90">
        <v>-3</v>
      </c>
      <c r="R90">
        <v>0</v>
      </c>
      <c r="S90">
        <v>0</v>
      </c>
    </row>
    <row r="91" spans="1:38" x14ac:dyDescent="0.25">
      <c r="A91" s="1">
        <v>250</v>
      </c>
      <c r="B91" s="1">
        <v>756</v>
      </c>
      <c r="C91" s="1">
        <v>2410</v>
      </c>
      <c r="D91" s="1">
        <v>-18.7</v>
      </c>
      <c r="E91" s="1">
        <v>2.6</v>
      </c>
      <c r="F91" s="1">
        <v>0.7</v>
      </c>
      <c r="G91" s="1">
        <v>-7</v>
      </c>
      <c r="H91">
        <v>-1</v>
      </c>
      <c r="I91">
        <v>0</v>
      </c>
      <c r="K91" s="1">
        <v>250</v>
      </c>
      <c r="L91" s="1">
        <v>843</v>
      </c>
      <c r="M91" s="1">
        <v>2993</v>
      </c>
      <c r="N91" s="1">
        <v>-15.6</v>
      </c>
      <c r="O91" s="1">
        <v>2.1</v>
      </c>
      <c r="P91" s="1">
        <v>0.6</v>
      </c>
      <c r="Q91">
        <v>-3</v>
      </c>
      <c r="R91">
        <v>0</v>
      </c>
      <c r="S91">
        <v>0</v>
      </c>
    </row>
    <row r="92" spans="1:38" x14ac:dyDescent="0.25">
      <c r="A92" s="1">
        <v>275</v>
      </c>
      <c r="B92" s="1">
        <v>740</v>
      </c>
      <c r="C92" s="1">
        <v>2306</v>
      </c>
      <c r="D92" s="1">
        <v>-25.7</v>
      </c>
      <c r="E92" s="1">
        <v>3.2</v>
      </c>
      <c r="F92" s="1">
        <v>0.9</v>
      </c>
      <c r="G92" s="1">
        <v>-9</v>
      </c>
      <c r="H92">
        <v>-1</v>
      </c>
      <c r="I92">
        <v>0</v>
      </c>
      <c r="K92" s="1">
        <v>275</v>
      </c>
      <c r="L92" s="1">
        <v>834</v>
      </c>
      <c r="M92" s="1">
        <v>2931</v>
      </c>
      <c r="N92" s="1">
        <v>-21.5</v>
      </c>
      <c r="O92" s="1">
        <v>2.7</v>
      </c>
      <c r="P92" s="1">
        <v>0.8</v>
      </c>
      <c r="Q92">
        <v>-4</v>
      </c>
      <c r="R92">
        <v>-1</v>
      </c>
      <c r="S92">
        <v>0</v>
      </c>
    </row>
    <row r="93" spans="1:38" x14ac:dyDescent="0.25">
      <c r="A93" s="1">
        <v>300</v>
      </c>
      <c r="B93" s="1">
        <v>724</v>
      </c>
      <c r="C93" s="1">
        <v>2206</v>
      </c>
      <c r="D93" s="1">
        <v>-33.700000000000003</v>
      </c>
      <c r="E93" s="1">
        <v>3.9</v>
      </c>
      <c r="F93" s="1">
        <v>1.1000000000000001</v>
      </c>
      <c r="G93" s="1">
        <v>-10</v>
      </c>
      <c r="H93">
        <v>-1</v>
      </c>
      <c r="I93">
        <v>0</v>
      </c>
      <c r="K93" s="1">
        <v>300</v>
      </c>
      <c r="L93" s="1">
        <v>826</v>
      </c>
      <c r="M93" s="1">
        <v>2871</v>
      </c>
      <c r="N93" s="1">
        <v>-28</v>
      </c>
      <c r="O93" s="1">
        <v>3.2</v>
      </c>
      <c r="P93" s="1">
        <v>0.9</v>
      </c>
      <c r="Q93">
        <v>-5</v>
      </c>
      <c r="R93">
        <v>-1</v>
      </c>
      <c r="S93">
        <v>0</v>
      </c>
      <c r="AH93" s="46"/>
      <c r="AI93" s="46"/>
      <c r="AJ93" s="46"/>
      <c r="AK93" s="46"/>
      <c r="AL93" s="46"/>
    </row>
    <row r="94" spans="1:38" x14ac:dyDescent="0.25">
      <c r="A94" s="1">
        <v>325</v>
      </c>
      <c r="B94" s="1">
        <v>708</v>
      </c>
      <c r="C94" s="1">
        <v>2110</v>
      </c>
      <c r="D94" s="1">
        <v>-42.8</v>
      </c>
      <c r="E94" s="1">
        <v>4.5</v>
      </c>
      <c r="F94" s="1">
        <v>1.3</v>
      </c>
      <c r="G94" s="1">
        <v>-12</v>
      </c>
      <c r="H94">
        <v>-1</v>
      </c>
      <c r="I94">
        <v>0</v>
      </c>
      <c r="K94" s="1">
        <v>325</v>
      </c>
      <c r="L94" s="1">
        <v>817</v>
      </c>
      <c r="M94" s="1">
        <v>2811</v>
      </c>
      <c r="N94" s="1">
        <v>-35.4</v>
      </c>
      <c r="O94" s="1">
        <v>3.8</v>
      </c>
      <c r="P94" s="1">
        <v>1.1000000000000001</v>
      </c>
      <c r="Q94">
        <v>-6</v>
      </c>
      <c r="R94">
        <v>-1</v>
      </c>
      <c r="S94">
        <v>0</v>
      </c>
      <c r="AI94" s="19"/>
    </row>
    <row r="95" spans="1:38" x14ac:dyDescent="0.25">
      <c r="A95" s="1">
        <v>350</v>
      </c>
      <c r="B95" s="1">
        <v>692</v>
      </c>
      <c r="C95" s="1">
        <v>2016</v>
      </c>
      <c r="D95" s="1">
        <v>-53.7</v>
      </c>
      <c r="E95" s="1">
        <v>5.3</v>
      </c>
      <c r="F95" s="1">
        <v>1.5</v>
      </c>
      <c r="G95" s="1">
        <v>-15</v>
      </c>
      <c r="H95">
        <v>-2</v>
      </c>
      <c r="I95">
        <v>0</v>
      </c>
      <c r="K95" s="1">
        <v>350</v>
      </c>
      <c r="L95" s="1">
        <v>808</v>
      </c>
      <c r="M95" s="1">
        <v>2752</v>
      </c>
      <c r="N95" s="1">
        <v>-44.1</v>
      </c>
      <c r="O95" s="1">
        <v>4.3</v>
      </c>
      <c r="P95" s="1">
        <v>1.3</v>
      </c>
      <c r="Q95">
        <v>-7</v>
      </c>
      <c r="R95">
        <v>-1</v>
      </c>
      <c r="S95">
        <v>0</v>
      </c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20"/>
      <c r="AK95" s="1"/>
      <c r="AL95" s="20"/>
    </row>
    <row r="96" spans="1:38" x14ac:dyDescent="0.25">
      <c r="A96" s="1">
        <v>375</v>
      </c>
      <c r="B96" s="1">
        <v>676</v>
      </c>
      <c r="C96" s="1">
        <v>1926</v>
      </c>
      <c r="D96" s="1">
        <v>-65.400000000000006</v>
      </c>
      <c r="E96" s="1">
        <v>6</v>
      </c>
      <c r="F96" s="1">
        <v>1.7</v>
      </c>
      <c r="G96" s="1">
        <v>-17</v>
      </c>
      <c r="H96">
        <v>-2</v>
      </c>
      <c r="I96">
        <v>0</v>
      </c>
      <c r="K96" s="1">
        <v>375</v>
      </c>
      <c r="L96" s="1">
        <v>800</v>
      </c>
      <c r="M96" s="1">
        <v>2695</v>
      </c>
      <c r="N96" s="1">
        <v>-53.5</v>
      </c>
      <c r="O96" s="1">
        <v>4.9000000000000004</v>
      </c>
      <c r="P96" s="1">
        <v>1.4</v>
      </c>
      <c r="Q96">
        <v>-8</v>
      </c>
      <c r="R96">
        <v>-1</v>
      </c>
      <c r="S96">
        <v>0</v>
      </c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20"/>
      <c r="AK96" s="1"/>
      <c r="AL96" s="20"/>
    </row>
    <row r="97" spans="1:38" x14ac:dyDescent="0.25">
      <c r="A97" s="1">
        <v>400</v>
      </c>
      <c r="B97" s="1">
        <v>661</v>
      </c>
      <c r="C97" s="1">
        <v>1839</v>
      </c>
      <c r="D97" s="1">
        <v>-78.599999999999994</v>
      </c>
      <c r="E97" s="1">
        <v>6.8</v>
      </c>
      <c r="F97" s="1">
        <v>2</v>
      </c>
      <c r="G97" s="1">
        <v>-20</v>
      </c>
      <c r="H97">
        <v>-2</v>
      </c>
      <c r="I97">
        <v>0</v>
      </c>
      <c r="K97" s="1">
        <v>400</v>
      </c>
      <c r="L97" s="1">
        <v>791</v>
      </c>
      <c r="M97" s="1">
        <v>2638</v>
      </c>
      <c r="N97" s="1">
        <v>-63.8</v>
      </c>
      <c r="O97" s="1">
        <v>5.5</v>
      </c>
      <c r="P97" s="1">
        <v>1.6</v>
      </c>
      <c r="Q97">
        <v>-9</v>
      </c>
      <c r="R97">
        <v>-1</v>
      </c>
      <c r="S97">
        <v>0</v>
      </c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20"/>
      <c r="AK97" s="1"/>
      <c r="AL97" s="20"/>
    </row>
    <row r="98" spans="1:38" x14ac:dyDescent="0.25">
      <c r="A98" s="1">
        <v>425</v>
      </c>
      <c r="B98" s="1">
        <v>645</v>
      </c>
      <c r="C98" s="1">
        <v>1755</v>
      </c>
      <c r="D98" s="1">
        <v>-93.9</v>
      </c>
      <c r="E98" s="1">
        <v>7.6</v>
      </c>
      <c r="F98" s="1">
        <v>2.2000000000000002</v>
      </c>
      <c r="G98" s="1">
        <v>-22</v>
      </c>
      <c r="H98">
        <v>-2</v>
      </c>
      <c r="I98">
        <v>-1</v>
      </c>
      <c r="K98" s="1">
        <v>425</v>
      </c>
      <c r="L98" s="1">
        <v>783</v>
      </c>
      <c r="M98" s="1">
        <v>2582</v>
      </c>
      <c r="N98" s="1">
        <v>-75.5</v>
      </c>
      <c r="O98" s="1">
        <v>6.1</v>
      </c>
      <c r="P98" s="1">
        <v>1.8</v>
      </c>
      <c r="Q98">
        <v>-10</v>
      </c>
      <c r="R98">
        <v>-1</v>
      </c>
      <c r="S98">
        <v>0</v>
      </c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20"/>
      <c r="AK98" s="1"/>
      <c r="AL98" s="20"/>
    </row>
    <row r="99" spans="1:38" x14ac:dyDescent="0.25">
      <c r="A99" s="1">
        <v>450</v>
      </c>
      <c r="B99" s="1">
        <v>630</v>
      </c>
      <c r="C99" s="1">
        <v>1674</v>
      </c>
      <c r="D99" s="1">
        <v>-110.1</v>
      </c>
      <c r="E99" s="1">
        <v>8.4</v>
      </c>
      <c r="F99" s="1">
        <v>2.4</v>
      </c>
      <c r="G99" s="1">
        <v>-25</v>
      </c>
      <c r="H99">
        <v>-2</v>
      </c>
      <c r="I99">
        <v>-1</v>
      </c>
      <c r="K99" s="1">
        <v>450</v>
      </c>
      <c r="L99" s="1">
        <v>775</v>
      </c>
      <c r="M99" s="1">
        <v>2527</v>
      </c>
      <c r="N99" s="1">
        <v>-87.8</v>
      </c>
      <c r="O99" s="1">
        <v>6.7</v>
      </c>
      <c r="P99" s="1">
        <v>2</v>
      </c>
      <c r="Q99">
        <v>-11</v>
      </c>
      <c r="R99">
        <v>-1</v>
      </c>
      <c r="S99">
        <v>0</v>
      </c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20"/>
      <c r="AK99" s="1"/>
      <c r="AL99" s="20"/>
    </row>
    <row r="100" spans="1:38" x14ac:dyDescent="0.25">
      <c r="A100" s="1">
        <v>475</v>
      </c>
      <c r="B100" s="1">
        <v>616</v>
      </c>
      <c r="C100" s="1">
        <v>1596</v>
      </c>
      <c r="D100" s="1">
        <v>-128</v>
      </c>
      <c r="E100" s="1">
        <v>9.3000000000000007</v>
      </c>
      <c r="F100" s="1">
        <v>2.7</v>
      </c>
      <c r="G100" s="1">
        <v>-28</v>
      </c>
      <c r="H100">
        <v>-2</v>
      </c>
      <c r="I100">
        <v>-1</v>
      </c>
      <c r="K100" s="1">
        <v>475</v>
      </c>
      <c r="L100" s="1">
        <v>766</v>
      </c>
      <c r="M100" s="1">
        <v>2473</v>
      </c>
      <c r="N100" s="1">
        <v>-101.2</v>
      </c>
      <c r="O100" s="1">
        <v>7.3</v>
      </c>
      <c r="P100" s="1">
        <v>2.1</v>
      </c>
      <c r="Q100">
        <v>-13</v>
      </c>
      <c r="R100">
        <v>-1</v>
      </c>
      <c r="S100">
        <v>0</v>
      </c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20"/>
      <c r="AK100" s="1"/>
      <c r="AL100" s="20"/>
    </row>
    <row r="101" spans="1:38" x14ac:dyDescent="0.25">
      <c r="A101" s="1">
        <v>500</v>
      </c>
      <c r="B101" s="1">
        <v>601</v>
      </c>
      <c r="C101" s="1">
        <v>1524</v>
      </c>
      <c r="D101" s="1">
        <v>-147.6</v>
      </c>
      <c r="E101" s="1">
        <v>10.199999999999999</v>
      </c>
      <c r="F101" s="1">
        <v>3</v>
      </c>
      <c r="G101" s="1">
        <v>-32</v>
      </c>
      <c r="H101">
        <v>-2</v>
      </c>
      <c r="I101">
        <v>-1</v>
      </c>
      <c r="K101" s="1">
        <v>500</v>
      </c>
      <c r="L101" s="1">
        <v>758</v>
      </c>
      <c r="M101" s="1">
        <v>2422</v>
      </c>
      <c r="N101" s="1">
        <v>-115.6</v>
      </c>
      <c r="O101" s="1">
        <v>8</v>
      </c>
      <c r="P101" s="1">
        <v>2.2999999999999998</v>
      </c>
      <c r="Q101">
        <v>-14</v>
      </c>
      <c r="R101">
        <v>-1</v>
      </c>
      <c r="S101">
        <v>0</v>
      </c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20"/>
      <c r="AK101" s="1"/>
      <c r="AL101" s="20"/>
    </row>
    <row r="102" spans="1:38" x14ac:dyDescent="0.25"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20"/>
      <c r="AK102" s="1"/>
      <c r="AL102" s="20"/>
    </row>
    <row r="103" spans="1:38" x14ac:dyDescent="0.25">
      <c r="A103" t="s">
        <v>71</v>
      </c>
      <c r="K103" t="s">
        <v>78</v>
      </c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20"/>
      <c r="AK103" s="1"/>
      <c r="AL103" s="20"/>
    </row>
    <row r="104" spans="1:38" ht="19.5" customHeight="1" x14ac:dyDescent="0.25">
      <c r="A104" t="s">
        <v>12</v>
      </c>
      <c r="B104" t="s">
        <v>13</v>
      </c>
      <c r="C104" t="s">
        <v>14</v>
      </c>
      <c r="D104" t="s">
        <v>15</v>
      </c>
      <c r="E104" t="s">
        <v>16</v>
      </c>
      <c r="F104" t="s">
        <v>17</v>
      </c>
      <c r="G104" t="s">
        <v>35</v>
      </c>
      <c r="H104" t="s">
        <v>36</v>
      </c>
      <c r="I104" t="s">
        <v>37</v>
      </c>
      <c r="K104" t="s">
        <v>12</v>
      </c>
      <c r="L104" t="s">
        <v>13</v>
      </c>
      <c r="M104" t="s">
        <v>14</v>
      </c>
      <c r="N104" t="s">
        <v>15</v>
      </c>
      <c r="O104" t="s">
        <v>16</v>
      </c>
      <c r="P104" t="s">
        <v>17</v>
      </c>
      <c r="Q104" t="s">
        <v>35</v>
      </c>
      <c r="R104" t="s">
        <v>36</v>
      </c>
      <c r="S104" t="s">
        <v>37</v>
      </c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20"/>
      <c r="AK104" s="1"/>
      <c r="AL104" s="20"/>
    </row>
    <row r="105" spans="1:38" x14ac:dyDescent="0.25">
      <c r="A105" s="1">
        <v>0</v>
      </c>
      <c r="B105" s="1">
        <v>933</v>
      </c>
      <c r="C105" s="1">
        <v>3664</v>
      </c>
      <c r="D105" s="1">
        <v>-3.8</v>
      </c>
      <c r="E105" s="1">
        <v>0</v>
      </c>
      <c r="F105" s="1">
        <v>0</v>
      </c>
      <c r="G105">
        <v>0</v>
      </c>
      <c r="H105">
        <v>0</v>
      </c>
      <c r="I105">
        <v>0</v>
      </c>
      <c r="K105" s="1">
        <v>0</v>
      </c>
      <c r="L105" s="1">
        <v>933</v>
      </c>
      <c r="M105" s="1">
        <v>3664</v>
      </c>
      <c r="N105" s="1">
        <v>-3.8</v>
      </c>
      <c r="O105" s="1">
        <v>0</v>
      </c>
      <c r="P105" s="1">
        <v>0</v>
      </c>
      <c r="Q105">
        <v>0</v>
      </c>
      <c r="R105">
        <v>0</v>
      </c>
      <c r="S105">
        <v>0</v>
      </c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20"/>
      <c r="AK105" s="1"/>
      <c r="AL105" s="20"/>
    </row>
    <row r="106" spans="1:38" x14ac:dyDescent="0.25">
      <c r="A106" s="1">
        <v>25</v>
      </c>
      <c r="B106" s="1">
        <v>914</v>
      </c>
      <c r="C106" s="1">
        <v>3518</v>
      </c>
      <c r="D106" s="1">
        <v>-1.7</v>
      </c>
      <c r="E106" s="1">
        <v>2.4</v>
      </c>
      <c r="F106" s="1">
        <v>0.7</v>
      </c>
      <c r="G106">
        <v>0</v>
      </c>
      <c r="H106">
        <v>0</v>
      </c>
      <c r="I106">
        <v>0</v>
      </c>
      <c r="K106" s="1">
        <v>25</v>
      </c>
      <c r="L106" s="1">
        <v>923</v>
      </c>
      <c r="M106" s="1">
        <v>3592</v>
      </c>
      <c r="N106" s="1">
        <v>-1.8</v>
      </c>
      <c r="O106" s="1">
        <v>2.4</v>
      </c>
      <c r="P106" s="1">
        <v>0.7</v>
      </c>
      <c r="Q106">
        <v>0</v>
      </c>
      <c r="R106">
        <v>0</v>
      </c>
      <c r="S106">
        <v>0</v>
      </c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20"/>
      <c r="AK106" s="1"/>
      <c r="AL106" s="20"/>
    </row>
    <row r="107" spans="1:38" x14ac:dyDescent="0.25">
      <c r="A107" s="1">
        <v>50</v>
      </c>
      <c r="B107" s="1">
        <v>895</v>
      </c>
      <c r="C107" s="1">
        <v>3377</v>
      </c>
      <c r="D107" s="1">
        <v>-0.4</v>
      </c>
      <c r="E107" s="1">
        <v>0.2</v>
      </c>
      <c r="F107" s="1">
        <v>0.1</v>
      </c>
      <c r="G107">
        <v>0</v>
      </c>
      <c r="H107">
        <v>0</v>
      </c>
      <c r="I107">
        <v>0</v>
      </c>
      <c r="K107" s="1">
        <v>50</v>
      </c>
      <c r="L107" s="1">
        <v>914</v>
      </c>
      <c r="M107" s="1">
        <v>3521</v>
      </c>
      <c r="N107" s="1">
        <v>-0.4</v>
      </c>
      <c r="O107" s="1">
        <v>0.3</v>
      </c>
      <c r="P107" s="1">
        <v>0.1</v>
      </c>
      <c r="Q107">
        <v>0</v>
      </c>
      <c r="R107">
        <v>0</v>
      </c>
      <c r="S107">
        <v>0</v>
      </c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20"/>
      <c r="AK107" s="1"/>
      <c r="AL107" s="20"/>
    </row>
    <row r="108" spans="1:38" x14ac:dyDescent="0.25">
      <c r="A108" s="1">
        <v>75</v>
      </c>
      <c r="B108" s="1">
        <v>877</v>
      </c>
      <c r="C108" s="1">
        <v>3242</v>
      </c>
      <c r="D108" s="1">
        <v>0.2</v>
      </c>
      <c r="E108" s="1">
        <v>-0.1</v>
      </c>
      <c r="F108" s="1">
        <v>0</v>
      </c>
      <c r="G108">
        <v>-1</v>
      </c>
      <c r="H108">
        <v>0</v>
      </c>
      <c r="I108">
        <v>0</v>
      </c>
      <c r="K108" s="1">
        <v>75</v>
      </c>
      <c r="L108" s="1">
        <v>905</v>
      </c>
      <c r="M108" s="1">
        <v>3451</v>
      </c>
      <c r="N108" s="1">
        <v>0.2</v>
      </c>
      <c r="O108" s="1">
        <v>-0.1</v>
      </c>
      <c r="P108" s="1">
        <v>0</v>
      </c>
      <c r="Q108">
        <v>0</v>
      </c>
      <c r="R108">
        <v>0</v>
      </c>
      <c r="S108">
        <v>0</v>
      </c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20"/>
      <c r="AK108" s="1"/>
      <c r="AL108" s="20"/>
    </row>
    <row r="109" spans="1:38" x14ac:dyDescent="0.25">
      <c r="A109" s="10">
        <v>100</v>
      </c>
      <c r="B109" s="10">
        <v>859</v>
      </c>
      <c r="C109" s="10">
        <v>3110</v>
      </c>
      <c r="D109" s="10">
        <v>0</v>
      </c>
      <c r="E109" s="10">
        <v>0</v>
      </c>
      <c r="F109" s="10">
        <v>0</v>
      </c>
      <c r="G109">
        <v>-1</v>
      </c>
      <c r="H109">
        <v>0</v>
      </c>
      <c r="I109">
        <v>0</v>
      </c>
      <c r="K109" s="1">
        <v>100</v>
      </c>
      <c r="L109" s="1">
        <v>896</v>
      </c>
      <c r="M109" s="1">
        <v>3382</v>
      </c>
      <c r="N109" s="1">
        <v>0</v>
      </c>
      <c r="O109" s="1">
        <v>0</v>
      </c>
      <c r="P109" s="1">
        <v>0</v>
      </c>
      <c r="Q109">
        <v>-1</v>
      </c>
      <c r="R109">
        <v>0</v>
      </c>
      <c r="S109">
        <v>0</v>
      </c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20"/>
      <c r="AK109" s="1"/>
      <c r="AL109" s="20"/>
    </row>
    <row r="110" spans="1:38" x14ac:dyDescent="0.25">
      <c r="A110" s="1">
        <v>125</v>
      </c>
      <c r="B110" s="1">
        <v>842</v>
      </c>
      <c r="C110" s="1">
        <v>2984</v>
      </c>
      <c r="D110" s="1">
        <v>-1.1000000000000001</v>
      </c>
      <c r="E110" s="1">
        <v>0.3</v>
      </c>
      <c r="F110" s="1">
        <v>0.1</v>
      </c>
      <c r="G110">
        <v>-2</v>
      </c>
      <c r="H110">
        <v>0</v>
      </c>
      <c r="I110">
        <v>0</v>
      </c>
      <c r="K110" s="1">
        <v>125</v>
      </c>
      <c r="L110" s="1">
        <v>887</v>
      </c>
      <c r="M110" s="1">
        <v>3315</v>
      </c>
      <c r="N110" s="1">
        <v>-0.9</v>
      </c>
      <c r="O110" s="1">
        <v>0.3</v>
      </c>
      <c r="P110" s="1">
        <v>0.1</v>
      </c>
      <c r="Q110">
        <v>-1</v>
      </c>
      <c r="R110">
        <v>0</v>
      </c>
      <c r="S110">
        <v>0</v>
      </c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20"/>
      <c r="AK110" s="1"/>
      <c r="AL110" s="20"/>
    </row>
    <row r="111" spans="1:38" x14ac:dyDescent="0.25">
      <c r="A111" s="1">
        <v>150</v>
      </c>
      <c r="B111" s="1">
        <v>824</v>
      </c>
      <c r="C111" s="1">
        <v>2861</v>
      </c>
      <c r="D111" s="1">
        <v>-3</v>
      </c>
      <c r="E111" s="1">
        <v>0.7</v>
      </c>
      <c r="F111" s="1">
        <v>0.2</v>
      </c>
      <c r="G111">
        <v>-2</v>
      </c>
      <c r="H111">
        <v>-1</v>
      </c>
      <c r="I111">
        <v>0</v>
      </c>
      <c r="K111" s="1">
        <v>150</v>
      </c>
      <c r="L111" s="1">
        <v>878</v>
      </c>
      <c r="M111" s="1">
        <v>3248</v>
      </c>
      <c r="N111" s="1">
        <v>-2.6</v>
      </c>
      <c r="O111" s="1">
        <v>0.6</v>
      </c>
      <c r="P111" s="1">
        <v>0.2</v>
      </c>
      <c r="Q111">
        <v>-1</v>
      </c>
      <c r="R111">
        <v>0</v>
      </c>
      <c r="S111">
        <v>0</v>
      </c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20"/>
      <c r="AK111" s="1"/>
      <c r="AL111" s="20"/>
    </row>
    <row r="112" spans="1:38" x14ac:dyDescent="0.25">
      <c r="A112" s="1">
        <v>175</v>
      </c>
      <c r="B112" s="1">
        <v>807</v>
      </c>
      <c r="C112" s="1">
        <v>2742</v>
      </c>
      <c r="D112" s="1">
        <v>-5.9</v>
      </c>
      <c r="E112" s="1">
        <v>1.2</v>
      </c>
      <c r="F112" s="1">
        <v>0.3</v>
      </c>
      <c r="G112">
        <v>-3</v>
      </c>
      <c r="H112">
        <v>-1</v>
      </c>
      <c r="I112">
        <v>0</v>
      </c>
      <c r="K112" s="1">
        <v>175</v>
      </c>
      <c r="L112" s="1">
        <v>869</v>
      </c>
      <c r="M112" s="1">
        <v>3183</v>
      </c>
      <c r="N112" s="1">
        <v>-5.0999999999999996</v>
      </c>
      <c r="O112" s="1">
        <v>1</v>
      </c>
      <c r="P112" s="1">
        <v>0.3</v>
      </c>
      <c r="Q112">
        <v>-2</v>
      </c>
      <c r="R112">
        <v>0</v>
      </c>
      <c r="S112">
        <v>0</v>
      </c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20"/>
      <c r="AK112" s="1"/>
      <c r="AL112" s="20"/>
    </row>
    <row r="113" spans="1:38" x14ac:dyDescent="0.25">
      <c r="A113" s="1">
        <v>200</v>
      </c>
      <c r="B113" s="1">
        <v>790</v>
      </c>
      <c r="C113" s="1">
        <v>2628</v>
      </c>
      <c r="D113" s="1">
        <v>-9.8000000000000007</v>
      </c>
      <c r="E113" s="1">
        <v>1.7</v>
      </c>
      <c r="F113" s="1">
        <v>0.5</v>
      </c>
      <c r="G113">
        <v>-4</v>
      </c>
      <c r="H113">
        <v>-1</v>
      </c>
      <c r="I113">
        <v>0</v>
      </c>
      <c r="K113" s="1">
        <v>200</v>
      </c>
      <c r="L113" s="1">
        <v>860</v>
      </c>
      <c r="M113" s="1">
        <v>3119</v>
      </c>
      <c r="N113" s="1">
        <v>-8.5</v>
      </c>
      <c r="O113" s="1">
        <v>1.5</v>
      </c>
      <c r="P113" s="1">
        <v>0.4</v>
      </c>
      <c r="Q113">
        <v>-2</v>
      </c>
      <c r="R113">
        <v>0</v>
      </c>
      <c r="S113">
        <v>0</v>
      </c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20"/>
      <c r="AK113" s="1"/>
      <c r="AL113" s="20"/>
    </row>
    <row r="114" spans="1:38" x14ac:dyDescent="0.25">
      <c r="A114" s="1">
        <v>225</v>
      </c>
      <c r="B114" s="1">
        <v>773</v>
      </c>
      <c r="C114" s="1">
        <v>2517</v>
      </c>
      <c r="D114" s="1">
        <v>-14.6</v>
      </c>
      <c r="E114" s="1">
        <v>2.2000000000000002</v>
      </c>
      <c r="F114" s="1">
        <v>0.7</v>
      </c>
      <c r="G114">
        <v>-6</v>
      </c>
      <c r="H114">
        <v>-1</v>
      </c>
      <c r="I114">
        <v>0</v>
      </c>
      <c r="K114" s="1">
        <v>225</v>
      </c>
      <c r="L114" s="1">
        <v>852</v>
      </c>
      <c r="M114" s="1">
        <v>3055</v>
      </c>
      <c r="N114" s="1">
        <v>-12.7</v>
      </c>
      <c r="O114" s="1">
        <v>1.9</v>
      </c>
      <c r="P114" s="1">
        <v>0.6</v>
      </c>
      <c r="Q114">
        <v>-3</v>
      </c>
      <c r="R114">
        <v>0</v>
      </c>
      <c r="S114">
        <v>0</v>
      </c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20"/>
      <c r="AK114" s="1"/>
      <c r="AL114" s="20"/>
    </row>
    <row r="115" spans="1:38" x14ac:dyDescent="0.25">
      <c r="A115" s="1">
        <v>250</v>
      </c>
      <c r="B115" s="1">
        <v>756</v>
      </c>
      <c r="C115" s="1">
        <v>2410</v>
      </c>
      <c r="D115" s="1">
        <v>-20.5</v>
      </c>
      <c r="E115" s="1">
        <v>2.8</v>
      </c>
      <c r="F115" s="1">
        <v>0.8</v>
      </c>
      <c r="G115">
        <v>-7</v>
      </c>
      <c r="H115">
        <v>-1</v>
      </c>
      <c r="I115">
        <v>0</v>
      </c>
      <c r="K115" s="1">
        <v>250</v>
      </c>
      <c r="L115" s="1">
        <v>843</v>
      </c>
      <c r="M115" s="1">
        <v>2993</v>
      </c>
      <c r="N115" s="1">
        <v>-17.600000000000001</v>
      </c>
      <c r="O115" s="1">
        <v>2.4</v>
      </c>
      <c r="P115" s="1">
        <v>0.7</v>
      </c>
      <c r="Q115">
        <v>-3</v>
      </c>
      <c r="R115">
        <v>0</v>
      </c>
      <c r="S115">
        <v>0</v>
      </c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20"/>
      <c r="AK115" s="1"/>
      <c r="AL115" s="20"/>
    </row>
    <row r="116" spans="1:38" x14ac:dyDescent="0.25">
      <c r="A116" s="1">
        <v>275</v>
      </c>
      <c r="B116" s="1">
        <v>740</v>
      </c>
      <c r="C116" s="1">
        <v>2306</v>
      </c>
      <c r="D116" s="1">
        <v>-27.7</v>
      </c>
      <c r="E116" s="1">
        <v>3.5</v>
      </c>
      <c r="F116" s="1">
        <v>1</v>
      </c>
      <c r="G116">
        <v>-9</v>
      </c>
      <c r="H116">
        <v>-1</v>
      </c>
      <c r="I116">
        <v>0</v>
      </c>
      <c r="K116" s="1">
        <v>275</v>
      </c>
      <c r="L116" s="1">
        <v>834</v>
      </c>
      <c r="M116" s="1">
        <v>2931</v>
      </c>
      <c r="N116" s="1">
        <v>-23.7</v>
      </c>
      <c r="O116" s="1">
        <v>3</v>
      </c>
      <c r="P116" s="1">
        <v>0.9</v>
      </c>
      <c r="Q116">
        <v>-4</v>
      </c>
      <c r="R116">
        <v>-1</v>
      </c>
      <c r="S116">
        <v>0</v>
      </c>
      <c r="AH116" s="21"/>
      <c r="AI116" s="22"/>
      <c r="AJ116" s="23"/>
      <c r="AK116" s="1"/>
    </row>
    <row r="117" spans="1:38" x14ac:dyDescent="0.25">
      <c r="A117" s="1">
        <v>300</v>
      </c>
      <c r="B117" s="1">
        <v>724</v>
      </c>
      <c r="C117" s="1">
        <v>2206</v>
      </c>
      <c r="D117" s="1">
        <v>-35.799999999999997</v>
      </c>
      <c r="E117" s="1">
        <v>4.0999999999999996</v>
      </c>
      <c r="F117" s="1">
        <v>1.2</v>
      </c>
      <c r="G117">
        <v>-10</v>
      </c>
      <c r="H117">
        <v>-1</v>
      </c>
      <c r="I117">
        <v>0</v>
      </c>
      <c r="K117" s="1">
        <v>300</v>
      </c>
      <c r="L117" s="1">
        <v>826</v>
      </c>
      <c r="M117" s="1">
        <v>2871</v>
      </c>
      <c r="N117" s="1">
        <v>-30.5</v>
      </c>
      <c r="O117" s="1">
        <v>3.5</v>
      </c>
      <c r="P117" s="1">
        <v>1</v>
      </c>
      <c r="Q117">
        <v>-5</v>
      </c>
      <c r="R117">
        <v>-1</v>
      </c>
      <c r="S117">
        <v>0</v>
      </c>
    </row>
    <row r="118" spans="1:38" x14ac:dyDescent="0.25">
      <c r="A118" s="1">
        <v>325</v>
      </c>
      <c r="B118" s="1">
        <v>708</v>
      </c>
      <c r="C118" s="1">
        <v>2110</v>
      </c>
      <c r="D118" s="1">
        <v>-45.1</v>
      </c>
      <c r="E118" s="1">
        <v>4.8</v>
      </c>
      <c r="F118" s="1">
        <v>1.4</v>
      </c>
      <c r="G118">
        <v>-12</v>
      </c>
      <c r="H118">
        <v>-1</v>
      </c>
      <c r="I118">
        <v>0</v>
      </c>
      <c r="K118" s="1">
        <v>325</v>
      </c>
      <c r="L118" s="1">
        <v>817</v>
      </c>
      <c r="M118" s="1">
        <v>2811</v>
      </c>
      <c r="N118" s="1">
        <v>-38.1</v>
      </c>
      <c r="O118" s="1">
        <v>4</v>
      </c>
      <c r="P118" s="1">
        <v>1.2</v>
      </c>
      <c r="Q118">
        <v>-6</v>
      </c>
      <c r="R118">
        <v>-1</v>
      </c>
      <c r="S118">
        <v>0</v>
      </c>
    </row>
    <row r="119" spans="1:38" x14ac:dyDescent="0.25">
      <c r="A119" s="1">
        <v>350</v>
      </c>
      <c r="B119" s="1">
        <v>692</v>
      </c>
      <c r="C119" s="1">
        <v>2016</v>
      </c>
      <c r="D119" s="1">
        <v>-56.1</v>
      </c>
      <c r="E119" s="1">
        <v>5.5</v>
      </c>
      <c r="F119" s="1">
        <v>1.6</v>
      </c>
      <c r="G119">
        <v>-15</v>
      </c>
      <c r="H119">
        <v>-2</v>
      </c>
      <c r="I119">
        <v>0</v>
      </c>
      <c r="K119" s="1">
        <v>350</v>
      </c>
      <c r="L119" s="1">
        <v>808</v>
      </c>
      <c r="M119" s="1">
        <v>2752</v>
      </c>
      <c r="N119" s="1">
        <v>-47</v>
      </c>
      <c r="O119" s="1">
        <v>4.5999999999999996</v>
      </c>
      <c r="P119" s="1">
        <v>1.3</v>
      </c>
      <c r="Q119">
        <v>-7</v>
      </c>
      <c r="R119">
        <v>-1</v>
      </c>
      <c r="S119">
        <v>0</v>
      </c>
    </row>
    <row r="120" spans="1:38" x14ac:dyDescent="0.25">
      <c r="A120" s="1">
        <v>375</v>
      </c>
      <c r="B120" s="1">
        <v>676</v>
      </c>
      <c r="C120" s="1">
        <v>1926</v>
      </c>
      <c r="D120" s="1">
        <v>-68.099999999999994</v>
      </c>
      <c r="E120" s="1">
        <v>6.2</v>
      </c>
      <c r="F120" s="1">
        <v>1.8</v>
      </c>
      <c r="G120">
        <v>-17</v>
      </c>
      <c r="H120">
        <v>-2</v>
      </c>
      <c r="I120">
        <v>0</v>
      </c>
      <c r="K120" s="1">
        <v>375</v>
      </c>
      <c r="L120" s="1">
        <v>800</v>
      </c>
      <c r="M120" s="1">
        <v>2695</v>
      </c>
      <c r="N120" s="1">
        <v>-56.5</v>
      </c>
      <c r="O120" s="1">
        <v>5.2</v>
      </c>
      <c r="P120" s="1">
        <v>1.5</v>
      </c>
      <c r="Q120">
        <v>-8</v>
      </c>
      <c r="R120">
        <v>-1</v>
      </c>
      <c r="S120">
        <v>0</v>
      </c>
    </row>
    <row r="121" spans="1:38" x14ac:dyDescent="0.25">
      <c r="A121" s="1">
        <v>400</v>
      </c>
      <c r="B121" s="1">
        <v>661</v>
      </c>
      <c r="C121" s="1">
        <v>1839</v>
      </c>
      <c r="D121" s="1">
        <v>-81.5</v>
      </c>
      <c r="E121" s="1">
        <v>7</v>
      </c>
      <c r="F121" s="1">
        <v>2</v>
      </c>
      <c r="G121">
        <v>-20</v>
      </c>
      <c r="H121">
        <v>-2</v>
      </c>
      <c r="I121">
        <v>0</v>
      </c>
      <c r="K121" s="1">
        <v>400</v>
      </c>
      <c r="L121" s="1">
        <v>791</v>
      </c>
      <c r="M121" s="1">
        <v>2638</v>
      </c>
      <c r="N121" s="1">
        <v>-67</v>
      </c>
      <c r="O121" s="1">
        <v>5.8</v>
      </c>
      <c r="P121" s="1">
        <v>1.7</v>
      </c>
      <c r="Q121">
        <v>-9</v>
      </c>
      <c r="R121">
        <v>-1</v>
      </c>
      <c r="S121">
        <v>0</v>
      </c>
    </row>
    <row r="122" spans="1:38" x14ac:dyDescent="0.25">
      <c r="A122" s="1">
        <v>425</v>
      </c>
      <c r="B122" s="1">
        <v>645</v>
      </c>
      <c r="C122" s="1">
        <v>1755</v>
      </c>
      <c r="D122" s="1">
        <v>-96.9</v>
      </c>
      <c r="E122" s="1">
        <v>7.8</v>
      </c>
      <c r="F122" s="1">
        <v>2.2999999999999998</v>
      </c>
      <c r="G122">
        <v>-22</v>
      </c>
      <c r="H122">
        <v>-2</v>
      </c>
      <c r="I122">
        <v>-1</v>
      </c>
      <c r="K122" s="1">
        <v>425</v>
      </c>
      <c r="L122" s="1">
        <v>783</v>
      </c>
      <c r="M122" s="1">
        <v>2582</v>
      </c>
      <c r="N122" s="1">
        <v>-79</v>
      </c>
      <c r="O122" s="1">
        <v>6.4</v>
      </c>
      <c r="P122" s="1">
        <v>1.9</v>
      </c>
      <c r="Q122">
        <v>-10</v>
      </c>
      <c r="R122">
        <v>-1</v>
      </c>
      <c r="S122">
        <v>0</v>
      </c>
    </row>
    <row r="123" spans="1:38" x14ac:dyDescent="0.25">
      <c r="A123" s="1">
        <v>450</v>
      </c>
      <c r="B123" s="1">
        <v>630</v>
      </c>
      <c r="C123" s="1">
        <v>1674</v>
      </c>
      <c r="D123" s="1">
        <v>-113.3</v>
      </c>
      <c r="E123" s="1">
        <v>8.6999999999999993</v>
      </c>
      <c r="F123" s="1">
        <v>2.5</v>
      </c>
      <c r="G123">
        <v>-25</v>
      </c>
      <c r="H123">
        <v>-2</v>
      </c>
      <c r="I123">
        <v>-1</v>
      </c>
      <c r="K123" s="1">
        <v>450</v>
      </c>
      <c r="L123" s="1">
        <v>775</v>
      </c>
      <c r="M123" s="1">
        <v>2527</v>
      </c>
      <c r="N123" s="1">
        <v>-91.5</v>
      </c>
      <c r="O123" s="1">
        <v>7</v>
      </c>
      <c r="P123" s="1">
        <v>2</v>
      </c>
      <c r="Q123">
        <v>-11</v>
      </c>
      <c r="R123">
        <v>-1</v>
      </c>
      <c r="S123">
        <v>0</v>
      </c>
    </row>
    <row r="124" spans="1:38" x14ac:dyDescent="0.25">
      <c r="A124" s="1">
        <v>475</v>
      </c>
      <c r="B124" s="1">
        <v>616</v>
      </c>
      <c r="C124" s="1">
        <v>1596</v>
      </c>
      <c r="D124" s="1">
        <v>-131.4</v>
      </c>
      <c r="E124" s="1">
        <v>9.5</v>
      </c>
      <c r="F124" s="1">
        <v>2.8</v>
      </c>
      <c r="G124">
        <v>-28</v>
      </c>
      <c r="H124">
        <v>-2</v>
      </c>
      <c r="I124">
        <v>-1</v>
      </c>
      <c r="K124" s="1">
        <v>475</v>
      </c>
      <c r="L124" s="1">
        <v>766</v>
      </c>
      <c r="M124" s="1">
        <v>2473</v>
      </c>
      <c r="N124" s="1">
        <v>-105.1</v>
      </c>
      <c r="O124" s="1">
        <v>7.6</v>
      </c>
      <c r="P124" s="1">
        <v>2.2000000000000002</v>
      </c>
      <c r="Q124">
        <v>-13</v>
      </c>
      <c r="R124">
        <v>-1</v>
      </c>
      <c r="S124">
        <v>0</v>
      </c>
    </row>
    <row r="125" spans="1:38" x14ac:dyDescent="0.25">
      <c r="A125" s="1">
        <v>500</v>
      </c>
      <c r="B125" s="1">
        <v>601</v>
      </c>
      <c r="C125" s="1">
        <v>1524</v>
      </c>
      <c r="D125" s="1">
        <v>-151.1</v>
      </c>
      <c r="E125" s="1">
        <v>10.4</v>
      </c>
      <c r="F125" s="1">
        <v>3</v>
      </c>
      <c r="G125">
        <v>-32</v>
      </c>
      <c r="H125">
        <v>-2</v>
      </c>
      <c r="I125">
        <v>-1</v>
      </c>
      <c r="K125" s="1">
        <v>500</v>
      </c>
      <c r="L125" s="1">
        <v>758</v>
      </c>
      <c r="M125" s="1">
        <v>2422</v>
      </c>
      <c r="N125" s="1">
        <v>-119.7</v>
      </c>
      <c r="O125" s="1">
        <v>8.1999999999999993</v>
      </c>
      <c r="P125" s="1">
        <v>2.4</v>
      </c>
      <c r="Q125">
        <v>-14</v>
      </c>
      <c r="R125">
        <v>-1</v>
      </c>
      <c r="S125">
        <v>0</v>
      </c>
    </row>
    <row r="127" spans="1:38" x14ac:dyDescent="0.25">
      <c r="A127" t="s">
        <v>72</v>
      </c>
      <c r="K127" t="s">
        <v>79</v>
      </c>
    </row>
    <row r="128" spans="1:38" x14ac:dyDescent="0.25">
      <c r="A128" t="s">
        <v>12</v>
      </c>
      <c r="B128" t="s">
        <v>13</v>
      </c>
      <c r="C128" t="s">
        <v>14</v>
      </c>
      <c r="D128" t="s">
        <v>15</v>
      </c>
      <c r="E128" t="s">
        <v>16</v>
      </c>
      <c r="F128" t="s">
        <v>17</v>
      </c>
      <c r="G128" t="s">
        <v>35</v>
      </c>
      <c r="H128" t="s">
        <v>36</v>
      </c>
      <c r="I128" t="s">
        <v>37</v>
      </c>
      <c r="K128" t="s">
        <v>12</v>
      </c>
      <c r="L128" t="s">
        <v>13</v>
      </c>
      <c r="M128" t="s">
        <v>14</v>
      </c>
      <c r="N128" t="s">
        <v>15</v>
      </c>
      <c r="O128" t="s">
        <v>16</v>
      </c>
      <c r="P128" t="s">
        <v>17</v>
      </c>
      <c r="Q128" t="s">
        <v>35</v>
      </c>
      <c r="R128" t="s">
        <v>36</v>
      </c>
      <c r="S128" t="s">
        <v>37</v>
      </c>
    </row>
    <row r="129" spans="1:19" x14ac:dyDescent="0.25">
      <c r="A129" s="1">
        <v>0</v>
      </c>
      <c r="B129" s="1">
        <v>933</v>
      </c>
      <c r="C129" s="1">
        <v>3664</v>
      </c>
      <c r="D129" s="1">
        <v>-3.8</v>
      </c>
      <c r="E129" s="1">
        <v>0</v>
      </c>
      <c r="F129" s="1">
        <v>0</v>
      </c>
      <c r="G129">
        <v>0</v>
      </c>
      <c r="H129">
        <v>0</v>
      </c>
      <c r="I129">
        <v>0</v>
      </c>
      <c r="K129" s="1">
        <v>0</v>
      </c>
      <c r="L129" s="1">
        <v>933</v>
      </c>
      <c r="M129" s="1">
        <v>3664</v>
      </c>
      <c r="N129" s="1">
        <v>-3.8</v>
      </c>
      <c r="O129" s="1">
        <v>0</v>
      </c>
      <c r="P129" s="1">
        <v>0</v>
      </c>
      <c r="Q129">
        <v>0</v>
      </c>
      <c r="R129">
        <v>0</v>
      </c>
      <c r="S129">
        <v>0</v>
      </c>
    </row>
    <row r="130" spans="1:19" x14ac:dyDescent="0.25">
      <c r="A130" s="1">
        <v>25</v>
      </c>
      <c r="B130" s="1">
        <v>914</v>
      </c>
      <c r="C130" s="1">
        <v>3518</v>
      </c>
      <c r="D130" s="1">
        <v>-1.2</v>
      </c>
      <c r="E130" s="1">
        <v>1.7</v>
      </c>
      <c r="F130" s="1">
        <v>0.5</v>
      </c>
      <c r="G130">
        <v>0</v>
      </c>
      <c r="H130">
        <v>0</v>
      </c>
      <c r="I130">
        <v>0</v>
      </c>
      <c r="K130" s="1">
        <v>25</v>
      </c>
      <c r="L130" s="1">
        <v>923</v>
      </c>
      <c r="M130" s="1">
        <v>3592</v>
      </c>
      <c r="N130" s="1">
        <v>-1.3</v>
      </c>
      <c r="O130" s="1">
        <v>1.8</v>
      </c>
      <c r="P130" s="1">
        <v>0.5</v>
      </c>
      <c r="Q130">
        <v>0</v>
      </c>
      <c r="R130">
        <v>0</v>
      </c>
      <c r="S130">
        <v>0</v>
      </c>
    </row>
    <row r="131" spans="1:19" x14ac:dyDescent="0.25">
      <c r="A131" s="1">
        <v>50</v>
      </c>
      <c r="B131" s="1">
        <v>895</v>
      </c>
      <c r="C131" s="1">
        <v>3377</v>
      </c>
      <c r="D131" s="1">
        <v>0.7</v>
      </c>
      <c r="E131" s="1">
        <v>-0.5</v>
      </c>
      <c r="F131" s="1">
        <v>-0.1</v>
      </c>
      <c r="G131">
        <v>0</v>
      </c>
      <c r="H131">
        <v>0</v>
      </c>
      <c r="I131">
        <v>0</v>
      </c>
      <c r="K131" s="1">
        <v>50</v>
      </c>
      <c r="L131" s="1">
        <v>914</v>
      </c>
      <c r="M131" s="1">
        <v>3521</v>
      </c>
      <c r="N131" s="1">
        <v>0.5</v>
      </c>
      <c r="O131" s="1">
        <v>-0.3</v>
      </c>
      <c r="P131" s="1">
        <v>-0.1</v>
      </c>
      <c r="Q131">
        <v>0</v>
      </c>
      <c r="R131">
        <v>0</v>
      </c>
      <c r="S131">
        <v>0</v>
      </c>
    </row>
    <row r="132" spans="1:19" x14ac:dyDescent="0.25">
      <c r="A132" s="1">
        <v>75</v>
      </c>
      <c r="B132" s="1">
        <v>877</v>
      </c>
      <c r="C132" s="1">
        <v>3242</v>
      </c>
      <c r="D132" s="1">
        <v>1.7</v>
      </c>
      <c r="E132" s="1">
        <v>-0.8</v>
      </c>
      <c r="F132" s="1">
        <v>-0.2</v>
      </c>
      <c r="G132">
        <v>-1</v>
      </c>
      <c r="H132">
        <v>0</v>
      </c>
      <c r="I132">
        <v>0</v>
      </c>
      <c r="K132" s="1">
        <v>75</v>
      </c>
      <c r="L132" s="1">
        <v>905</v>
      </c>
      <c r="M132" s="1">
        <v>3451</v>
      </c>
      <c r="N132" s="1">
        <v>1.5</v>
      </c>
      <c r="O132" s="1">
        <v>-0.7</v>
      </c>
      <c r="P132" s="1">
        <v>-0.2</v>
      </c>
      <c r="Q132">
        <v>0</v>
      </c>
      <c r="R132">
        <v>0</v>
      </c>
      <c r="S132">
        <v>0</v>
      </c>
    </row>
    <row r="133" spans="1:19" x14ac:dyDescent="0.25">
      <c r="A133" s="1">
        <v>100</v>
      </c>
      <c r="B133" s="1">
        <v>859</v>
      </c>
      <c r="C133" s="1">
        <v>3110</v>
      </c>
      <c r="D133" s="1">
        <v>2</v>
      </c>
      <c r="E133" s="1">
        <v>-0.7</v>
      </c>
      <c r="F133" s="1">
        <v>-0.2</v>
      </c>
      <c r="G133">
        <v>-1</v>
      </c>
      <c r="H133">
        <v>0</v>
      </c>
      <c r="I133">
        <v>0</v>
      </c>
      <c r="K133" s="1">
        <v>100</v>
      </c>
      <c r="L133" s="1">
        <v>896</v>
      </c>
      <c r="M133" s="1">
        <v>3382</v>
      </c>
      <c r="N133" s="1">
        <v>1.8</v>
      </c>
      <c r="O133" s="1">
        <v>-0.6</v>
      </c>
      <c r="P133" s="1">
        <v>-0.2</v>
      </c>
      <c r="Q133">
        <v>-1</v>
      </c>
      <c r="R133">
        <v>0</v>
      </c>
      <c r="S133">
        <v>0</v>
      </c>
    </row>
    <row r="134" spans="1:19" x14ac:dyDescent="0.25">
      <c r="A134" s="1">
        <v>125</v>
      </c>
      <c r="B134" s="1">
        <v>842</v>
      </c>
      <c r="C134" s="1">
        <v>2984</v>
      </c>
      <c r="D134" s="1">
        <v>1.4</v>
      </c>
      <c r="E134" s="1">
        <v>-0.4</v>
      </c>
      <c r="F134" s="1">
        <v>-0.1</v>
      </c>
      <c r="G134">
        <v>-2</v>
      </c>
      <c r="H134">
        <v>0</v>
      </c>
      <c r="I134">
        <v>0</v>
      </c>
      <c r="K134" s="1">
        <v>125</v>
      </c>
      <c r="L134" s="1">
        <v>887</v>
      </c>
      <c r="M134" s="1">
        <v>3315</v>
      </c>
      <c r="N134" s="1">
        <v>1.3</v>
      </c>
      <c r="O134" s="1">
        <v>-0.3</v>
      </c>
      <c r="P134" s="1">
        <v>-0.1</v>
      </c>
      <c r="Q134">
        <v>-1</v>
      </c>
      <c r="R134">
        <v>0</v>
      </c>
      <c r="S134">
        <v>0</v>
      </c>
    </row>
    <row r="135" spans="1:19" x14ac:dyDescent="0.25">
      <c r="A135" s="10">
        <v>150</v>
      </c>
      <c r="B135" s="10">
        <v>824</v>
      </c>
      <c r="C135" s="10">
        <v>2861</v>
      </c>
      <c r="D135" s="10">
        <v>0</v>
      </c>
      <c r="E135" s="10">
        <v>0</v>
      </c>
      <c r="F135" s="10">
        <v>0</v>
      </c>
      <c r="G135">
        <v>-2</v>
      </c>
      <c r="H135">
        <v>-1</v>
      </c>
      <c r="I135">
        <v>0</v>
      </c>
      <c r="K135" s="1">
        <v>150</v>
      </c>
      <c r="L135" s="1">
        <v>878</v>
      </c>
      <c r="M135" s="1">
        <v>3248</v>
      </c>
      <c r="N135" s="1">
        <v>0</v>
      </c>
      <c r="O135" s="1">
        <v>0</v>
      </c>
      <c r="P135" s="1">
        <v>0</v>
      </c>
      <c r="Q135">
        <v>-1</v>
      </c>
      <c r="R135">
        <v>0</v>
      </c>
      <c r="S135">
        <v>0</v>
      </c>
    </row>
    <row r="136" spans="1:19" x14ac:dyDescent="0.25">
      <c r="A136" s="1">
        <v>175</v>
      </c>
      <c r="B136" s="1">
        <v>807</v>
      </c>
      <c r="C136" s="1">
        <v>2742</v>
      </c>
      <c r="D136" s="1">
        <v>-2.4</v>
      </c>
      <c r="E136" s="1">
        <v>0.5</v>
      </c>
      <c r="F136" s="1">
        <v>0.1</v>
      </c>
      <c r="G136">
        <v>-3</v>
      </c>
      <c r="H136">
        <v>-1</v>
      </c>
      <c r="I136">
        <v>0</v>
      </c>
      <c r="K136" s="1">
        <v>175</v>
      </c>
      <c r="L136" s="1">
        <v>869</v>
      </c>
      <c r="M136" s="1">
        <v>3183</v>
      </c>
      <c r="N136" s="1">
        <v>-2</v>
      </c>
      <c r="O136" s="1">
        <v>0.4</v>
      </c>
      <c r="P136" s="1">
        <v>0.1</v>
      </c>
      <c r="Q136">
        <v>-2</v>
      </c>
      <c r="R136">
        <v>0</v>
      </c>
      <c r="S136">
        <v>0</v>
      </c>
    </row>
    <row r="137" spans="1:19" x14ac:dyDescent="0.25">
      <c r="A137" s="1">
        <v>200</v>
      </c>
      <c r="B137" s="1">
        <v>790</v>
      </c>
      <c r="C137" s="1">
        <v>2628</v>
      </c>
      <c r="D137" s="1">
        <v>-5.8</v>
      </c>
      <c r="E137" s="1">
        <v>1</v>
      </c>
      <c r="F137" s="1">
        <v>0.3</v>
      </c>
      <c r="G137">
        <v>-4</v>
      </c>
      <c r="H137">
        <v>-1</v>
      </c>
      <c r="I137">
        <v>0</v>
      </c>
      <c r="K137" s="1">
        <v>200</v>
      </c>
      <c r="L137" s="1">
        <v>860</v>
      </c>
      <c r="M137" s="1">
        <v>3119</v>
      </c>
      <c r="N137" s="1">
        <v>-5</v>
      </c>
      <c r="O137" s="1">
        <v>0.9</v>
      </c>
      <c r="P137" s="1">
        <v>0.3</v>
      </c>
      <c r="Q137">
        <v>-2</v>
      </c>
      <c r="R137">
        <v>0</v>
      </c>
      <c r="S137">
        <v>0</v>
      </c>
    </row>
    <row r="138" spans="1:19" x14ac:dyDescent="0.25">
      <c r="A138" s="1">
        <v>225</v>
      </c>
      <c r="B138" s="1">
        <v>773</v>
      </c>
      <c r="C138" s="1">
        <v>2517</v>
      </c>
      <c r="D138" s="1">
        <v>-10.1</v>
      </c>
      <c r="E138" s="1">
        <v>1.5</v>
      </c>
      <c r="F138" s="1">
        <v>0.4</v>
      </c>
      <c r="G138">
        <v>-6</v>
      </c>
      <c r="H138">
        <v>-1</v>
      </c>
      <c r="I138">
        <v>0</v>
      </c>
      <c r="K138" s="1">
        <v>225</v>
      </c>
      <c r="L138" s="1">
        <v>852</v>
      </c>
      <c r="M138" s="1">
        <v>3055</v>
      </c>
      <c r="N138" s="1">
        <v>-8.6999999999999993</v>
      </c>
      <c r="O138" s="1">
        <v>1.3</v>
      </c>
      <c r="P138" s="1">
        <v>0.4</v>
      </c>
      <c r="Q138">
        <v>-3</v>
      </c>
      <c r="R138">
        <v>0</v>
      </c>
      <c r="S138">
        <v>0</v>
      </c>
    </row>
    <row r="139" spans="1:19" x14ac:dyDescent="0.25">
      <c r="A139" s="1">
        <v>250</v>
      </c>
      <c r="B139" s="1">
        <v>756</v>
      </c>
      <c r="C139" s="1">
        <v>2410</v>
      </c>
      <c r="D139" s="1">
        <v>-15.5</v>
      </c>
      <c r="E139" s="1">
        <v>2.1</v>
      </c>
      <c r="F139" s="1">
        <v>0.6</v>
      </c>
      <c r="G139">
        <v>-7</v>
      </c>
      <c r="H139">
        <v>-1</v>
      </c>
      <c r="I139">
        <v>0</v>
      </c>
      <c r="K139" s="1">
        <v>250</v>
      </c>
      <c r="L139" s="1">
        <v>843</v>
      </c>
      <c r="M139" s="1">
        <v>2993</v>
      </c>
      <c r="N139" s="1">
        <v>-13.3</v>
      </c>
      <c r="O139" s="1">
        <v>1.8</v>
      </c>
      <c r="P139" s="1">
        <v>0.5</v>
      </c>
      <c r="Q139">
        <v>-3</v>
      </c>
      <c r="R139">
        <v>0</v>
      </c>
      <c r="S139">
        <v>0</v>
      </c>
    </row>
    <row r="140" spans="1:19" x14ac:dyDescent="0.25">
      <c r="A140" s="1">
        <v>275</v>
      </c>
      <c r="B140" s="1">
        <v>740</v>
      </c>
      <c r="C140" s="1">
        <v>2306</v>
      </c>
      <c r="D140" s="1">
        <v>-22.2</v>
      </c>
      <c r="E140" s="1">
        <v>2.8</v>
      </c>
      <c r="F140" s="1">
        <v>0.8</v>
      </c>
      <c r="G140">
        <v>-9</v>
      </c>
      <c r="H140">
        <v>-1</v>
      </c>
      <c r="I140">
        <v>0</v>
      </c>
      <c r="K140" s="1">
        <v>275</v>
      </c>
      <c r="L140" s="1">
        <v>834</v>
      </c>
      <c r="M140" s="1">
        <v>2931</v>
      </c>
      <c r="N140" s="1">
        <v>-18.899999999999999</v>
      </c>
      <c r="O140" s="1">
        <v>2.4</v>
      </c>
      <c r="P140" s="1">
        <v>0.7</v>
      </c>
      <c r="Q140">
        <v>-4</v>
      </c>
      <c r="R140">
        <v>-1</v>
      </c>
      <c r="S140">
        <v>0</v>
      </c>
    </row>
    <row r="141" spans="1:19" x14ac:dyDescent="0.25">
      <c r="A141" s="1">
        <v>300</v>
      </c>
      <c r="B141" s="1">
        <v>724</v>
      </c>
      <c r="C141" s="1">
        <v>2206</v>
      </c>
      <c r="D141" s="1">
        <v>-29.8</v>
      </c>
      <c r="E141" s="1">
        <v>3.4</v>
      </c>
      <c r="F141" s="1">
        <v>1</v>
      </c>
      <c r="G141">
        <v>-10</v>
      </c>
      <c r="H141">
        <v>-1</v>
      </c>
      <c r="I141">
        <v>0</v>
      </c>
      <c r="K141" s="1">
        <v>300</v>
      </c>
      <c r="L141" s="1">
        <v>826</v>
      </c>
      <c r="M141" s="1">
        <v>2871</v>
      </c>
      <c r="N141" s="1">
        <v>-25.2</v>
      </c>
      <c r="O141" s="1">
        <v>2.9</v>
      </c>
      <c r="P141" s="1">
        <v>0.8</v>
      </c>
      <c r="Q141">
        <v>-5</v>
      </c>
      <c r="R141">
        <v>-1</v>
      </c>
      <c r="S141">
        <v>0</v>
      </c>
    </row>
    <row r="142" spans="1:19" x14ac:dyDescent="0.25">
      <c r="A142" s="1">
        <v>325</v>
      </c>
      <c r="B142" s="1">
        <v>708</v>
      </c>
      <c r="C142" s="1">
        <v>2110</v>
      </c>
      <c r="D142" s="1">
        <v>-38.6</v>
      </c>
      <c r="E142" s="1">
        <v>4.0999999999999996</v>
      </c>
      <c r="F142" s="1">
        <v>1.2</v>
      </c>
      <c r="G142">
        <v>-12</v>
      </c>
      <c r="H142">
        <v>-1</v>
      </c>
      <c r="I142">
        <v>0</v>
      </c>
      <c r="K142" s="1">
        <v>325</v>
      </c>
      <c r="L142" s="1">
        <v>817</v>
      </c>
      <c r="M142" s="1">
        <v>2811</v>
      </c>
      <c r="N142" s="1">
        <v>-32.4</v>
      </c>
      <c r="O142" s="1">
        <v>3.4</v>
      </c>
      <c r="P142" s="1">
        <v>1</v>
      </c>
      <c r="Q142">
        <v>-6</v>
      </c>
      <c r="R142">
        <v>-1</v>
      </c>
      <c r="S142">
        <v>0</v>
      </c>
    </row>
    <row r="143" spans="1:19" x14ac:dyDescent="0.25">
      <c r="A143" s="1">
        <v>350</v>
      </c>
      <c r="B143" s="1">
        <v>692</v>
      </c>
      <c r="C143" s="1">
        <v>2016</v>
      </c>
      <c r="D143" s="1">
        <v>-49.1</v>
      </c>
      <c r="E143" s="1">
        <v>4.8</v>
      </c>
      <c r="F143" s="1">
        <v>1.4</v>
      </c>
      <c r="G143">
        <v>-15</v>
      </c>
      <c r="H143">
        <v>-2</v>
      </c>
      <c r="I143">
        <v>0</v>
      </c>
      <c r="K143" s="1">
        <v>350</v>
      </c>
      <c r="L143" s="1">
        <v>808</v>
      </c>
      <c r="M143" s="1">
        <v>2752</v>
      </c>
      <c r="N143" s="1">
        <v>-40.9</v>
      </c>
      <c r="O143" s="1">
        <v>4</v>
      </c>
      <c r="P143" s="1">
        <v>1.2</v>
      </c>
      <c r="Q143">
        <v>-7</v>
      </c>
      <c r="R143">
        <v>-1</v>
      </c>
      <c r="S143">
        <v>0</v>
      </c>
    </row>
    <row r="144" spans="1:19" x14ac:dyDescent="0.25">
      <c r="A144" s="1">
        <v>375</v>
      </c>
      <c r="B144" s="1">
        <v>676</v>
      </c>
      <c r="C144" s="1">
        <v>1926</v>
      </c>
      <c r="D144" s="1">
        <v>-60.6</v>
      </c>
      <c r="E144" s="1">
        <v>5.6</v>
      </c>
      <c r="F144" s="1">
        <v>1.6</v>
      </c>
      <c r="G144">
        <v>-17</v>
      </c>
      <c r="H144">
        <v>-2</v>
      </c>
      <c r="I144">
        <v>0</v>
      </c>
      <c r="K144" s="1">
        <v>375</v>
      </c>
      <c r="L144" s="1">
        <v>800</v>
      </c>
      <c r="M144" s="1">
        <v>2695</v>
      </c>
      <c r="N144" s="1">
        <v>-50</v>
      </c>
      <c r="O144" s="1">
        <v>4.5999999999999996</v>
      </c>
      <c r="P144" s="1">
        <v>1.3</v>
      </c>
      <c r="Q144">
        <v>-8</v>
      </c>
      <c r="R144">
        <v>-1</v>
      </c>
      <c r="S144">
        <v>0</v>
      </c>
    </row>
    <row r="145" spans="1:19" x14ac:dyDescent="0.25">
      <c r="A145" s="1">
        <v>400</v>
      </c>
      <c r="B145" s="1">
        <v>661</v>
      </c>
      <c r="C145" s="1">
        <v>1839</v>
      </c>
      <c r="D145" s="1">
        <v>-73.400000000000006</v>
      </c>
      <c r="E145" s="1">
        <v>6.3</v>
      </c>
      <c r="F145" s="1">
        <v>1.8</v>
      </c>
      <c r="G145">
        <v>-20</v>
      </c>
      <c r="H145">
        <v>-2</v>
      </c>
      <c r="I145">
        <v>0</v>
      </c>
      <c r="K145" s="1">
        <v>400</v>
      </c>
      <c r="L145" s="1">
        <v>791</v>
      </c>
      <c r="M145" s="1">
        <v>2638</v>
      </c>
      <c r="N145" s="1">
        <v>-60</v>
      </c>
      <c r="O145" s="1">
        <v>5.2</v>
      </c>
      <c r="P145" s="1">
        <v>1.5</v>
      </c>
      <c r="Q145">
        <v>-9</v>
      </c>
      <c r="R145">
        <v>-1</v>
      </c>
      <c r="S145">
        <v>0</v>
      </c>
    </row>
    <row r="146" spans="1:19" x14ac:dyDescent="0.25">
      <c r="A146" s="1">
        <v>425</v>
      </c>
      <c r="B146" s="1">
        <v>645</v>
      </c>
      <c r="C146" s="1">
        <v>1755</v>
      </c>
      <c r="D146" s="1">
        <v>-88.3</v>
      </c>
      <c r="E146" s="1">
        <v>7.1</v>
      </c>
      <c r="F146" s="1">
        <v>2.1</v>
      </c>
      <c r="G146">
        <v>-22</v>
      </c>
      <c r="H146">
        <v>-2</v>
      </c>
      <c r="I146">
        <v>-1</v>
      </c>
      <c r="K146" s="1">
        <v>425</v>
      </c>
      <c r="L146" s="1">
        <v>783</v>
      </c>
      <c r="M146" s="1">
        <v>2582</v>
      </c>
      <c r="N146" s="1">
        <v>-71.5</v>
      </c>
      <c r="O146" s="1">
        <v>5.8</v>
      </c>
      <c r="P146" s="1">
        <v>1.7</v>
      </c>
      <c r="Q146">
        <v>-10</v>
      </c>
      <c r="R146">
        <v>-1</v>
      </c>
      <c r="S146">
        <v>0</v>
      </c>
    </row>
    <row r="147" spans="1:19" x14ac:dyDescent="0.25">
      <c r="A147" s="1">
        <v>450</v>
      </c>
      <c r="B147" s="1">
        <v>630</v>
      </c>
      <c r="C147" s="1">
        <v>1674</v>
      </c>
      <c r="D147" s="1">
        <v>-104.2</v>
      </c>
      <c r="E147" s="1">
        <v>8</v>
      </c>
      <c r="F147" s="1">
        <v>2.2999999999999998</v>
      </c>
      <c r="G147">
        <v>-25</v>
      </c>
      <c r="H147">
        <v>-2</v>
      </c>
      <c r="I147">
        <v>-1</v>
      </c>
      <c r="K147" s="1">
        <v>450</v>
      </c>
      <c r="L147" s="1">
        <v>775</v>
      </c>
      <c r="M147" s="1">
        <v>2527</v>
      </c>
      <c r="N147" s="1">
        <v>-83.6</v>
      </c>
      <c r="O147" s="1">
        <v>6.4</v>
      </c>
      <c r="P147" s="1">
        <v>1.9</v>
      </c>
      <c r="Q147">
        <v>-11</v>
      </c>
      <c r="R147">
        <v>-1</v>
      </c>
      <c r="S147">
        <v>0</v>
      </c>
    </row>
    <row r="148" spans="1:19" x14ac:dyDescent="0.25">
      <c r="A148" s="1">
        <v>475</v>
      </c>
      <c r="B148" s="1">
        <v>616</v>
      </c>
      <c r="C148" s="1">
        <v>1596</v>
      </c>
      <c r="D148" s="1">
        <v>-121.8</v>
      </c>
      <c r="E148" s="1">
        <v>8.8000000000000007</v>
      </c>
      <c r="F148" s="1">
        <v>2.6</v>
      </c>
      <c r="G148">
        <v>-28</v>
      </c>
      <c r="H148">
        <v>-2</v>
      </c>
      <c r="I148">
        <v>-1</v>
      </c>
      <c r="K148" s="1">
        <v>475</v>
      </c>
      <c r="L148" s="1">
        <v>766</v>
      </c>
      <c r="M148" s="1">
        <v>2473</v>
      </c>
      <c r="N148" s="1">
        <v>-96.7</v>
      </c>
      <c r="O148" s="1">
        <v>7</v>
      </c>
      <c r="P148" s="1">
        <v>2</v>
      </c>
      <c r="Q148">
        <v>-13</v>
      </c>
      <c r="R148">
        <v>-1</v>
      </c>
      <c r="S148">
        <v>0</v>
      </c>
    </row>
    <row r="149" spans="1:19" x14ac:dyDescent="0.25">
      <c r="A149" s="1">
        <v>500</v>
      </c>
      <c r="B149" s="1">
        <v>601</v>
      </c>
      <c r="C149" s="1">
        <v>1524</v>
      </c>
      <c r="D149" s="1">
        <v>-141.1</v>
      </c>
      <c r="E149" s="1">
        <v>9.6999999999999993</v>
      </c>
      <c r="F149" s="1">
        <v>2.8</v>
      </c>
      <c r="G149">
        <v>-32</v>
      </c>
      <c r="H149">
        <v>-2</v>
      </c>
      <c r="I149">
        <v>-1</v>
      </c>
      <c r="K149" s="1">
        <v>500</v>
      </c>
      <c r="L149" s="1">
        <v>758</v>
      </c>
      <c r="M149" s="1">
        <v>2422</v>
      </c>
      <c r="N149" s="1">
        <v>-110.9</v>
      </c>
      <c r="O149" s="1">
        <v>7.6</v>
      </c>
      <c r="P149" s="1">
        <v>2.2000000000000002</v>
      </c>
      <c r="Q149">
        <v>-14</v>
      </c>
      <c r="R149">
        <v>-1</v>
      </c>
      <c r="S149">
        <v>0</v>
      </c>
    </row>
    <row r="151" spans="1:19" x14ac:dyDescent="0.25">
      <c r="A151" t="s">
        <v>73</v>
      </c>
      <c r="K151" t="s">
        <v>80</v>
      </c>
    </row>
    <row r="152" spans="1:19" x14ac:dyDescent="0.25">
      <c r="A152" t="s">
        <v>12</v>
      </c>
      <c r="B152" t="s">
        <v>13</v>
      </c>
      <c r="C152" t="s">
        <v>14</v>
      </c>
      <c r="D152" t="s">
        <v>15</v>
      </c>
      <c r="E152" t="s">
        <v>16</v>
      </c>
      <c r="F152" t="s">
        <v>17</v>
      </c>
      <c r="G152" t="s">
        <v>35</v>
      </c>
      <c r="H152" t="s">
        <v>36</v>
      </c>
      <c r="I152" t="s">
        <v>37</v>
      </c>
      <c r="K152" t="s">
        <v>12</v>
      </c>
      <c r="L152" t="s">
        <v>13</v>
      </c>
      <c r="M152" t="s">
        <v>14</v>
      </c>
      <c r="N152" t="s">
        <v>15</v>
      </c>
      <c r="O152" t="s">
        <v>16</v>
      </c>
      <c r="P152" t="s">
        <v>17</v>
      </c>
      <c r="Q152" t="s">
        <v>35</v>
      </c>
      <c r="R152" t="s">
        <v>36</v>
      </c>
      <c r="S152" t="s">
        <v>37</v>
      </c>
    </row>
    <row r="153" spans="1:19" x14ac:dyDescent="0.25">
      <c r="A153" s="1">
        <v>0</v>
      </c>
      <c r="B153" s="1">
        <v>933</v>
      </c>
      <c r="C153" s="1">
        <v>3664</v>
      </c>
      <c r="D153" s="1">
        <v>-3.8</v>
      </c>
      <c r="E153" s="1">
        <v>0</v>
      </c>
      <c r="F153" s="1">
        <v>0</v>
      </c>
      <c r="G153">
        <v>0</v>
      </c>
      <c r="H153">
        <v>0</v>
      </c>
      <c r="I153">
        <v>0</v>
      </c>
      <c r="K153" s="1">
        <v>0</v>
      </c>
      <c r="L153" s="1">
        <v>933</v>
      </c>
      <c r="M153" s="1">
        <v>3664</v>
      </c>
      <c r="N153" s="1">
        <v>-3.8</v>
      </c>
      <c r="O153" s="1">
        <v>0</v>
      </c>
      <c r="P153" s="1">
        <v>0</v>
      </c>
      <c r="Q153">
        <v>0</v>
      </c>
      <c r="R153">
        <v>0</v>
      </c>
      <c r="S153">
        <v>0</v>
      </c>
    </row>
    <row r="154" spans="1:19" x14ac:dyDescent="0.25">
      <c r="A154" s="1">
        <v>25</v>
      </c>
      <c r="B154" s="1">
        <v>914</v>
      </c>
      <c r="C154" s="1">
        <v>3518</v>
      </c>
      <c r="D154" s="1">
        <v>-0.5</v>
      </c>
      <c r="E154" s="1">
        <v>0.7</v>
      </c>
      <c r="F154" s="1">
        <v>0.2</v>
      </c>
      <c r="G154">
        <v>0</v>
      </c>
      <c r="H154">
        <v>0</v>
      </c>
      <c r="I154">
        <v>0</v>
      </c>
      <c r="K154" s="1">
        <v>25</v>
      </c>
      <c r="L154" s="1">
        <v>923</v>
      </c>
      <c r="M154" s="1">
        <v>3592</v>
      </c>
      <c r="N154" s="1">
        <v>-0.7</v>
      </c>
      <c r="O154" s="1">
        <v>1</v>
      </c>
      <c r="P154" s="1">
        <v>0.3</v>
      </c>
      <c r="Q154">
        <v>0</v>
      </c>
      <c r="R154">
        <v>0</v>
      </c>
      <c r="S154">
        <v>0</v>
      </c>
    </row>
    <row r="155" spans="1:19" x14ac:dyDescent="0.25">
      <c r="A155" s="1">
        <v>50</v>
      </c>
      <c r="B155" s="1">
        <v>895</v>
      </c>
      <c r="C155" s="1">
        <v>3377</v>
      </c>
      <c r="D155" s="1">
        <v>2.1</v>
      </c>
      <c r="E155" s="1">
        <v>-1.4</v>
      </c>
      <c r="F155" s="1">
        <v>-0.4</v>
      </c>
      <c r="G155">
        <v>0</v>
      </c>
      <c r="H155">
        <v>0</v>
      </c>
      <c r="I155">
        <v>0</v>
      </c>
      <c r="K155" s="1">
        <v>50</v>
      </c>
      <c r="L155" s="1">
        <v>914</v>
      </c>
      <c r="M155" s="1">
        <v>3521</v>
      </c>
      <c r="N155" s="1">
        <v>1.7</v>
      </c>
      <c r="O155" s="1">
        <v>-1.2</v>
      </c>
      <c r="P155" s="1">
        <v>-0.3</v>
      </c>
      <c r="Q155">
        <v>0</v>
      </c>
      <c r="R155">
        <v>0</v>
      </c>
      <c r="S155">
        <v>0</v>
      </c>
    </row>
    <row r="156" spans="1:19" x14ac:dyDescent="0.25">
      <c r="A156" s="1">
        <v>75</v>
      </c>
      <c r="B156" s="1">
        <v>877</v>
      </c>
      <c r="C156" s="1">
        <v>3242</v>
      </c>
      <c r="D156" s="1">
        <v>3.9</v>
      </c>
      <c r="E156" s="1">
        <v>-1.8</v>
      </c>
      <c r="F156" s="1">
        <v>-0.5</v>
      </c>
      <c r="G156">
        <v>-1</v>
      </c>
      <c r="H156">
        <v>0</v>
      </c>
      <c r="I156">
        <v>0</v>
      </c>
      <c r="K156" s="1">
        <v>75</v>
      </c>
      <c r="L156" s="1">
        <v>905</v>
      </c>
      <c r="M156" s="1">
        <v>3451</v>
      </c>
      <c r="N156" s="1">
        <v>3.4</v>
      </c>
      <c r="O156" s="1">
        <v>-1.5</v>
      </c>
      <c r="P156" s="1">
        <v>-0.4</v>
      </c>
      <c r="Q156">
        <v>0</v>
      </c>
      <c r="R156">
        <v>0</v>
      </c>
      <c r="S156">
        <v>0</v>
      </c>
    </row>
    <row r="157" spans="1:19" x14ac:dyDescent="0.25">
      <c r="A157" s="1">
        <v>100</v>
      </c>
      <c r="B157" s="1">
        <v>859</v>
      </c>
      <c r="C157" s="1">
        <v>3110</v>
      </c>
      <c r="D157" s="1">
        <v>4.9000000000000004</v>
      </c>
      <c r="E157" s="1">
        <v>-1.7</v>
      </c>
      <c r="F157" s="1">
        <v>-0.5</v>
      </c>
      <c r="G157">
        <v>-1</v>
      </c>
      <c r="H157">
        <v>0</v>
      </c>
      <c r="I157">
        <v>0</v>
      </c>
      <c r="K157" s="1">
        <v>100</v>
      </c>
      <c r="L157" s="1">
        <v>896</v>
      </c>
      <c r="M157" s="1">
        <v>3382</v>
      </c>
      <c r="N157" s="1">
        <v>4.3</v>
      </c>
      <c r="O157" s="1">
        <v>-1.5</v>
      </c>
      <c r="P157" s="1">
        <v>-0.4</v>
      </c>
      <c r="Q157">
        <v>-1</v>
      </c>
      <c r="R157">
        <v>0</v>
      </c>
      <c r="S157">
        <v>0</v>
      </c>
    </row>
    <row r="158" spans="1:19" x14ac:dyDescent="0.25">
      <c r="A158" s="1">
        <v>125</v>
      </c>
      <c r="B158" s="1">
        <v>842</v>
      </c>
      <c r="C158" s="1">
        <v>2984</v>
      </c>
      <c r="D158" s="1">
        <v>5</v>
      </c>
      <c r="E158" s="1">
        <v>-1.4</v>
      </c>
      <c r="F158" s="1">
        <v>-0.4</v>
      </c>
      <c r="G158">
        <v>-2</v>
      </c>
      <c r="H158">
        <v>0</v>
      </c>
      <c r="I158">
        <v>0</v>
      </c>
      <c r="K158" s="1">
        <v>125</v>
      </c>
      <c r="L158" s="1">
        <v>887</v>
      </c>
      <c r="M158" s="1">
        <v>3315</v>
      </c>
      <c r="N158" s="1">
        <v>4.4000000000000004</v>
      </c>
      <c r="O158" s="1">
        <v>-1.2</v>
      </c>
      <c r="P158" s="1">
        <v>-0.4</v>
      </c>
      <c r="Q158">
        <v>-1</v>
      </c>
      <c r="R158">
        <v>0</v>
      </c>
      <c r="S158">
        <v>0</v>
      </c>
    </row>
    <row r="159" spans="1:19" x14ac:dyDescent="0.25">
      <c r="A159" s="1">
        <v>150</v>
      </c>
      <c r="B159" s="1">
        <v>824</v>
      </c>
      <c r="C159" s="1">
        <v>2861</v>
      </c>
      <c r="D159" s="1">
        <v>4.3</v>
      </c>
      <c r="E159" s="1">
        <v>-1</v>
      </c>
      <c r="F159" s="1">
        <v>-0.3</v>
      </c>
      <c r="G159">
        <v>-2</v>
      </c>
      <c r="H159">
        <v>-1</v>
      </c>
      <c r="I159">
        <v>0</v>
      </c>
      <c r="K159" s="1">
        <v>150</v>
      </c>
      <c r="L159" s="1">
        <v>878</v>
      </c>
      <c r="M159" s="1">
        <v>3248</v>
      </c>
      <c r="N159" s="1">
        <v>3.8</v>
      </c>
      <c r="O159" s="1">
        <v>-0.9</v>
      </c>
      <c r="P159" s="1">
        <v>-0.3</v>
      </c>
      <c r="Q159">
        <v>-1</v>
      </c>
      <c r="R159">
        <v>0</v>
      </c>
      <c r="S159">
        <v>0</v>
      </c>
    </row>
    <row r="160" spans="1:19" x14ac:dyDescent="0.25">
      <c r="A160" s="1">
        <v>175</v>
      </c>
      <c r="B160" s="1">
        <v>807</v>
      </c>
      <c r="C160" s="1">
        <v>2742</v>
      </c>
      <c r="D160" s="1">
        <v>2.7</v>
      </c>
      <c r="E160" s="1">
        <v>-0.5</v>
      </c>
      <c r="F160" s="1">
        <v>-0.2</v>
      </c>
      <c r="G160">
        <v>-3</v>
      </c>
      <c r="H160">
        <v>-1</v>
      </c>
      <c r="I160">
        <v>0</v>
      </c>
      <c r="K160" s="1">
        <v>175</v>
      </c>
      <c r="L160" s="1">
        <v>869</v>
      </c>
      <c r="M160" s="1">
        <v>3183</v>
      </c>
      <c r="N160" s="1">
        <v>2.2999999999999998</v>
      </c>
      <c r="O160" s="1">
        <v>-0.5</v>
      </c>
      <c r="P160" s="1">
        <v>-0.1</v>
      </c>
      <c r="Q160">
        <v>-2</v>
      </c>
      <c r="R160">
        <v>0</v>
      </c>
      <c r="S160">
        <v>0</v>
      </c>
    </row>
    <row r="161" spans="1:19" x14ac:dyDescent="0.25">
      <c r="A161" s="10">
        <v>200</v>
      </c>
      <c r="B161" s="10">
        <v>790</v>
      </c>
      <c r="C161" s="10">
        <v>2628</v>
      </c>
      <c r="D161" s="10">
        <v>0</v>
      </c>
      <c r="E161" s="10">
        <v>0</v>
      </c>
      <c r="F161" s="10">
        <v>0</v>
      </c>
      <c r="G161">
        <v>-4</v>
      </c>
      <c r="H161">
        <v>-1</v>
      </c>
      <c r="I161">
        <v>0</v>
      </c>
      <c r="K161" s="1">
        <v>200</v>
      </c>
      <c r="L161" s="1">
        <v>860</v>
      </c>
      <c r="M161" s="1">
        <v>3118</v>
      </c>
      <c r="N161" s="1">
        <v>0</v>
      </c>
      <c r="O161" s="1">
        <v>0</v>
      </c>
      <c r="P161" s="1">
        <v>0</v>
      </c>
      <c r="Q161">
        <v>-2</v>
      </c>
      <c r="R161">
        <v>0</v>
      </c>
      <c r="S161">
        <v>0</v>
      </c>
    </row>
    <row r="162" spans="1:19" x14ac:dyDescent="0.25">
      <c r="A162" s="1">
        <v>225</v>
      </c>
      <c r="B162" s="1">
        <v>773</v>
      </c>
      <c r="C162" s="1">
        <v>2517</v>
      </c>
      <c r="D162" s="1">
        <v>-3.6</v>
      </c>
      <c r="E162" s="1">
        <v>0.6</v>
      </c>
      <c r="F162" s="1">
        <v>0.2</v>
      </c>
      <c r="G162">
        <v>-6</v>
      </c>
      <c r="H162">
        <v>-1</v>
      </c>
      <c r="I162">
        <v>0</v>
      </c>
      <c r="K162" s="1">
        <v>225</v>
      </c>
      <c r="L162" s="1">
        <v>852</v>
      </c>
      <c r="M162" s="1">
        <v>3055</v>
      </c>
      <c r="N162" s="1">
        <v>-3.1</v>
      </c>
      <c r="O162" s="1">
        <v>0.5</v>
      </c>
      <c r="P162" s="1">
        <v>0.1</v>
      </c>
      <c r="Q162">
        <v>-3</v>
      </c>
      <c r="R162">
        <v>0</v>
      </c>
      <c r="S162">
        <v>0</v>
      </c>
    </row>
    <row r="163" spans="1:19" x14ac:dyDescent="0.25">
      <c r="A163" s="1">
        <v>250</v>
      </c>
      <c r="B163" s="1">
        <v>756</v>
      </c>
      <c r="C163" s="1">
        <v>2410</v>
      </c>
      <c r="D163" s="1">
        <v>-8.3000000000000007</v>
      </c>
      <c r="E163" s="1">
        <v>1.1000000000000001</v>
      </c>
      <c r="F163" s="1">
        <v>0.3</v>
      </c>
      <c r="G163">
        <v>-7</v>
      </c>
      <c r="H163">
        <v>-1</v>
      </c>
      <c r="I163">
        <v>0</v>
      </c>
      <c r="K163" s="1">
        <v>250</v>
      </c>
      <c r="L163" s="1">
        <v>843</v>
      </c>
      <c r="M163" s="1">
        <v>2993</v>
      </c>
      <c r="N163" s="1">
        <v>-7</v>
      </c>
      <c r="O163" s="1">
        <v>1</v>
      </c>
      <c r="P163" s="1">
        <v>0.3</v>
      </c>
      <c r="Q163">
        <v>-3</v>
      </c>
      <c r="R163">
        <v>0</v>
      </c>
      <c r="S163">
        <v>0</v>
      </c>
    </row>
    <row r="164" spans="1:19" x14ac:dyDescent="0.25">
      <c r="A164" s="1">
        <v>275</v>
      </c>
      <c r="B164" s="1">
        <v>740</v>
      </c>
      <c r="C164" s="1">
        <v>2306</v>
      </c>
      <c r="D164" s="1">
        <v>-14.2</v>
      </c>
      <c r="E164" s="1">
        <v>1.8</v>
      </c>
      <c r="F164" s="1">
        <v>0.5</v>
      </c>
      <c r="G164">
        <v>-9</v>
      </c>
      <c r="H164">
        <v>-1</v>
      </c>
      <c r="I164">
        <v>0</v>
      </c>
      <c r="K164" s="1">
        <v>275</v>
      </c>
      <c r="L164" s="1">
        <v>834</v>
      </c>
      <c r="M164" s="1">
        <v>2931</v>
      </c>
      <c r="N164" s="1">
        <v>-12</v>
      </c>
      <c r="O164" s="1">
        <v>1.5</v>
      </c>
      <c r="P164" s="1">
        <v>0.4</v>
      </c>
      <c r="Q164">
        <v>-4</v>
      </c>
      <c r="R164">
        <v>-1</v>
      </c>
      <c r="S164">
        <v>0</v>
      </c>
    </row>
    <row r="165" spans="1:19" x14ac:dyDescent="0.25">
      <c r="A165" s="1">
        <v>300</v>
      </c>
      <c r="B165" s="1">
        <v>724</v>
      </c>
      <c r="C165" s="1">
        <v>2206</v>
      </c>
      <c r="D165" s="1">
        <v>-21.2</v>
      </c>
      <c r="E165" s="1">
        <v>2.4</v>
      </c>
      <c r="F165" s="1">
        <v>0.7</v>
      </c>
      <c r="G165">
        <v>-10</v>
      </c>
      <c r="H165">
        <v>-1</v>
      </c>
      <c r="I165">
        <v>0</v>
      </c>
      <c r="K165" s="1">
        <v>300</v>
      </c>
      <c r="L165" s="1">
        <v>826</v>
      </c>
      <c r="M165" s="1">
        <v>2871</v>
      </c>
      <c r="N165" s="1">
        <v>-17.7</v>
      </c>
      <c r="O165" s="1">
        <v>2</v>
      </c>
      <c r="P165" s="1">
        <v>0.6</v>
      </c>
      <c r="Q165">
        <v>-5</v>
      </c>
      <c r="R165">
        <v>-1</v>
      </c>
      <c r="S165">
        <v>0</v>
      </c>
    </row>
    <row r="166" spans="1:19" x14ac:dyDescent="0.25">
      <c r="A166" s="1">
        <v>325</v>
      </c>
      <c r="B166" s="1">
        <v>708</v>
      </c>
      <c r="C166" s="1">
        <v>2110</v>
      </c>
      <c r="D166" s="1">
        <v>-29.3</v>
      </c>
      <c r="E166" s="1">
        <v>3.1</v>
      </c>
      <c r="F166" s="1">
        <v>0.9</v>
      </c>
      <c r="G166">
        <v>-12</v>
      </c>
      <c r="H166">
        <v>-1</v>
      </c>
      <c r="I166">
        <v>0</v>
      </c>
      <c r="K166" s="1">
        <v>325</v>
      </c>
      <c r="L166" s="1">
        <v>817</v>
      </c>
      <c r="M166" s="1">
        <v>2811</v>
      </c>
      <c r="N166" s="1">
        <v>-24.3</v>
      </c>
      <c r="O166" s="1">
        <v>2.6</v>
      </c>
      <c r="P166" s="1">
        <v>0.7</v>
      </c>
      <c r="Q166">
        <v>-6</v>
      </c>
      <c r="R166">
        <v>-1</v>
      </c>
      <c r="S166">
        <v>0</v>
      </c>
    </row>
    <row r="167" spans="1:19" x14ac:dyDescent="0.25">
      <c r="A167" s="1">
        <v>350</v>
      </c>
      <c r="B167" s="1">
        <v>692</v>
      </c>
      <c r="C167" s="1">
        <v>2016</v>
      </c>
      <c r="D167" s="1">
        <v>-39</v>
      </c>
      <c r="E167" s="1">
        <v>3.8</v>
      </c>
      <c r="F167" s="1">
        <v>1.1000000000000001</v>
      </c>
      <c r="G167">
        <v>-15</v>
      </c>
      <c r="H167">
        <v>-2</v>
      </c>
      <c r="I167">
        <v>0</v>
      </c>
      <c r="K167" s="1">
        <v>350</v>
      </c>
      <c r="L167" s="1">
        <v>808</v>
      </c>
      <c r="M167" s="1">
        <v>2752</v>
      </c>
      <c r="N167" s="1">
        <v>-32.1</v>
      </c>
      <c r="O167" s="1">
        <v>3.1</v>
      </c>
      <c r="P167" s="1">
        <v>0.9</v>
      </c>
      <c r="Q167">
        <v>-7</v>
      </c>
      <c r="R167">
        <v>-1</v>
      </c>
      <c r="S167">
        <v>0</v>
      </c>
    </row>
    <row r="168" spans="1:19" x14ac:dyDescent="0.25">
      <c r="A168" s="1">
        <v>375</v>
      </c>
      <c r="B168" s="1">
        <v>676</v>
      </c>
      <c r="C168" s="1">
        <v>1926</v>
      </c>
      <c r="D168" s="1">
        <v>-49.8</v>
      </c>
      <c r="E168" s="1">
        <v>4.5999999999999996</v>
      </c>
      <c r="F168" s="1">
        <v>1.3</v>
      </c>
      <c r="G168">
        <v>-17</v>
      </c>
      <c r="H168">
        <v>-2</v>
      </c>
      <c r="I168">
        <v>0</v>
      </c>
      <c r="K168" s="1">
        <v>375</v>
      </c>
      <c r="L168" s="1">
        <v>800</v>
      </c>
      <c r="M168" s="1">
        <v>2695</v>
      </c>
      <c r="N168" s="1">
        <v>-40.6</v>
      </c>
      <c r="O168" s="1">
        <v>3.7</v>
      </c>
      <c r="P168" s="1">
        <v>1.1000000000000001</v>
      </c>
      <c r="Q168">
        <v>-8</v>
      </c>
      <c r="R168">
        <v>-1</v>
      </c>
      <c r="S168">
        <v>0</v>
      </c>
    </row>
    <row r="169" spans="1:19" x14ac:dyDescent="0.25">
      <c r="A169" s="1">
        <v>400</v>
      </c>
      <c r="B169" s="1">
        <v>661</v>
      </c>
      <c r="C169" s="1">
        <v>1839</v>
      </c>
      <c r="D169" s="1">
        <v>-61.9</v>
      </c>
      <c r="E169" s="1">
        <v>5.3</v>
      </c>
      <c r="F169" s="1">
        <v>1.5</v>
      </c>
      <c r="G169">
        <v>-20</v>
      </c>
      <c r="H169">
        <v>-2</v>
      </c>
      <c r="I169">
        <v>0</v>
      </c>
      <c r="K169" s="1">
        <v>400</v>
      </c>
      <c r="L169" s="1">
        <v>791</v>
      </c>
      <c r="M169" s="1">
        <v>2638</v>
      </c>
      <c r="N169" s="1">
        <v>-50</v>
      </c>
      <c r="O169" s="1">
        <v>4.3</v>
      </c>
      <c r="P169" s="1">
        <v>1.3</v>
      </c>
      <c r="Q169">
        <v>-9</v>
      </c>
      <c r="R169">
        <v>-1</v>
      </c>
      <c r="S169">
        <v>0</v>
      </c>
    </row>
    <row r="170" spans="1:19" x14ac:dyDescent="0.25">
      <c r="A170" s="1">
        <v>425</v>
      </c>
      <c r="B170" s="1">
        <v>645</v>
      </c>
      <c r="C170" s="1">
        <v>1755</v>
      </c>
      <c r="D170" s="1">
        <v>-76.099999999999994</v>
      </c>
      <c r="E170" s="1">
        <v>6.2</v>
      </c>
      <c r="F170" s="1">
        <v>1.8</v>
      </c>
      <c r="G170">
        <v>-22</v>
      </c>
      <c r="H170">
        <v>-2</v>
      </c>
      <c r="I170">
        <v>-1</v>
      </c>
      <c r="K170" s="1">
        <v>425</v>
      </c>
      <c r="L170" s="1">
        <v>783</v>
      </c>
      <c r="M170" s="1">
        <v>2582</v>
      </c>
      <c r="N170" s="1">
        <v>-60.9</v>
      </c>
      <c r="O170" s="1">
        <v>4.9000000000000004</v>
      </c>
      <c r="P170" s="1">
        <v>1.4</v>
      </c>
      <c r="Q170">
        <v>-10</v>
      </c>
      <c r="R170">
        <v>-1</v>
      </c>
      <c r="S170">
        <v>0</v>
      </c>
    </row>
    <row r="171" spans="1:19" x14ac:dyDescent="0.25">
      <c r="A171" s="1">
        <v>450</v>
      </c>
      <c r="B171" s="1">
        <v>630</v>
      </c>
      <c r="C171" s="1">
        <v>1674</v>
      </c>
      <c r="D171" s="1">
        <v>-91.3</v>
      </c>
      <c r="E171" s="1">
        <v>7</v>
      </c>
      <c r="F171" s="1">
        <v>2</v>
      </c>
      <c r="G171">
        <v>-25</v>
      </c>
      <c r="H171">
        <v>-2</v>
      </c>
      <c r="I171">
        <v>-1</v>
      </c>
      <c r="K171" s="1">
        <v>450</v>
      </c>
      <c r="L171" s="1">
        <v>775</v>
      </c>
      <c r="M171" s="1">
        <v>2527</v>
      </c>
      <c r="N171" s="1">
        <v>-72.400000000000006</v>
      </c>
      <c r="O171" s="1">
        <v>5.5</v>
      </c>
      <c r="P171" s="1">
        <v>1.6</v>
      </c>
      <c r="Q171">
        <v>-11</v>
      </c>
      <c r="R171">
        <v>-1</v>
      </c>
      <c r="S171">
        <v>0</v>
      </c>
    </row>
    <row r="172" spans="1:19" x14ac:dyDescent="0.25">
      <c r="A172" s="1">
        <v>475</v>
      </c>
      <c r="B172" s="1">
        <v>616</v>
      </c>
      <c r="C172" s="1">
        <v>1596</v>
      </c>
      <c r="D172" s="1">
        <v>-108.2</v>
      </c>
      <c r="E172" s="1">
        <v>7.8</v>
      </c>
      <c r="F172" s="1">
        <v>2.2999999999999998</v>
      </c>
      <c r="G172">
        <v>-28</v>
      </c>
      <c r="H172">
        <v>-2</v>
      </c>
      <c r="I172">
        <v>-1</v>
      </c>
      <c r="K172" s="1">
        <v>475</v>
      </c>
      <c r="L172" s="1">
        <v>766</v>
      </c>
      <c r="M172" s="1">
        <v>2473</v>
      </c>
      <c r="N172" s="1">
        <v>-84.9</v>
      </c>
      <c r="O172" s="1">
        <v>6.1</v>
      </c>
      <c r="P172" s="1">
        <v>1.8</v>
      </c>
      <c r="Q172">
        <v>-13</v>
      </c>
      <c r="R172">
        <v>-1</v>
      </c>
      <c r="S172">
        <v>0</v>
      </c>
    </row>
    <row r="173" spans="1:19" x14ac:dyDescent="0.25">
      <c r="A173" s="1">
        <v>500</v>
      </c>
      <c r="B173" s="1">
        <v>601</v>
      </c>
      <c r="C173" s="1">
        <v>1524</v>
      </c>
      <c r="D173" s="1">
        <v>-126.7</v>
      </c>
      <c r="E173" s="1">
        <v>8.6999999999999993</v>
      </c>
      <c r="F173" s="1">
        <v>2.5</v>
      </c>
      <c r="G173">
        <v>-32</v>
      </c>
      <c r="H173">
        <v>-2</v>
      </c>
      <c r="I173">
        <v>-1</v>
      </c>
      <c r="K173" s="1">
        <v>500</v>
      </c>
      <c r="L173" s="1">
        <v>758</v>
      </c>
      <c r="M173" s="1">
        <v>2422</v>
      </c>
      <c r="N173" s="1">
        <v>-98.5</v>
      </c>
      <c r="O173" s="1">
        <v>6.8</v>
      </c>
      <c r="P173" s="1">
        <v>2</v>
      </c>
      <c r="Q173">
        <v>-14</v>
      </c>
      <c r="R173">
        <v>-1</v>
      </c>
      <c r="S173">
        <v>0</v>
      </c>
    </row>
    <row r="175" spans="1:19" x14ac:dyDescent="0.25">
      <c r="A175" t="s">
        <v>74</v>
      </c>
      <c r="K175" t="s">
        <v>81</v>
      </c>
    </row>
    <row r="176" spans="1:19" x14ac:dyDescent="0.25">
      <c r="A176" t="s">
        <v>12</v>
      </c>
      <c r="B176" t="s">
        <v>13</v>
      </c>
      <c r="C176" t="s">
        <v>14</v>
      </c>
      <c r="D176" t="s">
        <v>15</v>
      </c>
      <c r="E176" t="s">
        <v>16</v>
      </c>
      <c r="F176" t="s">
        <v>17</v>
      </c>
      <c r="G176" t="s">
        <v>35</v>
      </c>
      <c r="H176" t="s">
        <v>36</v>
      </c>
      <c r="I176" t="s">
        <v>37</v>
      </c>
      <c r="K176" t="s">
        <v>12</v>
      </c>
      <c r="L176" t="s">
        <v>13</v>
      </c>
      <c r="M176" t="s">
        <v>14</v>
      </c>
      <c r="N176" t="s">
        <v>15</v>
      </c>
      <c r="O176" t="s">
        <v>16</v>
      </c>
      <c r="P176" t="s">
        <v>17</v>
      </c>
      <c r="Q176" t="s">
        <v>35</v>
      </c>
      <c r="R176" t="s">
        <v>36</v>
      </c>
      <c r="S176" t="s">
        <v>37</v>
      </c>
    </row>
    <row r="177" spans="1:19" x14ac:dyDescent="0.25">
      <c r="A177" s="1">
        <v>0</v>
      </c>
      <c r="B177" s="1">
        <v>933</v>
      </c>
      <c r="C177" s="1">
        <v>3664</v>
      </c>
      <c r="D177" s="1">
        <v>-3.8</v>
      </c>
      <c r="E177" s="1">
        <v>0</v>
      </c>
      <c r="F177" s="1">
        <v>0</v>
      </c>
      <c r="G177">
        <v>0</v>
      </c>
      <c r="H177">
        <v>0</v>
      </c>
      <c r="I177">
        <v>0</v>
      </c>
      <c r="K177" s="1">
        <v>0</v>
      </c>
      <c r="L177" s="1">
        <v>933</v>
      </c>
      <c r="M177" s="1">
        <v>3664</v>
      </c>
      <c r="N177" s="1">
        <v>-3.8</v>
      </c>
      <c r="O177" s="1">
        <v>0</v>
      </c>
      <c r="P177" s="1">
        <v>0</v>
      </c>
      <c r="Q177">
        <v>0</v>
      </c>
      <c r="R177">
        <v>0</v>
      </c>
      <c r="S177">
        <v>0</v>
      </c>
    </row>
    <row r="178" spans="1:19" x14ac:dyDescent="0.25">
      <c r="A178" s="1">
        <v>25</v>
      </c>
      <c r="B178" s="1">
        <v>914</v>
      </c>
      <c r="C178" s="1">
        <v>3518</v>
      </c>
      <c r="D178" s="1">
        <v>1.2</v>
      </c>
      <c r="E178" s="1">
        <v>-1.7</v>
      </c>
      <c r="F178" s="1">
        <v>-0.5</v>
      </c>
      <c r="G178">
        <v>0</v>
      </c>
      <c r="H178">
        <v>0</v>
      </c>
      <c r="I178">
        <v>0</v>
      </c>
      <c r="K178" s="1">
        <v>25</v>
      </c>
      <c r="L178" s="1">
        <v>923</v>
      </c>
      <c r="M178" s="1">
        <v>3592</v>
      </c>
      <c r="N178" s="1">
        <v>0.8</v>
      </c>
      <c r="O178" s="1">
        <v>-1</v>
      </c>
      <c r="P178" s="1">
        <v>-0.3</v>
      </c>
      <c r="Q178">
        <v>0</v>
      </c>
      <c r="R178">
        <v>0</v>
      </c>
      <c r="S178">
        <v>0</v>
      </c>
    </row>
    <row r="179" spans="1:19" x14ac:dyDescent="0.25">
      <c r="A179" s="1">
        <v>50</v>
      </c>
      <c r="B179" s="1">
        <v>895</v>
      </c>
      <c r="C179" s="1">
        <v>3377</v>
      </c>
      <c r="D179" s="1">
        <v>5.7</v>
      </c>
      <c r="E179" s="1">
        <v>-3.9</v>
      </c>
      <c r="F179" s="1">
        <v>-1.1000000000000001</v>
      </c>
      <c r="G179">
        <v>0</v>
      </c>
      <c r="H179">
        <v>0</v>
      </c>
      <c r="I179">
        <v>0</v>
      </c>
      <c r="K179" s="1">
        <v>50</v>
      </c>
      <c r="L179" s="1">
        <v>914</v>
      </c>
      <c r="M179" s="1">
        <v>3521</v>
      </c>
      <c r="N179" s="1">
        <v>4.7</v>
      </c>
      <c r="O179" s="1">
        <v>-3.2</v>
      </c>
      <c r="P179" s="1">
        <v>-0.9</v>
      </c>
      <c r="Q179">
        <v>0</v>
      </c>
      <c r="R179">
        <v>0</v>
      </c>
      <c r="S179">
        <v>0</v>
      </c>
    </row>
    <row r="180" spans="1:19" x14ac:dyDescent="0.25">
      <c r="A180" s="1">
        <v>75</v>
      </c>
      <c r="B180" s="1">
        <v>877</v>
      </c>
      <c r="C180" s="1">
        <v>3242</v>
      </c>
      <c r="D180" s="1">
        <v>9.1999999999999993</v>
      </c>
      <c r="E180" s="1">
        <v>-4.2</v>
      </c>
      <c r="F180" s="1">
        <v>-1.2</v>
      </c>
      <c r="G180">
        <v>-1</v>
      </c>
      <c r="H180">
        <v>0</v>
      </c>
      <c r="I180">
        <v>0</v>
      </c>
      <c r="K180" s="1">
        <v>75</v>
      </c>
      <c r="L180" s="1">
        <v>905</v>
      </c>
      <c r="M180" s="1">
        <v>3451</v>
      </c>
      <c r="N180" s="1">
        <v>7.8</v>
      </c>
      <c r="O180" s="1">
        <v>-3.6</v>
      </c>
      <c r="P180" s="1">
        <v>-1</v>
      </c>
      <c r="Q180">
        <v>0</v>
      </c>
      <c r="R180">
        <v>0</v>
      </c>
      <c r="S180">
        <v>0</v>
      </c>
    </row>
    <row r="181" spans="1:19" x14ac:dyDescent="0.25">
      <c r="A181" s="1">
        <v>100</v>
      </c>
      <c r="B181" s="1">
        <v>859</v>
      </c>
      <c r="C181" s="1">
        <v>3110</v>
      </c>
      <c r="D181" s="1">
        <v>11.9</v>
      </c>
      <c r="E181" s="1">
        <v>-4.0999999999999996</v>
      </c>
      <c r="F181" s="1">
        <v>-1.2</v>
      </c>
      <c r="G181">
        <v>-1</v>
      </c>
      <c r="H181">
        <v>0</v>
      </c>
      <c r="I181">
        <v>0</v>
      </c>
      <c r="K181" s="1">
        <v>100</v>
      </c>
      <c r="L181" s="1">
        <v>896</v>
      </c>
      <c r="M181" s="1">
        <v>3382</v>
      </c>
      <c r="N181" s="1">
        <v>10.1</v>
      </c>
      <c r="O181" s="1">
        <v>-3.5</v>
      </c>
      <c r="P181" s="1">
        <v>-1</v>
      </c>
      <c r="Q181">
        <v>-1</v>
      </c>
      <c r="R181">
        <v>0</v>
      </c>
      <c r="S181">
        <v>0</v>
      </c>
    </row>
    <row r="182" spans="1:19" x14ac:dyDescent="0.25">
      <c r="A182" s="1">
        <v>125</v>
      </c>
      <c r="B182" s="1">
        <v>842</v>
      </c>
      <c r="C182" s="1">
        <v>2984</v>
      </c>
      <c r="D182" s="1">
        <v>13.9</v>
      </c>
      <c r="E182" s="1">
        <v>-3.8</v>
      </c>
      <c r="F182" s="1">
        <v>-1.1000000000000001</v>
      </c>
      <c r="G182">
        <v>-2</v>
      </c>
      <c r="H182">
        <v>0</v>
      </c>
      <c r="I182">
        <v>0</v>
      </c>
      <c r="K182" s="1">
        <v>125</v>
      </c>
      <c r="L182" s="1">
        <v>887</v>
      </c>
      <c r="M182" s="1">
        <v>3315</v>
      </c>
      <c r="N182" s="1">
        <v>11.8</v>
      </c>
      <c r="O182" s="1">
        <v>-3.2</v>
      </c>
      <c r="P182" s="1">
        <v>-0.9</v>
      </c>
      <c r="Q182">
        <v>-1</v>
      </c>
      <c r="R182">
        <v>0</v>
      </c>
      <c r="S182">
        <v>0</v>
      </c>
    </row>
    <row r="183" spans="1:19" x14ac:dyDescent="0.25">
      <c r="A183" s="1">
        <v>150</v>
      </c>
      <c r="B183" s="1">
        <v>824</v>
      </c>
      <c r="C183" s="1">
        <v>2861</v>
      </c>
      <c r="D183" s="1">
        <v>14.9</v>
      </c>
      <c r="E183" s="1">
        <v>-3.4</v>
      </c>
      <c r="F183" s="1">
        <v>-1</v>
      </c>
      <c r="G183">
        <v>-2</v>
      </c>
      <c r="H183">
        <v>-1</v>
      </c>
      <c r="I183">
        <v>0</v>
      </c>
      <c r="K183" s="1">
        <v>150</v>
      </c>
      <c r="L183" s="1">
        <v>878</v>
      </c>
      <c r="M183" s="1">
        <v>3248</v>
      </c>
      <c r="N183" s="1">
        <v>12.6</v>
      </c>
      <c r="O183" s="1">
        <v>-2.9</v>
      </c>
      <c r="P183" s="1">
        <v>-0.8</v>
      </c>
      <c r="Q183">
        <v>-1</v>
      </c>
      <c r="R183">
        <v>0</v>
      </c>
      <c r="S183">
        <v>0</v>
      </c>
    </row>
    <row r="184" spans="1:19" x14ac:dyDescent="0.25">
      <c r="A184" s="1">
        <v>175</v>
      </c>
      <c r="B184" s="1">
        <v>807</v>
      </c>
      <c r="C184" s="1">
        <v>2742</v>
      </c>
      <c r="D184" s="1">
        <v>15</v>
      </c>
      <c r="E184" s="1">
        <v>-2.9</v>
      </c>
      <c r="F184" s="1">
        <v>-0.9</v>
      </c>
      <c r="G184">
        <v>-3</v>
      </c>
      <c r="H184">
        <v>-1</v>
      </c>
      <c r="I184">
        <v>0</v>
      </c>
      <c r="K184" s="1">
        <v>175</v>
      </c>
      <c r="L184" s="1">
        <v>869</v>
      </c>
      <c r="M184" s="1">
        <v>3183</v>
      </c>
      <c r="N184" s="1">
        <v>12.6</v>
      </c>
      <c r="O184" s="1">
        <v>-2.5</v>
      </c>
      <c r="P184" s="1">
        <v>-0.7</v>
      </c>
      <c r="Q184">
        <v>-2</v>
      </c>
      <c r="R184">
        <v>0</v>
      </c>
      <c r="S184">
        <v>0</v>
      </c>
    </row>
    <row r="185" spans="1:19" x14ac:dyDescent="0.25">
      <c r="A185" s="1">
        <v>200</v>
      </c>
      <c r="B185" s="1">
        <v>790</v>
      </c>
      <c r="C185" s="1">
        <v>2628</v>
      </c>
      <c r="D185" s="1">
        <v>14.1</v>
      </c>
      <c r="E185" s="1">
        <v>-2.4</v>
      </c>
      <c r="F185" s="1">
        <v>-0.7</v>
      </c>
      <c r="G185">
        <v>-4</v>
      </c>
      <c r="H185">
        <v>-1</v>
      </c>
      <c r="I185">
        <v>0</v>
      </c>
      <c r="K185" s="1">
        <v>200</v>
      </c>
      <c r="L185" s="1">
        <v>860</v>
      </c>
      <c r="M185" s="1">
        <v>3118</v>
      </c>
      <c r="N185" s="1">
        <v>11.8</v>
      </c>
      <c r="O185" s="1">
        <v>-2</v>
      </c>
      <c r="P185" s="1">
        <v>-0.6</v>
      </c>
      <c r="Q185">
        <v>-2</v>
      </c>
      <c r="R185">
        <v>0</v>
      </c>
      <c r="S185">
        <v>0</v>
      </c>
    </row>
    <row r="186" spans="1:19" x14ac:dyDescent="0.25">
      <c r="A186" s="1">
        <v>225</v>
      </c>
      <c r="B186" s="1">
        <v>773</v>
      </c>
      <c r="C186" s="1">
        <v>2517</v>
      </c>
      <c r="D186" s="1">
        <v>12.2</v>
      </c>
      <c r="E186" s="1">
        <v>-1.9</v>
      </c>
      <c r="F186" s="1">
        <v>-0.5</v>
      </c>
      <c r="G186">
        <v>-6</v>
      </c>
      <c r="H186">
        <v>-1</v>
      </c>
      <c r="I186">
        <v>0</v>
      </c>
      <c r="K186" s="1">
        <v>225</v>
      </c>
      <c r="L186" s="1">
        <v>852</v>
      </c>
      <c r="M186" s="1">
        <v>3055</v>
      </c>
      <c r="N186" s="1">
        <v>10.199999999999999</v>
      </c>
      <c r="O186" s="1">
        <v>-1.6</v>
      </c>
      <c r="P186" s="1">
        <v>-0.5</v>
      </c>
      <c r="Q186">
        <v>-3</v>
      </c>
      <c r="R186">
        <v>0</v>
      </c>
      <c r="S186">
        <v>0</v>
      </c>
    </row>
    <row r="187" spans="1:19" x14ac:dyDescent="0.25">
      <c r="A187" s="1">
        <v>250</v>
      </c>
      <c r="B187" s="1">
        <v>756</v>
      </c>
      <c r="C187" s="1">
        <v>2410</v>
      </c>
      <c r="D187" s="1">
        <v>9.3000000000000007</v>
      </c>
      <c r="E187" s="1">
        <v>-1.3</v>
      </c>
      <c r="F187" s="1">
        <v>-0.4</v>
      </c>
      <c r="G187">
        <v>-7</v>
      </c>
      <c r="H187">
        <v>-1</v>
      </c>
      <c r="I187">
        <v>0</v>
      </c>
      <c r="K187" s="1">
        <v>250</v>
      </c>
      <c r="L187" s="1">
        <v>843</v>
      </c>
      <c r="M187" s="1">
        <v>2993</v>
      </c>
      <c r="N187" s="1">
        <v>7.7</v>
      </c>
      <c r="O187" s="1">
        <v>-1.1000000000000001</v>
      </c>
      <c r="P187" s="1">
        <v>-0.3</v>
      </c>
      <c r="Q187">
        <v>-3</v>
      </c>
      <c r="R187">
        <v>0</v>
      </c>
      <c r="S187">
        <v>0</v>
      </c>
    </row>
    <row r="188" spans="1:19" x14ac:dyDescent="0.25">
      <c r="A188" s="1">
        <v>275</v>
      </c>
      <c r="B188" s="1">
        <v>740</v>
      </c>
      <c r="C188" s="1">
        <v>2306</v>
      </c>
      <c r="D188" s="1">
        <v>5.2</v>
      </c>
      <c r="E188" s="1">
        <v>-0.6</v>
      </c>
      <c r="F188" s="1">
        <v>-0.2</v>
      </c>
      <c r="G188">
        <v>-9</v>
      </c>
      <c r="H188">
        <v>-1</v>
      </c>
      <c r="I188">
        <v>0</v>
      </c>
      <c r="K188" s="1">
        <v>275</v>
      </c>
      <c r="L188" s="1">
        <v>834</v>
      </c>
      <c r="M188" s="1">
        <v>2931</v>
      </c>
      <c r="N188" s="1">
        <v>4.2</v>
      </c>
      <c r="O188" s="1">
        <v>-0.5</v>
      </c>
      <c r="P188" s="1">
        <v>-0.2</v>
      </c>
      <c r="Q188">
        <v>-4</v>
      </c>
      <c r="R188">
        <v>-1</v>
      </c>
      <c r="S188">
        <v>0</v>
      </c>
    </row>
    <row r="189" spans="1:19" x14ac:dyDescent="0.25">
      <c r="A189" s="10">
        <v>300</v>
      </c>
      <c r="B189" s="10">
        <v>724</v>
      </c>
      <c r="C189" s="10">
        <v>2206</v>
      </c>
      <c r="D189" s="10">
        <v>0</v>
      </c>
      <c r="E189" s="10">
        <v>0</v>
      </c>
      <c r="F189" s="10">
        <v>0</v>
      </c>
      <c r="G189">
        <v>-10</v>
      </c>
      <c r="H189">
        <v>-1</v>
      </c>
      <c r="I189">
        <v>0</v>
      </c>
      <c r="K189" s="1">
        <v>300</v>
      </c>
      <c r="L189" s="1">
        <v>825</v>
      </c>
      <c r="M189" s="1">
        <v>2871</v>
      </c>
      <c r="N189" s="1">
        <v>0</v>
      </c>
      <c r="O189" s="1">
        <v>0</v>
      </c>
      <c r="P189" s="1">
        <v>0</v>
      </c>
      <c r="Q189">
        <v>-5</v>
      </c>
      <c r="R189">
        <v>-1</v>
      </c>
      <c r="S189">
        <v>0</v>
      </c>
    </row>
    <row r="190" spans="1:19" x14ac:dyDescent="0.25">
      <c r="A190" s="1">
        <v>325</v>
      </c>
      <c r="B190" s="1">
        <v>708</v>
      </c>
      <c r="C190" s="1">
        <v>2110</v>
      </c>
      <c r="D190" s="1">
        <v>-6.4</v>
      </c>
      <c r="E190" s="1">
        <v>0.7</v>
      </c>
      <c r="F190" s="1">
        <v>0.2</v>
      </c>
      <c r="G190">
        <v>-12</v>
      </c>
      <c r="H190">
        <v>-1</v>
      </c>
      <c r="I190">
        <v>0</v>
      </c>
      <c r="K190" s="1">
        <v>325</v>
      </c>
      <c r="L190" s="1">
        <v>817</v>
      </c>
      <c r="M190" s="1">
        <v>2811</v>
      </c>
      <c r="N190" s="1">
        <v>-5.2</v>
      </c>
      <c r="O190" s="1">
        <v>0.5</v>
      </c>
      <c r="P190" s="1">
        <v>0.2</v>
      </c>
      <c r="Q190">
        <v>-6</v>
      </c>
      <c r="R190">
        <v>-1</v>
      </c>
      <c r="S190">
        <v>0</v>
      </c>
    </row>
    <row r="191" spans="1:19" x14ac:dyDescent="0.25">
      <c r="A191" s="1">
        <v>350</v>
      </c>
      <c r="B191" s="1">
        <v>692</v>
      </c>
      <c r="C191" s="1">
        <v>2016</v>
      </c>
      <c r="D191" s="1">
        <v>-14.3</v>
      </c>
      <c r="E191" s="1">
        <v>1.4</v>
      </c>
      <c r="F191" s="1">
        <v>0.4</v>
      </c>
      <c r="G191">
        <v>-15</v>
      </c>
      <c r="H191">
        <v>-2</v>
      </c>
      <c r="I191">
        <v>0</v>
      </c>
      <c r="K191" s="1">
        <v>350</v>
      </c>
      <c r="L191" s="1">
        <v>808</v>
      </c>
      <c r="M191" s="1">
        <v>2752</v>
      </c>
      <c r="N191" s="1">
        <v>-11.5</v>
      </c>
      <c r="O191" s="1">
        <v>1.1000000000000001</v>
      </c>
      <c r="P191" s="1">
        <v>0.3</v>
      </c>
      <c r="Q191">
        <v>-7</v>
      </c>
      <c r="R191">
        <v>-1</v>
      </c>
      <c r="S191">
        <v>0</v>
      </c>
    </row>
    <row r="192" spans="1:19" x14ac:dyDescent="0.25">
      <c r="A192" s="1">
        <v>375</v>
      </c>
      <c r="B192" s="1">
        <v>676</v>
      </c>
      <c r="C192" s="1">
        <v>1926</v>
      </c>
      <c r="D192" s="1">
        <v>-23.4</v>
      </c>
      <c r="E192" s="1">
        <v>2.1</v>
      </c>
      <c r="F192" s="1">
        <v>0.6</v>
      </c>
      <c r="G192">
        <v>-17</v>
      </c>
      <c r="H192">
        <v>-2</v>
      </c>
      <c r="I192">
        <v>0</v>
      </c>
      <c r="K192" s="1">
        <v>375</v>
      </c>
      <c r="L192" s="1">
        <v>800</v>
      </c>
      <c r="M192" s="1">
        <v>2695</v>
      </c>
      <c r="N192" s="1">
        <v>-18.5</v>
      </c>
      <c r="O192" s="1">
        <v>1.7</v>
      </c>
      <c r="P192" s="1">
        <v>0.5</v>
      </c>
      <c r="Q192">
        <v>-8</v>
      </c>
      <c r="R192">
        <v>-1</v>
      </c>
      <c r="S192">
        <v>0</v>
      </c>
    </row>
    <row r="193" spans="1:19" x14ac:dyDescent="0.25">
      <c r="A193" s="1">
        <v>400</v>
      </c>
      <c r="B193" s="1">
        <v>661</v>
      </c>
      <c r="C193" s="1">
        <v>1839</v>
      </c>
      <c r="D193" s="1">
        <v>-33.799999999999997</v>
      </c>
      <c r="E193" s="1">
        <v>2.9</v>
      </c>
      <c r="F193" s="1">
        <v>0.8</v>
      </c>
      <c r="G193">
        <v>-20</v>
      </c>
      <c r="H193">
        <v>-2</v>
      </c>
      <c r="I193">
        <v>0</v>
      </c>
      <c r="K193" s="1">
        <v>400</v>
      </c>
      <c r="L193" s="1">
        <v>791</v>
      </c>
      <c r="M193" s="1">
        <v>2638</v>
      </c>
      <c r="N193" s="1">
        <v>-26.5</v>
      </c>
      <c r="O193" s="1">
        <v>2.2999999999999998</v>
      </c>
      <c r="P193" s="1">
        <v>0.7</v>
      </c>
      <c r="Q193">
        <v>-9</v>
      </c>
      <c r="R193">
        <v>-1</v>
      </c>
      <c r="S193">
        <v>0</v>
      </c>
    </row>
    <row r="194" spans="1:19" x14ac:dyDescent="0.25">
      <c r="A194" s="1">
        <v>425</v>
      </c>
      <c r="B194" s="1">
        <v>645</v>
      </c>
      <c r="C194" s="1">
        <v>1755</v>
      </c>
      <c r="D194" s="1">
        <v>-46.1</v>
      </c>
      <c r="E194" s="1">
        <v>3.7</v>
      </c>
      <c r="F194" s="1">
        <v>1.1000000000000001</v>
      </c>
      <c r="G194">
        <v>-22</v>
      </c>
      <c r="H194">
        <v>-2</v>
      </c>
      <c r="I194">
        <v>-1</v>
      </c>
      <c r="K194" s="1">
        <v>425</v>
      </c>
      <c r="L194" s="1">
        <v>783</v>
      </c>
      <c r="M194" s="1">
        <v>2582</v>
      </c>
      <c r="N194" s="1">
        <v>-35.799999999999997</v>
      </c>
      <c r="O194" s="1">
        <v>2.9</v>
      </c>
      <c r="P194" s="1">
        <v>0.8</v>
      </c>
      <c r="Q194">
        <v>-10</v>
      </c>
      <c r="R194">
        <v>-1</v>
      </c>
      <c r="S194">
        <v>0</v>
      </c>
    </row>
    <row r="195" spans="1:19" x14ac:dyDescent="0.25">
      <c r="A195" s="1">
        <v>450</v>
      </c>
      <c r="B195" s="1">
        <v>630</v>
      </c>
      <c r="C195" s="1">
        <v>1674</v>
      </c>
      <c r="D195" s="1">
        <v>-59.6</v>
      </c>
      <c r="E195" s="1">
        <v>4.5999999999999996</v>
      </c>
      <c r="F195" s="1">
        <v>1.3</v>
      </c>
      <c r="G195">
        <v>-25</v>
      </c>
      <c r="H195">
        <v>-2</v>
      </c>
      <c r="I195">
        <v>-1</v>
      </c>
      <c r="K195" s="1">
        <v>450</v>
      </c>
      <c r="L195" s="1">
        <v>775</v>
      </c>
      <c r="M195" s="1">
        <v>2527</v>
      </c>
      <c r="N195" s="1">
        <v>-45.9</v>
      </c>
      <c r="O195" s="1">
        <v>3.5</v>
      </c>
      <c r="P195" s="1">
        <v>1</v>
      </c>
      <c r="Q195">
        <v>-11</v>
      </c>
      <c r="R195">
        <v>-1</v>
      </c>
      <c r="S195">
        <v>0</v>
      </c>
    </row>
    <row r="196" spans="1:19" x14ac:dyDescent="0.25">
      <c r="A196" s="1">
        <v>475</v>
      </c>
      <c r="B196" s="1">
        <v>615</v>
      </c>
      <c r="C196" s="1">
        <v>1596</v>
      </c>
      <c r="D196" s="1">
        <v>-74.7</v>
      </c>
      <c r="E196" s="1">
        <v>5.4</v>
      </c>
      <c r="F196" s="1">
        <v>1.6</v>
      </c>
      <c r="G196">
        <v>-28</v>
      </c>
      <c r="H196">
        <v>-2</v>
      </c>
      <c r="I196">
        <v>-1</v>
      </c>
      <c r="K196" s="1">
        <v>475</v>
      </c>
      <c r="L196" s="1">
        <v>766</v>
      </c>
      <c r="M196" s="1">
        <v>2473</v>
      </c>
      <c r="N196" s="1">
        <v>-56.9</v>
      </c>
      <c r="O196" s="1">
        <v>4.0999999999999996</v>
      </c>
      <c r="P196" s="1">
        <v>1.2</v>
      </c>
      <c r="Q196">
        <v>-13</v>
      </c>
      <c r="R196">
        <v>-1</v>
      </c>
      <c r="S196">
        <v>0</v>
      </c>
    </row>
    <row r="197" spans="1:19" x14ac:dyDescent="0.25">
      <c r="A197" s="1">
        <v>500</v>
      </c>
      <c r="B197" s="1">
        <v>601</v>
      </c>
      <c r="C197" s="1">
        <v>1524</v>
      </c>
      <c r="D197" s="1">
        <v>-91.6</v>
      </c>
      <c r="E197" s="1">
        <v>6.3</v>
      </c>
      <c r="F197" s="1">
        <v>1.8</v>
      </c>
      <c r="G197">
        <v>-32</v>
      </c>
      <c r="H197">
        <v>-2</v>
      </c>
      <c r="I197">
        <v>-1</v>
      </c>
      <c r="K197" s="1">
        <v>500</v>
      </c>
      <c r="L197" s="1">
        <v>758</v>
      </c>
      <c r="M197" s="1">
        <v>2422</v>
      </c>
      <c r="N197" s="1">
        <v>-69</v>
      </c>
      <c r="O197" s="1">
        <v>4.8</v>
      </c>
      <c r="P197" s="1">
        <v>1.4</v>
      </c>
      <c r="Q197">
        <v>-14</v>
      </c>
      <c r="R197">
        <v>-1</v>
      </c>
      <c r="S197">
        <v>0</v>
      </c>
    </row>
    <row r="199" spans="1:19" x14ac:dyDescent="0.25">
      <c r="A199" t="s">
        <v>75</v>
      </c>
      <c r="K199" t="s">
        <v>82</v>
      </c>
    </row>
    <row r="200" spans="1:19" x14ac:dyDescent="0.25">
      <c r="A200" t="s">
        <v>12</v>
      </c>
      <c r="B200" t="s">
        <v>13</v>
      </c>
      <c r="C200" t="s">
        <v>14</v>
      </c>
      <c r="D200" t="s">
        <v>15</v>
      </c>
      <c r="E200" t="s">
        <v>16</v>
      </c>
      <c r="F200" t="s">
        <v>17</v>
      </c>
      <c r="G200" t="s">
        <v>35</v>
      </c>
      <c r="H200" t="s">
        <v>36</v>
      </c>
      <c r="I200" t="s">
        <v>37</v>
      </c>
      <c r="K200" t="s">
        <v>12</v>
      </c>
      <c r="L200" t="s">
        <v>13</v>
      </c>
      <c r="M200" t="s">
        <v>14</v>
      </c>
      <c r="N200" t="s">
        <v>15</v>
      </c>
      <c r="O200" t="s">
        <v>16</v>
      </c>
      <c r="P200" t="s">
        <v>17</v>
      </c>
      <c r="Q200" t="s">
        <v>35</v>
      </c>
      <c r="R200" t="s">
        <v>36</v>
      </c>
      <c r="S200" t="s">
        <v>37</v>
      </c>
    </row>
    <row r="201" spans="1:19" x14ac:dyDescent="0.25">
      <c r="A201" s="1">
        <v>0</v>
      </c>
      <c r="B201" s="1">
        <v>933</v>
      </c>
      <c r="C201" s="1">
        <v>3664</v>
      </c>
      <c r="D201" s="1">
        <v>-3.8</v>
      </c>
      <c r="E201" s="1">
        <v>0</v>
      </c>
      <c r="F201" s="1">
        <v>0</v>
      </c>
      <c r="G201">
        <v>0</v>
      </c>
      <c r="H201">
        <v>0</v>
      </c>
      <c r="I201">
        <v>0</v>
      </c>
      <c r="K201" s="1">
        <v>0</v>
      </c>
      <c r="L201" s="1">
        <v>933</v>
      </c>
      <c r="M201" s="1">
        <v>3664</v>
      </c>
      <c r="N201" s="1">
        <v>-3.8</v>
      </c>
      <c r="O201" s="1">
        <v>0</v>
      </c>
      <c r="P201" s="1">
        <v>0</v>
      </c>
      <c r="Q201">
        <v>0</v>
      </c>
      <c r="R201">
        <v>0</v>
      </c>
      <c r="S201">
        <v>0</v>
      </c>
    </row>
    <row r="202" spans="1:19" x14ac:dyDescent="0.25">
      <c r="A202" s="1">
        <v>25</v>
      </c>
      <c r="B202" s="1">
        <v>914</v>
      </c>
      <c r="C202" s="1">
        <v>3518</v>
      </c>
      <c r="D202" s="1">
        <v>3.3</v>
      </c>
      <c r="E202" s="1">
        <v>-4.5999999999999996</v>
      </c>
      <c r="F202" s="1">
        <v>-1.3</v>
      </c>
      <c r="G202">
        <v>0</v>
      </c>
      <c r="H202">
        <v>0</v>
      </c>
      <c r="I202">
        <v>0</v>
      </c>
      <c r="K202" s="1">
        <v>25</v>
      </c>
      <c r="L202" s="1">
        <v>923</v>
      </c>
      <c r="M202" s="1">
        <v>3592</v>
      </c>
      <c r="N202" s="1">
        <v>2.4</v>
      </c>
      <c r="O202" s="1">
        <v>-3.3</v>
      </c>
      <c r="P202" s="1">
        <v>-1</v>
      </c>
      <c r="Q202">
        <v>0</v>
      </c>
      <c r="R202">
        <v>0</v>
      </c>
      <c r="S202">
        <v>0</v>
      </c>
    </row>
    <row r="203" spans="1:19" x14ac:dyDescent="0.25">
      <c r="A203" s="1">
        <v>50</v>
      </c>
      <c r="B203" s="1">
        <v>895</v>
      </c>
      <c r="C203" s="1">
        <v>3377</v>
      </c>
      <c r="D203" s="1">
        <v>9.9</v>
      </c>
      <c r="E203" s="1">
        <v>-6.8</v>
      </c>
      <c r="F203" s="1">
        <v>-2</v>
      </c>
      <c r="G203">
        <v>0</v>
      </c>
      <c r="H203">
        <v>0</v>
      </c>
      <c r="I203">
        <v>0</v>
      </c>
      <c r="K203" s="1">
        <v>50</v>
      </c>
      <c r="L203" s="1">
        <v>914</v>
      </c>
      <c r="M203" s="1">
        <v>3521</v>
      </c>
      <c r="N203" s="1">
        <v>8.1</v>
      </c>
      <c r="O203" s="1">
        <v>-5.5</v>
      </c>
      <c r="P203" s="1">
        <v>-1.6</v>
      </c>
      <c r="Q203">
        <v>0</v>
      </c>
      <c r="R203">
        <v>0</v>
      </c>
      <c r="S203">
        <v>0</v>
      </c>
    </row>
    <row r="204" spans="1:19" x14ac:dyDescent="0.25">
      <c r="A204" s="1">
        <v>75</v>
      </c>
      <c r="B204" s="1">
        <v>877</v>
      </c>
      <c r="C204" s="1">
        <v>3242</v>
      </c>
      <c r="D204" s="1">
        <v>15.5</v>
      </c>
      <c r="E204" s="1">
        <v>-7.1</v>
      </c>
      <c r="F204" s="1">
        <v>-2.1</v>
      </c>
      <c r="G204">
        <v>-1</v>
      </c>
      <c r="H204">
        <v>0</v>
      </c>
      <c r="I204">
        <v>0</v>
      </c>
      <c r="K204" s="1">
        <v>75</v>
      </c>
      <c r="L204" s="1">
        <v>905</v>
      </c>
      <c r="M204" s="1">
        <v>3451</v>
      </c>
      <c r="N204" s="1">
        <v>12.8</v>
      </c>
      <c r="O204" s="1">
        <v>-5.8</v>
      </c>
      <c r="P204" s="1">
        <v>-1.7</v>
      </c>
      <c r="Q204">
        <v>0</v>
      </c>
      <c r="R204">
        <v>0</v>
      </c>
      <c r="S204">
        <v>0</v>
      </c>
    </row>
    <row r="205" spans="1:19" x14ac:dyDescent="0.25">
      <c r="A205" s="1">
        <v>100</v>
      </c>
      <c r="B205" s="1">
        <v>859</v>
      </c>
      <c r="C205" s="1">
        <v>3110</v>
      </c>
      <c r="D205" s="1">
        <v>20.3</v>
      </c>
      <c r="E205" s="1">
        <v>-7</v>
      </c>
      <c r="F205" s="1">
        <v>-2</v>
      </c>
      <c r="G205">
        <v>-1</v>
      </c>
      <c r="H205">
        <v>0</v>
      </c>
      <c r="I205">
        <v>0</v>
      </c>
      <c r="K205" s="1">
        <v>100</v>
      </c>
      <c r="L205" s="1">
        <v>896</v>
      </c>
      <c r="M205" s="1">
        <v>3382</v>
      </c>
      <c r="N205" s="1">
        <v>16.8</v>
      </c>
      <c r="O205" s="1">
        <v>-5.8</v>
      </c>
      <c r="P205" s="1">
        <v>-1.7</v>
      </c>
      <c r="Q205">
        <v>-1</v>
      </c>
      <c r="R205">
        <v>0</v>
      </c>
      <c r="S205">
        <v>0</v>
      </c>
    </row>
    <row r="206" spans="1:19" x14ac:dyDescent="0.25">
      <c r="A206" s="1">
        <v>125</v>
      </c>
      <c r="B206" s="1">
        <v>842</v>
      </c>
      <c r="C206" s="1">
        <v>2983</v>
      </c>
      <c r="D206" s="1">
        <v>24.4</v>
      </c>
      <c r="E206" s="1">
        <v>-6.7</v>
      </c>
      <c r="F206" s="1">
        <v>-1.9</v>
      </c>
      <c r="G206">
        <v>-2</v>
      </c>
      <c r="H206">
        <v>0</v>
      </c>
      <c r="I206">
        <v>0</v>
      </c>
      <c r="K206" s="1">
        <v>125</v>
      </c>
      <c r="L206" s="1">
        <v>887</v>
      </c>
      <c r="M206" s="1">
        <v>3315</v>
      </c>
      <c r="N206" s="1">
        <v>20.100000000000001</v>
      </c>
      <c r="O206" s="1">
        <v>-5.5</v>
      </c>
      <c r="P206" s="1">
        <v>-1.6</v>
      </c>
      <c r="Q206">
        <v>-1</v>
      </c>
      <c r="R206">
        <v>0</v>
      </c>
      <c r="S206">
        <v>0</v>
      </c>
    </row>
    <row r="207" spans="1:19" x14ac:dyDescent="0.25">
      <c r="A207" s="1">
        <v>150</v>
      </c>
      <c r="B207" s="1">
        <v>824</v>
      </c>
      <c r="C207" s="1">
        <v>2861</v>
      </c>
      <c r="D207" s="1">
        <v>27.5</v>
      </c>
      <c r="E207" s="1">
        <v>-6.3</v>
      </c>
      <c r="F207" s="1">
        <v>-1.8</v>
      </c>
      <c r="G207">
        <v>-2</v>
      </c>
      <c r="H207">
        <v>-1</v>
      </c>
      <c r="I207">
        <v>0</v>
      </c>
      <c r="K207" s="1">
        <v>150</v>
      </c>
      <c r="L207" s="1">
        <v>878</v>
      </c>
      <c r="M207" s="1">
        <v>3248</v>
      </c>
      <c r="N207" s="1">
        <v>22.6</v>
      </c>
      <c r="O207" s="1">
        <v>-5.2</v>
      </c>
      <c r="P207" s="1">
        <v>-1.5</v>
      </c>
      <c r="Q207">
        <v>-1</v>
      </c>
      <c r="R207">
        <v>0</v>
      </c>
      <c r="S207">
        <v>0</v>
      </c>
    </row>
    <row r="208" spans="1:19" x14ac:dyDescent="0.25">
      <c r="A208" s="1">
        <v>175</v>
      </c>
      <c r="B208" s="1">
        <v>807</v>
      </c>
      <c r="C208" s="1">
        <v>2742</v>
      </c>
      <c r="D208" s="1">
        <v>29.7</v>
      </c>
      <c r="E208" s="1">
        <v>-5.8</v>
      </c>
      <c r="F208" s="1">
        <v>-1.7</v>
      </c>
      <c r="G208">
        <v>-3</v>
      </c>
      <c r="H208">
        <v>-1</v>
      </c>
      <c r="I208">
        <v>0</v>
      </c>
      <c r="K208" s="1">
        <v>175</v>
      </c>
      <c r="L208" s="1">
        <v>869</v>
      </c>
      <c r="M208" s="1">
        <v>3183</v>
      </c>
      <c r="N208" s="1">
        <v>24.2</v>
      </c>
      <c r="O208" s="1">
        <v>-4.8</v>
      </c>
      <c r="P208" s="1">
        <v>-1.4</v>
      </c>
      <c r="Q208">
        <v>-2</v>
      </c>
      <c r="R208">
        <v>0</v>
      </c>
      <c r="S208">
        <v>0</v>
      </c>
    </row>
    <row r="209" spans="1:19" x14ac:dyDescent="0.25">
      <c r="A209" s="1">
        <v>200</v>
      </c>
      <c r="B209" s="1">
        <v>790</v>
      </c>
      <c r="C209" s="1">
        <v>2628</v>
      </c>
      <c r="D209" s="1">
        <v>31</v>
      </c>
      <c r="E209" s="1">
        <v>-5.3</v>
      </c>
      <c r="F209" s="1">
        <v>-1.5</v>
      </c>
      <c r="G209">
        <v>-4</v>
      </c>
      <c r="H209">
        <v>-1</v>
      </c>
      <c r="I209">
        <v>0</v>
      </c>
      <c r="K209" s="1">
        <v>200</v>
      </c>
      <c r="L209" s="1">
        <v>860</v>
      </c>
      <c r="M209" s="1">
        <v>3118</v>
      </c>
      <c r="N209" s="1">
        <v>25.1</v>
      </c>
      <c r="O209" s="1">
        <v>-4.3</v>
      </c>
      <c r="P209" s="1">
        <v>-1.3</v>
      </c>
      <c r="Q209">
        <v>-2</v>
      </c>
      <c r="R209">
        <v>0</v>
      </c>
      <c r="S209">
        <v>0</v>
      </c>
    </row>
    <row r="210" spans="1:19" x14ac:dyDescent="0.25">
      <c r="A210" s="1">
        <v>225</v>
      </c>
      <c r="B210" s="1">
        <v>773</v>
      </c>
      <c r="C210" s="1">
        <v>2517</v>
      </c>
      <c r="D210" s="1">
        <v>31.2</v>
      </c>
      <c r="E210" s="1">
        <v>-4.8</v>
      </c>
      <c r="F210" s="1">
        <v>-1.4</v>
      </c>
      <c r="G210">
        <v>-6</v>
      </c>
      <c r="H210">
        <v>-1</v>
      </c>
      <c r="I210">
        <v>0</v>
      </c>
      <c r="K210" s="1">
        <v>225</v>
      </c>
      <c r="L210" s="1">
        <v>852</v>
      </c>
      <c r="M210" s="1">
        <v>3055</v>
      </c>
      <c r="N210" s="1">
        <v>25.1</v>
      </c>
      <c r="O210" s="1">
        <v>-3.8</v>
      </c>
      <c r="P210" s="1">
        <v>-1.1000000000000001</v>
      </c>
      <c r="Q210">
        <v>-3</v>
      </c>
      <c r="R210">
        <v>0</v>
      </c>
      <c r="S210">
        <v>0</v>
      </c>
    </row>
    <row r="211" spans="1:19" x14ac:dyDescent="0.25">
      <c r="A211" s="1">
        <v>250</v>
      </c>
      <c r="B211" s="1">
        <v>756</v>
      </c>
      <c r="C211" s="1">
        <v>2410</v>
      </c>
      <c r="D211" s="1">
        <v>30.4</v>
      </c>
      <c r="E211" s="1">
        <v>-4.2</v>
      </c>
      <c r="F211" s="1">
        <v>-1.2</v>
      </c>
      <c r="G211">
        <v>-7</v>
      </c>
      <c r="H211">
        <v>-1</v>
      </c>
      <c r="I211">
        <v>0</v>
      </c>
      <c r="K211" s="1">
        <v>250</v>
      </c>
      <c r="L211" s="1">
        <v>843</v>
      </c>
      <c r="M211" s="1">
        <v>2993</v>
      </c>
      <c r="N211" s="1">
        <v>24.3</v>
      </c>
      <c r="O211" s="1">
        <v>-3.3</v>
      </c>
      <c r="P211" s="1">
        <v>-1</v>
      </c>
      <c r="Q211">
        <v>-3</v>
      </c>
      <c r="R211">
        <v>0</v>
      </c>
      <c r="S211">
        <v>0</v>
      </c>
    </row>
    <row r="212" spans="1:19" x14ac:dyDescent="0.25">
      <c r="A212" s="1">
        <v>275</v>
      </c>
      <c r="B212" s="1">
        <v>740</v>
      </c>
      <c r="C212" s="1">
        <v>2306</v>
      </c>
      <c r="D212" s="1">
        <v>28.4</v>
      </c>
      <c r="E212" s="1">
        <v>-3.5</v>
      </c>
      <c r="F212" s="1">
        <v>-1</v>
      </c>
      <c r="G212">
        <v>-9</v>
      </c>
      <c r="H212">
        <v>-1</v>
      </c>
      <c r="I212">
        <v>0</v>
      </c>
      <c r="K212" s="1">
        <v>275</v>
      </c>
      <c r="L212" s="1">
        <v>834</v>
      </c>
      <c r="M212" s="1">
        <v>2931</v>
      </c>
      <c r="N212" s="1">
        <v>22.5</v>
      </c>
      <c r="O212" s="1">
        <v>-2.8</v>
      </c>
      <c r="P212" s="1">
        <v>-0.8</v>
      </c>
      <c r="Q212">
        <v>-4</v>
      </c>
      <c r="R212">
        <v>-1</v>
      </c>
      <c r="S212">
        <v>0</v>
      </c>
    </row>
    <row r="213" spans="1:19" x14ac:dyDescent="0.25">
      <c r="A213" s="1">
        <v>300</v>
      </c>
      <c r="B213" s="1">
        <v>724</v>
      </c>
      <c r="C213" s="1">
        <v>2206</v>
      </c>
      <c r="D213" s="1">
        <v>25.3</v>
      </c>
      <c r="E213" s="1">
        <v>-2.9</v>
      </c>
      <c r="F213" s="1">
        <v>-0.8</v>
      </c>
      <c r="G213">
        <v>-10</v>
      </c>
      <c r="H213">
        <v>-1</v>
      </c>
      <c r="I213">
        <v>0</v>
      </c>
      <c r="K213" s="1">
        <v>300</v>
      </c>
      <c r="L213" s="1">
        <v>825</v>
      </c>
      <c r="M213" s="1">
        <v>2871</v>
      </c>
      <c r="N213" s="1">
        <v>19.899999999999999</v>
      </c>
      <c r="O213" s="1">
        <v>-2.2999999999999998</v>
      </c>
      <c r="P213" s="1">
        <v>-0.7</v>
      </c>
      <c r="Q213">
        <v>-5</v>
      </c>
      <c r="R213">
        <v>-1</v>
      </c>
      <c r="S213">
        <v>0</v>
      </c>
    </row>
    <row r="214" spans="1:19" x14ac:dyDescent="0.25">
      <c r="A214" s="1">
        <v>325</v>
      </c>
      <c r="B214" s="1">
        <v>708</v>
      </c>
      <c r="C214" s="1">
        <v>2109</v>
      </c>
      <c r="D214" s="1">
        <v>21</v>
      </c>
      <c r="E214" s="1">
        <v>-2.2000000000000002</v>
      </c>
      <c r="F214" s="1">
        <v>-0.6</v>
      </c>
      <c r="G214">
        <v>-12</v>
      </c>
      <c r="H214">
        <v>-1</v>
      </c>
      <c r="I214">
        <v>0</v>
      </c>
      <c r="K214" s="1">
        <v>325</v>
      </c>
      <c r="L214" s="1">
        <v>817</v>
      </c>
      <c r="M214" s="1">
        <v>2811</v>
      </c>
      <c r="N214" s="1">
        <v>16.399999999999999</v>
      </c>
      <c r="O214" s="1">
        <v>-1.7</v>
      </c>
      <c r="P214" s="1">
        <v>-0.5</v>
      </c>
      <c r="Q214">
        <v>-6</v>
      </c>
      <c r="R214">
        <v>-1</v>
      </c>
      <c r="S214">
        <v>0</v>
      </c>
    </row>
    <row r="215" spans="1:19" x14ac:dyDescent="0.25">
      <c r="A215" s="1">
        <v>350</v>
      </c>
      <c r="B215" s="1">
        <v>692</v>
      </c>
      <c r="C215" s="1">
        <v>2016</v>
      </c>
      <c r="D215" s="1">
        <v>15.2</v>
      </c>
      <c r="E215" s="1">
        <v>-1.5</v>
      </c>
      <c r="F215" s="1">
        <v>-0.4</v>
      </c>
      <c r="G215">
        <v>-15</v>
      </c>
      <c r="H215">
        <v>-2</v>
      </c>
      <c r="I215">
        <v>0</v>
      </c>
      <c r="K215" s="1">
        <v>350</v>
      </c>
      <c r="L215" s="1">
        <v>808</v>
      </c>
      <c r="M215" s="1">
        <v>2752</v>
      </c>
      <c r="N215" s="1">
        <v>11.8</v>
      </c>
      <c r="O215" s="1">
        <v>-1.2</v>
      </c>
      <c r="P215" s="1">
        <v>-0.3</v>
      </c>
      <c r="Q215">
        <v>-7</v>
      </c>
      <c r="R215">
        <v>-1</v>
      </c>
      <c r="S215">
        <v>0</v>
      </c>
    </row>
    <row r="216" spans="1:19" x14ac:dyDescent="0.25">
      <c r="A216" s="1">
        <v>375</v>
      </c>
      <c r="B216" s="1">
        <v>676</v>
      </c>
      <c r="C216" s="1">
        <v>1926</v>
      </c>
      <c r="D216" s="1">
        <v>8.1999999999999993</v>
      </c>
      <c r="E216" s="1">
        <v>-0.8</v>
      </c>
      <c r="F216" s="1">
        <v>-0.2</v>
      </c>
      <c r="G216">
        <v>-17</v>
      </c>
      <c r="H216">
        <v>-2</v>
      </c>
      <c r="I216">
        <v>0</v>
      </c>
      <c r="K216" s="1">
        <v>375</v>
      </c>
      <c r="L216" s="1">
        <v>800</v>
      </c>
      <c r="M216" s="1">
        <v>2695</v>
      </c>
      <c r="N216" s="1">
        <v>6.4</v>
      </c>
      <c r="O216" s="1">
        <v>-0.6</v>
      </c>
      <c r="P216" s="1">
        <v>-0.2</v>
      </c>
      <c r="Q216">
        <v>-8</v>
      </c>
      <c r="R216">
        <v>-1</v>
      </c>
      <c r="S216">
        <v>0</v>
      </c>
    </row>
    <row r="217" spans="1:19" x14ac:dyDescent="0.25">
      <c r="A217" s="10">
        <v>400</v>
      </c>
      <c r="B217" s="10">
        <v>661</v>
      </c>
      <c r="C217" s="10">
        <v>1839</v>
      </c>
      <c r="D217" s="10">
        <v>-0.1</v>
      </c>
      <c r="E217" s="10">
        <v>0</v>
      </c>
      <c r="F217" s="10">
        <v>0</v>
      </c>
      <c r="G217">
        <v>-20</v>
      </c>
      <c r="H217">
        <v>-2</v>
      </c>
      <c r="I217">
        <v>0</v>
      </c>
      <c r="K217" s="1">
        <v>400</v>
      </c>
      <c r="L217" s="1">
        <v>791</v>
      </c>
      <c r="M217" s="1">
        <v>2638</v>
      </c>
      <c r="N217" s="1">
        <v>0</v>
      </c>
      <c r="O217" s="1">
        <v>0</v>
      </c>
      <c r="P217" s="1">
        <v>0</v>
      </c>
      <c r="Q217">
        <v>-9</v>
      </c>
      <c r="R217">
        <v>-1</v>
      </c>
      <c r="S217">
        <v>0</v>
      </c>
    </row>
    <row r="218" spans="1:19" x14ac:dyDescent="0.25">
      <c r="A218" s="1">
        <v>425</v>
      </c>
      <c r="B218" s="1">
        <v>645</v>
      </c>
      <c r="C218" s="1">
        <v>1755</v>
      </c>
      <c r="D218" s="1">
        <v>-10.3</v>
      </c>
      <c r="E218" s="1">
        <v>0.8</v>
      </c>
      <c r="F218" s="1">
        <v>0.2</v>
      </c>
      <c r="G218">
        <v>-22</v>
      </c>
      <c r="H218">
        <v>-2</v>
      </c>
      <c r="I218">
        <v>-1</v>
      </c>
      <c r="K218" s="1">
        <v>425</v>
      </c>
      <c r="L218" s="1">
        <v>783</v>
      </c>
      <c r="M218" s="1">
        <v>2582</v>
      </c>
      <c r="N218" s="1">
        <v>-7.6</v>
      </c>
      <c r="O218" s="1">
        <v>0.6</v>
      </c>
      <c r="P218" s="1">
        <v>0.2</v>
      </c>
      <c r="Q218">
        <v>-10</v>
      </c>
      <c r="R218">
        <v>-1</v>
      </c>
      <c r="S218">
        <v>0</v>
      </c>
    </row>
    <row r="219" spans="1:19" x14ac:dyDescent="0.25">
      <c r="A219" s="1">
        <v>450</v>
      </c>
      <c r="B219" s="1">
        <v>630</v>
      </c>
      <c r="C219" s="1">
        <v>1674</v>
      </c>
      <c r="D219" s="1">
        <v>-21.7</v>
      </c>
      <c r="E219" s="1">
        <v>1.7</v>
      </c>
      <c r="F219" s="1">
        <v>0.5</v>
      </c>
      <c r="G219">
        <v>-25</v>
      </c>
      <c r="H219">
        <v>-2</v>
      </c>
      <c r="I219">
        <v>-1</v>
      </c>
      <c r="K219" s="1">
        <v>450</v>
      </c>
      <c r="L219" s="1">
        <v>775</v>
      </c>
      <c r="M219" s="1">
        <v>2527</v>
      </c>
      <c r="N219" s="1">
        <v>-16</v>
      </c>
      <c r="O219" s="1">
        <v>1.2</v>
      </c>
      <c r="P219" s="1">
        <v>0.4</v>
      </c>
      <c r="Q219">
        <v>-11</v>
      </c>
      <c r="R219">
        <v>-1</v>
      </c>
      <c r="S219">
        <v>0</v>
      </c>
    </row>
    <row r="220" spans="1:19" x14ac:dyDescent="0.25">
      <c r="A220" s="1">
        <v>475</v>
      </c>
      <c r="B220" s="1">
        <v>615</v>
      </c>
      <c r="C220" s="1">
        <v>1596</v>
      </c>
      <c r="D220" s="1">
        <v>-34.700000000000003</v>
      </c>
      <c r="E220" s="1">
        <v>2.5</v>
      </c>
      <c r="F220" s="1">
        <v>0.7</v>
      </c>
      <c r="G220">
        <v>-28</v>
      </c>
      <c r="H220">
        <v>-2</v>
      </c>
      <c r="I220">
        <v>-1</v>
      </c>
      <c r="K220" s="1">
        <v>475</v>
      </c>
      <c r="L220" s="1">
        <v>766</v>
      </c>
      <c r="M220" s="1">
        <v>2473</v>
      </c>
      <c r="N220" s="1">
        <v>-25.4</v>
      </c>
      <c r="O220" s="1">
        <v>1.8</v>
      </c>
      <c r="P220" s="1">
        <v>0.5</v>
      </c>
      <c r="Q220">
        <v>-13</v>
      </c>
      <c r="R220">
        <v>-1</v>
      </c>
      <c r="S220">
        <v>0</v>
      </c>
    </row>
    <row r="221" spans="1:19" x14ac:dyDescent="0.25">
      <c r="A221" s="1">
        <v>500</v>
      </c>
      <c r="B221" s="1">
        <v>601</v>
      </c>
      <c r="C221" s="1">
        <v>1524</v>
      </c>
      <c r="D221" s="1">
        <v>-49.5</v>
      </c>
      <c r="E221" s="1">
        <v>3.4</v>
      </c>
      <c r="F221" s="1">
        <v>1</v>
      </c>
      <c r="G221">
        <v>-32</v>
      </c>
      <c r="H221">
        <v>-2</v>
      </c>
      <c r="I221">
        <v>-1</v>
      </c>
      <c r="K221" s="1">
        <v>500</v>
      </c>
      <c r="L221" s="1">
        <v>758</v>
      </c>
      <c r="M221" s="1">
        <v>2422</v>
      </c>
      <c r="N221" s="1">
        <v>-35.9</v>
      </c>
      <c r="O221" s="1">
        <v>2.5</v>
      </c>
      <c r="P221" s="1">
        <v>0.7</v>
      </c>
      <c r="Q221">
        <v>-14</v>
      </c>
      <c r="R221">
        <v>-1</v>
      </c>
      <c r="S221">
        <v>0</v>
      </c>
    </row>
    <row r="223" spans="1:19" x14ac:dyDescent="0.25">
      <c r="A223" t="s">
        <v>76</v>
      </c>
      <c r="K223" t="s">
        <v>83</v>
      </c>
    </row>
    <row r="224" spans="1:19" x14ac:dyDescent="0.25">
      <c r="A224" t="s">
        <v>12</v>
      </c>
      <c r="B224" t="s">
        <v>13</v>
      </c>
      <c r="C224" t="s">
        <v>14</v>
      </c>
      <c r="D224" t="s">
        <v>15</v>
      </c>
      <c r="E224" t="s">
        <v>16</v>
      </c>
      <c r="F224" t="s">
        <v>17</v>
      </c>
      <c r="G224" t="s">
        <v>35</v>
      </c>
      <c r="H224" t="s">
        <v>36</v>
      </c>
      <c r="I224" t="s">
        <v>37</v>
      </c>
      <c r="K224" t="s">
        <v>12</v>
      </c>
      <c r="L224" t="s">
        <v>13</v>
      </c>
      <c r="M224" t="s">
        <v>14</v>
      </c>
      <c r="N224" t="s">
        <v>15</v>
      </c>
      <c r="O224" t="s">
        <v>16</v>
      </c>
      <c r="P224" t="s">
        <v>17</v>
      </c>
      <c r="Q224" t="s">
        <v>35</v>
      </c>
      <c r="R224" t="s">
        <v>36</v>
      </c>
      <c r="S224" t="s">
        <v>37</v>
      </c>
    </row>
    <row r="225" spans="1:19" x14ac:dyDescent="0.25">
      <c r="A225" s="1">
        <v>0</v>
      </c>
      <c r="B225" s="1">
        <v>933</v>
      </c>
      <c r="C225" s="1">
        <v>3664</v>
      </c>
      <c r="D225" s="1">
        <v>-3.8</v>
      </c>
      <c r="E225" s="1">
        <v>0</v>
      </c>
      <c r="F225" s="1">
        <v>0</v>
      </c>
      <c r="G225">
        <v>0</v>
      </c>
      <c r="H225">
        <v>0</v>
      </c>
      <c r="I225">
        <v>0</v>
      </c>
      <c r="K225" s="1">
        <v>0</v>
      </c>
      <c r="L225" s="1">
        <v>933</v>
      </c>
      <c r="M225" s="1">
        <v>3664</v>
      </c>
      <c r="N225" s="1">
        <v>-3.8</v>
      </c>
      <c r="O225" s="1">
        <v>0</v>
      </c>
      <c r="P225" s="1">
        <v>0</v>
      </c>
      <c r="Q225">
        <v>0</v>
      </c>
      <c r="R225">
        <v>0</v>
      </c>
      <c r="S225">
        <v>0</v>
      </c>
    </row>
    <row r="226" spans="1:19" x14ac:dyDescent="0.25">
      <c r="A226" s="1">
        <v>25</v>
      </c>
      <c r="B226" s="1">
        <v>914</v>
      </c>
      <c r="C226" s="1">
        <v>3518</v>
      </c>
      <c r="D226" s="1">
        <v>5.8</v>
      </c>
      <c r="E226" s="1">
        <v>-8</v>
      </c>
      <c r="F226" s="1">
        <v>-2.2999999999999998</v>
      </c>
      <c r="G226">
        <v>0</v>
      </c>
      <c r="H226">
        <v>0</v>
      </c>
      <c r="I226">
        <v>0</v>
      </c>
      <c r="K226" s="1">
        <v>25</v>
      </c>
      <c r="L226" s="1">
        <v>923</v>
      </c>
      <c r="M226" s="1">
        <v>3592</v>
      </c>
      <c r="N226" s="1">
        <v>4.2</v>
      </c>
      <c r="O226" s="1">
        <v>-5.8</v>
      </c>
      <c r="P226" s="1">
        <v>-1.7</v>
      </c>
      <c r="Q226">
        <v>0</v>
      </c>
      <c r="R226">
        <v>0</v>
      </c>
      <c r="S226">
        <v>0</v>
      </c>
    </row>
    <row r="227" spans="1:19" x14ac:dyDescent="0.25">
      <c r="A227" s="1">
        <v>50</v>
      </c>
      <c r="B227" s="1">
        <v>895</v>
      </c>
      <c r="C227" s="1">
        <v>3377</v>
      </c>
      <c r="D227" s="1">
        <v>14.9</v>
      </c>
      <c r="E227" s="1">
        <v>-10.199999999999999</v>
      </c>
      <c r="F227" s="1">
        <v>-3</v>
      </c>
      <c r="G227">
        <v>0</v>
      </c>
      <c r="H227">
        <v>0</v>
      </c>
      <c r="I227">
        <v>0</v>
      </c>
      <c r="K227" s="1">
        <v>50</v>
      </c>
      <c r="L227" s="1">
        <v>914</v>
      </c>
      <c r="M227" s="1">
        <v>3521</v>
      </c>
      <c r="N227" s="1">
        <v>11.7</v>
      </c>
      <c r="O227" s="1">
        <v>-8</v>
      </c>
      <c r="P227" s="1">
        <v>-2.2999999999999998</v>
      </c>
      <c r="Q227">
        <v>0</v>
      </c>
      <c r="R227">
        <v>0</v>
      </c>
      <c r="S227">
        <v>0</v>
      </c>
    </row>
    <row r="228" spans="1:19" x14ac:dyDescent="0.25">
      <c r="A228" s="1">
        <v>75</v>
      </c>
      <c r="B228" s="1">
        <v>877</v>
      </c>
      <c r="C228" s="1">
        <v>3242</v>
      </c>
      <c r="D228" s="1">
        <v>22.9</v>
      </c>
      <c r="E228" s="1">
        <v>-10.5</v>
      </c>
      <c r="F228" s="1">
        <v>-3.1</v>
      </c>
      <c r="G228">
        <v>-1</v>
      </c>
      <c r="H228">
        <v>0</v>
      </c>
      <c r="I228">
        <v>0</v>
      </c>
      <c r="K228" s="1">
        <v>75</v>
      </c>
      <c r="L228" s="1">
        <v>905</v>
      </c>
      <c r="M228" s="1">
        <v>3451</v>
      </c>
      <c r="N228" s="1">
        <v>18.2</v>
      </c>
      <c r="O228" s="1">
        <v>-8.3000000000000007</v>
      </c>
      <c r="P228" s="1">
        <v>-2.4</v>
      </c>
      <c r="Q228">
        <v>0</v>
      </c>
      <c r="R228">
        <v>0</v>
      </c>
      <c r="S228">
        <v>0</v>
      </c>
    </row>
    <row r="229" spans="1:19" x14ac:dyDescent="0.25">
      <c r="A229" s="1">
        <v>100</v>
      </c>
      <c r="B229" s="1">
        <v>859</v>
      </c>
      <c r="C229" s="1">
        <v>3110</v>
      </c>
      <c r="D229" s="1">
        <v>30.2</v>
      </c>
      <c r="E229" s="1">
        <v>-10.4</v>
      </c>
      <c r="F229" s="1">
        <v>-3</v>
      </c>
      <c r="G229">
        <v>-1</v>
      </c>
      <c r="H229">
        <v>0</v>
      </c>
      <c r="I229">
        <v>0</v>
      </c>
      <c r="K229" s="1">
        <v>100</v>
      </c>
      <c r="L229" s="1">
        <v>896</v>
      </c>
      <c r="M229" s="1">
        <v>3382</v>
      </c>
      <c r="N229" s="1">
        <v>24</v>
      </c>
      <c r="O229" s="1">
        <v>-8.1999999999999993</v>
      </c>
      <c r="P229" s="1">
        <v>-2.4</v>
      </c>
      <c r="Q229">
        <v>-1</v>
      </c>
      <c r="R229">
        <v>0</v>
      </c>
      <c r="S229">
        <v>0</v>
      </c>
    </row>
    <row r="230" spans="1:19" x14ac:dyDescent="0.25">
      <c r="A230" s="1">
        <v>125</v>
      </c>
      <c r="B230" s="1">
        <v>842</v>
      </c>
      <c r="C230" s="1">
        <v>2983</v>
      </c>
      <c r="D230" s="1">
        <v>36.799999999999997</v>
      </c>
      <c r="E230" s="1">
        <v>-10.1</v>
      </c>
      <c r="F230" s="1">
        <v>-2.9</v>
      </c>
      <c r="G230">
        <v>-2</v>
      </c>
      <c r="H230">
        <v>0</v>
      </c>
      <c r="I230">
        <v>0</v>
      </c>
      <c r="K230" s="1">
        <v>125</v>
      </c>
      <c r="L230" s="1">
        <v>887</v>
      </c>
      <c r="M230" s="1">
        <v>3315</v>
      </c>
      <c r="N230" s="1">
        <v>29.1</v>
      </c>
      <c r="O230" s="1">
        <v>-8</v>
      </c>
      <c r="P230" s="1">
        <v>-2.2999999999999998</v>
      </c>
      <c r="Q230">
        <v>-1</v>
      </c>
      <c r="R230">
        <v>0</v>
      </c>
      <c r="S230">
        <v>0</v>
      </c>
    </row>
    <row r="231" spans="1:19" x14ac:dyDescent="0.25">
      <c r="A231" s="1">
        <v>150</v>
      </c>
      <c r="B231" s="1">
        <v>824</v>
      </c>
      <c r="C231" s="1">
        <v>2861</v>
      </c>
      <c r="D231" s="1">
        <v>42.3</v>
      </c>
      <c r="E231" s="1">
        <v>-9.6999999999999993</v>
      </c>
      <c r="F231" s="1">
        <v>-2.8</v>
      </c>
      <c r="G231">
        <v>-2</v>
      </c>
      <c r="H231">
        <v>-1</v>
      </c>
      <c r="I231">
        <v>0</v>
      </c>
      <c r="K231" s="1">
        <v>150</v>
      </c>
      <c r="L231" s="1">
        <v>878</v>
      </c>
      <c r="M231" s="1">
        <v>3248</v>
      </c>
      <c r="N231" s="1">
        <v>33.4</v>
      </c>
      <c r="O231" s="1">
        <v>-7.6</v>
      </c>
      <c r="P231" s="1">
        <v>-2.2000000000000002</v>
      </c>
      <c r="Q231">
        <v>-1</v>
      </c>
      <c r="R231">
        <v>0</v>
      </c>
      <c r="S231">
        <v>0</v>
      </c>
    </row>
    <row r="232" spans="1:19" x14ac:dyDescent="0.25">
      <c r="A232" s="1">
        <v>175</v>
      </c>
      <c r="B232" s="1">
        <v>807</v>
      </c>
      <c r="C232" s="1">
        <v>2742</v>
      </c>
      <c r="D232" s="1">
        <v>47</v>
      </c>
      <c r="E232" s="1">
        <v>-9.1999999999999993</v>
      </c>
      <c r="F232" s="1">
        <v>-2.7</v>
      </c>
      <c r="G232">
        <v>-3</v>
      </c>
      <c r="H232">
        <v>-1</v>
      </c>
      <c r="I232">
        <v>0</v>
      </c>
      <c r="K232" s="1">
        <v>175</v>
      </c>
      <c r="L232" s="1">
        <v>869</v>
      </c>
      <c r="M232" s="1">
        <v>3183</v>
      </c>
      <c r="N232" s="1">
        <v>36.799999999999997</v>
      </c>
      <c r="O232" s="1">
        <v>-7.2</v>
      </c>
      <c r="P232" s="1">
        <v>-2.1</v>
      </c>
      <c r="Q232">
        <v>-2</v>
      </c>
      <c r="R232">
        <v>0</v>
      </c>
      <c r="S232">
        <v>0</v>
      </c>
    </row>
    <row r="233" spans="1:19" x14ac:dyDescent="0.25">
      <c r="A233" s="1">
        <v>200</v>
      </c>
      <c r="B233" s="1">
        <v>790</v>
      </c>
      <c r="C233" s="1">
        <v>2628</v>
      </c>
      <c r="D233" s="1">
        <v>50.8</v>
      </c>
      <c r="E233" s="1">
        <v>-8.6999999999999993</v>
      </c>
      <c r="F233" s="1">
        <v>-2.5</v>
      </c>
      <c r="G233">
        <v>-4</v>
      </c>
      <c r="H233">
        <v>-1</v>
      </c>
      <c r="I233">
        <v>0</v>
      </c>
      <c r="K233" s="1">
        <v>200</v>
      </c>
      <c r="L233" s="1">
        <v>860</v>
      </c>
      <c r="M233" s="1">
        <v>3118</v>
      </c>
      <c r="N233" s="1">
        <v>39.5</v>
      </c>
      <c r="O233" s="1">
        <v>-6.8</v>
      </c>
      <c r="P233" s="1">
        <v>-2</v>
      </c>
      <c r="Q233">
        <v>-2</v>
      </c>
      <c r="R233">
        <v>0</v>
      </c>
      <c r="S233">
        <v>0</v>
      </c>
    </row>
    <row r="234" spans="1:19" x14ac:dyDescent="0.25">
      <c r="A234" s="1">
        <v>225</v>
      </c>
      <c r="B234" s="1">
        <v>773</v>
      </c>
      <c r="C234" s="1">
        <v>2517</v>
      </c>
      <c r="D234" s="1">
        <v>53.4</v>
      </c>
      <c r="E234" s="1">
        <v>-8.1999999999999993</v>
      </c>
      <c r="F234" s="1">
        <v>-2.4</v>
      </c>
      <c r="G234">
        <v>-6</v>
      </c>
      <c r="H234">
        <v>-1</v>
      </c>
      <c r="I234">
        <v>0</v>
      </c>
      <c r="K234" s="1">
        <v>225</v>
      </c>
      <c r="L234" s="1">
        <v>852</v>
      </c>
      <c r="M234" s="1">
        <v>3055</v>
      </c>
      <c r="N234" s="1">
        <v>41.3</v>
      </c>
      <c r="O234" s="1">
        <v>-6.3</v>
      </c>
      <c r="P234" s="1">
        <v>-1.8</v>
      </c>
      <c r="Q234">
        <v>-3</v>
      </c>
      <c r="R234">
        <v>0</v>
      </c>
      <c r="S234">
        <v>0</v>
      </c>
    </row>
    <row r="235" spans="1:19" x14ac:dyDescent="0.25">
      <c r="A235" s="1">
        <v>250</v>
      </c>
      <c r="B235" s="1">
        <v>756</v>
      </c>
      <c r="C235" s="1">
        <v>2410</v>
      </c>
      <c r="D235" s="1">
        <v>55</v>
      </c>
      <c r="E235" s="1">
        <v>-7.6</v>
      </c>
      <c r="F235" s="1">
        <v>-2.2000000000000002</v>
      </c>
      <c r="G235">
        <v>-7</v>
      </c>
      <c r="H235">
        <v>-1</v>
      </c>
      <c r="I235">
        <v>0</v>
      </c>
      <c r="K235" s="1">
        <v>250</v>
      </c>
      <c r="L235" s="1">
        <v>843</v>
      </c>
      <c r="M235" s="1">
        <v>2993</v>
      </c>
      <c r="N235" s="1">
        <v>42.2</v>
      </c>
      <c r="O235" s="1">
        <v>-5.8</v>
      </c>
      <c r="P235" s="1">
        <v>-1.7</v>
      </c>
      <c r="Q235">
        <v>-3</v>
      </c>
      <c r="R235">
        <v>0</v>
      </c>
      <c r="S235">
        <v>0</v>
      </c>
    </row>
    <row r="236" spans="1:19" x14ac:dyDescent="0.25">
      <c r="A236" s="1">
        <v>275</v>
      </c>
      <c r="B236" s="1">
        <v>740</v>
      </c>
      <c r="C236" s="1">
        <v>2306</v>
      </c>
      <c r="D236" s="1">
        <v>55.6</v>
      </c>
      <c r="E236" s="1">
        <v>-6.9</v>
      </c>
      <c r="F236" s="1">
        <v>-2</v>
      </c>
      <c r="G236">
        <v>-9</v>
      </c>
      <c r="H236">
        <v>-1</v>
      </c>
      <c r="I236">
        <v>0</v>
      </c>
      <c r="K236" s="1">
        <v>275</v>
      </c>
      <c r="L236" s="1">
        <v>834</v>
      </c>
      <c r="M236" s="1">
        <v>2931</v>
      </c>
      <c r="N236" s="1">
        <v>42.3</v>
      </c>
      <c r="O236" s="1">
        <v>-5.3</v>
      </c>
      <c r="P236" s="1">
        <v>-1.5</v>
      </c>
      <c r="Q236">
        <v>-4</v>
      </c>
      <c r="R236">
        <v>-1</v>
      </c>
      <c r="S236">
        <v>0</v>
      </c>
    </row>
    <row r="237" spans="1:19" x14ac:dyDescent="0.25">
      <c r="A237" s="1">
        <v>300</v>
      </c>
      <c r="B237" s="1">
        <v>724</v>
      </c>
      <c r="C237" s="1">
        <v>2206</v>
      </c>
      <c r="D237" s="1">
        <v>54.9</v>
      </c>
      <c r="E237" s="1">
        <v>-6.3</v>
      </c>
      <c r="F237" s="1">
        <v>-1.8</v>
      </c>
      <c r="G237">
        <v>-10</v>
      </c>
      <c r="H237">
        <v>-1</v>
      </c>
      <c r="I237">
        <v>0</v>
      </c>
      <c r="K237" s="1">
        <v>300</v>
      </c>
      <c r="L237" s="1">
        <v>825</v>
      </c>
      <c r="M237" s="1">
        <v>2871</v>
      </c>
      <c r="N237" s="1">
        <v>41.5</v>
      </c>
      <c r="O237" s="1">
        <v>-4.8</v>
      </c>
      <c r="P237" s="1">
        <v>-1.4</v>
      </c>
      <c r="Q237">
        <v>-5</v>
      </c>
      <c r="R237">
        <v>-1</v>
      </c>
      <c r="S237">
        <v>0</v>
      </c>
    </row>
    <row r="238" spans="1:19" x14ac:dyDescent="0.25">
      <c r="A238" s="1">
        <v>325</v>
      </c>
      <c r="B238" s="1">
        <v>708</v>
      </c>
      <c r="C238" s="1">
        <v>2109</v>
      </c>
      <c r="D238" s="1">
        <v>53.1</v>
      </c>
      <c r="E238" s="1">
        <v>-5.6</v>
      </c>
      <c r="F238" s="1">
        <v>-1.6</v>
      </c>
      <c r="G238">
        <v>-12</v>
      </c>
      <c r="H238">
        <v>-1</v>
      </c>
      <c r="I238">
        <v>0</v>
      </c>
      <c r="K238" s="1">
        <v>325</v>
      </c>
      <c r="L238" s="1">
        <v>817</v>
      </c>
      <c r="M238" s="1">
        <v>2811</v>
      </c>
      <c r="N238" s="1">
        <v>39.799999999999997</v>
      </c>
      <c r="O238" s="1">
        <v>-4.2</v>
      </c>
      <c r="P238" s="1">
        <v>-1.2</v>
      </c>
      <c r="Q238">
        <v>-6</v>
      </c>
      <c r="R238">
        <v>-1</v>
      </c>
      <c r="S238">
        <v>0</v>
      </c>
    </row>
    <row r="239" spans="1:19" x14ac:dyDescent="0.25">
      <c r="A239" s="1">
        <v>350</v>
      </c>
      <c r="B239" s="1">
        <v>692</v>
      </c>
      <c r="C239" s="1">
        <v>2016</v>
      </c>
      <c r="D239" s="1">
        <v>49.8</v>
      </c>
      <c r="E239" s="1">
        <v>-4.9000000000000004</v>
      </c>
      <c r="F239" s="1">
        <v>-1.4</v>
      </c>
      <c r="G239">
        <v>-15</v>
      </c>
      <c r="H239">
        <v>-2</v>
      </c>
      <c r="I239">
        <v>0</v>
      </c>
      <c r="K239" s="1">
        <v>350</v>
      </c>
      <c r="L239" s="1">
        <v>808</v>
      </c>
      <c r="M239" s="1">
        <v>2752</v>
      </c>
      <c r="N239" s="1">
        <v>37</v>
      </c>
      <c r="O239" s="1">
        <v>-3.6</v>
      </c>
      <c r="P239" s="1">
        <v>-1.1000000000000001</v>
      </c>
      <c r="Q239">
        <v>-7</v>
      </c>
      <c r="R239">
        <v>-1</v>
      </c>
      <c r="S239">
        <v>0</v>
      </c>
    </row>
    <row r="240" spans="1:19" x14ac:dyDescent="0.25">
      <c r="A240" s="1">
        <v>375</v>
      </c>
      <c r="B240" s="1">
        <v>676</v>
      </c>
      <c r="C240" s="1">
        <v>1926</v>
      </c>
      <c r="D240" s="1">
        <v>45.3</v>
      </c>
      <c r="E240" s="1">
        <v>-4.2</v>
      </c>
      <c r="F240" s="1">
        <v>-1.2</v>
      </c>
      <c r="G240">
        <v>-17</v>
      </c>
      <c r="H240">
        <v>-2</v>
      </c>
      <c r="I240">
        <v>0</v>
      </c>
      <c r="K240" s="1">
        <v>375</v>
      </c>
      <c r="L240" s="1">
        <v>800</v>
      </c>
      <c r="M240" s="1">
        <v>2695</v>
      </c>
      <c r="N240" s="1">
        <v>33.4</v>
      </c>
      <c r="O240" s="1">
        <v>-3.1</v>
      </c>
      <c r="P240" s="1">
        <v>-0.9</v>
      </c>
      <c r="Q240">
        <v>-8</v>
      </c>
      <c r="R240">
        <v>-1</v>
      </c>
      <c r="S240">
        <v>0</v>
      </c>
    </row>
    <row r="241" spans="1:19" x14ac:dyDescent="0.25">
      <c r="A241" s="1">
        <v>400</v>
      </c>
      <c r="B241" s="1">
        <v>661</v>
      </c>
      <c r="C241" s="1">
        <v>1839</v>
      </c>
      <c r="D241" s="1">
        <v>39.4</v>
      </c>
      <c r="E241" s="1">
        <v>-3.4</v>
      </c>
      <c r="F241" s="1">
        <v>-1</v>
      </c>
      <c r="G241">
        <v>-20</v>
      </c>
      <c r="H241">
        <v>-2</v>
      </c>
      <c r="I241">
        <v>0</v>
      </c>
      <c r="K241" s="1">
        <v>400</v>
      </c>
      <c r="L241" s="1">
        <v>791</v>
      </c>
      <c r="M241" s="1">
        <v>2638</v>
      </c>
      <c r="N241" s="1">
        <v>28.8</v>
      </c>
      <c r="O241" s="1">
        <v>-2.5</v>
      </c>
      <c r="P241" s="1">
        <v>-0.7</v>
      </c>
      <c r="Q241">
        <v>-9</v>
      </c>
      <c r="R241">
        <v>-1</v>
      </c>
      <c r="S241">
        <v>0</v>
      </c>
    </row>
    <row r="242" spans="1:19" x14ac:dyDescent="0.25">
      <c r="A242" s="1">
        <v>425</v>
      </c>
      <c r="B242" s="1">
        <v>645</v>
      </c>
      <c r="C242" s="1">
        <v>1755</v>
      </c>
      <c r="D242" s="1">
        <v>31.7</v>
      </c>
      <c r="E242" s="1">
        <v>-2.6</v>
      </c>
      <c r="F242" s="1">
        <v>-0.7</v>
      </c>
      <c r="G242">
        <v>-22</v>
      </c>
      <c r="H242">
        <v>-2</v>
      </c>
      <c r="I242">
        <v>-1</v>
      </c>
      <c r="K242" s="1">
        <v>425</v>
      </c>
      <c r="L242" s="1">
        <v>783</v>
      </c>
      <c r="M242" s="1">
        <v>2582</v>
      </c>
      <c r="N242" s="1">
        <v>23</v>
      </c>
      <c r="O242" s="1">
        <v>-1.9</v>
      </c>
      <c r="P242" s="1">
        <v>-0.5</v>
      </c>
      <c r="Q242">
        <v>-10</v>
      </c>
      <c r="R242">
        <v>-1</v>
      </c>
      <c r="S242">
        <v>0</v>
      </c>
    </row>
    <row r="243" spans="1:19" x14ac:dyDescent="0.25">
      <c r="A243" s="1">
        <v>450</v>
      </c>
      <c r="B243" s="1">
        <v>630</v>
      </c>
      <c r="C243" s="1">
        <v>1674</v>
      </c>
      <c r="D243" s="1">
        <v>22.8</v>
      </c>
      <c r="E243" s="1">
        <v>-1.7</v>
      </c>
      <c r="F243" s="1">
        <v>-0.5</v>
      </c>
      <c r="G243">
        <v>-25</v>
      </c>
      <c r="H243">
        <v>-2</v>
      </c>
      <c r="I243">
        <v>-1</v>
      </c>
      <c r="K243" s="1">
        <v>450</v>
      </c>
      <c r="L243" s="1">
        <v>775</v>
      </c>
      <c r="M243" s="1">
        <v>2527</v>
      </c>
      <c r="N243" s="1">
        <v>16.399999999999999</v>
      </c>
      <c r="O243" s="1">
        <v>-1.3</v>
      </c>
      <c r="P243" s="1">
        <v>-0.4</v>
      </c>
      <c r="Q243">
        <v>-11</v>
      </c>
      <c r="R243">
        <v>-1</v>
      </c>
      <c r="S243">
        <v>0</v>
      </c>
    </row>
    <row r="244" spans="1:19" x14ac:dyDescent="0.25">
      <c r="A244" s="1">
        <v>475</v>
      </c>
      <c r="B244" s="1">
        <v>615</v>
      </c>
      <c r="C244" s="1">
        <v>1596</v>
      </c>
      <c r="D244" s="1">
        <v>12.2</v>
      </c>
      <c r="E244" s="1">
        <v>-0.9</v>
      </c>
      <c r="F244" s="1">
        <v>-0.3</v>
      </c>
      <c r="G244">
        <v>-28</v>
      </c>
      <c r="H244">
        <v>-2</v>
      </c>
      <c r="I244">
        <v>-1</v>
      </c>
      <c r="K244" s="1">
        <v>475</v>
      </c>
      <c r="L244" s="1">
        <v>766</v>
      </c>
      <c r="M244" s="1">
        <v>2473</v>
      </c>
      <c r="N244" s="1">
        <v>8.6999999999999993</v>
      </c>
      <c r="O244" s="1">
        <v>-0.6</v>
      </c>
      <c r="P244" s="1">
        <v>-0.2</v>
      </c>
      <c r="Q244">
        <v>-13</v>
      </c>
      <c r="R244">
        <v>-1</v>
      </c>
      <c r="S244">
        <v>0</v>
      </c>
    </row>
    <row r="245" spans="1:19" x14ac:dyDescent="0.25">
      <c r="A245" s="10">
        <v>500</v>
      </c>
      <c r="B245" s="10">
        <v>601</v>
      </c>
      <c r="C245" s="10">
        <v>1524</v>
      </c>
      <c r="D245" s="10">
        <v>-0.1</v>
      </c>
      <c r="E245" s="10">
        <v>0</v>
      </c>
      <c r="F245" s="10">
        <v>0</v>
      </c>
      <c r="G245">
        <v>-32</v>
      </c>
      <c r="H245">
        <v>-2</v>
      </c>
      <c r="I245">
        <v>-1</v>
      </c>
      <c r="K245" s="1">
        <v>500</v>
      </c>
      <c r="L245" s="1">
        <v>758</v>
      </c>
      <c r="M245" s="1">
        <v>2422</v>
      </c>
      <c r="N245" s="1">
        <v>0</v>
      </c>
      <c r="O245" s="1">
        <v>0</v>
      </c>
      <c r="P245" s="1">
        <v>0</v>
      </c>
      <c r="Q245">
        <v>-14</v>
      </c>
      <c r="R245">
        <v>-1</v>
      </c>
      <c r="S245">
        <v>0</v>
      </c>
    </row>
    <row r="246" spans="1:19" x14ac:dyDescent="0.25">
      <c r="A246" s="10"/>
      <c r="B246" s="10"/>
      <c r="C246" s="10"/>
      <c r="D246" s="10"/>
      <c r="E246" s="10"/>
      <c r="F246" s="10"/>
    </row>
    <row r="247" spans="1:19" ht="33.75" customHeight="1" x14ac:dyDescent="0.25">
      <c r="A247" t="s">
        <v>55</v>
      </c>
      <c r="B247" s="13" t="s">
        <v>6</v>
      </c>
      <c r="C247" s="13" t="s">
        <v>7</v>
      </c>
      <c r="D247" s="13" t="s">
        <v>8</v>
      </c>
      <c r="E247" s="13" t="s">
        <v>9</v>
      </c>
      <c r="F247" s="13" t="s">
        <v>10</v>
      </c>
      <c r="G247" s="13" t="s">
        <v>32</v>
      </c>
      <c r="H247" s="13" t="s">
        <v>33</v>
      </c>
      <c r="I247" s="30" t="s">
        <v>56</v>
      </c>
    </row>
    <row r="248" spans="1:19" x14ac:dyDescent="0.25">
      <c r="A248" t="s">
        <v>57</v>
      </c>
      <c r="B248" s="31" cm="1">
        <f t="array" ref="B248">INDEX(LINEST(J$23:J$35,$A$23:$A$35^{1,2,3}), 1,4)</f>
        <v>-6.1933112042503513</v>
      </c>
      <c r="C248" s="31" cm="1">
        <f t="array" ref="C248">INDEX(LINEST(K$23:K$35,$A$23:$A$35^{1,2,3}), 1,4)</f>
        <v>-4.8694985782550866</v>
      </c>
      <c r="D248" s="31" cm="1">
        <f t="array" ref="D248">INDEX(LINEST(L$23:L$35,$A$23:$A$35^{1,2,3}), 1,4)</f>
        <v>-4.7144518377749627</v>
      </c>
      <c r="E248" s="31" cm="1">
        <f t="array" ref="E248">INDEX(LINEST(M$23:M$35,$A$23:$A$35^{1,2,3}), 1,4)</f>
        <v>-4.1395765149336547</v>
      </c>
      <c r="F248" s="31" cm="1">
        <f t="array" ref="F248">INDEX(LINEST(N$23:N$35,$A$23:$A$35^{1,2,3}), 1,4)</f>
        <v>-4.4573854829470001</v>
      </c>
      <c r="G248" s="31" cm="1">
        <f t="array" ref="G248">INDEX(LINEST(O$23:O$35,$A$23:$A$35^{1,2,3}), 1,4)</f>
        <v>-4.5085184824344626</v>
      </c>
      <c r="H248" s="31" cm="1">
        <f t="array" ref="H248">INDEX(LINEST(P$23:P$35,$A$23:$A$35^{1,2,3}), 1,4)</f>
        <v>-4.0513726311449911</v>
      </c>
      <c r="I248" s="32" cm="1">
        <f t="array" ref="I248">INDEX(LINEST(B$23:B$35,$A$23:$A$35^{1,2,3}), 1,4)</f>
        <v>3677.7833079753796</v>
      </c>
    </row>
    <row r="249" spans="1:19" x14ac:dyDescent="0.25">
      <c r="A249" t="s">
        <v>58</v>
      </c>
      <c r="B249" s="32" cm="1">
        <f t="array" ref="B249">INDEX(LINEST(J$23:J$35,$A$23:$A$35^{1,2,3}), 1,3)</f>
        <v>0.19562877537663143</v>
      </c>
      <c r="C249" s="32" cm="1">
        <f t="array" ref="C249">INDEX(LINEST(K$23:K$35,$A$23:$A$35^{1,2,3}), 1,3)</f>
        <v>0.10453622252007901</v>
      </c>
      <c r="D249" s="32" cm="1">
        <f t="array" ref="D249">INDEX(LINEST(L$23:L$35,$A$23:$A$35^{1,2,3}), 1,3)</f>
        <v>0.12358195987130127</v>
      </c>
      <c r="E249" s="32" cm="1">
        <f t="array" ref="E249">INDEX(LINEST(M$23:M$35,$A$23:$A$35^{1,2,3}), 1,3)</f>
        <v>0.13710180199291902</v>
      </c>
      <c r="F249" s="32" cm="1">
        <f t="array" ref="F249">INDEX(LINEST(N$23:N$35,$A$23:$A$35^{1,2,3}), 1,3)</f>
        <v>0.18647594166204701</v>
      </c>
      <c r="G249" s="32" cm="1">
        <f t="array" ref="G249">INDEX(LINEST(O$23:O$35,$A$23:$A$35^{1,2,3}), 1,3)</f>
        <v>0.2881286859943672</v>
      </c>
      <c r="H249" s="32" cm="1">
        <f t="array" ref="H249">INDEX(LINEST(P$23:P$35,$A$23:$A$35^{1,2,3}), 1,3)</f>
        <v>0.36925476656351702</v>
      </c>
      <c r="I249" s="32" cm="1">
        <f t="array" ref="I249">INDEX(LINEST(B$23:B$35,$A$23:$A$35^{1,2,3}), 1,3)</f>
        <v>-5.6752912127347805</v>
      </c>
    </row>
    <row r="250" spans="1:19" x14ac:dyDescent="0.25">
      <c r="A250" t="s">
        <v>59</v>
      </c>
      <c r="B250" s="32" cm="1">
        <f t="array" ref="B250">INDEX(LINEST(J$23:J$35,$A$23:$A$35^{1,2,3}), 1,2)</f>
        <v>-8.2147708501691043E-4</v>
      </c>
      <c r="C250" s="32" cm="1">
        <f t="array" ref="C250">INDEX(LINEST(K$23:K$35,$A$23:$A$35^{1,2,3}), 1,2)</f>
        <v>-4.8313162139757064E-4</v>
      </c>
      <c r="D250" s="32" cm="1">
        <f t="array" ref="D250">INDEX(LINEST(L$23:L$35,$A$23:$A$35^{1,2,3}), 1,2)</f>
        <v>-5.357469823743632E-4</v>
      </c>
      <c r="E250" s="32" cm="1">
        <f t="array" ref="E250">INDEX(LINEST(M$23:M$35,$A$23:$A$35^{1,2,3}), 1,2)</f>
        <v>-4.2676427479425164E-4</v>
      </c>
      <c r="F250" s="32" cm="1">
        <f t="array" ref="F250">INDEX(LINEST(N$23:N$35,$A$23:$A$35^{1,2,3}), 1,2)</f>
        <v>-3.1353439135732819E-4</v>
      </c>
      <c r="G250" s="32" cm="1">
        <f t="array" ref="G250">INDEX(LINEST(O$23:O$35,$A$23:$A$35^{1,2,3}), 1,2)</f>
        <v>-4.0419130883018623E-4</v>
      </c>
      <c r="H250" s="32" cm="1">
        <f t="array" ref="H250">INDEX(LINEST(P$23:P$35,$A$23:$A$35^{1,2,3}), 1,2)</f>
        <v>-3.6518521003446207E-4</v>
      </c>
      <c r="I250" s="32" cm="1">
        <f t="array" ref="I250">INDEX(LINEST(B$23:B$35,$A$23:$A$35^{1,2,3}), 1,2)</f>
        <v>2.8445293878114537E-3</v>
      </c>
    </row>
    <row r="251" spans="1:19" x14ac:dyDescent="0.25">
      <c r="A251" t="s">
        <v>60</v>
      </c>
      <c r="B251" s="31" cm="1">
        <f t="array" ref="B251">INDEX(LINEST(J$23:J$35,$A$23:$A$35^{1,2,3}), 1)</f>
        <v>-2.0548640693332004E-7</v>
      </c>
      <c r="C251" s="31" cm="1">
        <f t="array" ref="C251">INDEX(LINEST(K$23:K$35,$A$23:$A$35^{1,2,3}), 1)</f>
        <v>-5.4800649227096873E-7</v>
      </c>
      <c r="D251" s="31" cm="1">
        <f t="array" ref="D251">INDEX(LINEST(L$23:L$35,$A$23:$A$35^{1,2,3}), 1)</f>
        <v>-4.9851439104790551E-7</v>
      </c>
      <c r="E251" s="31" cm="1">
        <f t="array" ref="E251">INDEX(LINEST(M$23:M$35,$A$23:$A$35^{1,2,3}), 1)</f>
        <v>-6.6494027432369847E-7</v>
      </c>
      <c r="F251" s="31" cm="1">
        <f t="array" ref="F251">INDEX(LINEST(N$23:N$35,$A$23:$A$35^{1,2,3}), 1)</f>
        <v>-8.2167244941193892E-7</v>
      </c>
      <c r="G251" s="31" cm="1">
        <f t="array" ref="G251">INDEX(LINEST(O$23:O$35,$A$23:$A$35^{1,2,3}), 1)</f>
        <v>-7.1991529003742686E-7</v>
      </c>
      <c r="H251" s="31" cm="1">
        <f t="array" ref="H251">INDEX(LINEST(P$23:P$35,$A$23:$A$35^{1,2,3}), 1)</f>
        <v>-7.1825022535668233E-7</v>
      </c>
      <c r="I251" s="32" cm="1">
        <f t="array" ref="I251">INDEX(LINEST(B$23:B$35,$A$23:$A$35^{1,2,3}), 1)</f>
        <v>8.5753967745046648E-8</v>
      </c>
    </row>
    <row r="252" spans="1:19" x14ac:dyDescent="0.25">
      <c r="A252" t="s">
        <v>61</v>
      </c>
      <c r="B252" s="31"/>
      <c r="C252" s="31"/>
      <c r="D252" s="32"/>
      <c r="E252" s="32"/>
      <c r="F252" s="32"/>
      <c r="G252" s="32"/>
      <c r="H252" s="32"/>
      <c r="I252" s="32"/>
    </row>
    <row r="253" spans="1:19" x14ac:dyDescent="0.25">
      <c r="A253" t="s">
        <v>62</v>
      </c>
      <c r="B253" s="31"/>
      <c r="C253" s="31"/>
      <c r="D253" s="32"/>
      <c r="E253" s="32"/>
      <c r="F253" s="32"/>
      <c r="G253" s="32"/>
      <c r="H253" s="32"/>
      <c r="I253" s="32"/>
    </row>
    <row r="254" spans="1:19" x14ac:dyDescent="0.25">
      <c r="A254" t="s">
        <v>63</v>
      </c>
      <c r="B254" s="31"/>
      <c r="C254" s="31"/>
      <c r="D254" s="32"/>
      <c r="E254" s="32"/>
      <c r="F254" s="32"/>
      <c r="G254" s="32"/>
      <c r="H254" s="32"/>
      <c r="I254" s="32"/>
    </row>
    <row r="255" spans="1:19" x14ac:dyDescent="0.25">
      <c r="B255" s="31"/>
      <c r="C255" s="31"/>
      <c r="D255" s="31"/>
      <c r="E255" s="31"/>
      <c r="F255" s="31"/>
      <c r="G255" s="31"/>
      <c r="H255" s="31"/>
      <c r="I255" s="31"/>
    </row>
    <row r="256" spans="1:19" x14ac:dyDescent="0.25">
      <c r="A256" t="s">
        <v>64</v>
      </c>
    </row>
    <row r="257" spans="1:9" x14ac:dyDescent="0.25">
      <c r="A257" s="25" t="s">
        <v>4</v>
      </c>
      <c r="B257" s="24"/>
      <c r="C257" s="24"/>
    </row>
    <row r="258" spans="1:9" x14ac:dyDescent="0.25">
      <c r="A258" s="1">
        <v>0</v>
      </c>
      <c r="B258" s="2" cm="1">
        <f t="array" ref="B258">TrajectoryToComeUp(B$248:B$251,$A258)</f>
        <v>0</v>
      </c>
      <c r="C258" s="2" cm="1">
        <f t="array" ref="C258">TrajectoryToComeUp(C$248:C$251,$A258)</f>
        <v>0</v>
      </c>
      <c r="D258" s="2" cm="1">
        <f t="array" ref="D258">TrajectoryToComeUp(D$248:D$251,$A258)</f>
        <v>0</v>
      </c>
      <c r="E258" s="2" cm="1">
        <f t="array" ref="E258">TrajectoryToComeUp(E$248:E$251,$A258)</f>
        <v>0</v>
      </c>
      <c r="F258" s="2" cm="1">
        <f t="array" ref="F258">TrajectoryToComeUp(F$248:F$251,$A258)</f>
        <v>0</v>
      </c>
      <c r="G258" s="2" cm="1">
        <f t="array" ref="G258">TrajectoryToComeUp(G$248:G$251,$A258)</f>
        <v>0</v>
      </c>
      <c r="H258" s="2" cm="1">
        <f t="array" ref="H258">TrajectoryToComeUp(H$248:H$251,$A258)</f>
        <v>0</v>
      </c>
      <c r="I258" s="2" cm="1">
        <f t="array" ref="I258">EvaluatePolynomial(I$248:I$251,$A258)</f>
        <v>3677.7833079753796</v>
      </c>
    </row>
    <row r="259" spans="1:9" x14ac:dyDescent="0.25">
      <c r="A259" s="1">
        <v>25</v>
      </c>
      <c r="B259" s="2" cm="1">
        <f t="array" ref="B259">TrajectoryToComeUp(B$248:B$251,$A259)</f>
        <v>0.72769028923138723</v>
      </c>
      <c r="C259" s="2" cm="1">
        <f t="array" ref="C259">TrajectoryToComeUp(C$248:C$251,$A259)</f>
        <v>1.026645152027331</v>
      </c>
      <c r="D259" s="27" cm="1">
        <f t="array" ref="D259">TrajectoryToComeUp(D$248:D$251,$A259)</f>
        <v>0.78701359693461259</v>
      </c>
      <c r="E259" s="27" cm="1">
        <f t="array" ref="E259">TrajectoryToComeUp(E$248:E$251,$A259)</f>
        <v>0.39565953145735788</v>
      </c>
      <c r="F259" s="27" cm="1">
        <f t="array" ref="F259">TrajectoryToComeUp(F$248:F$251,$A259)</f>
        <v>1.7138272064867064E-3</v>
      </c>
      <c r="G259" s="27" cm="1">
        <f t="array" ref="G259">TrajectoryToComeUp(G$248:G$251,$A259)</f>
        <v>-0.97233216919960663</v>
      </c>
      <c r="H259" s="27" cm="1">
        <f t="array" ref="H259">TrajectoryToComeUp(H$248:H$251,$A259)</f>
        <v>-1.976213246760079</v>
      </c>
      <c r="I259" s="2" cm="1">
        <f t="array" ref="I259">EvaluatePolynomial(I$248:I$251,$A259)</f>
        <v>3537.6801984301383</v>
      </c>
    </row>
    <row r="260" spans="1:9" x14ac:dyDescent="0.25">
      <c r="A260" s="1">
        <v>50</v>
      </c>
      <c r="B260" s="2" cm="1">
        <f t="array" ref="B260">TrajectoryToComeUp(B$248:B$251,$A260)</f>
        <v>-0.30174981023445563</v>
      </c>
      <c r="C260" s="33" cm="1">
        <f t="array" ref="C260">TrajectoryToComeUp(C$248:C$251,$A260)</f>
        <v>0.1838034634557868</v>
      </c>
      <c r="D260" s="27" cm="1">
        <f t="array" ref="D260">TrajectoryToComeUp(D$248:D$251,$A260)</f>
        <v>-1.2592880194640936E-2</v>
      </c>
      <c r="E260" s="27" cm="1">
        <f t="array" ref="E260">TrajectoryToComeUp(E$248:E$251,$A260)</f>
        <v>-0.31309707268724096</v>
      </c>
      <c r="F260" s="27" cm="1">
        <f t="array" ref="F260">TrajectoryToComeUp(F$248:F$251,$A260)</f>
        <v>-0.79597331311710739</v>
      </c>
      <c r="G260" s="27" cm="1">
        <f t="array" ref="G260">TrajectoryToComeUp(G$248:G$251,$A260)</f>
        <v>-1.7594896267907503</v>
      </c>
      <c r="H260" s="27" cm="1">
        <f t="array" ref="H260">TrajectoryToComeUp(H$248:H$251,$A260)</f>
        <v>-2.6817242787550244</v>
      </c>
      <c r="I260" s="2" cm="1">
        <f t="array" ref="I260">EvaluatePolynomial(I$248:I$251,$A260)</f>
        <v>3401.1407900541371</v>
      </c>
    </row>
    <row r="261" spans="1:9" x14ac:dyDescent="0.25">
      <c r="A261" s="1">
        <v>75</v>
      </c>
      <c r="B261" s="2" cm="1">
        <f t="array" ref="B261">TrajectoryToComeUp(B$248:B$251,$A261)</f>
        <v>-0.50284650238025186</v>
      </c>
      <c r="C261" s="2" cm="1">
        <f t="array" ref="C261">TrajectoryToComeUp(C$248:C$251,$A261)</f>
        <v>-2.9216668616918037E-3</v>
      </c>
      <c r="D261" s="27" cm="1">
        <f t="array" ref="D261">TrajectoryToComeUp(D$248:D$251,$A261)</f>
        <v>-0.17737434906580071</v>
      </c>
      <c r="E261" s="27" cm="1">
        <f t="array" ref="E261">TrajectoryToComeUp(E$248:E$251,$A261)</f>
        <v>-0.46159838807830617</v>
      </c>
      <c r="F261" s="27" cm="1">
        <f t="array" ref="F261">TrajectoryToComeUp(F$248:F$251,$A261)</f>
        <v>-0.98907148343011897</v>
      </c>
      <c r="G261" s="27" cm="1">
        <f t="array" ref="G261">TrajectoryToComeUp(G$248:G$251,$A261)</f>
        <v>-1.9365123455984985</v>
      </c>
      <c r="H261" s="27" cm="1">
        <f t="array" ref="H261">TrajectoryToComeUp(H$248:H$251,$A261)</f>
        <v>-2.8380741654470119</v>
      </c>
      <c r="I261" s="2" cm="1">
        <f t="array" ref="I261">EvaluatePolynomial(I$248:I$251,$A261)</f>
        <v>3268.173122281853</v>
      </c>
    </row>
    <row r="262" spans="1:9" x14ac:dyDescent="0.25">
      <c r="A262" s="1">
        <v>100</v>
      </c>
      <c r="B262" s="2" cm="1">
        <f t="array" ref="B262">TrajectoryToComeUp(B$248:B$251,$A262)</f>
        <v>-0.49493090763103664</v>
      </c>
      <c r="C262" s="2" cm="1">
        <f t="array" ref="C262">TrajectoryToComeUp(C$248:C$251,$A262)</f>
        <v>-2.0480096750613869E-2</v>
      </c>
      <c r="D262" s="27" cm="1">
        <f t="array" ref="D262">TrajectoryToComeUp(D$248:D$251,$A262)</f>
        <v>-0.17877599345636269</v>
      </c>
      <c r="E262" s="27" cm="1">
        <f t="array" ref="E262">TrajectoryToComeUp(E$248:E$251,$A262)</f>
        <v>-0.46380206620920339</v>
      </c>
      <c r="F262" s="27" cm="1">
        <f t="array" ref="F262">TrajectoryToComeUp(F$248:F$251,$A262)</f>
        <v>-1.0233192320272479</v>
      </c>
      <c r="G262" s="27" cm="1">
        <f t="array" ref="G262">TrajectoryToComeUp(G$248:G$251,$A262)</f>
        <v>-1.9542521738662968</v>
      </c>
      <c r="H262" s="27" cm="1">
        <f t="array" ref="H262">TrajectoryToComeUp(H$248:H$251,$A262)</f>
        <v>-2.8504001699505412</v>
      </c>
      <c r="I262" s="2" cm="1">
        <f t="array" ref="I262">EvaluatePolynomial(I$248:I$251,$A262)</f>
        <v>3138.7852345477613</v>
      </c>
    </row>
    <row r="263" spans="1:9" x14ac:dyDescent="0.25">
      <c r="A263" s="1">
        <v>125</v>
      </c>
      <c r="B263" s="2" cm="1">
        <f t="array" ref="B263">TrajectoryToComeUp(B$248:B$251,$A263)</f>
        <v>-0.40186925007181679</v>
      </c>
      <c r="C263" s="2" cm="1">
        <f t="array" ref="C263">TrajectoryToComeUp(C$248:C$251,$A263)</f>
        <v>3.3738202223919003E-2</v>
      </c>
      <c r="D263" s="27" cm="1">
        <f t="array" ref="D263">TrajectoryToComeUp(D$248:D$251,$A263)</f>
        <v>-0.11108685012182652</v>
      </c>
      <c r="E263" s="27" cm="1">
        <f t="array" ref="E263">TrajectoryToComeUp(E$248:E$251,$A263)</f>
        <v>-0.40249963737860539</v>
      </c>
      <c r="F263" s="27" cm="1">
        <f t="array" ref="F263">TrajectoryToComeUp(F$248:F$251,$A263)</f>
        <v>-0.98786426856743437</v>
      </c>
      <c r="G263" s="27" cm="1">
        <f t="array" ref="G263">TrajectoryToComeUp(G$248:G$251,$A263)</f>
        <v>-1.9028794812428345</v>
      </c>
      <c r="H263" s="27" cm="1">
        <f t="array" ref="H263">TrajectoryToComeUp(H$248:H$251,$A263)</f>
        <v>-2.7997297448885119</v>
      </c>
      <c r="I263" s="2" cm="1">
        <f t="array" ref="I263">EvaluatePolynomial(I$248:I$251,$A263)</f>
        <v>3012.985166286338</v>
      </c>
    </row>
    <row r="264" spans="1:9" x14ac:dyDescent="0.25">
      <c r="A264" s="1">
        <v>150</v>
      </c>
      <c r="B264" s="2" cm="1">
        <f t="array" ref="B264">TrajectoryToComeUp(B$248:B$251,$A264)</f>
        <v>-0.26495027106426144</v>
      </c>
      <c r="C264" s="2" cm="1">
        <f t="array" ref="C264">TrajectoryToComeUp(C$248:C$251,$A264)</f>
        <v>0.12726990620687292</v>
      </c>
      <c r="D264" s="27" cm="1">
        <f t="array" ref="D264">TrajectoryToComeUp(D$248:D$251,$A264)</f>
        <v>-5.7365979806916333E-3</v>
      </c>
      <c r="E264" s="27" cm="1">
        <f t="array" ref="E264">TrajectoryToComeUp(E$248:E$251,$A264)</f>
        <v>-0.30528827835273686</v>
      </c>
      <c r="F264" s="27" cm="1">
        <f t="array" ref="F264">TrajectoryToComeUp(F$248:F$251,$A264)</f>
        <v>-0.91242249627032479</v>
      </c>
      <c r="G264" s="27" cm="1">
        <f t="array" ref="G264">TrajectoryToComeUp(G$248:G$251,$A264)</f>
        <v>-1.8124510576110071</v>
      </c>
      <c r="H264" s="27" cm="1">
        <f t="array" ref="H264">TrajectoryToComeUp(H$248:H$251,$A264)</f>
        <v>-2.713072041135224</v>
      </c>
      <c r="I264" s="2" cm="1">
        <f t="array" ref="I264">EvaluatePolynomial(I$248:I$251,$A264)</f>
        <v>2890.7809569320598</v>
      </c>
    </row>
    <row r="265" spans="1:9" x14ac:dyDescent="0.25">
      <c r="A265" s="1">
        <v>175</v>
      </c>
      <c r="B265" s="2" cm="1">
        <f t="array" ref="B265">TrajectoryToComeUp(B$248:B$251,$A265)</f>
        <v>-0.10186914547765745</v>
      </c>
      <c r="C265" s="2" cm="1">
        <f t="array" ref="C265">TrajectoryToComeUp(C$248:C$251,$A265)</f>
        <v>0.24620216211751922</v>
      </c>
      <c r="D265" s="27" cm="1">
        <f t="array" ref="D265">TrajectoryToComeUp(D$248:D$251,$A265)</f>
        <v>0.12380490057339892</v>
      </c>
      <c r="E265" s="27" cm="1">
        <f t="array" ref="E265">TrajectoryToComeUp(E$248:E$251,$A265)</f>
        <v>-0.18399535060283692</v>
      </c>
      <c r="F265" s="27" cm="1">
        <f t="array" ref="F265">TrajectoryToComeUp(F$248:F$251,$A265)</f>
        <v>-0.80972930223005379</v>
      </c>
      <c r="G265" s="27" cm="1">
        <f t="array" ref="G265">TrajectoryToComeUp(G$248:G$251,$A265)</f>
        <v>-1.6958483843492005</v>
      </c>
      <c r="H265" s="27" cm="1">
        <f t="array" ref="H265">TrajectoryToComeUp(H$248:H$251,$A265)</f>
        <v>-2.6020024090653782</v>
      </c>
      <c r="I265" s="2" cm="1">
        <f t="array" ref="I265">EvaluatePolynomial(I$248:I$251,$A265)</f>
        <v>2772.1806459194022</v>
      </c>
    </row>
    <row r="266" spans="1:9" x14ac:dyDescent="0.25">
      <c r="A266" s="1">
        <v>200</v>
      </c>
      <c r="B266" s="2" cm="1">
        <f t="array" ref="B266">TrajectoryToComeUp(B$248:B$251,$A266)</f>
        <v>7.8526539253352193E-2</v>
      </c>
      <c r="C266" s="2" cm="1">
        <f t="array" ref="C266">TrajectoryToComeUp(C$248:C$251,$A266)</f>
        <v>0.38357854341549313</v>
      </c>
      <c r="D266" s="27" cm="1">
        <f t="array" ref="D266">TrajectoryToComeUp(D$248:D$251,$A266)</f>
        <v>0.27080271434362413</v>
      </c>
      <c r="E266" s="27" cm="1">
        <f t="array" ref="E266">TrajectoryToComeUp(E$248:E$251,$A266)</f>
        <v>-4.4534534864524772E-2</v>
      </c>
      <c r="F266" s="27" cm="1">
        <f t="array" ref="F266">TrajectoryToComeUp(F$248:F$251,$A266)</f>
        <v>-0.68615237999368806</v>
      </c>
      <c r="G266" s="27" cm="1">
        <f t="array" ref="G266">TrajectoryToComeUp(G$248:G$251,$A266)</f>
        <v>-1.5595122021466057</v>
      </c>
      <c r="H266" s="27" cm="1">
        <f t="array" ref="H266">TrajectoryToComeUp(H$248:H$251,$A266)</f>
        <v>-2.4723085238663236</v>
      </c>
      <c r="I266" s="2" cm="1">
        <f t="array" ref="I266">EvaluatePolynomial(I$248:I$251,$A266)</f>
        <v>2657.192272682842</v>
      </c>
    </row>
    <row r="267" spans="1:9" x14ac:dyDescent="0.25">
      <c r="A267" s="1">
        <v>225</v>
      </c>
      <c r="B267" s="2" cm="1">
        <f t="array" ref="B267">TrajectoryToComeUp(B$248:B$251,$A267)</f>
        <v>0.27132145677618758</v>
      </c>
      <c r="C267" s="2" cm="1">
        <f t="array" ref="C267">TrajectoryToComeUp(C$248:C$251,$A267)</f>
        <v>0.53553436868948123</v>
      </c>
      <c r="D267" s="27" cm="1">
        <f t="array" ref="D267">TrajectoryToComeUp(D$248:D$251,$A267)</f>
        <v>0.43151521488730493</v>
      </c>
      <c r="E267" s="27" cm="1">
        <f t="array" ref="E267">TrajectoryToComeUp(E$248:E$251,$A267)</f>
        <v>0.10980879067574399</v>
      </c>
      <c r="F267" s="27" cm="1">
        <f t="array" ref="F267">TrajectoryToComeUp(F$248:F$251,$A267)</f>
        <v>-0.54522933708737653</v>
      </c>
      <c r="G267" s="27" cm="1">
        <f t="array" ref="G267">TrajectoryToComeUp(G$248:G$251,$A267)</f>
        <v>-1.4070207002749964</v>
      </c>
      <c r="H267" s="27" cm="1">
        <f t="array" ref="H267">TrajectoryToComeUp(H$248:H$251,$A267)</f>
        <v>-2.3272057606421441</v>
      </c>
      <c r="I267" s="2" cm="1">
        <f t="array" ref="I267">EvaluatePolynomial(I$248:I$251,$A267)</f>
        <v>2545.8238766568547</v>
      </c>
    </row>
    <row r="268" spans="1:9" x14ac:dyDescent="0.25">
      <c r="A268" s="1">
        <v>250</v>
      </c>
      <c r="B268" s="2" cm="1">
        <f t="array" ref="B268">TrajectoryToComeUp(B$248:B$251,$A268)</f>
        <v>0.47356641127930083</v>
      </c>
      <c r="C268" s="2" cm="1">
        <f t="array" ref="C268">TrajectoryToComeUp(C$248:C$251,$A268)</f>
        <v>0.69975082909269548</v>
      </c>
      <c r="D268" s="27" cm="1">
        <f t="array" ref="D268">TrajectoryToComeUp(D$248:D$251,$A268)</f>
        <v>0.60369742513883484</v>
      </c>
      <c r="E268" s="27" cm="1">
        <f t="array" ref="E268">TrajectoryToComeUp(E$248:E$251,$A268)</f>
        <v>0.27706339910609662</v>
      </c>
      <c r="F268" s="27" cm="1">
        <f t="array" ref="F268">TrajectoryToComeUp(F$248:F$251,$A268)</f>
        <v>-0.38908273802680787</v>
      </c>
      <c r="G268" s="27" cm="1">
        <f t="array" ref="G268">TrajectoryToComeUp(G$248:G$251,$A268)</f>
        <v>-1.2405207922974359</v>
      </c>
      <c r="H268" s="27" cm="1">
        <f t="array" ref="H268">TrajectoryToComeUp(H$248:H$251,$A268)</f>
        <v>-2.1686233444552889</v>
      </c>
      <c r="I268" s="2" cm="1">
        <f t="array" ref="I268">EvaluatePolynomial(I$248:I$251,$A268)</f>
        <v>2438.0834972759167</v>
      </c>
    </row>
    <row r="269" spans="1:9" x14ac:dyDescent="0.25">
      <c r="A269" s="1">
        <v>275</v>
      </c>
      <c r="B269" s="2" cm="1">
        <f t="array" ref="B269">TrajectoryToComeUp(B$248:B$251,$A269)</f>
        <v>0.68338464179170721</v>
      </c>
      <c r="C269" s="2" cm="1">
        <f t="array" ref="C269">TrajectoryToComeUp(C$248:C$251,$A269)</f>
        <v>0.87475231899536154</v>
      </c>
      <c r="D269" s="27" cm="1">
        <f t="array" ref="D269">TrajectoryToComeUp(D$248:D$251,$A269)</f>
        <v>0.7859207233291905</v>
      </c>
      <c r="E269" s="27" cm="1">
        <f t="array" ref="E269">TrajectoryToComeUp(E$248:E$251,$A269)</f>
        <v>0.45597487330079539</v>
      </c>
      <c r="F269" s="27" cm="1">
        <f t="array" ref="F269">TrajectoryToComeUp(F$248:F$251,$A269)</f>
        <v>-0.21906330568560231</v>
      </c>
      <c r="G269" s="27" cm="1">
        <f t="array" ref="G269">TrajectoryToComeUp(G$248:G$251,$A269)</f>
        <v>-1.0613786959358753</v>
      </c>
      <c r="H269" s="27" cm="1">
        <f t="array" ref="H269">TrajectoryToComeUp(H$248:H$251,$A269)</f>
        <v>-1.9977889639818638</v>
      </c>
      <c r="I269" s="2" cm="1">
        <f t="array" ref="I269">EvaluatePolynomial(I$248:I$251,$A269)</f>
        <v>2333.9791739745037</v>
      </c>
    </row>
    <row r="270" spans="1:9" x14ac:dyDescent="0.25">
      <c r="A270" s="1">
        <v>300</v>
      </c>
      <c r="B270" s="2" cm="1">
        <f t="array" ref="B270">TrajectoryToComeUp(B$248:B$251,$A270)</f>
        <v>0.89952497433275025</v>
      </c>
      <c r="C270" s="2" cm="1">
        <f t="array" ref="C270">TrajectoryToComeUp(C$248:C$251,$A270)</f>
        <v>1.0595551013109632</v>
      </c>
      <c r="D270" s="27" cm="1">
        <f t="array" ref="D270">TrajectoryToComeUp(D$248:D$251,$A270)</f>
        <v>0.97723269494569076</v>
      </c>
      <c r="E270" s="27" cm="1">
        <f t="array" ref="E270">TrajectoryToComeUp(E$248:E$251,$A270)</f>
        <v>0.64570693517601496</v>
      </c>
      <c r="F270" s="27" cm="1">
        <f t="array" ref="F270">TrajectoryToComeUp(F$248:F$251,$A270)</f>
        <v>-3.6071521979507082E-2</v>
      </c>
      <c r="G270" s="27" cm="1">
        <f t="array" ref="G270">TrajectoryToComeUp(G$248:G$251,$A270)</f>
        <v>-0.87050522300494704</v>
      </c>
      <c r="H270" s="27" cm="1">
        <f t="array" ref="H270">TrajectoryToComeUp(H$248:H$251,$A270)</f>
        <v>-1.8155210783392706</v>
      </c>
      <c r="I270" s="2" cm="1">
        <f t="array" ref="I270">EvaluatePolynomial(I$248:I$251,$A270)</f>
        <v>2233.5189461870928</v>
      </c>
    </row>
    <row r="271" spans="1:9" x14ac:dyDescent="0.25">
      <c r="A271" s="1">
        <v>325</v>
      </c>
      <c r="B271" s="2" cm="1">
        <f t="array" ref="B271">TrajectoryToComeUp(B$248:B$251,$A271)</f>
        <v>1.1211212115312055</v>
      </c>
      <c r="C271" s="2" cm="1">
        <f t="array" ref="C271">TrajectoryToComeUp(C$248:C$251,$A271)</f>
        <v>1.253478127287297</v>
      </c>
      <c r="D271" s="27" cm="1">
        <f t="array" ref="D271">TrajectoryToComeUp(D$248:D$251,$A271)</f>
        <v>1.1769739760949398</v>
      </c>
      <c r="E271" s="27" cm="1">
        <f t="array" ref="E271">TrajectoryToComeUp(E$248:E$251,$A271)</f>
        <v>0.84568062298141577</v>
      </c>
      <c r="F271" s="27" cm="1">
        <f t="array" ref="F271">TrajectoryToComeUp(F$248:F$251,$A271)</f>
        <v>0.15926920253442239</v>
      </c>
      <c r="G271" s="27" cm="1">
        <f t="array" ref="G271">TrajectoryToComeUp(G$248:G$251,$A271)</f>
        <v>-0.66853093553016651</v>
      </c>
      <c r="H271" s="27" cm="1">
        <f t="array" ref="H271">TrajectoryToComeUp(H$248:H$251,$A271)</f>
        <v>-1.6223863130703269</v>
      </c>
      <c r="I271" s="2" cm="1">
        <f t="array" ref="I271">EvaluatePolynomial(I$248:I$251,$A271)</f>
        <v>2136.7108533481587</v>
      </c>
    </row>
    <row r="272" spans="1:9" x14ac:dyDescent="0.25">
      <c r="A272" s="1">
        <v>350</v>
      </c>
      <c r="B272" s="2" cm="1">
        <f t="array" ref="B272">TrajectoryToComeUp(B$248:B$251,$A272)</f>
        <v>1.3475546409790564</v>
      </c>
      <c r="C272" s="2" cm="1">
        <f t="array" ref="C272">TrajectoryToComeUp(C$248:C$251,$A272)</f>
        <v>1.4560349335299321</v>
      </c>
      <c r="D272" s="27" cm="1">
        <f t="array" ref="D272">TrajectoryToComeUp(D$248:D$251,$A272)</f>
        <v>1.3846735925673701</v>
      </c>
      <c r="E272" s="27" cm="1">
        <f t="array" ref="E272">TrajectoryToComeUp(E$248:E$251,$A272)</f>
        <v>1.0554823926096111</v>
      </c>
      <c r="F272" s="27" cm="1">
        <f t="array" ref="F272">TrajectoryToComeUp(F$248:F$251,$A272)</f>
        <v>0.36651357460114659</v>
      </c>
      <c r="G272" s="27" cm="1">
        <f t="array" ref="G272">TrajectoryToComeUp(G$248:G$251,$A272)</f>
        <v>-0.45590623495833044</v>
      </c>
      <c r="H272" s="27" cm="1">
        <f t="array" ref="H272">TrajectoryToComeUp(H$248:H$251,$A272)</f>
        <v>-1.4187894007056172</v>
      </c>
      <c r="I272" s="2" cm="1">
        <f t="array" ref="I272">EvaluatePolynomial(I$248:I$251,$A272)</f>
        <v>2043.5629348921782</v>
      </c>
    </row>
    <row r="273" spans="1:9" x14ac:dyDescent="0.25">
      <c r="A273" s="1">
        <v>375</v>
      </c>
      <c r="B273" s="2" cm="1">
        <f t="array" ref="B273">TrajectoryToComeUp(B$248:B$251,$A273)</f>
        <v>1.5783715402437573</v>
      </c>
      <c r="C273" s="2" cm="1">
        <f t="array" ref="C273">TrajectoryToComeUp(C$248:C$251,$A273)</f>
        <v>1.6668687802162854</v>
      </c>
      <c r="D273" s="27" cm="1">
        <f t="array" ref="D273">TrajectoryToComeUp(D$248:D$251,$A273)</f>
        <v>1.5999861632759655</v>
      </c>
      <c r="E273" s="27" cm="1">
        <f t="array" ref="E273">TrajectoryToComeUp(E$248:E$251,$A273)</f>
        <v>1.2748089783818519</v>
      </c>
      <c r="F273" s="27" cm="1">
        <f t="array" ref="F273">TrajectoryToComeUp(F$248:F$251,$A273)</f>
        <v>0.58533504583363627</v>
      </c>
      <c r="G273" s="27" cm="1">
        <f t="array" ref="G273">TrajectoryToComeUp(G$248:G$251,$A273)</f>
        <v>-0.23296141568375642</v>
      </c>
      <c r="H273" s="27" cm="1">
        <f t="array" ref="H273">TrajectoryToComeUp(H$248:H$251,$A273)</f>
        <v>-1.2050271451009029</v>
      </c>
      <c r="I273" s="2" cm="1">
        <f t="array" ref="I273">EvaluatePolynomial(I$248:I$251,$A273)</f>
        <v>1954.0832302536278</v>
      </c>
    </row>
    <row r="274" spans="1:9" x14ac:dyDescent="0.25">
      <c r="A274" s="1">
        <v>400</v>
      </c>
      <c r="B274" s="2" cm="1">
        <f t="array" ref="B274">TrajectoryToComeUp(B$248:B$251,$A274)</f>
        <v>1.8132316175008985</v>
      </c>
      <c r="C274" s="2" cm="1">
        <f t="array" ref="C274">TrajectoryToComeUp(C$248:C$251,$A274)</f>
        <v>1.8857121124794196</v>
      </c>
      <c r="D274" s="27" cm="1">
        <f t="array" ref="D274">TrajectoryToComeUp(D$248:D$251,$A274)</f>
        <v>1.8226526524054627</v>
      </c>
      <c r="E274" s="27" cm="1">
        <f t="array" ref="E274">TrajectoryToComeUp(E$248:E$251,$A274)</f>
        <v>1.5034329310390753</v>
      </c>
      <c r="F274" s="27" cm="1">
        <f t="array" ref="F274">TrajectoryToComeUp(F$248:F$251,$A274)</f>
        <v>0.81548870494162018</v>
      </c>
      <c r="G274" s="27" cm="1">
        <f t="array" ref="G274">TrajectoryToComeUp(G$248:G$251,$A274)</f>
        <v>5.5801497817559165E-5</v>
      </c>
      <c r="H274" s="27" cm="1">
        <f t="array" ref="H274">TrajectoryToComeUp(H$248:H$251,$A274)</f>
        <v>-0.98132214914800553</v>
      </c>
      <c r="I274" s="2" cm="1">
        <f t="array" ref="I274">EvaluatePolynomial(I$248:I$251,$A274)</f>
        <v>1868.279778866983</v>
      </c>
    </row>
    <row r="275" spans="1:9" x14ac:dyDescent="0.25">
      <c r="A275" s="1">
        <v>425</v>
      </c>
      <c r="B275" s="2" cm="1">
        <f t="array" ref="B275">TrajectoryToComeUp(B$248:B$251,$A275)</f>
        <v>2.0518746495906375</v>
      </c>
      <c r="C275" s="2" cm="1">
        <f t="array" ref="C275">TrajectoryToComeUp(C$248:C$251,$A275)</f>
        <v>2.1123603295387365</v>
      </c>
      <c r="D275" s="27" cm="1">
        <f t="array" ref="D275">TrajectoryToComeUp(D$248:D$251,$A275)</f>
        <v>2.0524749737441916</v>
      </c>
      <c r="E275" s="27" cm="1">
        <f t="array" ref="E275">TrajectoryToComeUp(E$248:E$251,$A275)</f>
        <v>1.7411803187949395</v>
      </c>
      <c r="F275" s="27" cm="1">
        <f t="array" ref="F275">TrajectoryToComeUp(F$248:F$251,$A275)</f>
        <v>1.0567872668207721</v>
      </c>
      <c r="G275" s="27" cm="1">
        <f t="array" ref="G275">TrajectoryToComeUp(G$248:G$251,$A275)</f>
        <v>0.24295598303670921</v>
      </c>
      <c r="H275" s="27" cm="1">
        <f t="array" ref="H275">TrajectoryToComeUp(H$248:H$251,$A275)</f>
        <v>-0.74784463858772865</v>
      </c>
      <c r="I275" s="2" cm="1">
        <f t="array" ref="I275">EvaluatePolynomial(I$248:I$251,$A275)</f>
        <v>1786.16062016672</v>
      </c>
    </row>
    <row r="276" spans="1:9" x14ac:dyDescent="0.25">
      <c r="A276" s="1">
        <v>450</v>
      </c>
      <c r="B276" s="2" cm="1">
        <f t="array" ref="B276">TrajectoryToComeUp(B$248:B$251,$A276)</f>
        <v>2.2940982407219859</v>
      </c>
      <c r="C276" s="2" cm="1">
        <f t="array" ref="C276">TrajectoryToComeUp(C$248:C$251,$A276)</f>
        <v>2.3466542974537692</v>
      </c>
      <c r="D276" s="27" cm="1">
        <f t="array" ref="D276">TrajectoryToComeUp(D$248:D$251,$A276)</f>
        <v>2.2892990602386294</v>
      </c>
      <c r="E276" s="27" cm="1">
        <f t="array" ref="E276">TrajectoryToComeUp(E$248:E$251,$A276)</f>
        <v>1.9879158613711796</v>
      </c>
      <c r="F276" s="27" cm="1">
        <f t="array" ref="F276">TrajectoryToComeUp(F$248:F$251,$A276)</f>
        <v>1.3090850652788386</v>
      </c>
      <c r="G276" s="27" cm="1">
        <f t="array" ref="G276">TrajectoryToComeUp(G$248:G$251,$A276)</f>
        <v>0.49559179172761036</v>
      </c>
      <c r="H276" s="27" cm="1">
        <f t="array" ref="H276">TrajectoryToComeUp(H$248:H$251,$A276)</f>
        <v>-0.50472701121847585</v>
      </c>
      <c r="I276" s="2" cm="1">
        <f t="array" ref="I276">EvaluatePolynomial(I$248:I$251,$A276)</f>
        <v>1707.7337935873149</v>
      </c>
    </row>
    <row r="277" spans="1:9" x14ac:dyDescent="0.25">
      <c r="A277" s="1">
        <v>475</v>
      </c>
      <c r="B277" s="2" cm="1">
        <f t="array" ref="B277">TrajectoryToComeUp(B$248:B$251,$A277)</f>
        <v>2.5397426047441631</v>
      </c>
      <c r="C277" s="2" cm="1">
        <f t="array" ref="C277">TrajectoryToComeUp(C$248:C$251,$A277)</f>
        <v>2.5884683841662555</v>
      </c>
      <c r="D277" s="27" cm="1">
        <f t="array" ref="D277">TrajectoryToComeUp(D$248:D$251,$A277)</f>
        <v>2.5330032800044169</v>
      </c>
      <c r="E277" s="27" cm="1">
        <f t="array" ref="E277">TrajectoryToComeUp(E$248:E$251,$A277)</f>
        <v>2.2435327585481102</v>
      </c>
      <c r="F277" s="27" cm="1">
        <f t="array" ref="F277">TrajectoryToComeUp(F$248:F$251,$A277)</f>
        <v>1.5722671006903572</v>
      </c>
      <c r="G277" s="27" cm="1">
        <f t="array" ref="G277">TrajectoryToComeUp(G$248:G$251,$A277)</f>
        <v>0.75784690872422478</v>
      </c>
      <c r="H277" s="27" cm="1">
        <f t="array" ref="H277">TrajectoryToComeUp(H$248:H$251,$A277)</f>
        <v>-0.25207379161793486</v>
      </c>
      <c r="I277" s="2" cm="1">
        <f t="array" ref="I277">EvaluatePolynomial(I$248:I$251,$A277)</f>
        <v>1633.007338563244</v>
      </c>
    </row>
    <row r="278" spans="1:9" x14ac:dyDescent="0.25">
      <c r="A278" s="10">
        <v>500</v>
      </c>
      <c r="B278" s="2" cm="1">
        <f t="array" ref="B278">TrajectoryToComeUp(B$248:B$251,$A278)</f>
        <v>2.7886799127365451</v>
      </c>
      <c r="C278" s="2" cm="1">
        <f t="array" ref="C278">TrajectoryToComeUp(C$248:C$251,$A278)</f>
        <v>2.8377020840295866</v>
      </c>
      <c r="D278" s="27" cm="1">
        <f t="array" ref="D278">TrajectoryToComeUp(D$248:D$251,$A278)</f>
        <v>2.7834903275340661</v>
      </c>
      <c r="E278" s="27" cm="1">
        <f t="array" ref="E278">TrajectoryToComeUp(E$248:E$251,$A278)</f>
        <v>2.5079455701499871</v>
      </c>
      <c r="F278" s="27" cm="1">
        <f t="array" ref="F278">TrajectoryToComeUp(F$248:F$251,$A278)</f>
        <v>1.8462413733549579</v>
      </c>
      <c r="G278" s="27" cm="1">
        <f t="array" ref="G278">TrajectoryToComeUp(G$248:G$251,$A278)</f>
        <v>1.0296282789495157</v>
      </c>
      <c r="H278" s="27" cm="1">
        <f t="array" ref="H278">TrajectoryToComeUp(H$248:H$251,$A278)</f>
        <v>1.0031400551745792E-2</v>
      </c>
      <c r="I278" s="2" cm="1">
        <f t="array" ref="I278">EvaluatePolynomial(I$248:I$251,$A278)</f>
        <v>1561.9892945289835</v>
      </c>
    </row>
    <row r="279" spans="1:9" x14ac:dyDescent="0.25">
      <c r="A279" s="1">
        <v>525</v>
      </c>
      <c r="B279" s="34" cm="1">
        <f t="array" ref="B279">TrajectoryToComeUp(B$248:B$251,$A279)</f>
        <v>3.0408066841443402</v>
      </c>
      <c r="C279" s="34" cm="1">
        <f t="array" ref="C279">TrajectoryToComeUp(C$248:C$251,$A279)</f>
        <v>3.0942740353298386</v>
      </c>
      <c r="D279" s="34" cm="1">
        <f t="array" ref="D279">TrajectoryToComeUp(D$248:D$251,$A279)</f>
        <v>3.0406814317024691</v>
      </c>
      <c r="E279" s="34" cm="1">
        <f t="array" ref="E279">TrajectoryToComeUp(E$248:E$251,$A279)</f>
        <v>2.7810851303202515</v>
      </c>
      <c r="F279" s="34" cm="1">
        <f t="array" ref="F279">TrajectoryToComeUp(F$248:F$251,$A279)</f>
        <v>2.1309334073247217</v>
      </c>
      <c r="G279" s="34" cm="1">
        <f t="array" ref="G279">TrajectoryToComeUp(G$248:G$251,$A279)</f>
        <v>1.3108605721030249</v>
      </c>
      <c r="H279" s="34" cm="1">
        <f t="array" ref="H279">TrajectoryToComeUp(H$248:H$251,$A279)</f>
        <v>0.28152087318311142</v>
      </c>
      <c r="I279" s="2" cm="1">
        <f t="array" ref="I279">EvaluatePolynomial(I$248:I$251,$A279)</f>
        <v>1494.6877009190091</v>
      </c>
    </row>
    <row r="280" spans="1:9" x14ac:dyDescent="0.25">
      <c r="A280" s="1">
        <v>550</v>
      </c>
      <c r="B280" s="34" cm="1">
        <f t="array" ref="B280">TrajectoryToComeUp(B$248:B$251,$A280)</f>
        <v>3.2960382530590837</v>
      </c>
      <c r="C280" s="34" cm="1">
        <f t="array" ref="C280">TrajectoryToComeUp(C$248:C$251,$A280)</f>
        <v>3.358117669391985</v>
      </c>
      <c r="D280" s="34" cm="1">
        <f t="array" ref="D280">TrajectoryToComeUp(D$248:D$251,$A280)</f>
        <v>3.3045121434072624</v>
      </c>
      <c r="E280" s="34" cm="1">
        <f t="array" ref="E280">TrajectoryToComeUp(E$248:E$251,$A280)</f>
        <v>3.0628948488126295</v>
      </c>
      <c r="F280" s="34" cm="1">
        <f t="array" ref="F280">TrajectoryToComeUp(F$248:F$251,$A280)</f>
        <v>2.4262822677331686</v>
      </c>
      <c r="G280" s="34" cm="1">
        <f t="array" ref="G280">TrajectoryToComeUp(G$248:G$251,$A280)</f>
        <v>1.601482154302559</v>
      </c>
      <c r="H280" s="34" cm="1">
        <f t="array" ref="H280">TrajectoryToComeUp(H$248:H$251,$A280)</f>
        <v>0.56233924182460771</v>
      </c>
      <c r="I280" s="2" cm="1">
        <f t="array" ref="I280">EvaluatePolynomial(I$248:I$251,$A280)</f>
        <v>1431.1105971677971</v>
      </c>
    </row>
    <row r="281" spans="1:9" x14ac:dyDescent="0.25">
      <c r="A281" s="1">
        <v>575</v>
      </c>
      <c r="B281" s="34" cm="1">
        <f t="array" ref="B281">TrajectoryToComeUp(B$248:B$251,$A281)</f>
        <v>3.5543046780781293</v>
      </c>
      <c r="C281" s="34" cm="1">
        <f t="array" ref="C281">TrajectoryToComeUp(C$248:C$251,$A281)</f>
        <v>3.6291779947018723</v>
      </c>
      <c r="D281" s="34" cm="1">
        <f t="array" ref="D281">TrajectoryToComeUp(D$248:D$251,$A281)</f>
        <v>3.5749292220856264</v>
      </c>
      <c r="E281" s="34" cm="1">
        <f t="array" ref="E281">TrajectoryToComeUp(E$248:E$251,$A281)</f>
        <v>3.3533279771628095</v>
      </c>
      <c r="F281" s="34" cm="1">
        <f t="array" ref="F281">TrajectoryToComeUp(F$248:F$251,$A281)</f>
        <v>2.7322376170819029</v>
      </c>
      <c r="G281" s="34" cm="1">
        <f t="array" ref="G281">TrajectoryToComeUp(G$248:G$251,$A281)</f>
        <v>1.9014421106019586</v>
      </c>
      <c r="H281" s="34" cm="1">
        <f t="array" ref="H281">TrajectoryToComeUp(H$248:H$251,$A281)</f>
        <v>0.85244075410321318</v>
      </c>
      <c r="I281" s="2" cm="1">
        <f t="array" ref="I281">EvaluatePolynomial(I$248:I$251,$A281)</f>
        <v>1371.2660227098233</v>
      </c>
    </row>
    <row r="282" spans="1:9" x14ac:dyDescent="0.25">
      <c r="A282" s="1">
        <v>600</v>
      </c>
      <c r="B282" s="34" cm="1">
        <f t="array" ref="B282">TrajectoryToComeUp(B$248:B$251,$A282)</f>
        <v>3.8155476746992725</v>
      </c>
      <c r="C282" s="34" cm="1">
        <f t="array" ref="C282">TrajectoryToComeUp(C$248:C$251,$A282)</f>
        <v>3.9074091849977055</v>
      </c>
      <c r="D282" s="34" cm="1">
        <f t="array" ref="D282">TrajectoryToComeUp(D$248:D$251,$A282)</f>
        <v>3.8518883006018756</v>
      </c>
      <c r="E282" s="34" cm="1">
        <f t="array" ref="E282">TrajectoryToComeUp(E$248:E$251,$A282)</f>
        <v>3.6523455583171947</v>
      </c>
      <c r="F282" s="34" cm="1">
        <f t="array" ref="F282">TrajectoryToComeUp(F$248:F$251,$A282)</f>
        <v>3.0487575074555959</v>
      </c>
      <c r="G282" s="34" cm="1">
        <f t="array" ref="G282">TrajectoryToComeUp(G$248:G$251,$A282)</f>
        <v>2.2106980118794235</v>
      </c>
      <c r="H282" s="34" cm="1">
        <f t="array" ref="H282">TrajectoryToComeUp(H$248:H$251,$A282)</f>
        <v>1.1517872830414082</v>
      </c>
      <c r="I282" s="2" cm="1">
        <f t="array" ref="I282">EvaluatePolynomial(I$248:I$251,$A282)</f>
        <v>1315.1620169795644</v>
      </c>
    </row>
    <row r="283" spans="1:9" x14ac:dyDescent="0.25">
      <c r="A283" s="1">
        <v>625</v>
      </c>
      <c r="B283" s="34" cm="1">
        <f t="array" ref="B283">TrajectoryToComeUp(B$248:B$251,$A283)</f>
        <v>4.0797182839406627</v>
      </c>
      <c r="C283" s="34" cm="1">
        <f t="array" ref="C283">TrajectoryToComeUp(C$248:C$251,$A283)</f>
        <v>4.1927727462195801</v>
      </c>
      <c r="D283" s="34" cm="1">
        <f t="array" ref="D283">TrajectoryToComeUp(D$248:D$251,$A283)</f>
        <v>4.1353521105620388</v>
      </c>
      <c r="E283" s="34" cm="1">
        <f t="array" ref="E283">TrajectoryToComeUp(E$248:E$251,$A283)</f>
        <v>3.9599148683507677</v>
      </c>
      <c r="F283" s="34" cm="1">
        <f t="array" ref="F283">TrajectoryToComeUp(F$248:F$251,$A283)</f>
        <v>3.3758067026053689</v>
      </c>
      <c r="G283" s="34" cm="1">
        <f t="array" ref="G283">TrajectoryToComeUp(G$248:G$251,$A283)</f>
        <v>2.5292142176726427</v>
      </c>
      <c r="H283" s="34" cm="1">
        <f t="array" ref="H283">TrajectoryToComeUp(H$248:H$251,$A283)</f>
        <v>1.4603468019780776</v>
      </c>
      <c r="I283" s="2" cm="1">
        <f t="array" ref="I283">EvaluatePolynomial(I$248:I$251,$A283)</f>
        <v>1262.8066194114963</v>
      </c>
    </row>
    <row r="284" spans="1:9" x14ac:dyDescent="0.25">
      <c r="A284" s="1">
        <v>650</v>
      </c>
      <c r="B284" s="34" cm="1">
        <f t="array" ref="B284">TrajectoryToComeUp(B$248:B$251,$A284)</f>
        <v>4.3467750789715014</v>
      </c>
      <c r="C284" s="34" cm="1">
        <f t="array" ref="C284">TrajectoryToComeUp(C$248:C$251,$A284)</f>
        <v>4.485236106470647</v>
      </c>
      <c r="D284" s="34" cm="1">
        <f t="array" ref="D284">TrajectoryToComeUp(D$248:D$251,$A284)</f>
        <v>4.4252891171712108</v>
      </c>
      <c r="E284" s="34" cm="1">
        <f t="array" ref="E284">TrajectoryToComeUp(E$248:E$251,$A284)</f>
        <v>4.2760082177885126</v>
      </c>
      <c r="F284" s="34" cm="1">
        <f t="array" ref="F284">TrajectoryToComeUp(F$248:F$251,$A284)</f>
        <v>3.7133553872437131</v>
      </c>
      <c r="G284" s="34" cm="1">
        <f t="array" ref="G284">TrajectoryToComeUp(G$248:G$251,$A284)</f>
        <v>2.8569605706673507</v>
      </c>
      <c r="H284" s="34" cm="1">
        <f t="array" ref="H284">TrajectoryToComeUp(H$248:H$251,$A284)</f>
        <v>1.7780922114307391</v>
      </c>
      <c r="I284" s="2" cm="1">
        <f t="array" ref="I284">EvaluatePolynomial(I$248:I$251,$A284)</f>
        <v>1214.2078694400948</v>
      </c>
    </row>
    <row r="285" spans="1:9" x14ac:dyDescent="0.25">
      <c r="A285" s="1">
        <v>675</v>
      </c>
      <c r="B285" s="34" cm="1">
        <f t="array" ref="B285">TrajectoryToComeUp(B$248:B$251,$A285)</f>
        <v>4.6166827702692572</v>
      </c>
      <c r="C285" s="34" cm="1">
        <f t="array" ref="C285">TrajectoryToComeUp(C$248:C$251,$A285)</f>
        <v>4.784771519320266</v>
      </c>
      <c r="D285" s="34" cm="1">
        <f t="array" ref="D285">TrajectoryToComeUp(D$248:D$251,$A285)</f>
        <v>4.7216724574559574</v>
      </c>
      <c r="E285" s="34" cm="1">
        <f t="array" ref="E285">TrajectoryToComeUp(E$248:E$251,$A285)</f>
        <v>4.6006020192998589</v>
      </c>
      <c r="F285" s="34" cm="1">
        <f t="array" ref="F285">TrajectoryToComeUp(F$248:F$251,$A285)</f>
        <v>4.0613781631627459</v>
      </c>
      <c r="G285" s="34" cm="1">
        <f t="array" ref="G285">TrajectoryToComeUp(G$248:G$251,$A285)</f>
        <v>3.1939113812995474</v>
      </c>
      <c r="H285" s="34" cm="1">
        <f t="array" ref="H285">TrajectoryToComeUp(H$248:H$251,$A285)</f>
        <v>2.1050004266550544</v>
      </c>
      <c r="I285" s="2" cm="1">
        <f t="array" ref="I285">EvaluatePolynomial(I$248:I$251,$A285)</f>
        <v>1169.3738064998361</v>
      </c>
    </row>
    <row r="286" spans="1:9" x14ac:dyDescent="0.25">
      <c r="A286" s="1">
        <v>700</v>
      </c>
      <c r="B286" s="34" cm="1">
        <f t="array" ref="B286">TrajectoryToComeUp(B$248:B$251,$A286)</f>
        <v>4.8894111096717605</v>
      </c>
      <c r="C286" s="34" cm="1">
        <f t="array" ref="C286">TrajectoryToComeUp(C$248:C$251,$A286)</f>
        <v>5.0913552021135953</v>
      </c>
      <c r="D286" s="34" cm="1">
        <f t="array" ref="D286">TrajectoryToComeUp(D$248:D$251,$A286)</f>
        <v>5.0244791060104808</v>
      </c>
      <c r="E286" s="34" cm="1">
        <f t="array" ref="E286">TrajectoryToComeUp(E$248:E$251,$A286)</f>
        <v>4.9336760551728895</v>
      </c>
      <c r="F286" s="34" cm="1">
        <f t="array" ref="F286">TrajectoryToComeUp(F$248:F$251,$A286)</f>
        <v>4.41985326047</v>
      </c>
      <c r="G286" s="34" cm="1">
        <f t="array" ref="G286">TrajectoryToComeUp(G$248:G$251,$A286)</f>
        <v>3.5400446299429436</v>
      </c>
      <c r="H286" s="34" cm="1">
        <f t="array" ref="H286">TrajectoryToComeUp(H$248:H$251,$A286)</f>
        <v>2.4410516607273074</v>
      </c>
      <c r="I286" s="2" cm="1">
        <f t="array" ref="I286">EvaluatePolynomial(I$248:I$251,$A286)</f>
        <v>1128.3124700251967</v>
      </c>
    </row>
    <row r="287" spans="1:9" x14ac:dyDescent="0.25">
      <c r="A287" s="1">
        <v>725</v>
      </c>
      <c r="B287" s="34" cm="1">
        <f t="array" ref="B287">TrajectoryToComeUp(B$248:B$251,$A287)</f>
        <v>5.1649340211771397</v>
      </c>
      <c r="C287" s="34" cm="1">
        <f t="array" ref="C287">TrajectoryToComeUp(C$248:C$251,$A287)</f>
        <v>5.4049666525619822</v>
      </c>
      <c r="D287" s="34" cm="1">
        <f t="array" ref="D287">TrajectoryToComeUp(D$248:D$251,$A287)</f>
        <v>5.3336892133470171</v>
      </c>
      <c r="E287" s="34" cm="1">
        <f t="array" ref="E287">TrajectoryToComeUp(E$248:E$251,$A287)</f>
        <v>5.2752128963456082</v>
      </c>
      <c r="F287" s="34" cm="1">
        <f t="array" ref="F287">TrajectoryToComeUp(F$248:F$251,$A287)</f>
        <v>4.7887619120167937</v>
      </c>
      <c r="G287" s="34" cm="1">
        <f t="array" ref="G287">TrajectoryToComeUp(G$248:G$251,$A287)</f>
        <v>3.8953413341610856</v>
      </c>
      <c r="H287" s="34" cm="1">
        <f t="array" ref="H287">TrajectoryToComeUp(H$248:H$251,$A287)</f>
        <v>2.7862288559546382</v>
      </c>
      <c r="I287" s="2" cm="1">
        <f t="array" ref="I287">EvaluatePolynomial(I$248:I$251,$A287)</f>
        <v>1091.0318994506517</v>
      </c>
    </row>
    <row r="288" spans="1:9" x14ac:dyDescent="0.25">
      <c r="A288" s="1">
        <v>750</v>
      </c>
      <c r="B288" s="34" cm="1">
        <f t="array" ref="B288">TrajectoryToComeUp(B$248:B$251,$A288)</f>
        <v>5.4432289055837773</v>
      </c>
      <c r="C288" s="34" cm="1">
        <f t="array" ref="C288">TrajectoryToComeUp(C$248:C$251,$A288)</f>
        <v>5.7255881020152559</v>
      </c>
      <c r="D288" s="34" cm="1">
        <f t="array" ref="D288">TrajectoryToComeUp(D$248:D$251,$A288)</f>
        <v>5.6492855765761796</v>
      </c>
      <c r="E288" s="34" cm="1">
        <f t="array" ref="E288">TrajectoryToComeUp(E$248:E$251,$A288)</f>
        <v>5.6251974376309493</v>
      </c>
      <c r="F288" s="34" cm="1">
        <f t="array" ref="F288">TrajectoryToComeUp(F$248:F$251,$A288)</f>
        <v>5.1680878529409409</v>
      </c>
      <c r="G288" s="34" cm="1">
        <f t="array" ref="G288">TrajectoryToComeUp(G$248:G$251,$A288)</f>
        <v>4.2597850425090433</v>
      </c>
      <c r="H288" s="34" cm="1">
        <f t="array" ref="H288">TrajectoryToComeUp(H$248:H$251,$A288)</f>
        <v>3.1405172290032333</v>
      </c>
      <c r="I288" s="2" cm="1">
        <f t="array" ref="I288">EvaluatePolynomial(I$248:I$251,$A288)</f>
        <v>1057.5401342106784</v>
      </c>
    </row>
    <row r="289" spans="1:9" x14ac:dyDescent="0.25">
      <c r="A289" s="1">
        <v>775</v>
      </c>
      <c r="B289" s="34" cm="1">
        <f t="array" ref="B289">TrajectoryToComeUp(B$248:B$251,$A289)</f>
        <v>5.7242760797160646</v>
      </c>
      <c r="C289" s="34" cm="1">
        <f t="array" ref="C289">TrajectoryToComeUp(C$248:C$251,$A289)</f>
        <v>6.0532040745523092</v>
      </c>
      <c r="D289" s="34" cm="1">
        <f t="array" ref="D289">TrajectoryToComeUp(D$248:D$251,$A289)</f>
        <v>5.9712532125362356</v>
      </c>
      <c r="E289" s="34" cm="1">
        <f t="array" ref="E289">TrajectoryToComeUp(E$248:E$251,$A289)</f>
        <v>5.9836165228982461</v>
      </c>
      <c r="F289" s="34" cm="1">
        <f t="array" ref="F289">TrajectoryToComeUp(F$248:F$251,$A289)</f>
        <v>5.557816917072147</v>
      </c>
      <c r="G289" s="34" cm="1">
        <f t="array" ref="G289">TrajectoryToComeUp(G$248:G$251,$A289)</f>
        <v>4.6333614263089791</v>
      </c>
      <c r="H289" s="34" cm="1">
        <f t="array" ref="H289">TrajectoryToComeUp(H$248:H$251,$A289)</f>
        <v>3.5039039040662265</v>
      </c>
      <c r="I289" s="2" cm="1">
        <f t="array" ref="I289">EvaluatePolynomial(I$248:I$251,$A289)</f>
        <v>1027.8452137397524</v>
      </c>
    </row>
    <row r="290" spans="1:9" x14ac:dyDescent="0.25">
      <c r="A290" s="1">
        <v>800</v>
      </c>
      <c r="B290" s="34" cm="1">
        <f t="array" ref="B290">TrajectoryToComeUp(B$248:B$251,$A290)</f>
        <v>6.008058320795346</v>
      </c>
      <c r="C290" s="34" cm="1">
        <f t="array" ref="C290">TrajectoryToComeUp(C$248:C$251,$A290)</f>
        <v>6.3878010287421638</v>
      </c>
      <c r="D290" s="34" cm="1">
        <f t="array" ref="D290">TrajectoryToComeUp(D$248:D$251,$A290)</f>
        <v>6.2995790109606755</v>
      </c>
      <c r="E290" s="34" cm="1">
        <f t="array" ref="E290">TrajectoryToComeUp(E$248:E$251,$A290)</f>
        <v>6.3504586405331631</v>
      </c>
      <c r="F290" s="34" cm="1">
        <f t="array" ref="F290">TrajectoryToComeUp(F$248:F$251,$A290)</f>
        <v>5.9579367090114026</v>
      </c>
      <c r="G290" s="34" cm="1">
        <f t="array" ref="G290">TrajectoryToComeUp(G$248:G$251,$A290)</f>
        <v>5.0160579479677816</v>
      </c>
      <c r="H290" s="34" cm="1">
        <f t="array" ref="H290">TrajectoryToComeUp(H$248:H$251,$A290)</f>
        <v>3.876377614812605</v>
      </c>
      <c r="I290" s="2" cm="1">
        <f t="array" ref="I290">EvaluatePolynomial(I$248:I$251,$A290)</f>
        <v>1001.9551774723494</v>
      </c>
    </row>
    <row r="291" spans="1:9" x14ac:dyDescent="0.25">
      <c r="A291" s="1">
        <v>825</v>
      </c>
      <c r="B291" s="34" cm="1">
        <f t="array" ref="B291">TrajectoryToComeUp(B$248:B$251,$A291)</f>
        <v>6.2945604936525044</v>
      </c>
      <c r="C291" s="34" cm="1">
        <f t="array" ref="C291">TrajectoryToComeUp(C$248:C$251,$A291)</f>
        <v>6.729367064539419</v>
      </c>
      <c r="D291" s="34" cm="1">
        <f t="array" ref="D291">TrajectoryToComeUp(D$248:D$251,$A291)</f>
        <v>6.6342514507061985</v>
      </c>
      <c r="E291" s="34" cm="1">
        <f t="array" ref="E291">TrajectoryToComeUp(E$248:E$251,$A291)</f>
        <v>6.7257136742685573</v>
      </c>
      <c r="F291" s="34" cm="1">
        <f t="array" ref="F291">TrajectoryToComeUp(F$248:F$251,$A291)</f>
        <v>6.3684363358323095</v>
      </c>
      <c r="G291" s="34" cm="1">
        <f t="array" ref="G291">TrajectoryToComeUp(G$248:G$251,$A291)</f>
        <v>5.407863589600594</v>
      </c>
      <c r="H291" s="34" cm="1">
        <f t="array" ref="H291">TrajectoryToComeUp(H$248:H$251,$A291)</f>
        <v>4.2579284605272427</v>
      </c>
      <c r="I291" s="2" cm="1">
        <f t="array" ref="I291">EvaluatePolynomial(I$248:I$251,$A291)</f>
        <v>979.87806484294595</v>
      </c>
    </row>
    <row r="292" spans="1:9" x14ac:dyDescent="0.25">
      <c r="A292" s="1">
        <v>850</v>
      </c>
      <c r="B292" s="34" cm="1">
        <f t="array" ref="B292">TrajectoryToComeUp(B$248:B$251,$A292)</f>
        <v>6.5837692437265476</v>
      </c>
      <c r="C292" s="34" cm="1">
        <f t="array" ref="C292">TrajectoryToComeUp(C$248:C$251,$A292)</f>
        <v>7.0778916819040161</v>
      </c>
      <c r="D292" s="34" cm="1">
        <f t="array" ref="D292">TrajectoryToComeUp(D$248:D$251,$A292)</f>
        <v>6.9752603660581336</v>
      </c>
      <c r="E292" s="34" cm="1">
        <f t="array" ref="E292">TrajectoryToComeUp(E$248:E$251,$A292)</f>
        <v>7.109372697986359</v>
      </c>
      <c r="F292" s="34" cm="1">
        <f t="array" ref="F292">TrajectoryToComeUp(F$248:F$251,$A292)</f>
        <v>6.7893061861292194</v>
      </c>
      <c r="G292" s="34" cm="1">
        <f t="array" ref="G292">TrajectoryToComeUp(G$248:G$251,$A292)</f>
        <v>5.8087686295443151</v>
      </c>
      <c r="H292" s="34" cm="1">
        <f t="array" ref="H292">TrajectoryToComeUp(H$248:H$251,$A292)</f>
        <v>4.648547705285023</v>
      </c>
      <c r="I292" s="2" cm="1">
        <f t="array" ref="I292">EvaluatePolynomial(I$248:I$251,$A292)</f>
        <v>961.62191528601807</v>
      </c>
    </row>
    <row r="293" spans="1:9" x14ac:dyDescent="0.25">
      <c r="A293" s="1">
        <v>875</v>
      </c>
      <c r="B293" s="34" cm="1">
        <f t="array" ref="B293">TrajectoryToComeUp(B$248:B$251,$A293)</f>
        <v>6.8756727426920303</v>
      </c>
      <c r="C293" s="34" cm="1">
        <f t="array" ref="C293">TrajectoryToComeUp(C$248:C$251,$A293)</f>
        <v>7.4333655808004737</v>
      </c>
      <c r="D293" s="34" cm="1">
        <f t="array" ref="D293">TrajectoryToComeUp(D$248:D$251,$A293)</f>
        <v>7.3225967530977636</v>
      </c>
      <c r="E293" s="34" cm="1">
        <f t="array" ref="E293">TrajectoryToComeUp(E$248:E$251,$A293)</f>
        <v>7.5014278056962835</v>
      </c>
      <c r="F293" s="34" cm="1">
        <f t="array" ref="F293">TrajectoryToComeUp(F$248:F$251,$A293)</f>
        <v>7.2205377469428456</v>
      </c>
      <c r="G293" s="34" cm="1">
        <f t="array" ref="G293">TrajectoryToComeUp(G$248:G$251,$A293)</f>
        <v>6.2187644571830436</v>
      </c>
      <c r="H293" s="34" cm="1">
        <f t="array" ref="H293">TrajectoryToComeUp(H$248:H$251,$A293)</f>
        <v>5.0482276115522717</v>
      </c>
      <c r="I293" s="2" cm="1">
        <f t="array" ref="I293">EvaluatePolynomial(I$248:I$251,$A293)</f>
        <v>947.19476823604202</v>
      </c>
    </row>
    <row r="294" spans="1:9" x14ac:dyDescent="0.25">
      <c r="A294" s="1">
        <v>900</v>
      </c>
      <c r="B294" s="34" cm="1">
        <f t="array" ref="B294">TrajectoryToComeUp(B$248:B$251,$A294)</f>
        <v>7.1702604764818885</v>
      </c>
      <c r="C294" s="34" cm="1">
        <f t="array" ref="C294">TrajectoryToComeUp(C$248:C$251,$A294)</f>
        <v>7.7957804945305824</v>
      </c>
      <c r="D294" s="34" cm="1">
        <f t="array" ref="D294">TrajectoryToComeUp(D$248:D$251,$A294)</f>
        <v>7.6762526083417901</v>
      </c>
      <c r="E294" s="34" cm="1">
        <f t="array" ref="E294">TrajectoryToComeUp(E$248:E$251,$A294)</f>
        <v>7.9018719698514071</v>
      </c>
      <c r="F294" s="34" cm="1">
        <f t="array" ref="F294">TrajectoryToComeUp(F$248:F$251,$A294)</f>
        <v>7.6621234511982665</v>
      </c>
      <c r="G294" s="34" cm="1">
        <f t="array" ref="G294">TrajectoryToComeUp(G$248:G$251,$A294)</f>
        <v>6.63784341863599</v>
      </c>
      <c r="H294" s="34" cm="1">
        <f t="array" ref="H294">TrajectoryToComeUp(H$248:H$251,$A294)</f>
        <v>5.4569613015212832</v>
      </c>
      <c r="I294" s="2" cm="1">
        <f t="array" ref="I294">EvaluatePolynomial(I$248:I$251,$A294)</f>
        <v>936.60466312749372</v>
      </c>
    </row>
    <row r="295" spans="1:9" x14ac:dyDescent="0.25">
      <c r="A295" s="1">
        <v>925</v>
      </c>
      <c r="B295" s="34" cm="1">
        <f t="array" ref="B295">TrajectoryToComeUp(B$248:B$251,$A295)</f>
        <v>7.4675230676849527</v>
      </c>
      <c r="C295" s="34" cm="1">
        <f t="array" ref="C295">TrajectoryToComeUp(C$248:C$251,$A295)</f>
        <v>8.1651290500932419</v>
      </c>
      <c r="D295" s="34" cm="1">
        <f t="array" ref="D295">TrajectoryToComeUp(D$248:D$251,$A295)</f>
        <v>8.0362207935483525</v>
      </c>
      <c r="E295" s="34" cm="1">
        <f t="array" ref="E295">TrajectoryToComeUp(E$248:E$251,$A295)</f>
        <v>8.3106989226396077</v>
      </c>
      <c r="F295" s="34" cm="1">
        <f t="array" ref="F295">TrajectoryToComeUp(F$248:F$251,$A295)</f>
        <v>8.1140565498827115</v>
      </c>
      <c r="G295" s="34" cm="1">
        <f t="array" ref="G295">TrajectoryToComeUp(G$248:G$251,$A295)</f>
        <v>7.0659986874689276</v>
      </c>
      <c r="H295" s="34" cm="1">
        <f t="array" ref="H295">TrajectoryToComeUp(H$248:H$251,$A295)</f>
        <v>5.8747426409311228</v>
      </c>
      <c r="I295" s="2" cm="1">
        <f t="array" ref="I295">EvaluatePolynomial(I$248:I$251,$A295)</f>
        <v>929.85963939484895</v>
      </c>
    </row>
    <row r="296" spans="1:9" x14ac:dyDescent="0.25">
      <c r="A296" s="1">
        <v>950</v>
      </c>
      <c r="B296" s="34" cm="1">
        <f t="array" ref="B296">TrajectoryToComeUp(B$248:B$251,$A296)</f>
        <v>7.767452125985975</v>
      </c>
      <c r="C296" s="34" cm="1">
        <f t="array" ref="C296">TrajectoryToComeUp(C$248:C$251,$A296)</f>
        <v>8.5414046505927299</v>
      </c>
      <c r="D296" s="34" cm="1">
        <f t="array" ref="D296">TrajectoryToComeUp(D$248:D$251,$A296)</f>
        <v>8.4024949218694704</v>
      </c>
      <c r="E296" s="34" cm="1">
        <f t="array" ref="E296">TrajectoryToComeUp(E$248:E$251,$A296)</f>
        <v>8.7279030560184587</v>
      </c>
      <c r="F296" s="34" cm="1">
        <f t="array" ref="F296">TrajectoryToComeUp(F$248:F$251,$A296)</f>
        <v>8.5763310044058123</v>
      </c>
      <c r="G296" s="34" cm="1">
        <f t="array" ref="G296">TrajectoryToComeUp(G$248:G$251,$A296)</f>
        <v>7.5032241558196597</v>
      </c>
      <c r="H296" s="34" cm="1">
        <f t="array" ref="H296">TrajectoryToComeUp(H$248:H$251,$A296)</f>
        <v>6.3015661412325414</v>
      </c>
      <c r="I296" s="2" cm="1">
        <f t="array" ref="I296">EvaluatePolynomial(I$248:I$251,$A296)</f>
        <v>926.96773647258453</v>
      </c>
    </row>
    <row r="297" spans="1:9" x14ac:dyDescent="0.25">
      <c r="A297" s="1">
        <v>975</v>
      </c>
      <c r="B297" s="34" cm="1">
        <f t="array" ref="B297">TrajectoryToComeUp(B$248:B$251,$A297)</f>
        <v>8.0700401216148485</v>
      </c>
      <c r="C297" s="34" cm="1">
        <f t="array" ref="C297">TrajectoryToComeUp(C$248:C$251,$A297)</f>
        <v>8.9246013757380105</v>
      </c>
      <c r="D297" s="34" cm="1">
        <f t="array" ref="D297">TrajectoryToComeUp(D$248:D$251,$A297)</f>
        <v>8.7750692615184871</v>
      </c>
      <c r="E297" s="34" cm="1">
        <f t="array" ref="E297">TrajectoryToComeUp(E$248:E$251,$A297)</f>
        <v>9.1534793371293812</v>
      </c>
      <c r="F297" s="34" cm="1">
        <f t="array" ref="F297">TrajectoryToComeUp(F$248:F$251,$A297)</f>
        <v>9.0489413955197957</v>
      </c>
      <c r="G297" s="34" cm="1">
        <f t="array" ref="G297">TrajectoryToComeUp(G$248:G$251,$A297)</f>
        <v>7.9495143422733889</v>
      </c>
      <c r="H297" s="34" cm="1">
        <f t="array" ref="H297">TrajectoryToComeUp(H$248:H$251,$A297)</f>
        <v>6.7374268768044123</v>
      </c>
      <c r="I297" s="2" cm="1">
        <f t="array" ref="I297">EvaluatePolynomial(I$248:I$251,$A297)</f>
        <v>927.93699379517591</v>
      </c>
    </row>
    <row r="298" spans="1:9" x14ac:dyDescent="0.25">
      <c r="A298" s="1">
        <v>1000</v>
      </c>
      <c r="B298" s="34" cm="1">
        <f t="array" ref="B298">TrajectoryToComeUp(B$248:B$251,$A298)</f>
        <v>8.3752802777784936</v>
      </c>
      <c r="C298" s="34" cm="1">
        <f t="array" ref="C298">TrajectoryToComeUp(C$248:C$251,$A298)</f>
        <v>9.3147138972671559</v>
      </c>
      <c r="D298" s="34" cm="1">
        <f t="array" ref="D298">TrajectoryToComeUp(D$248:D$251,$A298)</f>
        <v>9.1539386538874243</v>
      </c>
      <c r="E298" s="34" cm="1">
        <f t="array" ref="E298">TrajectoryToComeUp(E$248:E$251,$A298)</f>
        <v>9.5874232363996477</v>
      </c>
      <c r="F298" s="34" cm="1">
        <f t="array" ref="F298">TrajectoryToComeUp(F$248:F$251,$A298)</f>
        <v>9.53188284590167</v>
      </c>
      <c r="G298" s="34" cm="1">
        <f t="array" ref="G298">TrajectoryToComeUp(G$248:G$251,$A298)</f>
        <v>8.4048643135568017</v>
      </c>
      <c r="H298" s="34" cm="1">
        <f t="array" ref="H298">TrajectoryToComeUp(H$248:H$251,$A298)</f>
        <v>7.1823204145877231</v>
      </c>
      <c r="I298" s="2" cm="1">
        <f t="array" ref="I298">EvaluatePolynomial(I$248:I$251,$A298)</f>
        <v>932.77545079709898</v>
      </c>
    </row>
  </sheetData>
  <mergeCells count="4">
    <mergeCell ref="F1:H1"/>
    <mergeCell ref="C21:G21"/>
    <mergeCell ref="J21:N21"/>
    <mergeCell ref="AH93:AL93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74D47-F432-4863-9EF4-99AB69591884}">
  <sheetPr codeName="Sheet2"/>
  <dimension ref="A1:S297"/>
  <sheetViews>
    <sheetView topLeftCell="A51" workbookViewId="0">
      <selection activeCell="P19" sqref="P19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6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8" x14ac:dyDescent="0.25">
      <c r="A1" t="s">
        <v>18</v>
      </c>
      <c r="B1" t="s">
        <v>40</v>
      </c>
      <c r="C1" t="s">
        <v>42</v>
      </c>
      <c r="D1" t="s">
        <v>29</v>
      </c>
      <c r="F1" s="46" t="s">
        <v>65</v>
      </c>
      <c r="G1" s="46"/>
      <c r="H1" s="46"/>
    </row>
    <row r="2" spans="1:8" x14ac:dyDescent="0.25">
      <c r="A2" t="s">
        <v>20</v>
      </c>
      <c r="B2" s="2">
        <v>100</v>
      </c>
      <c r="C2" s="2">
        <f>CONVERT($B$2,"grain","g")</f>
        <v>6.4798910000000003</v>
      </c>
      <c r="F2" t="s">
        <v>66</v>
      </c>
      <c r="G2">
        <v>100</v>
      </c>
      <c r="H2" s="2">
        <f>CONVERT($G$2,"grain","g")</f>
        <v>6.4798910000000003</v>
      </c>
    </row>
    <row r="3" spans="1:8" x14ac:dyDescent="0.25">
      <c r="A3" t="s">
        <v>0</v>
      </c>
      <c r="B3" s="2">
        <v>0.27700000000000002</v>
      </c>
      <c r="C3" s="2">
        <f>CONVERT($B$3,"in","mm")</f>
        <v>7.0358000000000001</v>
      </c>
      <c r="F3" t="s">
        <v>67</v>
      </c>
      <c r="G3">
        <v>0.27700000000000002</v>
      </c>
      <c r="H3" s="2">
        <f>CONVERT($G$3,"in","mm")</f>
        <v>7.0358000000000001</v>
      </c>
    </row>
    <row r="4" spans="1:8" x14ac:dyDescent="0.25">
      <c r="A4" t="s">
        <v>11</v>
      </c>
      <c r="B4" s="2">
        <v>0.252</v>
      </c>
      <c r="C4" s="2"/>
      <c r="F4" t="s">
        <v>11</v>
      </c>
      <c r="G4" t="s">
        <v>70</v>
      </c>
      <c r="H4" s="2"/>
    </row>
    <row r="5" spans="1:8" x14ac:dyDescent="0.25">
      <c r="A5" t="s">
        <v>21</v>
      </c>
      <c r="B5" s="2">
        <v>0.252</v>
      </c>
      <c r="C5" s="2"/>
      <c r="F5" t="s">
        <v>21</v>
      </c>
      <c r="G5">
        <v>0.252</v>
      </c>
      <c r="H5" s="2"/>
    </row>
    <row r="6" spans="1:8" x14ac:dyDescent="0.25">
      <c r="A6" t="s">
        <v>22</v>
      </c>
      <c r="B6" s="2">
        <v>3317.8</v>
      </c>
      <c r="C6" s="2">
        <f>CONVERT($B$6,"J","flb")</f>
        <v>2447.0836988721112</v>
      </c>
      <c r="F6" t="s">
        <v>68</v>
      </c>
      <c r="G6" s="2" cm="1">
        <f t="array" ref="G6">MuzzleVelocityToMuzzleEnergyFtLb(G7,G2)</f>
        <v>2447.0476083648782</v>
      </c>
      <c r="H6" s="2" cm="1">
        <f t="array" ref="H6">MuzzleVelocityToMuzzleEnergyJoules(H7,H2)</f>
        <v>3317.7510678425292</v>
      </c>
    </row>
    <row r="7" spans="1:8" x14ac:dyDescent="0.25">
      <c r="A7" t="s">
        <v>19</v>
      </c>
      <c r="B7" s="2" cm="1">
        <f t="array" ref="B7">MuzzleEnergyToMuzzleVelocityMPS(B6,C2)</f>
        <v>1011.9434622881762</v>
      </c>
      <c r="C7" s="2" cm="1">
        <f t="array" ref="C7">MuzzleEnergyToMuzzleVelocityFPS(C6,B2)</f>
        <v>3320.0244825727564</v>
      </c>
      <c r="F7" t="s">
        <v>69</v>
      </c>
      <c r="G7">
        <v>3320</v>
      </c>
      <c r="H7" s="2">
        <f>CONVERT($G$7,"ft","m")</f>
        <v>1011.936</v>
      </c>
    </row>
    <row r="8" spans="1:8" x14ac:dyDescent="0.25">
      <c r="A8" t="s">
        <v>1</v>
      </c>
      <c r="B8" s="2">
        <v>0</v>
      </c>
      <c r="C8" s="2"/>
    </row>
    <row r="9" spans="1:8" x14ac:dyDescent="0.25">
      <c r="A9" t="s">
        <v>2</v>
      </c>
      <c r="B9" s="2">
        <v>14</v>
      </c>
      <c r="C9" s="2">
        <f>CONVERT($B$9,"m/sec","km/hr")</f>
        <v>50.4</v>
      </c>
    </row>
    <row r="10" spans="1:8" x14ac:dyDescent="0.25">
      <c r="A10" t="s">
        <v>3</v>
      </c>
      <c r="B10" s="2">
        <v>270</v>
      </c>
      <c r="C10" s="2"/>
    </row>
    <row r="11" spans="1:8" x14ac:dyDescent="0.25">
      <c r="A11" s="25" t="s">
        <v>43</v>
      </c>
      <c r="B11" s="2">
        <v>0.5</v>
      </c>
      <c r="C11" s="26"/>
    </row>
    <row r="12" spans="1:8" x14ac:dyDescent="0.25">
      <c r="A12" s="25" t="s">
        <v>44</v>
      </c>
      <c r="B12" s="2" cm="1">
        <f t="array" ref="B12">MOAToMRAD($B$11)</f>
        <v>0.14544410433286079</v>
      </c>
      <c r="C12" s="26">
        <f>$B$12/2</f>
        <v>7.2722052166430393E-2</v>
      </c>
    </row>
    <row r="13" spans="1:8" x14ac:dyDescent="0.25">
      <c r="A13" s="25" t="s">
        <v>26</v>
      </c>
      <c r="B13" s="2">
        <f>CONVERT(1.5,"in","cm")</f>
        <v>3.81</v>
      </c>
      <c r="D13" s="2">
        <f>CONVERT($B$13,"cm","in")</f>
        <v>1.5</v>
      </c>
    </row>
    <row r="14" spans="1:8" x14ac:dyDescent="0.25">
      <c r="A14" s="25" t="s">
        <v>5</v>
      </c>
      <c r="B14" t="s">
        <v>45</v>
      </c>
    </row>
    <row r="15" spans="1:8" x14ac:dyDescent="0.25">
      <c r="A15" t="s">
        <v>46</v>
      </c>
      <c r="B15" s="24" t="s">
        <v>47</v>
      </c>
      <c r="C15" s="24" t="s">
        <v>48</v>
      </c>
      <c r="D15" s="24" t="s">
        <v>49</v>
      </c>
      <c r="E15" s="24" t="s">
        <v>50</v>
      </c>
    </row>
    <row r="16" spans="1:8" x14ac:dyDescent="0.25">
      <c r="A16" s="25" t="s">
        <v>51</v>
      </c>
      <c r="B16" s="2">
        <v>0.625</v>
      </c>
      <c r="C16">
        <f>$B16/2</f>
        <v>0.3125</v>
      </c>
      <c r="D16" s="2">
        <f>$B$16 * $B$18</f>
        <v>0.36361026083215198</v>
      </c>
      <c r="E16" s="27">
        <f>$D16/2</f>
        <v>0.18180513041607599</v>
      </c>
    </row>
    <row r="17" spans="1:17" x14ac:dyDescent="0.25">
      <c r="A17" s="25" t="s">
        <v>52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7">
        <f>$D17/2</f>
        <v>7.2722052166430393E-2</v>
      </c>
    </row>
    <row r="18" spans="1:17" x14ac:dyDescent="0.25">
      <c r="A18" s="11" t="s">
        <v>53</v>
      </c>
      <c r="B18" s="12">
        <f>$B$12/$B$17</f>
        <v>0.58177641733144314</v>
      </c>
      <c r="C18" s="2"/>
      <c r="J18" s="2">
        <v>4.25</v>
      </c>
      <c r="K18" s="2">
        <v>4</v>
      </c>
      <c r="L18" s="2">
        <v>4.25</v>
      </c>
      <c r="M18" s="2">
        <v>4</v>
      </c>
      <c r="N18" s="2">
        <v>4</v>
      </c>
      <c r="O18" s="2">
        <v>4</v>
      </c>
      <c r="P18" s="2">
        <v>4.125</v>
      </c>
    </row>
    <row r="19" spans="1:17" x14ac:dyDescent="0.25">
      <c r="A19" s="28" t="s">
        <v>54</v>
      </c>
      <c r="B19" s="29"/>
      <c r="C19" s="2">
        <f>$C$17*0.61+$C16*0.39</f>
        <v>0.198125</v>
      </c>
      <c r="D19" s="2"/>
      <c r="E19" s="44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7" x14ac:dyDescent="0.25">
      <c r="C20" s="45" t="s">
        <v>24</v>
      </c>
      <c r="D20" s="45"/>
      <c r="E20" s="45"/>
      <c r="F20" s="45"/>
      <c r="G20" s="45"/>
      <c r="H20" s="13"/>
      <c r="I20" s="13"/>
      <c r="J20" s="45" t="s">
        <v>25</v>
      </c>
      <c r="K20" s="45"/>
      <c r="L20" s="45"/>
      <c r="M20" s="45"/>
      <c r="N20" s="45"/>
      <c r="O20" s="13"/>
      <c r="P20" s="13"/>
      <c r="Q20" s="35" t="s">
        <v>30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32</v>
      </c>
      <c r="I21" t="s">
        <v>33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32</v>
      </c>
      <c r="P21" s="16" t="s">
        <v>33</v>
      </c>
      <c r="Q21" s="35" t="s">
        <v>31</v>
      </c>
    </row>
    <row r="22" spans="1:17" x14ac:dyDescent="0.25">
      <c r="A22" s="1">
        <v>0</v>
      </c>
      <c r="B22" s="1">
        <v>3317.8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8">
        <f t="shared" si="1"/>
        <v>-3.81</v>
      </c>
      <c r="Q22" s="36">
        <v>0</v>
      </c>
    </row>
    <row r="23" spans="1:17" x14ac:dyDescent="0.25">
      <c r="A23" s="1">
        <v>25</v>
      </c>
      <c r="B23" s="1">
        <v>3243.5</v>
      </c>
      <c r="C23" s="6">
        <v>-0.25</v>
      </c>
      <c r="D23" s="6">
        <v>-0.33300000000000002</v>
      </c>
      <c r="E23" s="6">
        <v>-0.33300000000000002</v>
      </c>
      <c r="F23" s="6">
        <v>-0.26</v>
      </c>
      <c r="G23" s="6">
        <v>-0.16700000000000001</v>
      </c>
      <c r="H23" s="6">
        <v>8.3000000000000004E-2</v>
      </c>
      <c r="I23" s="14">
        <v>0.1875</v>
      </c>
      <c r="J23" s="9" cm="1">
        <f t="array" ref="J23">TrajectoryDropInCM(C23,$A23,J$18)</f>
        <v>-2.65625099955286</v>
      </c>
      <c r="K23" s="9" cm="1">
        <f t="array" ref="K23">TrajectoryDropInCM(D23,$A23,K$18)</f>
        <v>-3.3300019693900382</v>
      </c>
      <c r="L23" s="9" cm="1">
        <f t="array" ref="L23">TrajectoryDropInCM(E23,$A23,L$18)</f>
        <v>-3.5381273622104836</v>
      </c>
      <c r="M23" s="9" cm="1">
        <f t="array" ref="M23">TrajectoryDropInCM(F23,$A23,M$18)</f>
        <v>-2.6000009373870725</v>
      </c>
      <c r="N23" s="9" cm="1">
        <f t="array" ref="N23">TrajectoryDropInCM(G23,$A23,N$18)</f>
        <v>-1.6700002483980712</v>
      </c>
      <c r="O23" s="9" cm="1">
        <f t="array" ref="O23">TrajectoryDropInCM(H23,$A23,O$18)</f>
        <v>0.83000003049530802</v>
      </c>
      <c r="P23" s="9" cm="1">
        <f t="array" ref="P23">TrajectoryDropInCM(I23,$A23,P$18)</f>
        <v>1.9335941355622739</v>
      </c>
      <c r="Q23" s="36" cm="1">
        <f t="array" ref="Q23">TrajectoryErrorCM($E$19,1,$A23)</f>
        <v>0.37561137059069255</v>
      </c>
    </row>
    <row r="24" spans="1:17" x14ac:dyDescent="0.25">
      <c r="A24" s="1">
        <v>50</v>
      </c>
      <c r="B24" s="1">
        <v>3120.4</v>
      </c>
      <c r="C24" s="7">
        <v>0</v>
      </c>
      <c r="D24" s="6">
        <v>-8.3000000000000004E-2</v>
      </c>
      <c r="E24" s="6">
        <v>-8.3000000000000004E-2</v>
      </c>
      <c r="F24" s="6">
        <v>0</v>
      </c>
      <c r="G24" s="6">
        <v>0.125</v>
      </c>
      <c r="H24" s="6">
        <v>0.26700000000000002</v>
      </c>
      <c r="I24" s="14">
        <v>0.5</v>
      </c>
      <c r="J24" s="9" cm="1">
        <f t="array" ref="J24">TrajectoryDropInCM(C24,$A24,J$18)</f>
        <v>0</v>
      </c>
      <c r="K24" s="9" cm="1">
        <f t="array" ref="K24">TrajectoryDropInCM(D24,$A24,K$18)</f>
        <v>-1.660000060990616</v>
      </c>
      <c r="L24" s="9" cm="1">
        <f t="array" ref="L24">TrajectoryDropInCM(E24,$A24,L$18)</f>
        <v>-1.763750073155981</v>
      </c>
      <c r="M24" s="9" cm="1">
        <f t="array" ref="M24">TrajectoryDropInCM(F24,$A24,M$18)</f>
        <v>0</v>
      </c>
      <c r="N24" s="9" cm="1">
        <f t="array" ref="N24">TrajectoryDropInCM(G24,$A24,N$18)</f>
        <v>2.5000002083333537</v>
      </c>
      <c r="O24" s="9" cm="1">
        <f t="array" ref="O24">TrajectoryDropInCM(H24,$A24,O$18)</f>
        <v>5.3400020303116467</v>
      </c>
      <c r="P24" s="9" cm="1">
        <f t="array" ref="P24">TrajectoryDropInCM(I24,$A24,P$18)</f>
        <v>10.312514622827617</v>
      </c>
      <c r="Q24" s="36" cm="1">
        <f t="array" ref="Q24">TrajectoryErrorCM($E$19,1,$A24)</f>
        <v>0.7512227411813851</v>
      </c>
    </row>
    <row r="25" spans="1:17" x14ac:dyDescent="0.25">
      <c r="A25" s="1">
        <v>75</v>
      </c>
      <c r="B25" s="1">
        <v>3021.9</v>
      </c>
      <c r="C25" s="6">
        <v>0.15</v>
      </c>
      <c r="D25" s="6">
        <v>0</v>
      </c>
      <c r="E25" s="6">
        <v>0</v>
      </c>
      <c r="F25" s="6">
        <v>8.3000000000000004E-2</v>
      </c>
      <c r="G25" s="6">
        <v>0.1875</v>
      </c>
      <c r="H25" s="6">
        <v>0.33300000000000002</v>
      </c>
      <c r="I25" s="14">
        <v>0.57499999999999996</v>
      </c>
      <c r="J25" s="9" cm="1">
        <f t="array" ref="J25">TrajectoryDropInCM(C25,$A25,J$18)</f>
        <v>4.781250647710066</v>
      </c>
      <c r="K25" s="9" cm="1">
        <f t="array" ref="K25">TrajectoryDropInCM(D25,$A25,K$18)</f>
        <v>0</v>
      </c>
      <c r="L25" s="9" cm="1">
        <f t="array" ref="L25">TrajectoryDropInCM(E25,$A25,L$18)</f>
        <v>0</v>
      </c>
      <c r="M25" s="9" cm="1">
        <f t="array" ref="M25">TrajectoryDropInCM(F25,$A25,M$18)</f>
        <v>2.4900000914859239</v>
      </c>
      <c r="N25" s="9" cm="1">
        <f t="array" ref="N25">TrajectoryDropInCM(G25,$A25,N$18)</f>
        <v>5.625001054687738</v>
      </c>
      <c r="O25" s="9" cm="1">
        <f t="array" ref="O25">TrajectoryDropInCM(H25,$A25,O$18)</f>
        <v>9.9900059081701151</v>
      </c>
      <c r="P25" s="9" cm="1">
        <f t="array" ref="P25">TrajectoryDropInCM(I25,$A25,P$18)</f>
        <v>17.789095859257731</v>
      </c>
      <c r="Q25" s="36" cm="1">
        <f t="array" ref="Q25">TrajectoryErrorCM($E$19,1,$A25)</f>
        <v>1.1268341117720777</v>
      </c>
    </row>
    <row r="26" spans="1:17" x14ac:dyDescent="0.25">
      <c r="A26" s="1">
        <v>100</v>
      </c>
      <c r="B26" s="1">
        <v>2926.9</v>
      </c>
      <c r="C26" s="6">
        <v>0.13500000000000001</v>
      </c>
      <c r="D26" s="7">
        <v>0</v>
      </c>
      <c r="E26" s="6">
        <v>3.3000000000000002E-2</v>
      </c>
      <c r="F26" s="6">
        <v>8.3000000000000004E-2</v>
      </c>
      <c r="G26" s="6">
        <v>0.1875</v>
      </c>
      <c r="H26" s="6">
        <v>0.375</v>
      </c>
      <c r="I26" s="14">
        <v>0.58299999999999996</v>
      </c>
      <c r="J26" s="9" cm="1">
        <f t="array" ref="J26">TrajectoryDropInCM(C26,$A26,J$18)</f>
        <v>5.7375006295741642</v>
      </c>
      <c r="K26" s="9" cm="1">
        <f t="array" ref="K26">TrajectoryDropInCM(D26,$A26,K$18)</f>
        <v>0</v>
      </c>
      <c r="L26" s="9" cm="1">
        <f t="array" ref="L26">TrajectoryDropInCM(E26,$A26,L$18)</f>
        <v>1.4025000091957547</v>
      </c>
      <c r="M26" s="9" cm="1">
        <f t="array" ref="M26">TrajectoryDropInCM(F26,$A26,M$18)</f>
        <v>3.3200001219812321</v>
      </c>
      <c r="N26" s="9" cm="1">
        <f t="array" ref="N26">TrajectoryDropInCM(G26,$A26,N$18)</f>
        <v>7.5000014062503171</v>
      </c>
      <c r="O26" s="9" cm="1">
        <f t="array" ref="O26">TrajectoryDropInCM(H26,$A26,O$18)</f>
        <v>15.000011250010125</v>
      </c>
      <c r="P26" s="9" cm="1">
        <f t="array" ref="P26">TrajectoryDropInCM(I26,$A26,P$18)</f>
        <v>24.048796361478004</v>
      </c>
      <c r="Q26" s="36" cm="1">
        <f t="array" ref="Q26">TrajectoryErrorCM($E$19,1,$A26)</f>
        <v>1.5024454823627702</v>
      </c>
    </row>
    <row r="27" spans="1:17" x14ac:dyDescent="0.25">
      <c r="A27" s="1">
        <v>125</v>
      </c>
      <c r="B27" s="1">
        <v>2835</v>
      </c>
      <c r="C27" s="6">
        <v>0.13500000000000001</v>
      </c>
      <c r="D27" s="6">
        <v>0</v>
      </c>
      <c r="E27" s="6">
        <v>1.4999999999999999E-2</v>
      </c>
      <c r="F27" s="6">
        <v>8.3000000000000004E-2</v>
      </c>
      <c r="G27" s="6">
        <v>0.1875</v>
      </c>
      <c r="H27" s="6">
        <v>0.36499999999999999</v>
      </c>
      <c r="I27" s="14">
        <v>0.58299999999999996</v>
      </c>
      <c r="J27" s="9" cm="1">
        <f t="array" ref="J27">TrajectoryDropInCM(C27,$A27,J$18)</f>
        <v>7.1718757869677061</v>
      </c>
      <c r="K27" s="9" cm="1">
        <f t="array" ref="K27">TrajectoryDropInCM(D27,$A27,K$18)</f>
        <v>0</v>
      </c>
      <c r="L27" s="9" cm="1">
        <f t="array" ref="L27">TrajectoryDropInCM(E27,$A27,L$18)</f>
        <v>0.7968750010795167</v>
      </c>
      <c r="M27" s="9" cm="1">
        <f t="array" ref="M27">TrajectoryDropInCM(F27,$A27,M$18)</f>
        <v>4.1500001524765402</v>
      </c>
      <c r="N27" s="9" cm="1">
        <f t="array" ref="N27">TrajectoryDropInCM(G27,$A27,N$18)</f>
        <v>9.3750017578128961</v>
      </c>
      <c r="O27" s="9" cm="1">
        <f t="array" ref="O27">TrajectoryDropInCM(H27,$A27,O$18)</f>
        <v>18.250012967244388</v>
      </c>
      <c r="P27" s="9" cm="1">
        <f t="array" ref="P27">TrajectoryDropInCM(I27,$A27,P$18)</f>
        <v>30.060995451847504</v>
      </c>
      <c r="Q27" s="36" cm="1">
        <f t="array" ref="Q27">TrajectoryErrorCM($E$19,1,$A27)</f>
        <v>1.8780568529534629</v>
      </c>
    </row>
    <row r="28" spans="1:17" x14ac:dyDescent="0.25">
      <c r="A28" s="1">
        <v>150</v>
      </c>
      <c r="B28" s="1">
        <v>2727.3</v>
      </c>
      <c r="C28" s="6">
        <v>8.3000000000000004E-2</v>
      </c>
      <c r="D28" s="6">
        <v>0</v>
      </c>
      <c r="E28" s="7">
        <v>0</v>
      </c>
      <c r="F28" s="6">
        <v>8.3000000000000004E-2</v>
      </c>
      <c r="G28" s="6">
        <v>0.16700000000000001</v>
      </c>
      <c r="H28" s="6">
        <v>0.317</v>
      </c>
      <c r="I28" s="14">
        <v>0.55000000000000004</v>
      </c>
      <c r="J28" s="9" cm="1">
        <f t="array" ref="J28">TrajectoryDropInCM(C28,$A28,J$18)</f>
        <v>5.2912502194679423</v>
      </c>
      <c r="K28" s="9" cm="1">
        <f t="array" ref="K28">TrajectoryDropInCM(D28,$A28,K$18)</f>
        <v>0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10.020001490388427</v>
      </c>
      <c r="O28" s="9" cm="1">
        <f t="array" ref="O28">TrajectoryDropInCM(H28,$A28,O$18)</f>
        <v>19.020010193610716</v>
      </c>
      <c r="P28" s="9" cm="1">
        <f t="array" ref="P28">TrajectoryDropInCM(I28,$A28,P$18)</f>
        <v>34.031308388971546</v>
      </c>
      <c r="Q28" s="36" cm="1">
        <f t="array" ref="Q28">TrajectoryErrorCM($E$19,1,$A28)</f>
        <v>2.2536682235441554</v>
      </c>
    </row>
    <row r="29" spans="1:17" x14ac:dyDescent="0.25">
      <c r="A29" s="1">
        <v>200</v>
      </c>
      <c r="B29" s="1">
        <v>2546.3000000000002</v>
      </c>
      <c r="C29" s="6">
        <v>3.3000000000000002E-2</v>
      </c>
      <c r="D29" s="6">
        <v>-8.3000000000000004E-2</v>
      </c>
      <c r="E29" s="6">
        <v>-3.3000000000000002E-2</v>
      </c>
      <c r="F29" s="7">
        <v>0</v>
      </c>
      <c r="G29" s="6">
        <v>0.125</v>
      </c>
      <c r="H29" s="6">
        <v>0.317</v>
      </c>
      <c r="I29" s="14">
        <v>0.5</v>
      </c>
      <c r="J29" s="9" cm="1">
        <f t="array" ref="J29">TrajectoryDropInCM(C29,$A29,J$18)</f>
        <v>2.8050000183915094</v>
      </c>
      <c r="K29" s="9" cm="1">
        <f t="array" ref="K29">TrajectoryDropInCM(D29,$A29,K$18)</f>
        <v>-6.6400002439624641</v>
      </c>
      <c r="L29" s="9" cm="1">
        <f t="array" ref="L29">TrajectoryDropInCM(E29,$A29,L$18)</f>
        <v>-2.8050000183915094</v>
      </c>
      <c r="M29" s="9" cm="1">
        <f t="array" ref="M29">TrajectoryDropInCM(F29,$A29,M$18)</f>
        <v>0</v>
      </c>
      <c r="N29" s="9" cm="1">
        <f t="array" ref="N29">TrajectoryDropInCM(G29,$A29,N$18)</f>
        <v>10.000000833333415</v>
      </c>
      <c r="O29" s="9" cm="1">
        <f t="array" ref="O29">TrajectoryDropInCM(H29,$A29,O$18)</f>
        <v>25.360013591480957</v>
      </c>
      <c r="P29" s="9" cm="1">
        <f t="array" ref="P29">TrajectoryDropInCM(I29,$A29,P$18)</f>
        <v>41.250058491310469</v>
      </c>
      <c r="Q29" s="36" cm="1">
        <f t="array" ref="Q29">TrajectoryErrorCM($E$19,1,$A29)</f>
        <v>3.0048909647255404</v>
      </c>
    </row>
    <row r="30" spans="1:17" x14ac:dyDescent="0.25">
      <c r="A30" s="1">
        <v>250</v>
      </c>
      <c r="B30" s="1">
        <v>2380.1</v>
      </c>
      <c r="C30" s="6">
        <v>-3.5000000000000003E-2</v>
      </c>
      <c r="D30" s="6">
        <v>-0.13300000000000001</v>
      </c>
      <c r="E30" s="6">
        <v>-8.3000000000000004E-2</v>
      </c>
      <c r="F30" s="6">
        <v>-3.3000000000000002E-2</v>
      </c>
      <c r="G30" s="6">
        <v>8.3000000000000004E-2</v>
      </c>
      <c r="H30" s="6">
        <v>0.25</v>
      </c>
      <c r="I30" s="14">
        <v>0.41699999999999998</v>
      </c>
      <c r="J30" s="9" cm="1">
        <f t="array" ref="J30">TrajectoryDropInCM(C30,$A30,J$18)</f>
        <v>-3.7187500274277183</v>
      </c>
      <c r="K30" s="9" cm="1">
        <f t="array" ref="K30">TrajectoryDropInCM(D30,$A30,K$18)</f>
        <v>-13.300001254739877</v>
      </c>
      <c r="L30" s="9" cm="1">
        <f t="array" ref="L30">TrajectoryDropInCM(E30,$A30,L$18)</f>
        <v>-8.8187503657799056</v>
      </c>
      <c r="M30" s="9" cm="1">
        <f t="array" ref="M30">TrajectoryDropInCM(F30,$A30,M$18)</f>
        <v>-3.3000000191664007</v>
      </c>
      <c r="N30" s="9" cm="1">
        <f t="array" ref="N30">TrajectoryDropInCM(G30,$A30,N$18)</f>
        <v>8.3000003049530804</v>
      </c>
      <c r="O30" s="9" cm="1">
        <f t="array" ref="O30">TrajectoryDropInCM(H30,$A30,O$18)</f>
        <v>25.00000833333667</v>
      </c>
      <c r="P30" s="9" cm="1">
        <f t="array" ref="P30">TrajectoryDropInCM(I30,$A30,P$18)</f>
        <v>43.003167413029196</v>
      </c>
      <c r="Q30" s="36" cm="1">
        <f t="array" ref="Q30">TrajectoryErrorCM($E$19,1,$A30)</f>
        <v>3.7561137059069258</v>
      </c>
    </row>
    <row r="31" spans="1:17" x14ac:dyDescent="0.25">
      <c r="A31" s="1">
        <v>300</v>
      </c>
      <c r="B31" s="1">
        <v>2214.1999999999998</v>
      </c>
      <c r="C31" s="6">
        <v>-0.125</v>
      </c>
      <c r="D31" s="6">
        <v>-0.187</v>
      </c>
      <c r="E31" s="6">
        <v>-0.187</v>
      </c>
      <c r="F31" s="6">
        <v>-0.125</v>
      </c>
      <c r="G31" s="7">
        <v>0</v>
      </c>
      <c r="H31" s="17">
        <v>0.16700000000000001</v>
      </c>
      <c r="I31" s="18">
        <v>0.32500000000000001</v>
      </c>
      <c r="J31" s="9" cm="1">
        <f t="array" ref="J31">TrajectoryDropInCM(C31,$A31,J$18)</f>
        <v>-15.937501499328786</v>
      </c>
      <c r="K31" s="9" cm="1">
        <f t="array" ref="K31">TrajectoryDropInCM(D31,$A31,K$18)</f>
        <v>-22.440004185090856</v>
      </c>
      <c r="L31" s="9" cm="1">
        <f t="array" ref="L31">TrajectoryDropInCM(E31,$A31,L$18)</f>
        <v>-23.842505019861321</v>
      </c>
      <c r="M31" s="9" cm="1">
        <f t="array" ref="M31">TrajectoryDropInCM(F31,$A31,M$18)</f>
        <v>-15.000001250000123</v>
      </c>
      <c r="N31" s="9" cm="1">
        <f t="array" ref="N31">TrajectoryDropInCM(G31,$A31,N$18)</f>
        <v>0</v>
      </c>
      <c r="O31" s="9" cm="1">
        <f t="array" ref="O31">TrajectoryDropInCM(H31,$A31,O$18)</f>
        <v>20.040002980776855</v>
      </c>
      <c r="P31" s="9" cm="1">
        <f t="array" ref="P31">TrajectoryDropInCM(I31,$A31,P$18)</f>
        <v>40.218774094740525</v>
      </c>
      <c r="Q31" s="36" cm="1">
        <f t="array" ref="Q31">TrajectoryErrorCM($E$19,1,$A31)</f>
        <v>4.5073364470883108</v>
      </c>
    </row>
    <row r="32" spans="1:17" x14ac:dyDescent="0.25">
      <c r="A32" s="1">
        <v>350</v>
      </c>
      <c r="B32" s="1">
        <v>2062.6</v>
      </c>
      <c r="C32" s="6">
        <v>-0.16700000000000001</v>
      </c>
      <c r="D32" s="6">
        <v>-0.25</v>
      </c>
      <c r="E32" s="6">
        <v>-0.25</v>
      </c>
      <c r="F32" s="6">
        <v>-0.16700000000000001</v>
      </c>
      <c r="G32" s="6">
        <v>-8.3000000000000004E-2</v>
      </c>
      <c r="H32" s="6">
        <v>8.3000000000000004E-2</v>
      </c>
      <c r="I32" s="14">
        <v>0.25</v>
      </c>
      <c r="J32" s="9" cm="1">
        <f t="array" ref="J32">TrajectoryDropInCM(C32,$A32,J$18)</f>
        <v>-24.841254171219852</v>
      </c>
      <c r="K32" s="9" cm="1">
        <f t="array" ref="K32">TrajectoryDropInCM(D32,$A32,K$18)</f>
        <v>-35.000011666671341</v>
      </c>
      <c r="L32" s="9" cm="1">
        <f t="array" ref="L32">TrajectoryDropInCM(E32,$A32,L$18)</f>
        <v>-37.187513993740048</v>
      </c>
      <c r="M32" s="9" cm="1">
        <f t="array" ref="M32">TrajectoryDropInCM(F32,$A32,M$18)</f>
        <v>-23.380003477572998</v>
      </c>
      <c r="N32" s="9" cm="1">
        <f t="array" ref="N32">TrajectoryDropInCM(G32,$A32,N$18)</f>
        <v>-11.620000426934313</v>
      </c>
      <c r="O32" s="9" cm="1">
        <f t="array" ref="O32">TrajectoryDropInCM(H32,$A32,O$18)</f>
        <v>11.620000426934313</v>
      </c>
      <c r="P32" s="9" cm="1">
        <f t="array" ref="P32">TrajectoryDropInCM(I32,$A32,P$18)</f>
        <v>36.093762794957833</v>
      </c>
      <c r="Q32" s="36" cm="1">
        <f t="array" ref="Q32">TrajectoryErrorCM($E$19,1,$A32)</f>
        <v>5.2585591882696958</v>
      </c>
    </row>
    <row r="33" spans="1:17" x14ac:dyDescent="0.25">
      <c r="A33" s="1">
        <v>400</v>
      </c>
      <c r="B33" s="1">
        <v>1912.6</v>
      </c>
      <c r="C33" s="6">
        <v>-0.25</v>
      </c>
      <c r="D33" s="6">
        <v>-0.375</v>
      </c>
      <c r="E33" s="6">
        <v>-0.33300000000000002</v>
      </c>
      <c r="F33" s="6">
        <v>-0.25</v>
      </c>
      <c r="G33" s="6">
        <v>-0.16700000000000001</v>
      </c>
      <c r="H33" s="7">
        <v>0</v>
      </c>
      <c r="I33" s="14">
        <v>0.16700000000000001</v>
      </c>
      <c r="J33" s="9" cm="1">
        <f t="array" ref="J33">TrajectoryDropInCM(C33,$A33,J$18)</f>
        <v>-42.500015992845761</v>
      </c>
      <c r="K33" s="9" cm="1">
        <f t="array" ref="K33">TrajectoryDropInCM(D33,$A33,K$18)</f>
        <v>-60.000045000040501</v>
      </c>
      <c r="L33" s="9" cm="1">
        <f t="array" ref="L33">TrajectoryDropInCM(E33,$A33,L$18)</f>
        <v>-56.610037795367738</v>
      </c>
      <c r="M33" s="9" cm="1">
        <f t="array" ref="M33">TrajectoryDropInCM(F33,$A33,M$18)</f>
        <v>-40.000013333338671</v>
      </c>
      <c r="N33" s="9" cm="1">
        <f t="array" ref="N33">TrajectoryDropInCM(G33,$A33,N$18)</f>
        <v>-26.720003974369138</v>
      </c>
      <c r="O33" s="9" cm="1">
        <f t="array" ref="O33">TrajectoryDropInCM(H33,$A33,O$18)</f>
        <v>0</v>
      </c>
      <c r="P33" s="9" cm="1">
        <f t="array" ref="P33">TrajectoryDropInCM(I33,$A33,P$18)</f>
        <v>27.555004358731246</v>
      </c>
      <c r="Q33" s="36" cm="1">
        <f t="array" ref="Q33">TrajectoryErrorCM($E$19,1,$A33)</f>
        <v>6.0097819294510808</v>
      </c>
    </row>
    <row r="34" spans="1:17" x14ac:dyDescent="0.25">
      <c r="A34" s="1">
        <v>450</v>
      </c>
      <c r="B34" s="1">
        <v>1779.5</v>
      </c>
      <c r="C34" s="6">
        <v>-0.375</v>
      </c>
      <c r="D34" s="6">
        <v>-0.47499999999999998</v>
      </c>
      <c r="E34" s="6">
        <v>-0.41699999999999998</v>
      </c>
      <c r="F34" s="6">
        <v>-0.41699999999999998</v>
      </c>
      <c r="G34" s="6">
        <v>-0.25</v>
      </c>
      <c r="H34" s="6">
        <v>-8.3000000000000004E-2</v>
      </c>
      <c r="I34" s="14">
        <v>8.3000000000000004E-2</v>
      </c>
      <c r="J34" s="9" cm="1">
        <f t="array" ref="J34">TrajectoryDropInCM(C34,$A34,J$18)</f>
        <v>-71.718810722870529</v>
      </c>
      <c r="K34" s="9" cm="1">
        <f t="array" ref="K34">TrajectoryDropInCM(D34,$A34,K$18)</f>
        <v>-85.500102885148564</v>
      </c>
      <c r="L34" s="9" cm="1">
        <f t="array" ref="L34">TrajectoryDropInCM(E34,$A34,L$18)</f>
        <v>-79.751333496209426</v>
      </c>
      <c r="M34" s="9" cm="1">
        <f t="array" ref="M34">TrajectoryDropInCM(F34,$A34,M$18)</f>
        <v>-75.06006961132195</v>
      </c>
      <c r="N34" s="9" cm="1">
        <f t="array" ref="N34">TrajectoryDropInCM(G34,$A34,N$18)</f>
        <v>-45.000015000006002</v>
      </c>
      <c r="O34" s="9" cm="1">
        <f t="array" ref="O34">TrajectoryDropInCM(H34,$A34,O$18)</f>
        <v>-14.940000548915544</v>
      </c>
      <c r="P34" s="9" cm="1">
        <f t="array" ref="P34">TrajectoryDropInCM(I34,$A34,P$18)</f>
        <v>15.406875602001282</v>
      </c>
      <c r="Q34" s="36" cm="1">
        <f t="array" ref="Q34">TrajectoryErrorCM($E$19,1,$A34)</f>
        <v>6.7610046706324667</v>
      </c>
    </row>
    <row r="35" spans="1:17" x14ac:dyDescent="0.25">
      <c r="A35" s="1">
        <v>500</v>
      </c>
      <c r="B35" s="1">
        <v>1644.9</v>
      </c>
      <c r="C35" s="6">
        <v>-0.5</v>
      </c>
      <c r="D35" s="6">
        <v>-0.58299999999999996</v>
      </c>
      <c r="E35" s="6">
        <v>-0.5</v>
      </c>
      <c r="F35" s="6">
        <v>-0.5</v>
      </c>
      <c r="G35" s="6">
        <v>-0.33300000000000002</v>
      </c>
      <c r="H35" s="6">
        <v>-0.16700000000000001</v>
      </c>
      <c r="I35" s="15">
        <v>0</v>
      </c>
      <c r="J35" s="9" cm="1">
        <f t="array" ref="J35">TrajectoryDropInCM(C35,$A35,J$18)</f>
        <v>-106.25015992867431</v>
      </c>
      <c r="K35" s="9" cm="1">
        <f t="array" ref="K35">TrajectoryDropInCM(D35,$A35,K$18)</f>
        <v>-116.60021136609924</v>
      </c>
      <c r="L35" s="9" cm="1">
        <f t="array" ref="L35">TrajectoryDropInCM(E35,$A35,L$18)</f>
        <v>-106.25015992867431</v>
      </c>
      <c r="M35" s="9" cm="1">
        <f t="array" ref="M35">TrajectoryDropInCM(F35,$A35,M$18)</f>
        <v>-100.00013333354664</v>
      </c>
      <c r="N35" s="9" cm="1">
        <f t="array" ref="N35">TrajectoryDropInCM(G35,$A35,N$18)</f>
        <v>-66.600039387800763</v>
      </c>
      <c r="O35" s="9" cm="1">
        <f t="array" ref="O35">TrajectoryDropInCM(H35,$A35,O$18)</f>
        <v>-33.400004967961429</v>
      </c>
      <c r="P35" s="9" cm="1">
        <f t="array" ref="P35">TrajectoryDropInCM(I35,$A35,P$18)</f>
        <v>0</v>
      </c>
      <c r="Q35" s="36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34</v>
      </c>
      <c r="K78" t="s">
        <v>77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35</v>
      </c>
      <c r="H79" t="s">
        <v>36</v>
      </c>
      <c r="I79" t="s">
        <v>37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35</v>
      </c>
      <c r="R79" t="s">
        <v>36</v>
      </c>
      <c r="S79" t="s">
        <v>37</v>
      </c>
    </row>
    <row r="80" spans="1:19" x14ac:dyDescent="0.25">
      <c r="A80" s="1">
        <v>0</v>
      </c>
      <c r="B80" s="1">
        <v>1012</v>
      </c>
      <c r="C80" s="1">
        <v>3318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K80" s="1">
        <v>0</v>
      </c>
      <c r="L80" s="1">
        <v>1012</v>
      </c>
      <c r="M80" s="1">
        <v>3318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977</v>
      </c>
      <c r="C81" s="1">
        <v>3095</v>
      </c>
      <c r="D81" s="1">
        <v>-1.6</v>
      </c>
      <c r="E81" s="1">
        <v>2.2000000000000002</v>
      </c>
      <c r="F81" s="1">
        <v>0.6</v>
      </c>
      <c r="G81" s="1">
        <v>0</v>
      </c>
      <c r="H81" s="1">
        <v>0</v>
      </c>
      <c r="I81" s="1">
        <v>0</v>
      </c>
      <c r="K81" s="1">
        <v>25</v>
      </c>
      <c r="L81" s="1">
        <v>995</v>
      </c>
      <c r="M81" s="1">
        <v>3211</v>
      </c>
      <c r="N81" s="1">
        <v>-1.6</v>
      </c>
      <c r="O81" s="1">
        <v>2.2000000000000002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944</v>
      </c>
      <c r="C82" s="10">
        <v>2887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K82" s="1">
        <v>50</v>
      </c>
      <c r="L82" s="1">
        <v>979</v>
      </c>
      <c r="M82" s="1">
        <v>3107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911</v>
      </c>
      <c r="C83" s="1">
        <v>2692</v>
      </c>
      <c r="D83" s="1">
        <v>0.9</v>
      </c>
      <c r="E83" s="1">
        <v>-0.4</v>
      </c>
      <c r="F83" s="1">
        <v>-0.1</v>
      </c>
      <c r="G83" s="1">
        <v>0</v>
      </c>
      <c r="H83" s="1">
        <v>0</v>
      </c>
      <c r="I83" s="1">
        <v>0</v>
      </c>
      <c r="K83" s="1">
        <v>75</v>
      </c>
      <c r="L83" s="1">
        <v>963</v>
      </c>
      <c r="M83" s="1">
        <v>3005</v>
      </c>
      <c r="N83" s="1">
        <v>0.9</v>
      </c>
      <c r="O83" s="1">
        <v>-0.4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880</v>
      </c>
      <c r="C84" s="1">
        <v>2507</v>
      </c>
      <c r="D84" s="1">
        <v>1</v>
      </c>
      <c r="E84" s="1">
        <v>-0.3</v>
      </c>
      <c r="F84" s="1">
        <v>-0.1</v>
      </c>
      <c r="G84" s="1">
        <v>0</v>
      </c>
      <c r="H84" s="1">
        <v>0</v>
      </c>
      <c r="I84" s="1">
        <v>0</v>
      </c>
      <c r="K84" s="1">
        <v>100</v>
      </c>
      <c r="L84" s="1">
        <v>947</v>
      </c>
      <c r="M84" s="1">
        <v>2905</v>
      </c>
      <c r="N84" s="1">
        <v>1.2</v>
      </c>
      <c r="O84" s="1">
        <v>-0.4</v>
      </c>
      <c r="P84" s="1">
        <v>-0.1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849</v>
      </c>
      <c r="C85" s="1">
        <v>2334</v>
      </c>
      <c r="D85" s="1">
        <v>0.3</v>
      </c>
      <c r="E85" s="1">
        <v>-0.1</v>
      </c>
      <c r="F85" s="1">
        <v>0</v>
      </c>
      <c r="G85" s="1">
        <v>0</v>
      </c>
      <c r="H85" s="1">
        <v>0</v>
      </c>
      <c r="I85" s="1">
        <v>0</v>
      </c>
      <c r="K85" s="1">
        <v>125</v>
      </c>
      <c r="L85" s="1">
        <v>931</v>
      </c>
      <c r="M85" s="1">
        <v>2807</v>
      </c>
      <c r="N85" s="1">
        <v>0.8</v>
      </c>
      <c r="O85" s="1">
        <v>-0.2</v>
      </c>
      <c r="P85" s="1">
        <v>-0.1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818</v>
      </c>
      <c r="C86" s="1">
        <v>2170</v>
      </c>
      <c r="D86" s="1">
        <v>-1.3</v>
      </c>
      <c r="E86" s="1">
        <v>0.3</v>
      </c>
      <c r="F86" s="1">
        <v>0.1</v>
      </c>
      <c r="G86" s="1">
        <v>0</v>
      </c>
      <c r="H86" s="1">
        <v>0</v>
      </c>
      <c r="I86" s="1">
        <v>0</v>
      </c>
      <c r="K86" s="1">
        <v>150</v>
      </c>
      <c r="L86" s="1">
        <v>915</v>
      </c>
      <c r="M86" s="1">
        <v>2711</v>
      </c>
      <c r="N86" s="1">
        <v>-0.3</v>
      </c>
      <c r="O86" s="1">
        <v>0.1</v>
      </c>
      <c r="P86" s="1">
        <v>0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789</v>
      </c>
      <c r="C87" s="1">
        <v>2016</v>
      </c>
      <c r="D87" s="1">
        <v>-3.8</v>
      </c>
      <c r="E87" s="1">
        <v>0.7</v>
      </c>
      <c r="F87" s="1">
        <v>0.2</v>
      </c>
      <c r="G87" s="1">
        <v>0</v>
      </c>
      <c r="H87" s="1">
        <v>0</v>
      </c>
      <c r="I87" s="1">
        <v>0</v>
      </c>
      <c r="K87" s="1">
        <v>175</v>
      </c>
      <c r="L87" s="1">
        <v>899</v>
      </c>
      <c r="M87" s="1">
        <v>2619</v>
      </c>
      <c r="N87" s="1">
        <v>-2.2000000000000002</v>
      </c>
      <c r="O87" s="1">
        <v>0.4</v>
      </c>
      <c r="P87" s="1">
        <v>0.1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760</v>
      </c>
      <c r="C88" s="1">
        <v>1870</v>
      </c>
      <c r="D88" s="1">
        <v>-7.4</v>
      </c>
      <c r="E88" s="1">
        <v>1.3</v>
      </c>
      <c r="F88" s="1">
        <v>0.4</v>
      </c>
      <c r="G88" s="1">
        <v>0</v>
      </c>
      <c r="H88" s="1">
        <v>0</v>
      </c>
      <c r="I88" s="1">
        <v>0</v>
      </c>
      <c r="K88" s="1">
        <v>200</v>
      </c>
      <c r="L88" s="1">
        <v>883</v>
      </c>
      <c r="M88" s="1">
        <v>2529</v>
      </c>
      <c r="N88" s="1">
        <v>-4.9000000000000004</v>
      </c>
      <c r="O88" s="1">
        <v>0.8</v>
      </c>
      <c r="P88" s="1">
        <v>0.2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731</v>
      </c>
      <c r="C89" s="1">
        <v>1733</v>
      </c>
      <c r="D89" s="1">
        <v>-12</v>
      </c>
      <c r="E89" s="1">
        <v>1.8</v>
      </c>
      <c r="F89" s="1">
        <v>0.5</v>
      </c>
      <c r="G89" s="1">
        <v>0</v>
      </c>
      <c r="H89" s="1">
        <v>0</v>
      </c>
      <c r="I89" s="1">
        <v>0</v>
      </c>
      <c r="K89" s="1">
        <v>225</v>
      </c>
      <c r="L89" s="1">
        <v>868</v>
      </c>
      <c r="M89" s="1">
        <v>2441</v>
      </c>
      <c r="N89" s="1">
        <v>-8.4</v>
      </c>
      <c r="O89" s="1">
        <v>1.3</v>
      </c>
      <c r="P89" s="1">
        <v>0.4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704</v>
      </c>
      <c r="C90" s="1">
        <v>1604</v>
      </c>
      <c r="D90" s="1">
        <v>-17.899999999999999</v>
      </c>
      <c r="E90" s="1">
        <v>2.5</v>
      </c>
      <c r="F90" s="1">
        <v>0.7</v>
      </c>
      <c r="G90" s="1">
        <v>0</v>
      </c>
      <c r="H90" s="1">
        <v>0</v>
      </c>
      <c r="I90" s="1">
        <v>0</v>
      </c>
      <c r="K90" s="1">
        <v>250</v>
      </c>
      <c r="L90" s="1">
        <v>853</v>
      </c>
      <c r="M90" s="1">
        <v>2356</v>
      </c>
      <c r="N90" s="1">
        <v>-12.6</v>
      </c>
      <c r="O90" s="1">
        <v>1.7</v>
      </c>
      <c r="P90" s="1">
        <v>0.5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676</v>
      </c>
      <c r="C91" s="1">
        <v>1482</v>
      </c>
      <c r="D91" s="1">
        <v>-25.3</v>
      </c>
      <c r="E91" s="1">
        <v>3.2</v>
      </c>
      <c r="F91" s="1">
        <v>0.9</v>
      </c>
      <c r="G91" s="1">
        <v>0</v>
      </c>
      <c r="H91" s="1">
        <v>0</v>
      </c>
      <c r="I91" s="1">
        <v>0</v>
      </c>
      <c r="K91" s="1">
        <v>275</v>
      </c>
      <c r="L91" s="1">
        <v>838</v>
      </c>
      <c r="M91" s="1">
        <v>2273</v>
      </c>
      <c r="N91" s="1">
        <v>-17.899999999999999</v>
      </c>
      <c r="O91" s="1">
        <v>2.2000000000000002</v>
      </c>
      <c r="P91" s="1">
        <v>0.7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650</v>
      </c>
      <c r="C92" s="1">
        <v>1368</v>
      </c>
      <c r="D92" s="1">
        <v>-33.9</v>
      </c>
      <c r="E92" s="1">
        <v>3.9</v>
      </c>
      <c r="F92" s="1">
        <v>1.1000000000000001</v>
      </c>
      <c r="G92" s="1">
        <v>0</v>
      </c>
      <c r="H92" s="1">
        <v>0</v>
      </c>
      <c r="I92" s="1">
        <v>0</v>
      </c>
      <c r="K92" s="1">
        <v>300</v>
      </c>
      <c r="L92" s="1">
        <v>823</v>
      </c>
      <c r="M92" s="1">
        <v>2192</v>
      </c>
      <c r="N92" s="1">
        <v>-23.9</v>
      </c>
      <c r="O92" s="1">
        <v>2.7</v>
      </c>
      <c r="P92" s="1">
        <v>0.8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624</v>
      </c>
      <c r="C93" s="1">
        <v>1260</v>
      </c>
      <c r="D93" s="1">
        <v>-44.1</v>
      </c>
      <c r="E93" s="1">
        <v>4.7</v>
      </c>
      <c r="F93" s="1">
        <v>1.4</v>
      </c>
      <c r="G93" s="1">
        <v>0</v>
      </c>
      <c r="H93" s="1">
        <v>0</v>
      </c>
      <c r="I93" s="1">
        <v>0</v>
      </c>
      <c r="K93" s="1">
        <v>325</v>
      </c>
      <c r="L93" s="1">
        <v>808</v>
      </c>
      <c r="M93" s="1">
        <v>2114</v>
      </c>
      <c r="N93" s="1">
        <v>-30.9</v>
      </c>
      <c r="O93" s="1">
        <v>3.3</v>
      </c>
      <c r="P93" s="1">
        <v>1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598</v>
      </c>
      <c r="C94" s="1">
        <v>1160</v>
      </c>
      <c r="D94" s="1">
        <v>-56.4</v>
      </c>
      <c r="E94" s="1">
        <v>5.5</v>
      </c>
      <c r="F94" s="1">
        <v>1.6</v>
      </c>
      <c r="G94" s="1">
        <v>0</v>
      </c>
      <c r="H94" s="1">
        <v>0</v>
      </c>
      <c r="I94" s="1">
        <v>0</v>
      </c>
      <c r="K94" s="1">
        <v>350</v>
      </c>
      <c r="L94" s="1">
        <v>793</v>
      </c>
      <c r="M94" s="1">
        <v>2037</v>
      </c>
      <c r="N94" s="1">
        <v>-39.1</v>
      </c>
      <c r="O94" s="1">
        <v>3.8</v>
      </c>
      <c r="P94" s="1">
        <v>1.1000000000000001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573</v>
      </c>
      <c r="C95" s="1">
        <v>1066</v>
      </c>
      <c r="D95" s="1">
        <v>-70.2</v>
      </c>
      <c r="E95" s="1">
        <v>6.4</v>
      </c>
      <c r="F95" s="1">
        <v>1.9</v>
      </c>
      <c r="G95" s="1">
        <v>0</v>
      </c>
      <c r="H95" s="1">
        <v>0</v>
      </c>
      <c r="I95" s="1">
        <v>0</v>
      </c>
      <c r="K95" s="1">
        <v>375</v>
      </c>
      <c r="L95" s="1">
        <v>778</v>
      </c>
      <c r="M95" s="1">
        <v>1963</v>
      </c>
      <c r="N95" s="1">
        <v>-48</v>
      </c>
      <c r="O95" s="1">
        <v>4.4000000000000004</v>
      </c>
      <c r="P95" s="1">
        <v>1.3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549</v>
      </c>
      <c r="C96" s="1">
        <v>978</v>
      </c>
      <c r="D96" s="1">
        <v>-86</v>
      </c>
      <c r="E96" s="1">
        <v>7.4</v>
      </c>
      <c r="F96" s="1">
        <v>2.2000000000000002</v>
      </c>
      <c r="G96" s="1">
        <v>0</v>
      </c>
      <c r="H96" s="1">
        <v>0</v>
      </c>
      <c r="I96" s="1">
        <v>0</v>
      </c>
      <c r="K96" s="1">
        <v>400</v>
      </c>
      <c r="L96" s="1">
        <v>764</v>
      </c>
      <c r="M96" s="1">
        <v>1891</v>
      </c>
      <c r="N96" s="1">
        <v>-58</v>
      </c>
      <c r="O96" s="1">
        <v>5</v>
      </c>
      <c r="P96" s="1">
        <v>1.5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526</v>
      </c>
      <c r="C97" s="1">
        <v>897</v>
      </c>
      <c r="D97" s="1">
        <v>-104.9</v>
      </c>
      <c r="E97" s="1">
        <v>8.5</v>
      </c>
      <c r="F97" s="1">
        <v>2.5</v>
      </c>
      <c r="G97" s="1">
        <v>0</v>
      </c>
      <c r="H97" s="1">
        <v>0</v>
      </c>
      <c r="I97" s="1">
        <v>0</v>
      </c>
      <c r="K97" s="1">
        <v>425</v>
      </c>
      <c r="L97" s="1">
        <v>750</v>
      </c>
      <c r="M97" s="1">
        <v>1821</v>
      </c>
      <c r="N97" s="1">
        <v>-69.5</v>
      </c>
      <c r="O97" s="1">
        <v>5.6</v>
      </c>
      <c r="P97" s="1">
        <v>1.6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503</v>
      </c>
      <c r="C98" s="1">
        <v>821</v>
      </c>
      <c r="D98" s="1">
        <v>-125.5</v>
      </c>
      <c r="E98" s="1">
        <v>9.6</v>
      </c>
      <c r="F98" s="1">
        <v>2.8</v>
      </c>
      <c r="G98" s="1">
        <v>0</v>
      </c>
      <c r="H98" s="1">
        <v>0</v>
      </c>
      <c r="I98" s="1">
        <v>0</v>
      </c>
      <c r="K98" s="1">
        <v>450</v>
      </c>
      <c r="L98" s="1">
        <v>735</v>
      </c>
      <c r="M98" s="1">
        <v>1753</v>
      </c>
      <c r="N98" s="1">
        <v>-81.7</v>
      </c>
      <c r="O98" s="1">
        <v>6.2</v>
      </c>
      <c r="P98" s="1">
        <v>1.8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482</v>
      </c>
      <c r="C99" s="1">
        <v>752</v>
      </c>
      <c r="D99" s="1">
        <v>-148.9</v>
      </c>
      <c r="E99" s="1">
        <v>10.8</v>
      </c>
      <c r="F99" s="1">
        <v>3.1</v>
      </c>
      <c r="G99" s="1">
        <v>0</v>
      </c>
      <c r="H99" s="1">
        <v>0</v>
      </c>
      <c r="I99" s="1">
        <v>0</v>
      </c>
      <c r="K99" s="1">
        <v>475</v>
      </c>
      <c r="L99" s="1">
        <v>721</v>
      </c>
      <c r="M99" s="1">
        <v>1687</v>
      </c>
      <c r="N99" s="1">
        <v>-95.1</v>
      </c>
      <c r="O99" s="1">
        <v>6.9</v>
      </c>
      <c r="P99" s="1">
        <v>2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462</v>
      </c>
      <c r="C100" s="1">
        <v>691</v>
      </c>
      <c r="D100" s="1">
        <v>-175.4</v>
      </c>
      <c r="E100" s="1">
        <v>12.1</v>
      </c>
      <c r="F100" s="1">
        <v>3.5</v>
      </c>
      <c r="G100" s="1">
        <v>0</v>
      </c>
      <c r="H100" s="1">
        <v>0</v>
      </c>
      <c r="I100" s="1">
        <v>0</v>
      </c>
      <c r="K100" s="1">
        <v>500</v>
      </c>
      <c r="L100" s="1">
        <v>708</v>
      </c>
      <c r="M100" s="1">
        <v>1625</v>
      </c>
      <c r="N100" s="1">
        <v>-109.7</v>
      </c>
      <c r="O100" s="1">
        <v>7.6</v>
      </c>
      <c r="P100" s="1">
        <v>2.2000000000000002</v>
      </c>
      <c r="Q100" s="1">
        <v>0</v>
      </c>
      <c r="R100" s="1">
        <v>0</v>
      </c>
      <c r="S100" s="1">
        <v>0</v>
      </c>
    </row>
    <row r="102" spans="1:19" x14ac:dyDescent="0.25">
      <c r="A102" t="s">
        <v>71</v>
      </c>
      <c r="K102" t="s">
        <v>78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35</v>
      </c>
      <c r="H103" t="s">
        <v>36</v>
      </c>
      <c r="I103" t="s">
        <v>37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35</v>
      </c>
      <c r="R103" t="s">
        <v>36</v>
      </c>
      <c r="S103" t="s">
        <v>37</v>
      </c>
    </row>
    <row r="104" spans="1:19" x14ac:dyDescent="0.25">
      <c r="A104" s="1">
        <v>0</v>
      </c>
      <c r="B104" s="1">
        <v>1012</v>
      </c>
      <c r="C104" s="1">
        <v>3318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1012</v>
      </c>
      <c r="M104" s="1">
        <v>3318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977</v>
      </c>
      <c r="C105" s="1">
        <v>3095</v>
      </c>
      <c r="D105" s="1">
        <v>-1.8</v>
      </c>
      <c r="E105" s="1">
        <v>2.6</v>
      </c>
      <c r="F105" s="1">
        <v>0.7</v>
      </c>
      <c r="G105">
        <v>0</v>
      </c>
      <c r="H105">
        <v>0</v>
      </c>
      <c r="I105">
        <v>0</v>
      </c>
      <c r="K105" s="1">
        <v>25</v>
      </c>
      <c r="L105" s="1">
        <v>995</v>
      </c>
      <c r="M105" s="1">
        <v>3211</v>
      </c>
      <c r="N105" s="1">
        <v>-1.9</v>
      </c>
      <c r="O105" s="1">
        <v>2.6</v>
      </c>
      <c r="P105" s="1">
        <v>0.8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944</v>
      </c>
      <c r="C106" s="1">
        <v>2887</v>
      </c>
      <c r="D106" s="1">
        <v>-0.5</v>
      </c>
      <c r="E106" s="1">
        <v>0.3</v>
      </c>
      <c r="F106" s="1">
        <v>0.1</v>
      </c>
      <c r="G106">
        <v>0</v>
      </c>
      <c r="H106">
        <v>0</v>
      </c>
      <c r="I106">
        <v>0</v>
      </c>
      <c r="K106" s="1">
        <v>50</v>
      </c>
      <c r="L106" s="1">
        <v>979</v>
      </c>
      <c r="M106" s="1">
        <v>3107</v>
      </c>
      <c r="N106" s="1">
        <v>-0.6</v>
      </c>
      <c r="O106" s="1">
        <v>0.4</v>
      </c>
      <c r="P106" s="1">
        <v>0.1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911</v>
      </c>
      <c r="C107" s="1">
        <v>2692</v>
      </c>
      <c r="D107" s="1">
        <v>0.1</v>
      </c>
      <c r="E107" s="1">
        <v>-0.1</v>
      </c>
      <c r="F107" s="1">
        <v>0</v>
      </c>
      <c r="G107">
        <v>0</v>
      </c>
      <c r="H107">
        <v>0</v>
      </c>
      <c r="I107">
        <v>0</v>
      </c>
      <c r="K107" s="1">
        <v>75</v>
      </c>
      <c r="L107" s="1">
        <v>963</v>
      </c>
      <c r="M107" s="1">
        <v>3005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880</v>
      </c>
      <c r="C108" s="10">
        <v>2507</v>
      </c>
      <c r="D108" s="10">
        <v>0</v>
      </c>
      <c r="E108" s="10">
        <v>0</v>
      </c>
      <c r="F108" s="10">
        <v>0</v>
      </c>
      <c r="G108">
        <v>0</v>
      </c>
      <c r="H108">
        <v>0</v>
      </c>
      <c r="I108">
        <v>0</v>
      </c>
      <c r="K108" s="1">
        <v>100</v>
      </c>
      <c r="L108" s="1">
        <v>947</v>
      </c>
      <c r="M108" s="1">
        <v>2905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849</v>
      </c>
      <c r="C109" s="1">
        <v>2334</v>
      </c>
      <c r="D109" s="1">
        <v>-1</v>
      </c>
      <c r="E109" s="1">
        <v>0.3</v>
      </c>
      <c r="F109" s="1">
        <v>0.1</v>
      </c>
      <c r="G109">
        <v>0</v>
      </c>
      <c r="H109">
        <v>0</v>
      </c>
      <c r="I109">
        <v>0</v>
      </c>
      <c r="K109" s="1">
        <v>125</v>
      </c>
      <c r="L109" s="1">
        <v>931</v>
      </c>
      <c r="M109" s="1">
        <v>2807</v>
      </c>
      <c r="N109" s="1">
        <v>-0.7</v>
      </c>
      <c r="O109" s="1">
        <v>0.2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818</v>
      </c>
      <c r="C110" s="1">
        <v>2170</v>
      </c>
      <c r="D110" s="1">
        <v>-2.8</v>
      </c>
      <c r="E110" s="1">
        <v>0.6</v>
      </c>
      <c r="F110" s="1">
        <v>0.2</v>
      </c>
      <c r="G110">
        <v>0</v>
      </c>
      <c r="H110">
        <v>0</v>
      </c>
      <c r="I110">
        <v>0</v>
      </c>
      <c r="K110" s="1">
        <v>150</v>
      </c>
      <c r="L110" s="1">
        <v>915</v>
      </c>
      <c r="M110" s="1">
        <v>2711</v>
      </c>
      <c r="N110" s="1">
        <v>-2.1</v>
      </c>
      <c r="O110" s="1">
        <v>0.5</v>
      </c>
      <c r="P110" s="1">
        <v>0.1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789</v>
      </c>
      <c r="C111" s="1">
        <v>2016</v>
      </c>
      <c r="D111" s="1">
        <v>-5.5</v>
      </c>
      <c r="E111" s="1">
        <v>1.1000000000000001</v>
      </c>
      <c r="F111" s="1">
        <v>0.3</v>
      </c>
      <c r="G111">
        <v>0</v>
      </c>
      <c r="H111">
        <v>0</v>
      </c>
      <c r="I111">
        <v>0</v>
      </c>
      <c r="K111" s="1">
        <v>175</v>
      </c>
      <c r="L111" s="1">
        <v>899</v>
      </c>
      <c r="M111" s="1">
        <v>2619</v>
      </c>
      <c r="N111" s="1">
        <v>-4.3</v>
      </c>
      <c r="O111" s="1">
        <v>0.8</v>
      </c>
      <c r="P111" s="1">
        <v>0.2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760</v>
      </c>
      <c r="C112" s="1">
        <v>1870</v>
      </c>
      <c r="D112" s="1">
        <v>-9.4</v>
      </c>
      <c r="E112" s="1">
        <v>1.6</v>
      </c>
      <c r="F112" s="1">
        <v>0.5</v>
      </c>
      <c r="G112">
        <v>0</v>
      </c>
      <c r="H112">
        <v>0</v>
      </c>
      <c r="I112">
        <v>0</v>
      </c>
      <c r="K112" s="1">
        <v>200</v>
      </c>
      <c r="L112" s="1">
        <v>883</v>
      </c>
      <c r="M112" s="1">
        <v>2529</v>
      </c>
      <c r="N112" s="1">
        <v>-7.3</v>
      </c>
      <c r="O112" s="1">
        <v>1.3</v>
      </c>
      <c r="P112" s="1">
        <v>0.4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731</v>
      </c>
      <c r="C113" s="1">
        <v>1733</v>
      </c>
      <c r="D113" s="1">
        <v>-14.3</v>
      </c>
      <c r="E113" s="1">
        <v>2.2000000000000002</v>
      </c>
      <c r="F113" s="1">
        <v>0.6</v>
      </c>
      <c r="G113">
        <v>0</v>
      </c>
      <c r="H113">
        <v>0</v>
      </c>
      <c r="I113">
        <v>0</v>
      </c>
      <c r="K113" s="1">
        <v>225</v>
      </c>
      <c r="L113" s="1">
        <v>868</v>
      </c>
      <c r="M113" s="1">
        <v>2441</v>
      </c>
      <c r="N113" s="1">
        <v>-11</v>
      </c>
      <c r="O113" s="1">
        <v>1.7</v>
      </c>
      <c r="P113" s="1">
        <v>0.5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704</v>
      </c>
      <c r="C114" s="1">
        <v>1604</v>
      </c>
      <c r="D114" s="1">
        <v>-20.399999999999999</v>
      </c>
      <c r="E114" s="1">
        <v>2.8</v>
      </c>
      <c r="F114" s="1">
        <v>0.8</v>
      </c>
      <c r="G114">
        <v>0</v>
      </c>
      <c r="H114">
        <v>0</v>
      </c>
      <c r="I114">
        <v>0</v>
      </c>
      <c r="K114" s="1">
        <v>250</v>
      </c>
      <c r="L114" s="1">
        <v>853</v>
      </c>
      <c r="M114" s="1">
        <v>2356</v>
      </c>
      <c r="N114" s="1">
        <v>-15.6</v>
      </c>
      <c r="O114" s="1">
        <v>2.1</v>
      </c>
      <c r="P114" s="1">
        <v>0.6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676</v>
      </c>
      <c r="C115" s="1">
        <v>1482</v>
      </c>
      <c r="D115" s="1">
        <v>-28.1</v>
      </c>
      <c r="E115" s="1">
        <v>3.5</v>
      </c>
      <c r="F115" s="1">
        <v>1</v>
      </c>
      <c r="G115">
        <v>0</v>
      </c>
      <c r="H115">
        <v>0</v>
      </c>
      <c r="I115">
        <v>0</v>
      </c>
      <c r="K115" s="1">
        <v>275</v>
      </c>
      <c r="L115" s="1">
        <v>838</v>
      </c>
      <c r="M115" s="1">
        <v>2273</v>
      </c>
      <c r="N115" s="1">
        <v>-21.2</v>
      </c>
      <c r="O115" s="1">
        <v>2.6</v>
      </c>
      <c r="P115" s="1">
        <v>0.8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650</v>
      </c>
      <c r="C116" s="1">
        <v>1368</v>
      </c>
      <c r="D116" s="1">
        <v>-36.9</v>
      </c>
      <c r="E116" s="1">
        <v>4.2</v>
      </c>
      <c r="F116" s="1">
        <v>1.2</v>
      </c>
      <c r="G116">
        <v>0</v>
      </c>
      <c r="H116">
        <v>0</v>
      </c>
      <c r="I116">
        <v>0</v>
      </c>
      <c r="K116" s="1">
        <v>300</v>
      </c>
      <c r="L116" s="1">
        <v>823</v>
      </c>
      <c r="M116" s="1">
        <v>2192</v>
      </c>
      <c r="N116" s="1">
        <v>-27.5</v>
      </c>
      <c r="O116" s="1">
        <v>3.2</v>
      </c>
      <c r="P116" s="1">
        <v>0.9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624</v>
      </c>
      <c r="C117" s="1">
        <v>1260</v>
      </c>
      <c r="D117" s="1">
        <v>-47.3</v>
      </c>
      <c r="E117" s="1">
        <v>5</v>
      </c>
      <c r="F117" s="1">
        <v>1.5</v>
      </c>
      <c r="G117">
        <v>0</v>
      </c>
      <c r="H117">
        <v>0</v>
      </c>
      <c r="I117">
        <v>0</v>
      </c>
      <c r="K117" s="1">
        <v>325</v>
      </c>
      <c r="L117" s="1">
        <v>808</v>
      </c>
      <c r="M117" s="1">
        <v>2114</v>
      </c>
      <c r="N117" s="1">
        <v>-34.700000000000003</v>
      </c>
      <c r="O117" s="1">
        <v>3.7</v>
      </c>
      <c r="P117" s="1">
        <v>1.1000000000000001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598</v>
      </c>
      <c r="C118" s="1">
        <v>1160</v>
      </c>
      <c r="D118" s="1">
        <v>-59.9</v>
      </c>
      <c r="E118" s="1">
        <v>5.9</v>
      </c>
      <c r="F118" s="1">
        <v>1.7</v>
      </c>
      <c r="G118">
        <v>0</v>
      </c>
      <c r="H118">
        <v>0</v>
      </c>
      <c r="I118">
        <v>0</v>
      </c>
      <c r="K118" s="1">
        <v>350</v>
      </c>
      <c r="L118" s="1">
        <v>793</v>
      </c>
      <c r="M118" s="1">
        <v>2037</v>
      </c>
      <c r="N118" s="1">
        <v>-43.3</v>
      </c>
      <c r="O118" s="1">
        <v>4.2</v>
      </c>
      <c r="P118" s="1">
        <v>1.2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573</v>
      </c>
      <c r="C119" s="1">
        <v>1066</v>
      </c>
      <c r="D119" s="1">
        <v>-74</v>
      </c>
      <c r="E119" s="1">
        <v>6.8</v>
      </c>
      <c r="F119" s="1">
        <v>2</v>
      </c>
      <c r="G119">
        <v>0</v>
      </c>
      <c r="H119">
        <v>0</v>
      </c>
      <c r="I119">
        <v>0</v>
      </c>
      <c r="K119" s="1">
        <v>375</v>
      </c>
      <c r="L119" s="1">
        <v>778</v>
      </c>
      <c r="M119" s="1">
        <v>1963</v>
      </c>
      <c r="N119" s="1">
        <v>-52.5</v>
      </c>
      <c r="O119" s="1">
        <v>4.8</v>
      </c>
      <c r="P119" s="1">
        <v>1.4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549</v>
      </c>
      <c r="C120" s="1">
        <v>978</v>
      </c>
      <c r="D120" s="1">
        <v>-90.1</v>
      </c>
      <c r="E120" s="1">
        <v>7.7</v>
      </c>
      <c r="F120" s="1">
        <v>2.2999999999999998</v>
      </c>
      <c r="G120">
        <v>0</v>
      </c>
      <c r="H120">
        <v>0</v>
      </c>
      <c r="I120">
        <v>0</v>
      </c>
      <c r="K120" s="1">
        <v>400</v>
      </c>
      <c r="L120" s="1">
        <v>764</v>
      </c>
      <c r="M120" s="1">
        <v>1891</v>
      </c>
      <c r="N120" s="1">
        <v>-62.7</v>
      </c>
      <c r="O120" s="1">
        <v>5.4</v>
      </c>
      <c r="P120" s="1">
        <v>1.6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526</v>
      </c>
      <c r="C121" s="1">
        <v>897</v>
      </c>
      <c r="D121" s="1">
        <v>-109.1</v>
      </c>
      <c r="E121" s="1">
        <v>8.8000000000000007</v>
      </c>
      <c r="F121" s="1">
        <v>2.6</v>
      </c>
      <c r="G121">
        <v>0</v>
      </c>
      <c r="H121">
        <v>0</v>
      </c>
      <c r="I121">
        <v>0</v>
      </c>
      <c r="K121" s="1">
        <v>425</v>
      </c>
      <c r="L121" s="1">
        <v>750</v>
      </c>
      <c r="M121" s="1">
        <v>1821</v>
      </c>
      <c r="N121" s="1">
        <v>-74.5</v>
      </c>
      <c r="O121" s="1">
        <v>6</v>
      </c>
      <c r="P121" s="1">
        <v>1.8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503</v>
      </c>
      <c r="C122" s="1">
        <v>821</v>
      </c>
      <c r="D122" s="1">
        <v>-130.1</v>
      </c>
      <c r="E122" s="1">
        <v>9.9</v>
      </c>
      <c r="F122" s="1">
        <v>2.9</v>
      </c>
      <c r="G122">
        <v>0</v>
      </c>
      <c r="H122">
        <v>0</v>
      </c>
      <c r="I122">
        <v>0</v>
      </c>
      <c r="K122" s="1">
        <v>450</v>
      </c>
      <c r="L122" s="1">
        <v>735</v>
      </c>
      <c r="M122" s="1">
        <v>1753</v>
      </c>
      <c r="N122" s="1">
        <v>-87.1</v>
      </c>
      <c r="O122" s="1">
        <v>6.7</v>
      </c>
      <c r="P122" s="1">
        <v>1.9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482</v>
      </c>
      <c r="C123" s="1">
        <v>752</v>
      </c>
      <c r="D123" s="1">
        <v>-153.69999999999999</v>
      </c>
      <c r="E123" s="1">
        <v>11.1</v>
      </c>
      <c r="F123" s="1">
        <v>3.2</v>
      </c>
      <c r="G123">
        <v>0</v>
      </c>
      <c r="H123">
        <v>0</v>
      </c>
      <c r="I123">
        <v>0</v>
      </c>
      <c r="K123" s="1">
        <v>475</v>
      </c>
      <c r="L123" s="1">
        <v>721</v>
      </c>
      <c r="M123" s="1">
        <v>1687</v>
      </c>
      <c r="N123" s="1">
        <v>-100.8</v>
      </c>
      <c r="O123" s="1">
        <v>7.3</v>
      </c>
      <c r="P123" s="1">
        <v>2.1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462</v>
      </c>
      <c r="C124" s="1">
        <v>691</v>
      </c>
      <c r="D124" s="1">
        <v>-180.4</v>
      </c>
      <c r="E124" s="1">
        <v>12.4</v>
      </c>
      <c r="F124" s="1">
        <v>3.6</v>
      </c>
      <c r="G124">
        <v>0</v>
      </c>
      <c r="H124">
        <v>0</v>
      </c>
      <c r="I124">
        <v>0</v>
      </c>
      <c r="K124" s="1">
        <v>500</v>
      </c>
      <c r="L124" s="1">
        <v>708</v>
      </c>
      <c r="M124" s="1">
        <v>1625</v>
      </c>
      <c r="N124" s="1">
        <v>-115.7</v>
      </c>
      <c r="O124" s="1">
        <v>8</v>
      </c>
      <c r="P124" s="1">
        <v>2.2999999999999998</v>
      </c>
      <c r="Q124" s="1">
        <v>0</v>
      </c>
      <c r="R124" s="1">
        <v>0</v>
      </c>
      <c r="S124" s="1">
        <v>0</v>
      </c>
    </row>
    <row r="126" spans="1:19" x14ac:dyDescent="0.25">
      <c r="A126" t="s">
        <v>72</v>
      </c>
      <c r="K126" t="s">
        <v>79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35</v>
      </c>
      <c r="H127" t="s">
        <v>36</v>
      </c>
      <c r="I127" t="s">
        <v>37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35</v>
      </c>
      <c r="R127" t="s">
        <v>36</v>
      </c>
      <c r="S127" t="s">
        <v>37</v>
      </c>
    </row>
    <row r="128" spans="1:19" x14ac:dyDescent="0.25">
      <c r="A128" s="1">
        <v>0</v>
      </c>
      <c r="B128" s="1">
        <v>1012</v>
      </c>
      <c r="C128" s="1">
        <v>3318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1012</v>
      </c>
      <c r="M128" s="1">
        <v>3318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977</v>
      </c>
      <c r="C129" s="1">
        <v>3095</v>
      </c>
      <c r="D129" s="1">
        <v>-1.4</v>
      </c>
      <c r="E129" s="1">
        <v>1.9</v>
      </c>
      <c r="F129" s="1">
        <v>0.6</v>
      </c>
      <c r="G129">
        <v>0</v>
      </c>
      <c r="H129">
        <v>0</v>
      </c>
      <c r="I129">
        <v>0</v>
      </c>
      <c r="K129" s="1">
        <v>25</v>
      </c>
      <c r="L129" s="1">
        <v>995</v>
      </c>
      <c r="M129" s="1">
        <v>3211</v>
      </c>
      <c r="N129" s="1">
        <v>-1.6</v>
      </c>
      <c r="O129" s="1">
        <v>2.2000000000000002</v>
      </c>
      <c r="P129" s="1">
        <v>0.6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944</v>
      </c>
      <c r="C130" s="1">
        <v>2887</v>
      </c>
      <c r="D130" s="1">
        <v>0.4</v>
      </c>
      <c r="E130" s="1">
        <v>-0.3</v>
      </c>
      <c r="F130" s="1">
        <v>-0.1</v>
      </c>
      <c r="G130">
        <v>0</v>
      </c>
      <c r="H130">
        <v>0</v>
      </c>
      <c r="I130">
        <v>0</v>
      </c>
      <c r="K130" s="1">
        <v>50</v>
      </c>
      <c r="L130" s="1">
        <v>979</v>
      </c>
      <c r="M130" s="1">
        <v>3107</v>
      </c>
      <c r="N130" s="1">
        <v>0.1</v>
      </c>
      <c r="O130" s="1">
        <v>-0.1</v>
      </c>
      <c r="P130" s="1">
        <v>0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911</v>
      </c>
      <c r="C131" s="1">
        <v>2692</v>
      </c>
      <c r="D131" s="1">
        <v>1.5</v>
      </c>
      <c r="E131" s="1">
        <v>-0.7</v>
      </c>
      <c r="F131" s="1">
        <v>-0.2</v>
      </c>
      <c r="G131">
        <v>0</v>
      </c>
      <c r="H131">
        <v>0</v>
      </c>
      <c r="I131">
        <v>0</v>
      </c>
      <c r="K131" s="1">
        <v>75</v>
      </c>
      <c r="L131" s="1">
        <v>963</v>
      </c>
      <c r="M131" s="1">
        <v>3005</v>
      </c>
      <c r="N131" s="1">
        <v>1.1000000000000001</v>
      </c>
      <c r="O131" s="1">
        <v>-0.5</v>
      </c>
      <c r="P131" s="1">
        <v>-0.1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880</v>
      </c>
      <c r="C132" s="1">
        <v>2507</v>
      </c>
      <c r="D132" s="1">
        <v>1.9</v>
      </c>
      <c r="E132" s="1">
        <v>-0.6</v>
      </c>
      <c r="F132" s="1">
        <v>-0.2</v>
      </c>
      <c r="G132">
        <v>0</v>
      </c>
      <c r="H132">
        <v>0</v>
      </c>
      <c r="I132">
        <v>0</v>
      </c>
      <c r="K132" s="1">
        <v>100</v>
      </c>
      <c r="L132" s="1">
        <v>947</v>
      </c>
      <c r="M132" s="1">
        <v>2905</v>
      </c>
      <c r="N132" s="1">
        <v>1.4</v>
      </c>
      <c r="O132" s="1">
        <v>-0.5</v>
      </c>
      <c r="P132" s="1">
        <v>-0.1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849</v>
      </c>
      <c r="C133" s="1">
        <v>2334</v>
      </c>
      <c r="D133" s="1">
        <v>1.4</v>
      </c>
      <c r="E133" s="1">
        <v>-0.4</v>
      </c>
      <c r="F133" s="1">
        <v>-0.1</v>
      </c>
      <c r="G133">
        <v>0</v>
      </c>
      <c r="H133">
        <v>0</v>
      </c>
      <c r="I133">
        <v>0</v>
      </c>
      <c r="K133" s="1">
        <v>125</v>
      </c>
      <c r="L133" s="1">
        <v>931</v>
      </c>
      <c r="M133" s="1">
        <v>2807</v>
      </c>
      <c r="N133" s="1">
        <v>1.1000000000000001</v>
      </c>
      <c r="O133" s="1">
        <v>-0.3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818</v>
      </c>
      <c r="C134" s="10">
        <v>2170</v>
      </c>
      <c r="D134" s="10">
        <v>0</v>
      </c>
      <c r="E134" s="10">
        <v>0</v>
      </c>
      <c r="F134" s="10">
        <v>0</v>
      </c>
      <c r="G134">
        <v>0</v>
      </c>
      <c r="H134">
        <v>0</v>
      </c>
      <c r="I134">
        <v>0</v>
      </c>
      <c r="K134" s="1">
        <v>150</v>
      </c>
      <c r="L134" s="1">
        <v>915</v>
      </c>
      <c r="M134" s="1">
        <v>2711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789</v>
      </c>
      <c r="C135" s="1">
        <v>2016</v>
      </c>
      <c r="D135" s="1">
        <v>-2.2999999999999998</v>
      </c>
      <c r="E135" s="1">
        <v>0.4</v>
      </c>
      <c r="F135" s="1">
        <v>0.1</v>
      </c>
      <c r="G135">
        <v>0</v>
      </c>
      <c r="H135">
        <v>0</v>
      </c>
      <c r="I135">
        <v>0</v>
      </c>
      <c r="K135" s="1">
        <v>175</v>
      </c>
      <c r="L135" s="1">
        <v>899</v>
      </c>
      <c r="M135" s="1">
        <v>2619</v>
      </c>
      <c r="N135" s="1">
        <v>-1.8</v>
      </c>
      <c r="O135" s="1">
        <v>0.4</v>
      </c>
      <c r="P135" s="1">
        <v>0.1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760</v>
      </c>
      <c r="C136" s="1">
        <v>1870</v>
      </c>
      <c r="D136" s="1">
        <v>-5.7</v>
      </c>
      <c r="E136" s="1">
        <v>1</v>
      </c>
      <c r="F136" s="1">
        <v>0.3</v>
      </c>
      <c r="G136">
        <v>0</v>
      </c>
      <c r="H136">
        <v>0</v>
      </c>
      <c r="I136">
        <v>0</v>
      </c>
      <c r="K136" s="1">
        <v>200</v>
      </c>
      <c r="L136" s="1">
        <v>883</v>
      </c>
      <c r="M136" s="1">
        <v>2529</v>
      </c>
      <c r="N136" s="1">
        <v>-4.5</v>
      </c>
      <c r="O136" s="1">
        <v>0.8</v>
      </c>
      <c r="P136" s="1">
        <v>0.2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731</v>
      </c>
      <c r="C137" s="1">
        <v>1733</v>
      </c>
      <c r="D137" s="1">
        <v>-10.1</v>
      </c>
      <c r="E137" s="1">
        <v>1.5</v>
      </c>
      <c r="F137" s="1">
        <v>0.4</v>
      </c>
      <c r="G137">
        <v>0</v>
      </c>
      <c r="H137">
        <v>0</v>
      </c>
      <c r="I137">
        <v>0</v>
      </c>
      <c r="K137" s="1">
        <v>225</v>
      </c>
      <c r="L137" s="1">
        <v>868</v>
      </c>
      <c r="M137" s="1">
        <v>2441</v>
      </c>
      <c r="N137" s="1">
        <v>-7.9</v>
      </c>
      <c r="O137" s="1">
        <v>1.2</v>
      </c>
      <c r="P137" s="1">
        <v>0.3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704</v>
      </c>
      <c r="C138" s="1">
        <v>1604</v>
      </c>
      <c r="D138" s="1">
        <v>-15.7</v>
      </c>
      <c r="E138" s="1">
        <v>2.2000000000000002</v>
      </c>
      <c r="F138" s="1">
        <v>0.6</v>
      </c>
      <c r="G138">
        <v>0</v>
      </c>
      <c r="H138">
        <v>0</v>
      </c>
      <c r="I138">
        <v>0</v>
      </c>
      <c r="K138" s="1">
        <v>250</v>
      </c>
      <c r="L138" s="1">
        <v>853</v>
      </c>
      <c r="M138" s="1">
        <v>2356</v>
      </c>
      <c r="N138" s="1">
        <v>-12.1</v>
      </c>
      <c r="O138" s="1">
        <v>1.7</v>
      </c>
      <c r="P138" s="1">
        <v>0.5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676</v>
      </c>
      <c r="C139" s="1">
        <v>1482</v>
      </c>
      <c r="D139" s="1">
        <v>-22.9</v>
      </c>
      <c r="E139" s="1">
        <v>2.9</v>
      </c>
      <c r="F139" s="1">
        <v>0.8</v>
      </c>
      <c r="G139">
        <v>0</v>
      </c>
      <c r="H139">
        <v>0</v>
      </c>
      <c r="I139">
        <v>0</v>
      </c>
      <c r="K139" s="1">
        <v>275</v>
      </c>
      <c r="L139" s="1">
        <v>838</v>
      </c>
      <c r="M139" s="1">
        <v>2273</v>
      </c>
      <c r="N139" s="1">
        <v>-17.3</v>
      </c>
      <c r="O139" s="1">
        <v>2.2000000000000002</v>
      </c>
      <c r="P139" s="1">
        <v>0.6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650</v>
      </c>
      <c r="C140" s="1">
        <v>1368</v>
      </c>
      <c r="D140" s="1">
        <v>-31.3</v>
      </c>
      <c r="E140" s="1">
        <v>3.6</v>
      </c>
      <c r="F140" s="1">
        <v>1</v>
      </c>
      <c r="G140">
        <v>0</v>
      </c>
      <c r="H140">
        <v>0</v>
      </c>
      <c r="I140">
        <v>0</v>
      </c>
      <c r="K140" s="1">
        <v>300</v>
      </c>
      <c r="L140" s="1">
        <v>823</v>
      </c>
      <c r="M140" s="1">
        <v>2192</v>
      </c>
      <c r="N140" s="1">
        <v>-23.3</v>
      </c>
      <c r="O140" s="1">
        <v>2.7</v>
      </c>
      <c r="P140" s="1">
        <v>0.8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624</v>
      </c>
      <c r="C141" s="1">
        <v>1260</v>
      </c>
      <c r="D141" s="1">
        <v>-41.3</v>
      </c>
      <c r="E141" s="1">
        <v>4.4000000000000004</v>
      </c>
      <c r="F141" s="1">
        <v>1.3</v>
      </c>
      <c r="G141">
        <v>0</v>
      </c>
      <c r="H141">
        <v>0</v>
      </c>
      <c r="I141">
        <v>0</v>
      </c>
      <c r="K141" s="1">
        <v>325</v>
      </c>
      <c r="L141" s="1">
        <v>808</v>
      </c>
      <c r="M141" s="1">
        <v>2114</v>
      </c>
      <c r="N141" s="1">
        <v>-30.1</v>
      </c>
      <c r="O141" s="1">
        <v>3.2</v>
      </c>
      <c r="P141" s="1">
        <v>0.9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598</v>
      </c>
      <c r="C142" s="1">
        <v>1160</v>
      </c>
      <c r="D142" s="1">
        <v>-53.4</v>
      </c>
      <c r="E142" s="1">
        <v>5.2</v>
      </c>
      <c r="F142" s="1">
        <v>1.5</v>
      </c>
      <c r="G142">
        <v>0</v>
      </c>
      <c r="H142">
        <v>0</v>
      </c>
      <c r="I142">
        <v>0</v>
      </c>
      <c r="K142" s="1">
        <v>350</v>
      </c>
      <c r="L142" s="1">
        <v>793</v>
      </c>
      <c r="M142" s="1">
        <v>2037</v>
      </c>
      <c r="N142" s="1">
        <v>-38.299999999999997</v>
      </c>
      <c r="O142" s="1">
        <v>3.8</v>
      </c>
      <c r="P142" s="1">
        <v>1.1000000000000001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573</v>
      </c>
      <c r="C143" s="1">
        <v>1066</v>
      </c>
      <c r="D143" s="1">
        <v>-67</v>
      </c>
      <c r="E143" s="1">
        <v>6.1</v>
      </c>
      <c r="F143" s="1">
        <v>1.8</v>
      </c>
      <c r="G143">
        <v>0</v>
      </c>
      <c r="H143">
        <v>0</v>
      </c>
      <c r="I143">
        <v>0</v>
      </c>
      <c r="K143" s="1">
        <v>375</v>
      </c>
      <c r="L143" s="1">
        <v>778</v>
      </c>
      <c r="M143" s="1">
        <v>1963</v>
      </c>
      <c r="N143" s="1">
        <v>-47.2</v>
      </c>
      <c r="O143" s="1">
        <v>4.3</v>
      </c>
      <c r="P143" s="1">
        <v>1.3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549</v>
      </c>
      <c r="C144" s="1">
        <v>978</v>
      </c>
      <c r="D144" s="1">
        <v>-82.6</v>
      </c>
      <c r="E144" s="1">
        <v>7.1</v>
      </c>
      <c r="F144" s="1">
        <v>2.1</v>
      </c>
      <c r="G144">
        <v>0</v>
      </c>
      <c r="H144">
        <v>0</v>
      </c>
      <c r="I144">
        <v>0</v>
      </c>
      <c r="K144" s="1">
        <v>400</v>
      </c>
      <c r="L144" s="1">
        <v>764</v>
      </c>
      <c r="M144" s="1">
        <v>1891</v>
      </c>
      <c r="N144" s="1">
        <v>-57.1</v>
      </c>
      <c r="O144" s="1">
        <v>4.9000000000000004</v>
      </c>
      <c r="P144" s="1">
        <v>1.4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526</v>
      </c>
      <c r="C145" s="1">
        <v>897</v>
      </c>
      <c r="D145" s="1">
        <v>-101.2</v>
      </c>
      <c r="E145" s="1">
        <v>8.1999999999999993</v>
      </c>
      <c r="F145" s="1">
        <v>2.4</v>
      </c>
      <c r="G145">
        <v>0</v>
      </c>
      <c r="H145">
        <v>0</v>
      </c>
      <c r="I145">
        <v>0</v>
      </c>
      <c r="K145" s="1">
        <v>425</v>
      </c>
      <c r="L145" s="1">
        <v>750</v>
      </c>
      <c r="M145" s="1">
        <v>1821</v>
      </c>
      <c r="N145" s="1">
        <v>-68.5</v>
      </c>
      <c r="O145" s="1">
        <v>5.5</v>
      </c>
      <c r="P145" s="1">
        <v>1.6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503</v>
      </c>
      <c r="C146" s="1">
        <v>821</v>
      </c>
      <c r="D146" s="1">
        <v>-121.7</v>
      </c>
      <c r="E146" s="1">
        <v>9.3000000000000007</v>
      </c>
      <c r="F146" s="1">
        <v>2.7</v>
      </c>
      <c r="G146">
        <v>0</v>
      </c>
      <c r="H146">
        <v>0</v>
      </c>
      <c r="I146">
        <v>0</v>
      </c>
      <c r="K146" s="1">
        <v>450</v>
      </c>
      <c r="L146" s="1">
        <v>735</v>
      </c>
      <c r="M146" s="1">
        <v>1753</v>
      </c>
      <c r="N146" s="1">
        <v>-80.7</v>
      </c>
      <c r="O146" s="1">
        <v>6.2</v>
      </c>
      <c r="P146" s="1">
        <v>1.8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482</v>
      </c>
      <c r="C147" s="1">
        <v>752</v>
      </c>
      <c r="D147" s="1">
        <v>-144.9</v>
      </c>
      <c r="E147" s="1">
        <v>10.5</v>
      </c>
      <c r="F147" s="1">
        <v>3.1</v>
      </c>
      <c r="G147">
        <v>0</v>
      </c>
      <c r="H147">
        <v>0</v>
      </c>
      <c r="I147">
        <v>0</v>
      </c>
      <c r="K147" s="1">
        <v>475</v>
      </c>
      <c r="L147" s="1">
        <v>721</v>
      </c>
      <c r="M147" s="1">
        <v>1687</v>
      </c>
      <c r="N147" s="1">
        <v>-94</v>
      </c>
      <c r="O147" s="1">
        <v>6.8</v>
      </c>
      <c r="P147" s="1">
        <v>2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462</v>
      </c>
      <c r="C148" s="1">
        <v>691</v>
      </c>
      <c r="D148" s="1">
        <v>-171.1</v>
      </c>
      <c r="E148" s="1">
        <v>11.8</v>
      </c>
      <c r="F148" s="1">
        <v>3.4</v>
      </c>
      <c r="G148">
        <v>0</v>
      </c>
      <c r="H148">
        <v>0</v>
      </c>
      <c r="I148">
        <v>0</v>
      </c>
      <c r="K148" s="1">
        <v>500</v>
      </c>
      <c r="L148" s="1">
        <v>708</v>
      </c>
      <c r="M148" s="1">
        <v>1625</v>
      </c>
      <c r="N148" s="1">
        <v>-108.6</v>
      </c>
      <c r="O148" s="1">
        <v>7.5</v>
      </c>
      <c r="P148" s="1">
        <v>2.2000000000000002</v>
      </c>
      <c r="Q148" s="1">
        <v>0</v>
      </c>
      <c r="R148" s="1">
        <v>0</v>
      </c>
      <c r="S148" s="1">
        <v>0</v>
      </c>
    </row>
    <row r="150" spans="1:19" x14ac:dyDescent="0.25">
      <c r="A150" t="s">
        <v>73</v>
      </c>
      <c r="K150" t="s">
        <v>80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35</v>
      </c>
      <c r="H151" t="s">
        <v>36</v>
      </c>
      <c r="I151" t="s">
        <v>37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35</v>
      </c>
      <c r="R151" t="s">
        <v>36</v>
      </c>
      <c r="S151" t="s">
        <v>37</v>
      </c>
    </row>
    <row r="152" spans="1:19" x14ac:dyDescent="0.25">
      <c r="A152" s="1">
        <v>0</v>
      </c>
      <c r="B152" s="1">
        <v>1012</v>
      </c>
      <c r="C152" s="1">
        <v>3318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1012</v>
      </c>
      <c r="M152" s="1">
        <v>3318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977</v>
      </c>
      <c r="C153" s="1">
        <v>3095</v>
      </c>
      <c r="D153" s="1">
        <v>-0.7</v>
      </c>
      <c r="E153" s="1">
        <v>0.9</v>
      </c>
      <c r="F153" s="1">
        <v>0.3</v>
      </c>
      <c r="G153">
        <v>0</v>
      </c>
      <c r="H153">
        <v>0</v>
      </c>
      <c r="I153">
        <v>0</v>
      </c>
      <c r="K153" s="1">
        <v>25</v>
      </c>
      <c r="L153" s="1">
        <v>995</v>
      </c>
      <c r="M153" s="1">
        <v>3211</v>
      </c>
      <c r="N153" s="1">
        <v>-1</v>
      </c>
      <c r="O153" s="1">
        <v>1.4</v>
      </c>
      <c r="P153" s="1">
        <v>0.4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944</v>
      </c>
      <c r="C154" s="1">
        <v>2887</v>
      </c>
      <c r="D154" s="1">
        <v>1.9</v>
      </c>
      <c r="E154" s="1">
        <v>-1.3</v>
      </c>
      <c r="F154" s="1">
        <v>-0.4</v>
      </c>
      <c r="G154">
        <v>0</v>
      </c>
      <c r="H154">
        <v>0</v>
      </c>
      <c r="I154">
        <v>0</v>
      </c>
      <c r="K154" s="1">
        <v>50</v>
      </c>
      <c r="L154" s="1">
        <v>979</v>
      </c>
      <c r="M154" s="1">
        <v>3107</v>
      </c>
      <c r="N154" s="1">
        <v>1.3</v>
      </c>
      <c r="O154" s="1">
        <v>-0.9</v>
      </c>
      <c r="P154" s="1">
        <v>-0.2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911</v>
      </c>
      <c r="C155" s="1">
        <v>2692</v>
      </c>
      <c r="D155" s="1">
        <v>3.6</v>
      </c>
      <c r="E155" s="1">
        <v>-1.7</v>
      </c>
      <c r="F155" s="1">
        <v>-0.5</v>
      </c>
      <c r="G155">
        <v>0</v>
      </c>
      <c r="H155">
        <v>0</v>
      </c>
      <c r="I155">
        <v>0</v>
      </c>
      <c r="K155" s="1">
        <v>75</v>
      </c>
      <c r="L155" s="1">
        <v>963</v>
      </c>
      <c r="M155" s="1">
        <v>3005</v>
      </c>
      <c r="N155" s="1">
        <v>2.8</v>
      </c>
      <c r="O155" s="1">
        <v>-1.3</v>
      </c>
      <c r="P155" s="1">
        <v>-0.4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880</v>
      </c>
      <c r="C156" s="1">
        <v>2507</v>
      </c>
      <c r="D156" s="1">
        <v>4.7</v>
      </c>
      <c r="E156" s="1">
        <v>-1.6</v>
      </c>
      <c r="F156" s="1">
        <v>-0.5</v>
      </c>
      <c r="G156">
        <v>0</v>
      </c>
      <c r="H156">
        <v>0</v>
      </c>
      <c r="I156">
        <v>0</v>
      </c>
      <c r="K156" s="1">
        <v>100</v>
      </c>
      <c r="L156" s="1">
        <v>947</v>
      </c>
      <c r="M156" s="1">
        <v>2905</v>
      </c>
      <c r="N156" s="1">
        <v>3.7</v>
      </c>
      <c r="O156" s="1">
        <v>-1.3</v>
      </c>
      <c r="P156" s="1">
        <v>-0.4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849</v>
      </c>
      <c r="C157" s="1">
        <v>2334</v>
      </c>
      <c r="D157" s="1">
        <v>4.9000000000000004</v>
      </c>
      <c r="E157" s="1">
        <v>-1.3</v>
      </c>
      <c r="F157" s="1">
        <v>-0.4</v>
      </c>
      <c r="G157">
        <v>0</v>
      </c>
      <c r="H157">
        <v>0</v>
      </c>
      <c r="I157">
        <v>0</v>
      </c>
      <c r="K157" s="1">
        <v>125</v>
      </c>
      <c r="L157" s="1">
        <v>931</v>
      </c>
      <c r="M157" s="1">
        <v>2807</v>
      </c>
      <c r="N157" s="1">
        <v>3.9</v>
      </c>
      <c r="O157" s="1">
        <v>-1.1000000000000001</v>
      </c>
      <c r="P157" s="1">
        <v>-0.3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818</v>
      </c>
      <c r="C158" s="1">
        <v>2170</v>
      </c>
      <c r="D158" s="1">
        <v>4.3</v>
      </c>
      <c r="E158" s="1">
        <v>-1</v>
      </c>
      <c r="F158" s="1">
        <v>-0.3</v>
      </c>
      <c r="G158">
        <v>0</v>
      </c>
      <c r="H158">
        <v>0</v>
      </c>
      <c r="I158">
        <v>0</v>
      </c>
      <c r="K158" s="1">
        <v>150</v>
      </c>
      <c r="L158" s="1">
        <v>915</v>
      </c>
      <c r="M158" s="1">
        <v>2711</v>
      </c>
      <c r="N158" s="1">
        <v>3.3</v>
      </c>
      <c r="O158" s="1">
        <v>-0.8</v>
      </c>
      <c r="P158" s="1">
        <v>-0.2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789</v>
      </c>
      <c r="C159" s="1">
        <v>2016</v>
      </c>
      <c r="D159" s="1">
        <v>2.7</v>
      </c>
      <c r="E159" s="1">
        <v>-0.5</v>
      </c>
      <c r="F159" s="1">
        <v>-0.2</v>
      </c>
      <c r="G159">
        <v>0</v>
      </c>
      <c r="H159">
        <v>0</v>
      </c>
      <c r="I159">
        <v>0</v>
      </c>
      <c r="K159" s="1">
        <v>175</v>
      </c>
      <c r="L159" s="1">
        <v>899</v>
      </c>
      <c r="M159" s="1">
        <v>2619</v>
      </c>
      <c r="N159" s="1">
        <v>2.1</v>
      </c>
      <c r="O159" s="1">
        <v>-0.4</v>
      </c>
      <c r="P159" s="1">
        <v>-0.1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760</v>
      </c>
      <c r="C160" s="10">
        <v>1870</v>
      </c>
      <c r="D160" s="10">
        <v>0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>
        <v>200</v>
      </c>
      <c r="L160" s="1">
        <v>883</v>
      </c>
      <c r="M160" s="1">
        <v>2529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731</v>
      </c>
      <c r="C161" s="1">
        <v>1733</v>
      </c>
      <c r="D161" s="1">
        <v>-3.7</v>
      </c>
      <c r="E161" s="1">
        <v>0.6</v>
      </c>
      <c r="F161" s="1">
        <v>0.2</v>
      </c>
      <c r="G161">
        <v>0</v>
      </c>
      <c r="H161">
        <v>0</v>
      </c>
      <c r="I161">
        <v>0</v>
      </c>
      <c r="K161" s="1">
        <v>225</v>
      </c>
      <c r="L161" s="1">
        <v>868</v>
      </c>
      <c r="M161" s="1">
        <v>2441</v>
      </c>
      <c r="N161" s="1">
        <v>-2.8</v>
      </c>
      <c r="O161" s="1">
        <v>0.4</v>
      </c>
      <c r="P161" s="1">
        <v>0.1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704</v>
      </c>
      <c r="C162" s="1">
        <v>1604</v>
      </c>
      <c r="D162" s="1">
        <v>-8.6999999999999993</v>
      </c>
      <c r="E162" s="1">
        <v>1.2</v>
      </c>
      <c r="F162" s="1">
        <v>0.3</v>
      </c>
      <c r="G162">
        <v>0</v>
      </c>
      <c r="H162">
        <v>0</v>
      </c>
      <c r="I162">
        <v>0</v>
      </c>
      <c r="K162" s="1">
        <v>250</v>
      </c>
      <c r="L162" s="1">
        <v>853</v>
      </c>
      <c r="M162" s="1">
        <v>2356</v>
      </c>
      <c r="N162" s="1">
        <v>-6.5</v>
      </c>
      <c r="O162" s="1">
        <v>0.9</v>
      </c>
      <c r="P162" s="1">
        <v>0.3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676</v>
      </c>
      <c r="C163" s="1">
        <v>1482</v>
      </c>
      <c r="D163" s="1">
        <v>-15.1</v>
      </c>
      <c r="E163" s="1">
        <v>1.9</v>
      </c>
      <c r="F163" s="1">
        <v>0.5</v>
      </c>
      <c r="G163">
        <v>0</v>
      </c>
      <c r="H163">
        <v>0</v>
      </c>
      <c r="I163">
        <v>0</v>
      </c>
      <c r="K163" s="1">
        <v>275</v>
      </c>
      <c r="L163" s="1">
        <v>838</v>
      </c>
      <c r="M163" s="1">
        <v>2273</v>
      </c>
      <c r="N163" s="1">
        <v>-11.1</v>
      </c>
      <c r="O163" s="1">
        <v>1.4</v>
      </c>
      <c r="P163" s="1">
        <v>0.4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650</v>
      </c>
      <c r="C164" s="1">
        <v>1368</v>
      </c>
      <c r="D164" s="1">
        <v>-22.8</v>
      </c>
      <c r="E164" s="1">
        <v>2.6</v>
      </c>
      <c r="F164" s="1">
        <v>0.8</v>
      </c>
      <c r="G164">
        <v>0</v>
      </c>
      <c r="H164">
        <v>0</v>
      </c>
      <c r="I164">
        <v>0</v>
      </c>
      <c r="K164" s="1">
        <v>300</v>
      </c>
      <c r="L164" s="1">
        <v>823</v>
      </c>
      <c r="M164" s="1">
        <v>2192</v>
      </c>
      <c r="N164" s="1">
        <v>-16.5</v>
      </c>
      <c r="O164" s="1">
        <v>1.9</v>
      </c>
      <c r="P164" s="1">
        <v>0.6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624</v>
      </c>
      <c r="C165" s="1">
        <v>1260</v>
      </c>
      <c r="D165" s="1">
        <v>-32.1</v>
      </c>
      <c r="E165" s="1">
        <v>3.4</v>
      </c>
      <c r="F165" s="1">
        <v>1</v>
      </c>
      <c r="G165">
        <v>0</v>
      </c>
      <c r="H165">
        <v>0</v>
      </c>
      <c r="I165">
        <v>0</v>
      </c>
      <c r="K165" s="1">
        <v>325</v>
      </c>
      <c r="L165" s="1">
        <v>808</v>
      </c>
      <c r="M165" s="1">
        <v>2114</v>
      </c>
      <c r="N165" s="1">
        <v>-22.9</v>
      </c>
      <c r="O165" s="1">
        <v>2.4</v>
      </c>
      <c r="P165" s="1">
        <v>0.7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598</v>
      </c>
      <c r="C166" s="1">
        <v>1160</v>
      </c>
      <c r="D166" s="1">
        <v>-43.5</v>
      </c>
      <c r="E166" s="1">
        <v>4.3</v>
      </c>
      <c r="F166" s="1">
        <v>1.2</v>
      </c>
      <c r="G166">
        <v>0</v>
      </c>
      <c r="H166">
        <v>0</v>
      </c>
      <c r="I166">
        <v>0</v>
      </c>
      <c r="K166" s="1">
        <v>350</v>
      </c>
      <c r="L166" s="1">
        <v>793</v>
      </c>
      <c r="M166" s="1">
        <v>2037</v>
      </c>
      <c r="N166" s="1">
        <v>-30.5</v>
      </c>
      <c r="O166" s="1">
        <v>3</v>
      </c>
      <c r="P166" s="1">
        <v>0.9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573</v>
      </c>
      <c r="C167" s="1">
        <v>1066</v>
      </c>
      <c r="D167" s="1">
        <v>-56.3</v>
      </c>
      <c r="E167" s="1">
        <v>5.2</v>
      </c>
      <c r="F167" s="1">
        <v>1.5</v>
      </c>
      <c r="G167">
        <v>0</v>
      </c>
      <c r="H167">
        <v>0</v>
      </c>
      <c r="I167">
        <v>0</v>
      </c>
      <c r="K167" s="1">
        <v>375</v>
      </c>
      <c r="L167" s="1">
        <v>778</v>
      </c>
      <c r="M167" s="1">
        <v>1963</v>
      </c>
      <c r="N167" s="1">
        <v>-38.799999999999997</v>
      </c>
      <c r="O167" s="1">
        <v>3.6</v>
      </c>
      <c r="P167" s="1">
        <v>1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549</v>
      </c>
      <c r="C168" s="1">
        <v>978</v>
      </c>
      <c r="D168" s="1">
        <v>-71.3</v>
      </c>
      <c r="E168" s="1">
        <v>6.1</v>
      </c>
      <c r="F168" s="1">
        <v>1.8</v>
      </c>
      <c r="G168">
        <v>0</v>
      </c>
      <c r="H168">
        <v>0</v>
      </c>
      <c r="I168">
        <v>0</v>
      </c>
      <c r="K168" s="1">
        <v>400</v>
      </c>
      <c r="L168" s="1">
        <v>764</v>
      </c>
      <c r="M168" s="1">
        <v>1891</v>
      </c>
      <c r="N168" s="1">
        <v>-48.1</v>
      </c>
      <c r="O168" s="1">
        <v>4.0999999999999996</v>
      </c>
      <c r="P168" s="1">
        <v>1.2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526</v>
      </c>
      <c r="C169" s="1">
        <v>897</v>
      </c>
      <c r="D169" s="1">
        <v>-89.2</v>
      </c>
      <c r="E169" s="1">
        <v>7.2</v>
      </c>
      <c r="F169" s="1">
        <v>2.1</v>
      </c>
      <c r="G169">
        <v>0</v>
      </c>
      <c r="H169">
        <v>0</v>
      </c>
      <c r="I169">
        <v>0</v>
      </c>
      <c r="K169" s="1">
        <v>425</v>
      </c>
      <c r="L169" s="1">
        <v>750</v>
      </c>
      <c r="M169" s="1">
        <v>1821</v>
      </c>
      <c r="N169" s="1">
        <v>-59</v>
      </c>
      <c r="O169" s="1">
        <v>4.8</v>
      </c>
      <c r="P169" s="1">
        <v>1.4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503</v>
      </c>
      <c r="C170" s="1">
        <v>821</v>
      </c>
      <c r="D170" s="1">
        <v>-108.9</v>
      </c>
      <c r="E170" s="1">
        <v>8.3000000000000007</v>
      </c>
      <c r="F170" s="1">
        <v>2.4</v>
      </c>
      <c r="G170">
        <v>0</v>
      </c>
      <c r="H170">
        <v>0</v>
      </c>
      <c r="I170">
        <v>0</v>
      </c>
      <c r="K170" s="1">
        <v>450</v>
      </c>
      <c r="L170" s="1">
        <v>735</v>
      </c>
      <c r="M170" s="1">
        <v>1753</v>
      </c>
      <c r="N170" s="1">
        <v>-70.599999999999994</v>
      </c>
      <c r="O170" s="1">
        <v>5.4</v>
      </c>
      <c r="P170" s="1">
        <v>1.6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482</v>
      </c>
      <c r="C171" s="1">
        <v>752</v>
      </c>
      <c r="D171" s="1">
        <v>-131.4</v>
      </c>
      <c r="E171" s="1">
        <v>9.5</v>
      </c>
      <c r="F171" s="1">
        <v>2.8</v>
      </c>
      <c r="G171">
        <v>0</v>
      </c>
      <c r="H171">
        <v>0</v>
      </c>
      <c r="I171">
        <v>0</v>
      </c>
      <c r="K171" s="1">
        <v>475</v>
      </c>
      <c r="L171" s="1">
        <v>721</v>
      </c>
      <c r="M171" s="1">
        <v>1687</v>
      </c>
      <c r="N171" s="1">
        <v>-83.4</v>
      </c>
      <c r="O171" s="1">
        <v>6</v>
      </c>
      <c r="P171" s="1">
        <v>1.8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462</v>
      </c>
      <c r="C172" s="1">
        <v>691</v>
      </c>
      <c r="D172" s="1">
        <v>-156.9</v>
      </c>
      <c r="E172" s="1">
        <v>10.8</v>
      </c>
      <c r="F172" s="1">
        <v>3.1</v>
      </c>
      <c r="G172">
        <v>0</v>
      </c>
      <c r="H172">
        <v>0</v>
      </c>
      <c r="I172">
        <v>0</v>
      </c>
      <c r="K172" s="1">
        <v>500</v>
      </c>
      <c r="L172" s="1">
        <v>708</v>
      </c>
      <c r="M172" s="1">
        <v>1625</v>
      </c>
      <c r="N172" s="1">
        <v>-97.5</v>
      </c>
      <c r="O172" s="1">
        <v>6.7</v>
      </c>
      <c r="P172" s="1">
        <v>2</v>
      </c>
      <c r="Q172" s="1">
        <v>0</v>
      </c>
      <c r="R172" s="1">
        <v>0</v>
      </c>
      <c r="S172" s="1">
        <v>0</v>
      </c>
    </row>
    <row r="174" spans="1:19" x14ac:dyDescent="0.25">
      <c r="A174" t="s">
        <v>74</v>
      </c>
      <c r="K174" t="s">
        <v>81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35</v>
      </c>
      <c r="H175" t="s">
        <v>36</v>
      </c>
      <c r="I175" t="s">
        <v>37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35</v>
      </c>
      <c r="R175" t="s">
        <v>36</v>
      </c>
      <c r="S175" t="s">
        <v>37</v>
      </c>
    </row>
    <row r="176" spans="1:19" x14ac:dyDescent="0.25">
      <c r="A176" s="1">
        <v>0</v>
      </c>
      <c r="B176" s="1">
        <v>1012</v>
      </c>
      <c r="C176" s="1">
        <v>3318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1012</v>
      </c>
      <c r="M176" s="1">
        <v>3318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977</v>
      </c>
      <c r="C177" s="1">
        <v>3095</v>
      </c>
      <c r="D177" s="1">
        <v>1.2</v>
      </c>
      <c r="E177" s="1">
        <v>-1.7</v>
      </c>
      <c r="F177" s="1">
        <v>-0.5</v>
      </c>
      <c r="G177">
        <v>0</v>
      </c>
      <c r="H177">
        <v>0</v>
      </c>
      <c r="I177">
        <v>0</v>
      </c>
      <c r="K177" s="1">
        <v>25</v>
      </c>
      <c r="L177" s="1">
        <v>995</v>
      </c>
      <c r="M177" s="1">
        <v>3211</v>
      </c>
      <c r="N177" s="1">
        <v>0.4</v>
      </c>
      <c r="O177" s="1">
        <v>-0.5</v>
      </c>
      <c r="P177" s="1">
        <v>-0.1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944</v>
      </c>
      <c r="C178" s="1">
        <v>2887</v>
      </c>
      <c r="D178" s="1">
        <v>5.7</v>
      </c>
      <c r="E178" s="1">
        <v>-3.9</v>
      </c>
      <c r="F178" s="1">
        <v>-1.1000000000000001</v>
      </c>
      <c r="G178">
        <v>0</v>
      </c>
      <c r="H178">
        <v>0</v>
      </c>
      <c r="I178">
        <v>0</v>
      </c>
      <c r="K178" s="1">
        <v>50</v>
      </c>
      <c r="L178" s="1">
        <v>979</v>
      </c>
      <c r="M178" s="1">
        <v>3107</v>
      </c>
      <c r="N178" s="1">
        <v>4</v>
      </c>
      <c r="O178" s="1">
        <v>-2.7</v>
      </c>
      <c r="P178" s="1">
        <v>-0.8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911</v>
      </c>
      <c r="C179" s="1">
        <v>2692</v>
      </c>
      <c r="D179" s="1">
        <v>9.4</v>
      </c>
      <c r="E179" s="1">
        <v>-4.3</v>
      </c>
      <c r="F179" s="1">
        <v>-1.2</v>
      </c>
      <c r="G179">
        <v>0</v>
      </c>
      <c r="H179">
        <v>0</v>
      </c>
      <c r="I179">
        <v>0</v>
      </c>
      <c r="K179" s="1">
        <v>75</v>
      </c>
      <c r="L179" s="1">
        <v>963</v>
      </c>
      <c r="M179" s="1">
        <v>3005</v>
      </c>
      <c r="N179" s="1">
        <v>6.9</v>
      </c>
      <c r="O179" s="1">
        <v>-3.2</v>
      </c>
      <c r="P179" s="1">
        <v>-0.9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880</v>
      </c>
      <c r="C180" s="1">
        <v>2507</v>
      </c>
      <c r="D180" s="1">
        <v>12.3</v>
      </c>
      <c r="E180" s="1">
        <v>-4.2</v>
      </c>
      <c r="F180" s="1">
        <v>-1.2</v>
      </c>
      <c r="G180">
        <v>0</v>
      </c>
      <c r="H180">
        <v>0</v>
      </c>
      <c r="I180">
        <v>0</v>
      </c>
      <c r="K180" s="1">
        <v>100</v>
      </c>
      <c r="L180" s="1">
        <v>947</v>
      </c>
      <c r="M180" s="1">
        <v>2905</v>
      </c>
      <c r="N180" s="1">
        <v>9.1999999999999993</v>
      </c>
      <c r="O180" s="1">
        <v>-3.2</v>
      </c>
      <c r="P180" s="1">
        <v>-0.9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849</v>
      </c>
      <c r="C181" s="1">
        <v>2334</v>
      </c>
      <c r="D181" s="1">
        <v>14.5</v>
      </c>
      <c r="E181" s="1">
        <v>-4</v>
      </c>
      <c r="F181" s="1">
        <v>-1.2</v>
      </c>
      <c r="G181">
        <v>0</v>
      </c>
      <c r="H181">
        <v>0</v>
      </c>
      <c r="I181">
        <v>0</v>
      </c>
      <c r="K181" s="1">
        <v>125</v>
      </c>
      <c r="L181" s="1">
        <v>931</v>
      </c>
      <c r="M181" s="1">
        <v>2807</v>
      </c>
      <c r="N181" s="1">
        <v>10.8</v>
      </c>
      <c r="O181" s="1">
        <v>-3</v>
      </c>
      <c r="P181" s="1">
        <v>-0.9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818</v>
      </c>
      <c r="C182" s="1">
        <v>2170</v>
      </c>
      <c r="D182" s="1">
        <v>15.7</v>
      </c>
      <c r="E182" s="1">
        <v>-3.6</v>
      </c>
      <c r="F182" s="1">
        <v>-1</v>
      </c>
      <c r="G182">
        <v>0</v>
      </c>
      <c r="H182">
        <v>0</v>
      </c>
      <c r="I182">
        <v>0</v>
      </c>
      <c r="K182" s="1">
        <v>150</v>
      </c>
      <c r="L182" s="1">
        <v>915</v>
      </c>
      <c r="M182" s="1">
        <v>2711</v>
      </c>
      <c r="N182" s="1">
        <v>11.6</v>
      </c>
      <c r="O182" s="1">
        <v>-2.7</v>
      </c>
      <c r="P182" s="1">
        <v>-0.8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789</v>
      </c>
      <c r="C183" s="1">
        <v>2016</v>
      </c>
      <c r="D183" s="1">
        <v>16</v>
      </c>
      <c r="E183" s="1">
        <v>-3.1</v>
      </c>
      <c r="F183" s="1">
        <v>-0.9</v>
      </c>
      <c r="G183">
        <v>0</v>
      </c>
      <c r="H183">
        <v>0</v>
      </c>
      <c r="I183">
        <v>0</v>
      </c>
      <c r="K183" s="1">
        <v>175</v>
      </c>
      <c r="L183" s="1">
        <v>899</v>
      </c>
      <c r="M183" s="1">
        <v>2619</v>
      </c>
      <c r="N183" s="1">
        <v>11.7</v>
      </c>
      <c r="O183" s="1">
        <v>-2.2999999999999998</v>
      </c>
      <c r="P183" s="1">
        <v>-0.7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760</v>
      </c>
      <c r="C184" s="1">
        <v>1870</v>
      </c>
      <c r="D184" s="1">
        <v>15.2</v>
      </c>
      <c r="E184" s="1">
        <v>-2.6</v>
      </c>
      <c r="F184" s="1">
        <v>-0.8</v>
      </c>
      <c r="G184">
        <v>0</v>
      </c>
      <c r="H184">
        <v>0</v>
      </c>
      <c r="I184">
        <v>0</v>
      </c>
      <c r="K184" s="1">
        <v>200</v>
      </c>
      <c r="L184" s="1">
        <v>883</v>
      </c>
      <c r="M184" s="1">
        <v>2529</v>
      </c>
      <c r="N184" s="1">
        <v>11.1</v>
      </c>
      <c r="O184" s="1">
        <v>-1.9</v>
      </c>
      <c r="P184" s="1">
        <v>-0.6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731</v>
      </c>
      <c r="C185" s="1">
        <v>1733</v>
      </c>
      <c r="D185" s="1">
        <v>13.4</v>
      </c>
      <c r="E185" s="1">
        <v>-2</v>
      </c>
      <c r="F185" s="1">
        <v>-0.6</v>
      </c>
      <c r="G185">
        <v>0</v>
      </c>
      <c r="H185">
        <v>0</v>
      </c>
      <c r="I185">
        <v>0</v>
      </c>
      <c r="K185" s="1">
        <v>225</v>
      </c>
      <c r="L185" s="1">
        <v>868</v>
      </c>
      <c r="M185" s="1">
        <v>2441</v>
      </c>
      <c r="N185" s="1">
        <v>9.6</v>
      </c>
      <c r="O185" s="1">
        <v>-1.5</v>
      </c>
      <c r="P185" s="1">
        <v>-0.4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704</v>
      </c>
      <c r="C186" s="1">
        <v>1604</v>
      </c>
      <c r="D186" s="1">
        <v>10.3</v>
      </c>
      <c r="E186" s="1">
        <v>-1.4</v>
      </c>
      <c r="F186" s="1">
        <v>-0.4</v>
      </c>
      <c r="G186">
        <v>0</v>
      </c>
      <c r="H186">
        <v>0</v>
      </c>
      <c r="I186">
        <v>0</v>
      </c>
      <c r="K186" s="1">
        <v>250</v>
      </c>
      <c r="L186" s="1">
        <v>853</v>
      </c>
      <c r="M186" s="1">
        <v>2356</v>
      </c>
      <c r="N186" s="1">
        <v>7.3</v>
      </c>
      <c r="O186" s="1">
        <v>-1</v>
      </c>
      <c r="P186" s="1">
        <v>-0.3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676</v>
      </c>
      <c r="C187" s="1">
        <v>1482</v>
      </c>
      <c r="D187" s="1">
        <v>5.8</v>
      </c>
      <c r="E187" s="1">
        <v>-0.7</v>
      </c>
      <c r="F187" s="1">
        <v>-0.2</v>
      </c>
      <c r="G187">
        <v>0</v>
      </c>
      <c r="H187">
        <v>0</v>
      </c>
      <c r="I187">
        <v>0</v>
      </c>
      <c r="K187" s="1">
        <v>275</v>
      </c>
      <c r="L187" s="1">
        <v>838</v>
      </c>
      <c r="M187" s="1">
        <v>2273</v>
      </c>
      <c r="N187" s="1">
        <v>4.0999999999999996</v>
      </c>
      <c r="O187" s="1">
        <v>-0.5</v>
      </c>
      <c r="P187" s="1">
        <v>-0.1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650</v>
      </c>
      <c r="C188" s="10">
        <v>1368</v>
      </c>
      <c r="D188" s="10">
        <v>0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>
        <v>300</v>
      </c>
      <c r="L188" s="1">
        <v>823</v>
      </c>
      <c r="M188" s="1">
        <v>2192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624</v>
      </c>
      <c r="C189" s="1">
        <v>1260</v>
      </c>
      <c r="D189" s="1">
        <v>-7.4</v>
      </c>
      <c r="E189" s="1">
        <v>0.8</v>
      </c>
      <c r="F189" s="1">
        <v>0.2</v>
      </c>
      <c r="G189">
        <v>0</v>
      </c>
      <c r="H189">
        <v>0</v>
      </c>
      <c r="I189">
        <v>0</v>
      </c>
      <c r="K189" s="1">
        <v>325</v>
      </c>
      <c r="L189" s="1">
        <v>808</v>
      </c>
      <c r="M189" s="1">
        <v>2114</v>
      </c>
      <c r="N189" s="1">
        <v>-5</v>
      </c>
      <c r="O189" s="1">
        <v>0.5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598</v>
      </c>
      <c r="C190" s="1">
        <v>1160</v>
      </c>
      <c r="D190" s="1">
        <v>-16.8</v>
      </c>
      <c r="E190" s="1">
        <v>1.6</v>
      </c>
      <c r="F190" s="1">
        <v>0.5</v>
      </c>
      <c r="G190">
        <v>0</v>
      </c>
      <c r="H190">
        <v>0</v>
      </c>
      <c r="I190">
        <v>0</v>
      </c>
      <c r="K190" s="1">
        <v>350</v>
      </c>
      <c r="L190" s="1">
        <v>793</v>
      </c>
      <c r="M190" s="1">
        <v>2037</v>
      </c>
      <c r="N190" s="1">
        <v>-11.1</v>
      </c>
      <c r="O190" s="1">
        <v>1.1000000000000001</v>
      </c>
      <c r="P190" s="1">
        <v>0.3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573</v>
      </c>
      <c r="C191" s="1">
        <v>1066</v>
      </c>
      <c r="D191" s="1">
        <v>-27.8</v>
      </c>
      <c r="E191" s="1">
        <v>2.6</v>
      </c>
      <c r="F191" s="1">
        <v>0.7</v>
      </c>
      <c r="G191">
        <v>0</v>
      </c>
      <c r="H191">
        <v>0</v>
      </c>
      <c r="I191">
        <v>0</v>
      </c>
      <c r="K191" s="1">
        <v>375</v>
      </c>
      <c r="L191" s="1">
        <v>778</v>
      </c>
      <c r="M191" s="1">
        <v>1963</v>
      </c>
      <c r="N191" s="1">
        <v>-18.100000000000001</v>
      </c>
      <c r="O191" s="1">
        <v>1.7</v>
      </c>
      <c r="P191" s="1">
        <v>0.5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549</v>
      </c>
      <c r="C192" s="1">
        <v>978</v>
      </c>
      <c r="D192" s="1">
        <v>-40.9</v>
      </c>
      <c r="E192" s="1">
        <v>3.5</v>
      </c>
      <c r="F192" s="1">
        <v>1</v>
      </c>
      <c r="G192">
        <v>0</v>
      </c>
      <c r="H192">
        <v>0</v>
      </c>
      <c r="I192">
        <v>0</v>
      </c>
      <c r="K192" s="1">
        <v>400</v>
      </c>
      <c r="L192" s="1">
        <v>764</v>
      </c>
      <c r="M192" s="1">
        <v>1891</v>
      </c>
      <c r="N192" s="1">
        <v>-26.1</v>
      </c>
      <c r="O192" s="1">
        <v>2.2000000000000002</v>
      </c>
      <c r="P192" s="1">
        <v>0.7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526</v>
      </c>
      <c r="C193" s="1">
        <v>897</v>
      </c>
      <c r="D193" s="1">
        <v>-56.8</v>
      </c>
      <c r="E193" s="1">
        <v>4.5999999999999996</v>
      </c>
      <c r="F193" s="1">
        <v>1.3</v>
      </c>
      <c r="G193">
        <v>0</v>
      </c>
      <c r="H193">
        <v>0</v>
      </c>
      <c r="I193">
        <v>0</v>
      </c>
      <c r="K193" s="1">
        <v>425</v>
      </c>
      <c r="L193" s="1">
        <v>750</v>
      </c>
      <c r="M193" s="1">
        <v>1821</v>
      </c>
      <c r="N193" s="1">
        <v>-35.5</v>
      </c>
      <c r="O193" s="1">
        <v>2.9</v>
      </c>
      <c r="P193" s="1">
        <v>0.8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503</v>
      </c>
      <c r="C194" s="1">
        <v>821</v>
      </c>
      <c r="D194" s="1">
        <v>-74.7</v>
      </c>
      <c r="E194" s="1">
        <v>5.7</v>
      </c>
      <c r="F194" s="1">
        <v>1.7</v>
      </c>
      <c r="G194">
        <v>0</v>
      </c>
      <c r="H194">
        <v>0</v>
      </c>
      <c r="I194">
        <v>0</v>
      </c>
      <c r="K194" s="1">
        <v>450</v>
      </c>
      <c r="L194" s="1">
        <v>735</v>
      </c>
      <c r="M194" s="1">
        <v>1753</v>
      </c>
      <c r="N194" s="1">
        <v>-45.8</v>
      </c>
      <c r="O194" s="1">
        <v>3.5</v>
      </c>
      <c r="P194" s="1">
        <v>1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482</v>
      </c>
      <c r="C195" s="1">
        <v>752</v>
      </c>
      <c r="D195" s="1">
        <v>-95.3</v>
      </c>
      <c r="E195" s="1">
        <v>6.9</v>
      </c>
      <c r="F195" s="1">
        <v>2</v>
      </c>
      <c r="G195">
        <v>0</v>
      </c>
      <c r="H195">
        <v>0</v>
      </c>
      <c r="I195">
        <v>0</v>
      </c>
      <c r="K195" s="1">
        <v>475</v>
      </c>
      <c r="L195" s="1">
        <v>721</v>
      </c>
      <c r="M195" s="1">
        <v>1687</v>
      </c>
      <c r="N195" s="1">
        <v>-57.2</v>
      </c>
      <c r="O195" s="1">
        <v>4.0999999999999996</v>
      </c>
      <c r="P195" s="1">
        <v>1.2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462</v>
      </c>
      <c r="C196" s="1">
        <v>691</v>
      </c>
      <c r="D196" s="1">
        <v>-119</v>
      </c>
      <c r="E196" s="1">
        <v>8.1999999999999993</v>
      </c>
      <c r="F196" s="1">
        <v>2.4</v>
      </c>
      <c r="G196">
        <v>0</v>
      </c>
      <c r="H196">
        <v>0</v>
      </c>
      <c r="I196">
        <v>0</v>
      </c>
      <c r="K196" s="1">
        <v>500</v>
      </c>
      <c r="L196" s="1">
        <v>708</v>
      </c>
      <c r="M196" s="1">
        <v>1625</v>
      </c>
      <c r="N196" s="1">
        <v>-69.900000000000006</v>
      </c>
      <c r="O196" s="1">
        <v>4.8</v>
      </c>
      <c r="P196" s="1">
        <v>1.4</v>
      </c>
      <c r="Q196" s="1">
        <v>0</v>
      </c>
      <c r="R196" s="1">
        <v>0</v>
      </c>
      <c r="S196" s="1">
        <v>0</v>
      </c>
    </row>
    <row r="198" spans="1:19" x14ac:dyDescent="0.25">
      <c r="A198" t="s">
        <v>75</v>
      </c>
      <c r="K198" t="s">
        <v>82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35</v>
      </c>
      <c r="H199" t="s">
        <v>36</v>
      </c>
      <c r="I199" t="s">
        <v>37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35</v>
      </c>
      <c r="R199" t="s">
        <v>36</v>
      </c>
      <c r="S199" t="s">
        <v>37</v>
      </c>
    </row>
    <row r="200" spans="1:19" x14ac:dyDescent="0.25">
      <c r="A200" s="1">
        <v>0</v>
      </c>
      <c r="B200" s="1">
        <v>1012</v>
      </c>
      <c r="C200" s="1">
        <v>3318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1012</v>
      </c>
      <c r="M200" s="1">
        <v>3318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977</v>
      </c>
      <c r="C201" s="1">
        <v>3095</v>
      </c>
      <c r="D201" s="1">
        <v>3.8</v>
      </c>
      <c r="E201" s="1">
        <v>-5.2</v>
      </c>
      <c r="F201" s="1">
        <v>-1.5</v>
      </c>
      <c r="G201">
        <v>0</v>
      </c>
      <c r="H201">
        <v>0</v>
      </c>
      <c r="I201">
        <v>0</v>
      </c>
      <c r="K201" s="1">
        <v>25</v>
      </c>
      <c r="L201" s="1">
        <v>995</v>
      </c>
      <c r="M201" s="1">
        <v>3211</v>
      </c>
      <c r="N201" s="1">
        <v>2</v>
      </c>
      <c r="O201" s="1">
        <v>-2.8</v>
      </c>
      <c r="P201" s="1">
        <v>-0.8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944</v>
      </c>
      <c r="C202" s="1">
        <v>2887</v>
      </c>
      <c r="D202" s="1">
        <v>10.9</v>
      </c>
      <c r="E202" s="1">
        <v>-7.4</v>
      </c>
      <c r="F202" s="1">
        <v>-2.2000000000000002</v>
      </c>
      <c r="G202">
        <v>0</v>
      </c>
      <c r="H202">
        <v>0</v>
      </c>
      <c r="I202">
        <v>0</v>
      </c>
      <c r="K202" s="1">
        <v>50</v>
      </c>
      <c r="L202" s="1">
        <v>979</v>
      </c>
      <c r="M202" s="1">
        <v>3107</v>
      </c>
      <c r="N202" s="1">
        <v>7.3</v>
      </c>
      <c r="O202" s="1">
        <v>-5</v>
      </c>
      <c r="P202" s="1">
        <v>-1.5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911</v>
      </c>
      <c r="C203" s="1">
        <v>2692</v>
      </c>
      <c r="D203" s="1">
        <v>17.100000000000001</v>
      </c>
      <c r="E203" s="1">
        <v>-7.8</v>
      </c>
      <c r="F203" s="1">
        <v>-2.2999999999999998</v>
      </c>
      <c r="G203">
        <v>0</v>
      </c>
      <c r="H203">
        <v>0</v>
      </c>
      <c r="I203">
        <v>0</v>
      </c>
      <c r="K203" s="1">
        <v>75</v>
      </c>
      <c r="L203" s="1">
        <v>963</v>
      </c>
      <c r="M203" s="1">
        <v>3005</v>
      </c>
      <c r="N203" s="1">
        <v>11.9</v>
      </c>
      <c r="O203" s="1">
        <v>-5.4</v>
      </c>
      <c r="P203" s="1">
        <v>-1.6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880</v>
      </c>
      <c r="C204" s="1">
        <v>2507</v>
      </c>
      <c r="D204" s="1">
        <v>22.5</v>
      </c>
      <c r="E204" s="1">
        <v>-7.8</v>
      </c>
      <c r="F204" s="1">
        <v>-2.2999999999999998</v>
      </c>
      <c r="G204">
        <v>0</v>
      </c>
      <c r="H204">
        <v>0</v>
      </c>
      <c r="I204">
        <v>0</v>
      </c>
      <c r="K204" s="1">
        <v>100</v>
      </c>
      <c r="L204" s="1">
        <v>947</v>
      </c>
      <c r="M204" s="1">
        <v>2905</v>
      </c>
      <c r="N204" s="1">
        <v>15.7</v>
      </c>
      <c r="O204" s="1">
        <v>-5.4</v>
      </c>
      <c r="P204" s="1">
        <v>-1.6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849</v>
      </c>
      <c r="C205" s="1">
        <v>2334</v>
      </c>
      <c r="D205" s="1">
        <v>27.4</v>
      </c>
      <c r="E205" s="1">
        <v>-7.5</v>
      </c>
      <c r="F205" s="1">
        <v>-2.2000000000000002</v>
      </c>
      <c r="G205">
        <v>0</v>
      </c>
      <c r="H205">
        <v>0</v>
      </c>
      <c r="I205">
        <v>0</v>
      </c>
      <c r="K205" s="1">
        <v>125</v>
      </c>
      <c r="L205" s="1">
        <v>931</v>
      </c>
      <c r="M205" s="1">
        <v>2807</v>
      </c>
      <c r="N205" s="1">
        <v>19</v>
      </c>
      <c r="O205" s="1">
        <v>-5.2</v>
      </c>
      <c r="P205" s="1">
        <v>-1.5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818</v>
      </c>
      <c r="C206" s="1">
        <v>2170</v>
      </c>
      <c r="D206" s="1">
        <v>31.1</v>
      </c>
      <c r="E206" s="1">
        <v>-7.1</v>
      </c>
      <c r="F206" s="1">
        <v>-2.1</v>
      </c>
      <c r="G206">
        <v>0</v>
      </c>
      <c r="H206">
        <v>0</v>
      </c>
      <c r="I206">
        <v>0</v>
      </c>
      <c r="K206" s="1">
        <v>150</v>
      </c>
      <c r="L206" s="1">
        <v>915</v>
      </c>
      <c r="M206" s="1">
        <v>2711</v>
      </c>
      <c r="N206" s="1">
        <v>21.5</v>
      </c>
      <c r="O206" s="1">
        <v>-4.9000000000000004</v>
      </c>
      <c r="P206" s="1">
        <v>-1.4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789</v>
      </c>
      <c r="C207" s="1">
        <v>2016</v>
      </c>
      <c r="D207" s="1">
        <v>34</v>
      </c>
      <c r="E207" s="1">
        <v>-6.7</v>
      </c>
      <c r="F207" s="1">
        <v>-1.9</v>
      </c>
      <c r="G207">
        <v>0</v>
      </c>
      <c r="H207">
        <v>0</v>
      </c>
      <c r="I207">
        <v>0</v>
      </c>
      <c r="K207" s="1">
        <v>175</v>
      </c>
      <c r="L207" s="1">
        <v>899</v>
      </c>
      <c r="M207" s="1">
        <v>2619</v>
      </c>
      <c r="N207" s="1">
        <v>23.2</v>
      </c>
      <c r="O207" s="1">
        <v>-4.5999999999999996</v>
      </c>
      <c r="P207" s="1">
        <v>-1.3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760</v>
      </c>
      <c r="C208" s="1">
        <v>1870</v>
      </c>
      <c r="D208" s="1">
        <v>35.9</v>
      </c>
      <c r="E208" s="1">
        <v>-6.2</v>
      </c>
      <c r="F208" s="1">
        <v>-1.8</v>
      </c>
      <c r="G208">
        <v>0</v>
      </c>
      <c r="H208">
        <v>0</v>
      </c>
      <c r="I208">
        <v>0</v>
      </c>
      <c r="K208" s="1">
        <v>200</v>
      </c>
      <c r="L208" s="1">
        <v>883</v>
      </c>
      <c r="M208" s="1">
        <v>2529</v>
      </c>
      <c r="N208" s="1">
        <v>24.2</v>
      </c>
      <c r="O208" s="1">
        <v>-4.2</v>
      </c>
      <c r="P208" s="1">
        <v>-1.2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731</v>
      </c>
      <c r="C209" s="1">
        <v>1733</v>
      </c>
      <c r="D209" s="1">
        <v>36.5</v>
      </c>
      <c r="E209" s="1">
        <v>-5.6</v>
      </c>
      <c r="F209" s="1">
        <v>-1.6</v>
      </c>
      <c r="G209">
        <v>0</v>
      </c>
      <c r="H209">
        <v>0</v>
      </c>
      <c r="I209">
        <v>0</v>
      </c>
      <c r="K209" s="1">
        <v>225</v>
      </c>
      <c r="L209" s="1">
        <v>868</v>
      </c>
      <c r="M209" s="1">
        <v>2441</v>
      </c>
      <c r="N209" s="1">
        <v>24.4</v>
      </c>
      <c r="O209" s="1">
        <v>-3.7</v>
      </c>
      <c r="P209" s="1">
        <v>-1.1000000000000001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704</v>
      </c>
      <c r="C210" s="1">
        <v>1604</v>
      </c>
      <c r="D210" s="1">
        <v>36</v>
      </c>
      <c r="E210" s="1">
        <v>-5</v>
      </c>
      <c r="F210" s="1">
        <v>-1.4</v>
      </c>
      <c r="G210">
        <v>0</v>
      </c>
      <c r="H210">
        <v>0</v>
      </c>
      <c r="I210">
        <v>0</v>
      </c>
      <c r="K210" s="1">
        <v>250</v>
      </c>
      <c r="L210" s="1">
        <v>853</v>
      </c>
      <c r="M210" s="1">
        <v>2356</v>
      </c>
      <c r="N210" s="1">
        <v>23.7</v>
      </c>
      <c r="O210" s="1">
        <v>-3.3</v>
      </c>
      <c r="P210" s="1">
        <v>-0.9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676</v>
      </c>
      <c r="C211" s="1">
        <v>1482</v>
      </c>
      <c r="D211" s="1">
        <v>34.1</v>
      </c>
      <c r="E211" s="1">
        <v>-4.3</v>
      </c>
      <c r="F211" s="1">
        <v>-1.2</v>
      </c>
      <c r="G211">
        <v>0</v>
      </c>
      <c r="H211">
        <v>0</v>
      </c>
      <c r="I211">
        <v>0</v>
      </c>
      <c r="K211" s="1">
        <v>275</v>
      </c>
      <c r="L211" s="1">
        <v>838</v>
      </c>
      <c r="M211" s="1">
        <v>2273</v>
      </c>
      <c r="N211" s="1">
        <v>22.1</v>
      </c>
      <c r="O211" s="1">
        <v>-2.8</v>
      </c>
      <c r="P211" s="1">
        <v>-0.8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650</v>
      </c>
      <c r="C212" s="1">
        <v>1368</v>
      </c>
      <c r="D212" s="1">
        <v>30.9</v>
      </c>
      <c r="E212" s="1">
        <v>-3.5</v>
      </c>
      <c r="F212" s="1">
        <v>-1</v>
      </c>
      <c r="G212">
        <v>0</v>
      </c>
      <c r="H212">
        <v>0</v>
      </c>
      <c r="I212">
        <v>0</v>
      </c>
      <c r="K212" s="1">
        <v>300</v>
      </c>
      <c r="L212" s="1">
        <v>823</v>
      </c>
      <c r="M212" s="1">
        <v>2192</v>
      </c>
      <c r="N212" s="1">
        <v>19.7</v>
      </c>
      <c r="O212" s="1">
        <v>-2.2999999999999998</v>
      </c>
      <c r="P212" s="1">
        <v>-0.7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624</v>
      </c>
      <c r="C213" s="1">
        <v>1260</v>
      </c>
      <c r="D213" s="1">
        <v>26</v>
      </c>
      <c r="E213" s="1">
        <v>-2.8</v>
      </c>
      <c r="F213" s="1">
        <v>-0.8</v>
      </c>
      <c r="G213">
        <v>0</v>
      </c>
      <c r="H213">
        <v>0</v>
      </c>
      <c r="I213">
        <v>0</v>
      </c>
      <c r="K213" s="1">
        <v>325</v>
      </c>
      <c r="L213" s="1">
        <v>808</v>
      </c>
      <c r="M213" s="1">
        <v>2114</v>
      </c>
      <c r="N213" s="1">
        <v>16.399999999999999</v>
      </c>
      <c r="O213" s="1">
        <v>-1.7</v>
      </c>
      <c r="P213" s="1">
        <v>-0.5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598</v>
      </c>
      <c r="C214" s="1">
        <v>1160</v>
      </c>
      <c r="D214" s="1">
        <v>19.2</v>
      </c>
      <c r="E214" s="1">
        <v>-1.9</v>
      </c>
      <c r="F214" s="1">
        <v>-0.5</v>
      </c>
      <c r="G214">
        <v>0</v>
      </c>
      <c r="H214">
        <v>0</v>
      </c>
      <c r="I214">
        <v>0</v>
      </c>
      <c r="K214" s="1">
        <v>350</v>
      </c>
      <c r="L214" s="1">
        <v>793</v>
      </c>
      <c r="M214" s="1">
        <v>2037</v>
      </c>
      <c r="N214" s="1">
        <v>11.9</v>
      </c>
      <c r="O214" s="1">
        <v>-1.2</v>
      </c>
      <c r="P214" s="1">
        <v>-0.3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573</v>
      </c>
      <c r="C215" s="1">
        <v>1066</v>
      </c>
      <c r="D215" s="1">
        <v>10.8</v>
      </c>
      <c r="E215" s="1">
        <v>-1</v>
      </c>
      <c r="F215" s="1">
        <v>-0.3</v>
      </c>
      <c r="G215">
        <v>0</v>
      </c>
      <c r="H215">
        <v>0</v>
      </c>
      <c r="I215">
        <v>0</v>
      </c>
      <c r="K215" s="1">
        <v>375</v>
      </c>
      <c r="L215" s="1">
        <v>778</v>
      </c>
      <c r="M215" s="1">
        <v>1963</v>
      </c>
      <c r="N215" s="1">
        <v>6.5</v>
      </c>
      <c r="O215" s="1">
        <v>-0.6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549</v>
      </c>
      <c r="C216" s="10">
        <v>978</v>
      </c>
      <c r="D216" s="10">
        <v>0.3</v>
      </c>
      <c r="E216" s="10">
        <v>0</v>
      </c>
      <c r="F216" s="10">
        <v>0</v>
      </c>
      <c r="G216">
        <v>0</v>
      </c>
      <c r="H216">
        <v>0</v>
      </c>
      <c r="I216">
        <v>0</v>
      </c>
      <c r="K216" s="1">
        <v>400</v>
      </c>
      <c r="L216" s="1">
        <v>764</v>
      </c>
      <c r="M216" s="1">
        <v>1891</v>
      </c>
      <c r="N216" s="1">
        <v>0.1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526</v>
      </c>
      <c r="C217" s="1">
        <v>897</v>
      </c>
      <c r="D217" s="1">
        <v>-13</v>
      </c>
      <c r="E217" s="1">
        <v>1.1000000000000001</v>
      </c>
      <c r="F217" s="1">
        <v>0.3</v>
      </c>
      <c r="G217">
        <v>0</v>
      </c>
      <c r="H217">
        <v>0</v>
      </c>
      <c r="I217">
        <v>0</v>
      </c>
      <c r="K217" s="1">
        <v>425</v>
      </c>
      <c r="L217" s="1">
        <v>750</v>
      </c>
      <c r="M217" s="1">
        <v>1821</v>
      </c>
      <c r="N217" s="1">
        <v>-7.6</v>
      </c>
      <c r="O217" s="1">
        <v>0.6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503</v>
      </c>
      <c r="C218" s="1">
        <v>821</v>
      </c>
      <c r="D218" s="1">
        <v>-28.4</v>
      </c>
      <c r="E218" s="1">
        <v>2.2000000000000002</v>
      </c>
      <c r="F218" s="1">
        <v>0.6</v>
      </c>
      <c r="G218">
        <v>0</v>
      </c>
      <c r="H218">
        <v>0</v>
      </c>
      <c r="I218">
        <v>0</v>
      </c>
      <c r="K218" s="1">
        <v>450</v>
      </c>
      <c r="L218" s="1">
        <v>735</v>
      </c>
      <c r="M218" s="1">
        <v>1753</v>
      </c>
      <c r="N218" s="1">
        <v>-16.3</v>
      </c>
      <c r="O218" s="1">
        <v>1.2</v>
      </c>
      <c r="P218" s="1">
        <v>0.4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482</v>
      </c>
      <c r="C219" s="1">
        <v>752</v>
      </c>
      <c r="D219" s="1">
        <v>-46.5</v>
      </c>
      <c r="E219" s="1">
        <v>3.4</v>
      </c>
      <c r="F219" s="1">
        <v>1</v>
      </c>
      <c r="G219">
        <v>0</v>
      </c>
      <c r="H219">
        <v>0</v>
      </c>
      <c r="I219">
        <v>0</v>
      </c>
      <c r="K219" s="1">
        <v>475</v>
      </c>
      <c r="L219" s="1">
        <v>721</v>
      </c>
      <c r="M219" s="1">
        <v>1687</v>
      </c>
      <c r="N219" s="1">
        <v>-26.1</v>
      </c>
      <c r="O219" s="1">
        <v>1.9</v>
      </c>
      <c r="P219" s="1">
        <v>0.5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462</v>
      </c>
      <c r="C220" s="1">
        <v>691</v>
      </c>
      <c r="D220" s="1">
        <v>-67.599999999999994</v>
      </c>
      <c r="E220" s="1">
        <v>4.7</v>
      </c>
      <c r="F220" s="1">
        <v>1.4</v>
      </c>
      <c r="G220">
        <v>0</v>
      </c>
      <c r="H220">
        <v>0</v>
      </c>
      <c r="I220">
        <v>0</v>
      </c>
      <c r="K220" s="1">
        <v>500</v>
      </c>
      <c r="L220" s="1">
        <v>708</v>
      </c>
      <c r="M220" s="1">
        <v>1625</v>
      </c>
      <c r="N220" s="1">
        <v>-37.1</v>
      </c>
      <c r="O220" s="1">
        <v>2.6</v>
      </c>
      <c r="P220" s="1">
        <v>0.7</v>
      </c>
      <c r="Q220" s="1">
        <v>0</v>
      </c>
      <c r="R220" s="1">
        <v>0</v>
      </c>
      <c r="S220" s="1">
        <v>0</v>
      </c>
    </row>
    <row r="222" spans="1:19" x14ac:dyDescent="0.25">
      <c r="A222" t="s">
        <v>76</v>
      </c>
      <c r="K222" t="s">
        <v>83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35</v>
      </c>
      <c r="H223" t="s">
        <v>36</v>
      </c>
      <c r="I223" t="s">
        <v>37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35</v>
      </c>
      <c r="R223" t="s">
        <v>36</v>
      </c>
      <c r="S223" t="s">
        <v>37</v>
      </c>
    </row>
    <row r="224" spans="1:19" x14ac:dyDescent="0.25">
      <c r="A224" s="1">
        <v>0</v>
      </c>
      <c r="B224" s="1">
        <v>1012</v>
      </c>
      <c r="C224" s="1">
        <v>3318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1012</v>
      </c>
      <c r="M224" s="1">
        <v>3318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977</v>
      </c>
      <c r="C225" s="1">
        <v>3095</v>
      </c>
      <c r="D225" s="1">
        <v>7.2</v>
      </c>
      <c r="E225" s="1">
        <v>-9.9</v>
      </c>
      <c r="F225" s="1">
        <v>-2.9</v>
      </c>
      <c r="G225" s="2">
        <v>0</v>
      </c>
      <c r="H225" s="2">
        <v>0</v>
      </c>
      <c r="I225" s="2">
        <v>0</v>
      </c>
      <c r="K225" s="1">
        <v>25</v>
      </c>
      <c r="L225" s="1">
        <v>995</v>
      </c>
      <c r="M225" s="1">
        <v>3211</v>
      </c>
      <c r="N225" s="1">
        <v>3.9</v>
      </c>
      <c r="O225" s="1">
        <v>-5.3</v>
      </c>
      <c r="P225" s="1">
        <v>-1.6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944</v>
      </c>
      <c r="C226" s="1">
        <v>2887</v>
      </c>
      <c r="D226" s="1">
        <v>17.8</v>
      </c>
      <c r="E226" s="1">
        <v>-12.1</v>
      </c>
      <c r="F226" s="1">
        <v>-3.5</v>
      </c>
      <c r="G226" s="2">
        <v>0</v>
      </c>
      <c r="H226" s="2">
        <v>0</v>
      </c>
      <c r="I226" s="2">
        <v>0</v>
      </c>
      <c r="K226" s="1">
        <v>50</v>
      </c>
      <c r="L226" s="1">
        <v>979</v>
      </c>
      <c r="M226" s="1">
        <v>3107</v>
      </c>
      <c r="N226" s="1">
        <v>11.1</v>
      </c>
      <c r="O226" s="1">
        <v>-7.6</v>
      </c>
      <c r="P226" s="1">
        <v>-2.2000000000000002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911</v>
      </c>
      <c r="C227" s="1">
        <v>2692</v>
      </c>
      <c r="D227" s="1">
        <v>27.3</v>
      </c>
      <c r="E227" s="1">
        <v>-12.5</v>
      </c>
      <c r="F227" s="1">
        <v>-3.6</v>
      </c>
      <c r="G227" s="2">
        <v>0</v>
      </c>
      <c r="H227" s="2">
        <v>0</v>
      </c>
      <c r="I227" s="2">
        <v>0</v>
      </c>
      <c r="K227" s="1">
        <v>75</v>
      </c>
      <c r="L227" s="1">
        <v>963</v>
      </c>
      <c r="M227" s="1">
        <v>3005</v>
      </c>
      <c r="N227" s="1">
        <v>17.5</v>
      </c>
      <c r="O227" s="1">
        <v>-8</v>
      </c>
      <c r="P227" s="1">
        <v>-2.2999999999999998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880</v>
      </c>
      <c r="C228" s="1">
        <v>2507</v>
      </c>
      <c r="D228" s="1">
        <v>36.200000000000003</v>
      </c>
      <c r="E228" s="1">
        <v>-12.5</v>
      </c>
      <c r="F228" s="1">
        <v>-3.6</v>
      </c>
      <c r="G228" s="2">
        <v>0</v>
      </c>
      <c r="H228" s="2">
        <v>0</v>
      </c>
      <c r="I228" s="2">
        <v>0</v>
      </c>
      <c r="K228" s="1">
        <v>100</v>
      </c>
      <c r="L228" s="1">
        <v>947</v>
      </c>
      <c r="M228" s="1">
        <v>2905</v>
      </c>
      <c r="N228" s="1">
        <v>23.2</v>
      </c>
      <c r="O228" s="1">
        <v>-8</v>
      </c>
      <c r="P228" s="1">
        <v>-2.2999999999999998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849</v>
      </c>
      <c r="C229" s="1">
        <v>2334</v>
      </c>
      <c r="D229" s="1">
        <v>44.5</v>
      </c>
      <c r="E229" s="1">
        <v>-12.2</v>
      </c>
      <c r="F229" s="1">
        <v>-3.5</v>
      </c>
      <c r="G229" s="2">
        <v>0</v>
      </c>
      <c r="H229" s="2">
        <v>0</v>
      </c>
      <c r="I229" s="2">
        <v>0</v>
      </c>
      <c r="K229" s="1">
        <v>125</v>
      </c>
      <c r="L229" s="1">
        <v>931</v>
      </c>
      <c r="M229" s="1">
        <v>2807</v>
      </c>
      <c r="N229" s="1">
        <v>28.4</v>
      </c>
      <c r="O229" s="1">
        <v>-7.8</v>
      </c>
      <c r="P229" s="1">
        <v>-2.2999999999999998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818</v>
      </c>
      <c r="C230" s="1">
        <v>2170</v>
      </c>
      <c r="D230" s="1">
        <v>51.6</v>
      </c>
      <c r="E230" s="1">
        <v>-11.8</v>
      </c>
      <c r="F230" s="1">
        <v>-3.4</v>
      </c>
      <c r="G230" s="2">
        <v>0</v>
      </c>
      <c r="H230" s="2">
        <v>0</v>
      </c>
      <c r="I230" s="2">
        <v>0</v>
      </c>
      <c r="K230" s="1">
        <v>150</v>
      </c>
      <c r="L230" s="1">
        <v>915</v>
      </c>
      <c r="M230" s="1">
        <v>2711</v>
      </c>
      <c r="N230" s="1">
        <v>32.700000000000003</v>
      </c>
      <c r="O230" s="1">
        <v>-7.5</v>
      </c>
      <c r="P230" s="1">
        <v>-2.2000000000000002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789</v>
      </c>
      <c r="C231" s="1">
        <v>2016</v>
      </c>
      <c r="D231" s="1">
        <v>57.8</v>
      </c>
      <c r="E231" s="1">
        <v>-11.4</v>
      </c>
      <c r="F231" s="1">
        <v>-3.3</v>
      </c>
      <c r="G231" s="2">
        <v>0</v>
      </c>
      <c r="H231" s="2">
        <v>0</v>
      </c>
      <c r="I231" s="2">
        <v>0</v>
      </c>
      <c r="K231" s="1">
        <v>175</v>
      </c>
      <c r="L231" s="1">
        <v>899</v>
      </c>
      <c r="M231" s="1">
        <v>2619</v>
      </c>
      <c r="N231" s="1">
        <v>36.299999999999997</v>
      </c>
      <c r="O231" s="1">
        <v>-7.1</v>
      </c>
      <c r="P231" s="1">
        <v>-2.1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760</v>
      </c>
      <c r="C232" s="1">
        <v>1870</v>
      </c>
      <c r="D232" s="1">
        <v>63.2</v>
      </c>
      <c r="E232" s="1">
        <v>-10.8</v>
      </c>
      <c r="F232" s="1">
        <v>-3.2</v>
      </c>
      <c r="G232" s="2">
        <v>0</v>
      </c>
      <c r="H232" s="2">
        <v>0</v>
      </c>
      <c r="I232" s="2">
        <v>0</v>
      </c>
      <c r="K232" s="1">
        <v>200</v>
      </c>
      <c r="L232" s="1">
        <v>883</v>
      </c>
      <c r="M232" s="1">
        <v>2529</v>
      </c>
      <c r="N232" s="1">
        <v>39.200000000000003</v>
      </c>
      <c r="O232" s="1">
        <v>-6.7</v>
      </c>
      <c r="P232" s="1">
        <v>-2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731</v>
      </c>
      <c r="C233" s="1">
        <v>1733</v>
      </c>
      <c r="D233" s="1">
        <v>67.3</v>
      </c>
      <c r="E233" s="1">
        <v>-10.3</v>
      </c>
      <c r="F233" s="1">
        <v>-3</v>
      </c>
      <c r="G233" s="2">
        <v>0</v>
      </c>
      <c r="H233" s="2">
        <v>0</v>
      </c>
      <c r="I233" s="2">
        <v>0</v>
      </c>
      <c r="K233" s="1">
        <v>225</v>
      </c>
      <c r="L233" s="1">
        <v>868</v>
      </c>
      <c r="M233" s="1">
        <v>2441</v>
      </c>
      <c r="N233" s="1">
        <v>41.2</v>
      </c>
      <c r="O233" s="1">
        <v>-6.3</v>
      </c>
      <c r="P233" s="1">
        <v>-1.8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703</v>
      </c>
      <c r="C234" s="1">
        <v>1604</v>
      </c>
      <c r="D234" s="1">
        <v>70.099999999999994</v>
      </c>
      <c r="E234" s="1">
        <v>-9.6999999999999993</v>
      </c>
      <c r="F234" s="1">
        <v>-2.8</v>
      </c>
      <c r="G234" s="2">
        <v>0</v>
      </c>
      <c r="H234" s="2">
        <v>0</v>
      </c>
      <c r="I234" s="2">
        <v>0</v>
      </c>
      <c r="K234" s="1">
        <v>250</v>
      </c>
      <c r="L234" s="1">
        <v>853</v>
      </c>
      <c r="M234" s="1">
        <v>2356</v>
      </c>
      <c r="N234" s="1">
        <v>42.4</v>
      </c>
      <c r="O234" s="1">
        <v>-5.8</v>
      </c>
      <c r="P234" s="1">
        <v>-1.7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676</v>
      </c>
      <c r="C235" s="1">
        <v>1482</v>
      </c>
      <c r="D235" s="1">
        <v>71.7</v>
      </c>
      <c r="E235" s="1">
        <v>-9</v>
      </c>
      <c r="F235" s="1">
        <v>-2.6</v>
      </c>
      <c r="G235" s="2">
        <v>0</v>
      </c>
      <c r="H235" s="2">
        <v>0</v>
      </c>
      <c r="I235" s="2">
        <v>0</v>
      </c>
      <c r="K235" s="1">
        <v>275</v>
      </c>
      <c r="L235" s="1">
        <v>838</v>
      </c>
      <c r="M235" s="1">
        <v>2273</v>
      </c>
      <c r="N235" s="1">
        <v>42.8</v>
      </c>
      <c r="O235" s="1">
        <v>-5.3</v>
      </c>
      <c r="P235" s="1">
        <v>-1.6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650</v>
      </c>
      <c r="C236" s="1">
        <v>1367</v>
      </c>
      <c r="D236" s="1">
        <v>71.8</v>
      </c>
      <c r="E236" s="1">
        <v>-8.1999999999999993</v>
      </c>
      <c r="F236" s="1">
        <v>-2.4</v>
      </c>
      <c r="G236" s="2">
        <v>0</v>
      </c>
      <c r="H236" s="2">
        <v>0</v>
      </c>
      <c r="I236" s="2">
        <v>0</v>
      </c>
      <c r="K236" s="1">
        <v>300</v>
      </c>
      <c r="L236" s="1">
        <v>823</v>
      </c>
      <c r="M236" s="1">
        <v>2192</v>
      </c>
      <c r="N236" s="1">
        <v>42.2</v>
      </c>
      <c r="O236" s="1">
        <v>-4.8</v>
      </c>
      <c r="P236" s="1">
        <v>-1.4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624</v>
      </c>
      <c r="C237" s="1">
        <v>1260</v>
      </c>
      <c r="D237" s="1">
        <v>70.400000000000006</v>
      </c>
      <c r="E237" s="1">
        <v>-7.4</v>
      </c>
      <c r="F237" s="1">
        <v>-2.2000000000000002</v>
      </c>
      <c r="G237" s="2">
        <v>0</v>
      </c>
      <c r="H237" s="2">
        <v>0</v>
      </c>
      <c r="I237" s="2">
        <v>0</v>
      </c>
      <c r="K237" s="1">
        <v>325</v>
      </c>
      <c r="L237" s="1">
        <v>808</v>
      </c>
      <c r="M237" s="1">
        <v>2114</v>
      </c>
      <c r="N237" s="1">
        <v>40.700000000000003</v>
      </c>
      <c r="O237" s="1">
        <v>-4.3</v>
      </c>
      <c r="P237" s="1">
        <v>-1.3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598</v>
      </c>
      <c r="C238" s="1">
        <v>1159</v>
      </c>
      <c r="D238" s="1">
        <v>67</v>
      </c>
      <c r="E238" s="1">
        <v>-6.6</v>
      </c>
      <c r="F238" s="1">
        <v>-1.9</v>
      </c>
      <c r="G238" s="2">
        <v>0</v>
      </c>
      <c r="H238" s="2">
        <v>0</v>
      </c>
      <c r="I238" s="2">
        <v>0</v>
      </c>
      <c r="K238" s="1">
        <v>350</v>
      </c>
      <c r="L238" s="1">
        <v>793</v>
      </c>
      <c r="M238" s="1">
        <v>2037</v>
      </c>
      <c r="N238" s="1">
        <v>38.1</v>
      </c>
      <c r="O238" s="1">
        <v>-3.7</v>
      </c>
      <c r="P238" s="1">
        <v>-1.1000000000000001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573</v>
      </c>
      <c r="C239" s="1">
        <v>1065</v>
      </c>
      <c r="D239" s="1">
        <v>61.9</v>
      </c>
      <c r="E239" s="1">
        <v>-5.7</v>
      </c>
      <c r="F239" s="1">
        <v>-1.7</v>
      </c>
      <c r="G239" s="2">
        <v>0</v>
      </c>
      <c r="H239" s="2">
        <v>0</v>
      </c>
      <c r="I239" s="2">
        <v>0</v>
      </c>
      <c r="K239" s="1">
        <v>375</v>
      </c>
      <c r="L239" s="1">
        <v>778</v>
      </c>
      <c r="M239" s="1">
        <v>1963</v>
      </c>
      <c r="N239" s="1">
        <v>34.6</v>
      </c>
      <c r="O239" s="1">
        <v>-3.2</v>
      </c>
      <c r="P239" s="1">
        <v>-0.9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549</v>
      </c>
      <c r="C240" s="1">
        <v>978</v>
      </c>
      <c r="D240" s="1">
        <v>54.8</v>
      </c>
      <c r="E240" s="1">
        <v>-4.7</v>
      </c>
      <c r="F240" s="1">
        <v>-1.4</v>
      </c>
      <c r="G240" s="2">
        <v>0</v>
      </c>
      <c r="H240" s="2">
        <v>0</v>
      </c>
      <c r="I240" s="2">
        <v>0</v>
      </c>
      <c r="K240" s="1">
        <v>400</v>
      </c>
      <c r="L240" s="1">
        <v>764</v>
      </c>
      <c r="M240" s="1">
        <v>1891</v>
      </c>
      <c r="N240" s="1">
        <v>30.1</v>
      </c>
      <c r="O240" s="1">
        <v>-2.6</v>
      </c>
      <c r="P240" s="1">
        <v>-0.8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526</v>
      </c>
      <c r="C241" s="1">
        <v>897</v>
      </c>
      <c r="D241" s="1">
        <v>45</v>
      </c>
      <c r="E241" s="1">
        <v>-3.6</v>
      </c>
      <c r="F241" s="1">
        <v>-1.1000000000000001</v>
      </c>
      <c r="G241" s="2">
        <v>0</v>
      </c>
      <c r="H241" s="2">
        <v>0</v>
      </c>
      <c r="I241" s="2">
        <v>0</v>
      </c>
      <c r="K241" s="1">
        <v>425</v>
      </c>
      <c r="L241" s="1">
        <v>750</v>
      </c>
      <c r="M241" s="1">
        <v>1821</v>
      </c>
      <c r="N241" s="1">
        <v>24.3</v>
      </c>
      <c r="O241" s="1">
        <v>-2</v>
      </c>
      <c r="P241" s="1">
        <v>-0.6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503</v>
      </c>
      <c r="C242" s="1">
        <v>821</v>
      </c>
      <c r="D242" s="1">
        <v>33</v>
      </c>
      <c r="E242" s="1">
        <v>-2.5</v>
      </c>
      <c r="F242" s="1">
        <v>-0.7</v>
      </c>
      <c r="G242" s="2">
        <v>0</v>
      </c>
      <c r="H242" s="2">
        <v>0</v>
      </c>
      <c r="I242" s="2">
        <v>0</v>
      </c>
      <c r="K242" s="1">
        <v>450</v>
      </c>
      <c r="L242" s="1">
        <v>735</v>
      </c>
      <c r="M242" s="1">
        <v>1753</v>
      </c>
      <c r="N242" s="1">
        <v>17.5</v>
      </c>
      <c r="O242" s="1">
        <v>-1.3</v>
      </c>
      <c r="P242" s="1">
        <v>-0.4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482</v>
      </c>
      <c r="C243" s="1">
        <v>752</v>
      </c>
      <c r="D243" s="1">
        <v>18.3</v>
      </c>
      <c r="E243" s="1">
        <v>-1.3</v>
      </c>
      <c r="F243" s="1">
        <v>-0.4</v>
      </c>
      <c r="G243" s="2">
        <v>0</v>
      </c>
      <c r="H243" s="2">
        <v>0</v>
      </c>
      <c r="I243" s="2">
        <v>0</v>
      </c>
      <c r="K243" s="1">
        <v>475</v>
      </c>
      <c r="L243" s="1">
        <v>721</v>
      </c>
      <c r="M243" s="1">
        <v>1687</v>
      </c>
      <c r="N243" s="1">
        <v>9.5</v>
      </c>
      <c r="O243" s="1">
        <v>-0.7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0">
        <v>500</v>
      </c>
      <c r="B244" s="10">
        <v>462</v>
      </c>
      <c r="C244" s="10">
        <v>691</v>
      </c>
      <c r="D244" s="10">
        <v>0.5</v>
      </c>
      <c r="E244" s="10">
        <v>0</v>
      </c>
      <c r="F244" s="10">
        <v>0</v>
      </c>
      <c r="G244" s="2">
        <v>0</v>
      </c>
      <c r="H244" s="2">
        <v>0</v>
      </c>
      <c r="I244" s="2">
        <v>0</v>
      </c>
      <c r="K244" s="1">
        <v>500</v>
      </c>
      <c r="L244" s="1">
        <v>708</v>
      </c>
      <c r="M244" s="1">
        <v>1625</v>
      </c>
      <c r="N244" s="1">
        <v>0.3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30" x14ac:dyDescent="0.25">
      <c r="A246" t="s">
        <v>55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32</v>
      </c>
      <c r="H246" s="13" t="s">
        <v>33</v>
      </c>
      <c r="I246" s="30" t="s">
        <v>56</v>
      </c>
    </row>
    <row r="247" spans="1:19" x14ac:dyDescent="0.25">
      <c r="A247" t="s">
        <v>57</v>
      </c>
      <c r="B247" s="31" cm="1">
        <f t="array" ref="B247">INDEX(LINEST(J$23:J$35,$A$23:$A$35^{1,2,3}), 1,4)</f>
        <v>-3.8355040270921599</v>
      </c>
      <c r="C247" s="31" cm="1">
        <f t="array" ref="C247">INDEX(LINEST(K$23:K$35,$A$23:$A$35^{1,2,3}), 1,4)</f>
        <v>-4.4309404884451027</v>
      </c>
      <c r="D247" s="31" cm="1">
        <f t="array" ref="D247">INDEX(LINEST(L$23:L$35,$A$23:$A$35^{1,2,3}), 1,4)</f>
        <v>-7.5692289034607043</v>
      </c>
      <c r="E247" s="31" cm="1">
        <f t="array" ref="E247">INDEX(LINEST(M$23:M$35,$A$23:$A$35^{1,2,3}), 1,4)</f>
        <v>-3.9025917899581657</v>
      </c>
      <c r="F247" s="31" cm="1">
        <f t="array" ref="F247">INDEX(LINEST(N$23:N$35,$A$23:$A$35^{1,2,3}), 1,4)</f>
        <v>-6.4694370452815955</v>
      </c>
      <c r="G247" s="31" cm="1">
        <f t="array" ref="G247">INDEX(LINEST(O$23:O$35,$A$23:$A$35^{1,2,3}), 1,4)</f>
        <v>-6.4855391288866269</v>
      </c>
      <c r="H247" s="31" cm="1">
        <f t="array" ref="H247">INDEX(LINEST(P$23:P$35,$A$23:$A$35^{1,2,3}), 1,4)</f>
        <v>-7.9050188724176875</v>
      </c>
      <c r="I247" s="32" cm="1">
        <f t="array" ref="I247">INDEX(LINEST(B$23:B$35,$A$23:$A$35^{1,2,3}), 1,4)</f>
        <v>3347.61229240895</v>
      </c>
    </row>
    <row r="248" spans="1:19" x14ac:dyDescent="0.25">
      <c r="A248" t="s">
        <v>58</v>
      </c>
      <c r="B248" s="32" cm="1">
        <f t="array" ref="B248">INDEX(LINEST(J$23:J$35,$A$23:$A$35^{1,2,3}), 1,3)</f>
        <v>0.11158288595315602</v>
      </c>
      <c r="C248" s="32" cm="1">
        <f t="array" ref="C248">INDEX(LINEST(K$23:K$35,$A$23:$A$35^{1,2,3}), 1,3)</f>
        <v>7.0633633517787828E-2</v>
      </c>
      <c r="D248" s="32" cm="1">
        <f t="array" ref="D248">INDEX(LINEST(L$23:L$35,$A$23:$A$35^{1,2,3}), 1,3)</f>
        <v>0.15298175291857</v>
      </c>
      <c r="E248" s="32" cm="1">
        <f t="array" ref="E248">INDEX(LINEST(M$23:M$35,$A$23:$A$35^{1,2,3}), 1,3)</f>
        <v>8.8396212096508928E-2</v>
      </c>
      <c r="F248" s="32" cm="1">
        <f t="array" ref="F248">INDEX(LINEST(N$23:N$35,$A$23:$A$35^{1,2,3}), 1,3)</f>
        <v>0.20017013654084787</v>
      </c>
      <c r="G248" s="32" cm="1">
        <f t="array" ref="G248">INDEX(LINEST(O$23:O$35,$A$23:$A$35^{1,2,3}), 1,3)</f>
        <v>0.27028490608576272</v>
      </c>
      <c r="H248" s="32" cm="1">
        <f t="array" ref="H248">INDEX(LINEST(P$23:P$35,$A$23:$A$35^{1,2,3}), 1,3)</f>
        <v>0.4074098651128929</v>
      </c>
      <c r="I248" s="32" cm="1">
        <f t="array" ref="I248">INDEX(LINEST(B$23:B$35,$A$23:$A$35^{1,2,3}), 1,3)</f>
        <v>-4.492663724603231</v>
      </c>
    </row>
    <row r="249" spans="1:19" x14ac:dyDescent="0.25">
      <c r="A249" t="s">
        <v>59</v>
      </c>
      <c r="B249" s="32" cm="1">
        <f t="array" ref="B249">INDEX(LINEST(J$23:J$35,$A$23:$A$35^{1,2,3}), 1,2)</f>
        <v>-2.1049820701123613E-4</v>
      </c>
      <c r="C249" s="32" cm="1">
        <f t="array" ref="C249">INDEX(LINEST(K$23:K$35,$A$23:$A$35^{1,2,3}), 1,2)</f>
        <v>-2.0936147283537898E-4</v>
      </c>
      <c r="D249" s="32" cm="1">
        <f t="array" ref="D249">INDEX(LINEST(L$23:L$35,$A$23:$A$35^{1,2,3}), 1,2)</f>
        <v>-6.3069977711034838E-4</v>
      </c>
      <c r="E249" s="32" cm="1">
        <f t="array" ref="E249">INDEX(LINEST(M$23:M$35,$A$23:$A$35^{1,2,3}), 1,2)</f>
        <v>-1.130950154588575E-4</v>
      </c>
      <c r="F249" s="32" cm="1">
        <f t="array" ref="F249">INDEX(LINEST(N$23:N$35,$A$23:$A$35^{1,2,3}), 1,2)</f>
        <v>-5.3829718068803298E-4</v>
      </c>
      <c r="G249" s="32" cm="1">
        <f t="array" ref="G249">INDEX(LINEST(O$23:O$35,$A$23:$A$35^{1,2,3}), 1,2)</f>
        <v>-5.4853545348402871E-4</v>
      </c>
      <c r="H249" s="32" cm="1">
        <f t="array" ref="H249">INDEX(LINEST(P$23:P$35,$A$23:$A$35^{1,2,3}), 1,2)</f>
        <v>-8.5829613087580025E-4</v>
      </c>
      <c r="I249" s="32" cm="1">
        <f t="array" ref="I249">INDEX(LINEST(B$23:B$35,$A$23:$A$35^{1,2,3}), 1,2)</f>
        <v>2.7142270854196462E-3</v>
      </c>
    </row>
    <row r="250" spans="1:19" x14ac:dyDescent="0.25">
      <c r="A250" t="s">
        <v>60</v>
      </c>
      <c r="B250" s="31" cm="1">
        <f t="array" ref="B250">INDEX(LINEST(J$23:J$35,$A$23:$A$35^{1,2,3}), 1)</f>
        <v>-8.3235537797314872E-7</v>
      </c>
      <c r="C250" s="31" cm="1">
        <f t="array" ref="C250">INDEX(LINEST(K$23:K$35,$A$23:$A$35^{1,2,3}), 1)</f>
        <v>-7.6452317083021196E-7</v>
      </c>
      <c r="D250" s="31" cm="1">
        <f t="array" ref="D250">INDEX(LINEST(L$23:L$35,$A$23:$A$35^{1,2,3}), 1)</f>
        <v>-1.4255248818724025E-7</v>
      </c>
      <c r="E250" s="31" cm="1">
        <f t="array" ref="E250">INDEX(LINEST(M$23:M$35,$A$23:$A$35^{1,2,3}), 1)</f>
        <v>-9.0749848521664096E-7</v>
      </c>
      <c r="F250" s="31" cm="1">
        <f t="array" ref="F250">INDEX(LINEST(N$23:N$35,$A$23:$A$35^{1,2,3}), 1)</f>
        <v>-2.0973446060809797E-7</v>
      </c>
      <c r="G250" s="31" cm="1">
        <f t="array" ref="G250">INDEX(LINEST(O$23:O$35,$A$23:$A$35^{1,2,3}), 1)</f>
        <v>-2.0422535266661683E-7</v>
      </c>
      <c r="H250" s="31" cm="1">
        <f t="array" ref="H250">INDEX(LINEST(P$23:P$35,$A$23:$A$35^{1,2,3}), 1)</f>
        <v>1.5061168128419137E-7</v>
      </c>
      <c r="I250" s="32" cm="1">
        <f t="array" ref="I250">INDEX(LINEST(B$23:B$35,$A$23:$A$35^{1,2,3}), 1)</f>
        <v>-1.0772291094004438E-6</v>
      </c>
    </row>
    <row r="251" spans="1:19" x14ac:dyDescent="0.25">
      <c r="A251" t="s">
        <v>61</v>
      </c>
      <c r="B251" s="31"/>
      <c r="C251" s="31"/>
      <c r="D251" s="32"/>
      <c r="E251" s="32"/>
      <c r="F251" s="32"/>
      <c r="G251" s="32"/>
      <c r="H251" s="32"/>
      <c r="I251" s="32"/>
    </row>
    <row r="252" spans="1:19" x14ac:dyDescent="0.25">
      <c r="A252" t="s">
        <v>62</v>
      </c>
      <c r="B252" s="31"/>
      <c r="C252" s="31"/>
      <c r="D252" s="32"/>
      <c r="E252" s="32"/>
      <c r="F252" s="32"/>
      <c r="G252" s="32"/>
      <c r="H252" s="32"/>
      <c r="I252" s="32"/>
    </row>
    <row r="253" spans="1:19" x14ac:dyDescent="0.25">
      <c r="A253" t="s">
        <v>63</v>
      </c>
      <c r="B253" s="31"/>
      <c r="C253" s="31"/>
      <c r="D253" s="32"/>
      <c r="E253" s="32"/>
      <c r="F253" s="32"/>
      <c r="G253" s="32"/>
      <c r="H253" s="32"/>
      <c r="I253" s="32"/>
    </row>
    <row r="254" spans="1:19" x14ac:dyDescent="0.25">
      <c r="B254" s="31"/>
      <c r="C254" s="31"/>
      <c r="D254" s="31"/>
      <c r="E254" s="31"/>
      <c r="F254" s="31"/>
      <c r="G254" s="31"/>
      <c r="H254" s="31"/>
      <c r="I254" s="31"/>
    </row>
    <row r="255" spans="1:19" x14ac:dyDescent="0.25">
      <c r="A255" t="s">
        <v>64</v>
      </c>
    </row>
    <row r="256" spans="1:19" x14ac:dyDescent="0.25">
      <c r="A256" s="25" t="s">
        <v>4</v>
      </c>
      <c r="B256" s="24"/>
      <c r="C256" s="24"/>
    </row>
    <row r="257" spans="1:9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3347.61229240895</v>
      </c>
    </row>
    <row r="258" spans="1:9" x14ac:dyDescent="0.25">
      <c r="A258" s="1">
        <v>25</v>
      </c>
      <c r="B258" s="2" cm="1">
        <f t="array" ref="B258">TrajectoryToComeUp(B$247:B$250,$A258)</f>
        <v>0.47619952417044487</v>
      </c>
      <c r="C258" s="2" cm="1">
        <f t="array" ref="C258">TrajectoryToComeUp(C$247:C$250,$A258)</f>
        <v>1.1231584982266964</v>
      </c>
      <c r="D258" s="27" cm="1">
        <f t="array" ref="D258">TrajectoryToComeUp(D$247:D$250,$A258)</f>
        <v>1.6564399295273391</v>
      </c>
      <c r="E258" s="27" cm="1">
        <f t="array" ref="E258">TrajectoryToComeUp(E$247:E$250,$A258)</f>
        <v>0.71102021441549534</v>
      </c>
      <c r="F258" s="27" cm="1">
        <f t="array" ref="F258">TrajectoryToComeUp(F$247:F$250,$A258)</f>
        <v>0.7219585882549685</v>
      </c>
      <c r="G258" s="27" cm="1">
        <f t="array" ref="G258">TrajectoryToComeUp(G$247:G$250,$A258)</f>
        <v>2.9776862522196933E-2</v>
      </c>
      <c r="H258" s="27" cm="1">
        <f t="array" ref="H258">TrajectoryToComeUp(H$247:H$250,$A258)</f>
        <v>-0.69845839245093033</v>
      </c>
      <c r="I258" s="2" cm="1">
        <f t="array" ref="I258">EvaluatePolynomial(I$247:I$250,$A258)</f>
        <v>3236.9752595174223</v>
      </c>
    </row>
    <row r="259" spans="1:9" x14ac:dyDescent="0.25">
      <c r="A259" s="1">
        <v>50</v>
      </c>
      <c r="B259" s="2" cm="1">
        <f t="array" ref="B259">TrajectoryToComeUp(B$247:B$250,$A259)</f>
        <v>-0.22267006615818152</v>
      </c>
      <c r="C259" s="33" cm="1">
        <f t="array" ref="C259">TrajectoryToComeUp(C$247:C$250,$A259)</f>
        <v>0.3036455781995871</v>
      </c>
      <c r="D259" s="27" cm="1">
        <f t="array" ref="D259">TrajectoryToComeUp(D$247:D$250,$A259)</f>
        <v>0.30294195226629617</v>
      </c>
      <c r="E259" s="27" cm="1">
        <f t="array" ref="E259">TrajectoryToComeUp(E$247:E$250,$A259)</f>
        <v>-2.4208793113611373E-2</v>
      </c>
      <c r="F259" s="27" cm="1">
        <f t="array" ref="F259">TrajectoryToComeUp(F$247:F$250,$A259)</f>
        <v>-0.43342200449294072</v>
      </c>
      <c r="G259" s="27" cm="1">
        <f t="array" ref="G259">TrajectoryToComeUp(G$247:G$250,$A259)</f>
        <v>-1.1263678745216219</v>
      </c>
      <c r="H259" s="27" cm="1">
        <f t="array" ref="H259">TrajectoryToComeUp(H$247:H$250,$A259)</f>
        <v>-2.0677121032395962</v>
      </c>
      <c r="I259" s="2" cm="1">
        <f t="array" ref="I259">EvaluatePolynomial(I$247:I$250,$A259)</f>
        <v>3129.6300202536627</v>
      </c>
    </row>
    <row r="260" spans="1:9" x14ac:dyDescent="0.25">
      <c r="A260" s="1">
        <v>75</v>
      </c>
      <c r="B260" s="2" cm="1">
        <f t="array" ref="B260">TrajectoryToComeUp(B$247:B$250,$A260)</f>
        <v>-0.39973467731652212</v>
      </c>
      <c r="C260" s="2" cm="1">
        <f t="array" ref="C260">TrajectoryToComeUp(C$247:C$250,$A260)</f>
        <v>8.4481262933869081E-2</v>
      </c>
      <c r="D260" s="27" cm="1">
        <f t="array" ref="D260">TrajectoryToComeUp(D$247:D$250,$A260)</f>
        <v>-3.9543598430979189E-2</v>
      </c>
      <c r="E260" s="27" cm="1">
        <f t="array" ref="E260">TrajectoryToComeUp(E$247:E$250,$A260)</f>
        <v>-0.22774849758308804</v>
      </c>
      <c r="F260" s="27" cm="1">
        <f t="array" ref="F260">TrajectoryToComeUp(F$247:F$250,$A260)</f>
        <v>-0.7235893104457024</v>
      </c>
      <c r="G260" s="27" cm="1">
        <f t="array" ref="G260">TrajectoryToComeUp(G$247:G$250,$A260)</f>
        <v>-1.4152212441388916</v>
      </c>
      <c r="H260" s="27" cm="1">
        <f t="array" ref="H260">TrajectoryToComeUp(H$247:H$250,$A260)</f>
        <v>-2.3848459437219565</v>
      </c>
      <c r="I260" s="2" cm="1">
        <f t="array" ref="I260">EvaluatePolynomial(I$247:I$250,$A260)</f>
        <v>3025.4755843886651</v>
      </c>
    </row>
    <row r="261" spans="1:9" x14ac:dyDescent="0.25">
      <c r="A261" s="1">
        <v>100</v>
      </c>
      <c r="B261" s="2" cm="1">
        <f t="array" ref="B261">TrajectoryToComeUp(B$247:B$250,$A261)</f>
        <v>-0.43854471201379314</v>
      </c>
      <c r="C261" s="2" cm="1">
        <f t="array" ref="C261">TrajectoryToComeUp(C$247:C$250,$A261)</f>
        <v>2.2571503585032165E-2</v>
      </c>
      <c r="D261" s="27" cm="1">
        <f t="array" ref="D261">TrajectoryToComeUp(D$247:D$250,$A261)</f>
        <v>-0.12793961291055722</v>
      </c>
      <c r="E261" s="27" cm="1">
        <f t="array" ref="E261">TrajectoryToComeUp(E$247:E$250,$A261)</f>
        <v>-0.28985807798875118</v>
      </c>
      <c r="F261" s="27" cm="1">
        <f t="array" ref="F261">TrajectoryToComeUp(F$247:F$250,$A261)</f>
        <v>-0.79548703413147626</v>
      </c>
      <c r="G261" s="27" cm="1">
        <f t="array" ref="G261">TrajectoryToComeUp(G$247:G$250,$A261)</f>
        <v>-1.485337159218274</v>
      </c>
      <c r="H261" s="27" cm="1">
        <f t="array" ref="H261">TrajectoryToComeUp(H$247:H$250,$A261)</f>
        <v>-2.4403618011397792</v>
      </c>
      <c r="I261" s="2" cm="1">
        <f t="array" ref="I261">EvaluatePolynomial(I$247:I$250,$A261)</f>
        <v>2924.4109616934229</v>
      </c>
    </row>
    <row r="262" spans="1:9" x14ac:dyDescent="0.25">
      <c r="A262" s="1">
        <v>125</v>
      </c>
      <c r="B262" s="2" cm="1">
        <f t="array" ref="B262">TrajectoryToComeUp(B$247:B$250,$A262)</f>
        <v>-0.41581025079183781</v>
      </c>
      <c r="C262" s="2" cm="1">
        <f t="array" ref="C262">TrajectoryToComeUp(C$247:C$250,$A262)</f>
        <v>2.9297490384174257E-2</v>
      </c>
      <c r="D262" s="27" cm="1">
        <f t="array" ref="D262">TrajectoryToComeUp(D$247:D$250,$A262)</f>
        <v>-0.11363066924165181</v>
      </c>
      <c r="E262" s="27" cm="1">
        <f t="array" ref="E262">TrajectoryToComeUp(E$247:E$250,$A262)</f>
        <v>-0.28858937012976399</v>
      </c>
      <c r="F262" s="27" cm="1">
        <f t="array" ref="F262">TrajectoryToComeUp(F$247:F$250,$A262)</f>
        <v>-0.77850391645589445</v>
      </c>
      <c r="G262" s="27" cm="1">
        <f t="array" ref="G262">TrajectoryToComeUp(G$247:G$250,$A262)</f>
        <v>-1.4664264023375022</v>
      </c>
      <c r="H262" s="27" cm="1">
        <f t="array" ref="H262">TrajectoryToComeUp(H$247:H$250,$A262)</f>
        <v>-2.3923600529414184</v>
      </c>
      <c r="I262" s="2" cm="1">
        <f t="array" ref="I262">EvaluatePolynomial(I$247:I$250,$A262)</f>
        <v>2826.3351619389305</v>
      </c>
    </row>
    <row r="263" spans="1:9" x14ac:dyDescent="0.25">
      <c r="A263" s="1">
        <v>150</v>
      </c>
      <c r="B263" s="2" cm="1">
        <f t="array" ref="B263">TrajectoryToComeUp(B$247:B$250,$A263)</f>
        <v>-0.3571013204979368</v>
      </c>
      <c r="C263" s="2" cm="1">
        <f t="array" ref="C263">TrajectoryToComeUp(C$247:C$250,$A263)</f>
        <v>7.5119620074994745E-2</v>
      </c>
      <c r="D263" s="27" cm="1">
        <f t="array" ref="D263">TrajectoryToComeUp(D$247:D$250,$A263)</f>
        <v>-4.707829344733476E-2</v>
      </c>
      <c r="E263" s="27" cm="1">
        <f t="array" ref="E263">TrajectoryToComeUp(E$247:E$250,$A263)</f>
        <v>-0.24995965260584777</v>
      </c>
      <c r="F263" s="27" cm="1">
        <f t="array" ref="F263">TrajectoryToComeUp(F$247:F$250,$A263)</f>
        <v>-0.71576953772083418</v>
      </c>
      <c r="G263" s="27" cm="1">
        <f t="array" ref="G263">TrajectoryToComeUp(G$247:G$250,$A263)</f>
        <v>-1.401725901022487</v>
      </c>
      <c r="H263" s="27" cm="1">
        <f t="array" ref="H263">TrajectoryToComeUp(H$247:H$250,$A263)</f>
        <v>-2.2935408249429927</v>
      </c>
      <c r="I263" s="2" cm="1">
        <f t="array" ref="I263">EvaluatePolynomial(I$247:I$250,$A263)</f>
        <v>2731.1471948961807</v>
      </c>
    </row>
    <row r="264" spans="1:9" x14ac:dyDescent="0.25">
      <c r="A264" s="1">
        <v>175</v>
      </c>
      <c r="B264" s="2" cm="1">
        <f t="array" ref="B264">TrajectoryToComeUp(B$247:B$250,$A264)</f>
        <v>-0.27337650406663966</v>
      </c>
      <c r="C264" s="2" cm="1">
        <f t="array" ref="C264">TrajectoryToComeUp(C$247:C$250,$A264)</f>
        <v>0.14737806269050754</v>
      </c>
      <c r="D264" s="27" cm="1">
        <f t="array" ref="D264">TrajectoryToComeUp(D$247:D$250,$A264)</f>
        <v>5.0091146176792313E-2</v>
      </c>
      <c r="E264" s="27" cm="1">
        <f t="array" ref="E264">TrajectoryToComeUp(E$247:E$250,$A264)</f>
        <v>-0.18511918767402583</v>
      </c>
      <c r="F264" s="27" cm="1">
        <f t="array" ref="F264">TrajectoryToComeUp(F$247:F$250,$A264)</f>
        <v>-0.62576800376995689</v>
      </c>
      <c r="G264" s="27" cm="1">
        <f t="array" ref="G264">TrajectoryToComeUp(G$247:G$250,$A264)</f>
        <v>-1.3097657670700469</v>
      </c>
      <c r="H264" s="27" cm="1">
        <f t="array" ref="H264">TrajectoryToComeUp(H$247:H$250,$A264)</f>
        <v>-2.166489885351409</v>
      </c>
      <c r="I264" s="2" cm="1">
        <f t="array" ref="I264">EvaluatePolynomial(I$247:I$250,$A264)</f>
        <v>2638.7460703361685</v>
      </c>
    </row>
    <row r="265" spans="1:9" x14ac:dyDescent="0.25">
      <c r="A265" s="1">
        <v>200</v>
      </c>
      <c r="B265" s="2" cm="1">
        <f t="array" ref="B265">TrajectoryToComeUp(B$247:B$250,$A265)</f>
        <v>-0.17011509296522037</v>
      </c>
      <c r="C265" s="2" cm="1">
        <f t="array" ref="C265">TrajectoryToComeUp(C$247:C$250,$A265)</f>
        <v>0.23974290324721959</v>
      </c>
      <c r="D265" s="27" cm="1">
        <f t="array" ref="D265">TrajectoryToComeUp(D$247:D$250,$A265)</f>
        <v>0.167064465482928</v>
      </c>
      <c r="E265" s="27" cm="1">
        <f t="array" ref="E265">TrajectoryToComeUp(E$247:E$250,$A265)</f>
        <v>-9.9643106462809605E-2</v>
      </c>
      <c r="F265" s="27" cm="1">
        <f t="array" ref="F265">TrajectoryToComeUp(F$247:F$250,$A265)</f>
        <v>-0.5177413675250937</v>
      </c>
      <c r="G265" s="27" cm="1">
        <f t="array" ref="G265">TrajectoryToComeUp(G$247:G$250,$A265)</f>
        <v>-1.199811056378592</v>
      </c>
      <c r="H265" s="27" cm="1">
        <f t="array" ref="H265">TrajectoryToComeUp(H$247:H$250,$A265)</f>
        <v>-2.0225001182701203</v>
      </c>
      <c r="I265" s="2" cm="1">
        <f t="array" ref="I265">EvaluatePolynomial(I$247:I$250,$A265)</f>
        <v>2549.0307980298862</v>
      </c>
    </row>
    <row r="266" spans="1:9" x14ac:dyDescent="0.25">
      <c r="A266" s="1">
        <v>225</v>
      </c>
      <c r="B266" s="2" cm="1">
        <f t="array" ref="B266">TrajectoryToComeUp(B$247:B$250,$A266)</f>
        <v>-5.0361138008831886E-2</v>
      </c>
      <c r="C266" s="2" cm="1">
        <f t="array" ref="C266">TrajectoryToComeUp(C$247:C$250,$A266)</f>
        <v>0.34869752230985712</v>
      </c>
      <c r="D266" s="27" cm="1">
        <f t="array" ref="D266">TrajectoryToComeUp(D$247:D$250,$A266)</f>
        <v>0.29783433994451664</v>
      </c>
      <c r="E266" s="27" cm="1">
        <f t="array" ref="E266">TrajectoryToComeUp(E$247:E$250,$A266)</f>
        <v>3.3712959564053007E-3</v>
      </c>
      <c r="F266" s="27" cm="1">
        <f t="array" ref="F266">TrajectoryToComeUp(F$247:F$250,$A266)</f>
        <v>-0.39682410283170605</v>
      </c>
      <c r="G266" s="27" cm="1">
        <f t="array" ref="G266">TrajectoryToComeUp(G$247:G$250,$A266)</f>
        <v>-1.0770090222250153</v>
      </c>
      <c r="H266" s="27" cm="1">
        <f t="array" ref="H266">TrajectoryToComeUp(H$247:H$250,$A266)</f>
        <v>-1.8678453482010473</v>
      </c>
      <c r="I266" s="2" cm="1">
        <f t="array" ref="I266">EvaluatePolynomial(I$247:I$250,$A266)</f>
        <v>2461.9003877483283</v>
      </c>
    </row>
    <row r="267" spans="1:9" x14ac:dyDescent="0.25">
      <c r="A267" s="1">
        <v>250</v>
      </c>
      <c r="B267" s="2" cm="1">
        <f t="array" ref="B267">TrajectoryToComeUp(B$247:B$250,$A267)</f>
        <v>8.4058930313434463E-2</v>
      </c>
      <c r="C267" s="2" cm="1">
        <f t="array" ref="C267">TrajectoryToComeUp(C$247:C$250,$A267)</f>
        <v>0.47213194821725574</v>
      </c>
      <c r="D267" s="27" cm="1">
        <f t="array" ref="D267">TrajectoryToComeUp(D$247:D$250,$A267)</f>
        <v>0.43879637484562439</v>
      </c>
      <c r="E267" s="27" cm="1">
        <f t="array" ref="E267">TrajectoryToComeUp(E$247:E$250,$A267)</f>
        <v>0.12206564254078164</v>
      </c>
      <c r="F267" s="27" cm="1">
        <f t="array" ref="F267">TrajectoryToComeUp(F$247:F$250,$A267)</f>
        <v>-0.26609689399707098</v>
      </c>
      <c r="G267" s="27" cm="1">
        <f t="array" ref="G267">TrajectoryToComeUp(G$247:G$250,$A267)</f>
        <v>-0.94444801657545485</v>
      </c>
      <c r="H267" s="27" cm="1">
        <f t="array" ref="H267">TrajectoryToComeUp(H$247:H$250,$A267)</f>
        <v>-1.7062898698453404</v>
      </c>
      <c r="I267" s="2" cm="1">
        <f t="array" ref="I267">EvaluatePolynomial(I$247:I$250,$A267)</f>
        <v>2377.2538492624881</v>
      </c>
    </row>
    <row r="268" spans="1:9" x14ac:dyDescent="0.25">
      <c r="A268" s="1">
        <v>275</v>
      </c>
      <c r="B268" s="2" cm="1">
        <f t="array" ref="B268">TrajectoryToComeUp(B$247:B$250,$A268)</f>
        <v>0.23198283805397513</v>
      </c>
      <c r="C268" s="2" cm="1">
        <f t="array" ref="C268">TrajectoryToComeUp(C$247:C$250,$A268)</f>
        <v>0.60870347173049266</v>
      </c>
      <c r="D268" s="27" cm="1">
        <f t="array" ref="D268">TrajectoryToComeUp(D$247:D$250,$A268)</f>
        <v>0.58765686445792953</v>
      </c>
      <c r="E268" s="27" cm="1">
        <f t="array" ref="E268">TrajectoryToComeUp(E$247:E$250,$A268)</f>
        <v>0.25525732971760501</v>
      </c>
      <c r="F268" s="27" cm="1">
        <f t="array" ref="F268">TrajectoryToComeUp(F$247:F$250,$A268)</f>
        <v>-0.12752017648945596</v>
      </c>
      <c r="G268" s="27" cm="1">
        <f t="array" ref="G268">TrajectoryToComeUp(G$247:G$250,$A268)</f>
        <v>-0.80409335431745099</v>
      </c>
      <c r="H268" s="27" cm="1">
        <f t="array" ref="H268">TrajectoryToComeUp(H$247:H$250,$A268)</f>
        <v>-1.5402291434673685</v>
      </c>
      <c r="I268" s="2" cm="1">
        <f t="array" ref="I268">EvaluatePolynomial(I$247:I$250,$A268)</f>
        <v>2294.9901923433599</v>
      </c>
    </row>
    <row r="269" spans="1:9" x14ac:dyDescent="0.25">
      <c r="A269" s="1">
        <v>300</v>
      </c>
      <c r="B269" s="2" cm="1">
        <f t="array" ref="B269">TrajectoryToComeUp(B$247:B$250,$A269)</f>
        <v>0.39263573591438738</v>
      </c>
      <c r="C269" s="2" cm="1">
        <f t="array" ref="C269">TrajectoryToComeUp(C$247:C$250,$A269)</f>
        <v>0.75751695335695279</v>
      </c>
      <c r="D269" s="27" cm="1">
        <f t="array" ref="D269">TrajectoryToComeUp(D$247:D$250,$A269)</f>
        <v>0.74288667162921829</v>
      </c>
      <c r="E269" s="27" cm="1">
        <f t="array" ref="E269">TrajectoryToComeUp(E$247:E$250,$A269)</f>
        <v>0.40215795510506569</v>
      </c>
      <c r="F269" s="27" cm="1">
        <f t="array" ref="F269">TrajectoryToComeUp(F$247:F$250,$A269)</f>
        <v>1.7599092712294949E-2</v>
      </c>
      <c r="G269" s="27" cm="1">
        <f t="array" ref="G269">TrajectoryToComeUp(G$247:G$250,$A269)</f>
        <v>-0.65725524537603153</v>
      </c>
      <c r="H269" s="27" cm="1">
        <f t="array" ref="H269">TrajectoryToComeUp(H$247:H$250,$A269)</f>
        <v>-1.3712601425767108</v>
      </c>
      <c r="I269" s="2" cm="1">
        <f t="array" ref="I269">EvaluatePolynomial(I$247:I$250,$A269)</f>
        <v>2215.0084267619368</v>
      </c>
    </row>
    <row r="270" spans="1:9" x14ac:dyDescent="0.25">
      <c r="A270" s="1">
        <v>325</v>
      </c>
      <c r="B270" s="2" cm="1">
        <f t="array" ref="B270">TrajectoryToComeUp(B$247:B$250,$A270)</f>
        <v>0.56548118976500805</v>
      </c>
      <c r="C270" s="2" cm="1">
        <f t="array" ref="C270">TrajectoryToComeUp(C$247:C$250,$A270)</f>
        <v>0.91795268114021022</v>
      </c>
      <c r="D270" s="27" cm="1">
        <f t="array" ref="D270">TrajectoryToComeUp(D$247:D$250,$A270)</f>
        <v>0.90342716294641867</v>
      </c>
      <c r="E270" s="27" cm="1">
        <f t="array" ref="E270">TrajectoryToComeUp(E$247:E$250,$A270)</f>
        <v>0.56222170166960272</v>
      </c>
      <c r="F270" s="27" cm="1">
        <f t="array" ref="F270">TrajectoryToComeUp(F$247:F$250,$A270)</f>
        <v>0.16835609723821193</v>
      </c>
      <c r="G270" s="27" cm="1">
        <f t="array" ref="G270">TrajectoryToComeUp(G$247:G$250,$A270)</f>
        <v>-0.50484075816083118</v>
      </c>
      <c r="H270" s="27" cm="1">
        <f t="array" ref="H270">TrajectoryToComeUp(H$247:H$250,$A270)</f>
        <v>-1.200488464218461</v>
      </c>
      <c r="I270" s="2" cm="1">
        <f t="array" ref="I270">EvaluatePolynomial(I$247:I$250,$A270)</f>
        <v>2137.207562289213</v>
      </c>
    </row>
    <row r="271" spans="1:9" x14ac:dyDescent="0.25">
      <c r="A271" s="1">
        <v>350</v>
      </c>
      <c r="B271" s="2" cm="1">
        <f t="array" ref="B271">TrajectoryToComeUp(B$247:B$250,$A271)</f>
        <v>0.75013603237036364</v>
      </c>
      <c r="C271" s="2" cm="1">
        <f t="array" ref="C271">TrajectoryToComeUp(C$247:C$250,$A271)</f>
        <v>1.0895680036828179</v>
      </c>
      <c r="D271" s="27" cm="1">
        <f t="array" ref="D271">TrajectoryToComeUp(D$247:D$250,$A271)</f>
        <v>1.0685221716859088</v>
      </c>
      <c r="E271" s="27" cm="1">
        <f t="array" ref="E271">TrajectoryToComeUp(E$247:E$250,$A271)</f>
        <v>0.7350587001015304</v>
      </c>
      <c r="F271" s="27" cm="1">
        <f t="array" ref="F271">TrajectoryToComeUp(F$247:F$250,$A271)</f>
        <v>0.32410453968117392</v>
      </c>
      <c r="G271" s="27" cm="1">
        <f t="array" ref="G271">TrajectoryToComeUp(G$247:G$250,$A271)</f>
        <v>-0.34749779867873165</v>
      </c>
      <c r="H271" s="27" cm="1">
        <f t="array" ref="H271">TrajectoryToComeUp(H$247:H$250,$A271)</f>
        <v>-1.0287038205676859</v>
      </c>
      <c r="I271" s="2" cm="1">
        <f t="array" ref="I271">EvaluatePolynomial(I$247:I$250,$A271)</f>
        <v>2061.486608696182</v>
      </c>
    </row>
    <row r="272" spans="1:9" x14ac:dyDescent="0.25">
      <c r="A272" s="1">
        <v>375</v>
      </c>
      <c r="B272" s="2" cm="1">
        <f t="array" ref="B272">TrajectoryToComeUp(B$247:B$250,$A272)</f>
        <v>0.94631927442444008</v>
      </c>
      <c r="C272" s="2" cm="1">
        <f t="array" ref="C272">TrajectoryToComeUp(C$247:C$250,$A272)</f>
        <v>1.2720383099599812</v>
      </c>
      <c r="D272" s="27" cm="1">
        <f t="array" ref="D272">TrajectoryToComeUp(D$247:D$250,$A272)</f>
        <v>1.2376171755836982</v>
      </c>
      <c r="E272" s="27" cm="1">
        <f t="array" ref="E272">TrajectoryToComeUp(E$247:E$250,$A272)</f>
        <v>0.92038304624041212</v>
      </c>
      <c r="F272" s="27" cm="1">
        <f t="array" ref="F272">TrajectoryToComeUp(F$247:F$250,$A272)</f>
        <v>0.48437046860929178</v>
      </c>
      <c r="G272" s="27" cm="1">
        <f t="array" ref="G272">TrajectoryToComeUp(G$247:G$250,$A272)</f>
        <v>-0.18570149800144642</v>
      </c>
      <c r="H272" s="27" cm="1">
        <f t="array" ref="H272">TrajectoryToComeUp(H$247:H$250,$A272)</f>
        <v>-0.85648533388610038</v>
      </c>
      <c r="I272" s="2" cm="1">
        <f t="array" ref="I272">EvaluatePolynomial(I$247:I$250,$A272)</f>
        <v>1987.7445757538371</v>
      </c>
    </row>
    <row r="273" spans="1:9" x14ac:dyDescent="0.25">
      <c r="A273" s="1">
        <v>400</v>
      </c>
      <c r="B273" s="2" cm="1">
        <f t="array" ref="B273">TrajectoryToComeUp(B$247:B$250,$A273)</f>
        <v>1.1538201739477261</v>
      </c>
      <c r="C273" s="2" cm="1">
        <f t="array" ref="C273">TrajectoryToComeUp(C$247:C$250,$A273)</f>
        <v>1.4651201417031043</v>
      </c>
      <c r="D273" s="27" cm="1">
        <f t="array" ref="D273">TrajectoryToComeUp(D$247:D$250,$A273)</f>
        <v>1.4102962829417955</v>
      </c>
      <c r="E273" s="27" cm="1">
        <f t="array" ref="E273">TrajectoryToComeUp(E$247:E$250,$A273)</f>
        <v>1.1179803119659202</v>
      </c>
      <c r="F273" s="27" cm="1">
        <f t="array" ref="F273">TrajectoryToComeUp(F$247:F$250,$A273)</f>
        <v>0.64879842044864977</v>
      </c>
      <c r="G273" s="27" cm="1">
        <f t="array" ref="G273">TrajectoryToComeUp(G$247:G$250,$A273)</f>
        <v>-1.9808204432759952E-2</v>
      </c>
      <c r="H273" s="27" cm="1">
        <f t="array" ref="H273">TrajectoryToComeUp(H$247:H$250,$A273)</f>
        <v>-0.68426734586999216</v>
      </c>
      <c r="I273" s="2" cm="1">
        <f t="array" ref="I273">EvaluatePolynomial(I$247:I$250,$A273)</f>
        <v>1915.8804732331726</v>
      </c>
    </row>
    <row r="274" spans="1:9" x14ac:dyDescent="0.25">
      <c r="A274" s="1">
        <v>425</v>
      </c>
      <c r="B274" s="2" cm="1">
        <f t="array" ref="B274">TrajectoryToComeUp(B$247:B$250,$A274)</f>
        <v>1.3724775753088323</v>
      </c>
      <c r="C274" s="2" cm="1">
        <f t="array" ref="C274">TrajectoryToComeUp(C$247:C$250,$A274)</f>
        <v>1.6686273249420844</v>
      </c>
      <c r="D274" s="27" cm="1">
        <f t="array" ref="D274">TrajectoryToComeUp(D$247:D$250,$A274)</f>
        <v>1.5862414589323237</v>
      </c>
      <c r="E274" s="27" cm="1">
        <f t="array" ref="E274">TrajectoryToComeUp(E$247:E$250,$A274)</f>
        <v>1.327686522833099</v>
      </c>
      <c r="F274" s="27" cm="1">
        <f t="array" ref="F274">TrajectoryToComeUp(F$247:F$250,$A274)</f>
        <v>0.8171165701133114</v>
      </c>
      <c r="G274" s="27" cm="1">
        <f t="array" ref="G274">TrajectoryToComeUp(G$247:G$250,$A274)</f>
        <v>0.14990958038325658</v>
      </c>
      <c r="H274" s="27" cm="1">
        <f t="array" ref="H274">TrajectoryToComeUp(H$247:H$250,$A274)</f>
        <v>-0.51238200016946178</v>
      </c>
      <c r="I274" s="2" cm="1">
        <f t="array" ref="I274">EvaluatePolynomial(I$247:I$250,$A274)</f>
        <v>1845.7933109051819</v>
      </c>
    </row>
    <row r="275" spans="1:9" x14ac:dyDescent="0.25">
      <c r="A275" s="1">
        <v>450</v>
      </c>
      <c r="B275" s="2" cm="1">
        <f t="array" ref="B275">TrajectoryToComeUp(B$247:B$250,$A275)</f>
        <v>1.6021661352388987</v>
      </c>
      <c r="C275" s="2" cm="1">
        <f t="array" ref="C275">TrajectoryToComeUp(C$247:C$250,$A275)</f>
        <v>1.8824150577001753</v>
      </c>
      <c r="D275" s="27" cm="1">
        <f t="array" ref="D275">TrajectoryToComeUp(D$247:D$250,$A275)</f>
        <v>1.7652053431336006</v>
      </c>
      <c r="E275" s="27" cm="1">
        <f t="array" ref="E275">TrajectoryToComeUp(E$247:E$250,$A275)</f>
        <v>1.5493741431625379</v>
      </c>
      <c r="F275" s="27" cm="1">
        <f t="array" ref="F275">TrajectoryToComeUp(F$247:F$250,$A275)</f>
        <v>0.98911349809199256</v>
      </c>
      <c r="G275" s="27" cm="1">
        <f t="array" ref="G275">TrajectoryToComeUp(G$247:G$250,$A275)</f>
        <v>0.323239910723437</v>
      </c>
      <c r="H275" s="27" cm="1">
        <f t="array" ref="H275">TrajectoryToComeUp(H$247:H$250,$A275)</f>
        <v>-0.34108763073458875</v>
      </c>
      <c r="I275" s="2" cm="1">
        <f t="array" ref="I275">EvaluatePolynomial(I$247:I$250,$A275)</f>
        <v>1777.3820985408588</v>
      </c>
    </row>
    <row r="276" spans="1:9" x14ac:dyDescent="0.25">
      <c r="A276" s="1">
        <v>475</v>
      </c>
      <c r="B276" s="2" cm="1">
        <f t="array" ref="B276">TrajectoryToComeUp(B$247:B$250,$A276)</f>
        <v>1.8427868985256683</v>
      </c>
      <c r="C276" s="2" cm="1">
        <f t="array" ref="C276">TrajectoryToComeUp(C$247:C$250,$A276)</f>
        <v>2.1063690226273133</v>
      </c>
      <c r="D276" s="27" cm="1">
        <f t="array" ref="D276">TrajectoryToComeUp(D$247:D$250,$A276)</f>
        <v>1.9469926510021938</v>
      </c>
      <c r="E276" s="27" cm="1">
        <f t="array" ref="E276">TrajectoryToComeUp(E$247:E$250,$A276)</f>
        <v>1.782942486891544</v>
      </c>
      <c r="F276" s="27" cm="1">
        <f t="array" ref="F276">TrajectoryToComeUp(F$247:F$250,$A276)</f>
        <v>1.1646222942442062</v>
      </c>
      <c r="G276" s="27" cm="1">
        <f t="array" ref="G276">TrajectoryToComeUp(G$247:G$250,$A276)</f>
        <v>0.50001546101686056</v>
      </c>
      <c r="H276" s="27" cm="1">
        <f t="array" ref="H276">TrajectoryToComeUp(H$247:H$250,$A276)</f>
        <v>-0.17058818542069915</v>
      </c>
      <c r="I276" s="2" cm="1">
        <f t="array" ref="I276">EvaluatePolynomial(I$247:I$250,$A276)</f>
        <v>1710.5458459111971</v>
      </c>
    </row>
    <row r="277" spans="1:9" x14ac:dyDescent="0.25">
      <c r="A277" s="10">
        <v>500</v>
      </c>
      <c r="B277" s="2" cm="1">
        <f t="array" ref="B277">TrajectoryToComeUp(B$247:B$250,$A277)</f>
        <v>2.0942607009993357</v>
      </c>
      <c r="C277" s="2" cm="1">
        <f t="array" ref="C277">TrajectoryToComeUp(C$247:C$250,$A277)</f>
        <v>2.3403977658434485</v>
      </c>
      <c r="D277" s="27" cm="1">
        <f t="array" ref="D277">TrajectoryToComeUp(D$247:D$250,$A277)</f>
        <v>2.1314471549033565</v>
      </c>
      <c r="E277" s="27" cm="1">
        <f t="array" ref="E277">TrajectoryToComeUp(E$247:E$250,$A277)</f>
        <v>2.028311005169964</v>
      </c>
      <c r="F277" s="27" cm="1">
        <f t="array" ref="F277">TrajectoryToComeUp(F$247:F$250,$A277)</f>
        <v>1.3435094304575628</v>
      </c>
      <c r="G277" s="27" cm="1">
        <f t="array" ref="G277">TrajectoryToComeUp(G$247:G$250,$A277)</f>
        <v>0.68010237080679081</v>
      </c>
      <c r="H277" s="27" cm="1">
        <f t="array" ref="H277">TrajectoryToComeUp(H$247:H$250,$A277)</f>
        <v>-1.046822512052299E-3</v>
      </c>
      <c r="I277" s="2" cm="1">
        <f t="array" ref="I277">EvaluatePolynomial(I$247:I$250,$A277)</f>
        <v>1645.1835627871908</v>
      </c>
    </row>
    <row r="278" spans="1:9" x14ac:dyDescent="0.25">
      <c r="A278" s="1">
        <v>525</v>
      </c>
      <c r="B278" s="34" cm="1">
        <f t="array" ref="B278">TrajectoryToComeUp(B$247:B$250,$A278)</f>
        <v>2.356523457379581</v>
      </c>
      <c r="C278" s="34" cm="1">
        <f t="array" ref="C278">TrajectoryToComeUp(C$247:C$250,$A278)</f>
        <v>2.5844272532552064</v>
      </c>
      <c r="D278" s="34" cm="1">
        <f t="array" ref="D278">TrajectoryToComeUp(D$247:D$250,$A278)</f>
        <v>2.318442384847057</v>
      </c>
      <c r="E278" s="34" cm="1">
        <f t="array" ref="E278">TrajectoryToComeUp(E$247:E$250,$A278)</f>
        <v>2.2854144917857679</v>
      </c>
      <c r="F278" s="34" cm="1">
        <f t="array" ref="F278">TrajectoryToComeUp(F$247:F$250,$A278)</f>
        <v>1.5256668125458428</v>
      </c>
      <c r="G278" s="34" cm="1">
        <f t="array" ref="G278">TrajectoryToComeUp(G$247:G$250,$A278)</f>
        <v>0.86339227686634545</v>
      </c>
      <c r="H278" s="34" cm="1">
        <f t="array" ref="H278">TrajectoryToComeUp(H$247:H$250,$A278)</f>
        <v>0.16740437747552084</v>
      </c>
      <c r="I278" s="2" cm="1">
        <f t="array" ref="I278">EvaluatePolynomial(I$247:I$250,$A278)</f>
        <v>1581.1942589398327</v>
      </c>
    </row>
    <row r="279" spans="1:9" x14ac:dyDescent="0.25">
      <c r="A279" s="1">
        <v>550</v>
      </c>
      <c r="B279" s="34" cm="1">
        <f t="array" ref="B279">TrajectoryToComeUp(B$247:B$250,$A279)</f>
        <v>2.6295227342552345</v>
      </c>
      <c r="C279" s="34" cm="1">
        <f t="array" ref="C279">TrajectoryToComeUp(C$247:C$250,$A279)</f>
        <v>2.8383969115134629</v>
      </c>
      <c r="D279" s="34" cm="1">
        <f t="array" ref="D279">TrajectoryToComeUp(D$247:D$250,$A279)</f>
        <v>2.5078748653869032</v>
      </c>
      <c r="E279" s="34" cm="1">
        <f t="array" ref="E279">TrajectoryToComeUp(E$247:E$250,$A279)</f>
        <v>2.5541995962018418</v>
      </c>
      <c r="F279" s="34" cm="1">
        <f t="array" ref="F279">TrajectoryToComeUp(F$247:F$250,$A279)</f>
        <v>1.7110059998112284</v>
      </c>
      <c r="G279" s="34" cm="1">
        <f t="array" ref="G279">TrajectoryToComeUp(G$247:G$250,$A279)</f>
        <v>1.0497965183735305</v>
      </c>
      <c r="H279" s="34" cm="1">
        <f t="array" ref="H279">TrajectoryToComeUp(H$247:H$250,$A279)</f>
        <v>0.33465734866543329</v>
      </c>
      <c r="I279" s="2" cm="1">
        <f t="array" ref="I279">EvaluatePolynomial(I$247:I$250,$A279)</f>
        <v>1518.476944140117</v>
      </c>
    </row>
    <row r="280" spans="1:9" x14ac:dyDescent="0.25">
      <c r="A280" s="1">
        <v>575</v>
      </c>
      <c r="B280" s="34" cm="1">
        <f t="array" ref="B280">TrajectoryToComeUp(B$247:B$250,$A280)</f>
        <v>2.9132152170692427</v>
      </c>
      <c r="C280" s="34" cm="1">
        <f t="array" ref="C280">TrajectoryToComeUp(C$247:C$250,$A280)</f>
        <v>3.1022567017645928</v>
      </c>
      <c r="D280" s="34" cm="1">
        <f t="array" ref="D280">TrajectoryToComeUp(D$247:D$250,$A280)</f>
        <v>2.6996591168063135</v>
      </c>
      <c r="E280" s="34" cm="1">
        <f t="array" ref="E280">TrajectoryToComeUp(E$247:E$250,$A280)</f>
        <v>2.8346222462353503</v>
      </c>
      <c r="F280" s="34" cm="1">
        <f t="array" ref="F280">TrajectoryToComeUp(F$247:F$250,$A280)</f>
        <v>1.8994539325468278</v>
      </c>
      <c r="G280" s="34" cm="1">
        <f t="array" ref="G280">TrajectoryToComeUp(G$247:G$250,$A280)</f>
        <v>1.2392418537797418</v>
      </c>
      <c r="H280" s="34" cm="1">
        <f t="array" ref="H280">TrajectoryToComeUp(H$247:H$250,$A280)</f>
        <v>0.50062281924658991</v>
      </c>
      <c r="I280" s="2" cm="1">
        <f t="array" ref="I280">EvaluatePolynomial(I$247:I$250,$A280)</f>
        <v>1456.9306281590377</v>
      </c>
    </row>
    <row r="281" spans="1:9" x14ac:dyDescent="0.25">
      <c r="A281" s="1">
        <v>600</v>
      </c>
      <c r="B281" s="34" cm="1">
        <f t="array" ref="B281">TrajectoryToComeUp(B$247:B$250,$A281)</f>
        <v>3.207564810357395</v>
      </c>
      <c r="C281" s="34" cm="1">
        <f t="array" ref="C281">TrajectoryToComeUp(C$247:C$250,$A281)</f>
        <v>3.375964924963911</v>
      </c>
      <c r="D281" s="34" cm="1">
        <f t="array" ref="D281">TrajectoryToComeUp(D$247:D$250,$A281)</f>
        <v>2.893723906008133</v>
      </c>
      <c r="E281" s="34" cm="1">
        <f t="array" ref="E281">TrajectoryToComeUp(E$247:E$250,$A281)</f>
        <v>3.1266457150672666</v>
      </c>
      <c r="F281" s="34" cm="1">
        <f t="array" ref="F281">TrajectoryToComeUp(F$247:F$250,$A281)</f>
        <v>2.0909497276635651</v>
      </c>
      <c r="G281" s="34" cm="1">
        <f t="array" ref="G281">TrajectoryToComeUp(G$247:G$250,$A281)</f>
        <v>1.4316672484611426</v>
      </c>
      <c r="H281" s="34" cm="1">
        <f t="array" ref="H281">TrajectoryToComeUp(H$247:H$250,$A281)</f>
        <v>0.66522639604307809</v>
      </c>
      <c r="I281" s="2" cm="1">
        <f t="array" ref="I281">EvaluatePolynomial(I$247:I$250,$A281)</f>
        <v>1396.4543207675883</v>
      </c>
    </row>
    <row r="282" spans="1:9" x14ac:dyDescent="0.25">
      <c r="A282" s="1">
        <v>625</v>
      </c>
      <c r="B282" s="34" cm="1">
        <f t="array" ref="B282">TrajectoryToComeUp(B$247:B$250,$A282)</f>
        <v>3.5125411939297519</v>
      </c>
      <c r="C282" s="34" cm="1">
        <f t="array" ref="C282">TrajectoryToComeUp(C$247:C$250,$A282)</f>
        <v>3.6594865539138781</v>
      </c>
      <c r="D282" s="34" cm="1">
        <f t="array" ref="D282">TrajectoryToComeUp(D$247:D$250,$A282)</f>
        <v>3.0900093971907561</v>
      </c>
      <c r="E282" s="34" cm="1">
        <f t="array" ref="E282">TrajectoryToComeUp(E$247:E$250,$A282)</f>
        <v>3.4302391521696052</v>
      </c>
      <c r="F282" s="34" cm="1">
        <f t="array" ref="F282">TrajectoryToComeUp(F$247:F$250,$A282)</f>
        <v>2.2854422433666155</v>
      </c>
      <c r="G282" s="34" cm="1">
        <f t="array" ref="G282">TrajectoryToComeUp(G$247:G$250,$A282)</f>
        <v>1.6270214333337101</v>
      </c>
      <c r="H282" s="34" cm="1">
        <f t="array" ref="H282">TrajectoryToComeUp(H$247:H$250,$A282)</f>
        <v>0.82840558878713311</v>
      </c>
      <c r="I282" s="2" cm="1">
        <f t="array" ref="I282">EvaluatePolynomial(I$247:I$250,$A282)</f>
        <v>1336.9470317367623</v>
      </c>
    </row>
    <row r="283" spans="1:9" x14ac:dyDescent="0.25">
      <c r="A283" s="1">
        <v>650</v>
      </c>
      <c r="B283" s="34" cm="1">
        <f t="array" ref="B283">TrajectoryToComeUp(B$247:B$250,$A283)</f>
        <v>3.8281187122409843</v>
      </c>
      <c r="C283" s="34" cm="1">
        <f t="array" ref="C283">TrajectoryToComeUp(C$247:C$250,$A283)</f>
        <v>3.9527919502165787</v>
      </c>
      <c r="D283" s="34" cm="1">
        <f t="array" ref="D283">TrajectoryToComeUp(D$247:D$250,$A283)</f>
        <v>3.2884649600605114</v>
      </c>
      <c r="E283" s="34" cm="1">
        <f t="array" ref="E283">TrajectoryToComeUp(E$247:E$250,$A283)</f>
        <v>3.7453764532494569</v>
      </c>
      <c r="F283" s="34" cm="1">
        <f t="array" ref="F283">TrajectoryToComeUp(F$247:F$250,$A283)</f>
        <v>2.4828882058295898</v>
      </c>
      <c r="G283" s="34" cm="1">
        <f t="array" ref="G283">TrajectoryToComeUp(G$247:G$250,$A283)</f>
        <v>1.8252610268648097</v>
      </c>
      <c r="H283" s="34" cm="1">
        <f t="array" ref="H283">TrajectoryToComeUp(H$247:H$250,$A283)</f>
        <v>0.99010752109833655</v>
      </c>
      <c r="I283" s="2" cm="1">
        <f t="array" ref="I283">EvaluatePolynomial(I$247:I$250,$A283)</f>
        <v>1278.3077708375536</v>
      </c>
    </row>
    <row r="284" spans="1:9" x14ac:dyDescent="0.25">
      <c r="A284" s="1">
        <v>675</v>
      </c>
      <c r="B284" s="34" cm="1">
        <f t="array" ref="B284">TrajectoryToComeUp(B$247:B$250,$A284)</f>
        <v>4.1542755105672891</v>
      </c>
      <c r="C284" s="34" cm="1">
        <f t="array" ref="C284">TrajectoryToComeUp(C$247:C$250,$A284)</f>
        <v>4.2558558663478623</v>
      </c>
      <c r="D284" s="34" cm="1">
        <f t="array" ref="D284">TrajectoryToComeUp(D$247:D$250,$A284)</f>
        <v>3.4890474651079795</v>
      </c>
      <c r="E284" s="34" cm="1">
        <f t="array" ref="E284">TrajectoryToComeUp(E$247:E$250,$A284)</f>
        <v>4.0720353813165655</v>
      </c>
      <c r="F284" s="34" cm="1">
        <f t="array" ref="F284">TrajectoryToComeUp(F$247:F$250,$A284)</f>
        <v>2.6832507521633397</v>
      </c>
      <c r="G284" s="34" cm="1">
        <f t="array" ref="G284">TrajectoryToComeUp(G$247:G$250,$A284)</f>
        <v>2.0263490744155304</v>
      </c>
      <c r="H284" s="34" cm="1">
        <f t="array" ref="H284">TrajectoryToComeUp(H$247:H$250,$A284)</f>
        <v>1.1502871501341099</v>
      </c>
      <c r="I284" s="2" cm="1">
        <f t="array" ref="I284">EvaluatePolynomial(I$247:I$250,$A284)</f>
        <v>1220.4355478409559</v>
      </c>
    </row>
    <row r="285" spans="1:9" x14ac:dyDescent="0.25">
      <c r="A285" s="1">
        <v>700</v>
      </c>
      <c r="B285" s="34" cm="1">
        <f t="array" ref="B285">TrajectoryToComeUp(B$247:B$250,$A285)</f>
        <v>4.4909928562882664</v>
      </c>
      <c r="C285" s="34" cm="1">
        <f t="array" ref="C285">TrajectoryToComeUp(C$247:C$250,$A285)</f>
        <v>4.5686566615727431</v>
      </c>
      <c r="D285" s="34" cm="1">
        <f t="array" ref="D285">TrajectoryToComeUp(D$247:D$250,$A285)</f>
        <v>3.6917199441822262</v>
      </c>
      <c r="E285" s="34" cm="1">
        <f t="array" ref="E285">TrajectoryToComeUp(E$247:E$250,$A285)</f>
        <v>4.410196876093571</v>
      </c>
      <c r="F285" s="34" cm="1">
        <f t="array" ref="F285">TrajectoryToComeUp(F$247:F$250,$A285)</f>
        <v>2.8864982856057404</v>
      </c>
      <c r="G285" s="34" cm="1">
        <f t="array" ref="G285">TrajectoryToComeUp(G$247:G$250,$A285)</f>
        <v>2.2302539005810909</v>
      </c>
      <c r="H285" s="34" cm="1">
        <f t="array" ref="H285">TrajectoryToComeUp(H$247:H$250,$A285)</f>
        <v>1.3089058677436736</v>
      </c>
      <c r="I285" s="2" cm="1">
        <f t="array" ref="I285">EvaluatePolynomial(I$247:I$250,$A285)</f>
        <v>1163.2293725179627</v>
      </c>
    </row>
    <row r="286" spans="1:9" x14ac:dyDescent="0.25">
      <c r="A286" s="1">
        <v>725</v>
      </c>
      <c r="B286" s="34" cm="1">
        <f t="array" ref="B286">TrajectoryToComeUp(B$247:B$250,$A286)</f>
        <v>4.8382546005932259</v>
      </c>
      <c r="C286" s="34" cm="1">
        <f t="array" ref="C286">TrajectoryToComeUp(C$247:C$250,$A286)</f>
        <v>4.8911756800851984</v>
      </c>
      <c r="D286" s="34" cm="1">
        <f t="array" ref="D286">TrajectoryToComeUp(D$247:D$250,$A286)</f>
        <v>3.8964505281876201</v>
      </c>
      <c r="E286" s="34" cm="1">
        <f t="array" ref="E286">TrajectoryToComeUp(E$247:E$250,$A286)</f>
        <v>4.7598445063068819</v>
      </c>
      <c r="F286" s="34" cm="1">
        <f t="array" ref="F286">TrajectoryToComeUp(F$247:F$250,$A286)</f>
        <v>3.0926035675687529</v>
      </c>
      <c r="G286" s="34" cm="1">
        <f t="array" ref="G286">TrajectoryToComeUp(G$247:G$250,$A286)</f>
        <v>2.4369481989780599</v>
      </c>
      <c r="H286" s="34" cm="1">
        <f t="array" ref="H286">TrajectoryToComeUp(H$247:H$250,$A286)</f>
        <v>1.4659303910384227</v>
      </c>
      <c r="I286" s="2" cm="1">
        <f t="array" ref="I286">EvaluatePolynomial(I$247:I$250,$A286)</f>
        <v>1106.588254639568</v>
      </c>
    </row>
    <row r="287" spans="1:9" x14ac:dyDescent="0.25">
      <c r="A287" s="1">
        <v>750</v>
      </c>
      <c r="B287" s="34" cm="1">
        <f t="array" ref="B287">TrajectoryToComeUp(B$247:B$250,$A287)</f>
        <v>5.1960467478462347</v>
      </c>
      <c r="C287" s="34" cm="1">
        <f t="array" ref="C287">TrajectoryToComeUp(C$247:C$250,$A287)</f>
        <v>5.2233967535200074</v>
      </c>
      <c r="D287" s="34" cm="1">
        <f t="array" ref="D287">TrajectoryToComeUp(D$247:D$250,$A287)</f>
        <v>4.1032115972412821</v>
      </c>
      <c r="E287" s="34" cm="1">
        <f t="array" ref="E287">TrajectoryToComeUp(E$247:E$250,$A287)</f>
        <v>5.1209640315193896</v>
      </c>
      <c r="F287" s="34" cm="1">
        <f t="array" ref="F287">TrajectoryToComeUp(F$247:F$250,$A287)</f>
        <v>3.3015429912760745</v>
      </c>
      <c r="G287" s="34" cm="1">
        <f t="array" ref="G287">TrajectoryToComeUp(G$247:G$250,$A287)</f>
        <v>2.64640830407413</v>
      </c>
      <c r="H287" s="34" cm="1">
        <f t="array" ref="H287">TrajectoryToComeUp(H$247:H$250,$A287)</f>
        <v>1.6213318748482324</v>
      </c>
      <c r="I287" s="2" cm="1">
        <f t="array" ref="I287">EvaluatePolynomial(I$247:I$250,$A287)</f>
        <v>1050.4112039767656</v>
      </c>
    </row>
    <row r="288" spans="1:9" x14ac:dyDescent="0.25">
      <c r="A288" s="1">
        <v>775</v>
      </c>
      <c r="B288" s="34" cm="1">
        <f t="array" ref="B288">TrajectoryToComeUp(B$247:B$250,$A288)</f>
        <v>5.5643571082998697</v>
      </c>
      <c r="C288" s="34" cm="1">
        <f t="array" ref="C288">TrajectoryToComeUp(C$247:C$250,$A288)</f>
        <v>5.5653057997526254</v>
      </c>
      <c r="D288" s="34" cm="1">
        <f t="array" ref="D288">TrajectoryToComeUp(D$247:D$250,$A288)</f>
        <v>4.3119790953161852</v>
      </c>
      <c r="E288" s="34" cm="1">
        <f t="array" ref="E288">TrajectoryToComeUp(E$247:E$250,$A288)</f>
        <v>5.4935430487697401</v>
      </c>
      <c r="F288" s="34" cm="1">
        <f t="array" ref="F288">TrajectoryToComeUp(F$247:F$250,$A288)</f>
        <v>3.5132959959870562</v>
      </c>
      <c r="G288" s="34" cm="1">
        <f t="array" ref="G288">TrajectoryToComeUp(G$247:G$250,$A288)</f>
        <v>2.8586136039540642</v>
      </c>
      <c r="H288" s="34" cm="1">
        <f t="array" ref="H288">TrajectoryToComeUp(H$247:H$250,$A288)</f>
        <v>1.7750851959604157</v>
      </c>
      <c r="I288" s="2" cm="1">
        <f t="array" ref="I288">EvaluatePolynomial(I$247:I$250,$A288)</f>
        <v>994.59723030054863</v>
      </c>
    </row>
    <row r="289" spans="1:9" x14ac:dyDescent="0.25">
      <c r="A289" s="1">
        <v>800</v>
      </c>
      <c r="B289" s="34" cm="1">
        <f t="array" ref="B289">TrajectoryToComeUp(B$247:B$250,$A289)</f>
        <v>5.9431750159251315</v>
      </c>
      <c r="C289" s="34" cm="1">
        <f t="array" ref="C289">TrajectoryToComeUp(C$247:C$250,$A289)</f>
        <v>5.916890496924073</v>
      </c>
      <c r="D289" s="34" cm="1">
        <f t="array" ref="D289">TrajectoryToComeUp(D$247:D$250,$A289)</f>
        <v>4.5227319733886837</v>
      </c>
      <c r="E289" s="34" cm="1">
        <f t="array" ref="E289">TrajectoryToComeUp(E$247:E$250,$A289)</f>
        <v>5.8775707054667503</v>
      </c>
      <c r="F289" s="34" cm="1">
        <f t="array" ref="F289">TrajectoryToComeUp(F$247:F$250,$A289)</f>
        <v>3.727844591053632</v>
      </c>
      <c r="G289" s="34" cm="1">
        <f t="array" ref="G289">TrajectoryToComeUp(G$247:G$250,$A289)</f>
        <v>3.0735460631920333</v>
      </c>
      <c r="H289" s="34" cm="1">
        <f t="array" ref="H289">TrajectoryToComeUp(H$247:H$250,$A289)</f>
        <v>1.9271683715638688</v>
      </c>
      <c r="I289" s="2" cm="1">
        <f t="array" ref="I289">EvaluatePolynomial(I$247:I$250,$A289)</f>
        <v>939.04534338191161</v>
      </c>
    </row>
    <row r="290" spans="1:9" x14ac:dyDescent="0.25">
      <c r="A290" s="1">
        <v>825</v>
      </c>
      <c r="B290" s="34" cm="1">
        <f t="array" ref="B290">TrajectoryToComeUp(B$247:B$250,$A290)</f>
        <v>6.3324910975450299</v>
      </c>
      <c r="C290" s="34" cm="1">
        <f t="array" ref="C290">TrajectoryToComeUp(C$247:C$250,$A290)</f>
        <v>6.2781400167340387</v>
      </c>
      <c r="D290" s="34" cm="1">
        <f t="array" ref="D290">TrajectoryToComeUp(D$247:D$250,$A290)</f>
        <v>4.7354517338319351</v>
      </c>
      <c r="E290" s="34" cm="1">
        <f t="array" ref="E290">TrajectoryToComeUp(E$247:E$250,$A290)</f>
        <v>6.2730374644848306</v>
      </c>
      <c r="F290" s="34" cm="1">
        <f t="array" ref="F290">TrajectoryToComeUp(F$247:F$250,$A290)</f>
        <v>3.9451729665123461</v>
      </c>
      <c r="G290" s="34" cm="1">
        <f t="array" ref="G290">TrajectoryToComeUp(G$247:G$250,$A290)</f>
        <v>3.2911898324744269</v>
      </c>
      <c r="H290" s="34" cm="1">
        <f t="array" ref="H290">TrajectoryToComeUp(H$247:H$250,$A290)</f>
        <v>2.0775620834306552</v>
      </c>
      <c r="I290" s="2" cm="1">
        <f t="array" ref="I290">EvaluatePolynomial(I$247:I$250,$A290)</f>
        <v>883.65455299184771</v>
      </c>
    </row>
    <row r="291" spans="1:9" x14ac:dyDescent="0.25">
      <c r="A291" s="1">
        <v>850</v>
      </c>
      <c r="B291" s="34" cm="1">
        <f t="array" ref="B291">TrajectoryToComeUp(B$247:B$250,$A291)</f>
        <v>6.7322970827092661</v>
      </c>
      <c r="C291" s="34" cm="1">
        <f t="array" ref="C291">TrajectoryToComeUp(C$247:C$250,$A291)</f>
        <v>6.6490448047998898</v>
      </c>
      <c r="D291" s="34" cm="1">
        <f t="array" ref="D291">TrajectoryToComeUp(D$247:D$250,$A291)</f>
        <v>4.9501220552104916</v>
      </c>
      <c r="E291" s="34" cm="1">
        <f t="array" ref="E291">TrajectoryToComeUp(E$247:E$250,$A291)</f>
        <v>6.6799349107131736</v>
      </c>
      <c r="F291" s="34" cm="1">
        <f t="array" ref="F291">TrajectoryToComeUp(F$247:F$250,$A291)</f>
        <v>4.1652671723954455</v>
      </c>
      <c r="G291" s="34" cm="1">
        <f t="array" ref="G291">TrajectoryToComeUp(G$247:G$250,$A291)</f>
        <v>3.5115309271127657</v>
      </c>
      <c r="H291" s="34" cm="1">
        <f t="array" ref="H291">TrajectoryToComeUp(H$247:H$250,$A291)</f>
        <v>2.2262492860655341</v>
      </c>
      <c r="I291" s="2" cm="1">
        <f t="array" ref="I291">EvaluatePolynomial(I$247:I$250,$A291)</f>
        <v>828.32386890135047</v>
      </c>
    </row>
    <row r="292" spans="1:9" x14ac:dyDescent="0.25">
      <c r="A292" s="1">
        <v>875</v>
      </c>
      <c r="B292" s="34" cm="1">
        <f t="array" ref="B292">TrajectoryToComeUp(B$247:B$250,$A292)</f>
        <v>7.142585646161872</v>
      </c>
      <c r="C292" s="34" cm="1">
        <f t="array" ref="C292">TrajectoryToComeUp(C$247:C$250,$A292)</f>
        <v>7.0295963986684429</v>
      </c>
      <c r="D292" s="34" cm="1">
        <f t="array" ref="D292">TrajectoryToComeUp(D$247:D$250,$A292)</f>
        <v>5.1667284813958148</v>
      </c>
      <c r="E292" s="34" cm="1">
        <f t="array" ref="E292">TrajectoryToComeUp(E$247:E$250,$A292)</f>
        <v>7.0982555907679137</v>
      </c>
      <c r="F292" s="34" cm="1">
        <f t="array" ref="F292">TrajectoryToComeUp(F$247:F$250,$A292)</f>
        <v>4.3881148530172078</v>
      </c>
      <c r="G292" s="34" cm="1">
        <f t="array" ref="G292">TrajectoryToComeUp(G$247:G$250,$A292)</f>
        <v>3.734556960668685</v>
      </c>
      <c r="H292" s="34" cm="1">
        <f t="array" ref="H292">TrajectoryToComeUp(H$247:H$250,$A292)</f>
        <v>2.3732148820298633</v>
      </c>
      <c r="I292" s="2" cm="1">
        <f t="array" ref="I292">EvaluatePolynomial(I$247:I$250,$A292)</f>
        <v>772.95230088141386</v>
      </c>
    </row>
    <row r="293" spans="1:9" x14ac:dyDescent="0.25">
      <c r="A293" s="1">
        <v>900</v>
      </c>
      <c r="B293" s="34" cm="1">
        <f t="array" ref="B293">TrajectoryToComeUp(B$247:B$250,$A293)</f>
        <v>7.5633502765642051</v>
      </c>
      <c r="C293" s="34" cm="1">
        <f t="array" ref="C293">TrajectoryToComeUp(C$247:C$250,$A293)</f>
        <v>7.4197872761590844</v>
      </c>
      <c r="D293" s="34" cm="1">
        <f t="array" ref="D293">TrajectoryToComeUp(D$247:D$250,$A293)</f>
        <v>5.3852581624958678</v>
      </c>
      <c r="E293" s="34" cm="1">
        <f t="array" ref="E293">TrajectoryToComeUp(E$247:E$250,$A293)</f>
        <v>7.5279928794189548</v>
      </c>
      <c r="F293" s="34" cm="1">
        <f t="array" ref="F293">TrajectoryToComeUp(F$247:F$250,$A293)</f>
        <v>4.6137050255458725</v>
      </c>
      <c r="G293" s="34" cm="1">
        <f t="array" ref="G293">TrajectoryToComeUp(G$247:G$250,$A293)</f>
        <v>3.9602569229747457</v>
      </c>
      <c r="H293" s="34" cm="1">
        <f t="array" ref="H293">TrajectoryToComeUp(H$247:H$250,$A293)</f>
        <v>2.5184454513781862</v>
      </c>
      <c r="I293" s="2" cm="1">
        <f t="array" ref="I293">EvaluatePolynomial(I$247:I$250,$A293)</f>
        <v>717.43885870303188</v>
      </c>
    </row>
    <row r="294" spans="1:9" x14ac:dyDescent="0.25">
      <c r="A294" s="1">
        <v>925</v>
      </c>
      <c r="B294" s="34" cm="1">
        <f t="array" ref="B294">TrajectoryToComeUp(B$247:B$250,$A294)</f>
        <v>7.9945851665061234</v>
      </c>
      <c r="C294" s="34" cm="1">
        <f t="array" ref="C294">TrajectoryToComeUp(C$247:C$250,$A294)</f>
        <v>7.8196107282999208</v>
      </c>
      <c r="D294" s="34" cm="1">
        <f t="array" ref="D294">TrajectoryToComeUp(D$247:D$250,$A294)</f>
        <v>5.6056996377961319</v>
      </c>
      <c r="E294" s="34" cm="1">
        <f t="array" ref="E294">TrajectoryToComeUp(E$247:E$250,$A294)</f>
        <v>7.9691408676772877</v>
      </c>
      <c r="F294" s="34" cm="1">
        <f t="array" ref="F294">TrajectoryToComeUp(F$247:F$250,$A294)</f>
        <v>4.8420278944828556</v>
      </c>
      <c r="G294" s="34" cm="1">
        <f t="array" ref="G294">TrajectoryToComeUp(G$247:G$250,$A294)</f>
        <v>4.1886209941518828</v>
      </c>
      <c r="H294" s="34" cm="1">
        <f t="array" ref="H294">TrajectoryToComeUp(H$247:H$250,$A294)</f>
        <v>2.6619290249699579</v>
      </c>
      <c r="I294" s="2" cm="1">
        <f t="array" ref="I294">EvaluatePolynomial(I$247:I$250,$A294)</f>
        <v>661.68255213719794</v>
      </c>
    </row>
    <row r="295" spans="1:9" x14ac:dyDescent="0.25">
      <c r="A295" s="1">
        <v>950</v>
      </c>
      <c r="B295" s="34" cm="1">
        <f t="array" ref="B295">TrajectoryToComeUp(B$247:B$250,$A295)</f>
        <v>8.4362851198838218</v>
      </c>
      <c r="C295" s="34" cm="1">
        <f t="array" ref="C295">TrajectoryToComeUp(C$247:C$250,$A295)</f>
        <v>8.2290607523266228</v>
      </c>
      <c r="D295" s="34" cm="1">
        <f t="array" ref="D295">TrajectoryToComeUp(D$247:D$250,$A295)</f>
        <v>5.8280426529730915</v>
      </c>
      <c r="E295" s="34" cm="1">
        <f t="array" ref="E295">TrajectoryToComeUp(E$247:E$250,$A295)</f>
        <v>8.4216942685527485</v>
      </c>
      <c r="F295" s="34" cm="1">
        <f t="array" ref="F295">TrajectoryToComeUp(F$247:F$250,$A295)</f>
        <v>5.0730746954346735</v>
      </c>
      <c r="G295" s="34" cm="1">
        <f t="array" ref="G295">TrajectoryToComeUp(G$247:G$250,$A295)</f>
        <v>4.4196403879925112</v>
      </c>
      <c r="H295" s="34" cm="1">
        <f t="array" ref="H295">TrajectoryToComeUp(H$247:H$250,$A295)</f>
        <v>2.8036548935741639</v>
      </c>
      <c r="I295" s="2" cm="1">
        <f t="array" ref="I295">EvaluatePolynomial(I$247:I$250,$A295)</f>
        <v>605.58239095490558</v>
      </c>
    </row>
    <row r="296" spans="1:9" x14ac:dyDescent="0.25">
      <c r="A296" s="1">
        <v>975</v>
      </c>
      <c r="B296" s="34" cm="1">
        <f t="array" ref="B296">TrajectoryToComeUp(B$247:B$250,$A296)</f>
        <v>8.8884454735272076</v>
      </c>
      <c r="C296" s="34" cm="1">
        <f t="array" ref="C296">TrajectoryToComeUp(C$247:C$250,$A296)</f>
        <v>8.648131961143001</v>
      </c>
      <c r="D296" s="34" cm="1">
        <f t="array" ref="D296">TrajectoryToComeUp(D$247:D$250,$A296)</f>
        <v>6.05227800542872</v>
      </c>
      <c r="E296" s="34" cm="1">
        <f t="array" ref="E296">TrajectoryToComeUp(E$247:E$250,$A296)</f>
        <v>8.8856483373105757</v>
      </c>
      <c r="F296" s="34" cm="1">
        <f t="array" ref="F296">TrajectoryToComeUp(F$247:F$250,$A296)</f>
        <v>5.3068375629200011</v>
      </c>
      <c r="G296" s="34" cm="1">
        <f t="array" ref="G296">TrajectoryToComeUp(G$247:G$250,$A296)</f>
        <v>4.6533072194385419</v>
      </c>
      <c r="H296" s="34" cm="1">
        <f t="array" ref="H296">TrajectoryToComeUp(H$247:H$250,$A296)</f>
        <v>2.9436134463424612</v>
      </c>
      <c r="I296" s="2" cm="1">
        <f t="array" ref="I296">EvaluatePolynomial(I$247:I$250,$A296)</f>
        <v>549.03738492714922</v>
      </c>
    </row>
    <row r="297" spans="1:9" x14ac:dyDescent="0.25">
      <c r="A297" s="1">
        <v>1000</v>
      </c>
      <c r="B297" s="34" cm="1">
        <f t="array" ref="B297">TrajectoryToComeUp(B$247:B$250,$A297)</f>
        <v>9.3510620305832077</v>
      </c>
      <c r="C297" s="34" cm="1">
        <f t="array" ref="C297">TrajectoryToComeUp(C$247:C$250,$A297)</f>
        <v>9.0768195063624812</v>
      </c>
      <c r="D297" s="34" cm="1">
        <f t="array" ref="D297">TrajectoryToComeUp(D$247:D$250,$A297)</f>
        <v>6.278397412824793</v>
      </c>
      <c r="E297" s="34" cm="1">
        <f t="array" ref="E297">TrajectoryToComeUp(E$247:E$250,$A297)</f>
        <v>9.3609988036894762</v>
      </c>
      <c r="F297" s="34" cm="1">
        <f t="array" ref="F297">TrajectoryToComeUp(F$247:F$250,$A297)</f>
        <v>5.5433094180056468</v>
      </c>
      <c r="G297" s="34" cm="1">
        <f t="array" ref="G297">TrajectoryToComeUp(G$247:G$250,$A297)</f>
        <v>4.8896143919376946</v>
      </c>
      <c r="H297" s="34" cm="1">
        <f t="array" ref="H297">TrajectoryToComeUp(H$247:H$250,$A297)</f>
        <v>3.081796033511337</v>
      </c>
      <c r="I297" s="2" cm="1">
        <f t="array" ref="I297">EvaluatePolynomial(I$247:I$250,$A297)</f>
        <v>491.94654382492132</v>
      </c>
    </row>
  </sheetData>
  <mergeCells count="3">
    <mergeCell ref="C20:G20"/>
    <mergeCell ref="J20:N20"/>
    <mergeCell ref="F1:H1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0C5AE-F2EB-4E88-B0CE-907CE7A04FDE}">
  <sheetPr codeName="Sheet3"/>
  <dimension ref="A1:S297"/>
  <sheetViews>
    <sheetView workbookViewId="0">
      <selection activeCell="E19" sqref="E19"/>
    </sheetView>
  </sheetViews>
  <sheetFormatPr defaultRowHeight="15" x14ac:dyDescent="0.25"/>
  <cols>
    <col min="1" max="1" width="39.140625" customWidth="1"/>
    <col min="2" max="2" width="32.85546875" customWidth="1"/>
    <col min="3" max="3" width="21.5703125" customWidth="1"/>
    <col min="4" max="4" width="16.42578125" customWidth="1"/>
    <col min="5" max="5" width="15.140625" customWidth="1"/>
    <col min="6" max="6" width="25.8554687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17" x14ac:dyDescent="0.25">
      <c r="A1" s="25" t="s">
        <v>18</v>
      </c>
      <c r="B1" t="s">
        <v>40</v>
      </c>
      <c r="C1" t="s">
        <v>39</v>
      </c>
      <c r="D1" t="s">
        <v>38</v>
      </c>
      <c r="F1" s="46" t="s">
        <v>65</v>
      </c>
      <c r="G1" s="46"/>
      <c r="H1" s="46"/>
    </row>
    <row r="2" spans="1:17" x14ac:dyDescent="0.25">
      <c r="A2" s="25" t="s">
        <v>20</v>
      </c>
      <c r="B2" s="2">
        <v>130</v>
      </c>
      <c r="C2" s="2">
        <f>CONVERT($B$2,"grain","g")</f>
        <v>8.4238583000000009</v>
      </c>
      <c r="F2" t="s">
        <v>66</v>
      </c>
      <c r="G2">
        <v>130</v>
      </c>
      <c r="H2" s="2">
        <f>CONVERT($G$2,"grain","g")</f>
        <v>8.4238583000000009</v>
      </c>
    </row>
    <row r="3" spans="1:17" x14ac:dyDescent="0.25">
      <c r="A3" s="25" t="s">
        <v>0</v>
      </c>
      <c r="B3" s="2">
        <v>0.27700000000000002</v>
      </c>
      <c r="C3" s="2">
        <f>CONVERT($B$3,"in","mm")</f>
        <v>7.0358000000000001</v>
      </c>
      <c r="F3" t="s">
        <v>67</v>
      </c>
      <c r="G3">
        <v>0.27700000000000002</v>
      </c>
      <c r="H3" s="2">
        <f>CONVERT($G$3,"in","mm")</f>
        <v>7.0358000000000001</v>
      </c>
    </row>
    <row r="4" spans="1:17" x14ac:dyDescent="0.25">
      <c r="A4" s="25" t="s">
        <v>11</v>
      </c>
      <c r="B4" s="2">
        <v>0.374</v>
      </c>
      <c r="C4" s="2"/>
      <c r="F4" t="s">
        <v>11</v>
      </c>
      <c r="G4" t="s">
        <v>70</v>
      </c>
      <c r="H4" s="2"/>
    </row>
    <row r="5" spans="1:17" x14ac:dyDescent="0.25">
      <c r="A5" s="25" t="s">
        <v>21</v>
      </c>
      <c r="B5" s="2">
        <v>0.374</v>
      </c>
      <c r="C5" s="2"/>
      <c r="F5" t="s">
        <v>21</v>
      </c>
      <c r="G5">
        <v>0.374</v>
      </c>
      <c r="H5" s="2"/>
    </row>
    <row r="6" spans="1:17" x14ac:dyDescent="0.25">
      <c r="A6" s="25" t="s">
        <v>22</v>
      </c>
      <c r="B6" s="2">
        <v>3664</v>
      </c>
      <c r="C6" s="2">
        <f>CONVERT($B$6,"J","flb")</f>
        <v>2702.4277149519003</v>
      </c>
      <c r="F6" t="s">
        <v>68</v>
      </c>
      <c r="G6" s="2" cm="1">
        <f t="array" ref="G6">MuzzleVelocityToMuzzleEnergyFtLb(G7,G2)</f>
        <v>2702.4175752459519</v>
      </c>
      <c r="H6" s="2" cm="1">
        <f t="array" ref="H6">MuzzleVelocityToMuzzleEnergyJoules(H7,H2)</f>
        <v>3663.9862524046848</v>
      </c>
    </row>
    <row r="7" spans="1:17" x14ac:dyDescent="0.25">
      <c r="A7" s="25" t="s">
        <v>19</v>
      </c>
      <c r="B7" s="2" cm="1">
        <f t="array" ref="B7">MuzzleEnergyToMuzzleVelocityMPS(B6,C2)</f>
        <v>932.68974976163508</v>
      </c>
      <c r="C7" s="2" cm="1">
        <f t="array" ref="C7">MuzzleEnergyToMuzzleVelocityFPS(C6,B2)</f>
        <v>3060.0057406877795</v>
      </c>
      <c r="F7" t="s">
        <v>69</v>
      </c>
      <c r="G7">
        <v>3060</v>
      </c>
      <c r="H7" s="2">
        <f>CONVERT($G$7,"ft","m")</f>
        <v>932.68799999999999</v>
      </c>
    </row>
    <row r="8" spans="1:17" x14ac:dyDescent="0.25">
      <c r="A8" s="25" t="s">
        <v>1</v>
      </c>
      <c r="B8" s="2">
        <v>0</v>
      </c>
      <c r="C8" s="2"/>
    </row>
    <row r="9" spans="1:17" x14ac:dyDescent="0.25">
      <c r="A9" s="25" t="s">
        <v>2</v>
      </c>
      <c r="B9" s="2">
        <v>14</v>
      </c>
      <c r="C9" s="2">
        <f>CONVERT($B$9,"m/sec","km/hr")</f>
        <v>50.4</v>
      </c>
    </row>
    <row r="10" spans="1:17" x14ac:dyDescent="0.25">
      <c r="A10" s="25" t="s">
        <v>3</v>
      </c>
      <c r="B10" s="2">
        <v>90</v>
      </c>
      <c r="C10" s="2"/>
    </row>
    <row r="11" spans="1:17" x14ac:dyDescent="0.25">
      <c r="A11" s="25" t="s">
        <v>43</v>
      </c>
      <c r="B11" s="2">
        <v>0.5</v>
      </c>
      <c r="C11" s="26"/>
      <c r="Q11" s="25"/>
    </row>
    <row r="12" spans="1:17" x14ac:dyDescent="0.25">
      <c r="A12" s="25" t="s">
        <v>44</v>
      </c>
      <c r="B12" s="2" cm="1">
        <f t="array" ref="B12">MOAToMRAD($B$11)</f>
        <v>0.14544410433286079</v>
      </c>
      <c r="C12" s="26">
        <f>$B$12/2</f>
        <v>7.2722052166430393E-2</v>
      </c>
      <c r="Q12" s="25"/>
    </row>
    <row r="13" spans="1:17" x14ac:dyDescent="0.25">
      <c r="A13" s="25" t="s">
        <v>26</v>
      </c>
      <c r="B13" s="2">
        <f>CONVERT(1.5,"in","cm")</f>
        <v>3.81</v>
      </c>
      <c r="D13" s="2">
        <f>CONVERT($B$13,"cm","in")</f>
        <v>1.5</v>
      </c>
      <c r="Q13" s="25"/>
    </row>
    <row r="14" spans="1:17" x14ac:dyDescent="0.25">
      <c r="A14" s="25" t="s">
        <v>5</v>
      </c>
      <c r="B14" t="s">
        <v>45</v>
      </c>
      <c r="Q14" s="25"/>
    </row>
    <row r="15" spans="1:17" x14ac:dyDescent="0.25">
      <c r="A15" s="39" t="s">
        <v>46</v>
      </c>
      <c r="B15" s="40" t="s">
        <v>47</v>
      </c>
      <c r="C15" s="40" t="s">
        <v>48</v>
      </c>
      <c r="D15" s="40" t="s">
        <v>49</v>
      </c>
      <c r="E15" s="40" t="s">
        <v>50</v>
      </c>
    </row>
    <row r="16" spans="1:17" x14ac:dyDescent="0.25">
      <c r="A16" s="25" t="s">
        <v>51</v>
      </c>
      <c r="B16" s="2">
        <v>0.625</v>
      </c>
      <c r="C16">
        <f>$B16/2</f>
        <v>0.3125</v>
      </c>
      <c r="D16" s="2">
        <f>$B$16 * $B$18</f>
        <v>0.36361026083215198</v>
      </c>
      <c r="E16" s="27">
        <f>$D16/2</f>
        <v>0.18180513041607599</v>
      </c>
      <c r="Q16" s="25"/>
    </row>
    <row r="17" spans="1:17" x14ac:dyDescent="0.25">
      <c r="A17" s="25" t="s">
        <v>52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7">
        <f>$D17/2</f>
        <v>7.2722052166430393E-2</v>
      </c>
      <c r="Q17" s="25"/>
    </row>
    <row r="18" spans="1:17" s="38" customFormat="1" x14ac:dyDescent="0.25">
      <c r="A18" s="28" t="s">
        <v>53</v>
      </c>
      <c r="B18" s="29">
        <f>$B$12/$B$17</f>
        <v>0.58177641733144314</v>
      </c>
      <c r="C18" s="37"/>
      <c r="J18" s="37">
        <v>4.75</v>
      </c>
      <c r="K18" s="37">
        <v>4.25</v>
      </c>
      <c r="L18" s="37">
        <v>4</v>
      </c>
      <c r="M18" s="37">
        <v>4</v>
      </c>
      <c r="N18" s="37">
        <v>4</v>
      </c>
      <c r="O18" s="37">
        <v>4</v>
      </c>
      <c r="P18" s="37">
        <v>4</v>
      </c>
      <c r="Q18" s="28"/>
    </row>
    <row r="19" spans="1:17" s="2" customFormat="1" x14ac:dyDescent="0.25">
      <c r="A19" s="28" t="s">
        <v>54</v>
      </c>
      <c r="B19" s="29"/>
      <c r="C19" s="44">
        <f>$C$17*0.61+$C16*0.39</f>
        <v>0.198125</v>
      </c>
      <c r="D19" s="44"/>
      <c r="E19" s="44" cm="1">
        <f t="array" ref="E19">ProbableAngularPOIError(D17,D16,B12,0.68)</f>
        <v>0.15024454823627703</v>
      </c>
      <c r="F19"/>
      <c r="G19"/>
      <c r="H19"/>
      <c r="I19"/>
      <c r="Q19" s="28"/>
    </row>
    <row r="20" spans="1:17" x14ac:dyDescent="0.25">
      <c r="C20" s="47" t="s">
        <v>24</v>
      </c>
      <c r="D20" s="47"/>
      <c r="E20" s="47"/>
      <c r="F20" s="47"/>
      <c r="G20" s="47"/>
      <c r="H20" s="41"/>
      <c r="I20" s="41"/>
      <c r="J20" s="47" t="s">
        <v>25</v>
      </c>
      <c r="K20" s="47"/>
      <c r="L20" s="47"/>
      <c r="M20" s="47"/>
      <c r="N20" s="47"/>
      <c r="O20" s="41"/>
      <c r="P20" s="41"/>
      <c r="Q20" s="42" t="s">
        <v>30</v>
      </c>
    </row>
    <row r="21" spans="1:17" x14ac:dyDescent="0.25">
      <c r="A21" t="s">
        <v>4</v>
      </c>
      <c r="B21" t="s">
        <v>23</v>
      </c>
      <c r="C21" s="39" t="s">
        <v>6</v>
      </c>
      <c r="D21" s="39" t="s">
        <v>7</v>
      </c>
      <c r="E21" s="39" t="s">
        <v>8</v>
      </c>
      <c r="F21" s="39" t="s">
        <v>9</v>
      </c>
      <c r="G21" s="39" t="s">
        <v>10</v>
      </c>
      <c r="H21" s="39" t="s">
        <v>32</v>
      </c>
      <c r="I21" s="39" t="s">
        <v>33</v>
      </c>
      <c r="J21" s="43" t="s">
        <v>6</v>
      </c>
      <c r="K21" s="43" t="s">
        <v>7</v>
      </c>
      <c r="L21" s="43" t="s">
        <v>8</v>
      </c>
      <c r="M21" s="43" t="s">
        <v>9</v>
      </c>
      <c r="N21" s="43" t="s">
        <v>10</v>
      </c>
      <c r="O21" s="43" t="s">
        <v>32</v>
      </c>
      <c r="P21" s="43" t="s">
        <v>33</v>
      </c>
      <c r="Q21" s="42" t="s">
        <v>31</v>
      </c>
    </row>
    <row r="22" spans="1:17" x14ac:dyDescent="0.25">
      <c r="A22" s="1">
        <v>0</v>
      </c>
      <c r="B22" s="1">
        <v>3664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8">
        <f t="shared" si="1"/>
        <v>-3.81</v>
      </c>
      <c r="Q22" s="36">
        <v>0</v>
      </c>
    </row>
    <row r="23" spans="1:17" x14ac:dyDescent="0.25">
      <c r="A23" s="1">
        <v>25</v>
      </c>
      <c r="B23" s="1">
        <v>3595.1</v>
      </c>
      <c r="C23" s="6">
        <v>-0.25</v>
      </c>
      <c r="D23" s="6">
        <v>-0.33300000000000002</v>
      </c>
      <c r="E23" s="6">
        <v>-0.3</v>
      </c>
      <c r="F23" s="6">
        <v>-0.25</v>
      </c>
      <c r="G23" s="6">
        <v>-8.3000000000000004E-2</v>
      </c>
      <c r="H23" s="6">
        <v>8.3000000000000004E-2</v>
      </c>
      <c r="I23" s="14">
        <v>0.25</v>
      </c>
      <c r="J23" s="9" cm="1">
        <f t="array" ref="J23">TrajectoryDropInCM(C23,$A23,J$18)</f>
        <v>-2.9687513954679097</v>
      </c>
      <c r="K23" s="9" cm="1">
        <f t="array" ref="K23">TrajectoryDropInCM(D23,$A23,K$18)</f>
        <v>-3.5381273622104836</v>
      </c>
      <c r="L23" s="9" cm="1">
        <f t="array" ref="L23">TrajectoryDropInCM(E23,$A23,L$18)</f>
        <v>-3.0000014400008288</v>
      </c>
      <c r="M23" s="9" cm="1">
        <f t="array" ref="M23">TrajectoryDropInCM(F23,$A23,M$18)</f>
        <v>-2.500000833333667</v>
      </c>
      <c r="N23" s="9" cm="1">
        <f t="array" ref="N23">TrajectoryDropInCM(G23,$A23,N$18)</f>
        <v>-0.83000003049530802</v>
      </c>
      <c r="O23" s="9" cm="1">
        <f t="array" ref="O23">TrajectoryDropInCM(H23,$A23,O$18)</f>
        <v>0.83000003049530802</v>
      </c>
      <c r="P23" s="9" cm="1">
        <f t="array" ref="P23">TrajectoryDropInCM(I23,$A23,P$18)</f>
        <v>2.500000833333667</v>
      </c>
      <c r="Q23" s="36" cm="1">
        <f t="array" ref="Q23">TrajectoryErrorCM($E$19,1,$A23)</f>
        <v>0.37561137059069255</v>
      </c>
    </row>
    <row r="24" spans="1:17" x14ac:dyDescent="0.25">
      <c r="A24" s="1">
        <v>50</v>
      </c>
      <c r="B24" s="1">
        <v>3520.5</v>
      </c>
      <c r="C24" s="7">
        <v>0</v>
      </c>
      <c r="D24" s="6">
        <v>-8.3000000000000004E-2</v>
      </c>
      <c r="E24" s="6">
        <v>0</v>
      </c>
      <c r="F24" s="6">
        <v>0</v>
      </c>
      <c r="G24" s="6">
        <v>0.16700000000000001</v>
      </c>
      <c r="H24" s="6">
        <v>0.33300000000000002</v>
      </c>
      <c r="I24" s="14">
        <v>0.5</v>
      </c>
      <c r="J24" s="9" cm="1">
        <f t="array" ref="J24">TrajectoryDropInCM(C24,$A24,J$18)</f>
        <v>0</v>
      </c>
      <c r="K24" s="9" cm="1">
        <f t="array" ref="K24">TrajectoryDropInCM(D24,$A24,K$18)</f>
        <v>-1.763750073155981</v>
      </c>
      <c r="L24" s="9" cm="1">
        <f t="array" ref="L24">TrajectoryDropInCM(E24,$A24,L$18)</f>
        <v>0</v>
      </c>
      <c r="M24" s="9" cm="1">
        <f t="array" ref="M24">TrajectoryDropInCM(F24,$A24,M$18)</f>
        <v>0</v>
      </c>
      <c r="N24" s="9" cm="1">
        <f t="array" ref="N24">TrajectoryDropInCM(G24,$A24,N$18)</f>
        <v>3.3400004967961423</v>
      </c>
      <c r="O24" s="9" cm="1">
        <f t="array" ref="O24">TrajectoryDropInCM(H24,$A24,O$18)</f>
        <v>6.6600039387800765</v>
      </c>
      <c r="P24" s="9" cm="1">
        <f t="array" ref="P24">TrajectoryDropInCM(I24,$A24,P$18)</f>
        <v>10.000013333354666</v>
      </c>
      <c r="Q24" s="36" cm="1">
        <f t="array" ref="Q24">TrajectoryErrorCM($E$19,1,$A24)</f>
        <v>0.7512227411813851</v>
      </c>
    </row>
    <row r="25" spans="1:17" x14ac:dyDescent="0.25">
      <c r="A25" s="1">
        <v>75</v>
      </c>
      <c r="B25" s="1">
        <v>3433</v>
      </c>
      <c r="C25" s="6">
        <v>8.3000000000000004E-2</v>
      </c>
      <c r="D25" s="6">
        <v>0</v>
      </c>
      <c r="E25" s="6">
        <v>0.05</v>
      </c>
      <c r="F25" s="6">
        <v>8.3000000000000004E-2</v>
      </c>
      <c r="G25" s="6">
        <v>0.25</v>
      </c>
      <c r="H25" s="6">
        <v>0.41699999999999998</v>
      </c>
      <c r="I25" s="14">
        <v>0.5625</v>
      </c>
      <c r="J25" s="9" cm="1">
        <f t="array" ref="J25">TrajectoryDropInCM(C25,$A25,J$18)</f>
        <v>2.9568751531987223</v>
      </c>
      <c r="K25" s="9" cm="1">
        <f t="array" ref="K25">TrajectoryDropInCM(D25,$A25,K$18)</f>
        <v>0</v>
      </c>
      <c r="L25" s="9" cm="1">
        <f t="array" ref="L25">TrajectoryDropInCM(E25,$A25,L$18)</f>
        <v>1.5000000200000003</v>
      </c>
      <c r="M25" s="9" cm="1">
        <f t="array" ref="M25">TrajectoryDropInCM(F25,$A25,M$18)</f>
        <v>2.4900000914859239</v>
      </c>
      <c r="N25" s="9" cm="1">
        <f t="array" ref="N25">TrajectoryDropInCM(G25,$A25,N$18)</f>
        <v>7.500002500001</v>
      </c>
      <c r="O25" s="9" cm="1">
        <f t="array" ref="O25">TrajectoryDropInCM(H25,$A25,O$18)</f>
        <v>12.510011601886992</v>
      </c>
      <c r="P25" s="9" cm="1">
        <f t="array" ref="P25">TrajectoryDropInCM(I25,$A25,P$18)</f>
        <v>16.875028476620162</v>
      </c>
      <c r="Q25" s="36" cm="1">
        <f t="array" ref="Q25">TrajectoryErrorCM($E$19,1,$A25)</f>
        <v>1.1268341117720777</v>
      </c>
    </row>
    <row r="26" spans="1:17" x14ac:dyDescent="0.25">
      <c r="A26" s="1">
        <v>100</v>
      </c>
      <c r="B26" s="1">
        <v>3361.7</v>
      </c>
      <c r="C26" s="6">
        <v>6.25E-2</v>
      </c>
      <c r="D26" s="7">
        <v>0</v>
      </c>
      <c r="E26" s="6">
        <v>0.05</v>
      </c>
      <c r="F26" s="6">
        <v>8.3000000000000004E-2</v>
      </c>
      <c r="G26" s="6">
        <v>0.25</v>
      </c>
      <c r="H26" s="6">
        <v>0.45</v>
      </c>
      <c r="I26" s="14">
        <v>0.625</v>
      </c>
      <c r="J26" s="9" cm="1">
        <f t="array" ref="J26">TrajectoryDropInCM(C26,$A26,J$18)</f>
        <v>2.9687500872166988</v>
      </c>
      <c r="K26" s="9" cm="1">
        <f t="array" ref="K26">TrajectoryDropInCM(D26,$A26,K$18)</f>
        <v>0</v>
      </c>
      <c r="L26" s="9" cm="1">
        <f t="array" ref="L26">TrajectoryDropInCM(E26,$A26,L$18)</f>
        <v>2.0000000266666671</v>
      </c>
      <c r="M26" s="9" cm="1">
        <f t="array" ref="M26">TrajectoryDropInCM(F26,$A26,M$18)</f>
        <v>3.3200001219812321</v>
      </c>
      <c r="N26" s="9" cm="1">
        <f t="array" ref="N26">TrajectoryDropInCM(G26,$A26,N$18)</f>
        <v>10.000003333334668</v>
      </c>
      <c r="O26" s="9" cm="1">
        <f t="array" ref="O26">TrajectoryDropInCM(H26,$A26,O$18)</f>
        <v>18.000019440025191</v>
      </c>
      <c r="P26" s="9" cm="1">
        <f t="array" ref="P26">TrajectoryDropInCM(I26,$A26,P$18)</f>
        <v>25.000052083463544</v>
      </c>
      <c r="Q26" s="36" cm="1">
        <f t="array" ref="Q26">TrajectoryErrorCM($E$19,1,$A26)</f>
        <v>1.5024454823627702</v>
      </c>
    </row>
    <row r="27" spans="1:17" x14ac:dyDescent="0.25">
      <c r="A27" s="1">
        <v>125</v>
      </c>
      <c r="B27" s="1">
        <v>3278.8</v>
      </c>
      <c r="C27" s="6">
        <v>6.25E-2</v>
      </c>
      <c r="D27" s="6">
        <v>0</v>
      </c>
      <c r="E27" s="6">
        <v>0.05</v>
      </c>
      <c r="F27" s="6">
        <v>8.3000000000000004E-2</v>
      </c>
      <c r="G27" s="6">
        <v>0.25</v>
      </c>
      <c r="H27" s="6">
        <v>0.41699999999999998</v>
      </c>
      <c r="I27" s="14">
        <v>0.58299999999999996</v>
      </c>
      <c r="J27" s="9" cm="1">
        <f t="array" ref="J27">TrajectoryDropInCM(C27,$A27,J$18)</f>
        <v>3.7109376090208737</v>
      </c>
      <c r="K27" s="9" cm="1">
        <f t="array" ref="K27">TrajectoryDropInCM(D27,$A27,K$18)</f>
        <v>0</v>
      </c>
      <c r="L27" s="9" cm="1">
        <f t="array" ref="L27">TrajectoryDropInCM(E27,$A27,L$18)</f>
        <v>2.5000000333333343</v>
      </c>
      <c r="M27" s="9" cm="1">
        <f t="array" ref="M27">TrajectoryDropInCM(F27,$A27,M$18)</f>
        <v>4.1500001524765402</v>
      </c>
      <c r="N27" s="9" cm="1">
        <f t="array" ref="N27">TrajectoryDropInCM(G27,$A27,N$18)</f>
        <v>12.500004166668335</v>
      </c>
      <c r="O27" s="9" cm="1">
        <f t="array" ref="O27">TrajectoryDropInCM(H27,$A27,O$18)</f>
        <v>20.850019336478319</v>
      </c>
      <c r="P27" s="9" cm="1">
        <f t="array" ref="P27">TrajectoryDropInCM(I27,$A27,P$18)</f>
        <v>29.150052841524811</v>
      </c>
      <c r="Q27" s="36" cm="1">
        <f t="array" ref="Q27">TrajectoryErrorCM($E$19,1,$A27)</f>
        <v>1.8780568529534629</v>
      </c>
    </row>
    <row r="28" spans="1:17" x14ac:dyDescent="0.25">
      <c r="A28" s="1">
        <v>150</v>
      </c>
      <c r="B28" s="1">
        <v>3198.5</v>
      </c>
      <c r="C28" s="6">
        <v>6.25E-2</v>
      </c>
      <c r="D28" s="6">
        <v>-0.05</v>
      </c>
      <c r="E28" s="7">
        <v>0</v>
      </c>
      <c r="F28" s="6">
        <v>6.25E-2</v>
      </c>
      <c r="G28" s="6">
        <v>0.1875</v>
      </c>
      <c r="H28" s="6">
        <v>0.375</v>
      </c>
      <c r="I28" s="14">
        <v>0.58299999999999996</v>
      </c>
      <c r="J28" s="9" cm="1">
        <f t="array" ref="J28">TrajectoryDropInCM(C28,$A28,J$18)</f>
        <v>4.4531251308250486</v>
      </c>
      <c r="K28" s="9" cm="1">
        <f t="array" ref="K28">TrajectoryDropInCM(D28,$A28,K$18)</f>
        <v>-3.1875000479785172</v>
      </c>
      <c r="L28" s="9" cm="1">
        <f t="array" ref="L28">TrajectoryDropInCM(E28,$A28,L$18)</f>
        <v>0</v>
      </c>
      <c r="M28" s="9" cm="1">
        <f t="array" ref="M28">TrajectoryDropInCM(F28,$A28,M$18)</f>
        <v>3.7500000781250016</v>
      </c>
      <c r="N28" s="9" cm="1">
        <f t="array" ref="N28">TrajectoryDropInCM(G28,$A28,N$18)</f>
        <v>11.250002109375476</v>
      </c>
      <c r="O28" s="9" cm="1">
        <f t="array" ref="O28">TrajectoryDropInCM(H28,$A28,O$18)</f>
        <v>22.500016875015188</v>
      </c>
      <c r="P28" s="9" cm="1">
        <f t="array" ref="P28">TrajectoryDropInCM(I28,$A28,P$18)</f>
        <v>34.980063409829775</v>
      </c>
      <c r="Q28" s="36" cm="1">
        <f t="array" ref="Q28">TrajectoryErrorCM($E$19,1,$A28)</f>
        <v>2.2536682235441554</v>
      </c>
    </row>
    <row r="29" spans="1:17" x14ac:dyDescent="0.25">
      <c r="A29" s="1">
        <v>200</v>
      </c>
      <c r="B29" s="1">
        <v>3055.2</v>
      </c>
      <c r="C29" s="6">
        <v>0</v>
      </c>
      <c r="D29" s="6">
        <v>-8.3000000000000004E-2</v>
      </c>
      <c r="E29" s="6">
        <v>-0.05</v>
      </c>
      <c r="F29" s="7">
        <v>0</v>
      </c>
      <c r="G29" s="6">
        <v>0.16700000000000001</v>
      </c>
      <c r="H29" s="6">
        <v>0.33300000000000002</v>
      </c>
      <c r="I29" s="14">
        <v>0.5</v>
      </c>
      <c r="J29" s="9" cm="1">
        <f t="array" ref="J29">TrajectoryDropInCM(C29,$A29,J$18)</f>
        <v>0</v>
      </c>
      <c r="K29" s="9" cm="1">
        <f t="array" ref="K29">TrajectoryDropInCM(D29,$A29,K$18)</f>
        <v>-7.0550002926239239</v>
      </c>
      <c r="L29" s="9" cm="1">
        <f t="array" ref="L29">TrajectoryDropInCM(E29,$A29,L$18)</f>
        <v>-4.0000000533333342</v>
      </c>
      <c r="M29" s="9" cm="1">
        <f t="array" ref="M29">TrajectoryDropInCM(F29,$A29,M$18)</f>
        <v>0</v>
      </c>
      <c r="N29" s="9" cm="1">
        <f t="array" ref="N29">TrajectoryDropInCM(G29,$A29,N$18)</f>
        <v>13.360001987184569</v>
      </c>
      <c r="O29" s="9" cm="1">
        <f t="array" ref="O29">TrajectoryDropInCM(H29,$A29,O$18)</f>
        <v>26.640015755120306</v>
      </c>
      <c r="P29" s="9" cm="1">
        <f t="array" ref="P29">TrajectoryDropInCM(I29,$A29,P$18)</f>
        <v>40.000053333418663</v>
      </c>
      <c r="Q29" s="36" cm="1">
        <f t="array" ref="Q29">TrajectoryErrorCM($E$19,1,$A29)</f>
        <v>3.0048909647255404</v>
      </c>
    </row>
    <row r="30" spans="1:17" x14ac:dyDescent="0.25">
      <c r="A30" s="1">
        <v>250</v>
      </c>
      <c r="B30" s="1">
        <v>2910.2</v>
      </c>
      <c r="C30" s="6">
        <v>-6.25E-2</v>
      </c>
      <c r="D30" s="6">
        <v>-0.16700000000000001</v>
      </c>
      <c r="E30" s="6">
        <v>-0.125</v>
      </c>
      <c r="F30" s="6">
        <v>-8.3000000000000004E-2</v>
      </c>
      <c r="G30" s="6">
        <v>8.3000000000000004E-2</v>
      </c>
      <c r="H30" s="6">
        <v>0.25</v>
      </c>
      <c r="I30" s="14">
        <v>0.45</v>
      </c>
      <c r="J30" s="9" cm="1">
        <f t="array" ref="J30">TrajectoryDropInCM(C30,$A30,J$18)</f>
        <v>-7.4218752180417473</v>
      </c>
      <c r="K30" s="9" cm="1">
        <f t="array" ref="K30">TrajectoryDropInCM(D30,$A30,K$18)</f>
        <v>-17.74375297944275</v>
      </c>
      <c r="L30" s="9" cm="1">
        <f t="array" ref="L30">TrajectoryDropInCM(E30,$A30,L$18)</f>
        <v>-12.500001041666769</v>
      </c>
      <c r="M30" s="9" cm="1">
        <f t="array" ref="M30">TrajectoryDropInCM(F30,$A30,M$18)</f>
        <v>-8.3000003049530804</v>
      </c>
      <c r="N30" s="9" cm="1">
        <f t="array" ref="N30">TrajectoryDropInCM(G30,$A30,N$18)</f>
        <v>8.3000003049530804</v>
      </c>
      <c r="O30" s="9" cm="1">
        <f t="array" ref="O30">TrajectoryDropInCM(H30,$A30,O$18)</f>
        <v>25.00000833333667</v>
      </c>
      <c r="P30" s="9" cm="1">
        <f t="array" ref="P30">TrajectoryDropInCM(I30,$A30,P$18)</f>
        <v>45.000048600062982</v>
      </c>
      <c r="Q30" s="36" cm="1">
        <f t="array" ref="Q30">TrajectoryErrorCM($E$19,1,$A30)</f>
        <v>3.7561137059069258</v>
      </c>
    </row>
    <row r="31" spans="1:17" x14ac:dyDescent="0.25">
      <c r="A31" s="1">
        <v>300</v>
      </c>
      <c r="B31" s="1">
        <v>2775.8</v>
      </c>
      <c r="C31" s="6">
        <v>-0.1875</v>
      </c>
      <c r="D31" s="6">
        <v>-0.25</v>
      </c>
      <c r="E31" s="6">
        <v>-0.2</v>
      </c>
      <c r="F31" s="6">
        <v>-0.125</v>
      </c>
      <c r="G31" s="7">
        <v>0</v>
      </c>
      <c r="H31" s="17">
        <v>0.1875</v>
      </c>
      <c r="I31" s="18">
        <v>0.375</v>
      </c>
      <c r="J31" s="9" cm="1">
        <f t="array" ref="J31">TrajectoryDropInCM(C31,$A31,J$18)</f>
        <v>-26.718757064554548</v>
      </c>
      <c r="K31" s="9" cm="1">
        <f t="array" ref="K31">TrajectoryDropInCM(D31,$A31,K$18)</f>
        <v>-31.875011994634324</v>
      </c>
      <c r="L31" s="9" cm="1">
        <f t="array" ref="L31">TrajectoryDropInCM(E31,$A31,L$18)</f>
        <v>-24.000005120001312</v>
      </c>
      <c r="M31" s="9" cm="1">
        <f t="array" ref="M31">TrajectoryDropInCM(F31,$A31,M$18)</f>
        <v>-15.000001250000123</v>
      </c>
      <c r="N31" s="9" cm="1">
        <f t="array" ref="N31">TrajectoryDropInCM(G31,$A31,N$18)</f>
        <v>0</v>
      </c>
      <c r="O31" s="9" cm="1">
        <f t="array" ref="O31">TrajectoryDropInCM(H31,$A31,O$18)</f>
        <v>22.500004218750952</v>
      </c>
      <c r="P31" s="9" cm="1">
        <f t="array" ref="P31">TrajectoryDropInCM(I31,$A31,P$18)</f>
        <v>45.000033750030376</v>
      </c>
      <c r="Q31" s="36" cm="1">
        <f t="array" ref="Q31">TrajectoryErrorCM($E$19,1,$A31)</f>
        <v>4.5073364470883108</v>
      </c>
    </row>
    <row r="32" spans="1:17" x14ac:dyDescent="0.25">
      <c r="A32" s="1">
        <v>350</v>
      </c>
      <c r="B32" s="1">
        <v>2635</v>
      </c>
      <c r="C32" s="6">
        <v>-0.25</v>
      </c>
      <c r="D32" s="6">
        <v>-0.33300000000000002</v>
      </c>
      <c r="E32" s="6">
        <v>-0.3125</v>
      </c>
      <c r="F32" s="6">
        <v>-0.25</v>
      </c>
      <c r="G32" s="6">
        <v>-8.3000000000000004E-2</v>
      </c>
      <c r="H32" s="6">
        <v>8.3000000000000004E-2</v>
      </c>
      <c r="I32" s="14">
        <v>0.3</v>
      </c>
      <c r="J32" s="9" cm="1">
        <f t="array" ref="J32">TrajectoryDropInCM(C32,$A32,J$18)</f>
        <v>-41.562519536550738</v>
      </c>
      <c r="K32" s="9" cm="1">
        <f t="array" ref="K32">TrajectoryDropInCM(D32,$A32,K$18)</f>
        <v>-49.533783070946775</v>
      </c>
      <c r="L32" s="9" cm="1">
        <f t="array" ref="L32">TrajectoryDropInCM(E32,$A32,L$18)</f>
        <v>-43.750022786472577</v>
      </c>
      <c r="M32" s="9" cm="1">
        <f t="array" ref="M32">TrajectoryDropInCM(F32,$A32,M$18)</f>
        <v>-35.000011666671341</v>
      </c>
      <c r="N32" s="9" cm="1">
        <f t="array" ref="N32">TrajectoryDropInCM(G32,$A32,N$18)</f>
        <v>-11.620000426934313</v>
      </c>
      <c r="O32" s="9" cm="1">
        <f t="array" ref="O32">TrajectoryDropInCM(H32,$A32,O$18)</f>
        <v>11.620000426934313</v>
      </c>
      <c r="P32" s="9" cm="1">
        <f t="array" ref="P32">TrajectoryDropInCM(I32,$A32,P$18)</f>
        <v>42.000020160011601</v>
      </c>
      <c r="Q32" s="36" cm="1">
        <f t="array" ref="Q32">TrajectoryErrorCM($E$19,1,$A32)</f>
        <v>5.2585591882696958</v>
      </c>
    </row>
    <row r="33" spans="1:17" x14ac:dyDescent="0.25">
      <c r="A33" s="1">
        <v>400</v>
      </c>
      <c r="B33" s="1">
        <v>2504.6999999999998</v>
      </c>
      <c r="C33" s="6">
        <v>-0.33300000000000002</v>
      </c>
      <c r="D33" s="6">
        <v>-0.41699999999999998</v>
      </c>
      <c r="E33" s="6">
        <v>-0.375</v>
      </c>
      <c r="F33" s="6">
        <v>-0.3125</v>
      </c>
      <c r="G33" s="6">
        <v>-0.16700000000000001</v>
      </c>
      <c r="H33" s="7">
        <v>0</v>
      </c>
      <c r="I33" s="14">
        <v>0.2</v>
      </c>
      <c r="J33" s="9" cm="1">
        <f t="array" ref="J33">TrajectoryDropInCM(C33,$A33,J$18)</f>
        <v>-63.270052765821092</v>
      </c>
      <c r="K33" s="9" cm="1">
        <f t="array" ref="K33">TrajectoryDropInCM(D33,$A33,K$18)</f>
        <v>-70.890074218852831</v>
      </c>
      <c r="L33" s="9" cm="1">
        <f t="array" ref="L33">TrajectoryDropInCM(E33,$A33,L$18)</f>
        <v>-60.000045000040501</v>
      </c>
      <c r="M33" s="9" cm="1">
        <f t="array" ref="M33">TrajectoryDropInCM(F33,$A33,M$18)</f>
        <v>-50.000026041682943</v>
      </c>
      <c r="N33" s="9" cm="1">
        <f t="array" ref="N33">TrajectoryDropInCM(G33,$A33,N$18)</f>
        <v>-26.720003974369138</v>
      </c>
      <c r="O33" s="9" cm="1">
        <f t="array" ref="O33">TrajectoryDropInCM(H33,$A33,O$18)</f>
        <v>0</v>
      </c>
      <c r="P33" s="9" cm="1">
        <f t="array" ref="P33">TrajectoryDropInCM(I33,$A33,P$18)</f>
        <v>32.000006826668411</v>
      </c>
      <c r="Q33" s="36" cm="1">
        <f t="array" ref="Q33">TrajectoryErrorCM($E$19,1,$A33)</f>
        <v>6.0097819294510808</v>
      </c>
    </row>
    <row r="34" spans="1:17" x14ac:dyDescent="0.25">
      <c r="A34" s="1">
        <v>450</v>
      </c>
      <c r="B34" s="1">
        <v>2385.6</v>
      </c>
      <c r="C34" s="6">
        <v>-0.41699999999999998</v>
      </c>
      <c r="D34" s="6">
        <v>-0.5</v>
      </c>
      <c r="E34" s="6">
        <v>-0.47499999999999998</v>
      </c>
      <c r="F34" s="6">
        <v>-0.41699999999999998</v>
      </c>
      <c r="G34" s="6">
        <v>-0.25</v>
      </c>
      <c r="H34" s="6">
        <v>-0.125</v>
      </c>
      <c r="I34" s="14">
        <v>0.115</v>
      </c>
      <c r="J34" s="9" cm="1">
        <f t="array" ref="J34">TrajectoryDropInCM(C34,$A34,J$18)</f>
        <v>-89.133866568426569</v>
      </c>
      <c r="K34" s="9" cm="1">
        <f t="array" ref="K34">TrajectoryDropInCM(D34,$A34,K$18)</f>
        <v>-95.625143935806875</v>
      </c>
      <c r="L34" s="9" cm="1">
        <f t="array" ref="L34">TrajectoryDropInCM(E34,$A34,L$18)</f>
        <v>-85.500102885148564</v>
      </c>
      <c r="M34" s="9" cm="1">
        <f t="array" ref="M34">TrajectoryDropInCM(F34,$A34,M$18)</f>
        <v>-75.06006961132195</v>
      </c>
      <c r="N34" s="9" cm="1">
        <f t="array" ref="N34">TrajectoryDropInCM(G34,$A34,N$18)</f>
        <v>-45.000015000006002</v>
      </c>
      <c r="O34" s="9" cm="1">
        <f t="array" ref="O34">TrajectoryDropInCM(H34,$A34,O$18)</f>
        <v>-22.500001875000187</v>
      </c>
      <c r="P34" s="9" cm="1">
        <f t="array" ref="P34">TrajectoryDropInCM(I34,$A34,P$18)</f>
        <v>20.700001460040124</v>
      </c>
      <c r="Q34" s="36" cm="1">
        <f t="array" ref="Q34">TrajectoryErrorCM($E$19,1,$A34)</f>
        <v>6.7610046706324667</v>
      </c>
    </row>
    <row r="35" spans="1:17" x14ac:dyDescent="0.25">
      <c r="A35" s="1">
        <v>500</v>
      </c>
      <c r="B35" s="1">
        <v>2271.4</v>
      </c>
      <c r="C35" s="6">
        <v>-0.51</v>
      </c>
      <c r="D35" s="6">
        <v>-0.58299999999999996</v>
      </c>
      <c r="E35" s="6">
        <v>-0.5625</v>
      </c>
      <c r="F35" s="6">
        <v>-0.5</v>
      </c>
      <c r="G35" s="6">
        <v>-0.375</v>
      </c>
      <c r="H35" s="6">
        <v>-0.1875</v>
      </c>
      <c r="I35" s="15">
        <v>0</v>
      </c>
      <c r="J35" s="9" cm="1">
        <f t="array" ref="J35">TrajectoryDropInCM(C35,$A35,J$18)</f>
        <v>-121.12523694149604</v>
      </c>
      <c r="K35" s="9" cm="1">
        <f t="array" ref="K35">TrajectoryDropInCM(D35,$A35,K$18)</f>
        <v>-123.8877535258635</v>
      </c>
      <c r="L35" s="9" cm="1">
        <f t="array" ref="L35">TrajectoryDropInCM(E35,$A35,L$18)</f>
        <v>-112.50018984413441</v>
      </c>
      <c r="M35" s="9" cm="1">
        <f t="array" ref="M35">TrajectoryDropInCM(F35,$A35,M$18)</f>
        <v>-100.00013333354664</v>
      </c>
      <c r="N35" s="9" cm="1">
        <f t="array" ref="N35">TrajectoryDropInCM(G35,$A35,N$18)</f>
        <v>-75.000056250050633</v>
      </c>
      <c r="O35" s="9" cm="1">
        <f t="array" ref="O35">TrajectoryDropInCM(H35,$A35,O$18)</f>
        <v>-37.500007031251585</v>
      </c>
      <c r="P35" s="9" cm="1">
        <f t="array" ref="P35">TrajectoryDropInCM(I35,$A35,P$18)</f>
        <v>0</v>
      </c>
      <c r="Q35" s="36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34</v>
      </c>
      <c r="H78" t="s">
        <v>77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H79" t="s">
        <v>12</v>
      </c>
      <c r="I79" t="s">
        <v>13</v>
      </c>
      <c r="J79" t="s">
        <v>14</v>
      </c>
      <c r="K79" t="s">
        <v>15</v>
      </c>
      <c r="L79" t="s">
        <v>16</v>
      </c>
      <c r="M79" t="s">
        <v>17</v>
      </c>
    </row>
    <row r="80" spans="1:19" x14ac:dyDescent="0.25">
      <c r="A80" s="1">
        <v>0</v>
      </c>
      <c r="B80" s="1">
        <v>933</v>
      </c>
      <c r="C80" s="1">
        <v>3664</v>
      </c>
      <c r="D80" s="1">
        <v>-3.8</v>
      </c>
      <c r="E80" s="1">
        <v>0</v>
      </c>
      <c r="F80" s="1">
        <v>0</v>
      </c>
      <c r="G80" s="1"/>
      <c r="H80" s="1">
        <v>0</v>
      </c>
      <c r="I80" s="1">
        <v>933</v>
      </c>
      <c r="J80" s="1">
        <v>3664</v>
      </c>
      <c r="K80" s="1">
        <v>-3.8</v>
      </c>
      <c r="L80" s="1">
        <v>0</v>
      </c>
      <c r="M80" s="1">
        <v>0</v>
      </c>
      <c r="N80" s="1"/>
      <c r="O80" s="1"/>
      <c r="P80" s="1"/>
      <c r="Q80" s="1"/>
      <c r="R80" s="1"/>
      <c r="S80" s="1"/>
    </row>
    <row r="81" spans="1:19" x14ac:dyDescent="0.25">
      <c r="A81" s="1">
        <v>25</v>
      </c>
      <c r="B81" s="1">
        <v>911</v>
      </c>
      <c r="C81" s="1">
        <v>3494</v>
      </c>
      <c r="D81" s="1">
        <v>-1.5</v>
      </c>
      <c r="E81" s="1">
        <v>2.1</v>
      </c>
      <c r="F81" s="1">
        <v>0.6</v>
      </c>
      <c r="G81" s="1"/>
      <c r="H81" s="1">
        <v>25</v>
      </c>
      <c r="I81" s="1">
        <v>922</v>
      </c>
      <c r="J81" s="1">
        <v>3580</v>
      </c>
      <c r="K81" s="1">
        <v>-1.6</v>
      </c>
      <c r="L81" s="1">
        <v>2.2000000000000002</v>
      </c>
      <c r="M81" s="1">
        <v>0.6</v>
      </c>
      <c r="N81" s="1"/>
      <c r="O81" s="1"/>
      <c r="P81" s="1"/>
      <c r="Q81" s="1"/>
      <c r="R81" s="1"/>
      <c r="S81" s="1"/>
    </row>
    <row r="82" spans="1:19" x14ac:dyDescent="0.25">
      <c r="A82" s="10">
        <v>50</v>
      </c>
      <c r="B82" s="10">
        <v>889</v>
      </c>
      <c r="C82" s="10">
        <v>3331</v>
      </c>
      <c r="D82" s="10">
        <v>0</v>
      </c>
      <c r="E82" s="10">
        <v>0</v>
      </c>
      <c r="F82" s="10">
        <v>0</v>
      </c>
      <c r="G82" s="1"/>
      <c r="H82" s="10">
        <v>50</v>
      </c>
      <c r="I82" s="10">
        <v>911</v>
      </c>
      <c r="J82" s="10">
        <v>3497</v>
      </c>
      <c r="K82" s="10">
        <v>0</v>
      </c>
      <c r="L82" s="10">
        <v>0</v>
      </c>
      <c r="M82" s="10">
        <v>0</v>
      </c>
      <c r="N82" s="1"/>
      <c r="O82" s="1"/>
      <c r="P82" s="1"/>
      <c r="Q82" s="1"/>
      <c r="R82" s="1"/>
      <c r="S82" s="1"/>
    </row>
    <row r="83" spans="1:19" x14ac:dyDescent="0.25">
      <c r="A83" s="1">
        <v>75</v>
      </c>
      <c r="B83" s="1">
        <v>868</v>
      </c>
      <c r="C83" s="1">
        <v>3175</v>
      </c>
      <c r="D83" s="1">
        <v>0.7</v>
      </c>
      <c r="E83" s="1">
        <v>-0.3</v>
      </c>
      <c r="F83" s="1">
        <v>-0.1</v>
      </c>
      <c r="G83" s="1"/>
      <c r="H83" s="1">
        <v>75</v>
      </c>
      <c r="I83" s="1">
        <v>901</v>
      </c>
      <c r="J83" s="1">
        <v>3416</v>
      </c>
      <c r="K83" s="1">
        <v>0.8</v>
      </c>
      <c r="L83" s="1">
        <v>-0.4</v>
      </c>
      <c r="M83" s="1">
        <v>-0.1</v>
      </c>
      <c r="N83" s="1"/>
      <c r="O83" s="1"/>
      <c r="P83" s="1"/>
      <c r="Q83" s="1"/>
      <c r="R83" s="1"/>
      <c r="S83" s="1"/>
    </row>
    <row r="84" spans="1:19" x14ac:dyDescent="0.25">
      <c r="A84" s="1">
        <v>100</v>
      </c>
      <c r="B84" s="1">
        <v>847</v>
      </c>
      <c r="C84" s="1">
        <v>3025</v>
      </c>
      <c r="D84" s="1">
        <v>0.7</v>
      </c>
      <c r="E84" s="1">
        <v>-0.2</v>
      </c>
      <c r="F84" s="1">
        <v>-0.1</v>
      </c>
      <c r="G84" s="1"/>
      <c r="H84" s="1">
        <v>100</v>
      </c>
      <c r="I84" s="1">
        <v>890</v>
      </c>
      <c r="J84" s="1">
        <v>3337</v>
      </c>
      <c r="K84" s="1">
        <v>0.8</v>
      </c>
      <c r="L84" s="1">
        <v>-0.3</v>
      </c>
      <c r="M84" s="1">
        <v>-0.1</v>
      </c>
      <c r="N84" s="1"/>
      <c r="O84" s="1"/>
      <c r="P84" s="1"/>
      <c r="Q84" s="1"/>
      <c r="R84" s="1"/>
      <c r="S84" s="1"/>
    </row>
    <row r="85" spans="1:19" x14ac:dyDescent="0.25">
      <c r="A85" s="1">
        <v>125</v>
      </c>
      <c r="B85" s="1">
        <v>827</v>
      </c>
      <c r="C85" s="1">
        <v>2880</v>
      </c>
      <c r="D85" s="1">
        <v>-0.3</v>
      </c>
      <c r="E85" s="1">
        <v>0.1</v>
      </c>
      <c r="F85" s="1">
        <v>0</v>
      </c>
      <c r="G85" s="1"/>
      <c r="H85" s="1">
        <v>125</v>
      </c>
      <c r="I85" s="1">
        <v>880</v>
      </c>
      <c r="J85" s="1">
        <v>3259</v>
      </c>
      <c r="K85" s="1">
        <v>0</v>
      </c>
      <c r="L85" s="1">
        <v>0</v>
      </c>
      <c r="M85" s="1">
        <v>0</v>
      </c>
      <c r="N85" s="1"/>
      <c r="O85" s="1"/>
      <c r="P85" s="1"/>
      <c r="Q85" s="1"/>
      <c r="R85" s="1"/>
      <c r="S85" s="1"/>
    </row>
    <row r="86" spans="1:19" x14ac:dyDescent="0.25">
      <c r="A86" s="1">
        <v>150</v>
      </c>
      <c r="B86" s="1">
        <v>807</v>
      </c>
      <c r="C86" s="1">
        <v>2741</v>
      </c>
      <c r="D86" s="1">
        <v>-2.1</v>
      </c>
      <c r="E86" s="1">
        <v>0.5</v>
      </c>
      <c r="F86" s="1">
        <v>0.1</v>
      </c>
      <c r="G86" s="1"/>
      <c r="H86" s="1">
        <v>150</v>
      </c>
      <c r="I86" s="1">
        <v>869</v>
      </c>
      <c r="J86" s="1">
        <v>3182</v>
      </c>
      <c r="K86" s="1">
        <v>-1.5</v>
      </c>
      <c r="L86" s="1">
        <v>0.3</v>
      </c>
      <c r="M86" s="1">
        <v>0.1</v>
      </c>
      <c r="N86" s="1"/>
      <c r="O86" s="1"/>
      <c r="P86" s="1"/>
      <c r="Q86" s="1"/>
      <c r="R86" s="1"/>
      <c r="S86" s="1"/>
    </row>
    <row r="87" spans="1:19" x14ac:dyDescent="0.25">
      <c r="A87" s="1">
        <v>175</v>
      </c>
      <c r="B87" s="1">
        <v>787</v>
      </c>
      <c r="C87" s="1">
        <v>2608</v>
      </c>
      <c r="D87" s="1">
        <v>-4.9000000000000004</v>
      </c>
      <c r="E87" s="1">
        <v>1</v>
      </c>
      <c r="F87" s="1">
        <v>0.3</v>
      </c>
      <c r="G87" s="1"/>
      <c r="H87" s="1">
        <v>175</v>
      </c>
      <c r="I87" s="1">
        <v>859</v>
      </c>
      <c r="J87" s="1">
        <v>3107</v>
      </c>
      <c r="K87" s="1">
        <v>-3.8</v>
      </c>
      <c r="L87" s="1">
        <v>0.8</v>
      </c>
      <c r="M87" s="1">
        <v>0.2</v>
      </c>
      <c r="N87" s="1"/>
      <c r="O87" s="1"/>
      <c r="P87" s="1"/>
      <c r="Q87" s="1"/>
      <c r="R87" s="1"/>
      <c r="S87" s="1"/>
    </row>
    <row r="88" spans="1:19" x14ac:dyDescent="0.25">
      <c r="A88" s="1">
        <v>200</v>
      </c>
      <c r="B88" s="1">
        <v>767</v>
      </c>
      <c r="C88" s="1">
        <v>2480</v>
      </c>
      <c r="D88" s="1">
        <v>-8.9</v>
      </c>
      <c r="E88" s="1">
        <v>1.5</v>
      </c>
      <c r="F88" s="1">
        <v>0.4</v>
      </c>
      <c r="G88" s="1"/>
      <c r="H88" s="1">
        <v>200</v>
      </c>
      <c r="I88" s="1">
        <v>849</v>
      </c>
      <c r="J88" s="1">
        <v>3033</v>
      </c>
      <c r="K88" s="1">
        <v>-7.1</v>
      </c>
      <c r="L88" s="1">
        <v>1.2</v>
      </c>
      <c r="M88" s="1">
        <v>0.4</v>
      </c>
      <c r="N88" s="1"/>
      <c r="O88" s="1"/>
      <c r="P88" s="1"/>
      <c r="Q88" s="1"/>
      <c r="R88" s="1"/>
      <c r="S88" s="1"/>
    </row>
    <row r="89" spans="1:19" x14ac:dyDescent="0.25">
      <c r="A89" s="1">
        <v>225</v>
      </c>
      <c r="B89" s="1">
        <v>748</v>
      </c>
      <c r="C89" s="1">
        <v>2357</v>
      </c>
      <c r="D89" s="1">
        <v>-13.8</v>
      </c>
      <c r="E89" s="1">
        <v>2.1</v>
      </c>
      <c r="F89" s="1">
        <v>0.6</v>
      </c>
      <c r="G89" s="1"/>
      <c r="H89" s="1">
        <v>225</v>
      </c>
      <c r="I89" s="1">
        <v>838</v>
      </c>
      <c r="J89" s="1">
        <v>2961</v>
      </c>
      <c r="K89" s="1">
        <v>-11.2</v>
      </c>
      <c r="L89" s="1">
        <v>1.7</v>
      </c>
      <c r="M89" s="1">
        <v>0.5</v>
      </c>
      <c r="N89" s="1"/>
      <c r="O89" s="1"/>
      <c r="P89" s="1"/>
      <c r="Q89" s="1"/>
      <c r="R89" s="1"/>
      <c r="S89" s="1"/>
    </row>
    <row r="90" spans="1:19" x14ac:dyDescent="0.25">
      <c r="A90" s="1">
        <v>250</v>
      </c>
      <c r="B90" s="1">
        <v>729</v>
      </c>
      <c r="C90" s="1">
        <v>2238</v>
      </c>
      <c r="D90" s="1">
        <v>-19.8</v>
      </c>
      <c r="E90" s="1">
        <v>2.7</v>
      </c>
      <c r="F90" s="1">
        <v>0.8</v>
      </c>
      <c r="G90" s="1"/>
      <c r="H90" s="1">
        <v>250</v>
      </c>
      <c r="I90" s="1">
        <v>828</v>
      </c>
      <c r="J90" s="1">
        <v>2889</v>
      </c>
      <c r="K90" s="1">
        <v>-16.100000000000001</v>
      </c>
      <c r="L90" s="1">
        <v>2.2000000000000002</v>
      </c>
      <c r="M90" s="1">
        <v>0.6</v>
      </c>
      <c r="N90" s="1"/>
      <c r="O90" s="1"/>
      <c r="P90" s="1"/>
      <c r="Q90" s="1"/>
      <c r="R90" s="1"/>
      <c r="S90" s="1"/>
    </row>
    <row r="91" spans="1:19" x14ac:dyDescent="0.25">
      <c r="A91" s="1">
        <v>275</v>
      </c>
      <c r="B91" s="1">
        <v>710</v>
      </c>
      <c r="C91" s="1">
        <v>2124</v>
      </c>
      <c r="D91" s="1">
        <v>-27.3</v>
      </c>
      <c r="E91" s="1">
        <v>3.4</v>
      </c>
      <c r="F91" s="1">
        <v>1</v>
      </c>
      <c r="G91" s="1"/>
      <c r="H91" s="1">
        <v>275</v>
      </c>
      <c r="I91" s="1">
        <v>818</v>
      </c>
      <c r="J91" s="1">
        <v>2820</v>
      </c>
      <c r="K91" s="1">
        <v>-22.1</v>
      </c>
      <c r="L91" s="1">
        <v>2.8</v>
      </c>
      <c r="M91" s="1">
        <v>0.8</v>
      </c>
      <c r="N91" s="1"/>
      <c r="O91" s="1"/>
      <c r="P91" s="1"/>
      <c r="Q91" s="1"/>
      <c r="R91" s="1"/>
      <c r="S91" s="1"/>
    </row>
    <row r="92" spans="1:19" x14ac:dyDescent="0.25">
      <c r="A92" s="1">
        <v>300</v>
      </c>
      <c r="B92" s="1">
        <v>692</v>
      </c>
      <c r="C92" s="1">
        <v>2015</v>
      </c>
      <c r="D92" s="1">
        <v>-35.700000000000003</v>
      </c>
      <c r="E92" s="1">
        <v>4.0999999999999996</v>
      </c>
      <c r="F92" s="1">
        <v>1.2</v>
      </c>
      <c r="G92" s="1"/>
      <c r="H92" s="1">
        <v>300</v>
      </c>
      <c r="I92" s="1">
        <v>808</v>
      </c>
      <c r="J92" s="1">
        <v>2751</v>
      </c>
      <c r="K92" s="1">
        <v>-28.9</v>
      </c>
      <c r="L92" s="1">
        <v>3.3</v>
      </c>
      <c r="M92" s="1">
        <v>1</v>
      </c>
      <c r="N92" s="1"/>
      <c r="O92" s="1"/>
      <c r="P92" s="1"/>
      <c r="Q92" s="1"/>
      <c r="R92" s="1"/>
      <c r="S92" s="1"/>
    </row>
    <row r="93" spans="1:19" x14ac:dyDescent="0.25">
      <c r="A93" s="1">
        <v>325</v>
      </c>
      <c r="B93" s="1">
        <v>673</v>
      </c>
      <c r="C93" s="1">
        <v>1910</v>
      </c>
      <c r="D93" s="1">
        <v>-45.6</v>
      </c>
      <c r="E93" s="1">
        <v>4.8</v>
      </c>
      <c r="F93" s="1">
        <v>1.4</v>
      </c>
      <c r="G93" s="1"/>
      <c r="H93" s="1">
        <v>325</v>
      </c>
      <c r="I93" s="1">
        <v>798</v>
      </c>
      <c r="J93" s="1">
        <v>2684</v>
      </c>
      <c r="K93" s="1">
        <v>-36.6</v>
      </c>
      <c r="L93" s="1">
        <v>3.9</v>
      </c>
      <c r="M93" s="1">
        <v>1.1000000000000001</v>
      </c>
      <c r="N93" s="1"/>
      <c r="O93" s="1"/>
      <c r="P93" s="1"/>
      <c r="Q93" s="1"/>
      <c r="R93" s="1"/>
      <c r="S93" s="1"/>
    </row>
    <row r="94" spans="1:19" x14ac:dyDescent="0.25">
      <c r="A94" s="1">
        <v>350</v>
      </c>
      <c r="B94" s="1">
        <v>655</v>
      </c>
      <c r="C94" s="1">
        <v>1810</v>
      </c>
      <c r="D94" s="1">
        <v>-57.2</v>
      </c>
      <c r="E94" s="1">
        <v>5.6</v>
      </c>
      <c r="F94" s="1">
        <v>1.6</v>
      </c>
      <c r="G94" s="1"/>
      <c r="H94" s="1">
        <v>350</v>
      </c>
      <c r="I94" s="1">
        <v>788</v>
      </c>
      <c r="J94" s="1">
        <v>2618</v>
      </c>
      <c r="K94" s="1">
        <v>-45.6</v>
      </c>
      <c r="L94" s="1">
        <v>4.5</v>
      </c>
      <c r="M94" s="1">
        <v>1.3</v>
      </c>
      <c r="N94" s="1"/>
      <c r="O94" s="1"/>
      <c r="P94" s="1"/>
      <c r="Q94" s="1"/>
      <c r="R94" s="1"/>
      <c r="S94" s="1"/>
    </row>
    <row r="95" spans="1:19" x14ac:dyDescent="0.25">
      <c r="A95" s="1">
        <v>375</v>
      </c>
      <c r="B95" s="1">
        <v>638</v>
      </c>
      <c r="C95" s="1">
        <v>1713</v>
      </c>
      <c r="D95" s="1">
        <v>-70</v>
      </c>
      <c r="E95" s="1">
        <v>6.4</v>
      </c>
      <c r="F95" s="1">
        <v>1.9</v>
      </c>
      <c r="G95" s="1"/>
      <c r="H95" s="1">
        <v>375</v>
      </c>
      <c r="I95" s="1">
        <v>779</v>
      </c>
      <c r="J95" s="1">
        <v>2553</v>
      </c>
      <c r="K95" s="1">
        <v>-55.3</v>
      </c>
      <c r="L95" s="1">
        <v>5.0999999999999996</v>
      </c>
      <c r="M95" s="1">
        <v>1.5</v>
      </c>
      <c r="N95" s="1"/>
      <c r="O95" s="1"/>
      <c r="P95" s="1"/>
      <c r="Q95" s="1"/>
      <c r="R95" s="1"/>
      <c r="S95" s="1"/>
    </row>
    <row r="96" spans="1:19" x14ac:dyDescent="0.25">
      <c r="A96" s="1">
        <v>400</v>
      </c>
      <c r="B96" s="1">
        <v>620</v>
      </c>
      <c r="C96" s="1">
        <v>1621</v>
      </c>
      <c r="D96" s="1">
        <v>-84.4</v>
      </c>
      <c r="E96" s="1">
        <v>7.3</v>
      </c>
      <c r="F96" s="1">
        <v>2.1</v>
      </c>
      <c r="G96" s="1"/>
      <c r="H96" s="1">
        <v>400</v>
      </c>
      <c r="I96" s="1">
        <v>769</v>
      </c>
      <c r="J96" s="1">
        <v>2490</v>
      </c>
      <c r="K96" s="1">
        <v>-66</v>
      </c>
      <c r="L96" s="1">
        <v>5.7</v>
      </c>
      <c r="M96" s="1">
        <v>1.7</v>
      </c>
      <c r="N96" s="1"/>
      <c r="O96" s="1"/>
      <c r="P96" s="1"/>
      <c r="Q96" s="1"/>
      <c r="R96" s="1"/>
      <c r="S96" s="1"/>
    </row>
    <row r="97" spans="1:19" x14ac:dyDescent="0.25">
      <c r="A97" s="1">
        <v>425</v>
      </c>
      <c r="B97" s="1">
        <v>603</v>
      </c>
      <c r="C97" s="1">
        <v>1533</v>
      </c>
      <c r="D97" s="1">
        <v>-101</v>
      </c>
      <c r="E97" s="1">
        <v>8.1999999999999993</v>
      </c>
      <c r="F97" s="1">
        <v>2.4</v>
      </c>
      <c r="G97" s="1"/>
      <c r="H97" s="1">
        <v>425</v>
      </c>
      <c r="I97" s="1">
        <v>759</v>
      </c>
      <c r="J97" s="1">
        <v>2427</v>
      </c>
      <c r="K97" s="1">
        <v>-78.2</v>
      </c>
      <c r="L97" s="1">
        <v>6.3</v>
      </c>
      <c r="M97" s="1">
        <v>1.8</v>
      </c>
      <c r="N97" s="1"/>
      <c r="O97" s="1"/>
      <c r="P97" s="1"/>
      <c r="Q97" s="1"/>
      <c r="R97" s="1"/>
      <c r="S97" s="1"/>
    </row>
    <row r="98" spans="1:19" x14ac:dyDescent="0.25">
      <c r="A98" s="1">
        <v>450</v>
      </c>
      <c r="B98" s="1">
        <v>586</v>
      </c>
      <c r="C98" s="1">
        <v>1448</v>
      </c>
      <c r="D98" s="1">
        <v>-118.9</v>
      </c>
      <c r="E98" s="1">
        <v>9.1</v>
      </c>
      <c r="F98" s="1">
        <v>2.6</v>
      </c>
      <c r="G98" s="1"/>
      <c r="H98" s="1">
        <v>450</v>
      </c>
      <c r="I98" s="1">
        <v>749</v>
      </c>
      <c r="J98" s="1">
        <v>2366</v>
      </c>
      <c r="K98" s="1">
        <v>-91.1</v>
      </c>
      <c r="L98" s="1">
        <v>7</v>
      </c>
      <c r="M98" s="1">
        <v>2</v>
      </c>
      <c r="N98" s="1"/>
      <c r="O98" s="1"/>
      <c r="P98" s="1"/>
      <c r="Q98" s="1"/>
      <c r="R98" s="1"/>
      <c r="S98" s="1"/>
    </row>
    <row r="99" spans="1:19" x14ac:dyDescent="0.25">
      <c r="A99" s="1">
        <v>475</v>
      </c>
      <c r="B99" s="1">
        <v>570</v>
      </c>
      <c r="C99" s="1">
        <v>1368</v>
      </c>
      <c r="D99" s="1">
        <v>-138.80000000000001</v>
      </c>
      <c r="E99" s="1">
        <v>10.1</v>
      </c>
      <c r="F99" s="1">
        <v>2.9</v>
      </c>
      <c r="G99" s="1"/>
      <c r="H99" s="1">
        <v>475</v>
      </c>
      <c r="I99" s="1">
        <v>740</v>
      </c>
      <c r="J99" s="1">
        <v>2306</v>
      </c>
      <c r="K99" s="1">
        <v>-105.1</v>
      </c>
      <c r="L99" s="1">
        <v>7.6</v>
      </c>
      <c r="M99" s="1">
        <v>2.2000000000000002</v>
      </c>
      <c r="N99" s="1"/>
      <c r="O99" s="1"/>
      <c r="P99" s="1"/>
      <c r="Q99" s="1"/>
      <c r="R99" s="1"/>
      <c r="S99" s="1"/>
    </row>
    <row r="100" spans="1:19" x14ac:dyDescent="0.25">
      <c r="A100" s="1">
        <v>500</v>
      </c>
      <c r="B100" s="1">
        <v>554</v>
      </c>
      <c r="C100" s="1">
        <v>1294</v>
      </c>
      <c r="D100" s="1">
        <v>-160.69999999999999</v>
      </c>
      <c r="E100" s="1">
        <v>11.1</v>
      </c>
      <c r="F100" s="1">
        <v>3.2</v>
      </c>
      <c r="G100" s="1"/>
      <c r="H100" s="1">
        <v>500</v>
      </c>
      <c r="I100" s="1">
        <v>731</v>
      </c>
      <c r="J100" s="1">
        <v>2250</v>
      </c>
      <c r="K100" s="1">
        <v>-120.2</v>
      </c>
      <c r="L100" s="1">
        <v>8.3000000000000007</v>
      </c>
      <c r="M100" s="1">
        <v>2.4</v>
      </c>
      <c r="N100" s="1"/>
      <c r="O100" s="1"/>
      <c r="P100" s="1"/>
      <c r="Q100" s="1"/>
      <c r="R100" s="1"/>
      <c r="S100" s="1"/>
    </row>
    <row r="102" spans="1:19" x14ac:dyDescent="0.25">
      <c r="A102" t="s">
        <v>71</v>
      </c>
      <c r="H102" t="s">
        <v>78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H103" t="s">
        <v>12</v>
      </c>
      <c r="I103" t="s">
        <v>13</v>
      </c>
      <c r="J103" t="s">
        <v>14</v>
      </c>
      <c r="K103" t="s">
        <v>15</v>
      </c>
      <c r="L103" t="s">
        <v>16</v>
      </c>
      <c r="M103" t="s">
        <v>17</v>
      </c>
    </row>
    <row r="104" spans="1:19" x14ac:dyDescent="0.25">
      <c r="A104" s="1">
        <v>0</v>
      </c>
      <c r="B104" s="1">
        <v>933</v>
      </c>
      <c r="C104" s="1">
        <v>3664</v>
      </c>
      <c r="D104" s="1">
        <v>-3.8</v>
      </c>
      <c r="E104" s="1">
        <v>0</v>
      </c>
      <c r="F104" s="1">
        <v>0</v>
      </c>
      <c r="H104">
        <v>0</v>
      </c>
      <c r="I104">
        <v>933</v>
      </c>
      <c r="J104">
        <v>3664</v>
      </c>
      <c r="K104" s="1">
        <v>-3.8</v>
      </c>
      <c r="L104" s="1">
        <v>0</v>
      </c>
      <c r="M104" s="1">
        <v>0</v>
      </c>
      <c r="N104" s="1"/>
      <c r="O104" s="1"/>
      <c r="P104" s="1"/>
      <c r="Q104" s="1"/>
      <c r="R104" s="1"/>
      <c r="S104" s="1"/>
    </row>
    <row r="105" spans="1:19" x14ac:dyDescent="0.25">
      <c r="A105" s="1">
        <v>25</v>
      </c>
      <c r="B105" s="1">
        <v>911</v>
      </c>
      <c r="C105" s="1">
        <v>3494</v>
      </c>
      <c r="D105" s="1">
        <v>-1.7</v>
      </c>
      <c r="E105" s="1">
        <v>2.4</v>
      </c>
      <c r="F105" s="1">
        <v>0.7</v>
      </c>
      <c r="H105">
        <v>25</v>
      </c>
      <c r="I105">
        <v>922</v>
      </c>
      <c r="J105">
        <v>3580</v>
      </c>
      <c r="K105" s="1">
        <v>-1.8</v>
      </c>
      <c r="L105" s="1">
        <v>2.4</v>
      </c>
      <c r="M105" s="1">
        <v>0.7</v>
      </c>
      <c r="N105" s="1"/>
      <c r="O105" s="1"/>
      <c r="P105" s="1"/>
      <c r="Q105" s="1"/>
      <c r="R105" s="1"/>
      <c r="S105" s="1"/>
    </row>
    <row r="106" spans="1:19" x14ac:dyDescent="0.25">
      <c r="A106" s="1">
        <v>50</v>
      </c>
      <c r="B106" s="1">
        <v>889</v>
      </c>
      <c r="C106" s="1">
        <v>3331</v>
      </c>
      <c r="D106" s="1">
        <v>-0.3</v>
      </c>
      <c r="E106" s="1">
        <v>0.2</v>
      </c>
      <c r="F106" s="1">
        <v>0.1</v>
      </c>
      <c r="H106">
        <v>50</v>
      </c>
      <c r="I106">
        <v>911</v>
      </c>
      <c r="J106">
        <v>3497</v>
      </c>
      <c r="K106" s="1">
        <v>-0.4</v>
      </c>
      <c r="L106" s="1">
        <v>0.3</v>
      </c>
      <c r="M106" s="1">
        <v>0.1</v>
      </c>
      <c r="N106" s="1"/>
      <c r="O106" s="1"/>
      <c r="P106" s="1"/>
      <c r="Q106" s="1"/>
      <c r="R106" s="1"/>
      <c r="S106" s="1"/>
    </row>
    <row r="107" spans="1:19" x14ac:dyDescent="0.25">
      <c r="A107" s="1">
        <v>75</v>
      </c>
      <c r="B107" s="1">
        <v>868</v>
      </c>
      <c r="C107" s="1">
        <v>3175</v>
      </c>
      <c r="D107" s="1">
        <v>0.2</v>
      </c>
      <c r="E107" s="1">
        <v>-0.1</v>
      </c>
      <c r="F107" s="1">
        <v>0</v>
      </c>
      <c r="H107">
        <v>75</v>
      </c>
      <c r="I107">
        <v>901</v>
      </c>
      <c r="J107">
        <v>3416</v>
      </c>
      <c r="K107" s="1">
        <v>0.2</v>
      </c>
      <c r="L107" s="1">
        <v>-0.1</v>
      </c>
      <c r="M107" s="1">
        <v>0</v>
      </c>
      <c r="N107" s="1"/>
      <c r="O107" s="1"/>
      <c r="P107" s="1"/>
      <c r="Q107" s="1"/>
      <c r="R107" s="1"/>
      <c r="S107" s="1"/>
    </row>
    <row r="108" spans="1:19" x14ac:dyDescent="0.25">
      <c r="A108" s="10">
        <v>100</v>
      </c>
      <c r="B108" s="10">
        <v>847</v>
      </c>
      <c r="C108" s="10">
        <v>3025</v>
      </c>
      <c r="D108" s="10">
        <v>0</v>
      </c>
      <c r="E108" s="10">
        <v>0</v>
      </c>
      <c r="F108" s="10">
        <v>0</v>
      </c>
      <c r="H108">
        <v>100</v>
      </c>
      <c r="I108">
        <v>890</v>
      </c>
      <c r="J108">
        <v>3337</v>
      </c>
      <c r="K108" s="1">
        <v>0</v>
      </c>
      <c r="L108" s="1">
        <v>0</v>
      </c>
      <c r="M108" s="1">
        <v>0</v>
      </c>
      <c r="N108" s="1"/>
      <c r="O108" s="1"/>
      <c r="P108" s="1"/>
      <c r="Q108" s="1"/>
      <c r="R108" s="1"/>
      <c r="S108" s="1"/>
    </row>
    <row r="109" spans="1:19" x14ac:dyDescent="0.25">
      <c r="A109" s="1">
        <v>125</v>
      </c>
      <c r="B109" s="1">
        <v>827</v>
      </c>
      <c r="C109" s="1">
        <v>2880</v>
      </c>
      <c r="D109" s="1">
        <v>-1.1000000000000001</v>
      </c>
      <c r="E109" s="1">
        <v>0.3</v>
      </c>
      <c r="F109" s="1">
        <v>0.1</v>
      </c>
      <c r="H109">
        <v>125</v>
      </c>
      <c r="I109">
        <v>880</v>
      </c>
      <c r="J109">
        <v>3259</v>
      </c>
      <c r="K109" s="1">
        <v>-1</v>
      </c>
      <c r="L109" s="1">
        <v>0.3</v>
      </c>
      <c r="M109" s="1">
        <v>0.1</v>
      </c>
      <c r="N109" s="1"/>
      <c r="O109" s="1"/>
      <c r="P109" s="1"/>
      <c r="Q109" s="1"/>
      <c r="R109" s="1"/>
      <c r="S109" s="1"/>
    </row>
    <row r="110" spans="1:19" x14ac:dyDescent="0.25">
      <c r="A110" s="1">
        <v>150</v>
      </c>
      <c r="B110" s="1">
        <v>807</v>
      </c>
      <c r="C110" s="1">
        <v>2741</v>
      </c>
      <c r="D110" s="1">
        <v>-3.2</v>
      </c>
      <c r="E110" s="1">
        <v>0.7</v>
      </c>
      <c r="F110" s="1">
        <v>0.2</v>
      </c>
      <c r="H110">
        <v>150</v>
      </c>
      <c r="I110">
        <v>869</v>
      </c>
      <c r="J110">
        <v>3182</v>
      </c>
      <c r="K110" s="1">
        <v>-2.7</v>
      </c>
      <c r="L110" s="1">
        <v>0.6</v>
      </c>
      <c r="M110" s="1">
        <v>0.2</v>
      </c>
      <c r="N110" s="1"/>
      <c r="O110" s="1"/>
      <c r="P110" s="1"/>
      <c r="Q110" s="1"/>
      <c r="R110" s="1"/>
      <c r="S110" s="1"/>
    </row>
    <row r="111" spans="1:19" x14ac:dyDescent="0.25">
      <c r="A111" s="1">
        <v>175</v>
      </c>
      <c r="B111" s="1">
        <v>787</v>
      </c>
      <c r="C111" s="1">
        <v>2608</v>
      </c>
      <c r="D111" s="1">
        <v>-6.1</v>
      </c>
      <c r="E111" s="1">
        <v>1.2</v>
      </c>
      <c r="F111" s="1">
        <v>0.4</v>
      </c>
      <c r="H111">
        <v>175</v>
      </c>
      <c r="I111">
        <v>859</v>
      </c>
      <c r="J111">
        <v>3107</v>
      </c>
      <c r="K111" s="1">
        <v>-5.3</v>
      </c>
      <c r="L111" s="1">
        <v>1</v>
      </c>
      <c r="M111" s="1">
        <v>0.3</v>
      </c>
      <c r="N111" s="1"/>
      <c r="O111" s="1"/>
      <c r="P111" s="1"/>
      <c r="Q111" s="1"/>
      <c r="R111" s="1"/>
      <c r="S111" s="1"/>
    </row>
    <row r="112" spans="1:19" x14ac:dyDescent="0.25">
      <c r="A112" s="1">
        <v>200</v>
      </c>
      <c r="B112" s="1">
        <v>767</v>
      </c>
      <c r="C112" s="1">
        <v>2480</v>
      </c>
      <c r="D112" s="1">
        <v>-10.199999999999999</v>
      </c>
      <c r="E112" s="1">
        <v>1.8</v>
      </c>
      <c r="F112" s="1">
        <v>0.5</v>
      </c>
      <c r="H112">
        <v>200</v>
      </c>
      <c r="I112">
        <v>849</v>
      </c>
      <c r="J112">
        <v>3033</v>
      </c>
      <c r="K112" s="1">
        <v>-8.8000000000000007</v>
      </c>
      <c r="L112" s="1">
        <v>1.5</v>
      </c>
      <c r="M112" s="1">
        <v>0.4</v>
      </c>
      <c r="N112" s="1"/>
      <c r="O112" s="1"/>
      <c r="P112" s="1"/>
      <c r="Q112" s="1"/>
      <c r="R112" s="1"/>
      <c r="S112" s="1"/>
    </row>
    <row r="113" spans="1:19" x14ac:dyDescent="0.25">
      <c r="A113" s="1">
        <v>225</v>
      </c>
      <c r="B113" s="1">
        <v>748</v>
      </c>
      <c r="C113" s="1">
        <v>2357</v>
      </c>
      <c r="D113" s="1">
        <v>-15.3</v>
      </c>
      <c r="E113" s="1">
        <v>2.2999999999999998</v>
      </c>
      <c r="F113" s="1">
        <v>0.7</v>
      </c>
      <c r="H113">
        <v>225</v>
      </c>
      <c r="I113">
        <v>838</v>
      </c>
      <c r="J113">
        <v>2961</v>
      </c>
      <c r="K113" s="1">
        <v>-13</v>
      </c>
      <c r="L113" s="1">
        <v>2</v>
      </c>
      <c r="M113" s="1">
        <v>0.6</v>
      </c>
      <c r="N113" s="1"/>
      <c r="O113" s="1"/>
      <c r="P113" s="1"/>
      <c r="Q113" s="1"/>
      <c r="R113" s="1"/>
      <c r="S113" s="1"/>
    </row>
    <row r="114" spans="1:19" x14ac:dyDescent="0.25">
      <c r="A114" s="1">
        <v>250</v>
      </c>
      <c r="B114" s="1">
        <v>729</v>
      </c>
      <c r="C114" s="1">
        <v>2238</v>
      </c>
      <c r="D114" s="1">
        <v>-21.5</v>
      </c>
      <c r="E114" s="1">
        <v>3</v>
      </c>
      <c r="F114" s="1">
        <v>0.9</v>
      </c>
      <c r="H114">
        <v>250</v>
      </c>
      <c r="I114">
        <v>828</v>
      </c>
      <c r="J114">
        <v>2890</v>
      </c>
      <c r="K114" s="1">
        <v>-18.100000000000001</v>
      </c>
      <c r="L114" s="1">
        <v>2.5</v>
      </c>
      <c r="M114" s="1">
        <v>0.7</v>
      </c>
      <c r="N114" s="1"/>
      <c r="O114" s="1"/>
      <c r="P114" s="1"/>
      <c r="Q114" s="1"/>
      <c r="R114" s="1"/>
      <c r="S114" s="1"/>
    </row>
    <row r="115" spans="1:19" x14ac:dyDescent="0.25">
      <c r="A115" s="1">
        <v>275</v>
      </c>
      <c r="B115" s="1">
        <v>710</v>
      </c>
      <c r="C115" s="1">
        <v>2124</v>
      </c>
      <c r="D115" s="1">
        <v>-29.1</v>
      </c>
      <c r="E115" s="1">
        <v>3.6</v>
      </c>
      <c r="F115" s="1">
        <v>1.1000000000000001</v>
      </c>
      <c r="H115">
        <v>275</v>
      </c>
      <c r="I115">
        <v>818</v>
      </c>
      <c r="J115">
        <v>2820</v>
      </c>
      <c r="K115" s="1">
        <v>-24.4</v>
      </c>
      <c r="L115" s="1">
        <v>3</v>
      </c>
      <c r="M115" s="1">
        <v>0.9</v>
      </c>
      <c r="N115" s="1"/>
      <c r="O115" s="1"/>
      <c r="P115" s="1"/>
      <c r="Q115" s="1"/>
      <c r="R115" s="1"/>
      <c r="S115" s="1"/>
    </row>
    <row r="116" spans="1:19" x14ac:dyDescent="0.25">
      <c r="A116" s="1">
        <v>300</v>
      </c>
      <c r="B116" s="1">
        <v>692</v>
      </c>
      <c r="C116" s="1">
        <v>2015</v>
      </c>
      <c r="D116" s="1">
        <v>-37.799999999999997</v>
      </c>
      <c r="E116" s="1">
        <v>4.3</v>
      </c>
      <c r="F116" s="1">
        <v>1.3</v>
      </c>
      <c r="H116">
        <v>300</v>
      </c>
      <c r="I116">
        <v>808</v>
      </c>
      <c r="J116">
        <v>2751</v>
      </c>
      <c r="K116" s="1">
        <v>-31.3</v>
      </c>
      <c r="L116" s="1">
        <v>3.6</v>
      </c>
      <c r="M116" s="1">
        <v>1</v>
      </c>
      <c r="N116" s="1"/>
      <c r="O116" s="1"/>
      <c r="P116" s="1"/>
      <c r="Q116" s="1"/>
      <c r="R116" s="1"/>
      <c r="S116" s="1"/>
    </row>
    <row r="117" spans="1:19" x14ac:dyDescent="0.25">
      <c r="A117" s="1">
        <v>325</v>
      </c>
      <c r="B117" s="1">
        <v>673</v>
      </c>
      <c r="C117" s="1">
        <v>1910</v>
      </c>
      <c r="D117" s="1">
        <v>-47.7</v>
      </c>
      <c r="E117" s="1">
        <v>5.0999999999999996</v>
      </c>
      <c r="F117" s="1">
        <v>1.5</v>
      </c>
      <c r="H117">
        <v>325</v>
      </c>
      <c r="I117">
        <v>798</v>
      </c>
      <c r="J117">
        <v>2684</v>
      </c>
      <c r="K117" s="1">
        <v>-39.200000000000003</v>
      </c>
      <c r="L117" s="1">
        <v>4.2</v>
      </c>
      <c r="M117" s="1">
        <v>1.2</v>
      </c>
      <c r="N117" s="1"/>
      <c r="O117" s="1"/>
      <c r="P117" s="1"/>
      <c r="Q117" s="1"/>
      <c r="R117" s="1"/>
      <c r="S117" s="1"/>
    </row>
    <row r="118" spans="1:19" x14ac:dyDescent="0.25">
      <c r="A118" s="1">
        <v>350</v>
      </c>
      <c r="B118" s="1">
        <v>655</v>
      </c>
      <c r="C118" s="1">
        <v>1810</v>
      </c>
      <c r="D118" s="1">
        <v>-59.6</v>
      </c>
      <c r="E118" s="1">
        <v>5.8</v>
      </c>
      <c r="F118" s="1">
        <v>1.7</v>
      </c>
      <c r="H118">
        <v>350</v>
      </c>
      <c r="I118">
        <v>788</v>
      </c>
      <c r="J118">
        <v>2618</v>
      </c>
      <c r="K118" s="1">
        <v>-48.4</v>
      </c>
      <c r="L118" s="1">
        <v>4.8</v>
      </c>
      <c r="M118" s="1">
        <v>1.4</v>
      </c>
      <c r="N118" s="1"/>
      <c r="O118" s="1"/>
      <c r="P118" s="1"/>
      <c r="Q118" s="1"/>
      <c r="R118" s="1"/>
      <c r="S118" s="1"/>
    </row>
    <row r="119" spans="1:19" x14ac:dyDescent="0.25">
      <c r="A119" s="1">
        <v>375</v>
      </c>
      <c r="B119" s="1">
        <v>638</v>
      </c>
      <c r="C119" s="1">
        <v>1713</v>
      </c>
      <c r="D119" s="1">
        <v>-72.5</v>
      </c>
      <c r="E119" s="1">
        <v>6.6</v>
      </c>
      <c r="F119" s="1">
        <v>1.9</v>
      </c>
      <c r="H119">
        <v>375</v>
      </c>
      <c r="I119">
        <v>779</v>
      </c>
      <c r="J119">
        <v>2553</v>
      </c>
      <c r="K119" s="1">
        <v>-58.3</v>
      </c>
      <c r="L119" s="1">
        <v>5.3</v>
      </c>
      <c r="M119" s="1">
        <v>1.6</v>
      </c>
      <c r="N119" s="1"/>
      <c r="O119" s="1"/>
      <c r="P119" s="1"/>
      <c r="Q119" s="1"/>
      <c r="R119" s="1"/>
      <c r="S119" s="1"/>
    </row>
    <row r="120" spans="1:19" x14ac:dyDescent="0.25">
      <c r="A120" s="1">
        <v>400</v>
      </c>
      <c r="B120" s="1">
        <v>620</v>
      </c>
      <c r="C120" s="1">
        <v>1621</v>
      </c>
      <c r="D120" s="1">
        <v>-87</v>
      </c>
      <c r="E120" s="1">
        <v>7.5</v>
      </c>
      <c r="F120" s="1">
        <v>2.2000000000000002</v>
      </c>
      <c r="H120">
        <v>400</v>
      </c>
      <c r="I120">
        <v>769</v>
      </c>
      <c r="J120">
        <v>2490</v>
      </c>
      <c r="K120" s="1">
        <v>-69.3</v>
      </c>
      <c r="L120" s="1">
        <v>6</v>
      </c>
      <c r="M120" s="1">
        <v>1.7</v>
      </c>
      <c r="N120" s="1"/>
      <c r="O120" s="1"/>
      <c r="P120" s="1"/>
      <c r="Q120" s="1"/>
      <c r="R120" s="1"/>
      <c r="S120" s="1"/>
    </row>
    <row r="121" spans="1:19" x14ac:dyDescent="0.25">
      <c r="A121" s="1">
        <v>425</v>
      </c>
      <c r="B121" s="1">
        <v>603</v>
      </c>
      <c r="C121" s="1">
        <v>1533</v>
      </c>
      <c r="D121" s="1">
        <v>-103.9</v>
      </c>
      <c r="E121" s="1">
        <v>8.4</v>
      </c>
      <c r="F121" s="1">
        <v>2.4</v>
      </c>
      <c r="H121">
        <v>425</v>
      </c>
      <c r="I121">
        <v>759</v>
      </c>
      <c r="J121">
        <v>2427</v>
      </c>
      <c r="K121" s="1">
        <v>-81.7</v>
      </c>
      <c r="L121" s="1">
        <v>6.6</v>
      </c>
      <c r="M121" s="1">
        <v>1.9</v>
      </c>
      <c r="N121" s="1"/>
      <c r="O121" s="1"/>
      <c r="P121" s="1"/>
      <c r="Q121" s="1"/>
      <c r="R121" s="1"/>
      <c r="S121" s="1"/>
    </row>
    <row r="122" spans="1:19" x14ac:dyDescent="0.25">
      <c r="A122" s="1">
        <v>450</v>
      </c>
      <c r="B122" s="1">
        <v>586</v>
      </c>
      <c r="C122" s="1">
        <v>1448</v>
      </c>
      <c r="D122" s="1">
        <v>-122</v>
      </c>
      <c r="E122" s="1">
        <v>9.3000000000000007</v>
      </c>
      <c r="F122" s="1">
        <v>2.7</v>
      </c>
      <c r="H122">
        <v>450</v>
      </c>
      <c r="I122">
        <v>749</v>
      </c>
      <c r="J122">
        <v>2366</v>
      </c>
      <c r="K122" s="1">
        <v>-94.8</v>
      </c>
      <c r="L122" s="1">
        <v>7.2</v>
      </c>
      <c r="M122" s="1">
        <v>2.1</v>
      </c>
      <c r="N122" s="1"/>
      <c r="O122" s="1"/>
      <c r="P122" s="1"/>
      <c r="Q122" s="1"/>
      <c r="R122" s="1"/>
      <c r="S122" s="1"/>
    </row>
    <row r="123" spans="1:19" x14ac:dyDescent="0.25">
      <c r="A123" s="1">
        <v>475</v>
      </c>
      <c r="B123" s="1">
        <v>570</v>
      </c>
      <c r="C123" s="1">
        <v>1368</v>
      </c>
      <c r="D123" s="1">
        <v>-142</v>
      </c>
      <c r="E123" s="1">
        <v>10.3</v>
      </c>
      <c r="F123" s="1">
        <v>3</v>
      </c>
      <c r="H123">
        <v>475</v>
      </c>
      <c r="I123">
        <v>740</v>
      </c>
      <c r="J123">
        <v>2306</v>
      </c>
      <c r="K123" s="1">
        <v>-109</v>
      </c>
      <c r="L123" s="1">
        <v>7.9</v>
      </c>
      <c r="M123" s="1">
        <v>2.2999999999999998</v>
      </c>
      <c r="N123" s="1"/>
      <c r="O123" s="1"/>
      <c r="P123" s="1"/>
      <c r="Q123" s="1"/>
      <c r="R123" s="1"/>
      <c r="S123" s="1"/>
    </row>
    <row r="124" spans="1:19" x14ac:dyDescent="0.25">
      <c r="A124" s="1">
        <v>500</v>
      </c>
      <c r="B124" s="1">
        <v>554</v>
      </c>
      <c r="C124" s="1">
        <v>1294</v>
      </c>
      <c r="D124" s="1">
        <v>-164</v>
      </c>
      <c r="E124" s="1">
        <v>11.3</v>
      </c>
      <c r="F124" s="1">
        <v>3.3</v>
      </c>
      <c r="H124">
        <v>500</v>
      </c>
      <c r="I124">
        <v>731</v>
      </c>
      <c r="J124">
        <v>2250</v>
      </c>
      <c r="K124" s="1">
        <v>-124.3</v>
      </c>
      <c r="L124" s="1">
        <v>8.6</v>
      </c>
      <c r="M124" s="1">
        <v>2.5</v>
      </c>
      <c r="N124" s="1"/>
      <c r="O124" s="1"/>
      <c r="P124" s="1"/>
      <c r="Q124" s="1"/>
      <c r="R124" s="1"/>
      <c r="S124" s="1"/>
    </row>
    <row r="126" spans="1:19" x14ac:dyDescent="0.25">
      <c r="A126" t="s">
        <v>72</v>
      </c>
      <c r="H126" t="s">
        <v>79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H127" t="s">
        <v>12</v>
      </c>
      <c r="I127" t="s">
        <v>13</v>
      </c>
      <c r="J127" t="s">
        <v>14</v>
      </c>
      <c r="K127" t="s">
        <v>15</v>
      </c>
      <c r="L127" t="s">
        <v>16</v>
      </c>
      <c r="M127" t="s">
        <v>17</v>
      </c>
    </row>
    <row r="128" spans="1:19" x14ac:dyDescent="0.25">
      <c r="A128" s="1">
        <v>0</v>
      </c>
      <c r="B128" s="1">
        <v>933</v>
      </c>
      <c r="C128" s="1">
        <v>3664</v>
      </c>
      <c r="D128" s="1">
        <v>-3.8</v>
      </c>
      <c r="E128" s="1">
        <v>0</v>
      </c>
      <c r="F128" s="1">
        <v>0</v>
      </c>
      <c r="H128">
        <v>0</v>
      </c>
      <c r="I128">
        <v>933</v>
      </c>
      <c r="J128">
        <v>3664</v>
      </c>
      <c r="K128" s="1">
        <v>-3.8</v>
      </c>
      <c r="L128" s="1">
        <v>0</v>
      </c>
      <c r="M128" s="1">
        <v>0</v>
      </c>
      <c r="N128" s="1"/>
      <c r="O128" s="1"/>
      <c r="P128" s="1"/>
      <c r="Q128" s="1"/>
      <c r="R128" s="1"/>
      <c r="S128" s="1"/>
    </row>
    <row r="129" spans="1:19" x14ac:dyDescent="0.25">
      <c r="A129" s="1">
        <v>25</v>
      </c>
      <c r="B129" s="1">
        <v>911</v>
      </c>
      <c r="C129" s="1">
        <v>3494</v>
      </c>
      <c r="D129" s="1">
        <v>-1.2</v>
      </c>
      <c r="E129" s="1">
        <v>1.6</v>
      </c>
      <c r="F129" s="1">
        <v>0.5</v>
      </c>
      <c r="H129">
        <v>25</v>
      </c>
      <c r="I129">
        <v>922</v>
      </c>
      <c r="J129">
        <v>3580</v>
      </c>
      <c r="K129" s="1">
        <v>-1.3</v>
      </c>
      <c r="L129" s="1">
        <v>1.8</v>
      </c>
      <c r="M129" s="1">
        <v>0.5</v>
      </c>
      <c r="N129" s="1"/>
      <c r="O129" s="1"/>
      <c r="P129" s="1"/>
      <c r="Q129" s="1"/>
      <c r="R129" s="1"/>
      <c r="S129" s="1"/>
    </row>
    <row r="130" spans="1:19" x14ac:dyDescent="0.25">
      <c r="A130" s="1">
        <v>50</v>
      </c>
      <c r="B130" s="1">
        <v>889</v>
      </c>
      <c r="C130" s="1">
        <v>3331</v>
      </c>
      <c r="D130" s="1">
        <v>0.7</v>
      </c>
      <c r="E130" s="1">
        <v>-0.5</v>
      </c>
      <c r="F130" s="1">
        <v>-0.1</v>
      </c>
      <c r="H130">
        <v>50</v>
      </c>
      <c r="I130">
        <v>911</v>
      </c>
      <c r="J130">
        <v>3497</v>
      </c>
      <c r="K130" s="1">
        <v>0.5</v>
      </c>
      <c r="L130" s="1">
        <v>-0.3</v>
      </c>
      <c r="M130" s="1">
        <v>-0.1</v>
      </c>
      <c r="N130" s="1"/>
      <c r="O130" s="1"/>
      <c r="P130" s="1"/>
      <c r="Q130" s="1"/>
      <c r="R130" s="1"/>
      <c r="S130" s="1"/>
    </row>
    <row r="131" spans="1:19" x14ac:dyDescent="0.25">
      <c r="A131" s="1">
        <v>75</v>
      </c>
      <c r="B131" s="1">
        <v>868</v>
      </c>
      <c r="C131" s="1">
        <v>3175</v>
      </c>
      <c r="D131" s="1">
        <v>1.8</v>
      </c>
      <c r="E131" s="1">
        <v>-0.8</v>
      </c>
      <c r="F131" s="1">
        <v>-0.2</v>
      </c>
      <c r="H131">
        <v>75</v>
      </c>
      <c r="I131">
        <v>901</v>
      </c>
      <c r="J131">
        <v>3416</v>
      </c>
      <c r="K131" s="1">
        <v>1.5</v>
      </c>
      <c r="L131" s="1">
        <v>-0.7</v>
      </c>
      <c r="M131" s="1">
        <v>-0.2</v>
      </c>
      <c r="N131" s="1"/>
      <c r="O131" s="1"/>
      <c r="P131" s="1"/>
      <c r="Q131" s="1"/>
      <c r="R131" s="1"/>
      <c r="S131" s="1"/>
    </row>
    <row r="132" spans="1:19" x14ac:dyDescent="0.25">
      <c r="A132" s="1">
        <v>100</v>
      </c>
      <c r="B132" s="1">
        <v>847</v>
      </c>
      <c r="C132" s="1">
        <v>3025</v>
      </c>
      <c r="D132" s="1">
        <v>2.1</v>
      </c>
      <c r="E132" s="1">
        <v>-0.7</v>
      </c>
      <c r="F132" s="1">
        <v>-0.2</v>
      </c>
      <c r="H132">
        <v>100</v>
      </c>
      <c r="I132">
        <v>890</v>
      </c>
      <c r="J132">
        <v>3337</v>
      </c>
      <c r="K132" s="1">
        <v>1.8</v>
      </c>
      <c r="L132" s="1">
        <v>-0.6</v>
      </c>
      <c r="M132" s="1">
        <v>-0.2</v>
      </c>
      <c r="N132" s="1"/>
      <c r="O132" s="1"/>
      <c r="P132" s="1"/>
      <c r="Q132" s="1"/>
      <c r="R132" s="1"/>
      <c r="S132" s="1"/>
    </row>
    <row r="133" spans="1:19" x14ac:dyDescent="0.25">
      <c r="A133" s="1">
        <v>125</v>
      </c>
      <c r="B133" s="1">
        <v>827</v>
      </c>
      <c r="C133" s="1">
        <v>2880</v>
      </c>
      <c r="D133" s="1">
        <v>1.5</v>
      </c>
      <c r="E133" s="1">
        <v>-0.4</v>
      </c>
      <c r="F133" s="1">
        <v>-0.1</v>
      </c>
      <c r="H133">
        <v>125</v>
      </c>
      <c r="I133">
        <v>880</v>
      </c>
      <c r="J133">
        <v>3259</v>
      </c>
      <c r="K133" s="1">
        <v>1.3</v>
      </c>
      <c r="L133" s="1">
        <v>-0.4</v>
      </c>
      <c r="M133" s="1">
        <v>-0.1</v>
      </c>
      <c r="N133" s="1"/>
      <c r="O133" s="1"/>
      <c r="P133" s="1"/>
      <c r="Q133" s="1"/>
      <c r="R133" s="1"/>
      <c r="S133" s="1"/>
    </row>
    <row r="134" spans="1:19" x14ac:dyDescent="0.25">
      <c r="A134" s="10">
        <v>150</v>
      </c>
      <c r="B134" s="10">
        <v>807</v>
      </c>
      <c r="C134" s="10">
        <v>2741</v>
      </c>
      <c r="D134" s="10">
        <v>0</v>
      </c>
      <c r="E134" s="10">
        <v>0</v>
      </c>
      <c r="F134" s="10">
        <v>0</v>
      </c>
      <c r="H134">
        <v>150</v>
      </c>
      <c r="I134">
        <v>869</v>
      </c>
      <c r="J134">
        <v>3182</v>
      </c>
      <c r="K134" s="1">
        <v>0</v>
      </c>
      <c r="L134" s="1">
        <v>0</v>
      </c>
      <c r="M134" s="1">
        <v>0</v>
      </c>
      <c r="N134" s="1"/>
      <c r="O134" s="1"/>
      <c r="P134" s="1"/>
      <c r="Q134" s="1"/>
      <c r="R134" s="1"/>
      <c r="S134" s="1"/>
    </row>
    <row r="135" spans="1:19" x14ac:dyDescent="0.25">
      <c r="A135" s="1">
        <v>175</v>
      </c>
      <c r="B135" s="1">
        <v>787</v>
      </c>
      <c r="C135" s="1">
        <v>2608</v>
      </c>
      <c r="D135" s="1">
        <v>-2.4</v>
      </c>
      <c r="E135" s="1">
        <v>0.5</v>
      </c>
      <c r="F135" s="1">
        <v>0.1</v>
      </c>
      <c r="H135">
        <v>175</v>
      </c>
      <c r="I135">
        <v>859</v>
      </c>
      <c r="J135">
        <v>3107</v>
      </c>
      <c r="K135" s="1">
        <v>-2.1</v>
      </c>
      <c r="L135" s="1">
        <v>0.4</v>
      </c>
      <c r="M135" s="1">
        <v>0.1</v>
      </c>
      <c r="N135" s="1"/>
      <c r="O135" s="1"/>
      <c r="P135" s="1"/>
      <c r="Q135" s="1"/>
      <c r="R135" s="1"/>
      <c r="S135" s="1"/>
    </row>
    <row r="136" spans="1:19" x14ac:dyDescent="0.25">
      <c r="A136" s="1">
        <v>200</v>
      </c>
      <c r="B136" s="1">
        <v>767</v>
      </c>
      <c r="C136" s="1">
        <v>2480</v>
      </c>
      <c r="D136" s="1">
        <v>-6</v>
      </c>
      <c r="E136" s="1">
        <v>1</v>
      </c>
      <c r="F136" s="1">
        <v>0.3</v>
      </c>
      <c r="H136">
        <v>200</v>
      </c>
      <c r="I136">
        <v>849</v>
      </c>
      <c r="J136">
        <v>3033</v>
      </c>
      <c r="K136" s="1">
        <v>-5.0999999999999996</v>
      </c>
      <c r="L136" s="1">
        <v>0.9</v>
      </c>
      <c r="M136" s="1">
        <v>0.3</v>
      </c>
      <c r="N136" s="1"/>
      <c r="O136" s="1"/>
      <c r="P136" s="1"/>
      <c r="Q136" s="1"/>
      <c r="R136" s="1"/>
      <c r="S136" s="1"/>
    </row>
    <row r="137" spans="1:19" x14ac:dyDescent="0.25">
      <c r="A137" s="1">
        <v>225</v>
      </c>
      <c r="B137" s="1">
        <v>748</v>
      </c>
      <c r="C137" s="1">
        <v>2357</v>
      </c>
      <c r="D137" s="1">
        <v>-10.5</v>
      </c>
      <c r="E137" s="1">
        <v>1.6</v>
      </c>
      <c r="F137" s="1">
        <v>0.5</v>
      </c>
      <c r="H137">
        <v>225</v>
      </c>
      <c r="I137">
        <v>838</v>
      </c>
      <c r="J137">
        <v>2961</v>
      </c>
      <c r="K137" s="1">
        <v>-8.9</v>
      </c>
      <c r="L137" s="1">
        <v>1.4</v>
      </c>
      <c r="M137" s="1">
        <v>0.4</v>
      </c>
      <c r="N137" s="1"/>
      <c r="O137" s="1"/>
      <c r="P137" s="1"/>
      <c r="Q137" s="1"/>
      <c r="R137" s="1"/>
      <c r="S137" s="1"/>
    </row>
    <row r="138" spans="1:19" x14ac:dyDescent="0.25">
      <c r="A138" s="1">
        <v>250</v>
      </c>
      <c r="B138" s="1">
        <v>729</v>
      </c>
      <c r="C138" s="1">
        <v>2238</v>
      </c>
      <c r="D138" s="1">
        <v>-16.2</v>
      </c>
      <c r="E138" s="1">
        <v>2.2000000000000002</v>
      </c>
      <c r="F138" s="1">
        <v>0.6</v>
      </c>
      <c r="H138">
        <v>250</v>
      </c>
      <c r="I138">
        <v>828</v>
      </c>
      <c r="J138">
        <v>2889</v>
      </c>
      <c r="K138" s="1">
        <v>-13.6</v>
      </c>
      <c r="L138" s="1">
        <v>1.9</v>
      </c>
      <c r="M138" s="1">
        <v>0.5</v>
      </c>
      <c r="N138" s="1"/>
      <c r="O138" s="1"/>
      <c r="P138" s="1"/>
      <c r="Q138" s="1"/>
      <c r="R138" s="1"/>
      <c r="S138" s="1"/>
    </row>
    <row r="139" spans="1:19" x14ac:dyDescent="0.25">
      <c r="A139" s="1">
        <v>275</v>
      </c>
      <c r="B139" s="1">
        <v>710</v>
      </c>
      <c r="C139" s="1">
        <v>2124</v>
      </c>
      <c r="D139" s="1">
        <v>-23.3</v>
      </c>
      <c r="E139" s="1">
        <v>2.9</v>
      </c>
      <c r="F139" s="1">
        <v>0.8</v>
      </c>
      <c r="H139">
        <v>275</v>
      </c>
      <c r="I139">
        <v>818</v>
      </c>
      <c r="J139">
        <v>2820</v>
      </c>
      <c r="K139" s="1">
        <v>-19.399999999999999</v>
      </c>
      <c r="L139" s="1">
        <v>2.4</v>
      </c>
      <c r="M139" s="1">
        <v>0.7</v>
      </c>
      <c r="N139" s="1"/>
      <c r="O139" s="1"/>
      <c r="P139" s="1"/>
      <c r="Q139" s="1"/>
      <c r="R139" s="1"/>
      <c r="S139" s="1"/>
    </row>
    <row r="140" spans="1:19" x14ac:dyDescent="0.25">
      <c r="A140" s="1">
        <v>300</v>
      </c>
      <c r="B140" s="1">
        <v>692</v>
      </c>
      <c r="C140" s="1">
        <v>2015</v>
      </c>
      <c r="D140" s="1">
        <v>-31.4</v>
      </c>
      <c r="E140" s="1">
        <v>3.6</v>
      </c>
      <c r="F140" s="1">
        <v>1</v>
      </c>
      <c r="H140">
        <v>300</v>
      </c>
      <c r="I140">
        <v>808</v>
      </c>
      <c r="J140">
        <v>2751</v>
      </c>
      <c r="K140" s="1">
        <v>-25.9</v>
      </c>
      <c r="L140" s="1">
        <v>3</v>
      </c>
      <c r="M140" s="1">
        <v>0.9</v>
      </c>
      <c r="N140" s="1"/>
      <c r="O140" s="1"/>
      <c r="P140" s="1"/>
      <c r="Q140" s="1"/>
      <c r="R140" s="1"/>
      <c r="S140" s="1"/>
    </row>
    <row r="141" spans="1:19" x14ac:dyDescent="0.25">
      <c r="A141" s="1">
        <v>325</v>
      </c>
      <c r="B141" s="1">
        <v>673</v>
      </c>
      <c r="C141" s="1">
        <v>1910</v>
      </c>
      <c r="D141" s="1">
        <v>-40.799999999999997</v>
      </c>
      <c r="E141" s="1">
        <v>4.3</v>
      </c>
      <c r="F141" s="1">
        <v>1.3</v>
      </c>
      <c r="H141">
        <v>325</v>
      </c>
      <c r="I141">
        <v>798</v>
      </c>
      <c r="J141">
        <v>2684</v>
      </c>
      <c r="K141" s="1">
        <v>-33.299999999999997</v>
      </c>
      <c r="L141" s="1">
        <v>3.5</v>
      </c>
      <c r="M141" s="1">
        <v>1</v>
      </c>
      <c r="N141" s="1"/>
      <c r="O141" s="1"/>
      <c r="P141" s="1"/>
      <c r="Q141" s="1"/>
      <c r="R141" s="1"/>
      <c r="S141" s="1"/>
    </row>
    <row r="142" spans="1:19" x14ac:dyDescent="0.25">
      <c r="A142" s="1">
        <v>350</v>
      </c>
      <c r="B142" s="1">
        <v>655</v>
      </c>
      <c r="C142" s="1">
        <v>1810</v>
      </c>
      <c r="D142" s="1">
        <v>-52.1</v>
      </c>
      <c r="E142" s="1">
        <v>5.0999999999999996</v>
      </c>
      <c r="F142" s="1">
        <v>1.5</v>
      </c>
      <c r="H142">
        <v>350</v>
      </c>
      <c r="I142">
        <v>788</v>
      </c>
      <c r="J142">
        <v>2618</v>
      </c>
      <c r="K142" s="1">
        <v>-42</v>
      </c>
      <c r="L142" s="1">
        <v>4.0999999999999996</v>
      </c>
      <c r="M142" s="1">
        <v>1.2</v>
      </c>
      <c r="N142" s="1"/>
      <c r="O142" s="1"/>
      <c r="P142" s="1"/>
      <c r="Q142" s="1"/>
      <c r="R142" s="1"/>
      <c r="S142" s="1"/>
    </row>
    <row r="143" spans="1:19" x14ac:dyDescent="0.25">
      <c r="A143" s="1">
        <v>375</v>
      </c>
      <c r="B143" s="1">
        <v>638</v>
      </c>
      <c r="C143" s="1">
        <v>1713</v>
      </c>
      <c r="D143" s="1">
        <v>-64.5</v>
      </c>
      <c r="E143" s="1">
        <v>5.9</v>
      </c>
      <c r="F143" s="1">
        <v>1.7</v>
      </c>
      <c r="H143">
        <v>375</v>
      </c>
      <c r="I143">
        <v>779</v>
      </c>
      <c r="J143">
        <v>2553</v>
      </c>
      <c r="K143" s="1">
        <v>-51.5</v>
      </c>
      <c r="L143" s="1">
        <v>4.7</v>
      </c>
      <c r="M143" s="1">
        <v>1.4</v>
      </c>
      <c r="N143" s="1"/>
      <c r="O143" s="1"/>
      <c r="P143" s="1"/>
      <c r="Q143" s="1"/>
      <c r="R143" s="1"/>
      <c r="S143" s="1"/>
    </row>
    <row r="144" spans="1:19" x14ac:dyDescent="0.25">
      <c r="A144" s="1">
        <v>400</v>
      </c>
      <c r="B144" s="1">
        <v>620</v>
      </c>
      <c r="C144" s="1">
        <v>1621</v>
      </c>
      <c r="D144" s="1">
        <v>-78.5</v>
      </c>
      <c r="E144" s="1">
        <v>6.8</v>
      </c>
      <c r="F144" s="1">
        <v>2</v>
      </c>
      <c r="H144">
        <v>400</v>
      </c>
      <c r="I144">
        <v>769</v>
      </c>
      <c r="J144">
        <v>2490</v>
      </c>
      <c r="K144" s="1">
        <v>-62</v>
      </c>
      <c r="L144" s="1">
        <v>5.3</v>
      </c>
      <c r="M144" s="1">
        <v>1.6</v>
      </c>
      <c r="N144" s="1"/>
      <c r="O144" s="1"/>
      <c r="P144" s="1"/>
      <c r="Q144" s="1"/>
      <c r="R144" s="1"/>
      <c r="S144" s="1"/>
    </row>
    <row r="145" spans="1:19" x14ac:dyDescent="0.25">
      <c r="A145" s="1">
        <v>425</v>
      </c>
      <c r="B145" s="1">
        <v>603</v>
      </c>
      <c r="C145" s="1">
        <v>1533</v>
      </c>
      <c r="D145" s="1">
        <v>-94.8</v>
      </c>
      <c r="E145" s="1">
        <v>7.7</v>
      </c>
      <c r="F145" s="1">
        <v>2.2000000000000002</v>
      </c>
      <c r="H145">
        <v>425</v>
      </c>
      <c r="I145">
        <v>759</v>
      </c>
      <c r="J145">
        <v>2427</v>
      </c>
      <c r="K145" s="1">
        <v>-73.900000000000006</v>
      </c>
      <c r="L145" s="1">
        <v>6</v>
      </c>
      <c r="M145" s="1">
        <v>1.7</v>
      </c>
      <c r="N145" s="1"/>
      <c r="O145" s="1"/>
      <c r="P145" s="1"/>
      <c r="Q145" s="1"/>
      <c r="R145" s="1"/>
      <c r="S145" s="1"/>
    </row>
    <row r="146" spans="1:19" x14ac:dyDescent="0.25">
      <c r="A146" s="1">
        <v>450</v>
      </c>
      <c r="B146" s="1">
        <v>586</v>
      </c>
      <c r="C146" s="1">
        <v>1448</v>
      </c>
      <c r="D146" s="1">
        <v>-112.4</v>
      </c>
      <c r="E146" s="1">
        <v>8.6</v>
      </c>
      <c r="F146" s="1">
        <v>2.5</v>
      </c>
      <c r="H146">
        <v>450</v>
      </c>
      <c r="I146">
        <v>749</v>
      </c>
      <c r="J146">
        <v>2366</v>
      </c>
      <c r="K146" s="1">
        <v>-86.6</v>
      </c>
      <c r="L146" s="1">
        <v>6.6</v>
      </c>
      <c r="M146" s="1">
        <v>1.9</v>
      </c>
      <c r="N146" s="1"/>
      <c r="O146" s="1"/>
      <c r="P146" s="1"/>
      <c r="Q146" s="1"/>
      <c r="R146" s="1"/>
      <c r="S146" s="1"/>
    </row>
    <row r="147" spans="1:19" x14ac:dyDescent="0.25">
      <c r="A147" s="1">
        <v>475</v>
      </c>
      <c r="B147" s="1">
        <v>570</v>
      </c>
      <c r="C147" s="1">
        <v>1368</v>
      </c>
      <c r="D147" s="1">
        <v>-131.9</v>
      </c>
      <c r="E147" s="1">
        <v>9.6</v>
      </c>
      <c r="F147" s="1">
        <v>2.8</v>
      </c>
      <c r="H147">
        <v>475</v>
      </c>
      <c r="I147">
        <v>740</v>
      </c>
      <c r="J147">
        <v>2306</v>
      </c>
      <c r="K147" s="1">
        <v>-100.3</v>
      </c>
      <c r="L147" s="1">
        <v>7.3</v>
      </c>
      <c r="M147" s="1">
        <v>2.1</v>
      </c>
      <c r="N147" s="1"/>
      <c r="O147" s="1"/>
      <c r="P147" s="1"/>
      <c r="Q147" s="1"/>
      <c r="R147" s="1"/>
      <c r="S147" s="1"/>
    </row>
    <row r="148" spans="1:19" x14ac:dyDescent="0.25">
      <c r="A148" s="1">
        <v>500</v>
      </c>
      <c r="B148" s="1">
        <v>554</v>
      </c>
      <c r="C148" s="1">
        <v>1294</v>
      </c>
      <c r="D148" s="1">
        <v>-153.4</v>
      </c>
      <c r="E148" s="1">
        <v>10.6</v>
      </c>
      <c r="F148" s="1">
        <v>3.1</v>
      </c>
      <c r="H148">
        <v>500</v>
      </c>
      <c r="I148">
        <v>731</v>
      </c>
      <c r="J148">
        <v>2250</v>
      </c>
      <c r="K148" s="1">
        <v>-115.2</v>
      </c>
      <c r="L148" s="1">
        <v>7.9</v>
      </c>
      <c r="M148" s="1">
        <v>2.2999999999999998</v>
      </c>
      <c r="N148" s="1"/>
      <c r="O148" s="1"/>
      <c r="P148" s="1"/>
      <c r="Q148" s="1"/>
      <c r="R148" s="1"/>
      <c r="S148" s="1"/>
    </row>
    <row r="150" spans="1:19" x14ac:dyDescent="0.25">
      <c r="A150" t="s">
        <v>73</v>
      </c>
      <c r="H150" t="s">
        <v>80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H151" t="s">
        <v>12</v>
      </c>
      <c r="I151" t="s">
        <v>13</v>
      </c>
      <c r="J151" t="s">
        <v>14</v>
      </c>
      <c r="K151" t="s">
        <v>15</v>
      </c>
      <c r="L151" t="s">
        <v>16</v>
      </c>
      <c r="M151" t="s">
        <v>17</v>
      </c>
    </row>
    <row r="152" spans="1:19" x14ac:dyDescent="0.25">
      <c r="A152" s="1">
        <v>0</v>
      </c>
      <c r="B152" s="1">
        <v>933</v>
      </c>
      <c r="C152" s="1">
        <v>3664</v>
      </c>
      <c r="D152" s="1">
        <v>-3.8</v>
      </c>
      <c r="E152" s="1">
        <v>0</v>
      </c>
      <c r="F152" s="1">
        <v>0</v>
      </c>
      <c r="H152">
        <v>0</v>
      </c>
      <c r="I152">
        <v>933</v>
      </c>
      <c r="J152">
        <v>3664</v>
      </c>
      <c r="K152" s="1">
        <v>-3.8</v>
      </c>
      <c r="L152" s="1">
        <v>0</v>
      </c>
      <c r="M152" s="1">
        <v>0</v>
      </c>
      <c r="N152" s="1"/>
      <c r="O152" s="1"/>
      <c r="P152" s="1"/>
      <c r="Q152" s="1"/>
      <c r="R152" s="1"/>
      <c r="S152" s="1"/>
    </row>
    <row r="153" spans="1:19" x14ac:dyDescent="0.25">
      <c r="A153" s="1">
        <v>25</v>
      </c>
      <c r="B153" s="1">
        <v>911</v>
      </c>
      <c r="C153" s="1">
        <v>3494</v>
      </c>
      <c r="D153" s="1">
        <v>-0.4</v>
      </c>
      <c r="E153" s="1">
        <v>0.6</v>
      </c>
      <c r="F153" s="1">
        <v>0.2</v>
      </c>
      <c r="H153">
        <v>25</v>
      </c>
      <c r="I153">
        <v>922</v>
      </c>
      <c r="J153">
        <v>3580</v>
      </c>
      <c r="K153" s="1">
        <v>-0.7</v>
      </c>
      <c r="L153" s="1">
        <v>0.9</v>
      </c>
      <c r="M153" s="1">
        <v>0.3</v>
      </c>
      <c r="N153" s="1"/>
      <c r="O153" s="1"/>
      <c r="P153" s="1"/>
      <c r="Q153" s="1"/>
      <c r="R153" s="1"/>
      <c r="S153" s="1"/>
    </row>
    <row r="154" spans="1:19" x14ac:dyDescent="0.25">
      <c r="A154" s="1">
        <v>50</v>
      </c>
      <c r="B154" s="1">
        <v>889</v>
      </c>
      <c r="C154" s="1">
        <v>3331</v>
      </c>
      <c r="D154" s="1">
        <v>2.2999999999999998</v>
      </c>
      <c r="E154" s="1">
        <v>-1.5</v>
      </c>
      <c r="F154" s="1">
        <v>-0.4</v>
      </c>
      <c r="H154">
        <v>50</v>
      </c>
      <c r="I154">
        <v>911</v>
      </c>
      <c r="J154">
        <v>3497</v>
      </c>
      <c r="K154" s="1">
        <v>1.8</v>
      </c>
      <c r="L154" s="1">
        <v>-1.2</v>
      </c>
      <c r="M154" s="1">
        <v>-0.4</v>
      </c>
      <c r="N154" s="1"/>
      <c r="O154" s="1"/>
      <c r="P154" s="1"/>
      <c r="Q154" s="1"/>
      <c r="R154" s="1"/>
      <c r="S154" s="1"/>
    </row>
    <row r="155" spans="1:19" x14ac:dyDescent="0.25">
      <c r="A155" s="1">
        <v>75</v>
      </c>
      <c r="B155" s="1">
        <v>868</v>
      </c>
      <c r="C155" s="1">
        <v>3175</v>
      </c>
      <c r="D155" s="1">
        <v>4.0999999999999996</v>
      </c>
      <c r="E155" s="1">
        <v>-1.9</v>
      </c>
      <c r="F155" s="1">
        <v>-0.5</v>
      </c>
      <c r="H155">
        <v>75</v>
      </c>
      <c r="I155">
        <v>901</v>
      </c>
      <c r="J155">
        <v>3416</v>
      </c>
      <c r="K155" s="1">
        <v>3.4</v>
      </c>
      <c r="L155" s="1">
        <v>-1.6</v>
      </c>
      <c r="M155" s="1">
        <v>-0.5</v>
      </c>
      <c r="N155" s="1"/>
      <c r="O155" s="1"/>
      <c r="P155" s="1"/>
      <c r="Q155" s="1"/>
      <c r="R155" s="1"/>
      <c r="S155" s="1"/>
    </row>
    <row r="156" spans="1:19" x14ac:dyDescent="0.25">
      <c r="A156" s="1">
        <v>100</v>
      </c>
      <c r="B156" s="1">
        <v>847</v>
      </c>
      <c r="C156" s="1">
        <v>3025</v>
      </c>
      <c r="D156" s="1">
        <v>5.0999999999999996</v>
      </c>
      <c r="E156" s="1">
        <v>-1.8</v>
      </c>
      <c r="F156" s="1">
        <v>-0.5</v>
      </c>
      <c r="H156">
        <v>100</v>
      </c>
      <c r="I156">
        <v>890</v>
      </c>
      <c r="J156">
        <v>3337</v>
      </c>
      <c r="K156" s="1">
        <v>4.3</v>
      </c>
      <c r="L156" s="1">
        <v>-1.5</v>
      </c>
      <c r="M156" s="1">
        <v>-0.4</v>
      </c>
      <c r="N156" s="1"/>
      <c r="O156" s="1"/>
      <c r="P156" s="1"/>
      <c r="Q156" s="1"/>
      <c r="R156" s="1"/>
      <c r="S156" s="1"/>
    </row>
    <row r="157" spans="1:19" x14ac:dyDescent="0.25">
      <c r="A157" s="1">
        <v>125</v>
      </c>
      <c r="B157" s="1">
        <v>827</v>
      </c>
      <c r="C157" s="1">
        <v>2880</v>
      </c>
      <c r="D157" s="1">
        <v>5.3</v>
      </c>
      <c r="E157" s="1">
        <v>-1.4</v>
      </c>
      <c r="F157" s="1">
        <v>-0.4</v>
      </c>
      <c r="H157">
        <v>125</v>
      </c>
      <c r="I157">
        <v>880</v>
      </c>
      <c r="J157">
        <v>3259</v>
      </c>
      <c r="K157" s="1">
        <v>4.5</v>
      </c>
      <c r="L157" s="1">
        <v>-1.2</v>
      </c>
      <c r="M157" s="1">
        <v>-0.4</v>
      </c>
      <c r="N157" s="1"/>
      <c r="O157" s="1"/>
      <c r="P157" s="1"/>
      <c r="Q157" s="1"/>
      <c r="R157" s="1"/>
      <c r="S157" s="1"/>
    </row>
    <row r="158" spans="1:19" x14ac:dyDescent="0.25">
      <c r="A158" s="1">
        <v>150</v>
      </c>
      <c r="B158" s="1">
        <v>807</v>
      </c>
      <c r="C158" s="1">
        <v>2741</v>
      </c>
      <c r="D158" s="1">
        <v>4.5</v>
      </c>
      <c r="E158" s="1">
        <v>-1</v>
      </c>
      <c r="F158" s="1">
        <v>-0.3</v>
      </c>
      <c r="H158">
        <v>150</v>
      </c>
      <c r="I158">
        <v>869</v>
      </c>
      <c r="J158">
        <v>3182</v>
      </c>
      <c r="K158" s="1">
        <v>3.8</v>
      </c>
      <c r="L158" s="1">
        <v>-0.9</v>
      </c>
      <c r="M158" s="1">
        <v>-0.3</v>
      </c>
      <c r="N158" s="1"/>
      <c r="O158" s="1"/>
      <c r="P158" s="1"/>
      <c r="Q158" s="1"/>
      <c r="R158" s="1"/>
      <c r="S158" s="1"/>
    </row>
    <row r="159" spans="1:19" x14ac:dyDescent="0.25">
      <c r="A159" s="1">
        <v>175</v>
      </c>
      <c r="B159" s="1">
        <v>787</v>
      </c>
      <c r="C159" s="1">
        <v>2608</v>
      </c>
      <c r="D159" s="1">
        <v>2.8</v>
      </c>
      <c r="E159" s="1">
        <v>-0.6</v>
      </c>
      <c r="F159" s="1">
        <v>-0.2</v>
      </c>
      <c r="H159">
        <v>175</v>
      </c>
      <c r="I159">
        <v>859</v>
      </c>
      <c r="J159">
        <v>3107</v>
      </c>
      <c r="K159" s="1">
        <v>2.4</v>
      </c>
      <c r="L159" s="1">
        <v>-0.5</v>
      </c>
      <c r="M159" s="1">
        <v>-0.1</v>
      </c>
      <c r="N159" s="1"/>
      <c r="O159" s="1"/>
      <c r="P159" s="1"/>
      <c r="Q159" s="1"/>
      <c r="R159" s="1"/>
      <c r="S159" s="1"/>
    </row>
    <row r="160" spans="1:19" x14ac:dyDescent="0.25">
      <c r="A160" s="10">
        <v>200</v>
      </c>
      <c r="B160" s="10">
        <v>767</v>
      </c>
      <c r="C160" s="10">
        <v>2480</v>
      </c>
      <c r="D160" s="10">
        <v>0</v>
      </c>
      <c r="E160" s="10">
        <v>0</v>
      </c>
      <c r="F160" s="10">
        <v>0</v>
      </c>
      <c r="H160">
        <v>200</v>
      </c>
      <c r="I160">
        <v>849</v>
      </c>
      <c r="J160">
        <v>3033</v>
      </c>
      <c r="K160" s="1">
        <v>0</v>
      </c>
      <c r="L160" s="1">
        <v>0</v>
      </c>
      <c r="M160" s="1">
        <v>0</v>
      </c>
      <c r="N160" s="1"/>
      <c r="O160" s="1"/>
      <c r="P160" s="1"/>
      <c r="Q160" s="1"/>
      <c r="R160" s="1"/>
      <c r="S160" s="1"/>
    </row>
    <row r="161" spans="1:19" x14ac:dyDescent="0.25">
      <c r="A161" s="1">
        <v>225</v>
      </c>
      <c r="B161" s="1">
        <v>748</v>
      </c>
      <c r="C161" s="1">
        <v>2357</v>
      </c>
      <c r="D161" s="1">
        <v>-3.8</v>
      </c>
      <c r="E161" s="1">
        <v>0.6</v>
      </c>
      <c r="F161" s="1">
        <v>0.2</v>
      </c>
      <c r="H161">
        <v>225</v>
      </c>
      <c r="I161">
        <v>838</v>
      </c>
      <c r="J161">
        <v>2961</v>
      </c>
      <c r="K161" s="1">
        <v>-3.2</v>
      </c>
      <c r="L161" s="1">
        <v>0.5</v>
      </c>
      <c r="M161" s="1">
        <v>0.1</v>
      </c>
      <c r="N161" s="1"/>
      <c r="O161" s="1"/>
      <c r="P161" s="1"/>
      <c r="Q161" s="1"/>
      <c r="R161" s="1"/>
      <c r="S161" s="1"/>
    </row>
    <row r="162" spans="1:19" x14ac:dyDescent="0.25">
      <c r="A162" s="1">
        <v>250</v>
      </c>
      <c r="B162" s="1">
        <v>729</v>
      </c>
      <c r="C162" s="1">
        <v>2238</v>
      </c>
      <c r="D162" s="1">
        <v>-8.6999999999999993</v>
      </c>
      <c r="E162" s="1">
        <v>1.2</v>
      </c>
      <c r="F162" s="1">
        <v>0.3</v>
      </c>
      <c r="H162">
        <v>250</v>
      </c>
      <c r="I162">
        <v>828</v>
      </c>
      <c r="J162">
        <v>2889</v>
      </c>
      <c r="K162" s="1">
        <v>-7.2</v>
      </c>
      <c r="L162" s="1">
        <v>1</v>
      </c>
      <c r="M162" s="1">
        <v>0.3</v>
      </c>
      <c r="N162" s="1"/>
      <c r="O162" s="1"/>
      <c r="P162" s="1"/>
      <c r="Q162" s="1"/>
      <c r="R162" s="1"/>
      <c r="S162" s="1"/>
    </row>
    <row r="163" spans="1:19" x14ac:dyDescent="0.25">
      <c r="A163" s="1">
        <v>275</v>
      </c>
      <c r="B163" s="1">
        <v>710</v>
      </c>
      <c r="C163" s="1">
        <v>2124</v>
      </c>
      <c r="D163" s="1">
        <v>-15</v>
      </c>
      <c r="E163" s="1">
        <v>1.9</v>
      </c>
      <c r="F163" s="1">
        <v>0.5</v>
      </c>
      <c r="H163">
        <v>275</v>
      </c>
      <c r="I163">
        <v>818</v>
      </c>
      <c r="J163">
        <v>2820</v>
      </c>
      <c r="K163" s="1">
        <v>-12.4</v>
      </c>
      <c r="L163" s="1">
        <v>1.5</v>
      </c>
      <c r="M163" s="1">
        <v>0.4</v>
      </c>
      <c r="N163" s="1"/>
      <c r="O163" s="1"/>
      <c r="P163" s="1"/>
      <c r="Q163" s="1"/>
      <c r="R163" s="1"/>
      <c r="S163" s="1"/>
    </row>
    <row r="164" spans="1:19" x14ac:dyDescent="0.25">
      <c r="A164" s="1">
        <v>300</v>
      </c>
      <c r="B164" s="1">
        <v>692</v>
      </c>
      <c r="C164" s="1">
        <v>2015</v>
      </c>
      <c r="D164" s="1">
        <v>-22.4</v>
      </c>
      <c r="E164" s="1">
        <v>2.6</v>
      </c>
      <c r="F164" s="1">
        <v>0.7</v>
      </c>
      <c r="H164">
        <v>300</v>
      </c>
      <c r="I164">
        <v>808</v>
      </c>
      <c r="J164">
        <v>2751</v>
      </c>
      <c r="K164" s="1">
        <v>-18.2</v>
      </c>
      <c r="L164" s="1">
        <v>2.1</v>
      </c>
      <c r="M164" s="1">
        <v>0.6</v>
      </c>
      <c r="N164" s="1"/>
      <c r="O164" s="1"/>
      <c r="P164" s="1"/>
      <c r="Q164" s="1"/>
      <c r="R164" s="1"/>
      <c r="S164" s="1"/>
    </row>
    <row r="165" spans="1:19" x14ac:dyDescent="0.25">
      <c r="A165" s="1">
        <v>325</v>
      </c>
      <c r="B165" s="1">
        <v>673</v>
      </c>
      <c r="C165" s="1">
        <v>1910</v>
      </c>
      <c r="D165" s="1">
        <v>-31.2</v>
      </c>
      <c r="E165" s="1">
        <v>3.3</v>
      </c>
      <c r="F165" s="1">
        <v>1</v>
      </c>
      <c r="H165">
        <v>325</v>
      </c>
      <c r="I165">
        <v>798</v>
      </c>
      <c r="J165">
        <v>2684</v>
      </c>
      <c r="K165" s="1">
        <v>-25.1</v>
      </c>
      <c r="L165" s="1">
        <v>2.7</v>
      </c>
      <c r="M165" s="1">
        <v>0.8</v>
      </c>
      <c r="N165" s="1"/>
      <c r="O165" s="1"/>
      <c r="P165" s="1"/>
      <c r="Q165" s="1"/>
      <c r="R165" s="1"/>
      <c r="S165" s="1"/>
    </row>
    <row r="166" spans="1:19" x14ac:dyDescent="0.25">
      <c r="A166" s="1">
        <v>350</v>
      </c>
      <c r="B166" s="1">
        <v>655</v>
      </c>
      <c r="C166" s="1">
        <v>1810</v>
      </c>
      <c r="D166" s="1">
        <v>-41.7</v>
      </c>
      <c r="E166" s="1">
        <v>4.0999999999999996</v>
      </c>
      <c r="F166" s="1">
        <v>1.2</v>
      </c>
      <c r="H166">
        <v>350</v>
      </c>
      <c r="I166">
        <v>788</v>
      </c>
      <c r="J166">
        <v>2618</v>
      </c>
      <c r="K166" s="1">
        <v>-33.200000000000003</v>
      </c>
      <c r="L166" s="1">
        <v>3.3</v>
      </c>
      <c r="M166" s="1">
        <v>0.9</v>
      </c>
      <c r="N166" s="1"/>
      <c r="O166" s="1"/>
      <c r="P166" s="1"/>
      <c r="Q166" s="1"/>
      <c r="R166" s="1"/>
      <c r="S166" s="1"/>
    </row>
    <row r="167" spans="1:19" x14ac:dyDescent="0.25">
      <c r="A167" s="1">
        <v>375</v>
      </c>
      <c r="B167" s="1">
        <v>638</v>
      </c>
      <c r="C167" s="1">
        <v>1713</v>
      </c>
      <c r="D167" s="1">
        <v>-53.4</v>
      </c>
      <c r="E167" s="1">
        <v>4.9000000000000004</v>
      </c>
      <c r="F167" s="1">
        <v>1.4</v>
      </c>
      <c r="H167">
        <v>375</v>
      </c>
      <c r="I167">
        <v>779</v>
      </c>
      <c r="J167">
        <v>2553</v>
      </c>
      <c r="K167" s="1">
        <v>-42</v>
      </c>
      <c r="L167" s="1">
        <v>3.8</v>
      </c>
      <c r="M167" s="1">
        <v>1.1000000000000001</v>
      </c>
      <c r="N167" s="1"/>
      <c r="O167" s="1"/>
      <c r="P167" s="1"/>
      <c r="Q167" s="1"/>
      <c r="R167" s="1"/>
      <c r="S167" s="1"/>
    </row>
    <row r="168" spans="1:19" x14ac:dyDescent="0.25">
      <c r="A168" s="1">
        <v>400</v>
      </c>
      <c r="B168" s="1">
        <v>620</v>
      </c>
      <c r="C168" s="1">
        <v>1621</v>
      </c>
      <c r="D168" s="1">
        <v>-66.599999999999994</v>
      </c>
      <c r="E168" s="1">
        <v>5.7</v>
      </c>
      <c r="F168" s="1">
        <v>1.7</v>
      </c>
      <c r="H168">
        <v>400</v>
      </c>
      <c r="I168">
        <v>769</v>
      </c>
      <c r="J168">
        <v>2490</v>
      </c>
      <c r="K168" s="1">
        <v>-51.8</v>
      </c>
      <c r="L168" s="1">
        <v>4.5</v>
      </c>
      <c r="M168" s="1">
        <v>1.3</v>
      </c>
      <c r="N168" s="1"/>
      <c r="O168" s="1"/>
      <c r="P168" s="1"/>
      <c r="Q168" s="1"/>
      <c r="R168" s="1"/>
      <c r="S168" s="1"/>
    </row>
    <row r="169" spans="1:19" x14ac:dyDescent="0.25">
      <c r="A169" s="1">
        <v>425</v>
      </c>
      <c r="B169" s="1">
        <v>603</v>
      </c>
      <c r="C169" s="1">
        <v>1533</v>
      </c>
      <c r="D169" s="1">
        <v>-82.2</v>
      </c>
      <c r="E169" s="1">
        <v>6.6</v>
      </c>
      <c r="F169" s="1">
        <v>1.9</v>
      </c>
      <c r="H169">
        <v>425</v>
      </c>
      <c r="I169">
        <v>759</v>
      </c>
      <c r="J169">
        <v>2427</v>
      </c>
      <c r="K169" s="1">
        <v>-63.1</v>
      </c>
      <c r="L169" s="1">
        <v>5.0999999999999996</v>
      </c>
      <c r="M169" s="1">
        <v>1.5</v>
      </c>
      <c r="N169" s="1"/>
      <c r="O169" s="1"/>
      <c r="P169" s="1"/>
      <c r="Q169" s="1"/>
      <c r="R169" s="1"/>
      <c r="S169" s="1"/>
    </row>
    <row r="170" spans="1:19" x14ac:dyDescent="0.25">
      <c r="A170" s="1">
        <v>450</v>
      </c>
      <c r="B170" s="1">
        <v>586</v>
      </c>
      <c r="C170" s="1">
        <v>1448</v>
      </c>
      <c r="D170" s="1">
        <v>-99</v>
      </c>
      <c r="E170" s="1">
        <v>7.6</v>
      </c>
      <c r="F170" s="1">
        <v>2.2000000000000002</v>
      </c>
      <c r="H170">
        <v>450</v>
      </c>
      <c r="I170">
        <v>749</v>
      </c>
      <c r="J170">
        <v>2366</v>
      </c>
      <c r="K170" s="1">
        <v>-75.2</v>
      </c>
      <c r="L170" s="1">
        <v>5.7</v>
      </c>
      <c r="M170" s="1">
        <v>1.7</v>
      </c>
      <c r="N170" s="1"/>
      <c r="O170" s="1"/>
      <c r="P170" s="1"/>
      <c r="Q170" s="1"/>
      <c r="R170" s="1"/>
      <c r="S170" s="1"/>
    </row>
    <row r="171" spans="1:19" x14ac:dyDescent="0.25">
      <c r="A171" s="1">
        <v>475</v>
      </c>
      <c r="B171" s="1">
        <v>570</v>
      </c>
      <c r="C171" s="1">
        <v>1368</v>
      </c>
      <c r="D171" s="1">
        <v>-117.7</v>
      </c>
      <c r="E171" s="1">
        <v>8.5</v>
      </c>
      <c r="F171" s="1">
        <v>2.5</v>
      </c>
      <c r="H171">
        <v>475</v>
      </c>
      <c r="I171">
        <v>740</v>
      </c>
      <c r="J171">
        <v>2306</v>
      </c>
      <c r="K171" s="1">
        <v>-88.3</v>
      </c>
      <c r="L171" s="1">
        <v>6.4</v>
      </c>
      <c r="M171" s="1">
        <v>1.9</v>
      </c>
      <c r="N171" s="1"/>
      <c r="O171" s="1"/>
      <c r="P171" s="1"/>
      <c r="Q171" s="1"/>
      <c r="R171" s="1"/>
      <c r="S171" s="1"/>
    </row>
    <row r="172" spans="1:19" x14ac:dyDescent="0.25">
      <c r="A172" s="1">
        <v>500</v>
      </c>
      <c r="B172" s="1">
        <v>554</v>
      </c>
      <c r="C172" s="1">
        <v>1294</v>
      </c>
      <c r="D172" s="1">
        <v>-138.5</v>
      </c>
      <c r="E172" s="1">
        <v>9.5</v>
      </c>
      <c r="F172" s="1">
        <v>2.8</v>
      </c>
      <c r="H172">
        <v>500</v>
      </c>
      <c r="I172">
        <v>731</v>
      </c>
      <c r="J172">
        <v>2250</v>
      </c>
      <c r="K172" s="1">
        <v>-102.5</v>
      </c>
      <c r="L172" s="1">
        <v>7.1</v>
      </c>
      <c r="M172" s="1">
        <v>2.1</v>
      </c>
      <c r="N172" s="1"/>
      <c r="O172" s="1"/>
      <c r="P172" s="1"/>
      <c r="Q172" s="1"/>
      <c r="R172" s="1"/>
      <c r="S172" s="1"/>
    </row>
    <row r="174" spans="1:19" x14ac:dyDescent="0.25">
      <c r="A174" t="s">
        <v>74</v>
      </c>
      <c r="H174" t="s">
        <v>81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H175" t="s">
        <v>12</v>
      </c>
      <c r="I175" t="s">
        <v>13</v>
      </c>
      <c r="J175" t="s">
        <v>14</v>
      </c>
      <c r="K175" t="s">
        <v>15</v>
      </c>
      <c r="L175" t="s">
        <v>16</v>
      </c>
      <c r="M175" t="s">
        <v>17</v>
      </c>
    </row>
    <row r="176" spans="1:19" x14ac:dyDescent="0.25">
      <c r="A176" s="1">
        <v>0</v>
      </c>
      <c r="B176" s="1">
        <v>933</v>
      </c>
      <c r="C176" s="1">
        <v>3664</v>
      </c>
      <c r="D176" s="1">
        <v>-3.8</v>
      </c>
      <c r="E176" s="1">
        <v>0</v>
      </c>
      <c r="F176" s="1">
        <v>0</v>
      </c>
      <c r="H176">
        <v>0</v>
      </c>
      <c r="I176">
        <v>933</v>
      </c>
      <c r="J176">
        <v>3664</v>
      </c>
      <c r="K176" s="1">
        <v>-3.8</v>
      </c>
      <c r="L176" s="1">
        <v>0</v>
      </c>
      <c r="M176" s="1">
        <v>0</v>
      </c>
      <c r="N176" s="1"/>
      <c r="O176" s="1"/>
      <c r="P176" s="1"/>
      <c r="Q176" s="1"/>
      <c r="R176" s="1"/>
      <c r="S176" s="1"/>
    </row>
    <row r="177" spans="1:19" x14ac:dyDescent="0.25">
      <c r="A177" s="1">
        <v>25</v>
      </c>
      <c r="B177" s="1">
        <v>911</v>
      </c>
      <c r="C177" s="1">
        <v>3494</v>
      </c>
      <c r="D177" s="1">
        <v>1.4</v>
      </c>
      <c r="E177" s="1">
        <v>-2</v>
      </c>
      <c r="F177" s="1">
        <v>-0.6</v>
      </c>
      <c r="H177">
        <v>25</v>
      </c>
      <c r="I177">
        <v>922</v>
      </c>
      <c r="J177">
        <v>3580</v>
      </c>
      <c r="K177" s="1">
        <v>0.8</v>
      </c>
      <c r="L177" s="1">
        <v>-1.1000000000000001</v>
      </c>
      <c r="M177" s="1">
        <v>-0.3</v>
      </c>
      <c r="N177" s="1"/>
      <c r="O177" s="1"/>
      <c r="P177" s="1"/>
      <c r="Q177" s="1"/>
      <c r="R177" s="1"/>
      <c r="S177" s="1"/>
    </row>
    <row r="178" spans="1:19" x14ac:dyDescent="0.25">
      <c r="A178" s="1">
        <v>50</v>
      </c>
      <c r="B178" s="1">
        <v>889</v>
      </c>
      <c r="C178" s="1">
        <v>3331</v>
      </c>
      <c r="D178" s="1">
        <v>6</v>
      </c>
      <c r="E178" s="1">
        <v>-4.0999999999999996</v>
      </c>
      <c r="F178" s="1">
        <v>-1.2</v>
      </c>
      <c r="H178">
        <v>50</v>
      </c>
      <c r="I178">
        <v>911</v>
      </c>
      <c r="J178">
        <v>3497</v>
      </c>
      <c r="K178" s="1">
        <v>4.9000000000000004</v>
      </c>
      <c r="L178" s="1">
        <v>-3.3</v>
      </c>
      <c r="M178" s="1">
        <v>-1</v>
      </c>
      <c r="N178" s="1"/>
      <c r="O178" s="1"/>
      <c r="P178" s="1"/>
      <c r="Q178" s="1"/>
      <c r="R178" s="1"/>
      <c r="S178" s="1"/>
    </row>
    <row r="179" spans="1:19" x14ac:dyDescent="0.25">
      <c r="A179" s="1">
        <v>75</v>
      </c>
      <c r="B179" s="1">
        <v>868</v>
      </c>
      <c r="C179" s="1">
        <v>3175</v>
      </c>
      <c r="D179" s="1">
        <v>9.6999999999999993</v>
      </c>
      <c r="E179" s="1">
        <v>-4.4000000000000004</v>
      </c>
      <c r="F179" s="1">
        <v>-1.3</v>
      </c>
      <c r="H179">
        <v>75</v>
      </c>
      <c r="I179">
        <v>901</v>
      </c>
      <c r="J179">
        <v>3416</v>
      </c>
      <c r="K179" s="1">
        <v>8</v>
      </c>
      <c r="L179" s="1">
        <v>-3.7</v>
      </c>
      <c r="M179" s="1">
        <v>-1.1000000000000001</v>
      </c>
      <c r="N179" s="1"/>
      <c r="O179" s="1"/>
      <c r="P179" s="1"/>
      <c r="Q179" s="1"/>
      <c r="R179" s="1"/>
      <c r="S179" s="1"/>
    </row>
    <row r="180" spans="1:19" x14ac:dyDescent="0.25">
      <c r="A180" s="1">
        <v>100</v>
      </c>
      <c r="B180" s="1">
        <v>847</v>
      </c>
      <c r="C180" s="1">
        <v>3024</v>
      </c>
      <c r="D180" s="1">
        <v>12.6</v>
      </c>
      <c r="E180" s="1">
        <v>-4.3</v>
      </c>
      <c r="F180" s="1">
        <v>-1.3</v>
      </c>
      <c r="H180">
        <v>100</v>
      </c>
      <c r="I180">
        <v>890</v>
      </c>
      <c r="J180">
        <v>3337</v>
      </c>
      <c r="K180" s="1">
        <v>10.4</v>
      </c>
      <c r="L180" s="1">
        <v>-3.6</v>
      </c>
      <c r="M180" s="1">
        <v>-1</v>
      </c>
      <c r="N180" s="1"/>
      <c r="O180" s="1"/>
      <c r="P180" s="1"/>
      <c r="Q180" s="1"/>
      <c r="R180" s="1"/>
      <c r="S180" s="1"/>
    </row>
    <row r="181" spans="1:19" x14ac:dyDescent="0.25">
      <c r="A181" s="1">
        <v>125</v>
      </c>
      <c r="B181" s="1">
        <v>827</v>
      </c>
      <c r="C181" s="1">
        <v>2880</v>
      </c>
      <c r="D181" s="1">
        <v>14.7</v>
      </c>
      <c r="E181" s="1">
        <v>-4</v>
      </c>
      <c r="F181" s="1">
        <v>-1.2</v>
      </c>
      <c r="H181">
        <v>125</v>
      </c>
      <c r="I181">
        <v>880</v>
      </c>
      <c r="J181">
        <v>3259</v>
      </c>
      <c r="K181" s="1">
        <v>12.1</v>
      </c>
      <c r="L181" s="1">
        <v>-3.3</v>
      </c>
      <c r="M181" s="1">
        <v>-1</v>
      </c>
      <c r="N181" s="1"/>
      <c r="O181" s="1"/>
      <c r="P181" s="1"/>
      <c r="Q181" s="1"/>
      <c r="R181" s="1"/>
      <c r="S181" s="1"/>
    </row>
    <row r="182" spans="1:19" x14ac:dyDescent="0.25">
      <c r="A182" s="1">
        <v>150</v>
      </c>
      <c r="B182" s="1">
        <v>807</v>
      </c>
      <c r="C182" s="1">
        <v>2741</v>
      </c>
      <c r="D182" s="1">
        <v>15.8</v>
      </c>
      <c r="E182" s="1">
        <v>-3.6</v>
      </c>
      <c r="F182" s="1">
        <v>-1</v>
      </c>
      <c r="H182">
        <v>150</v>
      </c>
      <c r="I182">
        <v>869</v>
      </c>
      <c r="J182">
        <v>3182</v>
      </c>
      <c r="K182" s="1">
        <v>12.9</v>
      </c>
      <c r="L182" s="1">
        <v>-3</v>
      </c>
      <c r="M182" s="1">
        <v>-0.9</v>
      </c>
      <c r="N182" s="1"/>
      <c r="O182" s="1"/>
      <c r="P182" s="1"/>
      <c r="Q182" s="1"/>
      <c r="R182" s="1"/>
      <c r="S182" s="1"/>
    </row>
    <row r="183" spans="1:19" x14ac:dyDescent="0.25">
      <c r="A183" s="1">
        <v>175</v>
      </c>
      <c r="B183" s="1">
        <v>787</v>
      </c>
      <c r="C183" s="1">
        <v>2608</v>
      </c>
      <c r="D183" s="1">
        <v>15.9</v>
      </c>
      <c r="E183" s="1">
        <v>-3.1</v>
      </c>
      <c r="F183" s="1">
        <v>-0.9</v>
      </c>
      <c r="H183">
        <v>175</v>
      </c>
      <c r="I183">
        <v>859</v>
      </c>
      <c r="J183">
        <v>3107</v>
      </c>
      <c r="K183" s="1">
        <v>13</v>
      </c>
      <c r="L183" s="1">
        <v>-2.6</v>
      </c>
      <c r="M183" s="1">
        <v>-0.7</v>
      </c>
      <c r="N183" s="1"/>
      <c r="O183" s="1"/>
      <c r="P183" s="1"/>
      <c r="Q183" s="1"/>
      <c r="R183" s="1"/>
      <c r="S183" s="1"/>
    </row>
    <row r="184" spans="1:19" x14ac:dyDescent="0.25">
      <c r="A184" s="1">
        <v>200</v>
      </c>
      <c r="B184" s="1">
        <v>767</v>
      </c>
      <c r="C184" s="1">
        <v>2480</v>
      </c>
      <c r="D184" s="1">
        <v>15</v>
      </c>
      <c r="E184" s="1">
        <v>-2.6</v>
      </c>
      <c r="F184" s="1">
        <v>-0.7</v>
      </c>
      <c r="H184">
        <v>200</v>
      </c>
      <c r="I184">
        <v>849</v>
      </c>
      <c r="J184">
        <v>3033</v>
      </c>
      <c r="K184" s="1">
        <v>12.1</v>
      </c>
      <c r="L184" s="1">
        <v>-2.1</v>
      </c>
      <c r="M184" s="1">
        <v>-0.6</v>
      </c>
      <c r="N184" s="1"/>
      <c r="O184" s="1"/>
      <c r="P184" s="1"/>
      <c r="Q184" s="1"/>
      <c r="R184" s="1"/>
      <c r="S184" s="1"/>
    </row>
    <row r="185" spans="1:19" x14ac:dyDescent="0.25">
      <c r="A185" s="1">
        <v>225</v>
      </c>
      <c r="B185" s="1">
        <v>748</v>
      </c>
      <c r="C185" s="1">
        <v>2357</v>
      </c>
      <c r="D185" s="1">
        <v>13.1</v>
      </c>
      <c r="E185" s="1">
        <v>-2</v>
      </c>
      <c r="F185" s="1">
        <v>-0.6</v>
      </c>
      <c r="H185">
        <v>225</v>
      </c>
      <c r="I185">
        <v>838</v>
      </c>
      <c r="J185">
        <v>2961</v>
      </c>
      <c r="K185" s="1">
        <v>10.5</v>
      </c>
      <c r="L185" s="1">
        <v>-1.6</v>
      </c>
      <c r="M185" s="1">
        <v>-0.5</v>
      </c>
      <c r="N185" s="1"/>
      <c r="O185" s="1"/>
      <c r="P185" s="1"/>
      <c r="Q185" s="1"/>
      <c r="R185" s="1"/>
      <c r="S185" s="1"/>
    </row>
    <row r="186" spans="1:19" x14ac:dyDescent="0.25">
      <c r="A186" s="1">
        <v>250</v>
      </c>
      <c r="B186" s="1">
        <v>729</v>
      </c>
      <c r="C186" s="1">
        <v>2238</v>
      </c>
      <c r="D186" s="1">
        <v>10</v>
      </c>
      <c r="E186" s="1">
        <v>-1.4</v>
      </c>
      <c r="F186" s="1">
        <v>-0.4</v>
      </c>
      <c r="H186">
        <v>250</v>
      </c>
      <c r="I186">
        <v>828</v>
      </c>
      <c r="J186">
        <v>2889</v>
      </c>
      <c r="K186" s="1">
        <v>7.9</v>
      </c>
      <c r="L186" s="1">
        <v>-1.1000000000000001</v>
      </c>
      <c r="M186" s="1">
        <v>-0.3</v>
      </c>
      <c r="N186" s="1"/>
      <c r="O186" s="1"/>
      <c r="P186" s="1"/>
      <c r="Q186" s="1"/>
      <c r="R186" s="1"/>
      <c r="S186" s="1"/>
    </row>
    <row r="187" spans="1:19" x14ac:dyDescent="0.25">
      <c r="A187" s="1">
        <v>275</v>
      </c>
      <c r="B187" s="1">
        <v>710</v>
      </c>
      <c r="C187" s="1">
        <v>2124</v>
      </c>
      <c r="D187" s="1">
        <v>5.6</v>
      </c>
      <c r="E187" s="1">
        <v>-0.7</v>
      </c>
      <c r="F187" s="1">
        <v>-0.2</v>
      </c>
      <c r="H187">
        <v>275</v>
      </c>
      <c r="I187">
        <v>818</v>
      </c>
      <c r="J187">
        <v>2820</v>
      </c>
      <c r="K187" s="1">
        <v>4.4000000000000004</v>
      </c>
      <c r="L187" s="1">
        <v>-0.5</v>
      </c>
      <c r="M187" s="1">
        <v>-0.2</v>
      </c>
      <c r="N187" s="1"/>
      <c r="O187" s="1"/>
      <c r="P187" s="1"/>
      <c r="Q187" s="1"/>
      <c r="R187" s="1"/>
      <c r="S187" s="1"/>
    </row>
    <row r="188" spans="1:19" x14ac:dyDescent="0.25">
      <c r="A188" s="10">
        <v>300</v>
      </c>
      <c r="B188" s="10">
        <v>692</v>
      </c>
      <c r="C188" s="10">
        <v>2015</v>
      </c>
      <c r="D188" s="10">
        <v>0.1</v>
      </c>
      <c r="E188" s="10">
        <v>0</v>
      </c>
      <c r="F188" s="10">
        <v>0</v>
      </c>
      <c r="H188">
        <v>300</v>
      </c>
      <c r="I188">
        <v>808</v>
      </c>
      <c r="J188">
        <v>2751</v>
      </c>
      <c r="K188" s="1">
        <v>0</v>
      </c>
      <c r="L188" s="1">
        <v>0</v>
      </c>
      <c r="M188" s="1">
        <v>0</v>
      </c>
      <c r="N188" s="1"/>
      <c r="O188" s="1"/>
      <c r="P188" s="1"/>
      <c r="Q188" s="1"/>
      <c r="R188" s="1"/>
      <c r="S188" s="1"/>
    </row>
    <row r="189" spans="1:19" x14ac:dyDescent="0.25">
      <c r="A189" s="1">
        <v>325</v>
      </c>
      <c r="B189" s="1">
        <v>673</v>
      </c>
      <c r="C189" s="1">
        <v>1910</v>
      </c>
      <c r="D189" s="1">
        <v>-6.8</v>
      </c>
      <c r="E189" s="1">
        <v>0.7</v>
      </c>
      <c r="F189" s="1">
        <v>0.2</v>
      </c>
      <c r="H189">
        <v>325</v>
      </c>
      <c r="I189">
        <v>798</v>
      </c>
      <c r="J189">
        <v>2684</v>
      </c>
      <c r="K189" s="1">
        <v>-5.3</v>
      </c>
      <c r="L189" s="1">
        <v>0.6</v>
      </c>
      <c r="M189" s="1">
        <v>0.2</v>
      </c>
      <c r="N189" s="1"/>
      <c r="O189" s="1"/>
      <c r="P189" s="1"/>
      <c r="Q189" s="1"/>
      <c r="R189" s="1"/>
      <c r="S189" s="1"/>
    </row>
    <row r="190" spans="1:19" x14ac:dyDescent="0.25">
      <c r="A190" s="1">
        <v>350</v>
      </c>
      <c r="B190" s="1">
        <v>655</v>
      </c>
      <c r="C190" s="1">
        <v>1810</v>
      </c>
      <c r="D190" s="1">
        <v>-15.4</v>
      </c>
      <c r="E190" s="1">
        <v>1.5</v>
      </c>
      <c r="F190" s="1">
        <v>0.4</v>
      </c>
      <c r="H190">
        <v>350</v>
      </c>
      <c r="I190">
        <v>788</v>
      </c>
      <c r="J190">
        <v>2618</v>
      </c>
      <c r="K190" s="1">
        <v>-11.9</v>
      </c>
      <c r="L190" s="1">
        <v>1.2</v>
      </c>
      <c r="M190" s="1">
        <v>0.3</v>
      </c>
      <c r="N190" s="1"/>
      <c r="O190" s="1"/>
      <c r="P190" s="1"/>
      <c r="Q190" s="1"/>
      <c r="R190" s="1"/>
      <c r="S190" s="1"/>
    </row>
    <row r="191" spans="1:19" x14ac:dyDescent="0.25">
      <c r="A191" s="1">
        <v>375</v>
      </c>
      <c r="B191" s="1">
        <v>638</v>
      </c>
      <c r="C191" s="1">
        <v>1713</v>
      </c>
      <c r="D191" s="1">
        <v>-25.3</v>
      </c>
      <c r="E191" s="1">
        <v>2.2999999999999998</v>
      </c>
      <c r="F191" s="1">
        <v>0.7</v>
      </c>
      <c r="H191">
        <v>375</v>
      </c>
      <c r="I191">
        <v>779</v>
      </c>
      <c r="J191">
        <v>2553</v>
      </c>
      <c r="K191" s="1">
        <v>-19.2</v>
      </c>
      <c r="L191" s="1">
        <v>1.8</v>
      </c>
      <c r="M191" s="1">
        <v>0.5</v>
      </c>
      <c r="N191" s="1"/>
      <c r="O191" s="1"/>
      <c r="P191" s="1"/>
      <c r="Q191" s="1"/>
      <c r="R191" s="1"/>
      <c r="S191" s="1"/>
    </row>
    <row r="192" spans="1:19" x14ac:dyDescent="0.25">
      <c r="A192" s="1">
        <v>400</v>
      </c>
      <c r="B192" s="1">
        <v>620</v>
      </c>
      <c r="C192" s="1">
        <v>1621</v>
      </c>
      <c r="D192" s="1">
        <v>-36.700000000000003</v>
      </c>
      <c r="E192" s="1">
        <v>3.2</v>
      </c>
      <c r="F192" s="1">
        <v>0.9</v>
      </c>
      <c r="H192">
        <v>400</v>
      </c>
      <c r="I192">
        <v>769</v>
      </c>
      <c r="J192">
        <v>2490</v>
      </c>
      <c r="K192" s="1">
        <v>-27.5</v>
      </c>
      <c r="L192" s="1">
        <v>2.4</v>
      </c>
      <c r="M192" s="1">
        <v>0.7</v>
      </c>
      <c r="N192" s="1"/>
      <c r="O192" s="1"/>
      <c r="P192" s="1"/>
      <c r="Q192" s="1"/>
      <c r="R192" s="1"/>
      <c r="S192" s="1"/>
    </row>
    <row r="193" spans="1:19" x14ac:dyDescent="0.25">
      <c r="A193" s="1">
        <v>425</v>
      </c>
      <c r="B193" s="1">
        <v>603</v>
      </c>
      <c r="C193" s="1">
        <v>1533</v>
      </c>
      <c r="D193" s="1">
        <v>-50.3</v>
      </c>
      <c r="E193" s="1">
        <v>4.0999999999999996</v>
      </c>
      <c r="F193" s="1">
        <v>1.2</v>
      </c>
      <c r="H193">
        <v>425</v>
      </c>
      <c r="I193">
        <v>759</v>
      </c>
      <c r="J193">
        <v>2427</v>
      </c>
      <c r="K193" s="1">
        <v>-37.299999999999997</v>
      </c>
      <c r="L193" s="1">
        <v>3</v>
      </c>
      <c r="M193" s="1">
        <v>0.9</v>
      </c>
      <c r="N193" s="1"/>
      <c r="O193" s="1"/>
      <c r="P193" s="1"/>
      <c r="Q193" s="1"/>
      <c r="R193" s="1"/>
      <c r="S193" s="1"/>
    </row>
    <row r="194" spans="1:19" x14ac:dyDescent="0.25">
      <c r="A194" s="1">
        <v>450</v>
      </c>
      <c r="B194" s="1">
        <v>586</v>
      </c>
      <c r="C194" s="1">
        <v>1448</v>
      </c>
      <c r="D194" s="1">
        <v>-65.3</v>
      </c>
      <c r="E194" s="1">
        <v>5</v>
      </c>
      <c r="F194" s="1">
        <v>1.5</v>
      </c>
      <c r="H194">
        <v>450</v>
      </c>
      <c r="I194">
        <v>749</v>
      </c>
      <c r="J194">
        <v>2366</v>
      </c>
      <c r="K194" s="1">
        <v>-47.8</v>
      </c>
      <c r="L194" s="1">
        <v>3.7</v>
      </c>
      <c r="M194" s="1">
        <v>1.1000000000000001</v>
      </c>
      <c r="N194" s="1"/>
      <c r="O194" s="1"/>
      <c r="P194" s="1"/>
      <c r="Q194" s="1"/>
      <c r="R194" s="1"/>
      <c r="S194" s="1"/>
    </row>
    <row r="195" spans="1:19" x14ac:dyDescent="0.25">
      <c r="A195" s="1">
        <v>475</v>
      </c>
      <c r="B195" s="1">
        <v>570</v>
      </c>
      <c r="C195" s="1">
        <v>1368</v>
      </c>
      <c r="D195" s="1">
        <v>-82.1</v>
      </c>
      <c r="E195" s="1">
        <v>5.9</v>
      </c>
      <c r="F195" s="1">
        <v>1.7</v>
      </c>
      <c r="H195">
        <v>475</v>
      </c>
      <c r="I195">
        <v>740</v>
      </c>
      <c r="J195">
        <v>2306</v>
      </c>
      <c r="K195" s="1">
        <v>-59.4</v>
      </c>
      <c r="L195" s="1">
        <v>4.3</v>
      </c>
      <c r="M195" s="1">
        <v>1.3</v>
      </c>
      <c r="N195" s="1"/>
      <c r="O195" s="1"/>
      <c r="P195" s="1"/>
      <c r="Q195" s="1"/>
      <c r="R195" s="1"/>
      <c r="S195" s="1"/>
    </row>
    <row r="196" spans="1:19" x14ac:dyDescent="0.25">
      <c r="A196" s="1">
        <v>500</v>
      </c>
      <c r="B196" s="1">
        <v>554</v>
      </c>
      <c r="C196" s="1">
        <v>1294</v>
      </c>
      <c r="D196" s="1">
        <v>-101.1</v>
      </c>
      <c r="E196" s="1">
        <v>7</v>
      </c>
      <c r="F196" s="1">
        <v>2</v>
      </c>
      <c r="H196">
        <v>500</v>
      </c>
      <c r="I196">
        <v>731</v>
      </c>
      <c r="J196">
        <v>2250</v>
      </c>
      <c r="K196" s="1">
        <v>-72.2</v>
      </c>
      <c r="L196" s="1">
        <v>5</v>
      </c>
      <c r="M196" s="1">
        <v>1.4</v>
      </c>
      <c r="N196" s="1"/>
      <c r="O196" s="1"/>
      <c r="P196" s="1"/>
      <c r="Q196" s="1"/>
      <c r="R196" s="1"/>
      <c r="S196" s="1"/>
    </row>
    <row r="198" spans="1:19" x14ac:dyDescent="0.25">
      <c r="A198" t="s">
        <v>75</v>
      </c>
      <c r="H198" t="s">
        <v>82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H199" t="s">
        <v>12</v>
      </c>
      <c r="I199" t="s">
        <v>13</v>
      </c>
      <c r="J199" t="s">
        <v>14</v>
      </c>
      <c r="K199" t="s">
        <v>15</v>
      </c>
      <c r="L199" t="s">
        <v>16</v>
      </c>
      <c r="M199" t="s">
        <v>17</v>
      </c>
    </row>
    <row r="200" spans="1:19" x14ac:dyDescent="0.25">
      <c r="A200" s="1">
        <v>0</v>
      </c>
      <c r="B200" s="1">
        <v>933</v>
      </c>
      <c r="C200" s="1">
        <v>3664</v>
      </c>
      <c r="D200" s="1">
        <v>-3.8</v>
      </c>
      <c r="E200" s="1">
        <v>0</v>
      </c>
      <c r="F200" s="1">
        <v>0</v>
      </c>
      <c r="H200">
        <v>0</v>
      </c>
      <c r="I200">
        <v>933</v>
      </c>
      <c r="J200">
        <v>3664</v>
      </c>
      <c r="K200" s="1">
        <v>-3.8</v>
      </c>
      <c r="L200" s="1">
        <v>0</v>
      </c>
      <c r="M200" s="1">
        <v>0</v>
      </c>
      <c r="N200" s="1"/>
      <c r="O200" s="1"/>
      <c r="P200" s="1"/>
      <c r="Q200" s="1"/>
      <c r="R200" s="1"/>
      <c r="S200" s="1"/>
    </row>
    <row r="201" spans="1:19" x14ac:dyDescent="0.25">
      <c r="A201" s="1">
        <v>25</v>
      </c>
      <c r="B201" s="1">
        <v>911</v>
      </c>
      <c r="C201" s="1">
        <v>3494</v>
      </c>
      <c r="D201" s="1">
        <v>3.7</v>
      </c>
      <c r="E201" s="1">
        <v>-5.0999999999999996</v>
      </c>
      <c r="F201" s="1">
        <v>-1.5</v>
      </c>
      <c r="H201">
        <v>25</v>
      </c>
      <c r="I201">
        <v>922</v>
      </c>
      <c r="J201">
        <v>3580</v>
      </c>
      <c r="K201" s="1">
        <v>2.5</v>
      </c>
      <c r="L201" s="1">
        <v>-3.5</v>
      </c>
      <c r="M201" s="1">
        <v>-1</v>
      </c>
      <c r="N201" s="1"/>
      <c r="O201" s="1"/>
      <c r="P201" s="1"/>
      <c r="Q201" s="1"/>
      <c r="R201" s="1"/>
      <c r="S201" s="1"/>
    </row>
    <row r="202" spans="1:19" x14ac:dyDescent="0.25">
      <c r="A202" s="1">
        <v>50</v>
      </c>
      <c r="B202" s="1">
        <v>889</v>
      </c>
      <c r="C202" s="1">
        <v>3331</v>
      </c>
      <c r="D202" s="1">
        <v>10.7</v>
      </c>
      <c r="E202" s="1">
        <v>-7.3</v>
      </c>
      <c r="F202" s="1">
        <v>-2.1</v>
      </c>
      <c r="H202">
        <v>50</v>
      </c>
      <c r="I202">
        <v>911</v>
      </c>
      <c r="J202">
        <v>3497</v>
      </c>
      <c r="K202" s="1">
        <v>8.4</v>
      </c>
      <c r="L202" s="1">
        <v>-5.7</v>
      </c>
      <c r="M202" s="1">
        <v>-1.7</v>
      </c>
      <c r="N202" s="1"/>
      <c r="O202" s="1"/>
      <c r="P202" s="1"/>
      <c r="Q202" s="1"/>
      <c r="R202" s="1"/>
      <c r="S202" s="1"/>
    </row>
    <row r="203" spans="1:19" x14ac:dyDescent="0.25">
      <c r="A203" s="1">
        <v>75</v>
      </c>
      <c r="B203" s="1">
        <v>868</v>
      </c>
      <c r="C203" s="1">
        <v>3175</v>
      </c>
      <c r="D203" s="1">
        <v>16.600000000000001</v>
      </c>
      <c r="E203" s="1">
        <v>-7.6</v>
      </c>
      <c r="F203" s="1">
        <v>-2.2000000000000002</v>
      </c>
      <c r="H203">
        <v>75</v>
      </c>
      <c r="I203">
        <v>901</v>
      </c>
      <c r="J203">
        <v>3416</v>
      </c>
      <c r="K203" s="1">
        <v>13.2</v>
      </c>
      <c r="L203" s="1">
        <v>-6</v>
      </c>
      <c r="M203" s="1">
        <v>-1.8</v>
      </c>
      <c r="N203" s="1"/>
      <c r="O203" s="1"/>
      <c r="P203" s="1"/>
      <c r="Q203" s="1"/>
      <c r="R203" s="1"/>
      <c r="S203" s="1"/>
    </row>
    <row r="204" spans="1:19" x14ac:dyDescent="0.25">
      <c r="A204" s="1">
        <v>100</v>
      </c>
      <c r="B204" s="1">
        <v>847</v>
      </c>
      <c r="C204" s="1">
        <v>3024</v>
      </c>
      <c r="D204" s="1">
        <v>21.8</v>
      </c>
      <c r="E204" s="1">
        <v>-7.5</v>
      </c>
      <c r="F204" s="1">
        <v>-2.2000000000000002</v>
      </c>
      <c r="H204">
        <v>100</v>
      </c>
      <c r="I204">
        <v>890</v>
      </c>
      <c r="J204">
        <v>3337</v>
      </c>
      <c r="K204" s="1">
        <v>17.3</v>
      </c>
      <c r="L204" s="1">
        <v>-6</v>
      </c>
      <c r="M204" s="1">
        <v>-1.7</v>
      </c>
      <c r="N204" s="1"/>
      <c r="O204" s="1"/>
      <c r="P204" s="1"/>
      <c r="Q204" s="1"/>
      <c r="R204" s="1"/>
      <c r="S204" s="1"/>
    </row>
    <row r="205" spans="1:19" x14ac:dyDescent="0.25">
      <c r="A205" s="1">
        <v>125</v>
      </c>
      <c r="B205" s="1">
        <v>827</v>
      </c>
      <c r="C205" s="1">
        <v>2880</v>
      </c>
      <c r="D205" s="1">
        <v>26.2</v>
      </c>
      <c r="E205" s="1">
        <v>-7.2</v>
      </c>
      <c r="F205" s="1">
        <v>-2.1</v>
      </c>
      <c r="H205">
        <v>125</v>
      </c>
      <c r="I205">
        <v>880</v>
      </c>
      <c r="J205">
        <v>3259</v>
      </c>
      <c r="K205" s="1">
        <v>20.8</v>
      </c>
      <c r="L205" s="1">
        <v>-5.7</v>
      </c>
      <c r="M205" s="1">
        <v>-1.7</v>
      </c>
      <c r="N205" s="1"/>
      <c r="O205" s="1"/>
      <c r="P205" s="1"/>
      <c r="Q205" s="1"/>
      <c r="R205" s="1"/>
      <c r="S205" s="1"/>
    </row>
    <row r="206" spans="1:19" x14ac:dyDescent="0.25">
      <c r="A206" s="1">
        <v>150</v>
      </c>
      <c r="B206" s="1">
        <v>807</v>
      </c>
      <c r="C206" s="1">
        <v>2741</v>
      </c>
      <c r="D206" s="1">
        <v>29.6</v>
      </c>
      <c r="E206" s="1">
        <v>-6.8</v>
      </c>
      <c r="F206" s="1">
        <v>-2</v>
      </c>
      <c r="H206">
        <v>150</v>
      </c>
      <c r="I206">
        <v>869</v>
      </c>
      <c r="J206">
        <v>3182</v>
      </c>
      <c r="K206" s="1">
        <v>23.4</v>
      </c>
      <c r="L206" s="1">
        <v>-5.3</v>
      </c>
      <c r="M206" s="1">
        <v>-1.6</v>
      </c>
      <c r="N206" s="1"/>
      <c r="O206" s="1"/>
      <c r="P206" s="1"/>
      <c r="Q206" s="1"/>
      <c r="R206" s="1"/>
      <c r="S206" s="1"/>
    </row>
    <row r="207" spans="1:19" x14ac:dyDescent="0.25">
      <c r="A207" s="1">
        <v>175</v>
      </c>
      <c r="B207" s="1">
        <v>787</v>
      </c>
      <c r="C207" s="1">
        <v>2608</v>
      </c>
      <c r="D207" s="1">
        <v>32</v>
      </c>
      <c r="E207" s="1">
        <v>-6.3</v>
      </c>
      <c r="F207" s="1">
        <v>-1.8</v>
      </c>
      <c r="H207">
        <v>175</v>
      </c>
      <c r="I207">
        <v>859</v>
      </c>
      <c r="J207">
        <v>3107</v>
      </c>
      <c r="K207" s="1">
        <v>25.1</v>
      </c>
      <c r="L207" s="1">
        <v>-4.9000000000000004</v>
      </c>
      <c r="M207" s="1">
        <v>-1.4</v>
      </c>
      <c r="N207" s="1"/>
      <c r="O207" s="1"/>
      <c r="P207" s="1"/>
      <c r="Q207" s="1"/>
      <c r="R207" s="1"/>
      <c r="S207" s="1"/>
    </row>
    <row r="208" spans="1:19" x14ac:dyDescent="0.25">
      <c r="A208" s="1">
        <v>200</v>
      </c>
      <c r="B208" s="1">
        <v>767</v>
      </c>
      <c r="C208" s="1">
        <v>2480</v>
      </c>
      <c r="D208" s="1">
        <v>33.5</v>
      </c>
      <c r="E208" s="1">
        <v>-5.7</v>
      </c>
      <c r="F208" s="1">
        <v>-1.7</v>
      </c>
      <c r="H208">
        <v>200</v>
      </c>
      <c r="I208">
        <v>849</v>
      </c>
      <c r="J208">
        <v>3033</v>
      </c>
      <c r="K208" s="1">
        <v>26</v>
      </c>
      <c r="L208" s="1">
        <v>-4.5</v>
      </c>
      <c r="M208" s="1">
        <v>-1.3</v>
      </c>
      <c r="N208" s="1"/>
      <c r="O208" s="1"/>
      <c r="P208" s="1"/>
      <c r="Q208" s="1"/>
      <c r="R208" s="1"/>
      <c r="S208" s="1"/>
    </row>
    <row r="209" spans="1:19" x14ac:dyDescent="0.25">
      <c r="A209" s="1">
        <v>225</v>
      </c>
      <c r="B209" s="1">
        <v>748</v>
      </c>
      <c r="C209" s="1">
        <v>2357</v>
      </c>
      <c r="D209" s="1">
        <v>33.799999999999997</v>
      </c>
      <c r="E209" s="1">
        <v>-5.2</v>
      </c>
      <c r="F209" s="1">
        <v>-1.5</v>
      </c>
      <c r="H209">
        <v>225</v>
      </c>
      <c r="I209">
        <v>838</v>
      </c>
      <c r="J209">
        <v>2961</v>
      </c>
      <c r="K209" s="1">
        <v>26.1</v>
      </c>
      <c r="L209" s="1">
        <v>-4</v>
      </c>
      <c r="M209" s="1">
        <v>-1.2</v>
      </c>
      <c r="N209" s="1"/>
      <c r="O209" s="1"/>
      <c r="P209" s="1"/>
      <c r="Q209" s="1"/>
      <c r="R209" s="1"/>
      <c r="S209" s="1"/>
    </row>
    <row r="210" spans="1:19" x14ac:dyDescent="0.25">
      <c r="A210" s="1">
        <v>250</v>
      </c>
      <c r="B210" s="1">
        <v>729</v>
      </c>
      <c r="C210" s="1">
        <v>2238</v>
      </c>
      <c r="D210" s="1">
        <v>33</v>
      </c>
      <c r="E210" s="1">
        <v>-4.5</v>
      </c>
      <c r="F210" s="1">
        <v>-1.3</v>
      </c>
      <c r="H210">
        <v>250</v>
      </c>
      <c r="I210">
        <v>828</v>
      </c>
      <c r="J210">
        <v>2889</v>
      </c>
      <c r="K210" s="1">
        <v>25.3</v>
      </c>
      <c r="L210" s="1">
        <v>-3.5</v>
      </c>
      <c r="M210" s="1">
        <v>-1</v>
      </c>
      <c r="N210" s="1"/>
      <c r="O210" s="1"/>
      <c r="P210" s="1"/>
      <c r="Q210" s="1"/>
      <c r="R210" s="1"/>
      <c r="S210" s="1"/>
    </row>
    <row r="211" spans="1:19" x14ac:dyDescent="0.25">
      <c r="A211" s="1">
        <v>275</v>
      </c>
      <c r="B211" s="1">
        <v>710</v>
      </c>
      <c r="C211" s="1">
        <v>2124</v>
      </c>
      <c r="D211" s="1">
        <v>30.9</v>
      </c>
      <c r="E211" s="1">
        <v>-3.9</v>
      </c>
      <c r="F211" s="1">
        <v>-1.1000000000000001</v>
      </c>
      <c r="H211">
        <v>275</v>
      </c>
      <c r="I211">
        <v>818</v>
      </c>
      <c r="J211">
        <v>2820</v>
      </c>
      <c r="K211" s="1">
        <v>23.5</v>
      </c>
      <c r="L211" s="1">
        <v>-2.9</v>
      </c>
      <c r="M211" s="1">
        <v>-0.9</v>
      </c>
      <c r="N211" s="1"/>
      <c r="O211" s="1"/>
      <c r="P211" s="1"/>
      <c r="Q211" s="1"/>
      <c r="R211" s="1"/>
      <c r="S211" s="1"/>
    </row>
    <row r="212" spans="1:19" x14ac:dyDescent="0.25">
      <c r="A212" s="1">
        <v>300</v>
      </c>
      <c r="B212" s="1">
        <v>692</v>
      </c>
      <c r="C212" s="1">
        <v>2015</v>
      </c>
      <c r="D212" s="1">
        <v>27.7</v>
      </c>
      <c r="E212" s="1">
        <v>-3.2</v>
      </c>
      <c r="F212" s="1">
        <v>-0.9</v>
      </c>
      <c r="H212">
        <v>300</v>
      </c>
      <c r="I212">
        <v>808</v>
      </c>
      <c r="J212">
        <v>2751</v>
      </c>
      <c r="K212" s="1">
        <v>20.8</v>
      </c>
      <c r="L212" s="1">
        <v>-2.4</v>
      </c>
      <c r="M212" s="1">
        <v>-0.7</v>
      </c>
      <c r="N212" s="1"/>
      <c r="O212" s="1"/>
      <c r="P212" s="1"/>
      <c r="Q212" s="1"/>
      <c r="R212" s="1"/>
      <c r="S212" s="1"/>
    </row>
    <row r="213" spans="1:19" x14ac:dyDescent="0.25">
      <c r="A213" s="1">
        <v>325</v>
      </c>
      <c r="B213" s="1">
        <v>673</v>
      </c>
      <c r="C213" s="1">
        <v>1910</v>
      </c>
      <c r="D213" s="1">
        <v>23.1</v>
      </c>
      <c r="E213" s="1">
        <v>-2.4</v>
      </c>
      <c r="F213" s="1">
        <v>-0.7</v>
      </c>
      <c r="H213">
        <v>325</v>
      </c>
      <c r="I213">
        <v>798</v>
      </c>
      <c r="J213">
        <v>2684</v>
      </c>
      <c r="K213" s="1">
        <v>17.2</v>
      </c>
      <c r="L213" s="1">
        <v>-1.8</v>
      </c>
      <c r="M213" s="1">
        <v>-0.5</v>
      </c>
      <c r="N213" s="1"/>
      <c r="O213" s="1"/>
      <c r="P213" s="1"/>
      <c r="Q213" s="1"/>
      <c r="R213" s="1"/>
      <c r="S213" s="1"/>
    </row>
    <row r="214" spans="1:19" x14ac:dyDescent="0.25">
      <c r="A214" s="1">
        <v>350</v>
      </c>
      <c r="B214" s="1">
        <v>655</v>
      </c>
      <c r="C214" s="1">
        <v>1810</v>
      </c>
      <c r="D214" s="1">
        <v>16.8</v>
      </c>
      <c r="E214" s="1">
        <v>-1.7</v>
      </c>
      <c r="F214" s="1">
        <v>-0.5</v>
      </c>
      <c r="H214">
        <v>350</v>
      </c>
      <c r="I214">
        <v>788</v>
      </c>
      <c r="J214">
        <v>2618</v>
      </c>
      <c r="K214" s="1">
        <v>12.4</v>
      </c>
      <c r="L214" s="1">
        <v>-1.2</v>
      </c>
      <c r="M214" s="1">
        <v>-0.4</v>
      </c>
      <c r="N214" s="1"/>
      <c r="O214" s="1"/>
      <c r="P214" s="1"/>
      <c r="Q214" s="1"/>
      <c r="R214" s="1"/>
      <c r="S214" s="1"/>
    </row>
    <row r="215" spans="1:19" x14ac:dyDescent="0.25">
      <c r="A215" s="1">
        <v>375</v>
      </c>
      <c r="B215" s="1">
        <v>638</v>
      </c>
      <c r="C215" s="1">
        <v>1713</v>
      </c>
      <c r="D215" s="1">
        <v>9.3000000000000007</v>
      </c>
      <c r="E215" s="1">
        <v>-0.9</v>
      </c>
      <c r="F215" s="1">
        <v>-0.2</v>
      </c>
      <c r="H215">
        <v>375</v>
      </c>
      <c r="I215">
        <v>779</v>
      </c>
      <c r="J215">
        <v>2553</v>
      </c>
      <c r="K215" s="1">
        <v>6.8</v>
      </c>
      <c r="L215" s="1">
        <v>-0.6</v>
      </c>
      <c r="M215" s="1">
        <v>-0.2</v>
      </c>
      <c r="N215" s="1"/>
      <c r="O215" s="1"/>
      <c r="P215" s="1"/>
      <c r="Q215" s="1"/>
      <c r="R215" s="1"/>
      <c r="S215" s="1"/>
    </row>
    <row r="216" spans="1:19" x14ac:dyDescent="0.25">
      <c r="A216" s="10">
        <v>400</v>
      </c>
      <c r="B216" s="10">
        <v>620</v>
      </c>
      <c r="C216" s="10">
        <v>1621</v>
      </c>
      <c r="D216" s="10">
        <v>0.1</v>
      </c>
      <c r="E216" s="10">
        <v>0</v>
      </c>
      <c r="F216" s="10">
        <v>0</v>
      </c>
      <c r="H216">
        <v>400</v>
      </c>
      <c r="I216">
        <v>769</v>
      </c>
      <c r="J216">
        <v>2490</v>
      </c>
      <c r="K216" s="1">
        <v>0.2</v>
      </c>
      <c r="L216" s="1">
        <v>0</v>
      </c>
      <c r="M216" s="1">
        <v>0</v>
      </c>
      <c r="N216" s="1"/>
      <c r="O216" s="1"/>
      <c r="P216" s="1"/>
      <c r="Q216" s="1"/>
      <c r="R216" s="1"/>
      <c r="S216" s="1"/>
    </row>
    <row r="217" spans="1:19" x14ac:dyDescent="0.25">
      <c r="A217" s="1">
        <v>425</v>
      </c>
      <c r="B217" s="1">
        <v>603</v>
      </c>
      <c r="C217" s="1">
        <v>1533</v>
      </c>
      <c r="D217" s="1">
        <v>-11.1</v>
      </c>
      <c r="E217" s="1">
        <v>0.9</v>
      </c>
      <c r="F217" s="1">
        <v>0.3</v>
      </c>
      <c r="H217">
        <v>425</v>
      </c>
      <c r="I217">
        <v>759</v>
      </c>
      <c r="J217">
        <v>2427</v>
      </c>
      <c r="K217" s="1">
        <v>-7.8</v>
      </c>
      <c r="L217" s="1">
        <v>0.6</v>
      </c>
      <c r="M217" s="1">
        <v>0.2</v>
      </c>
      <c r="N217" s="1"/>
      <c r="O217" s="1"/>
      <c r="P217" s="1"/>
      <c r="Q217" s="1"/>
      <c r="R217" s="1"/>
      <c r="S217" s="1"/>
    </row>
    <row r="218" spans="1:19" x14ac:dyDescent="0.25">
      <c r="A218" s="1">
        <v>450</v>
      </c>
      <c r="B218" s="1">
        <v>586</v>
      </c>
      <c r="C218" s="1">
        <v>1448</v>
      </c>
      <c r="D218" s="1">
        <v>-23.8</v>
      </c>
      <c r="E218" s="1">
        <v>1.8</v>
      </c>
      <c r="F218" s="1">
        <v>0.5</v>
      </c>
      <c r="H218">
        <v>450</v>
      </c>
      <c r="I218">
        <v>749</v>
      </c>
      <c r="J218">
        <v>2366</v>
      </c>
      <c r="K218" s="1">
        <v>-16.600000000000001</v>
      </c>
      <c r="L218" s="1">
        <v>1.3</v>
      </c>
      <c r="M218" s="1">
        <v>0.4</v>
      </c>
      <c r="N218" s="1"/>
      <c r="O218" s="1"/>
      <c r="P218" s="1"/>
      <c r="Q218" s="1"/>
      <c r="R218" s="1"/>
      <c r="S218" s="1"/>
    </row>
    <row r="219" spans="1:19" x14ac:dyDescent="0.25">
      <c r="A219" s="1">
        <v>475</v>
      </c>
      <c r="B219" s="1">
        <v>570</v>
      </c>
      <c r="C219" s="1">
        <v>1368</v>
      </c>
      <c r="D219" s="1">
        <v>-38.4</v>
      </c>
      <c r="E219" s="1">
        <v>2.8</v>
      </c>
      <c r="F219" s="1">
        <v>0.8</v>
      </c>
      <c r="H219">
        <v>475</v>
      </c>
      <c r="I219">
        <v>740</v>
      </c>
      <c r="J219">
        <v>2306</v>
      </c>
      <c r="K219" s="1">
        <v>-26.5</v>
      </c>
      <c r="L219" s="1">
        <v>1.9</v>
      </c>
      <c r="M219" s="1">
        <v>0.6</v>
      </c>
      <c r="N219" s="1"/>
      <c r="O219" s="1"/>
      <c r="P219" s="1"/>
      <c r="Q219" s="1"/>
      <c r="R219" s="1"/>
      <c r="S219" s="1"/>
    </row>
    <row r="220" spans="1:19" x14ac:dyDescent="0.25">
      <c r="A220" s="1">
        <v>500</v>
      </c>
      <c r="B220" s="1">
        <v>554</v>
      </c>
      <c r="C220" s="1">
        <v>1294</v>
      </c>
      <c r="D220" s="1">
        <v>-55.1</v>
      </c>
      <c r="E220" s="1">
        <v>3.8</v>
      </c>
      <c r="F220" s="1">
        <v>1.1000000000000001</v>
      </c>
      <c r="H220">
        <v>500</v>
      </c>
      <c r="I220">
        <v>731</v>
      </c>
      <c r="J220">
        <v>2250</v>
      </c>
      <c r="K220" s="1">
        <v>-37.6</v>
      </c>
      <c r="L220" s="1">
        <v>2.6</v>
      </c>
      <c r="M220" s="1">
        <v>0.8</v>
      </c>
      <c r="N220" s="1"/>
      <c r="O220" s="1"/>
      <c r="P220" s="1"/>
      <c r="Q220" s="1"/>
      <c r="R220" s="1"/>
      <c r="S220" s="1"/>
    </row>
    <row r="222" spans="1:19" x14ac:dyDescent="0.25">
      <c r="A222" t="s">
        <v>76</v>
      </c>
      <c r="H222" t="s">
        <v>83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I223" t="s">
        <v>13</v>
      </c>
      <c r="J223" t="s">
        <v>14</v>
      </c>
      <c r="K223" t="s">
        <v>15</v>
      </c>
      <c r="L223" t="s">
        <v>16</v>
      </c>
      <c r="M223" t="s">
        <v>17</v>
      </c>
    </row>
    <row r="224" spans="1:19" x14ac:dyDescent="0.25">
      <c r="A224" s="1">
        <v>0</v>
      </c>
      <c r="B224" s="1">
        <v>933</v>
      </c>
      <c r="C224" s="1">
        <v>3664</v>
      </c>
      <c r="D224" s="1">
        <v>-3.8</v>
      </c>
      <c r="E224" s="1">
        <v>0</v>
      </c>
      <c r="F224" s="1">
        <v>0</v>
      </c>
      <c r="G224" s="2"/>
      <c r="H224" s="2">
        <v>0</v>
      </c>
      <c r="I224" s="2">
        <v>933</v>
      </c>
      <c r="J224">
        <v>3664</v>
      </c>
      <c r="K224" s="1">
        <v>-3.8</v>
      </c>
      <c r="L224" s="1">
        <v>0</v>
      </c>
      <c r="M224" s="1">
        <v>0</v>
      </c>
      <c r="N224" s="1"/>
      <c r="O224" s="1"/>
      <c r="P224" s="1"/>
      <c r="Q224" s="1"/>
      <c r="R224" s="1"/>
      <c r="S224" s="1"/>
    </row>
    <row r="225" spans="1:19" x14ac:dyDescent="0.25">
      <c r="A225" s="1">
        <v>25</v>
      </c>
      <c r="B225" s="1">
        <v>911</v>
      </c>
      <c r="C225" s="1">
        <v>3494</v>
      </c>
      <c r="D225" s="1">
        <v>6.5</v>
      </c>
      <c r="E225" s="1">
        <v>-8.9</v>
      </c>
      <c r="F225" s="1">
        <v>-2.6</v>
      </c>
      <c r="G225" s="2"/>
      <c r="H225" s="2">
        <v>25</v>
      </c>
      <c r="I225" s="2">
        <v>922</v>
      </c>
      <c r="J225">
        <v>3580</v>
      </c>
      <c r="K225" s="1">
        <v>4.4000000000000004</v>
      </c>
      <c r="L225" s="1">
        <v>-6.1</v>
      </c>
      <c r="M225" s="1">
        <v>-1.8</v>
      </c>
      <c r="N225" s="1"/>
      <c r="O225" s="1"/>
      <c r="P225" s="1"/>
      <c r="Q225" s="1"/>
      <c r="R225" s="1"/>
      <c r="S225" s="1"/>
    </row>
    <row r="226" spans="1:19" x14ac:dyDescent="0.25">
      <c r="A226" s="1">
        <v>50</v>
      </c>
      <c r="B226" s="1">
        <v>889</v>
      </c>
      <c r="C226" s="1">
        <v>3331</v>
      </c>
      <c r="D226" s="1">
        <v>16.3</v>
      </c>
      <c r="E226" s="1">
        <v>-11.1</v>
      </c>
      <c r="F226" s="1">
        <v>-3.2</v>
      </c>
      <c r="G226" s="2"/>
      <c r="H226" s="2">
        <v>50</v>
      </c>
      <c r="I226" s="2">
        <v>911</v>
      </c>
      <c r="J226">
        <v>3497</v>
      </c>
      <c r="K226" s="1">
        <v>12.2</v>
      </c>
      <c r="L226" s="1">
        <v>-8.3000000000000007</v>
      </c>
      <c r="M226" s="1">
        <v>-2.4</v>
      </c>
      <c r="N226" s="1"/>
      <c r="O226" s="1"/>
      <c r="P226" s="1"/>
      <c r="Q226" s="1"/>
      <c r="R226" s="1"/>
      <c r="S226" s="1"/>
    </row>
    <row r="227" spans="1:19" x14ac:dyDescent="0.25">
      <c r="A227" s="1">
        <v>75</v>
      </c>
      <c r="B227" s="1">
        <v>868</v>
      </c>
      <c r="C227" s="1">
        <v>3175</v>
      </c>
      <c r="D227" s="1">
        <v>25</v>
      </c>
      <c r="E227" s="1">
        <v>-11.4</v>
      </c>
      <c r="F227" s="1">
        <v>-3.3</v>
      </c>
      <c r="G227" s="2"/>
      <c r="H227" s="2">
        <v>75</v>
      </c>
      <c r="I227" s="2">
        <v>901</v>
      </c>
      <c r="J227">
        <v>3416</v>
      </c>
      <c r="K227" s="1">
        <v>18.899999999999999</v>
      </c>
      <c r="L227" s="1">
        <v>-8.6999999999999993</v>
      </c>
      <c r="M227" s="1">
        <v>-2.5</v>
      </c>
      <c r="N227" s="1"/>
      <c r="O227" s="1"/>
      <c r="P227" s="1"/>
      <c r="Q227" s="1"/>
      <c r="R227" s="1"/>
      <c r="S227" s="1"/>
    </row>
    <row r="228" spans="1:19" x14ac:dyDescent="0.25">
      <c r="A228" s="1">
        <v>100</v>
      </c>
      <c r="B228" s="1">
        <v>847</v>
      </c>
      <c r="C228" s="1">
        <v>3024</v>
      </c>
      <c r="D228" s="1">
        <v>32.9</v>
      </c>
      <c r="E228" s="1">
        <v>-11.3</v>
      </c>
      <c r="F228" s="1">
        <v>-3.3</v>
      </c>
      <c r="G228" s="2"/>
      <c r="H228" s="2">
        <v>100</v>
      </c>
      <c r="I228" s="2">
        <v>890</v>
      </c>
      <c r="J228">
        <v>3337</v>
      </c>
      <c r="K228" s="1">
        <v>24.9</v>
      </c>
      <c r="L228" s="1">
        <v>-8.6</v>
      </c>
      <c r="M228" s="1">
        <v>-2.5</v>
      </c>
      <c r="N228" s="1"/>
      <c r="O228" s="1"/>
      <c r="P228" s="1"/>
      <c r="Q228" s="1"/>
      <c r="R228" s="1"/>
      <c r="S228" s="1"/>
    </row>
    <row r="229" spans="1:19" x14ac:dyDescent="0.25">
      <c r="A229" s="1">
        <v>125</v>
      </c>
      <c r="B229" s="1">
        <v>827</v>
      </c>
      <c r="C229" s="1">
        <v>2880</v>
      </c>
      <c r="D229" s="1">
        <v>40.1</v>
      </c>
      <c r="E229" s="1">
        <v>-11</v>
      </c>
      <c r="F229" s="1">
        <v>-3.2</v>
      </c>
      <c r="G229" s="2"/>
      <c r="H229" s="2">
        <v>125</v>
      </c>
      <c r="I229" s="2">
        <v>880</v>
      </c>
      <c r="J229">
        <v>3259</v>
      </c>
      <c r="K229" s="1">
        <v>30.3</v>
      </c>
      <c r="L229" s="1">
        <v>-8.3000000000000007</v>
      </c>
      <c r="M229" s="1">
        <v>-2.4</v>
      </c>
      <c r="N229" s="1"/>
      <c r="O229" s="1"/>
      <c r="P229" s="1"/>
      <c r="Q229" s="1"/>
      <c r="R229" s="1"/>
      <c r="S229" s="1"/>
    </row>
    <row r="230" spans="1:19" x14ac:dyDescent="0.25">
      <c r="A230" s="1">
        <v>150</v>
      </c>
      <c r="B230" s="1">
        <v>807</v>
      </c>
      <c r="C230" s="1">
        <v>2741</v>
      </c>
      <c r="D230" s="1">
        <v>46.3</v>
      </c>
      <c r="E230" s="1">
        <v>-10.6</v>
      </c>
      <c r="F230" s="1">
        <v>-3.1</v>
      </c>
      <c r="G230" s="2"/>
      <c r="H230" s="2">
        <v>150</v>
      </c>
      <c r="I230" s="2">
        <v>869</v>
      </c>
      <c r="J230">
        <v>3182</v>
      </c>
      <c r="K230" s="1">
        <v>34.700000000000003</v>
      </c>
      <c r="L230" s="1">
        <v>-8</v>
      </c>
      <c r="M230" s="1">
        <v>-2.2999999999999998</v>
      </c>
      <c r="N230" s="1"/>
      <c r="O230" s="1"/>
      <c r="P230" s="1"/>
      <c r="Q230" s="1"/>
      <c r="R230" s="1"/>
      <c r="S230" s="1"/>
    </row>
    <row r="231" spans="1:19" x14ac:dyDescent="0.25">
      <c r="A231" s="1">
        <v>175</v>
      </c>
      <c r="B231" s="1">
        <v>787</v>
      </c>
      <c r="C231" s="1">
        <v>2608</v>
      </c>
      <c r="D231" s="1">
        <v>51.4</v>
      </c>
      <c r="E231" s="1">
        <v>-10.1</v>
      </c>
      <c r="F231" s="1">
        <v>-2.9</v>
      </c>
      <c r="G231" s="2"/>
      <c r="H231" s="2">
        <v>175</v>
      </c>
      <c r="I231" s="2">
        <v>859</v>
      </c>
      <c r="J231">
        <v>3107</v>
      </c>
      <c r="K231" s="1">
        <v>38.299999999999997</v>
      </c>
      <c r="L231" s="1">
        <v>-7.5</v>
      </c>
      <c r="M231" s="1">
        <v>-2.2000000000000002</v>
      </c>
      <c r="N231" s="1"/>
      <c r="O231" s="1"/>
      <c r="P231" s="1"/>
      <c r="Q231" s="1"/>
      <c r="R231" s="1"/>
      <c r="S231" s="1"/>
    </row>
    <row r="232" spans="1:19" x14ac:dyDescent="0.25">
      <c r="A232" s="1">
        <v>200</v>
      </c>
      <c r="B232" s="1">
        <v>767</v>
      </c>
      <c r="C232" s="1">
        <v>2480</v>
      </c>
      <c r="D232" s="1">
        <v>55.7</v>
      </c>
      <c r="E232" s="1">
        <v>-9.6</v>
      </c>
      <c r="F232" s="1">
        <v>-2.8</v>
      </c>
      <c r="G232" s="2"/>
      <c r="H232" s="2">
        <v>200</v>
      </c>
      <c r="I232" s="2">
        <v>849</v>
      </c>
      <c r="J232">
        <v>3033</v>
      </c>
      <c r="K232" s="1">
        <v>41.2</v>
      </c>
      <c r="L232" s="1">
        <v>-7.1</v>
      </c>
      <c r="M232" s="1">
        <v>-2.1</v>
      </c>
      <c r="N232" s="1"/>
      <c r="O232" s="1"/>
      <c r="P232" s="1"/>
      <c r="Q232" s="1"/>
      <c r="R232" s="1"/>
      <c r="S232" s="1"/>
    </row>
    <row r="233" spans="1:19" x14ac:dyDescent="0.25">
      <c r="A233" s="1">
        <v>225</v>
      </c>
      <c r="B233" s="1">
        <v>748</v>
      </c>
      <c r="C233" s="1">
        <v>2357</v>
      </c>
      <c r="D233" s="1">
        <v>58.8</v>
      </c>
      <c r="E233" s="1">
        <v>-9</v>
      </c>
      <c r="F233" s="1">
        <v>-2.6</v>
      </c>
      <c r="G233" s="2"/>
      <c r="H233" s="2">
        <v>225</v>
      </c>
      <c r="I233" s="2">
        <v>838</v>
      </c>
      <c r="J233">
        <v>2961</v>
      </c>
      <c r="K233" s="1">
        <v>43.1</v>
      </c>
      <c r="L233" s="1">
        <v>-6.6</v>
      </c>
      <c r="M233" s="1">
        <v>-1.9</v>
      </c>
      <c r="N233" s="1"/>
      <c r="O233" s="1"/>
      <c r="P233" s="1"/>
      <c r="Q233" s="1"/>
      <c r="R233" s="1"/>
      <c r="S233" s="1"/>
    </row>
    <row r="234" spans="1:19" x14ac:dyDescent="0.25">
      <c r="A234" s="1">
        <v>250</v>
      </c>
      <c r="B234" s="1">
        <v>729</v>
      </c>
      <c r="C234" s="1">
        <v>2238</v>
      </c>
      <c r="D234" s="1">
        <v>60.8</v>
      </c>
      <c r="E234" s="1">
        <v>-8.4</v>
      </c>
      <c r="F234" s="1">
        <v>-2.4</v>
      </c>
      <c r="G234" s="2"/>
      <c r="H234" s="2">
        <v>250</v>
      </c>
      <c r="I234" s="2">
        <v>828</v>
      </c>
      <c r="J234">
        <v>2889</v>
      </c>
      <c r="K234" s="1">
        <v>44.2</v>
      </c>
      <c r="L234" s="1">
        <v>-6.1</v>
      </c>
      <c r="M234" s="1">
        <v>-1.8</v>
      </c>
      <c r="N234" s="1"/>
      <c r="O234" s="1"/>
      <c r="P234" s="1"/>
      <c r="Q234" s="1"/>
      <c r="R234" s="1"/>
      <c r="S234" s="1"/>
    </row>
    <row r="235" spans="1:19" x14ac:dyDescent="0.25">
      <c r="A235" s="1">
        <v>275</v>
      </c>
      <c r="B235" s="1">
        <v>710</v>
      </c>
      <c r="C235" s="1">
        <v>2124</v>
      </c>
      <c r="D235" s="1">
        <v>61.5</v>
      </c>
      <c r="E235" s="1">
        <v>-7.7</v>
      </c>
      <c r="F235" s="1">
        <v>-2.2000000000000002</v>
      </c>
      <c r="G235" s="2"/>
      <c r="H235" s="2">
        <v>275</v>
      </c>
      <c r="I235" s="2">
        <v>818</v>
      </c>
      <c r="J235">
        <v>2820</v>
      </c>
      <c r="K235" s="1">
        <v>44.3</v>
      </c>
      <c r="L235" s="1">
        <v>-5.5</v>
      </c>
      <c r="M235" s="1">
        <v>-1.6</v>
      </c>
      <c r="N235" s="1"/>
      <c r="O235" s="1"/>
      <c r="P235" s="1"/>
      <c r="Q235" s="1"/>
      <c r="R235" s="1"/>
      <c r="S235" s="1"/>
    </row>
    <row r="236" spans="1:19" x14ac:dyDescent="0.25">
      <c r="A236" s="1">
        <v>300</v>
      </c>
      <c r="B236" s="1">
        <v>692</v>
      </c>
      <c r="C236" s="1">
        <v>2015</v>
      </c>
      <c r="D236" s="1">
        <v>61</v>
      </c>
      <c r="E236" s="1">
        <v>-7</v>
      </c>
      <c r="F236" s="1">
        <v>-2</v>
      </c>
      <c r="G236" s="2"/>
      <c r="H236" s="2">
        <v>300</v>
      </c>
      <c r="I236" s="2">
        <v>808</v>
      </c>
      <c r="J236">
        <v>2751</v>
      </c>
      <c r="K236" s="1">
        <v>43.5</v>
      </c>
      <c r="L236" s="1">
        <v>-5</v>
      </c>
      <c r="M236" s="1">
        <v>-1.4</v>
      </c>
      <c r="N236" s="1"/>
      <c r="O236" s="1"/>
      <c r="P236" s="1"/>
      <c r="Q236" s="1"/>
      <c r="R236" s="1"/>
      <c r="S236" s="1"/>
    </row>
    <row r="237" spans="1:19" x14ac:dyDescent="0.25">
      <c r="A237" s="1">
        <v>325</v>
      </c>
      <c r="B237" s="1">
        <v>673</v>
      </c>
      <c r="C237" s="1">
        <v>1910</v>
      </c>
      <c r="D237" s="1">
        <v>59.2</v>
      </c>
      <c r="E237" s="1">
        <v>-6.3</v>
      </c>
      <c r="F237" s="1">
        <v>-1.8</v>
      </c>
      <c r="G237" s="2"/>
      <c r="H237" s="2">
        <v>325</v>
      </c>
      <c r="I237" s="2">
        <v>798</v>
      </c>
      <c r="J237">
        <v>2684</v>
      </c>
      <c r="K237" s="1">
        <v>41.8</v>
      </c>
      <c r="L237" s="1">
        <v>-4.4000000000000004</v>
      </c>
      <c r="M237" s="1">
        <v>-1.3</v>
      </c>
      <c r="N237" s="1"/>
      <c r="O237" s="1"/>
      <c r="P237" s="1"/>
      <c r="Q237" s="1"/>
      <c r="R237" s="1"/>
      <c r="S237" s="1"/>
    </row>
    <row r="238" spans="1:19" x14ac:dyDescent="0.25">
      <c r="A238" s="1">
        <v>350</v>
      </c>
      <c r="B238" s="1">
        <v>655</v>
      </c>
      <c r="C238" s="1">
        <v>1809</v>
      </c>
      <c r="D238" s="1">
        <v>55.8</v>
      </c>
      <c r="E238" s="1">
        <v>-5.5</v>
      </c>
      <c r="F238" s="1">
        <v>-1.6</v>
      </c>
      <c r="G238" s="2"/>
      <c r="H238" s="2">
        <v>350</v>
      </c>
      <c r="I238" s="2">
        <v>788</v>
      </c>
      <c r="J238">
        <v>2618</v>
      </c>
      <c r="K238" s="1">
        <v>38.9</v>
      </c>
      <c r="L238" s="1">
        <v>-3.8</v>
      </c>
      <c r="M238" s="1">
        <v>-1.1000000000000001</v>
      </c>
      <c r="N238" s="1"/>
      <c r="O238" s="1"/>
      <c r="P238" s="1"/>
      <c r="Q238" s="1"/>
      <c r="R238" s="1"/>
      <c r="S238" s="1"/>
    </row>
    <row r="239" spans="1:19" x14ac:dyDescent="0.25">
      <c r="A239" s="1">
        <v>375</v>
      </c>
      <c r="B239" s="1">
        <v>638</v>
      </c>
      <c r="C239" s="1">
        <v>1713</v>
      </c>
      <c r="D239" s="1">
        <v>51</v>
      </c>
      <c r="E239" s="1">
        <v>-4.7</v>
      </c>
      <c r="F239" s="1">
        <v>-1.4</v>
      </c>
      <c r="G239" s="2"/>
      <c r="H239" s="2">
        <v>375</v>
      </c>
      <c r="I239" s="2">
        <v>779</v>
      </c>
      <c r="J239">
        <v>2553</v>
      </c>
      <c r="K239" s="1">
        <v>35.200000000000003</v>
      </c>
      <c r="L239" s="1">
        <v>-3.2</v>
      </c>
      <c r="M239" s="1">
        <v>-0.9</v>
      </c>
      <c r="N239" s="1"/>
      <c r="O239" s="1"/>
      <c r="P239" s="1"/>
      <c r="Q239" s="1"/>
      <c r="R239" s="1"/>
      <c r="S239" s="1"/>
    </row>
    <row r="240" spans="1:19" x14ac:dyDescent="0.25">
      <c r="A240" s="1">
        <v>400</v>
      </c>
      <c r="B240" s="1">
        <v>620</v>
      </c>
      <c r="C240" s="1">
        <v>1621</v>
      </c>
      <c r="D240" s="1">
        <v>44.6</v>
      </c>
      <c r="E240" s="1">
        <v>-3.8</v>
      </c>
      <c r="F240" s="1">
        <v>-1.1000000000000001</v>
      </c>
      <c r="G240" s="2"/>
      <c r="H240" s="2">
        <v>400</v>
      </c>
      <c r="I240" s="2">
        <v>769</v>
      </c>
      <c r="J240">
        <v>2490</v>
      </c>
      <c r="K240" s="1">
        <v>30.4</v>
      </c>
      <c r="L240" s="1">
        <v>-2.6</v>
      </c>
      <c r="M240" s="1">
        <v>-0.8</v>
      </c>
      <c r="N240" s="1"/>
      <c r="O240" s="1"/>
      <c r="P240" s="1"/>
      <c r="Q240" s="1"/>
      <c r="R240" s="1"/>
      <c r="S240" s="1"/>
    </row>
    <row r="241" spans="1:19" x14ac:dyDescent="0.25">
      <c r="A241" s="1">
        <v>425</v>
      </c>
      <c r="B241" s="1">
        <v>603</v>
      </c>
      <c r="C241" s="1">
        <v>1532</v>
      </c>
      <c r="D241" s="1">
        <v>36.1</v>
      </c>
      <c r="E241" s="1">
        <v>-2.9</v>
      </c>
      <c r="F241" s="1">
        <v>-0.8</v>
      </c>
      <c r="G241" s="2"/>
      <c r="H241" s="2">
        <v>425</v>
      </c>
      <c r="I241" s="2">
        <v>759</v>
      </c>
      <c r="J241">
        <v>2427</v>
      </c>
      <c r="K241" s="1">
        <v>24.4</v>
      </c>
      <c r="L241" s="1">
        <v>-2</v>
      </c>
      <c r="M241" s="1">
        <v>-0.6</v>
      </c>
      <c r="N241" s="1"/>
      <c r="O241" s="1"/>
      <c r="P241" s="1"/>
      <c r="Q241" s="1"/>
      <c r="R241" s="1"/>
      <c r="S241" s="1"/>
    </row>
    <row r="242" spans="1:19" x14ac:dyDescent="0.25">
      <c r="A242" s="1">
        <v>450</v>
      </c>
      <c r="B242" s="1">
        <v>586</v>
      </c>
      <c r="C242" s="1">
        <v>1448</v>
      </c>
      <c r="D242" s="1">
        <v>26.2</v>
      </c>
      <c r="E242" s="1">
        <v>-2</v>
      </c>
      <c r="F242" s="1">
        <v>-0.6</v>
      </c>
      <c r="G242" s="2"/>
      <c r="H242" s="2">
        <v>450</v>
      </c>
      <c r="I242" s="2">
        <v>749</v>
      </c>
      <c r="J242">
        <v>2366</v>
      </c>
      <c r="K242" s="1">
        <v>17.5</v>
      </c>
      <c r="L242" s="1">
        <v>-1.3</v>
      </c>
      <c r="M242" s="1">
        <v>-0.4</v>
      </c>
      <c r="N242" s="1"/>
      <c r="O242" s="1"/>
      <c r="P242" s="1"/>
      <c r="Q242" s="1"/>
      <c r="R242" s="1"/>
      <c r="S242" s="1"/>
    </row>
    <row r="243" spans="1:19" x14ac:dyDescent="0.25">
      <c r="A243" s="1">
        <v>475</v>
      </c>
      <c r="B243" s="1">
        <v>570</v>
      </c>
      <c r="C243" s="1">
        <v>1368</v>
      </c>
      <c r="D243" s="1">
        <v>14.3</v>
      </c>
      <c r="E243" s="1">
        <v>-1</v>
      </c>
      <c r="F243" s="1">
        <v>-0.3</v>
      </c>
      <c r="G243" s="2"/>
      <c r="H243" s="2">
        <v>475</v>
      </c>
      <c r="I243" s="2">
        <v>740</v>
      </c>
      <c r="J243">
        <v>2306</v>
      </c>
      <c r="K243" s="1">
        <v>9.4</v>
      </c>
      <c r="L243" s="1">
        <v>-0.7</v>
      </c>
      <c r="M243" s="1">
        <v>-0.2</v>
      </c>
      <c r="N243" s="1"/>
      <c r="O243" s="1"/>
      <c r="P243" s="1"/>
      <c r="Q243" s="1"/>
      <c r="R243" s="1"/>
      <c r="S243" s="1"/>
    </row>
    <row r="244" spans="1:19" x14ac:dyDescent="0.25">
      <c r="A244" s="10">
        <v>500</v>
      </c>
      <c r="B244" s="10">
        <v>554</v>
      </c>
      <c r="C244" s="10">
        <v>1294</v>
      </c>
      <c r="D244" s="10">
        <v>0.4</v>
      </c>
      <c r="E244" s="10">
        <v>0</v>
      </c>
      <c r="F244" s="10">
        <v>0</v>
      </c>
      <c r="G244" s="2"/>
      <c r="H244" s="2">
        <v>500</v>
      </c>
      <c r="I244" s="2">
        <v>731</v>
      </c>
      <c r="J244">
        <v>2250</v>
      </c>
      <c r="K244" s="1">
        <v>0.2</v>
      </c>
      <c r="L244" s="1">
        <v>0</v>
      </c>
      <c r="M244" s="1">
        <v>0</v>
      </c>
      <c r="N244" s="1"/>
      <c r="O244" s="1"/>
      <c r="P244" s="1"/>
      <c r="Q244" s="1"/>
      <c r="R244" s="1"/>
      <c r="S244" s="1"/>
    </row>
    <row r="246" spans="1:19" ht="30" x14ac:dyDescent="0.25">
      <c r="A246" t="s">
        <v>55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32</v>
      </c>
      <c r="H246" s="13" t="s">
        <v>33</v>
      </c>
      <c r="I246" s="30" t="s">
        <v>56</v>
      </c>
    </row>
    <row r="247" spans="1:19" x14ac:dyDescent="0.25">
      <c r="A247" t="s">
        <v>57</v>
      </c>
      <c r="B247" s="31" cm="1">
        <f t="array" ref="B247">INDEX(LINEST(J$23:J$35,$A$23:$A$35^{1,2,3}), 1,4)</f>
        <v>-8.3296678415421326</v>
      </c>
      <c r="C247" s="31" cm="1">
        <f t="array" ref="C247">INDEX(LINEST(K$23:K$35,$A$23:$A$35^{1,2,3}), 1,4)</f>
        <v>-7.273998401736498</v>
      </c>
      <c r="D247" s="31" cm="1">
        <f t="array" ref="D247">INDEX(LINEST(L$23:L$35,$A$23:$A$35^{1,2,3}), 1,4)</f>
        <v>-6.4091141090903712</v>
      </c>
      <c r="E247" s="31" cm="1">
        <f t="array" ref="E247">INDEX(LINEST(M$23:M$35,$A$23:$A$35^{1,2,3}), 1,4)</f>
        <v>-6.560567004527738</v>
      </c>
      <c r="F247" s="31" cm="1">
        <f t="array" ref="F247">INDEX(LINEST(N$23:N$35,$A$23:$A$35^{1,2,3}), 1,4)</f>
        <v>-4.9669269214877865</v>
      </c>
      <c r="G247" s="31" cm="1">
        <f t="array" ref="G247">INDEX(LINEST(O$23:O$35,$A$23:$A$35^{1,2,3}), 1,4)</f>
        <v>-7.0366316431790947</v>
      </c>
      <c r="H247" s="31" cm="1">
        <f t="array" ref="H247">INDEX(LINEST(P$23:P$35,$A$23:$A$35^{1,2,3}), 1,4)</f>
        <v>-5.3818130018796921</v>
      </c>
      <c r="I247" s="32" cm="1">
        <f t="array" ref="I247">INDEX(LINEST(B$23:B$35,$A$23:$A$35^{1,2,3}), 1,4)</f>
        <v>3678.3162623955204</v>
      </c>
    </row>
    <row r="248" spans="1:19" x14ac:dyDescent="0.25">
      <c r="A248" t="s">
        <v>58</v>
      </c>
      <c r="B248" s="32" cm="1">
        <f t="array" ref="B248">INDEX(LINEST(J$23:J$35,$A$23:$A$35^{1,2,3}), 1,3)</f>
        <v>0.21445282002188609</v>
      </c>
      <c r="C248" s="32" cm="1">
        <f t="array" ref="C248">INDEX(LINEST(K$23:K$35,$A$23:$A$35^{1,2,3}), 1,3)</f>
        <v>0.15610430923949323</v>
      </c>
      <c r="D248" s="32" cm="1">
        <f t="array" ref="D248">INDEX(LINEST(L$23:L$35,$A$23:$A$35^{1,2,3}), 1,3)</f>
        <v>0.16009395873726756</v>
      </c>
      <c r="E248" s="32" cm="1">
        <f t="array" ref="E248">INDEX(LINEST(M$23:M$35,$A$23:$A$35^{1,2,3}), 1,3)</f>
        <v>0.1686502349748191</v>
      </c>
      <c r="F248" s="32" cm="1">
        <f t="array" ref="F248">INDEX(LINEST(N$23:N$35,$A$23:$A$35^{1,2,3}), 1,3)</f>
        <v>0.19653427034777915</v>
      </c>
      <c r="G248" s="32" cm="1">
        <f t="array" ref="G248">INDEX(LINEST(O$23:O$35,$A$23:$A$35^{1,2,3}), 1,3)</f>
        <v>0.31668313168269902</v>
      </c>
      <c r="H248" s="32" cm="1">
        <f t="array" ref="H248">INDEX(LINEST(P$23:P$35,$A$23:$A$35^{1,2,3}), 1,3)</f>
        <v>0.33613039018387597</v>
      </c>
      <c r="I248" s="32" cm="1">
        <f t="array" ref="I248">INDEX(LINEST(B$23:B$35,$A$23:$A$35^{1,2,3}), 1,3)</f>
        <v>-3.2832173557251338</v>
      </c>
    </row>
    <row r="249" spans="1:19" x14ac:dyDescent="0.25">
      <c r="A249" t="s">
        <v>59</v>
      </c>
      <c r="B249" s="32" cm="1">
        <f t="array" ref="B249">INDEX(LINEST(J$23:J$35,$A$23:$A$35^{1,2,3}), 1,2)</f>
        <v>-8.9226788555928918E-4</v>
      </c>
      <c r="C249" s="32" cm="1">
        <f t="array" ref="C249">INDEX(LINEST(K$23:K$35,$A$23:$A$35^{1,2,3}), 1,2)</f>
        <v>-8.142095572526199E-4</v>
      </c>
      <c r="D249" s="32" cm="1">
        <f t="array" ref="D249">INDEX(LINEST(L$23:L$35,$A$23:$A$35^{1,2,3}), 1,2)</f>
        <v>-7.4055609370532103E-4</v>
      </c>
      <c r="E249" s="32" cm="1">
        <f t="array" ref="E249">INDEX(LINEST(M$23:M$35,$A$23:$A$35^{1,2,3}), 1,2)</f>
        <v>-6.5317963218290882E-4</v>
      </c>
      <c r="F249" s="32" cm="1">
        <f t="array" ref="F249">INDEX(LINEST(N$23:N$35,$A$23:$A$35^{1,2,3}), 1,2)</f>
        <v>-4.7132011102340017E-4</v>
      </c>
      <c r="G249" s="32" cm="1">
        <f t="array" ref="G249">INDEX(LINEST(O$23:O$35,$A$23:$A$35^{1,2,3}), 1,2)</f>
        <v>-7.2897125439497321E-4</v>
      </c>
      <c r="H249" s="32" cm="1">
        <f t="array" ref="H249">INDEX(LINEST(P$23:P$35,$A$23:$A$35^{1,2,3}), 1,2)</f>
        <v>-4.2007781692193297E-4</v>
      </c>
      <c r="I249" s="32" cm="1">
        <f t="array" ref="I249">INDEX(LINEST(B$23:B$35,$A$23:$A$35^{1,2,3}), 1,2)</f>
        <v>7.3586511921412473E-4</v>
      </c>
    </row>
    <row r="250" spans="1:19" x14ac:dyDescent="0.25">
      <c r="A250" t="s">
        <v>60</v>
      </c>
      <c r="B250" s="31" cm="1">
        <f t="array" ref="B250">INDEX(LINEST(J$23:J$35,$A$23:$A$35^{1,2,3}), 1)</f>
        <v>2.760299452161712E-8</v>
      </c>
      <c r="C250" s="31" cm="1">
        <f t="array" ref="C250">INDEX(LINEST(K$23:K$35,$A$23:$A$35^{1,2,3}), 1)</f>
        <v>6.9745610719964462E-8</v>
      </c>
      <c r="D250" s="31" cm="1">
        <f t="array" ref="D250">INDEX(LINEST(L$23:L$35,$A$23:$A$35^{1,2,3}), 1)</f>
        <v>-8.4793027219818135E-9</v>
      </c>
      <c r="E250" s="31" cm="1">
        <f t="array" ref="E250">INDEX(LINEST(M$23:M$35,$A$23:$A$35^{1,2,3}), 1)</f>
        <v>-1.1989946578045661E-7</v>
      </c>
      <c r="F250" s="31" cm="1">
        <f t="array" ref="F250">INDEX(LINEST(N$23:N$35,$A$23:$A$35^{1,2,3}), 1)</f>
        <v>-3.9179397902565575E-7</v>
      </c>
      <c r="G250" s="31" cm="1">
        <f t="array" ref="G250">INDEX(LINEST(O$23:O$35,$A$23:$A$35^{1,2,3}), 1)</f>
        <v>-6.8236188196156337E-8</v>
      </c>
      <c r="H250" s="31" cm="1">
        <f t="array" ref="H250">INDEX(LINEST(P$23:P$35,$A$23:$A$35^{1,2,3}), 1)</f>
        <v>-4.5544743565184324E-7</v>
      </c>
      <c r="I250" s="32" cm="1">
        <f t="array" ref="I250">INDEX(LINEST(B$23:B$35,$A$23:$A$35^{1,2,3}), 1)</f>
        <v>3.9576034601497478E-7</v>
      </c>
    </row>
    <row r="251" spans="1:19" x14ac:dyDescent="0.25">
      <c r="A251" t="s">
        <v>61</v>
      </c>
      <c r="B251" s="31"/>
      <c r="C251" s="31"/>
      <c r="D251" s="32"/>
      <c r="E251" s="32"/>
      <c r="F251" s="32"/>
      <c r="G251" s="32"/>
      <c r="H251" s="32"/>
      <c r="I251" s="32"/>
    </row>
    <row r="252" spans="1:19" x14ac:dyDescent="0.25">
      <c r="A252" t="s">
        <v>62</v>
      </c>
      <c r="B252" s="31"/>
      <c r="C252" s="31"/>
      <c r="D252" s="32"/>
      <c r="E252" s="32"/>
      <c r="F252" s="32"/>
      <c r="G252" s="32"/>
      <c r="H252" s="32"/>
      <c r="I252" s="32"/>
    </row>
    <row r="253" spans="1:19" x14ac:dyDescent="0.25">
      <c r="A253" t="s">
        <v>63</v>
      </c>
      <c r="B253" s="31"/>
      <c r="C253" s="31"/>
      <c r="D253" s="32"/>
      <c r="E253" s="32"/>
      <c r="F253" s="32"/>
      <c r="G253" s="32"/>
      <c r="H253" s="32"/>
      <c r="I253" s="32"/>
    </row>
    <row r="254" spans="1:19" x14ac:dyDescent="0.25">
      <c r="B254" s="31"/>
      <c r="C254" s="31"/>
      <c r="D254" s="31"/>
      <c r="E254" s="31"/>
      <c r="F254" s="31"/>
      <c r="G254" s="31"/>
      <c r="H254" s="31"/>
      <c r="I254" s="31"/>
    </row>
    <row r="255" spans="1:19" x14ac:dyDescent="0.25">
      <c r="A255" t="s">
        <v>64</v>
      </c>
    </row>
    <row r="256" spans="1:19" x14ac:dyDescent="0.25">
      <c r="A256" s="25" t="s">
        <v>4</v>
      </c>
      <c r="B256" s="24"/>
      <c r="C256" s="24"/>
    </row>
    <row r="257" spans="1:9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3678.3162623955204</v>
      </c>
    </row>
    <row r="258" spans="1:9" x14ac:dyDescent="0.25">
      <c r="A258" s="1">
        <v>25</v>
      </c>
      <c r="B258" s="2" cm="1">
        <f t="array" ref="B258">TrajectoryToComeUp(B$247:B$250,$A258)</f>
        <v>1.4102333890720544</v>
      </c>
      <c r="C258" s="2" cm="1">
        <f t="array" ref="C258">TrajectoryToComeUp(C$247:C$250,$A258)</f>
        <v>1.5516727475458221</v>
      </c>
      <c r="D258" s="27" cm="1">
        <f t="array" ref="D258">TrajectoryToComeUp(D$247:D$250,$A258)</f>
        <v>1.1478980753318155</v>
      </c>
      <c r="E258" s="27" cm="1">
        <f t="array" ref="E258">TrajectoryToComeUp(E$247:E$250,$A258)</f>
        <v>1.1017687317697593</v>
      </c>
      <c r="F258" s="27" cm="1">
        <f t="array" ref="F258">TrajectoryToComeUp(F$247:F$250,$A258)</f>
        <v>0.14170680524208351</v>
      </c>
      <c r="G258" s="27" cm="1">
        <f t="array" ref="G258">TrajectoryToComeUp(G$247:G$250,$A258)</f>
        <v>-0.16950936978038292</v>
      </c>
      <c r="H258" s="27" cm="1">
        <f t="array" ref="H258">TrajectoryToComeUp(H$247:H$250,$A258)</f>
        <v>-1.1007127003835757</v>
      </c>
      <c r="I258" s="2" cm="1">
        <f t="array" ref="I258">EvaluatePolynomial(I$247:I$250,$A258)</f>
        <v>3596.7019279573074</v>
      </c>
    </row>
    <row r="259" spans="1:9" x14ac:dyDescent="0.25">
      <c r="A259" s="1">
        <v>50</v>
      </c>
      <c r="B259" s="2" cm="1">
        <f t="array" ref="B259">TrajectoryToComeUp(B$247:B$250,$A259)</f>
        <v>-3.3150763993830185E-2</v>
      </c>
      <c r="C259" s="33" cm="1">
        <f t="array" ref="C259">TrajectoryToComeUp(C$247:C$250,$A259)</f>
        <v>0.29911772631067818</v>
      </c>
      <c r="D259" s="27" cm="1">
        <f t="array" ref="D259">TrajectoryToComeUp(D$247:D$250,$A259)</f>
        <v>5.1373263866108645E-2</v>
      </c>
      <c r="E259" s="27" cm="1">
        <f t="array" ref="E259">TrajectoryToComeUp(E$247:E$250,$A259)</f>
        <v>-4.4801646106677549E-2</v>
      </c>
      <c r="F259" s="27" cm="1">
        <f t="array" ref="F259">TrajectoryToComeUp(F$247:F$250,$A259)</f>
        <v>-0.72650241419289274</v>
      </c>
      <c r="G259" s="27" cm="1">
        <f t="array" ref="G259">TrajectoryToComeUp(G$247:G$250,$A259)</f>
        <v>-1.3933134562887806</v>
      </c>
      <c r="H259" s="27" cm="1">
        <f t="array" ref="H259">TrajectoryToComeUp(H$247:H$250,$A259)</f>
        <v>-2.0635162071105588</v>
      </c>
      <c r="I259" s="2" cm="1">
        <f t="array" ref="I259">EvaluatePolynomial(I$247:I$250,$A259)</f>
        <v>3516.044527450551</v>
      </c>
    </row>
    <row r="260" spans="1:9" x14ac:dyDescent="0.25">
      <c r="A260" s="1">
        <v>75</v>
      </c>
      <c r="B260" s="2" cm="1">
        <f t="array" ref="B260">TrajectoryToComeUp(B$247:B$250,$A260)</f>
        <v>-0.36625757561895073</v>
      </c>
      <c r="C260" s="2" cm="1">
        <f t="array" ref="C260">TrajectoryToComeUp(C$247:C$250,$A260)</f>
        <v>1.5557338506401019E-2</v>
      </c>
      <c r="D260" s="27" cm="1">
        <f t="array" ref="D260">TrajectoryToComeUp(D$247:D$250,$A260)</f>
        <v>-0.19049700843685718</v>
      </c>
      <c r="E260" s="27" cm="1">
        <f t="array" ref="E260">TrajectoryToComeUp(E$247:E$250,$A260)</f>
        <v>-0.31513101339049354</v>
      </c>
      <c r="F260" s="27" cm="1">
        <f t="array" ref="F260">TrajectoryToComeUp(F$247:F$250,$A260)</f>
        <v>-0.92755728602501009</v>
      </c>
      <c r="G260" s="27" cm="1">
        <f t="array" ref="G260">TrajectoryToComeUp(G$247:G$250,$A260)</f>
        <v>-1.6780470380208472</v>
      </c>
      <c r="H260" s="27" cm="1">
        <f t="array" ref="H260">TrajectoryToComeUp(H$247:H$250,$A260)</f>
        <v>-2.3030515539746013</v>
      </c>
      <c r="I260" s="2" cm="1">
        <f t="array" ref="I260">EvaluatePolynomial(I$247:I$250,$A260)</f>
        <v>3436.3811634076901</v>
      </c>
    </row>
    <row r="261" spans="1:9" x14ac:dyDescent="0.25">
      <c r="A261" s="1">
        <v>100</v>
      </c>
      <c r="B261" s="2" cm="1">
        <f t="array" ref="B261">TrajectoryToComeUp(B$247:B$250,$A261)</f>
        <v>-0.42205382995752017</v>
      </c>
      <c r="C261" s="2" cm="1">
        <f t="array" ref="C261">TrajectoryToComeUp(C$247:C$250,$A261)</f>
        <v>-2.6408256040659057E-2</v>
      </c>
      <c r="D261" s="27" cm="1">
        <f t="array" ref="D261">TrajectoryToComeUp(D$247:D$250,$A261)</f>
        <v>-0.21862415248611927</v>
      </c>
      <c r="E261" s="27" cm="1">
        <f t="array" ref="E261">TrajectoryToComeUp(E$247:E$250,$A261)</f>
        <v>-0.3652760705344627</v>
      </c>
      <c r="F261" s="27" cm="1">
        <f t="array" ref="F261">TrajectoryToComeUp(F$247:F$250,$A261)</f>
        <v>-0.95815050240304722</v>
      </c>
      <c r="G261" s="27" cm="1">
        <f t="array" ref="G261">TrajectoryToComeUp(G$247:G$250,$A261)</f>
        <v>-1.7273732792944918</v>
      </c>
      <c r="H261" s="27" cm="1">
        <f t="array" ref="H261">TrajectoryToComeUp(H$247:H$250,$A261)</f>
        <v>-2.3575000411636733</v>
      </c>
      <c r="I261" s="2" cm="1">
        <f t="array" ref="I261">EvaluatePolynomial(I$247:I$250,$A261)</f>
        <v>3357.7489383611633</v>
      </c>
    </row>
    <row r="262" spans="1:9" x14ac:dyDescent="0.25">
      <c r="A262" s="1">
        <v>125</v>
      </c>
      <c r="B262" s="2" cm="1">
        <f t="array" ref="B262">TrajectoryToComeUp(B$247:B$250,$A262)</f>
        <v>-0.36713288384038151</v>
      </c>
      <c r="C262" s="2" cm="1">
        <f t="array" ref="C262">TrajectoryToComeUp(C$247:C$250,$A262)</f>
        <v>2.7740974634767979E-2</v>
      </c>
      <c r="D262" s="27" cm="1">
        <f t="array" ref="D262">TrajectoryToComeUp(D$247:D$250,$A262)</f>
        <v>-0.16119045046348504</v>
      </c>
      <c r="E262" s="27" cm="1">
        <f t="array" ref="E262">TrajectoryToComeUp(E$247:E$250,$A262)</f>
        <v>-0.32644815762913959</v>
      </c>
      <c r="F262" s="27" cm="1">
        <f t="array" ref="F262">TrajectoryToComeUp(F$247:F$250,$A262)</f>
        <v>-0.91762060175675975</v>
      </c>
      <c r="G262" s="27" cm="1">
        <f t="array" ref="G262">TrajectoryToComeUp(G$247:G$250,$A262)</f>
        <v>-1.6820248129732966</v>
      </c>
      <c r="H262" s="27" cm="1">
        <f t="array" ref="H262">TrajectoryToComeUp(H$247:H$250,$A262)</f>
        <v>-2.3344979287153675</v>
      </c>
      <c r="I262" s="2" cm="1">
        <f t="array" ref="I262">EvaluatePolynomial(I$247:I$250,$A262)</f>
        <v>3280.1849548434097</v>
      </c>
    </row>
    <row r="263" spans="1:9" x14ac:dyDescent="0.25">
      <c r="A263" s="1">
        <v>150</v>
      </c>
      <c r="B263" s="2" cm="1">
        <f t="array" ref="B263">TrajectoryToComeUp(B$247:B$250,$A263)</f>
        <v>-0.25702585621114882</v>
      </c>
      <c r="C263" s="2" cm="1">
        <f t="array" ref="C263">TrajectoryToComeUp(C$247:C$250,$A263)</f>
        <v>0.12951170785443875</v>
      </c>
      <c r="D263" s="27" cm="1">
        <f t="array" ref="D263">TrajectoryToComeUp(D$247:D$250,$A263)</f>
        <v>-6.0923329762890124E-2</v>
      </c>
      <c r="E263" s="27" cm="1">
        <f t="array" ref="E263">TrajectoryToComeUp(E$247:E$250,$A263)</f>
        <v>-0.24238438803804255</v>
      </c>
      <c r="F263" s="27" cm="1">
        <f t="array" ref="F263">TrajectoryToComeUp(F$247:F$250,$A263)</f>
        <v>-0.83908043022939971</v>
      </c>
      <c r="G263" s="27" cm="1">
        <f t="array" ref="G263">TrajectoryToComeUp(G$247:G$250,$A263)</f>
        <v>-1.5889125166784555</v>
      </c>
      <c r="H263" s="27" cm="1">
        <f t="array" ref="H263">TrajectoryToComeUp(H$247:H$250,$A263)</f>
        <v>-2.2699239699755496</v>
      </c>
      <c r="I263" s="2" cm="1">
        <f t="array" ref="I263">EvaluatePolynomial(I$247:I$250,$A263)</f>
        <v>3203.7263153868689</v>
      </c>
    </row>
    <row r="264" spans="1:9" x14ac:dyDescent="0.25">
      <c r="A264" s="1">
        <v>175</v>
      </c>
      <c r="B264" s="2" cm="1">
        <f t="array" ref="B264">TrajectoryToComeUp(B$247:B$250,$A264)</f>
        <v>-0.11553179804565676</v>
      </c>
      <c r="C264" s="2" cm="1">
        <f t="array" ref="C264">TrajectoryToComeUp(C$247:C$250,$A264)</f>
        <v>0.25812109104196324</v>
      </c>
      <c r="D264" s="27" cm="1">
        <f t="array" ref="D264">TrajectoryToComeUp(D$247:D$250,$A264)</f>
        <v>6.386545501826435E-2</v>
      </c>
      <c r="E264" s="27" cm="1">
        <f t="array" ref="E264">TrajectoryToComeUp(E$247:E$250,$A264)</f>
        <v>-0.13182923891696482</v>
      </c>
      <c r="F264" s="27" cm="1">
        <f t="array" ref="F264">TrajectoryToComeUp(F$247:F$250,$A264)</f>
        <v>-0.73672120759664639</v>
      </c>
      <c r="G264" s="27" cm="1">
        <f t="array" ref="G264">TrajectoryToComeUp(G$247:G$250,$A264)</f>
        <v>-1.468141052247623</v>
      </c>
      <c r="H264" s="27" cm="1">
        <f t="array" ref="H264">TrajectoryToComeUp(H$247:H$250,$A264)</f>
        <v>-2.1791547735210175</v>
      </c>
      <c r="I264" s="2" cm="1">
        <f t="array" ref="I264">EvaluatePolynomial(I$247:I$250,$A264)</f>
        <v>3128.4101225239788</v>
      </c>
    </row>
    <row r="265" spans="1:9" x14ac:dyDescent="0.25">
      <c r="A265" s="1">
        <v>200</v>
      </c>
      <c r="B265" s="2" cm="1">
        <f t="array" ref="B265">TrajectoryToComeUp(B$247:B$250,$A265)</f>
        <v>4.5449765168177142E-2</v>
      </c>
      <c r="C265" s="2" cm="1">
        <f t="array" ref="C265">TrajectoryToComeUp(C$247:C$250,$A265)</f>
        <v>0.40317769790914665</v>
      </c>
      <c r="D265" s="27" cm="1">
        <f t="array" ref="D265">TrajectoryToComeUp(D$247:D$250,$A265)</f>
        <v>0.2040200265812778</v>
      </c>
      <c r="E265" s="27" cm="1">
        <f t="array" ref="E265">TrajectoryToComeUp(E$247:E$250,$A265)</f>
        <v>-4.1549488438037876E-3</v>
      </c>
      <c r="F265" s="27" cm="1">
        <f t="array" ref="F265">TrajectoryToComeUp(F$247:F$250,$A265)</f>
        <v>-0.61763854374633964</v>
      </c>
      <c r="G265" s="27" cm="1">
        <f t="array" ref="G265">TrajectoryToComeUp(G$247:G$250,$A265)</f>
        <v>-1.3297627505996266</v>
      </c>
      <c r="H265" s="27" cm="1">
        <f t="array" ref="H265">TrajectoryToComeUp(H$247:H$250,$A265)</f>
        <v>-2.0698786436401715</v>
      </c>
      <c r="I265" s="2" cm="1">
        <f t="array" ref="I265">EvaluatePolynomial(I$247:I$250,$A265)</f>
        <v>3054.2734787871786</v>
      </c>
    </row>
    <row r="266" spans="1:9" x14ac:dyDescent="0.25">
      <c r="A266" s="1">
        <v>225</v>
      </c>
      <c r="B266" s="2" cm="1">
        <f t="array" ref="B266">TrajectoryToComeUp(B$247:B$250,$A266)</f>
        <v>0.21930798593706591</v>
      </c>
      <c r="C266" s="2" cm="1">
        <f t="array" ref="C266">TrajectoryToComeUp(C$247:C$250,$A266)</f>
        <v>0.55890851385143592</v>
      </c>
      <c r="D266" s="27" cm="1">
        <f t="array" ref="D266">TrajectoryToComeUp(D$247:D$250,$A266)</f>
        <v>0.35445378642687214</v>
      </c>
      <c r="E266" s="27" cm="1">
        <f t="array" ref="E266">TrajectoryToComeUp(E$247:E$250,$A266)</f>
        <v>0.13543168297149835</v>
      </c>
      <c r="F266" s="27" cm="1">
        <f t="array" ref="F266">TrajectoryToComeUp(F$247:F$250,$A266)</f>
        <v>-0.48577444417172344</v>
      </c>
      <c r="G266" s="27" cm="1">
        <f t="array" ref="G266">TrajectoryToComeUp(G$247:G$250,$A266)</f>
        <v>-1.1793622400227033</v>
      </c>
      <c r="H266" s="27" cm="1">
        <f t="array" ref="H266">TrajectoryToComeUp(H$247:H$250,$A266)</f>
        <v>-1.946366860493234</v>
      </c>
      <c r="I266" s="2" cm="1">
        <f t="array" ref="I266">EvaluatePolynomial(I$247:I$250,$A266)</f>
        <v>2981.353486708907</v>
      </c>
    </row>
    <row r="267" spans="1:9" x14ac:dyDescent="0.25">
      <c r="A267" s="1">
        <v>250</v>
      </c>
      <c r="B267" s="2" cm="1">
        <f t="array" ref="B267">TrajectoryToComeUp(B$247:B$250,$A267)</f>
        <v>0.40207635576503653</v>
      </c>
      <c r="C267" s="2" cm="1">
        <f t="array" ref="C267">TrajectoryToComeUp(C$247:C$250,$A267)</f>
        <v>0.72184973010609954</v>
      </c>
      <c r="D267" s="27" cm="1">
        <f t="array" ref="D267">TrajectoryToComeUp(D$247:D$250,$A267)</f>
        <v>0.51211477545548034</v>
      </c>
      <c r="E267" s="27" cm="1">
        <f t="array" ref="E267">TrajectoryToComeUp(E$247:E$250,$A267)</f>
        <v>0.2838065770029759</v>
      </c>
      <c r="F267" s="27" cm="1">
        <f t="array" ref="F267">TrajectoryToComeUp(F$247:F$250,$A267)</f>
        <v>-0.34349411216874487</v>
      </c>
      <c r="G267" s="27" cm="1">
        <f t="array" ref="G267">TrajectoryToComeUp(G$247:G$250,$A267)</f>
        <v>-1.0202902974897956</v>
      </c>
      <c r="H267" s="27" cm="1">
        <f t="array" ref="H267">TrajectoryToComeUp(H$247:H$250,$A267)</f>
        <v>-1.8111821921763376</v>
      </c>
      <c r="I267" s="2" cm="1">
        <f t="array" ref="I267">EvaluatePolynomial(I$247:I$250,$A267)</f>
        <v>2909.6872488216036</v>
      </c>
    </row>
    <row r="268" spans="1:9" x14ac:dyDescent="0.25">
      <c r="A268" s="1">
        <v>275</v>
      </c>
      <c r="B268" s="2" cm="1">
        <f t="array" ref="B268">TrajectoryToComeUp(B$247:B$250,$A268)</f>
        <v>0.59123073288192529</v>
      </c>
      <c r="C268" s="2" cm="1">
        <f t="array" ref="C268">TrajectoryToComeUp(C$247:C$250,$A268)</f>
        <v>0.88979710473321716</v>
      </c>
      <c r="D268" s="27" cm="1">
        <f t="array" ref="D268">TrajectoryToComeUp(D$247:D$250,$A268)</f>
        <v>0.67506083787646931</v>
      </c>
      <c r="E268" s="27" cm="1">
        <f t="array" ref="E268">TrajectoryToComeUp(E$247:E$250,$A268)</f>
        <v>0.43898168264319648</v>
      </c>
      <c r="F268" s="27" cm="1">
        <f t="array" ref="F268">TrajectoryToComeUp(F$247:F$250,$A268)</f>
        <v>-0.19230267710755111</v>
      </c>
      <c r="G268" s="27" cm="1">
        <f t="array" ref="G268">TrajectoryToComeUp(G$247:G$250,$A268)</f>
        <v>-0.85467923562004888</v>
      </c>
      <c r="H268" s="27" cm="1">
        <f t="array" ref="H268">TrajectoryToComeUp(H$247:H$250,$A268)</f>
        <v>-1.665955491114294</v>
      </c>
      <c r="I268" s="2" cm="1">
        <f t="array" ref="I268">EvaluatePolynomial(I$247:I$250,$A268)</f>
        <v>2839.3118676577069</v>
      </c>
    </row>
    <row r="269" spans="1:9" x14ac:dyDescent="0.25">
      <c r="A269" s="1">
        <v>300</v>
      </c>
      <c r="B269" s="2" cm="1">
        <f t="array" ref="B269">TrajectoryToComeUp(B$247:B$250,$A269)</f>
        <v>0.78508835610762218</v>
      </c>
      <c r="C269" s="2" cm="1">
        <f t="array" ref="C269">TrajectoryToComeUp(C$247:C$250,$A269)</f>
        <v>1.0612811431061759</v>
      </c>
      <c r="D269" s="27" cm="1">
        <f t="array" ref="D269">TrajectoryToComeUp(D$247:D$250,$A269)</f>
        <v>0.84199720316275006</v>
      </c>
      <c r="E269" s="27" cm="1">
        <f t="array" ref="E269">TrajectoryToComeUp(E$247:E$250,$A269)</f>
        <v>0.59963163282053777</v>
      </c>
      <c r="F269" s="27" cm="1">
        <f t="array" ref="F269">TrajectoryToComeUp(F$247:F$250,$A269)</f>
        <v>-3.3203558568241413E-2</v>
      </c>
      <c r="G269" s="27" cm="1">
        <f t="array" ref="G269">TrajectoryToComeUp(G$247:G$250,$A269)</f>
        <v>-0.68395059615956022</v>
      </c>
      <c r="H269" s="27" cm="1">
        <f t="array" ref="H269">TrajectoryToComeUp(H$247:H$250,$A269)</f>
        <v>-1.5117739922569791</v>
      </c>
      <c r="I269" s="2" cm="1">
        <f t="array" ref="I269">EvaluatePolynomial(I$247:I$250,$A269)</f>
        <v>2770.2644457496558</v>
      </c>
    </row>
    <row r="270" spans="1:9" x14ac:dyDescent="0.25">
      <c r="A270" s="1">
        <v>325</v>
      </c>
      <c r="B270" s="2" cm="1">
        <f t="array" ref="B270">TrajectoryToComeUp(B$247:B$250,$A270)</f>
        <v>0.98248423693282105</v>
      </c>
      <c r="C270" s="2" cm="1">
        <f t="array" ref="C270">TrajectoryToComeUp(C$247:C$250,$A270)</f>
        <v>1.2352845027911661</v>
      </c>
      <c r="D270" s="27" cm="1">
        <f t="array" ref="D270">TrajectoryToComeUp(D$247:D$250,$A270)</f>
        <v>1.0120274917186456</v>
      </c>
      <c r="E270" s="27" cm="1">
        <f t="array" ref="E270">TrajectoryToComeUp(E$247:E$250,$A270)</f>
        <v>0.76483886571618498</v>
      </c>
      <c r="F270" s="27" cm="1">
        <f t="array" ref="F270">TrajectoryToComeUp(F$247:F$250,$A270)</f>
        <v>0.13310856835527063</v>
      </c>
      <c r="G270" s="27" cm="1">
        <f t="array" ref="G270">TrajectoryToComeUp(G$247:G$250,$A270)</f>
        <v>-0.50908852339408805</v>
      </c>
      <c r="H270" s="27" cm="1">
        <f t="array" ref="H270">TrajectoryToComeUp(H$247:H$250,$A270)</f>
        <v>-1.3493903967235354</v>
      </c>
      <c r="I270" s="2" cm="1">
        <f t="array" ref="I270">EvaluatePolynomial(I$247:I$250,$A270)</f>
        <v>2702.5820856298892</v>
      </c>
    </row>
    <row r="271" spans="1:9" x14ac:dyDescent="0.25">
      <c r="A271" s="1">
        <v>350</v>
      </c>
      <c r="B271" s="2" cm="1">
        <f t="array" ref="B271">TrajectoryToComeUp(B$247:B$250,$A271)</f>
        <v>1.1825862407080168</v>
      </c>
      <c r="C271" s="2" cm="1">
        <f t="array" ref="C271">TrajectoryToComeUp(C$247:C$250,$A271)</f>
        <v>1.4110805106211808</v>
      </c>
      <c r="D271" s="27" cm="1">
        <f t="array" ref="D271">TrajectoryToComeUp(D$247:D$250,$A271)</f>
        <v>1.1845114324043864</v>
      </c>
      <c r="E271" s="27" cm="1">
        <f t="array" ref="E271">TrajectoryToComeUp(E$247:E$250,$A271)</f>
        <v>0.93394798003098456</v>
      </c>
      <c r="F271" s="27" cm="1">
        <f t="array" ref="F271">TrajectoryToComeUp(F$247:F$250,$A271)</f>
        <v>0.30613750716733112</v>
      </c>
      <c r="G271" s="27" cm="1">
        <f t="array" ref="G271">TrajectoryToComeUp(G$247:G$250,$A271)</f>
        <v>-0.33079597752774681</v>
      </c>
      <c r="H271" s="27" cm="1">
        <f t="array" ref="H271">TrajectoryToComeUp(H$247:H$250,$A271)</f>
        <v>-1.1793423481704948</v>
      </c>
      <c r="I271" s="2" cm="1">
        <f t="array" ref="I271">EvaluatePolynomial(I$247:I$250,$A271)</f>
        <v>2636.301889830846</v>
      </c>
    </row>
    <row r="272" spans="1:9" x14ac:dyDescent="0.25">
      <c r="A272" s="1">
        <v>375</v>
      </c>
      <c r="B272" s="2" cm="1">
        <f t="array" ref="B272">TrajectoryToComeUp(B$247:B$250,$A272)</f>
        <v>1.3847841353569061</v>
      </c>
      <c r="C272" s="2" cm="1">
        <f t="array" ref="C272">TrajectoryToComeUp(C$247:C$250,$A272)</f>
        <v>1.5881362729404154</v>
      </c>
      <c r="D272" s="27" cm="1">
        <f t="array" ref="D272">TrajectoryToComeUp(D$247:D$250,$A272)</f>
        <v>1.3589794930508086</v>
      </c>
      <c r="E272" s="27" cm="1">
        <f t="array" ref="E272">TrajectoryToComeUp(E$247:E$250,$A272)</f>
        <v>1.1064783481455573</v>
      </c>
      <c r="F272" s="27" cm="1">
        <f t="array" ref="F272">TrajectoryToComeUp(F$247:F$250,$A272)</f>
        <v>0.48551938043779524</v>
      </c>
      <c r="G272" s="27" cm="1">
        <f t="array" ref="G272">TrajectoryToComeUp(G$247:G$250,$A272)</f>
        <v>-0.14958846271021975</v>
      </c>
      <c r="H272" s="27" cm="1">
        <f t="array" ref="H272">TrajectoryToComeUp(H$247:H$250,$A272)</f>
        <v>-1.002024118612648</v>
      </c>
      <c r="I272" s="2" cm="1">
        <f t="array" ref="I272">EvaluatePolynomial(I$247:I$250,$A272)</f>
        <v>2571.4609608849651</v>
      </c>
    </row>
    <row r="273" spans="1:9" x14ac:dyDescent="0.25">
      <c r="A273" s="1">
        <v>400</v>
      </c>
      <c r="B273" s="2" cm="1">
        <f t="array" ref="B273">TrajectoryToComeUp(B$247:B$250,$A273)</f>
        <v>1.5886202468222614</v>
      </c>
      <c r="C273" s="2" cm="1">
        <f t="array" ref="C273">TrajectoryToComeUp(C$247:C$250,$A273)</f>
        <v>1.7660521195070167</v>
      </c>
      <c r="D273" s="27" cm="1">
        <f t="array" ref="D273">TrajectoryToComeUp(D$247:D$250,$A273)</f>
        <v>1.5350795245310387</v>
      </c>
      <c r="E273" s="27" cm="1">
        <f t="array" ref="E273">TrajectoryToComeUp(E$247:E$250,$A273)</f>
        <v>1.2820694993453685</v>
      </c>
      <c r="F273" s="27" cm="1">
        <f t="array" ref="F273">TrajectoryToComeUp(F$247:F$250,$A273)</f>
        <v>0.67098128009405289</v>
      </c>
      <c r="G273" s="27" cm="1">
        <f t="array" ref="G273">TrajectoryToComeUp(G$247:G$250,$A273)</f>
        <v>3.4147392946230058E-2</v>
      </c>
      <c r="H273" s="27" cm="1">
        <f t="array" ref="H273">TrajectoryToComeUp(H$247:H$250,$A273)</f>
        <v>-0.81773141206108624</v>
      </c>
      <c r="I273" s="2" cm="1">
        <f t="array" ref="I273">EvaluatePolynomial(I$247:I$250,$A273)</f>
        <v>2508.0964013246853</v>
      </c>
    </row>
    <row r="274" spans="1:9" x14ac:dyDescent="0.25">
      <c r="A274" s="1">
        <v>425</v>
      </c>
      <c r="B274" s="2" cm="1">
        <f t="array" ref="B274">TrajectoryToComeUp(B$247:B$250,$A274)</f>
        <v>1.793744589060321</v>
      </c>
      <c r="C274" s="2" cm="1">
        <f t="array" ref="C274">TrajectoryToComeUp(C$247:C$250,$A274)</f>
        <v>1.9445224201360369</v>
      </c>
      <c r="D274" s="27" cm="1">
        <f t="array" ref="D274">TrajectoryToComeUp(D$247:D$250,$A274)</f>
        <v>1.7125422363362917</v>
      </c>
      <c r="E274" s="27" cm="1">
        <f t="array" ref="E274">TrajectoryToComeUp(E$247:E$250,$A274)</f>
        <v>1.4604457795545973</v>
      </c>
      <c r="F274" s="27" cm="1">
        <f t="array" ref="F274">TrajectoryToComeUp(F$247:F$250,$A274)</f>
        <v>0.86231451172763895</v>
      </c>
      <c r="G274" s="27" cm="1">
        <f t="array" ref="G274">TrajectoryToComeUp(G$247:G$250,$A274)</f>
        <v>0.22011593264987325</v>
      </c>
      <c r="H274" s="27" cm="1">
        <f t="array" ref="H274">TrajectoryToComeUp(H$247:H$250,$A274)</f>
        <v>-0.6266903551125278</v>
      </c>
      <c r="I274" s="2" cm="1">
        <f t="array" ref="I274">EvaluatePolynomial(I$247:I$250,$A274)</f>
        <v>2446.2453136824456</v>
      </c>
    </row>
    <row r="275" spans="1:9" x14ac:dyDescent="0.25">
      <c r="A275" s="1">
        <v>450</v>
      </c>
      <c r="B275" s="2" cm="1">
        <f t="array" ref="B275">TrajectoryToComeUp(B$247:B$250,$A275)</f>
        <v>1.9998849507037129</v>
      </c>
      <c r="C275" s="2" cm="1">
        <f t="array" ref="C275">TrajectoryToComeUp(C$247:C$250,$A275)</f>
        <v>2.1233094624614064</v>
      </c>
      <c r="D275" s="27" cm="1">
        <f t="array" ref="D275">TrajectoryToComeUp(D$247:D$250,$A275)</f>
        <v>1.8911581802930684</v>
      </c>
      <c r="E275" s="27" cm="1">
        <f t="array" ref="E275">TrajectoryToComeUp(E$247:E$250,$A275)</f>
        <v>1.6413927911587176</v>
      </c>
      <c r="F275" s="27" cm="1">
        <f t="array" ref="F275">TrajectoryToComeUp(F$247:F$250,$A275)</f>
        <v>1.0593567574653016</v>
      </c>
      <c r="G275" s="27" cm="1">
        <f t="array" ref="G275">TrajectoryToComeUp(G$247:G$250,$A275)</f>
        <v>0.40808720111825253</v>
      </c>
      <c r="H275" s="27" cm="1">
        <f t="array" ref="H275">TrajectoryToComeUp(H$247:H$250,$A275)</f>
        <v>-0.42907682400886343</v>
      </c>
      <c r="I275" s="2" cm="1">
        <f t="array" ref="I275">EvaluatePolynomial(I$247:I$250,$A275)</f>
        <v>2385.9448004906849</v>
      </c>
    </row>
    <row r="276" spans="1:9" x14ac:dyDescent="0.25">
      <c r="A276" s="1">
        <v>475</v>
      </c>
      <c r="B276" s="2" cm="1">
        <f t="array" ref="B276">TrajectoryToComeUp(B$247:B$250,$A276)</f>
        <v>2.2068264280413561</v>
      </c>
      <c r="C276" s="2" cm="1">
        <f t="array" ref="C276">TrajectoryToComeUp(C$247:C$250,$A276)</f>
        <v>2.3022255788257033</v>
      </c>
      <c r="D276" s="27" cm="1">
        <f t="array" ref="D276">TrajectoryToComeUp(D$247:D$250,$A276)</f>
        <v>2.0707620025801838</v>
      </c>
      <c r="E276" s="27" cm="1">
        <f t="array" ref="E276">TrajectoryToComeUp(E$247:E$250,$A276)</f>
        <v>1.8247412728831021</v>
      </c>
      <c r="F276" s="27" cm="1">
        <f t="array" ref="F276">TrajectoryToComeUp(F$247:F$250,$A276)</f>
        <v>1.2619798716176329</v>
      </c>
      <c r="G276" s="27" cm="1">
        <f t="array" ref="G276">TrajectoryToComeUp(G$247:G$250,$A276)</f>
        <v>0.59787965470732263</v>
      </c>
      <c r="H276" s="27" cm="1">
        <f t="array" ref="H276">TrajectoryToComeUp(H$247:H$250,$A276)</f>
        <v>-0.22502966841474473</v>
      </c>
      <c r="I276" s="2" cm="1">
        <f t="array" ref="I276">EvaluatePolynomial(I$247:I$250,$A276)</f>
        <v>2327.2319642818425</v>
      </c>
    </row>
    <row r="277" spans="1:9" x14ac:dyDescent="0.25">
      <c r="A277" s="10">
        <v>500</v>
      </c>
      <c r="B277" s="2" cm="1">
        <f t="array" ref="B277">TrajectoryToComeUp(B$247:B$250,$A277)</f>
        <v>2.4143970981043852</v>
      </c>
      <c r="C277" s="2" cm="1">
        <f t="array" ref="C277">TrajectoryToComeUp(C$247:C$250,$A277)</f>
        <v>2.4811206351029864</v>
      </c>
      <c r="D277" s="27" cm="1">
        <f t="array" ref="D277">TrajectoryToComeUp(D$247:D$250,$A277)</f>
        <v>2.2512214201406917</v>
      </c>
      <c r="E277" s="27" cm="1">
        <f t="array" ref="E277">TrajectoryToComeUp(E$247:E$250,$A277)</f>
        <v>2.0103558157080492</v>
      </c>
      <c r="F277" s="27" cm="1">
        <f t="array" ref="F277">TrajectoryToComeUp(F$247:F$250,$A277)</f>
        <v>1.4700813376331043</v>
      </c>
      <c r="G277" s="27" cm="1">
        <f t="array" ref="G277">TrajectoryToComeUp(G$247:G$250,$A277)</f>
        <v>0.78934805850184842</v>
      </c>
      <c r="H277" s="27" cm="1">
        <f t="array" ref="H277">TrajectoryToComeUp(H$247:H$250,$A277)</f>
        <v>-1.4659968061893149E-2</v>
      </c>
      <c r="I277" s="2" cm="1">
        <f t="array" ref="I277">EvaluatePolynomial(I$247:I$250,$A277)</f>
        <v>2270.1439075883568</v>
      </c>
    </row>
    <row r="278" spans="1:9" x14ac:dyDescent="0.25">
      <c r="A278" s="1">
        <v>525</v>
      </c>
      <c r="B278" s="34" cm="1">
        <f t="array" ref="B278">TrajectoryToComeUp(B$247:B$250,$A278)</f>
        <v>2.6224577851560982</v>
      </c>
      <c r="C278" s="34" cm="1">
        <f t="array" ref="C278">TrajectoryToComeUp(C$247:C$250,$A278)</f>
        <v>2.6598730941436868</v>
      </c>
      <c r="D278" s="34" cm="1">
        <f t="array" ref="D278">TrajectoryToComeUp(D$247:D$250,$A278)</f>
        <v>2.4324293466903963</v>
      </c>
      <c r="E278" s="34" cm="1">
        <f t="array" ref="E278">TrajectoryToComeUp(E$247:E$250,$A278)</f>
        <v>2.1981268028080874</v>
      </c>
      <c r="F278" s="34" cm="1">
        <f t="array" ref="F278">TrajectoryToComeUp(F$247:F$250,$A278)</f>
        <v>1.6835781659223856</v>
      </c>
      <c r="G278" s="34" cm="1">
        <f t="array" ref="G278">TrajectoryToComeUp(G$247:G$250,$A278)</f>
        <v>0.98237484137997233</v>
      </c>
      <c r="H278" s="34" cm="1">
        <f t="array" ref="H278">TrajectoryToComeUp(H$247:H$250,$A278)</f>
        <v>0.20194235536210878</v>
      </c>
      <c r="I278" s="2" cm="1">
        <f t="array" ref="I278">EvaluatePolynomial(I$247:I$250,$A278)</f>
        <v>2214.7177329426663</v>
      </c>
    </row>
    <row r="279" spans="1:9" x14ac:dyDescent="0.25">
      <c r="A279" s="1">
        <v>550</v>
      </c>
      <c r="B279" s="34" cm="1">
        <f t="array" ref="B279">TrajectoryToComeUp(B$247:B$250,$A279)</f>
        <v>2.8308946181391947</v>
      </c>
      <c r="C279" s="34" cm="1">
        <f t="array" ref="C279">TrajectoryToComeUp(C$247:C$250,$A279)</f>
        <v>2.8383835164617937</v>
      </c>
      <c r="D279" s="34" cm="1">
        <f t="array" ref="D279">TrajectoryToComeUp(D$247:D$250,$A279)</f>
        <v>2.6142981661785916</v>
      </c>
      <c r="E279" s="34" cm="1">
        <f t="array" ref="E279">TrajectoryToComeUp(E$247:E$250,$A279)</f>
        <v>2.3879645476896472</v>
      </c>
      <c r="F279" s="34" cm="1">
        <f t="array" ref="F279">TrajectoryToComeUp(F$247:F$250,$A279)</f>
        <v>1.9024024559123869</v>
      </c>
      <c r="G279" s="34" cm="1">
        <f t="array" ref="G279">TrajectoryToComeUp(G$247:G$250,$A279)</f>
        <v>1.1768638087874466</v>
      </c>
      <c r="H279" s="34" cm="1">
        <f t="array" ref="H279">TrajectoryToComeUp(H$247:H$250,$A279)</f>
        <v>0.42470372956741931</v>
      </c>
      <c r="I279" s="2" cm="1">
        <f t="array" ref="I279">EvaluatePolynomial(I$247:I$250,$A279)</f>
        <v>2160.9905428772113</v>
      </c>
    </row>
    <row r="280" spans="1:9" x14ac:dyDescent="0.25">
      <c r="A280" s="1">
        <v>575</v>
      </c>
      <c r="B280" s="34" cm="1">
        <f t="array" ref="B280">TrajectoryToComeUp(B$247:B$250,$A280)</f>
        <v>3.0396135296585145</v>
      </c>
      <c r="C280" s="34" cm="1">
        <f t="array" ref="C280">TrajectoryToComeUp(C$247:C$250,$A280)</f>
        <v>3.0165697563949498</v>
      </c>
      <c r="D280" s="34" cm="1">
        <f t="array" ref="D280">TrajectoryToComeUp(D$247:D$250,$A280)</f>
        <v>2.7967555001286093</v>
      </c>
      <c r="E280" s="34" cm="1">
        <f t="array" ref="E280">TrajectoryToComeUp(E$247:E$250,$A280)</f>
        <v>2.5797949615102169</v>
      </c>
      <c r="F280" s="34" cm="1">
        <f t="array" ref="F280">TrajectoryToComeUp(F$247:F$250,$A280)</f>
        <v>2.1264981158253389</v>
      </c>
      <c r="G280" s="34" cm="1">
        <f t="array" ref="G280">TrajectoryToComeUp(G$247:G$250,$A280)</f>
        <v>1.3727354956577187</v>
      </c>
      <c r="H280" s="34" cm="1">
        <f t="array" ref="H280">TrajectoryToComeUp(H$247:H$250,$A280)</f>
        <v>0.65356337744503856</v>
      </c>
      <c r="I280" s="2" cm="1">
        <f t="array" ref="I280">EvaluatePolynomial(I$247:I$250,$A280)</f>
        <v>2108.9994399244292</v>
      </c>
    </row>
    <row r="281" spans="1:9" x14ac:dyDescent="0.25">
      <c r="A281" s="1">
        <v>600</v>
      </c>
      <c r="B281" s="34" cm="1">
        <f t="array" ref="B281">TrajectoryToComeUp(B$247:B$250,$A281)</f>
        <v>3.2485361302180884</v>
      </c>
      <c r="C281" s="34" cm="1">
        <f t="array" ref="C281">TrajectoryToComeUp(C$247:C$250,$A281)</f>
        <v>3.1943633592245235</v>
      </c>
      <c r="D281" s="34" cm="1">
        <f t="array" ref="D281">TrajectoryToComeUp(D$247:D$250,$A281)</f>
        <v>2.9797410331432248</v>
      </c>
      <c r="E281" s="34" cm="1">
        <f t="array" ref="E281">TrajectoryToComeUp(E$247:E$250,$A281)</f>
        <v>2.7735563035677013</v>
      </c>
      <c r="F281" s="34" cm="1">
        <f t="array" ref="F281">TrajectoryToComeUp(F$247:F$250,$A281)</f>
        <v>2.3558184025130999</v>
      </c>
      <c r="G281" s="34" cm="1">
        <f t="array" ref="G281">TrajectoryToComeUp(G$247:G$250,$A281)</f>
        <v>1.5699236811019968</v>
      </c>
      <c r="H281" s="34" cm="1">
        <f t="array" ref="H281">TrajectoryToComeUp(H$247:H$250,$A281)</f>
        <v>0.88847065140413539</v>
      </c>
      <c r="I281" s="2" cm="1">
        <f t="array" ref="I281">EvaluatePolynomial(I$247:I$250,$A281)</f>
        <v>2058.7815266167595</v>
      </c>
    </row>
    <row r="282" spans="1:9" x14ac:dyDescent="0.25">
      <c r="A282" s="1">
        <v>625</v>
      </c>
      <c r="B282" s="34" cm="1">
        <f t="array" ref="B282">TrajectoryToComeUp(B$247:B$250,$A282)</f>
        <v>3.4575965726413038</v>
      </c>
      <c r="C282" s="34" cm="1">
        <f t="array" ref="C282">TrajectoryToComeUp(C$247:C$250,$A282)</f>
        <v>3.371706822986865</v>
      </c>
      <c r="D282" s="34" cm="1">
        <f t="array" ref="D282">TrajectoryToComeUp(D$247:D$250,$A282)</f>
        <v>3.1632041002887687</v>
      </c>
      <c r="E282" s="34" cm="1">
        <f t="array" ref="E282">TrajectoryToComeUp(E$247:E$250,$A282)</f>
        <v>2.9691967116723417</v>
      </c>
      <c r="F282" s="34" cm="1">
        <f t="array" ref="F282">TrajectoryToComeUp(F$247:F$250,$A282)</f>
        <v>2.590324051731232</v>
      </c>
      <c r="G282" s="34" cm="1">
        <f t="array" ref="G282">TrajectoryToComeUp(G$247:G$250,$A282)</f>
        <v>1.7683727395736937</v>
      </c>
      <c r="H282" s="34" cm="1">
        <f t="array" ref="H282">TrajectoryToComeUp(H$247:H$250,$A282)</f>
        <v>1.1293830074684095</v>
      </c>
      <c r="I282" s="2" cm="1">
        <f t="array" ref="I282">EvaluatePolynomial(I$247:I$250,$A282)</f>
        <v>2010.3739054866417</v>
      </c>
    </row>
    <row r="283" spans="1:9" x14ac:dyDescent="0.25">
      <c r="A283" s="1">
        <v>650</v>
      </c>
      <c r="B283" s="34" cm="1">
        <f t="array" ref="B283">TrajectoryToComeUp(B$247:B$250,$A283)</f>
        <v>3.6667391400864116</v>
      </c>
      <c r="C283" s="34" cm="1">
        <f t="array" ref="C283">TrajectoryToComeUp(C$247:C$250,$A283)</f>
        <v>3.5485514921742705</v>
      </c>
      <c r="D283" s="34" cm="1">
        <f t="array" ref="D283">TrajectoryToComeUp(D$247:D$250,$A283)</f>
        <v>3.3471018312367522</v>
      </c>
      <c r="E283" s="34" cm="1">
        <f t="array" ref="E283">TrajectoryToComeUp(E$247:E$250,$A283)</f>
        <v>3.1666723024328034</v>
      </c>
      <c r="F283" s="34" cm="1">
        <f t="array" ref="F283">TrajectoryToComeUp(F$247:F$250,$A283)</f>
        <v>2.8299818398882861</v>
      </c>
      <c r="G283" s="34" cm="1">
        <f t="array" ref="G283">TrajectoryToComeUp(G$247:G$250,$A283)</f>
        <v>1.9680356033026205</v>
      </c>
      <c r="H283" s="34" cm="1">
        <f t="array" ref="H283">TrajectoryToComeUp(H$247:H$250,$A283)</f>
        <v>1.3762644468886833</v>
      </c>
      <c r="I283" s="2" cm="1">
        <f t="array" ref="I283">EvaluatePolynomial(I$247:I$250,$A283)</f>
        <v>1963.8136790665135</v>
      </c>
    </row>
    <row r="284" spans="1:9" x14ac:dyDescent="0.25">
      <c r="A284" s="1">
        <v>675</v>
      </c>
      <c r="B284" s="34" cm="1">
        <f t="array" ref="B284">TrajectoryToComeUp(B$247:B$250,$A284)</f>
        <v>3.8759163700585875</v>
      </c>
      <c r="C284" s="34" cm="1">
        <f t="array" ref="C284">TrajectoryToComeUp(C$247:C$250,$A284)</f>
        <v>3.7248559195023994</v>
      </c>
      <c r="D284" s="34" cm="1">
        <f t="array" ref="D284">TrajectoryToComeUp(D$247:D$250,$A284)</f>
        <v>3.5313977068184617</v>
      </c>
      <c r="E284" s="34" cm="1">
        <f t="array" ref="E284">TrajectoryToComeUp(E$247:E$250,$A284)</f>
        <v>3.3659456937009118</v>
      </c>
      <c r="F284" s="34" cm="1">
        <f t="array" ref="F284">TrajectoryToComeUp(F$247:F$250,$A284)</f>
        <v>3.074763465406364</v>
      </c>
      <c r="G284" s="34" cm="1">
        <f t="array" ref="G284">TrajectoryToComeUp(G$247:G$250,$A284)</f>
        <v>2.1688721775215805</v>
      </c>
      <c r="H284" s="34" cm="1">
        <f t="array" ref="H284">TrajectoryToComeUp(H$247:H$250,$A284)</f>
        <v>1.6290843040638092</v>
      </c>
      <c r="I284" s="2" cm="1">
        <f t="array" ref="I284">EvaluatePolynomial(I$247:I$250,$A284)</f>
        <v>1919.1379498888148</v>
      </c>
    </row>
    <row r="285" spans="1:9" x14ac:dyDescent="0.25">
      <c r="A285" s="1">
        <v>700</v>
      </c>
      <c r="B285" s="34" cm="1">
        <f t="array" ref="B285">TrajectoryToComeUp(B$247:B$250,$A285)</f>
        <v>4.0850875804194136</v>
      </c>
      <c r="C285" s="34" cm="1">
        <f t="array" ref="C285">TrajectoryToComeUp(C$247:C$250,$A285)</f>
        <v>3.9005845787275311</v>
      </c>
      <c r="D285" s="34" cm="1">
        <f t="array" ref="D285">TrajectoryToComeUp(D$247:D$250,$A285)</f>
        <v>3.7160604248892883</v>
      </c>
      <c r="E285" s="34" cm="1">
        <f t="array" ref="E285">TrajectoryToComeUp(E$247:E$250,$A285)</f>
        <v>3.5669848436353764</v>
      </c>
      <c r="F285" s="34" cm="1">
        <f t="array" ref="F285">TrajectoryToComeUp(F$247:F$250,$A285)</f>
        <v>3.3246446697901195</v>
      </c>
      <c r="G285" s="34" cm="1">
        <f t="array" ref="G285">TrajectoryToComeUp(G$247:G$250,$A285)</f>
        <v>2.3708480952872613</v>
      </c>
      <c r="H285" s="34" cm="1">
        <f t="array" ref="H285">TrajectoryToComeUp(H$247:H$250,$A285)</f>
        <v>1.8878162941927989</v>
      </c>
      <c r="I285" s="2" cm="1">
        <f t="array" ref="I285">EvaluatePolynomial(I$247:I$250,$A285)</f>
        <v>1876.3838204859844</v>
      </c>
    </row>
    <row r="286" spans="1:9" x14ac:dyDescent="0.25">
      <c r="A286" s="1">
        <v>725</v>
      </c>
      <c r="B286" s="34" cm="1">
        <f t="array" ref="B286">TrajectoryToComeUp(B$247:B$250,$A286)</f>
        <v>4.2942177003599031</v>
      </c>
      <c r="C286" s="34" cm="1">
        <f t="array" ref="C286">TrajectoryToComeUp(C$247:C$250,$A286)</f>
        <v>4.0757068437774944</v>
      </c>
      <c r="D286" s="34" cm="1">
        <f t="array" ref="D286">TrajectoryToComeUp(D$247:D$250,$A286)</f>
        <v>3.9010630008418063</v>
      </c>
      <c r="E286" s="34" cm="1">
        <f t="array" ref="E286">TrajectoryToComeUp(E$247:E$250,$A286)</f>
        <v>3.7697621299592194</v>
      </c>
      <c r="F286" s="34" cm="1">
        <f t="array" ref="F286">TrajectoryToComeUp(F$247:F$250,$A286)</f>
        <v>3.5796045405435706</v>
      </c>
      <c r="G286" s="34" cm="1">
        <f t="array" ref="G286">TrajectoryToComeUp(G$247:G$250,$A286)</f>
        <v>2.5739337299243932</v>
      </c>
      <c r="H286" s="34" cm="1">
        <f t="array" ref="H286">TrajectoryToComeUp(H$247:H$250,$A286)</f>
        <v>2.1524377579644578</v>
      </c>
      <c r="I286" s="2" cm="1">
        <f t="array" ref="I286">EvaluatePolynomial(I$247:I$250,$A286)</f>
        <v>1835.5883933904606</v>
      </c>
    </row>
    <row r="287" spans="1:9" x14ac:dyDescent="0.25">
      <c r="A287" s="1">
        <v>750</v>
      </c>
      <c r="B287" s="34" cm="1">
        <f t="array" ref="B287">TrajectoryToComeUp(B$247:B$250,$A287)</f>
        <v>4.5032763351789411</v>
      </c>
      <c r="C287" s="34" cm="1">
        <f t="array" ref="C287">TrajectoryToComeUp(C$247:C$250,$A287)</f>
        <v>4.2501961720564037</v>
      </c>
      <c r="D287" s="34" cm="1">
        <f t="array" ref="D287">TrajectoryToComeUp(D$247:D$250,$A287)</f>
        <v>4.0863820480162518</v>
      </c>
      <c r="E287" s="34" cm="1">
        <f t="array" ref="E287">TrajectoryToComeUp(E$247:E$250,$A287)</f>
        <v>3.9742536133657302</v>
      </c>
      <c r="F287" s="34" cm="1">
        <f t="array" ref="F287">TrajectoryToComeUp(F$247:F$250,$A287)</f>
        <v>3.8396249535035269</v>
      </c>
      <c r="G287" s="34" cm="1">
        <f t="array" ref="G287">TrajectoryToComeUp(G$247:G$250,$A287)</f>
        <v>2.778103404981076</v>
      </c>
      <c r="H287" s="34" cm="1">
        <f t="array" ref="H287">TrajectoryToComeUp(H$247:H$250,$A287)</f>
        <v>2.4229290573090849</v>
      </c>
      <c r="I287" s="2" cm="1">
        <f t="array" ref="I287">EvaluatePolynomial(I$247:I$250,$A287)</f>
        <v>1796.7887711346827</v>
      </c>
    </row>
    <row r="288" spans="1:9" x14ac:dyDescent="0.25">
      <c r="A288" s="1">
        <v>775</v>
      </c>
      <c r="B288" s="34" cm="1">
        <f t="array" ref="B288">TrajectoryToComeUp(B$247:B$250,$A288)</f>
        <v>4.7122370120723236</v>
      </c>
      <c r="C288" s="34" cm="1">
        <f t="array" ref="C288">TrajectoryToComeUp(C$247:C$250,$A288)</f>
        <v>4.4240294458194596</v>
      </c>
      <c r="D288" s="34" cm="1">
        <f t="array" ref="D288">TrajectoryToComeUp(D$247:D$250,$A288)</f>
        <v>4.2719971973863737</v>
      </c>
      <c r="E288" s="34" cm="1">
        <f t="array" ref="E288">TrajectoryToComeUp(E$247:E$250,$A288)</f>
        <v>4.1804384434909965</v>
      </c>
      <c r="F288" s="34" cm="1">
        <f t="array" ref="F288">TrajectoryToComeUp(F$247:F$250,$A288)</f>
        <v>4.1046901231085053</v>
      </c>
      <c r="G288" s="34" cm="1">
        <f t="array" ref="G288">TrajectoryToComeUp(G$247:G$250,$A288)</f>
        <v>2.983334757095979</v>
      </c>
      <c r="H288" s="34" cm="1">
        <f t="array" ref="H288">TrajectoryToComeUp(H$247:H$250,$A288)</f>
        <v>2.6992730881014553</v>
      </c>
      <c r="I288" s="2" cm="1">
        <f t="array" ref="I288">EvaluatePolynomial(I$247:I$250,$A288)</f>
        <v>1760.0220562510895</v>
      </c>
    </row>
    <row r="289" spans="1:9" x14ac:dyDescent="0.25">
      <c r="A289" s="1">
        <v>800</v>
      </c>
      <c r="B289" s="34" cm="1">
        <f t="array" ref="B289">TrajectoryToComeUp(B$247:B$250,$A289)</f>
        <v>4.921076567336379</v>
      </c>
      <c r="C289" s="34" cm="1">
        <f t="array" ref="C289">TrajectoryToComeUp(C$247:C$250,$A289)</f>
        <v>4.5971864370399604</v>
      </c>
      <c r="D289" s="34" cm="1">
        <f t="array" ref="D289">TrajectoryToComeUp(D$247:D$250,$A289)</f>
        <v>4.4578906260542066</v>
      </c>
      <c r="E289" s="34" cm="1">
        <f t="array" ref="E289">TrajectoryToComeUp(E$247:E$250,$A289)</f>
        <v>4.388298376266599</v>
      </c>
      <c r="F289" s="34" cm="1">
        <f t="array" ref="F289">TrajectoryToComeUp(F$247:F$250,$A289)</f>
        <v>4.3747862369922039</v>
      </c>
      <c r="G289" s="34" cm="1">
        <f t="array" ref="G289">TrajectoryToComeUp(G$247:G$250,$A289)</f>
        <v>3.1896082183279351</v>
      </c>
      <c r="H289" s="34" cm="1">
        <f t="array" ref="H289">TrajectoryToComeUp(H$247:H$250,$A289)</f>
        <v>2.9814548842319972</v>
      </c>
      <c r="I289" s="2" cm="1">
        <f t="array" ref="I289">EvaluatePolynomial(I$247:I$250,$A289)</f>
        <v>1725.3253512721203</v>
      </c>
    </row>
    <row r="290" spans="1:9" x14ac:dyDescent="0.25">
      <c r="A290" s="1">
        <v>825</v>
      </c>
      <c r="B290" s="34" cm="1">
        <f t="array" ref="B290">TrajectoryToComeUp(B$247:B$250,$A290)</f>
        <v>5.1297746449890891</v>
      </c>
      <c r="C290" s="34" cm="1">
        <f t="array" ref="C290">TrajectoryToComeUp(C$247:C$250,$A290)</f>
        <v>4.76964936957323</v>
      </c>
      <c r="D290" s="34" cm="1">
        <f t="array" ref="D290">TrajectoryToComeUp(D$247:D$250,$A290)</f>
        <v>4.6440466714730499</v>
      </c>
      <c r="E290" s="34" cm="1">
        <f t="array" ref="E290">TrajectoryToComeUp(E$247:E$250,$A290)</f>
        <v>4.5978173790263446</v>
      </c>
      <c r="F290" s="34" cm="1">
        <f t="array" ref="F290">TrajectoryToComeUp(F$247:F$250,$A290)</f>
        <v>4.6499011570145417</v>
      </c>
      <c r="G290" s="34" cm="1">
        <f t="array" ref="G290">TrajectoryToComeUp(G$247:G$250,$A290)</f>
        <v>3.3969065926074347</v>
      </c>
      <c r="H290" s="34" cm="1">
        <f t="array" ref="H290">TrajectoryToComeUp(H$247:H$250,$A290)</f>
        <v>3.2694612936650262</v>
      </c>
      <c r="I290" s="2" cm="1">
        <f t="array" ref="I290">EvaluatePolynomial(I$247:I$250,$A290)</f>
        <v>1692.7357587302135</v>
      </c>
    </row>
    <row r="291" spans="1:9" x14ac:dyDescent="0.25">
      <c r="A291" s="1">
        <v>850</v>
      </c>
      <c r="B291" s="34" cm="1">
        <f t="array" ref="B291">TrajectoryToComeUp(B$247:B$250,$A291)</f>
        <v>5.3383132838698506</v>
      </c>
      <c r="C291" s="34" cm="1">
        <f t="array" ref="C291">TrajectoryToComeUp(C$247:C$250,$A291)</f>
        <v>4.9414025585857289</v>
      </c>
      <c r="D291" s="34" cm="1">
        <f t="array" ref="D291">TrajectoryToComeUp(D$247:D$250,$A291)</f>
        <v>4.8304515137487591</v>
      </c>
      <c r="E291" s="34" cm="1">
        <f t="array" ref="E291">TrajectoryToComeUp(E$247:E$250,$A291)</f>
        <v>4.8089813053000698</v>
      </c>
      <c r="F291" s="34" cm="1">
        <f t="array" ref="F291">TrajectoryToComeUp(F$247:F$250,$A291)</f>
        <v>4.9300241730519172</v>
      </c>
      <c r="G291" s="34" cm="1">
        <f t="array" ref="G291">TrajectoryToComeUp(G$247:G$250,$A291)</f>
        <v>3.6052147069319713</v>
      </c>
      <c r="H291" s="34" cm="1">
        <f t="array" ref="H291">TrajectoryToComeUp(H$247:H$250,$A291)</f>
        <v>3.5632807116631748</v>
      </c>
      <c r="I291" s="2" cm="1">
        <f t="array" ref="I291">EvaluatePolynomial(I$247:I$250,$A291)</f>
        <v>1662.2903811578083</v>
      </c>
    </row>
    <row r="292" spans="1:9" x14ac:dyDescent="0.25">
      <c r="A292" s="1">
        <v>875</v>
      </c>
      <c r="B292" s="34" cm="1">
        <f t="array" ref="B292">TrajectoryToComeUp(B$247:B$250,$A292)</f>
        <v>5.5466765755221266</v>
      </c>
      <c r="C292" s="34" cm="1">
        <f t="array" ref="C292">TrajectoryToComeUp(C$247:C$250,$A292)</f>
        <v>5.1124321117963243</v>
      </c>
      <c r="D292" s="34" cm="1">
        <f t="array" ref="D292">TrajectoryToComeUp(D$247:D$250,$A292)</f>
        <v>5.017092912403661</v>
      </c>
      <c r="E292" s="34" cm="1">
        <f t="array" ref="E292">TrajectoryToComeUp(E$247:E$250,$A292)</f>
        <v>5.0217776253570552</v>
      </c>
      <c r="F292" s="34" cm="1">
        <f t="array" ref="F292">TrajectoryToComeUp(F$247:F$250,$A292)</f>
        <v>5.2151457989948549</v>
      </c>
      <c r="G292" s="34" cm="1">
        <f t="array" ref="G292">TrajectoryToComeUp(G$247:G$250,$A292)</f>
        <v>3.8145191223564656</v>
      </c>
      <c r="H292" s="34" cm="1">
        <f t="array" ref="H292">TrajectoryToComeUp(H$247:H$250,$A292)</f>
        <v>3.862902859744775</v>
      </c>
      <c r="I292" s="2" cm="1">
        <f t="array" ref="I292">EvaluatePolynomial(I$247:I$250,$A292)</f>
        <v>1634.0263210873434</v>
      </c>
    </row>
    <row r="293" spans="1:9" x14ac:dyDescent="0.25">
      <c r="A293" s="1">
        <v>900</v>
      </c>
      <c r="B293" s="34" cm="1">
        <f t="array" ref="B293">TrajectoryToComeUp(B$247:B$250,$A293)</f>
        <v>5.7548503790956662</v>
      </c>
      <c r="C293" s="34" cm="1">
        <f t="array" ref="C293">TrajectoryToComeUp(C$247:C$250,$A293)</f>
        <v>5.2827256805106746</v>
      </c>
      <c r="D293" s="34" cm="1">
        <f t="array" ref="D293">TrajectoryToComeUp(D$247:D$250,$A293)</f>
        <v>5.2039599870131594</v>
      </c>
      <c r="E293" s="34" cm="1">
        <f t="array" ref="E293">TrajectoryToComeUp(E$247:E$250,$A293)</f>
        <v>5.2361952016588837</v>
      </c>
      <c r="F293" s="34" cm="1">
        <f t="array" ref="F293">TrajectoryToComeUp(F$247:F$250,$A293)</f>
        <v>5.5052576027460418</v>
      </c>
      <c r="G293" s="34" cm="1">
        <f t="array" ref="G293">TrajectoryToComeUp(G$247:G$250,$A293)</f>
        <v>4.0248078931519577</v>
      </c>
      <c r="H293" s="34" cm="1">
        <f t="array" ref="H293">TrajectoryToComeUp(H$247:H$250,$A293)</f>
        <v>4.1683186014816753</v>
      </c>
      <c r="I293" s="2" cm="1">
        <f t="array" ref="I293">EvaluatePolynomial(I$247:I$250,$A293)</f>
        <v>1607.9806810512578</v>
      </c>
    </row>
    <row r="294" spans="1:9" x14ac:dyDescent="0.25">
      <c r="A294" s="1">
        <v>925</v>
      </c>
      <c r="B294" s="34" cm="1">
        <f t="array" ref="B294">TrajectoryToComeUp(B$247:B$250,$A294)</f>
        <v>5.962822082480784</v>
      </c>
      <c r="C294" s="34" cm="1">
        <f t="array" ref="C294">TrajectoryToComeUp(C$247:C$250,$A294)</f>
        <v>5.4522722510284201</v>
      </c>
      <c r="D294" s="34" cm="1">
        <f t="array" ref="D294">TrajectoryToComeUp(D$247:D$250,$A294)</f>
        <v>5.3910430334147748</v>
      </c>
      <c r="E294" s="34" cm="1">
        <f t="array" ref="E294">TrajectoryToComeUp(E$247:E$250,$A294)</f>
        <v>5.4522241007253447</v>
      </c>
      <c r="F294" s="34" cm="1">
        <f t="array" ref="F294">TrajectoryToComeUp(F$247:F$250,$A294)</f>
        <v>5.8003520637862538</v>
      </c>
      <c r="G294" s="34" cm="1">
        <f t="array" ref="G294">TrajectoryToComeUp(G$247:G$250,$A294)</f>
        <v>4.236070365019649</v>
      </c>
      <c r="H294" s="34" cm="1">
        <f t="array" ref="H294">TrajectoryToComeUp(H$247:H$250,$A294)</f>
        <v>4.4795197881676874</v>
      </c>
      <c r="I294" s="2" cm="1">
        <f t="array" ref="I294">EvaluatePolynomial(I$247:I$250,$A294)</f>
        <v>1584.1905635819899</v>
      </c>
    </row>
    <row r="295" spans="1:9" x14ac:dyDescent="0.25">
      <c r="A295" s="1">
        <v>950</v>
      </c>
      <c r="B295" s="34" cm="1">
        <f t="array" ref="B295">TrajectoryToComeUp(B$247:B$250,$A295)</f>
        <v>6.1705804011582872</v>
      </c>
      <c r="C295" s="34" cm="1">
        <f t="array" ref="C295">TrajectoryToComeUp(C$247:C$250,$A295)</f>
        <v>5.6210619689860835</v>
      </c>
      <c r="D295" s="34" cm="1">
        <f t="array" ref="D295">TrajectoryToComeUp(D$247:D$250,$A295)</f>
        <v>5.5783333689368151</v>
      </c>
      <c r="E295" s="34" cm="1">
        <f t="array" ref="E295">TrajectoryToComeUp(E$247:E$250,$A295)</f>
        <v>5.669855434705724</v>
      </c>
      <c r="F295" s="34" cm="1">
        <f t="array" ref="F295">TrajectoryToComeUp(F$247:F$250,$A295)</f>
        <v>6.1004224532298714</v>
      </c>
      <c r="G295" s="34" cm="1">
        <f t="array" ref="G295">TrajectoryToComeUp(G$247:G$250,$A295)</f>
        <v>4.4482970051658732</v>
      </c>
      <c r="H295" s="34" cm="1">
        <f t="array" ref="H295">TrajectoryToComeUp(H$247:H$250,$A295)</f>
        <v>4.7964991288551699</v>
      </c>
      <c r="I295" s="2" cm="1">
        <f t="array" ref="I295">EvaluatePolynomial(I$247:I$250,$A295)</f>
        <v>1562.6930712119799</v>
      </c>
    </row>
    <row r="296" spans="1:9" x14ac:dyDescent="0.25">
      <c r="A296" s="1">
        <v>975</v>
      </c>
      <c r="B296" s="34" cm="1">
        <f t="array" ref="B296">TrajectoryToComeUp(B$247:B$250,$A296)</f>
        <v>6.3781152079955694</v>
      </c>
      <c r="C296" s="34" cm="1">
        <f t="array" ref="C296">TrajectoryToComeUp(C$247:C$250,$A296)</f>
        <v>5.7890859907241321</v>
      </c>
      <c r="D296" s="34" cm="1">
        <f t="array" ref="D296">TrajectoryToComeUp(D$247:D$250,$A296)</f>
        <v>5.7658232014380228</v>
      </c>
      <c r="E296" s="34" cm="1">
        <f t="array" ref="E296">TrajectoryToComeUp(E$247:E$250,$A296)</f>
        <v>5.8890812273237412</v>
      </c>
      <c r="F296" s="34" cm="1">
        <f t="array" ref="F296">TrajectoryToComeUp(F$247:F$250,$A296)</f>
        <v>6.4054627323333886</v>
      </c>
      <c r="G296" s="34" cm="1">
        <f t="array" ref="G296">TrajectoryToComeUp(G$247:G$250,$A296)</f>
        <v>4.6614792585193934</v>
      </c>
      <c r="H296" s="34" cm="1">
        <f t="array" ref="H296">TrajectoryToComeUp(H$247:H$250,$A296)</f>
        <v>5.1192500803859833</v>
      </c>
      <c r="I296" s="2" cm="1">
        <f t="array" ref="I296">EvaluatePolynomial(I$247:I$250,$A296)</f>
        <v>1543.5253064736655</v>
      </c>
    </row>
    <row r="297" spans="1:9" x14ac:dyDescent="0.25">
      <c r="A297" s="1">
        <v>1000</v>
      </c>
      <c r="B297" s="34" cm="1">
        <f t="array" ref="B297">TrajectoryToComeUp(B$247:B$250,$A297)</f>
        <v>6.5854173885732799</v>
      </c>
      <c r="C297" s="34" cm="1">
        <f t="array" ref="C297">TrajectoryToComeUp(C$247:C$250,$A297)</f>
        <v>5.9563363569489862</v>
      </c>
      <c r="D297" s="34" cm="1">
        <f t="array" ref="D297">TrajectoryToComeUp(D$247:D$250,$A297)</f>
        <v>5.9535055179912559</v>
      </c>
      <c r="E297" s="34" cm="1">
        <f t="array" ref="E297">TrajectoryToComeUp(E$247:E$250,$A297)</f>
        <v>6.1098942999307404</v>
      </c>
      <c r="F297" s="34" cm="1">
        <f t="array" ref="F297">TrajectoryToComeUp(F$247:F$250,$A297)</f>
        <v>6.7154674662276452</v>
      </c>
      <c r="G297" s="34" cm="1">
        <f t="array" ref="G297">TrajectoryToComeUp(G$247:G$250,$A297)</f>
        <v>4.875609425516096</v>
      </c>
      <c r="H297" s="34" cm="1">
        <f t="array" ref="H297">TrajectoryToComeUp(H$247:H$250,$A297)</f>
        <v>5.447766753917799</v>
      </c>
      <c r="I297" s="2" cm="1">
        <f t="array" ref="I297">EvaluatePolynomial(I$247:I$250,$A297)</f>
        <v>1526.724371899486</v>
      </c>
    </row>
  </sheetData>
  <mergeCells count="3">
    <mergeCell ref="C20:G20"/>
    <mergeCell ref="J20:N20"/>
    <mergeCell ref="F1:H1"/>
  </mergeCells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2ABF1-5FE9-4A60-9AE7-516137690FFE}">
  <sheetPr codeName="Sheet4"/>
  <dimension ref="A1"/>
  <sheetViews>
    <sheetView workbookViewId="0">
      <selection activeCell="AC47" sqref="AC47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TrophyBonded PHP</vt:lpstr>
      <vt:lpstr>TrophyBonded PHP (2)</vt:lpstr>
      <vt:lpstr>Core-Lokt SP</vt:lpstr>
      <vt:lpstr>Barnes TSX HP</vt:lpstr>
      <vt:lpstr>Bullet 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2024-08-24T19:31:28Z</dcterms:modified>
</cp:coreProperties>
</file>